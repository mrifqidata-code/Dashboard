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ara Pakai" sheetId="1" state="visible" r:id="rId3"/>
    <sheet name="Ringkasan" sheetId="2" state="visible" r:id="rId4"/>
    <sheet name="KLM" sheetId="3" state="visible" r:id="rId5"/>
    <sheet name="KWC" sheetId="4" state="visible" r:id="rId6"/>
    <sheet name="PML" sheetId="5" state="visible" r:id="rId7"/>
    <sheet name="TMP" sheetId="6" state="visible" r:id="rId8"/>
    <sheet name="BTU" sheetId="7" state="visible" r:id="rId9"/>
    <sheet name="HIB" sheetId="8" state="visible" r:id="rId10"/>
    <sheet name="Master Data" sheetId="9" state="visible" r:id="rId11"/>
  </sheets>
  <definedNames>
    <definedName function="false" hidden="true" localSheetId="6" name="_xlnm._FilterDatabase" vbProcedure="false">BTU!$A$91:$O$438</definedName>
    <definedName function="false" hidden="true" localSheetId="7" name="_xlnm._FilterDatabase" vbProcedure="false">HIB!$A$91:$O$419</definedName>
    <definedName function="false" hidden="true" localSheetId="2" name="_xlnm._FilterDatabase" vbProcedure="false">KLM!$A$91:$O$195</definedName>
    <definedName function="false" hidden="true" localSheetId="3" name="_xlnm._FilterDatabase" vbProcedure="false">KWC!$A$91:$O$236</definedName>
    <definedName function="false" hidden="true" localSheetId="8" name="_xlnm._FilterDatabase" vbProcedure="false">'Master Data'!$A$1:$M$2436</definedName>
    <definedName function="false" hidden="true" localSheetId="4" name="_xlnm._FilterDatabase" vbProcedure="false">PML!$A$91:$O$231</definedName>
    <definedName function="false" hidden="true" localSheetId="5" name="_xlnm._FilterDatabase" vbProcedure="false">TMP!$A$76:$O$345</definedName>
  </definedNames>
  <calcPr iterateCount="100" refMode="A1" iterate="false" iterateDelta="0.0001"/>
  <extLst>
    <ext xmlns:loext="http://schemas.libreoffice.org/" uri="{7626C862-2A13-11E5-B345-FEFF819CDC9F}">
      <loext:extCalcPr stringRefSyntax="ExcelA1"/>
    </ext>
  </extLst>
</workbook>
</file>

<file path=xl/comments9.xml><?xml version="1.0" encoding="utf-8"?>
<comments xmlns="http://schemas.openxmlformats.org/spreadsheetml/2006/main" xmlns:xdr="http://schemas.openxmlformats.org/drawingml/2006/spreadsheetDrawing">
  <authors>
    <author>Unknown Author</author>
  </authors>
  <commentList>
    <comment ref="G1" authorId="0">
      <text>
        <r>
          <rPr>
            <sz val="10"/>
            <rFont val="Arial"/>
            <family val="2"/>
          </rPr>
          <t xml:space="preserve">Kapasitas, Terisi, Age Group dan Coach disalin dari Exboard › Reguler Class Availability. Kolom lain dihitung dengan rumus.</t>
        </r>
      </text>
    </comment>
  </commentList>
</comments>
</file>

<file path=xl/sharedStrings.xml><?xml version="1.0" encoding="utf-8"?>
<sst xmlns="http://schemas.openxmlformats.org/spreadsheetml/2006/main" count="16764" uniqueCount="494">
  <si>
    <t xml:space="preserve">Slot Map Weekly Meeting · Center Manager × Senior Coach</t>
  </si>
  <si>
    <t xml:space="preserve">Data per 26 Sep 2026 · untuk meeting W40 · 28 Sep – 4 Okt 2026 · sumber: Exboard › Reguler Class Availability</t>
  </si>
  <si>
    <t xml:space="preserve">Alur meeting</t>
  </si>
  <si>
    <t xml:space="preserve">1. Buka tab center</t>
  </si>
  <si>
    <t xml:space="preserve">Satu tab per center (KLM, KWC, PML, TMP, BTU, HIB). Mulai dari ringkasan di atas: utilisasi, jumlah kelas belum terisi, slot kosong.</t>
  </si>
  <si>
    <t xml:space="preserve">2. Lihat Slot Map</t>
  </si>
  <si>
    <t xml:space="preserve">Grid per lane: baris = jam, kolom = hari. Tiap sel berisi age group, terisi/kapasitas, dan coach. Merah = kelas sudah ada tapi 0 murid. Oranye = kapasitas ada tapi belum ada kelas.</t>
  </si>
  <si>
    <t xml:space="preserve">3. Putuskan di Daftar Diskusi</t>
  </si>
  <si>
    <t xml:space="preserve">Di bawah slot map ada daftar semua slot merah &amp; oranye. Isi kolom kuning: keputusan, age group yang dijual, coach PIC, target murid, catatan.</t>
  </si>
  <si>
    <t xml:space="preserve">4. Cek coach</t>
  </si>
  <si>
    <t xml:space="preserve">Kolom 'Coach available' menyarankan coach yang bertugas hari itu dan tidak sedang mengajar di jam tersebut, beserta age group yang biasa mereka ajar. Tabel Coach di bagian bawah tab menunjukkan beban tiap coach per hari.</t>
  </si>
  <si>
    <t xml:space="preserve">5. Kirim ke Student Advisor</t>
  </si>
  <si>
    <t xml:space="preserve">Filter kolom Keputusan = 'Jual minggu ini' atau 'Buka kelas baru'. Itulah daftar kelas yang dijual SA minggu itu.</t>
  </si>
  <si>
    <t xml:space="preserve">Arti warna status</t>
  </si>
  <si>
    <t xml:space="preserve">Belum terisi</t>
  </si>
  <si>
    <t xml:space="preserve">Kelas sudah punya age group, kapasitas &gt; 0, tapi 0 murid. Prioritas untuk dijual.</t>
  </si>
  <si>
    <t xml:space="preserve">Slot kosong</t>
  </si>
  <si>
    <t xml:space="preserve">Kapasitas &gt; 0 tapi belum ada age group/kelas. Bisa dibuka jadi kelas baru.</t>
  </si>
  <si>
    <t xml:space="preserve">Sebagian</t>
  </si>
  <si>
    <t xml:space="preserve">Sudah ada murid tapi belum penuh.</t>
  </si>
  <si>
    <t xml:space="preserve">Penuh</t>
  </si>
  <si>
    <t xml:space="preserve">Terisi = kapasitas.</t>
  </si>
  <si>
    <t xml:space="preserve">Lebih kapasitas</t>
  </si>
  <si>
    <t xml:space="preserve">Terisi melebihi kapasitas (termasuk slot kapasitas 0 yang masih ada murid). Perlu dicek.</t>
  </si>
  <si>
    <t xml:space="preserve">Tutup</t>
  </si>
  <si>
    <t xml:space="preserve">Kapasitas 0 dan tidak ada murid, tapi slot masih punya age group/coach.</t>
  </si>
  <si>
    <t xml:space="preserve">Tidak dibuka</t>
  </si>
  <si>
    <t xml:space="preserve">Kapasitas 0, tanpa kelas. Ditampilkan '–'.</t>
  </si>
  <si>
    <t xml:space="preserve">Sel yang diisi</t>
  </si>
  <si>
    <t xml:space="preserve">Kuning</t>
  </si>
  <si>
    <t xml:space="preserve">Hanya sel kuning yang diisi saat meeting (minggu, peserta, keputusan, age group dijual, coach PIC, target, catatan). Sel lain berisi rumus.</t>
  </si>
  <si>
    <t xml:space="preserve">Teks biru</t>
  </si>
  <si>
    <t xml:space="preserve">Di tab Master Data: angka yang disalin dari Exboard (age group, kapasitas, terisi, coach).</t>
  </si>
  <si>
    <t xml:space="preserve">Contoh pengisian</t>
  </si>
  <si>
    <t xml:space="preserve">Hari · Jam · Lane</t>
  </si>
  <si>
    <t xml:space="preserve">Selasa · 09:45 · Lane 2</t>
  </si>
  <si>
    <t xml:space="preserve">Status</t>
  </si>
  <si>
    <t xml:space="preserve">Coach available</t>
  </si>
  <si>
    <t xml:space="preserve">Danti (Baby, Little)</t>
  </si>
  <si>
    <t xml:space="preserve">Keputusan</t>
  </si>
  <si>
    <t xml:space="preserve">Jual minggu ini</t>
  </si>
  <si>
    <t xml:space="preserve">Age group dijual</t>
  </si>
  <si>
    <t xml:space="preserve">Tiny</t>
  </si>
  <si>
    <t xml:space="preserve">Coach PIC</t>
  </si>
  <si>
    <t xml:space="preserve">Danti</t>
  </si>
  <si>
    <t xml:space="preserve">Target murid</t>
  </si>
  <si>
    <t xml:space="preserve">Catatan</t>
  </si>
  <si>
    <t xml:space="preserve">Tawarkan ke leads trial Tiny minggu lalu</t>
  </si>
  <si>
    <t xml:space="preserve">•</t>
  </si>
  <si>
    <t xml:space="preserve">Coach available = coach yang punya jadwal di center itu pada hari yang sama dan tidak mengajar dalam rentang ±45 menit dari slot tersebut. Age group di dalam kurung = age group yang dia ajar minggu ini di center itu. Ini saran; cek ulang ke senior coach.</t>
  </si>
  <si>
    <t xml:space="preserve">Coach yang tidak punya jadwal sama sekali di hari itu tidak muncul sebagai available (bisa saja libur).</t>
  </si>
  <si>
    <t xml:space="preserve">Untuk memperbarui data minggu berikutnya: ganti isi tab Master Data (kolom biru) dengan data terbaru. Slot map, ringkasan dan status ikut menghitung ulang. Daftar Diskusi dan saran coach dibuat saat file digenerate, jadi generate ulang file-nya tiap minggu.</t>
  </si>
  <si>
    <t xml:space="preserve">Ringkasan Utilisasi per Center</t>
  </si>
  <si>
    <t xml:space="preserve">Data per 26 Sep 2026 · meeting W40 · 28 Sep – 4 Okt 2026</t>
  </si>
  <si>
    <t xml:space="preserve">Center</t>
  </si>
  <si>
    <t xml:space="preserve">Utilisasi</t>
  </si>
  <si>
    <t xml:space="preserve">Kursi terisi</t>
  </si>
  <si>
    <t xml:space="preserve">Kapasitas</t>
  </si>
  <si>
    <t xml:space="preserve">Belum terisi
(kelas 0 murid)</t>
  </si>
  <si>
    <t xml:space="preserve">Slot kosong
(belum ada kelas)</t>
  </si>
  <si>
    <t xml:space="preserve">Buka tab</t>
  </si>
  <si>
    <t xml:space="preserve">KLM</t>
  </si>
  <si>
    <t xml:space="preserve">→ KLM</t>
  </si>
  <si>
    <t xml:space="preserve">KWC</t>
  </si>
  <si>
    <t xml:space="preserve">→ KWC</t>
  </si>
  <si>
    <t xml:space="preserve">PML</t>
  </si>
  <si>
    <t xml:space="preserve">→ PML</t>
  </si>
  <si>
    <t xml:space="preserve">TMP</t>
  </si>
  <si>
    <t xml:space="preserve">→ TMP</t>
  </si>
  <si>
    <t xml:space="preserve">BTU</t>
  </si>
  <si>
    <t xml:space="preserve">→ BTU</t>
  </si>
  <si>
    <t xml:space="preserve">HIB</t>
  </si>
  <si>
    <t xml:space="preserve">→ HIB</t>
  </si>
  <si>
    <t xml:space="preserve">Total</t>
  </si>
  <si>
    <t xml:space="preserve">Utilisasi = kursi terisi ÷ kapasitas, hanya slot dengan kapasitas &gt; 0.</t>
  </si>
  <si>
    <t xml:space="preserve">SLOT MAP · KLM · Kalimalang</t>
  </si>
  <si>
    <t xml:space="preserve">Data per 26 Sep 2026 · sumber: Exboard › Reguler Class Availability</t>
  </si>
  <si>
    <t xml:space="preserve">Center Manager</t>
  </si>
  <si>
    <t xml:space="preserve">Minggu</t>
  </si>
  <si>
    <t xml:space="preserve">W40 · 28 Sep – 4 Okt 2026</t>
  </si>
  <si>
    <t xml:space="preserve">Senior Coach</t>
  </si>
  <si>
    <t xml:space="preserve">Ringkasan</t>
  </si>
  <si>
    <t xml:space="preserve">Warna</t>
  </si>
  <si>
    <t xml:space="preserve">Isi sel: age group  terisi/kapasitas, lalu coach. Merah &amp; oranye = bahan diskusi (lihat Daftar Diskusi di bawah).</t>
  </si>
  <si>
    <t xml:space="preserve">Lompat ke</t>
  </si>
  <si>
    <t xml:space="preserve">→ Slot Map</t>
  </si>
  <si>
    <t xml:space="preserve">→ Daftar Diskusi</t>
  </si>
  <si>
    <t xml:space="preserve">→ Coach</t>
  </si>
  <si>
    <t xml:space="preserve">LANE 1</t>
  </si>
  <si>
    <t xml:space="preserve">Jam</t>
  </si>
  <si>
    <t xml:space="preserve">Senin</t>
  </si>
  <si>
    <t xml:space="preserve">Selasa</t>
  </si>
  <si>
    <t xml:space="preserve">Rabu</t>
  </si>
  <si>
    <t xml:space="preserve">Kamis</t>
  </si>
  <si>
    <t xml:space="preserve">Jumat</t>
  </si>
  <si>
    <t xml:space="preserve">Sabtu</t>
  </si>
  <si>
    <t xml:space="preserve">08:15</t>
  </si>
  <si>
    <t xml:space="preserve">09:00</t>
  </si>
  <si>
    <t xml:space="preserve">09:45</t>
  </si>
  <si>
    <t xml:space="preserve">10:30</t>
  </si>
  <si>
    <t xml:space="preserve">11:15</t>
  </si>
  <si>
    <t xml:space="preserve">12:00</t>
  </si>
  <si>
    <t xml:space="preserve">13:30</t>
  </si>
  <si>
    <t xml:space="preserve">14:15</t>
  </si>
  <si>
    <t xml:space="preserve">15:00</t>
  </si>
  <si>
    <t xml:space="preserve">15:45</t>
  </si>
  <si>
    <t xml:space="preserve">16:30</t>
  </si>
  <si>
    <t xml:space="preserve">17:15</t>
  </si>
  <si>
    <t xml:space="preserve">LANE 2</t>
  </si>
  <si>
    <t xml:space="preserve">LANE 3</t>
  </si>
  <si>
    <t xml:space="preserve">08:00</t>
  </si>
  <si>
    <t xml:space="preserve">08:45</t>
  </si>
  <si>
    <t xml:space="preserve">09:30</t>
  </si>
  <si>
    <t xml:space="preserve">10:15</t>
  </si>
  <si>
    <t xml:space="preserve">11:00</t>
  </si>
  <si>
    <t xml:space="preserve">11:45</t>
  </si>
  <si>
    <t xml:space="preserve">13:15</t>
  </si>
  <si>
    <t xml:space="preserve">14:00</t>
  </si>
  <si>
    <t xml:space="preserve">14:45</t>
  </si>
  <si>
    <t xml:space="preserve">15:30</t>
  </si>
  <si>
    <t xml:space="preserve">16:15</t>
  </si>
  <si>
    <t xml:space="preserve">17:00</t>
  </si>
  <si>
    <t xml:space="preserve">LANE 4</t>
  </si>
  <si>
    <t xml:space="preserve">LANE 5</t>
  </si>
  <si>
    <t xml:space="preserve">DAFTAR DISKUSI · kelas yang belum terisi &amp; slot kosong</t>
  </si>
  <si>
    <t xml:space="preserve">Isi kolom kuning saat meeting. Filter kolom Keputusan untuk daftar yang dijual Student Advisor minggu ini.</t>
  </si>
  <si>
    <t xml:space="preserve">No</t>
  </si>
  <si>
    <t xml:space="preserve">Hari</t>
  </si>
  <si>
    <t xml:space="preserve">Lane</t>
  </si>
  <si>
    <t xml:space="preserve">Age group terjadwal</t>
  </si>
  <si>
    <t xml:space="preserve">Coach terjadwal</t>
  </si>
  <si>
    <t xml:space="preserve">Coach available
(age group yang diajar)</t>
  </si>
  <si>
    <t xml:space="preserve">Age group tersedia</t>
  </si>
  <si>
    <t xml:space="preserve">Danti (Baby, Tiny, Little, Kids); Rischa (Baby, Tiny, Little, Kids); Dian (Little, Kids); Gita (Tiny, Little, Kids)</t>
  </si>
  <si>
    <t xml:space="preserve">Baby, Tiny, Little, Kids</t>
  </si>
  <si>
    <t xml:space="preserve">Danti (Baby, Tiny, Little, Kids); Rischa (Baby, Tiny, Little, Kids); Daffa (Little, Kids); Dian (Little, Kids); Gita (Tiny, Little, Kids)</t>
  </si>
  <si>
    <t xml:space="preserve">Danti (Baby, Tiny, Little, Kids); Rischa (Baby, Tiny, Little, Kids); Daffa (Little, Kids); Gita (Tiny, Little, Kids)</t>
  </si>
  <si>
    <t xml:space="preserve">Rischa (Baby, Tiny, Little, Kids); Daffa (Little, Kids); Gita (Tiny, Little, Kids)</t>
  </si>
  <si>
    <t xml:space="preserve">Zidane (Baby, Tiny, Little, Kids); Daffa (Little, Kids); Gita (Tiny, Little, Kids)</t>
  </si>
  <si>
    <t xml:space="preserve">Zidane (Baby, Tiny, Little, Kids); Daffa (Little, Kids); Dian (Little, Kids); Gita (Tiny, Little, Kids)</t>
  </si>
  <si>
    <t xml:space="preserve">Danti (Baby, Tiny, Little, Kids); Zidane (Baby, Tiny, Little, Kids); Daffa (Little, Kids); Dian (Little, Kids)</t>
  </si>
  <si>
    <t xml:space="preserve">Danti (Baby, Tiny, Little, Kids); Rischa (Baby, Tiny, Little, Kids); Daffa (Little, Kids); Dian (Little, Kids)</t>
  </si>
  <si>
    <t xml:space="preserve">Danti (Baby, Tiny, Little, Kids); Rischa (Baby, Tiny, Little, Kids)</t>
  </si>
  <si>
    <t xml:space="preserve">Gita (Tiny, Little, Kids)</t>
  </si>
  <si>
    <t xml:space="preserve">Tiny, Little, Kids</t>
  </si>
  <si>
    <t xml:space="preserve">Zidane (Baby, Tiny, Little, Kids)</t>
  </si>
  <si>
    <t xml:space="preserve">Zidane (Baby, Tiny, Little, Kids); Gita (Tiny, Little, Kids)</t>
  </si>
  <si>
    <t xml:space="preserve">Danti (Baby, Tiny, Little, Kids); Rischa (Baby, Tiny, Little, Kids); Tessa (Baby, Tiny, Little, Kids)</t>
  </si>
  <si>
    <t xml:space="preserve">Danti (Baby, Tiny, Little, Kids); Tessa (Baby, Tiny, Little, Kids)</t>
  </si>
  <si>
    <t xml:space="preserve">Zidane (Baby, Tiny, Little, Kids); Tessa (Baby, Tiny, Little, Kids)</t>
  </si>
  <si>
    <t xml:space="preserve">Dian (Little, Kids); Tessa (Baby, Tiny, Little, Kids)</t>
  </si>
  <si>
    <t xml:space="preserve">Rischa (Baby, Tiny, Little, Kids); Dian (Little, Kids)</t>
  </si>
  <si>
    <t xml:space="preserve">Danti (Baby, Tiny, Little, Kids); Rischa (Baby, Tiny, Little, Kids); Zidane (Baby, Tiny, Little, Kids); Tessa (Baby, Tiny, Little, Kids)</t>
  </si>
  <si>
    <t xml:space="preserve">Rischa (Baby, Tiny, Little, Kids)</t>
  </si>
  <si>
    <t xml:space="preserve">Tidak ada coach lain yang bertugas &amp; kosong</t>
  </si>
  <si>
    <t xml:space="preserve">–</t>
  </si>
  <si>
    <t xml:space="preserve">Danti (Baby, Tiny, Little, Kids); Zidane (Baby, Tiny, Little, Kids)</t>
  </si>
  <si>
    <t xml:space="preserve">Tessa (Baby, Tiny, Little, Kids)</t>
  </si>
  <si>
    <t xml:space="preserve">Surya (Baby, Tiny, Little, Kids); Zidane (Baby, Tiny, Little, Kids)</t>
  </si>
  <si>
    <t xml:space="preserve">Danti (Baby, Tiny, Little, Kids); Zidane (Baby, Tiny, Little, Kids); Gita (Tiny, Little, Kids)</t>
  </si>
  <si>
    <t xml:space="preserve">Danti (Baby, Tiny, Little, Kids); Eka (Baby, Tiny, Little, Kids); Nuky (Baby, Tiny, Little, Kids); Gita (Tiny, Little, Kids)</t>
  </si>
  <si>
    <t xml:space="preserve">Eka (Baby, Tiny, Little, Kids); Nuky (Baby, Tiny, Little, Kids); Gita (Tiny, Little, Kids)</t>
  </si>
  <si>
    <t xml:space="preserve">Eka (Baby, Tiny, Little, Kids); Zidane (Baby, Tiny, Little, Kids); Gita (Tiny, Little, Kids)</t>
  </si>
  <si>
    <t xml:space="preserve">Eka (Baby, Tiny, Little, Kids); Surya (Baby, Tiny, Little, Kids); Zidane (Baby, Tiny, Little, Kids); Gita (Tiny, Little, Kids)</t>
  </si>
  <si>
    <t xml:space="preserve">Danti (Baby, Tiny, Little, Kids); Eka (Baby, Tiny, Little, Kids); Surya (Baby, Tiny, Little, Kids); Zidane (Baby, Tiny, Little, Kids); Gita (Tiny, Little, Kids)</t>
  </si>
  <si>
    <t xml:space="preserve">Nuky (Baby, Tiny, Little, Kids); Gita (Tiny, Little, Kids)</t>
  </si>
  <si>
    <t xml:space="preserve">Surya (Baby, Tiny, Little, Kids); Zidane (Baby, Tiny, Little, Kids); Nuky (Baby, Tiny, Little, Kids); Gita (Tiny, Little, Kids)</t>
  </si>
  <si>
    <t xml:space="preserve">Zidane (Baby, Tiny, Little, Kids); Nuky (Baby, Tiny, Little, Kids); Gita (Tiny, Little, Kids)</t>
  </si>
  <si>
    <t xml:space="preserve">Danti (Baby, Tiny, Little, Kids); Gita (Tiny, Little, Kids)</t>
  </si>
  <si>
    <t xml:space="preserve">Eka (Baby, Tiny, Little, Kids); Nuky (Baby, Tiny, Little, Kids); Daffa (Little, Kids); Tessa (Baby, Tiny, Little, Kids)</t>
  </si>
  <si>
    <t xml:space="preserve">Eka (Baby, Tiny, Little, Kids); Nuky (Baby, Tiny, Little, Kids); Tessa (Baby, Tiny, Little, Kids)</t>
  </si>
  <si>
    <t xml:space="preserve">Nuky (Baby, Tiny, Little, Kids); Tessa (Baby, Tiny, Little, Kids)</t>
  </si>
  <si>
    <t xml:space="preserve">Surya (Baby, Tiny, Little, Kids); Nuky (Baby, Tiny, Little, Kids); Daffa (Little, Kids); Tessa (Baby, Tiny, Little, Kids)</t>
  </si>
  <si>
    <t xml:space="preserve">Nuky (Baby, Tiny, Little, Kids); Daffa (Little, Kids); Tessa (Baby, Tiny, Little, Kids)</t>
  </si>
  <si>
    <t xml:space="preserve">Eka (Baby, Tiny, Little, Kids); Surya (Baby, Tiny, Little, Kids); Nuky (Baby, Tiny, Little, Kids); Daffa (Little, Kids); Tessa (Baby, Tiny, Little, Kids)</t>
  </si>
  <si>
    <t xml:space="preserve">Eka (Baby, Tiny, Little, Kids); Surya (Baby, Tiny, Little, Kids); Tessa (Baby, Tiny, Little, Kids)</t>
  </si>
  <si>
    <t xml:space="preserve">Daffa (Little, Kids)</t>
  </si>
  <si>
    <t xml:space="preserve">Surya (Baby, Tiny, Little, Kids); Tessa (Baby, Tiny, Little, Kids)</t>
  </si>
  <si>
    <t xml:space="preserve">Eka (Baby, Tiny, Little, Kids); Rischa (Baby, Tiny, Little, Kids); Nuky (Baby, Tiny, Little, Kids); Daffa (Little, Kids); Dian (Little, Kids); Tessa (Baby, Tiny, Little, Kids)</t>
  </si>
  <si>
    <t xml:space="preserve">Nuky (Baby, Tiny, Little, Kids); Daffa (Little, Kids); Dian (Little, Kids); Tessa (Baby, Tiny, Little, Kids); Gita (Tiny, Little, Kids)</t>
  </si>
  <si>
    <t xml:space="preserve">Surya (Baby, Tiny, Little, Kids); Nuky (Baby, Tiny, Little, Kids); Daffa (Little, Kids); Dian (Little, Kids); Tessa (Baby, Tiny, Little, Kids)</t>
  </si>
  <si>
    <t xml:space="preserve">Eka (Baby, Tiny, Little, Kids); Surya (Baby, Tiny, Little, Kids); Nuky (Baby, Tiny, Little, Kids); Daffa (Little, Kids); Dian (Little, Kids); Tessa (Baby, Tiny, Little, Kids); +1 lainnya</t>
  </si>
  <si>
    <t xml:space="preserve">Rischa (Baby, Tiny, Little, Kids); Surya (Baby, Tiny, Little, Kids); Tessa (Baby, Tiny, Little, Kids); Gita (Tiny, Little, Kids)</t>
  </si>
  <si>
    <t xml:space="preserve">Eka (Baby, Tiny, Little, Kids); Rischa (Baby, Tiny, Little, Kids); Zidane (Baby, Tiny, Little, Kids); Nuky (Baby, Tiny, Little, Kids); Dian (Little, Kids); Tessa (Baby, Tiny, Little, Kids); +1 lainnya</t>
  </si>
  <si>
    <t xml:space="preserve">Danti (Baby, Tiny, Little, Kids); Eka (Baby, Tiny, Little, Kids); Rischa (Baby, Tiny, Little, Kids); Daffa (Little, Kids); Dian (Little, Kids); Alan (Kids)</t>
  </si>
  <si>
    <t xml:space="preserve">Danti (Baby, Tiny, Little, Kids); Eka (Baby, Tiny, Little, Kids); Rischa (Baby, Tiny, Little, Kids); Surya (Baby, Tiny, Little, Kids); Daffa (Little, Kids); Dian (Little, Kids); +2 lainnya</t>
  </si>
  <si>
    <t xml:space="preserve">Danti (Baby, Tiny, Little, Kids); Rischa (Baby, Tiny, Little, Kids); Surya (Baby, Tiny, Little, Kids); Zidane (Baby, Tiny, Little, Kids); Daffa (Little, Kids); Tessa (Baby, Tiny, Little, Kids); +1 lainnya</t>
  </si>
  <si>
    <t xml:space="preserve">Danti (Baby, Tiny, Little, Kids); Rischa (Baby, Tiny, Little, Kids); Surya (Baby, Tiny, Little, Kids); Zidane (Baby, Tiny, Little, Kids); Nuky (Baby, Tiny, Little, Kids); Daffa (Little, Kids); +3 lainnya</t>
  </si>
  <si>
    <t xml:space="preserve">COACH · jadwal minggu ini di center ini</t>
  </si>
  <si>
    <t xml:space="preserve">Angka = jumlah sesi coach per hari (dihitung dari Master Data). Dipakai untuk memilih coach PIC.</t>
  </si>
  <si>
    <t xml:space="preserve">Coach</t>
  </si>
  <si>
    <t xml:space="preserve">Age group diajar</t>
  </si>
  <si>
    <t xml:space="preserve">Total sesi</t>
  </si>
  <si>
    <t xml:space="preserve">Jam pertama–terakhir</t>
  </si>
  <si>
    <t xml:space="preserve">08:45–17:15</t>
  </si>
  <si>
    <t xml:space="preserve">Eka</t>
  </si>
  <si>
    <t xml:space="preserve">09:00–17:15</t>
  </si>
  <si>
    <t xml:space="preserve">Rischa</t>
  </si>
  <si>
    <t xml:space="preserve">Surya</t>
  </si>
  <si>
    <t xml:space="preserve">08:45–17:00</t>
  </si>
  <si>
    <t xml:space="preserve">Zidane</t>
  </si>
  <si>
    <t xml:space="preserve">Nuky</t>
  </si>
  <si>
    <t xml:space="preserve">Daffa</t>
  </si>
  <si>
    <t xml:space="preserve">Little, Kids</t>
  </si>
  <si>
    <t xml:space="preserve">Dian</t>
  </si>
  <si>
    <t xml:space="preserve">Tessa</t>
  </si>
  <si>
    <t xml:space="preserve">11:15–17:15</t>
  </si>
  <si>
    <t xml:space="preserve">Gita</t>
  </si>
  <si>
    <t xml:space="preserve">08:45–16:30</t>
  </si>
  <si>
    <t xml:space="preserve">Alan</t>
  </si>
  <si>
    <t xml:space="preserve">Kids</t>
  </si>
  <si>
    <t xml:space="preserve">17:00–17:00</t>
  </si>
  <si>
    <t xml:space="preserve">SLOT MAP · KWC · Karawaci</t>
  </si>
  <si>
    <t xml:space="preserve">Deyon (Baby, Tiny, Little, Kids); Eriek (Little, Kids); Frido (Little, Kids); Ziran (Little, Kids)</t>
  </si>
  <si>
    <t xml:space="preserve">Deyon (Baby, Tiny, Little, Kids); Sri (Baby, Tiny, Little, Kids); Eriek (Little, Kids); Eve (Baby, Tiny, Little, Kids); Ziran (Little, Kids)</t>
  </si>
  <si>
    <t xml:space="preserve">Sri (Baby, Tiny, Little, Kids); Eriek (Little, Kids); Frido (Little, Kids); Eve (Baby, Tiny, Little, Kids); Ziran (Little, Kids)</t>
  </si>
  <si>
    <t xml:space="preserve">Eriek (Little, Kids); Frido (Little, Kids); Eve (Baby, Tiny, Little, Kids); Ziran (Little, Kids)</t>
  </si>
  <si>
    <t xml:space="preserve">Deyon (Baby, Tiny, Little, Kids); Eriek (Little, Kids); Frido (Little, Kids); Eve (Baby, Tiny, Little, Kids); Ziran (Little, Kids)</t>
  </si>
  <si>
    <t xml:space="preserve">Deyon (Baby, Tiny, Little, Kids); Eriek (Little, Kids); Eve (Baby, Tiny, Little, Kids)</t>
  </si>
  <si>
    <t xml:space="preserve">Deyon (Baby, Tiny, Little, Kids); Eriek (Little, Kids)</t>
  </si>
  <si>
    <t xml:space="preserve">Frido (Little, Kids); Ziran (Little, Kids)</t>
  </si>
  <si>
    <t xml:space="preserve">Baby, Little, Kids</t>
  </si>
  <si>
    <t xml:space="preserve">Sri (Baby, Tiny, Little, Kids); Frido (Little, Kids); Eve (Baby, Tiny, Little, Kids); Ziran (Little, Kids)</t>
  </si>
  <si>
    <t xml:space="preserve">Deyon (Baby, Tiny, Little, Kids); Sri (Baby, Tiny, Little, Kids); Eriek (Little, Kids); Frido (Little, Kids); Eve (Baby, Tiny, Little, Kids)</t>
  </si>
  <si>
    <t xml:space="preserve">Sri (Baby, Tiny, Little, Kids); Eriek (Little, Kids); Frido (Little, Kids)</t>
  </si>
  <si>
    <t xml:space="preserve">Eriek (Little, Kids); Frido (Little, Kids)</t>
  </si>
  <si>
    <t xml:space="preserve">Deyon (Baby, Tiny, Little, Kids); Eriek (Little, Kids); Frido (Little, Kids); Eve (Baby, Tiny, Little, Kids)</t>
  </si>
  <si>
    <t xml:space="preserve">Deyon (Baby, Tiny, Little, Kids); Eriek (Little, Kids); Frido (Little, Kids)</t>
  </si>
  <si>
    <t xml:space="preserve">Eriek (Little, Kids)</t>
  </si>
  <si>
    <t xml:space="preserve">Eriek (Little, Kids); Frido (Little, Kids); Eve (Baby, Tiny, Little, Kids)</t>
  </si>
  <si>
    <t xml:space="preserve">Frido (Little, Kids); Eve (Baby, Tiny, Little, Kids)</t>
  </si>
  <si>
    <t xml:space="preserve">Eve (Baby, Tiny, Little, Kids)</t>
  </si>
  <si>
    <t xml:space="preserve">Sri (Baby, Tiny, Little, Kids); Frido (Little, Kids); Eve (Baby, Tiny, Little, Kids)</t>
  </si>
  <si>
    <t xml:space="preserve">Andreas (Baby, Tiny, Little, Kids); Nabila (Baby, Tiny, Little, Kids); Sri (Baby, Tiny, Little, Kids); Icis (Baby, Tiny, Little, Kids); Eve (Baby, Tiny, Little, Kids)</t>
  </si>
  <si>
    <t xml:space="preserve">Andreas (Baby, Tiny, Little, Kids); Icis (Baby, Tiny, Little, Kids); Eve (Baby, Tiny, Little, Kids)</t>
  </si>
  <si>
    <t xml:space="preserve">Andreas (Baby, Tiny, Little, Kids); Eriek (Little, Kids); Eve (Baby, Tiny, Little, Kids)</t>
  </si>
  <si>
    <t xml:space="preserve">Andreas (Baby, Tiny, Little, Kids); Nabila (Baby, Tiny, Little, Kids); Sri (Baby, Tiny, Little, Kids); Eriek (Little, Kids); Eve (Baby, Tiny, Little, Kids)</t>
  </si>
  <si>
    <t xml:space="preserve">Nabila (Baby, Tiny, Little, Kids); Sri (Baby, Tiny, Little, Kids); Eriek (Little, Kids); Eve (Baby, Tiny, Little, Kids)</t>
  </si>
  <si>
    <t xml:space="preserve">Sri (Baby, Tiny, Little, Kids); Eriek (Little, Kids); Eve (Baby, Tiny, Little, Kids)</t>
  </si>
  <si>
    <t xml:space="preserve">Nabila (Baby, Tiny, Little, Kids); Icis (Baby, Tiny, Little, Kids); Eriek (Little, Kids); Eve (Baby, Tiny, Little, Kids)</t>
  </si>
  <si>
    <t xml:space="preserve">Icis (Baby, Tiny, Little, Kids); Eriek (Little, Kids); Eve (Baby, Tiny, Little, Kids)</t>
  </si>
  <si>
    <t xml:space="preserve">Icis (Baby, Tiny, Little, Kids); Eve (Baby, Tiny, Little, Kids)</t>
  </si>
  <si>
    <t xml:space="preserve">Baby</t>
  </si>
  <si>
    <t xml:space="preserve">Nabila (Baby, Tiny, Little, Kids); Eve (Baby, Tiny, Little, Kids)</t>
  </si>
  <si>
    <t xml:space="preserve">Andreas (Baby, Tiny, Little, Kids); Nabila (Baby, Tiny, Little, Kids); Icis (Baby, Tiny, Little, Kids); Ziran (Little, Kids)</t>
  </si>
  <si>
    <t xml:space="preserve">Nabila (Baby, Tiny, Little, Kids); Icis (Baby, Tiny, Little, Kids); Ziran (Little, Kids)</t>
  </si>
  <si>
    <t xml:space="preserve">Icis (Baby, Tiny, Little, Kids); Ziran (Little, Kids)</t>
  </si>
  <si>
    <t xml:space="preserve">Ziran (Little, Kids)</t>
  </si>
  <si>
    <t xml:space="preserve">Icis (Baby, Tiny, Little, Kids)</t>
  </si>
  <si>
    <t xml:space="preserve">Deyon (Baby, Tiny, Little, Kids); Nabila (Baby, Tiny, Little, Kids); Icis (Baby, Tiny, Little, Kids); Frido (Little, Kids); Ziran (Little, Kids)</t>
  </si>
  <si>
    <t xml:space="preserve">Deyon (Baby, Tiny, Little, Kids); Icis (Baby, Tiny, Little, Kids); Frido (Little, Kids); Ziran (Little, Kids)</t>
  </si>
  <si>
    <t xml:space="preserve">Andreas (Baby, Tiny, Little, Kids); Icis (Baby, Tiny, Little, Kids); Frido (Little, Kids)</t>
  </si>
  <si>
    <t xml:space="preserve">Deyon (Baby, Tiny, Little, Kids); Andreas (Baby, Tiny, Little, Kids); Frido (Little, Kids); Ziran (Little, Kids)</t>
  </si>
  <si>
    <t xml:space="preserve">Deyon (Baby, Tiny, Little, Kids); Andreas (Baby, Tiny, Little, Kids); Nabila (Baby, Tiny, Little, Kids); Frido (Little, Kids); Ziran (Little, Kids)</t>
  </si>
  <si>
    <t xml:space="preserve">Andreas (Baby, Tiny, Little, Kids); Frido (Little, Kids)</t>
  </si>
  <si>
    <t xml:space="preserve">Deyon (Baby, Tiny, Little, Kids); Andreas (Baby, Tiny, Little, Kids)</t>
  </si>
  <si>
    <t xml:space="preserve">Frido (Little, Kids)</t>
  </si>
  <si>
    <t xml:space="preserve">Andreas (Baby, Tiny, Little, Kids); Nabila (Baby, Tiny, Little, Kids); Eriek (Little, Kids); Frido (Little, Kids); Eve (Baby, Tiny, Little, Kids)</t>
  </si>
  <si>
    <t xml:space="preserve">Deyon (Baby, Tiny, Little, Kids); Andreas (Baby, Tiny, Little, Kids); Sri (Baby, Tiny, Little, Kids); Frido (Little, Kids); Eve (Baby, Tiny, Little, Kids); Ziran (Little, Kids); +1 lainnya</t>
  </si>
  <si>
    <t xml:space="preserve">Deyon (Baby, Tiny, Little, Kids); Frido (Little, Kids); Ziran (Little, Kids); Faris (Little)</t>
  </si>
  <si>
    <t xml:space="preserve">Nabila (Baby, Tiny, Little, Kids); Eve (Baby, Tiny, Little, Kids); Ziran (Little, Kids); Faris (Little)</t>
  </si>
  <si>
    <t xml:space="preserve">Andreas (Baby, Tiny, Little, Kids); Sri (Baby, Tiny, Little, Kids); Icis (Baby, Tiny, Little, Kids); Eriek (Little, Kids); Faris (Little)</t>
  </si>
  <si>
    <t xml:space="preserve">Andreas (Baby, Tiny, Little, Kids); Sri (Baby, Tiny, Little, Kids); Eriek (Little, Kids); Eve (Baby, Tiny, Little, Kids); Ziran (Little, Kids)</t>
  </si>
  <si>
    <t xml:space="preserve">Nabila (Baby, Tiny, Little, Kids); Icis (Baby, Tiny, Little, Kids); Eriek (Little, Kids); Frido (Little, Kids); Eve (Baby, Tiny, Little, Kids)</t>
  </si>
  <si>
    <t xml:space="preserve">Andreas (Baby, Tiny, Little, Kids); Nabila (Baby, Tiny, Little, Kids); Frido (Little, Kids); Eve (Baby, Tiny, Little, Kids)</t>
  </si>
  <si>
    <t xml:space="preserve">Sri (Baby, Tiny, Little, Kids); Frido (Little, Kids); Ziran (Little, Kids)</t>
  </si>
  <si>
    <t xml:space="preserve">Andreas (Baby, Tiny, Little, Kids); Icis (Baby, Tiny, Little, Kids); Frido (Little, Kids); Eve (Baby, Tiny, Little, Kids); Ziran (Little, Kids)</t>
  </si>
  <si>
    <t xml:space="preserve">Deyon</t>
  </si>
  <si>
    <t xml:space="preserve">Andreas</t>
  </si>
  <si>
    <t xml:space="preserve">Nabila</t>
  </si>
  <si>
    <t xml:space="preserve">Sri</t>
  </si>
  <si>
    <t xml:space="preserve">Icis</t>
  </si>
  <si>
    <t xml:space="preserve">Eriek</t>
  </si>
  <si>
    <t xml:space="preserve">Frido</t>
  </si>
  <si>
    <t xml:space="preserve">Eve</t>
  </si>
  <si>
    <t xml:space="preserve">Ziran</t>
  </si>
  <si>
    <t xml:space="preserve">Faris</t>
  </si>
  <si>
    <t xml:space="preserve">Little</t>
  </si>
  <si>
    <t xml:space="preserve">11:15–11:15</t>
  </si>
  <si>
    <t xml:space="preserve">SLOT MAP · PML · Pamulang</t>
  </si>
  <si>
    <t xml:space="preserve">Damai (Baby, Tiny, Little, Kids); Dadi (Little, Kids)</t>
  </si>
  <si>
    <t xml:space="preserve">Damai (Baby, Tiny, Little, Kids)</t>
  </si>
  <si>
    <t xml:space="preserve">Dadi (Little, Kids)</t>
  </si>
  <si>
    <t xml:space="preserve">Kamal (Baby, Tiny, Little, Kids); Dadi (Little, Kids)</t>
  </si>
  <si>
    <t xml:space="preserve">Kamal (Baby, Tiny, Little, Kids)</t>
  </si>
  <si>
    <t xml:space="preserve">Damai (Baby, Tiny, Little, Kids); Dadi (Little, Kids); Dyana (Little, Kids)</t>
  </si>
  <si>
    <t xml:space="preserve">Dadi (Little, Kids); Dyana (Little, Kids)</t>
  </si>
  <si>
    <t xml:space="preserve">Dyana (Little, Kids)</t>
  </si>
  <si>
    <t xml:space="preserve">Shofwan (Baby, Tiny, Little, Kids); Dyana (Little, Kids)</t>
  </si>
  <si>
    <t xml:space="preserve">Shofwan (Baby, Tiny, Little, Kids); Dadi (Little, Kids); Dyana (Little, Kids)</t>
  </si>
  <si>
    <t xml:space="preserve">Indah (Baby, Tiny, Little, Kids); Zidan (Little, Kids); Laksamana (Baby, Tiny, Little, Kids); Dadi (Little, Kids)</t>
  </si>
  <si>
    <t xml:space="preserve">Zidan (Little, Kids); Dadi (Little, Kids)</t>
  </si>
  <si>
    <t xml:space="preserve">Laksamana (Baby, Tiny, Little, Kids); Dadi (Little, Kids)</t>
  </si>
  <si>
    <t xml:space="preserve">Indah (Baby, Tiny, Little, Kids); Dadi (Little, Kids)</t>
  </si>
  <si>
    <t xml:space="preserve">Indah (Baby, Tiny, Little, Kids); Zidan (Little, Kids)</t>
  </si>
  <si>
    <t xml:space="preserve">Indah (Baby, Tiny, Little, Kids); Zidan (Little, Kids); Kamal (Baby, Tiny, Little, Kids); Shofwan (Baby, Tiny, Little, Kids); Laksamana (Baby, Tiny, Little, Kids)</t>
  </si>
  <si>
    <t xml:space="preserve">Indah (Baby, Tiny, Little, Kids); Kamal (Baby, Tiny, Little, Kids); Shofwan (Baby, Tiny, Little, Kids); Laksamana (Baby, Tiny, Little, Kids)</t>
  </si>
  <si>
    <t xml:space="preserve">Indah (Baby, Tiny, Little, Kids); Shofwan (Baby, Tiny, Little, Kids); Laksamana (Baby, Tiny, Little, Kids)</t>
  </si>
  <si>
    <t xml:space="preserve">Shofwan (Baby, Tiny, Little, Kids); Laksamana (Baby, Tiny, Little, Kids)</t>
  </si>
  <si>
    <t xml:space="preserve">Zidan (Little, Kids); Shofwan (Baby, Tiny, Little, Kids); Laksamana (Baby, Tiny, Little, Kids)</t>
  </si>
  <si>
    <t xml:space="preserve">Kamal (Baby, Tiny, Little, Kids); Shofwan (Baby, Tiny, Little, Kids); Laksamana (Baby, Tiny, Little, Kids)</t>
  </si>
  <si>
    <t xml:space="preserve">Kamal (Baby, Tiny, Little, Kids); Shofwan (Baby, Tiny, Little, Kids)</t>
  </si>
  <si>
    <t xml:space="preserve">Laksamana (Baby, Tiny, Little, Kids)</t>
  </si>
  <si>
    <t xml:space="preserve">Zidan (Little, Kids); Kamal (Baby, Tiny, Little, Kids)</t>
  </si>
  <si>
    <t xml:space="preserve">Zidan (Little, Kids); Shofwan (Baby, Tiny, Little, Kids)</t>
  </si>
  <si>
    <t xml:space="preserve">Indah (Baby, Tiny, Little, Kids); Zidan (Little, Kids); Shofwan (Baby, Tiny, Little, Kids)</t>
  </si>
  <si>
    <t xml:space="preserve">Zidan (Little, Kids); Kamal (Baby, Tiny, Little, Kids); Shofwan (Baby, Tiny, Little, Kids)</t>
  </si>
  <si>
    <t xml:space="preserve">Damai (Baby, Tiny, Little, Kids); Zidan (Little, Kids); Kamal (Baby, Tiny, Little, Kids); Shofwan (Baby, Tiny, Little, Kids)</t>
  </si>
  <si>
    <t xml:space="preserve">Damai (Baby, Tiny, Little, Kids); Zidan (Little, Kids); Kamal (Baby, Tiny, Little, Kids); Shofwan (Baby, Tiny, Little, Kids); Laksamana (Baby, Tiny, Little, Kids)</t>
  </si>
  <si>
    <t xml:space="preserve">Indah (Baby, Tiny, Little, Kids); Damai (Baby, Tiny, Little, Kids); Zidan (Little, Kids); Kamal (Baby, Tiny, Little, Kids); Shofwan (Baby, Tiny, Little, Kids); Laksamana (Baby, Tiny, Little, Kids)</t>
  </si>
  <si>
    <t xml:space="preserve">Indah (Baby, Tiny, Little, Kids); Laksamana (Baby, Tiny, Little, Kids)</t>
  </si>
  <si>
    <t xml:space="preserve">Indah (Baby, Tiny, Little, Kids); Damai (Baby, Tiny, Little, Kids); Shofwan (Baby, Tiny, Little, Kids); Laksamana (Baby, Tiny, Little, Kids)</t>
  </si>
  <si>
    <t xml:space="preserve">Indah (Baby, Tiny, Little, Kids); Damai (Baby, Tiny, Little, Kids); Zidan (Little, Kids); Kamal (Baby, Tiny, Little, Kids); Shofwan (Baby, Tiny, Little, Kids); Laksamana (Baby, Tiny, Little, Kids); +1 lainnya</t>
  </si>
  <si>
    <t xml:space="preserve">Zidan (Little, Kids); Kamal (Baby, Tiny, Little, Kids); Shofwan (Baby, Tiny, Little, Kids); Laksamana (Baby, Tiny, Little, Kids); Dadi (Little, Kids)</t>
  </si>
  <si>
    <t xml:space="preserve">Kamal (Baby, Tiny, Little, Kids); Shofwan (Baby, Tiny, Little, Kids); Laksamana (Baby, Tiny, Little, Kids); Dadi (Little, Kids)</t>
  </si>
  <si>
    <t xml:space="preserve">Indah (Baby, Tiny, Little, Kids); Kamal (Baby, Tiny, Little, Kids); Laksamana (Baby, Tiny, Little, Kids); Dadi (Little, Kids)</t>
  </si>
  <si>
    <t xml:space="preserve">Damai (Baby, Tiny, Little, Kids); Zidan (Little, Kids); Dadi (Little, Kids)</t>
  </si>
  <si>
    <t xml:space="preserve">Zidan (Little, Kids); Kamal (Baby, Tiny, Little, Kids); Laksamana (Baby, Tiny, Little, Kids)</t>
  </si>
  <si>
    <t xml:space="preserve">Indah (Baby, Tiny, Little, Kids); Damai (Baby, Tiny, Little, Kids); Zidan (Little, Kids); Dadi (Little, Kids)</t>
  </si>
  <si>
    <t xml:space="preserve">Damai (Baby, Tiny, Little, Kids); Laksamana (Baby, Tiny, Little, Kids); Dadi (Little, Kids)</t>
  </si>
  <si>
    <t xml:space="preserve">Indah (Baby, Tiny, Little, Kids); Shofwan (Baby, Tiny, Little, Kids); Laksamana (Baby, Tiny, Little, Kids); Dadi (Little, Kids)</t>
  </si>
  <si>
    <t xml:space="preserve">Indah (Baby, Tiny, Little, Kids); Damai (Baby, Tiny, Little, Kids); Kamal (Baby, Tiny, Little, Kids); Laksamana (Baby, Tiny, Little, Kids); Dadi (Little, Kids)</t>
  </si>
  <si>
    <t xml:space="preserve">Zidan (Little, Kids); Kamal (Baby, Tiny, Little, Kids); Shofwan (Baby, Tiny, Little, Kids); Dadi (Little, Kids)</t>
  </si>
  <si>
    <t xml:space="preserve">Zidan (Little, Kids); Shofwan (Baby, Tiny, Little, Kids); Dadi (Little, Kids)</t>
  </si>
  <si>
    <t xml:space="preserve">Damai (Baby, Tiny, Little, Kids); Zidan (Little, Kids); Shofwan (Baby, Tiny, Little, Kids); Dadi (Little, Kids)</t>
  </si>
  <si>
    <t xml:space="preserve">Damai (Baby, Tiny, Little, Kids); Shofwan (Baby, Tiny, Little, Kids)</t>
  </si>
  <si>
    <t xml:space="preserve">Kamal (Baby, Tiny, Little, Kids); Laksamana (Baby, Tiny, Little, Kids)</t>
  </si>
  <si>
    <t xml:space="preserve">Damai (Baby, Tiny, Little, Kids); Kamal (Baby, Tiny, Little, Kids); Dadi (Little, Kids)</t>
  </si>
  <si>
    <t xml:space="preserve">Indah (Baby, Tiny, Little, Kids); Damai (Baby, Tiny, Little, Kids); Kamal (Baby, Tiny, Little, Kids); Shofwan (Baby, Tiny, Little, Kids); Dadi (Little, Kids)</t>
  </si>
  <si>
    <t xml:space="preserve">Indah (Baby, Tiny, Little, Kids); Damai (Baby, Tiny, Little, Kids); Kamal (Baby, Tiny, Little, Kids); Shofwan (Baby, Tiny, Little, Kids); Laksamana (Baby, Tiny, Little, Kids); Dadi (Little, Kids)</t>
  </si>
  <si>
    <t xml:space="preserve">Indah</t>
  </si>
  <si>
    <t xml:space="preserve">Damai</t>
  </si>
  <si>
    <t xml:space="preserve">09:00–17:00</t>
  </si>
  <si>
    <t xml:space="preserve">Zidan</t>
  </si>
  <si>
    <t xml:space="preserve">Kamal</t>
  </si>
  <si>
    <t xml:space="preserve">Shofwan</t>
  </si>
  <si>
    <t xml:space="preserve">Laksamana</t>
  </si>
  <si>
    <t xml:space="preserve">Dadi</t>
  </si>
  <si>
    <t xml:space="preserve">09:30–17:00</t>
  </si>
  <si>
    <t xml:space="preserve">Dyana</t>
  </si>
  <si>
    <t xml:space="preserve">14:45–16:15</t>
  </si>
  <si>
    <t xml:space="preserve">SLOT MAP · TMP</t>
  </si>
  <si>
    <t xml:space="preserve">Iqbal (Baby, Tiny, Little, Kids); Irvan (Little, Kids)</t>
  </si>
  <si>
    <t xml:space="preserve">Irvan (Little, Kids)</t>
  </si>
  <si>
    <t xml:space="preserve">Iqbal (Baby, Tiny, Little, Kids)</t>
  </si>
  <si>
    <t xml:space="preserve">Iqbal (Baby, Tiny, Little, Kids); Irvan (Little, Kids); Soon Book Coach Irvan (Kids)</t>
  </si>
  <si>
    <t xml:space="preserve">Iqbal (Baby, Tiny, Little, Kids); Soon Book Coach Irvan (Kids)</t>
  </si>
  <si>
    <t xml:space="preserve">Soon Book Coach Irvan (Kids)</t>
  </si>
  <si>
    <t xml:space="preserve">Irvan (Little, Kids); Soon Book Coach Irvan (Kids)</t>
  </si>
  <si>
    <t xml:space="preserve">Adam (Baby, Tiny, Little, Kids); Iqbal (Baby, Tiny, Little, Kids); Hanif (Little, Kids)</t>
  </si>
  <si>
    <t xml:space="preserve">Iqbal (Baby, Tiny, Little, Kids); Hanif (Little, Kids)</t>
  </si>
  <si>
    <t xml:space="preserve">Adam (Baby, Tiny, Little, Kids); Hanif (Little, Kids)</t>
  </si>
  <si>
    <t xml:space="preserve">Adam (Baby, Tiny, Little, Kids); Iqbal (Baby, Tiny, Little, Kids)</t>
  </si>
  <si>
    <t xml:space="preserve">Hanif (Little, Kids)</t>
  </si>
  <si>
    <t xml:space="preserve">Adam (Baby, Tiny, Little, Kids); Agas (Tiny, Little)</t>
  </si>
  <si>
    <t xml:space="preserve">Adam (Baby, Tiny, Little, Kids)</t>
  </si>
  <si>
    <t xml:space="preserve">Agas (Tiny, Little)</t>
  </si>
  <si>
    <t xml:space="preserve">Tiny, Little</t>
  </si>
  <si>
    <t xml:space="preserve">Baby, Tiny, Little</t>
  </si>
  <si>
    <t xml:space="preserve">Adam (Baby, Tiny, Little, Kids); Irvan (Little, Kids); Agas (Tiny, Little)</t>
  </si>
  <si>
    <t xml:space="preserve">Irvan (Little, Kids); Agas (Tiny, Little)</t>
  </si>
  <si>
    <t xml:space="preserve">Adam (Baby, Tiny, Little, Kids); Iqbal (Baby, Tiny, Little, Kids); Irvan (Little, Kids); Hanif (Little, Kids)</t>
  </si>
  <si>
    <t xml:space="preserve">Adam (Baby, Tiny, Little, Kids); Irvan (Little, Kids); Hanif (Little, Kids)</t>
  </si>
  <si>
    <t xml:space="preserve">Irvan (Little, Kids); Hanif (Little, Kids)</t>
  </si>
  <si>
    <t xml:space="preserve">Iqbal (Baby, Tiny, Little, Kids); Irvan (Little, Kids); Hanif (Little, Kids)</t>
  </si>
  <si>
    <t xml:space="preserve">Adam (Baby, Tiny, Little, Kids); Irvan (Little, Kids)</t>
  </si>
  <si>
    <t xml:space="preserve">Adam (Baby, Tiny, Little, Kids); Iqbal (Baby, Tiny, Little, Kids); Irvan (Little, Kids)</t>
  </si>
  <si>
    <t xml:space="preserve">Adam (Baby, Tiny, Little, Kids); Iqbal (Baby, Tiny, Little, Kids); Irvan (Little, Kids); Agas (Tiny, Little); Hanif (Little, Kids)</t>
  </si>
  <si>
    <t xml:space="preserve">Iqbal (Baby, Tiny, Little, Kids); Irvan (Little, Kids); Agas (Tiny, Little); Hanif (Little, Kids)</t>
  </si>
  <si>
    <t xml:space="preserve">Irvan (Little, Kids); Agas (Tiny, Little); Hanif (Little, Kids)</t>
  </si>
  <si>
    <t xml:space="preserve">Adam (Baby, Tiny, Little, Kids); Agas (Tiny, Little); Hanif (Little, Kids)</t>
  </si>
  <si>
    <t xml:space="preserve">Agas (Tiny, Little); Hanif (Little, Kids)</t>
  </si>
  <si>
    <t xml:space="preserve">Iqbal (Baby, Tiny, Little, Kids); Agas (Tiny, Little); Hanif (Little, Kids)</t>
  </si>
  <si>
    <t xml:space="preserve">Adam (Baby, Tiny, Little, Kids); Iqbal (Baby, Tiny, Little, Kids); Irvan (Little, Kids); Agas (Tiny, Little)</t>
  </si>
  <si>
    <t xml:space="preserve">Adam</t>
  </si>
  <si>
    <t xml:space="preserve">Iqbal</t>
  </si>
  <si>
    <t xml:space="preserve">Irvan</t>
  </si>
  <si>
    <t xml:space="preserve">09:30–17:15</t>
  </si>
  <si>
    <t xml:space="preserve">Agas</t>
  </si>
  <si>
    <t xml:space="preserve">10:15–17:00</t>
  </si>
  <si>
    <t xml:space="preserve">Hanif</t>
  </si>
  <si>
    <t xml:space="preserve">14:45–17:00</t>
  </si>
  <si>
    <t xml:space="preserve">Soon Book Coach Irvan</t>
  </si>
  <si>
    <t xml:space="preserve">SLOT MAP · BTU</t>
  </si>
  <si>
    <t xml:space="preserve">Alfi (Baby, Tiny, Little, Kids); Maulana (Little, Kids); Doni (Baby, Tiny, Little, Kids); Tara (Baby, Tiny, Little, Kids); Aldi (Little, Kids)</t>
  </si>
  <si>
    <t xml:space="preserve">Alfi (Baby, Tiny, Little, Kids); Maulana (Little, Kids); Doni (Baby, Tiny, Little, Kids); Aldi (Little, Kids)</t>
  </si>
  <si>
    <t xml:space="preserve">Maulana (Little, Kids); Tara (Baby, Tiny, Little, Kids); Aldi (Little, Kids)</t>
  </si>
  <si>
    <t xml:space="preserve">Maulana (Little, Kids)</t>
  </si>
  <si>
    <t xml:space="preserve">Alfi (Baby, Tiny, Little, Kids); Doni (Baby, Tiny, Little, Kids)</t>
  </si>
  <si>
    <t xml:space="preserve">Alfi (Baby, Tiny, Little, Kids); Doni (Baby, Tiny, Little, Kids); Tara (Baby, Tiny, Little, Kids); Aldi (Little, Kids)</t>
  </si>
  <si>
    <t xml:space="preserve">Doni (Baby, Tiny, Little, Kids); Tara (Baby, Tiny, Little, Kids); Aldi (Little, Kids)</t>
  </si>
  <si>
    <t xml:space="preserve">Maulana (Little, Kids); Doni (Baby, Tiny, Little, Kids); Tara (Baby, Tiny, Little, Kids)</t>
  </si>
  <si>
    <t xml:space="preserve">Maulana (Little, Kids); Tara (Baby, Tiny, Little, Kids)</t>
  </si>
  <si>
    <t xml:space="preserve">Doni (Baby, Tiny, Little, Kids); Tara (Baby, Tiny, Little, Kids)</t>
  </si>
  <si>
    <t xml:space="preserve">Doni (Baby, Tiny, Little, Kids)</t>
  </si>
  <si>
    <t xml:space="preserve">Maulana (Little, Kids); Doni (Baby, Tiny, Little, Kids)</t>
  </si>
  <si>
    <t xml:space="preserve">Shofi (Baby, Tiny, Little, Kids); Maulana (Little, Kids); Doni (Baby, Tiny, Little, Kids); Bagas (Little, Kids)</t>
  </si>
  <si>
    <t xml:space="preserve">Maulana (Little, Kids); Bagas (Little, Kids)</t>
  </si>
  <si>
    <t xml:space="preserve">Maulana (Little, Kids); Doni (Baby, Tiny, Little, Kids); Bagas (Little, Kids)</t>
  </si>
  <si>
    <t xml:space="preserve">Shofi (Baby, Tiny, Little, Kids); Doni (Baby, Tiny, Little, Kids); Bagas (Little, Kids)</t>
  </si>
  <si>
    <t xml:space="preserve">Shofi (Baby, Tiny, Little, Kids); Doni (Baby, Tiny, Little, Kids)</t>
  </si>
  <si>
    <t xml:space="preserve">Doni (Baby, Tiny, Little, Kids); Bagas (Little, Kids)</t>
  </si>
  <si>
    <t xml:space="preserve">Shofi (Baby, Tiny, Little, Kids); Alfi (Baby, Tiny, Little, Kids); Bagas (Little, Kids); Aldi (Little, Kids)</t>
  </si>
  <si>
    <t xml:space="preserve">Shofi (Baby, Tiny, Little, Kids); Bagas (Little, Kids); Aldi (Little, Kids)</t>
  </si>
  <si>
    <t xml:space="preserve">Alfi (Baby, Tiny, Little, Kids); Bagas (Little, Kids); Aldi (Little, Kids)</t>
  </si>
  <si>
    <t xml:space="preserve">Bagas (Little, Kids); Aldi (Little, Kids)</t>
  </si>
  <si>
    <t xml:space="preserve">Shofi (Baby, Tiny, Little, Kids); Alfi (Baby, Tiny, Little, Kids); Aldi (Little, Kids)</t>
  </si>
  <si>
    <t xml:space="preserve">Aldi (Little, Kids)</t>
  </si>
  <si>
    <t xml:space="preserve">Alfi (Baby, Tiny, Little, Kids)</t>
  </si>
  <si>
    <t xml:space="preserve">Shofi (Baby, Tiny, Little, Kids); Alfi (Baby, Tiny, Little, Kids); Bagas (Little, Kids)</t>
  </si>
  <si>
    <t xml:space="preserve">Shofi (Baby, Tiny, Little, Kids); Alfi (Baby, Tiny, Little, Kids); Bagas (Little, Kids); Tara (Baby, Tiny, Little, Kids); Aldi (Little, Kids)</t>
  </si>
  <si>
    <t xml:space="preserve">Bagas (Little, Kids); Tara (Baby, Tiny, Little, Kids); Aldi (Little, Kids)</t>
  </si>
  <si>
    <t xml:space="preserve">Shofi (Baby, Tiny, Little, Kids); Bagas (Little, Kids); Tara (Baby, Tiny, Little, Kids); Aldi (Little, Kids)</t>
  </si>
  <si>
    <t xml:space="preserve">Tara (Baby, Tiny, Little, Kids); Aldi (Little, Kids)</t>
  </si>
  <si>
    <t xml:space="preserve">Tara (Baby, Tiny, Little, Kids)</t>
  </si>
  <si>
    <t xml:space="preserve">Shofi (Baby, Tiny, Little, Kids); Alfi (Baby, Tiny, Little, Kids); Maulana (Little, Kids); Doni (Baby, Tiny, Little, Kids); Bagas (Little, Kids); Tara (Baby, Tiny, Little, Kids); +1 lainnya</t>
  </si>
  <si>
    <t xml:space="preserve">Alfi (Baby, Tiny, Little, Kids); Maulana (Little, Kids); Doni (Baby, Tiny, Little, Kids); Bagas (Little, Kids); Aldi (Little, Kids)</t>
  </si>
  <si>
    <t xml:space="preserve">Alfi (Baby, Tiny, Little, Kids); Doni (Baby, Tiny, Little, Kids); Bagas (Little, Kids); Aldi (Little, Kids)</t>
  </si>
  <si>
    <t xml:space="preserve">Doni (Baby, Tiny, Little, Kids); Bagas (Little, Kids); Tara (Baby, Tiny, Little, Kids); Aldi (Little, Kids)</t>
  </si>
  <si>
    <t xml:space="preserve">Shofi (Baby, Tiny, Little, Kids); Alfi (Baby, Tiny, Little, Kids); Maulana (Little, Kids); Tara (Baby, Tiny, Little, Kids); Aldi (Little, Kids)</t>
  </si>
  <si>
    <t xml:space="preserve">Shofi (Baby, Tiny, Little, Kids); Maulana (Little, Kids); Doni (Baby, Tiny, Little, Kids); Bagas (Little, Kids); Tara (Baby, Tiny, Little, Kids); Aldi (Little, Kids)</t>
  </si>
  <si>
    <t xml:space="preserve">Alfi (Baby, Tiny, Little, Kids); Maulana (Little, Kids); Doni (Baby, Tiny, Little, Kids); Bagas (Little, Kids); Tara (Baby, Tiny, Little, Kids); Aldi (Little, Kids)</t>
  </si>
  <si>
    <t xml:space="preserve">Shofi (Baby, Tiny, Little, Kids); Alfi (Baby, Tiny, Little, Kids); Maulana (Little, Kids); Bagas (Little, Kids); Tara (Baby, Tiny, Little, Kids); Aldi (Little, Kids)</t>
  </si>
  <si>
    <t xml:space="preserve">Shofi (Baby, Tiny, Little, Kids); Alfi (Baby, Tiny, Little, Kids); Maulana (Little, Kids); Bagas (Little, Kids); Tara (Baby, Tiny, Little, Kids)</t>
  </si>
  <si>
    <t xml:space="preserve">Shofi (Baby, Tiny, Little, Kids); Alfi (Baby, Tiny, Little, Kids); Maulana (Little, Kids); Doni (Baby, Tiny, Little, Kids); Bagas (Little, Kids); Tara (Baby, Tiny, Little, Kids)</t>
  </si>
  <si>
    <t xml:space="preserve">Shofi (Baby, Tiny, Little, Kids); Alfi (Baby, Tiny, Little, Kids); Maulana (Little, Kids); Doni (Baby, Tiny, Little, Kids); Tara (Baby, Tiny, Little, Kids)</t>
  </si>
  <si>
    <t xml:space="preserve">Shofi (Baby, Tiny, Little, Kids); Doni (Baby, Tiny, Little, Kids); Bagas (Little, Kids); Tara (Baby, Tiny, Little, Kids); Aldi (Little, Kids)</t>
  </si>
  <si>
    <t xml:space="preserve">Shofi (Baby, Tiny, Little, Kids); Alfi (Baby, Tiny, Little, Kids); Maulana (Little, Kids); Doni (Baby, Tiny, Little, Kids)</t>
  </si>
  <si>
    <t xml:space="preserve">Alfi (Baby, Tiny, Little, Kids); Maulana (Little, Kids); Doni (Baby, Tiny, Little, Kids)</t>
  </si>
  <si>
    <t xml:space="preserve">Shofi (Baby, Tiny, Little, Kids); Alfi (Baby, Tiny, Little, Kids); Doni (Baby, Tiny, Little, Kids)</t>
  </si>
  <si>
    <t xml:space="preserve">Alfi (Baby, Tiny, Little, Kids); Maulana (Little, Kids)</t>
  </si>
  <si>
    <t xml:space="preserve">Shofi (Baby, Tiny, Little, Kids); Alfi (Baby, Tiny, Little, Kids); Maulana (Little, Kids)</t>
  </si>
  <si>
    <t xml:space="preserve">Shofi (Baby, Tiny, Little, Kids); Maulana (Little, Kids); Doni (Baby, Tiny, Little, Kids)</t>
  </si>
  <si>
    <t xml:space="preserve">Shofi</t>
  </si>
  <si>
    <t xml:space="preserve">Alfi</t>
  </si>
  <si>
    <t xml:space="preserve">Maulana</t>
  </si>
  <si>
    <t xml:space="preserve">09:00–16:30</t>
  </si>
  <si>
    <t xml:space="preserve">Doni</t>
  </si>
  <si>
    <t xml:space="preserve">08:45–15:00</t>
  </si>
  <si>
    <t xml:space="preserve">Bagas</t>
  </si>
  <si>
    <t xml:space="preserve">10:30–17:15</t>
  </si>
  <si>
    <t xml:space="preserve">Tara</t>
  </si>
  <si>
    <t xml:space="preserve">Aldi</t>
  </si>
  <si>
    <t xml:space="preserve">15:00–17:15</t>
  </si>
  <si>
    <t xml:space="preserve">SLOT MAP · HIB</t>
  </si>
  <si>
    <t xml:space="preserve">Silvi (Little, Kids); Angga (Little, Kids); Shabrina (Baby, Tiny, Little)</t>
  </si>
  <si>
    <t xml:space="preserve">Angga (Little, Kids); Shabrina (Baby, Tiny, Little)</t>
  </si>
  <si>
    <t xml:space="preserve">Angga (Little, Kids)</t>
  </si>
  <si>
    <t xml:space="preserve">Silvi (Little, Kids); Shabrina (Baby, Tiny, Little)</t>
  </si>
  <si>
    <t xml:space="preserve">Silvi (Little, Kids); Angga (Little, Kids)</t>
  </si>
  <si>
    <t xml:space="preserve">Silvi (Little, Kids)</t>
  </si>
  <si>
    <t xml:space="preserve">Rizky (Baby, Tiny, Kids); Angga (Little, Kids); Shabrina (Baby, Tiny, Little); Indra (Little, Kids)</t>
  </si>
  <si>
    <t xml:space="preserve">Rizky (Baby, Tiny, Kids); Angga (Little, Kids); Indra (Little, Kids)</t>
  </si>
  <si>
    <t xml:space="preserve">Angga (Little, Kids); Indra (Little, Kids)</t>
  </si>
  <si>
    <t xml:space="preserve">Angga (Little, Kids); Shabrina (Baby, Tiny, Little); Indra (Little, Kids)</t>
  </si>
  <si>
    <t xml:space="preserve">Shabrina (Baby, Tiny, Little); Indra (Little, Kids)</t>
  </si>
  <si>
    <t xml:space="preserve">Rizky (Baby, Tiny, Kids); Shabrina (Baby, Tiny, Little); Indra (Little, Kids)</t>
  </si>
  <si>
    <t xml:space="preserve">Rizky (Baby, Tiny, Kids); Indra (Little, Kids)</t>
  </si>
  <si>
    <t xml:space="preserve">Indra (Little, Kids)</t>
  </si>
  <si>
    <t xml:space="preserve">Shabrina (Baby, Tiny, Little)</t>
  </si>
  <si>
    <t xml:space="preserve">Rizky (Baby, Tiny, Kids)</t>
  </si>
  <si>
    <t xml:space="preserve">Baby, Tiny, Kids</t>
  </si>
  <si>
    <t xml:space="preserve">Rizky (Baby, Tiny, Kids); Juan (Little, Kids); Indra (Little, Kids)</t>
  </si>
  <si>
    <t xml:space="preserve">Juan (Little, Kids); Indra (Little, Kids)</t>
  </si>
  <si>
    <t xml:space="preserve">Rizky (Baby, Tiny, Kids); Juan (Little, Kids)</t>
  </si>
  <si>
    <t xml:space="preserve">Rizky (Baby, Tiny, Kids); Juan (Little, Kids); Silvi (Little, Kids); Indra (Little, Kids)</t>
  </si>
  <si>
    <t xml:space="preserve">Juan (Little, Kids); Silvi (Little, Kids); Indra (Little, Kids)</t>
  </si>
  <si>
    <t xml:space="preserve">Rizky (Baby, Tiny, Kids); Silvi (Little, Kids); Indra (Little, Kids)</t>
  </si>
  <si>
    <t xml:space="preserve">Rizky (Baby, Tiny, Kids); Juan (Little, Kids); Silvi (Little, Kids)</t>
  </si>
  <si>
    <t xml:space="preserve">Rizky (Baby, Tiny, Kids); Juan (Little, Kids); Silvi (Little, Kids); Angga (Little, Kids); Shabrina (Baby, Tiny, Little); Indra (Little, Kids)</t>
  </si>
  <si>
    <t xml:space="preserve">Juan (Little, Kids); Silvi (Little, Kids); Angga (Little, Kids); Indra (Little, Kids)</t>
  </si>
  <si>
    <t xml:space="preserve">Silvi (Little, Kids); Angga (Little, Kids); Indra (Little, Kids)</t>
  </si>
  <si>
    <t xml:space="preserve">Rizky (Baby, Tiny, Kids); Silvi (Little, Kids); Shabrina (Baby, Tiny, Little)</t>
  </si>
  <si>
    <t xml:space="preserve">Juan (Little, Kids); Silvi (Little, Kids); Shabrina (Baby, Tiny, Little)</t>
  </si>
  <si>
    <t xml:space="preserve">Juan (Little, Kids); Silvi (Little, Kids); Angga (Little, Kids); Shabrina (Baby, Tiny, Little); Indra (Little, Kids)</t>
  </si>
  <si>
    <t xml:space="preserve">Juan (Little, Kids); Silvi (Little, Kids); Shabrina (Baby, Tiny, Little); Indra (Little, Kids)</t>
  </si>
  <si>
    <t xml:space="preserve">Rizky (Baby, Tiny, Kids); Juan (Little, Kids); Silvi (Little, Kids); Angga (Little, Kids); Indra (Little, Kids)</t>
  </si>
  <si>
    <t xml:space="preserve">Rizky (Baby, Tiny, Kids); Silvi (Little, Kids); Angga (Little, Kids); Indra (Little, Kids)</t>
  </si>
  <si>
    <t xml:space="preserve">Rizky (Baby, Tiny, Kids); Silvi (Little, Kids); Angga (Little, Kids); Shabrina (Baby, Tiny, Little); Indra (Little, Kids)</t>
  </si>
  <si>
    <t xml:space="preserve">Juan (Little, Kids); Silvi (Little, Kids); Angga (Little, Kids)</t>
  </si>
  <si>
    <t xml:space="preserve">Rizky (Baby, Tiny, Kids); Juan (Little, Kids); Silvi (Little, Kids); Angga (Little, Kids)</t>
  </si>
  <si>
    <t xml:space="preserve">Rizky</t>
  </si>
  <si>
    <t xml:space="preserve">08:45–16:15</t>
  </si>
  <si>
    <t xml:space="preserve">Juan</t>
  </si>
  <si>
    <t xml:space="preserve">09:45–17:15</t>
  </si>
  <si>
    <t xml:space="preserve">Silvi</t>
  </si>
  <si>
    <t xml:space="preserve">Angga</t>
  </si>
  <si>
    <t xml:space="preserve">Shabrina</t>
  </si>
  <si>
    <t xml:space="preserve">Indra</t>
  </si>
  <si>
    <t xml:space="preserve">Key</t>
  </si>
  <si>
    <t xml:space="preserve">Age Group</t>
  </si>
  <si>
    <t xml:space="preserve">Terisi</t>
  </si>
  <si>
    <t xml:space="preserve">Sisa Kursi</t>
  </si>
  <si>
    <t xml:space="preserve">Label Slot Map</t>
  </si>
</sst>
</file>

<file path=xl/styles.xml><?xml version="1.0" encoding="utf-8"?>
<styleSheet xmlns="http://schemas.openxmlformats.org/spreadsheetml/2006/main">
  <numFmts count="5">
    <numFmt numFmtId="164" formatCode="General"/>
    <numFmt numFmtId="165" formatCode="0%"/>
    <numFmt numFmtId="166" formatCode="General"/>
    <numFmt numFmtId="167" formatCode="@"/>
    <numFmt numFmtId="168" formatCode="0"/>
  </numFmts>
  <fonts count="25">
    <font>
      <sz val="11"/>
      <color theme="1"/>
      <name val="Calibri"/>
      <family val="2"/>
      <charset val="1"/>
    </font>
    <font>
      <sz val="10"/>
      <name val="Arial"/>
      <family val="0"/>
    </font>
    <font>
      <sz val="10"/>
      <name val="Arial"/>
      <family val="0"/>
    </font>
    <font>
      <sz val="10"/>
      <name val="Arial"/>
      <family val="0"/>
    </font>
    <font>
      <b val="true"/>
      <sz val="16"/>
      <color rgb="FF0B6475"/>
      <name val="Arial"/>
      <family val="0"/>
      <charset val="1"/>
    </font>
    <font>
      <sz val="10"/>
      <color rgb="FF6B7C82"/>
      <name val="Arial"/>
      <family val="0"/>
      <charset val="1"/>
    </font>
    <font>
      <b val="true"/>
      <sz val="12"/>
      <color rgb="FF1F2D33"/>
      <name val="Arial"/>
      <family val="0"/>
      <charset val="1"/>
    </font>
    <font>
      <b val="true"/>
      <sz val="10"/>
      <color rgb="FF1F2D33"/>
      <name val="Arial"/>
      <family val="0"/>
      <charset val="1"/>
    </font>
    <font>
      <sz val="10"/>
      <color rgb="FF1F2D33"/>
      <name val="Arial"/>
      <family val="0"/>
      <charset val="1"/>
    </font>
    <font>
      <b val="true"/>
      <sz val="10"/>
      <color rgb="FF6B7C82"/>
      <name val="Arial"/>
      <family val="0"/>
      <charset val="1"/>
    </font>
    <font>
      <b val="true"/>
      <sz val="10"/>
      <color rgb="FF0000FF"/>
      <name val="Arial"/>
      <family val="0"/>
      <charset val="1"/>
    </font>
    <font>
      <i val="true"/>
      <sz val="10"/>
      <color rgb="FF1F2D33"/>
      <name val="Arial"/>
      <family val="0"/>
      <charset val="1"/>
    </font>
    <font>
      <b val="true"/>
      <sz val="10"/>
      <color rgb="FFFFFFFF"/>
      <name val="Arial"/>
      <family val="0"/>
      <charset val="1"/>
    </font>
    <font>
      <u val="single"/>
      <sz val="10"/>
      <color rgb="FF0B6475"/>
      <name val="Arial"/>
      <family val="0"/>
      <charset val="1"/>
    </font>
    <font>
      <sz val="9"/>
      <color rgb="FF6B7C82"/>
      <name val="Arial"/>
      <family val="0"/>
      <charset val="1"/>
    </font>
    <font>
      <b val="true"/>
      <sz val="9"/>
      <color rgb="FF6B7C82"/>
      <name val="Arial"/>
      <family val="0"/>
      <charset val="1"/>
    </font>
    <font>
      <b val="true"/>
      <sz val="9"/>
      <color rgb="FF1F2D33"/>
      <name val="Arial"/>
      <family val="0"/>
      <charset val="1"/>
    </font>
    <font>
      <b val="true"/>
      <sz val="16"/>
      <color rgb="FF1F2D33"/>
      <name val="Arial"/>
      <family val="0"/>
      <charset val="1"/>
    </font>
    <font>
      <i val="true"/>
      <sz val="9"/>
      <color rgb="FF6B7C82"/>
      <name val="Arial"/>
      <family val="0"/>
      <charset val="1"/>
    </font>
    <font>
      <b val="true"/>
      <sz val="13"/>
      <color rgb="FFFFFFFF"/>
      <name val="Arial"/>
      <family val="0"/>
      <charset val="1"/>
    </font>
    <font>
      <sz val="9"/>
      <color rgb="FF1F2D33"/>
      <name val="Arial"/>
      <family val="0"/>
      <charset val="1"/>
    </font>
    <font>
      <sz val="8"/>
      <color rgb="FF6B7C82"/>
      <name val="Arial"/>
      <family val="0"/>
      <charset val="1"/>
    </font>
    <font>
      <b val="true"/>
      <sz val="9"/>
      <color rgb="FFFFFFFF"/>
      <name val="Arial"/>
      <family val="0"/>
      <charset val="1"/>
    </font>
    <font>
      <sz val="9"/>
      <color rgb="FF0000FF"/>
      <name val="Arial"/>
      <family val="0"/>
      <charset val="1"/>
    </font>
    <font>
      <sz val="10"/>
      <name val="Arial"/>
      <family val="2"/>
    </font>
  </fonts>
  <fills count="15">
    <fill>
      <patternFill patternType="none"/>
    </fill>
    <fill>
      <patternFill patternType="gray125"/>
    </fill>
    <fill>
      <patternFill patternType="solid">
        <fgColor rgb="FFF8C9C0"/>
        <bgColor rgb="FFFFE3A6"/>
      </patternFill>
    </fill>
    <fill>
      <patternFill patternType="solid">
        <fgColor rgb="FFFFE3A6"/>
        <bgColor rgb="FFFFF4B8"/>
      </patternFill>
    </fill>
    <fill>
      <patternFill patternType="solid">
        <fgColor rgb="FFE3F1F4"/>
        <bgColor rgb="FFDCEDF0"/>
      </patternFill>
    </fill>
    <fill>
      <patternFill patternType="solid">
        <fgColor rgb="FFBFE3C8"/>
        <bgColor rgb="FFD5DDDF"/>
      </patternFill>
    </fill>
    <fill>
      <patternFill patternType="solid">
        <fgColor rgb="FFE2D4F5"/>
        <bgColor rgb="FFD5DDDF"/>
      </patternFill>
    </fill>
    <fill>
      <patternFill patternType="solid">
        <fgColor rgb="FFE4E4E4"/>
        <bgColor rgb="FFDCEDF0"/>
      </patternFill>
    </fill>
    <fill>
      <patternFill patternType="solid">
        <fgColor rgb="FFFFF4B8"/>
        <bgColor rgb="FFFFE3A6"/>
      </patternFill>
    </fill>
    <fill>
      <patternFill patternType="solid">
        <fgColor rgb="FF0B6475"/>
        <bgColor rgb="FF0D6B3A"/>
      </patternFill>
    </fill>
    <fill>
      <patternFill patternType="solid">
        <fgColor rgb="FFDCEDF0"/>
        <bgColor rgb="FFE3F1F4"/>
      </patternFill>
    </fill>
    <fill>
      <patternFill patternType="solid">
        <fgColor rgb="FFF0F4F5"/>
        <bgColor rgb="FFE3F1F4"/>
      </patternFill>
    </fill>
    <fill>
      <patternFill patternType="solid">
        <fgColor rgb="FFB03A2E"/>
        <bgColor rgb="FF993366"/>
      </patternFill>
    </fill>
    <fill>
      <patternFill patternType="solid">
        <fgColor rgb="FF1F2D33"/>
        <bgColor rgb="FF333300"/>
      </patternFill>
    </fill>
    <fill>
      <patternFill patternType="solid">
        <fgColor rgb="FF7A5C00"/>
        <bgColor rgb="FFB03A2E"/>
      </patternFill>
    </fill>
  </fills>
  <borders count="2">
    <border diagonalUp="false" diagonalDown="false">
      <left/>
      <right/>
      <top/>
      <bottom/>
      <diagonal/>
    </border>
    <border diagonalUp="false" diagonalDown="false">
      <left style="thin">
        <color rgb="FFD5DDDF"/>
      </left>
      <right style="thin">
        <color rgb="FFD5DDDF"/>
      </right>
      <top style="thin">
        <color rgb="FFD5DDDF"/>
      </top>
      <bottom style="thin">
        <color rgb="FFD5DDD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12" fillId="9" borderId="0" xfId="0" applyFont="tru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6" fontId="8" fillId="2" borderId="1" xfId="0" applyFont="true" applyBorder="true" applyAlignment="true" applyProtection="false">
      <alignment horizontal="center" vertical="bottom" textRotation="0" wrapText="false" indent="0" shrinkToFit="false"/>
      <protection locked="true" hidden="false"/>
    </xf>
    <xf numFmtId="166" fontId="8" fillId="3" borderId="1" xfId="0" applyFont="tru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7" fillId="10" borderId="1" xfId="0" applyFont="true" applyBorder="true" applyAlignment="true" applyProtection="false">
      <alignment horizontal="left" vertical="bottom" textRotation="0" wrapText="false" indent="0" shrinkToFit="false"/>
      <protection locked="true" hidden="false"/>
    </xf>
    <xf numFmtId="165" fontId="7" fillId="10" borderId="1" xfId="0" applyFont="true" applyBorder="true" applyAlignment="true" applyProtection="false">
      <alignment horizontal="center" vertical="bottom" textRotation="0" wrapText="false" indent="0" shrinkToFit="false"/>
      <protection locked="true" hidden="false"/>
    </xf>
    <xf numFmtId="166" fontId="7" fillId="10" borderId="1"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10" borderId="1" xfId="0" applyFont="true" applyBorder="true" applyAlignment="false" applyProtection="false">
      <alignment horizontal="general" vertical="bottom" textRotation="0" wrapText="false" indent="0" shrinkToFit="false"/>
      <protection locked="true" hidden="false"/>
    </xf>
    <xf numFmtId="164" fontId="16" fillId="2" borderId="1" xfId="0" applyFont="true" applyBorder="true" applyAlignment="false" applyProtection="false">
      <alignment horizontal="general" vertical="bottom" textRotation="0" wrapText="false" indent="0" shrinkToFit="false"/>
      <protection locked="true" hidden="false"/>
    </xf>
    <xf numFmtId="164" fontId="16" fillId="3" borderId="1" xfId="0" applyFont="true" applyBorder="true" applyAlignment="false" applyProtection="false">
      <alignment horizontal="general" vertical="bottom" textRotation="0" wrapText="false" indent="0" shrinkToFit="false"/>
      <protection locked="true" hidden="false"/>
    </xf>
    <xf numFmtId="164" fontId="16" fillId="4" borderId="1" xfId="0" applyFont="true" applyBorder="true" applyAlignment="false" applyProtection="false">
      <alignment horizontal="general" vertical="bottom" textRotation="0" wrapText="false" indent="0" shrinkToFit="false"/>
      <protection locked="true" hidden="false"/>
    </xf>
    <xf numFmtId="164" fontId="16" fillId="5" borderId="1" xfId="0" applyFont="true" applyBorder="true" applyAlignment="false" applyProtection="false">
      <alignment horizontal="general" vertical="bottom" textRotation="0" wrapText="false" indent="0" shrinkToFit="false"/>
      <protection locked="true" hidden="false"/>
    </xf>
    <xf numFmtId="164" fontId="16" fillId="6" borderId="1" xfId="0" applyFont="true" applyBorder="true" applyAlignment="false" applyProtection="false">
      <alignment horizontal="general" vertical="bottom" textRotation="0" wrapText="false" indent="0" shrinkToFit="false"/>
      <protection locked="true" hidden="false"/>
    </xf>
    <xf numFmtId="165" fontId="17" fillId="10" borderId="1" xfId="0" applyFont="true" applyBorder="true" applyAlignment="true" applyProtection="false">
      <alignment horizontal="left" vertical="bottom" textRotation="0" wrapText="false" indent="0" shrinkToFit="false"/>
      <protection locked="true" hidden="false"/>
    </xf>
    <xf numFmtId="167" fontId="17" fillId="10" borderId="1" xfId="0" applyFont="true" applyBorder="true" applyAlignment="true" applyProtection="false">
      <alignment horizontal="left" vertical="bottom" textRotation="0" wrapText="false" indent="0" shrinkToFit="false"/>
      <protection locked="true" hidden="false"/>
    </xf>
    <xf numFmtId="168" fontId="17" fillId="2" borderId="1" xfId="0" applyFont="true" applyBorder="true" applyAlignment="true" applyProtection="false">
      <alignment horizontal="left" vertical="bottom" textRotation="0" wrapText="false" indent="0" shrinkToFit="false"/>
      <protection locked="true" hidden="false"/>
    </xf>
    <xf numFmtId="168" fontId="17" fillId="3" borderId="1" xfId="0" applyFont="true" applyBorder="true" applyAlignment="true" applyProtection="false">
      <alignment horizontal="left" vertical="bottom" textRotation="0" wrapText="false" indent="0" shrinkToFit="false"/>
      <protection locked="true" hidden="false"/>
    </xf>
    <xf numFmtId="168" fontId="17" fillId="4" borderId="1" xfId="0" applyFont="true" applyBorder="true" applyAlignment="true" applyProtection="false">
      <alignment horizontal="left" vertical="bottom" textRotation="0" wrapText="false" indent="0" shrinkToFit="false"/>
      <protection locked="true" hidden="false"/>
    </xf>
    <xf numFmtId="168" fontId="17" fillId="5" borderId="1" xfId="0" applyFont="true" applyBorder="true" applyAlignment="true" applyProtection="false">
      <alignment horizontal="left" vertical="bottom" textRotation="0" wrapText="false" indent="0" shrinkToFit="false"/>
      <protection locked="true" hidden="false"/>
    </xf>
    <xf numFmtId="168" fontId="17" fillId="6" borderId="1" xfId="0" applyFont="true" applyBorder="true" applyAlignment="true" applyProtection="false">
      <alignment horizontal="left" vertical="bottom" textRotation="0" wrapText="false" indent="0" shrinkToFit="false"/>
      <protection locked="true" hidden="false"/>
    </xf>
    <xf numFmtId="164" fontId="16" fillId="2" borderId="1" xfId="0" applyFont="true" applyBorder="true" applyAlignment="true" applyProtection="false">
      <alignment horizontal="center" vertical="bottom" textRotation="0" wrapText="false" indent="0" shrinkToFit="false"/>
      <protection locked="true" hidden="false"/>
    </xf>
    <xf numFmtId="164" fontId="16" fillId="3" borderId="1" xfId="0" applyFont="true" applyBorder="true" applyAlignment="true" applyProtection="false">
      <alignment horizontal="center" vertical="bottom" textRotation="0" wrapText="false" indent="0" shrinkToFit="false"/>
      <protection locked="true" hidden="false"/>
    </xf>
    <xf numFmtId="164" fontId="16" fillId="4" borderId="1" xfId="0" applyFont="true" applyBorder="true" applyAlignment="true" applyProtection="false">
      <alignment horizontal="center" vertical="bottom" textRotation="0" wrapText="false" indent="0" shrinkToFit="false"/>
      <protection locked="true" hidden="false"/>
    </xf>
    <xf numFmtId="164" fontId="16" fillId="5" borderId="1" xfId="0" applyFont="true" applyBorder="true" applyAlignment="true" applyProtection="false">
      <alignment horizontal="center" vertical="bottom" textRotation="0" wrapText="false" indent="0" shrinkToFit="false"/>
      <protection locked="true" hidden="false"/>
    </xf>
    <xf numFmtId="164" fontId="16" fillId="6" borderId="1" xfId="0" applyFont="true" applyBorder="true" applyAlignment="true" applyProtection="false">
      <alignment horizontal="center" vertical="bottom" textRotation="0" wrapText="false" indent="0" shrinkToFit="false"/>
      <protection locked="true" hidden="false"/>
    </xf>
    <xf numFmtId="164" fontId="16" fillId="7"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9"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2" fillId="9"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7" fillId="11"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9" fillId="12" borderId="0" xfId="0" applyFont="tru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22" fillId="14"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center" vertical="top" textRotation="0" wrapText="tru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0" fillId="8" borderId="1" xfId="0" applyFont="true" applyBorder="true" applyAlignment="true" applyProtection="false">
      <alignment horizontal="left" vertical="top" textRotation="0" wrapText="true" indent="0" shrinkToFit="false"/>
      <protection locked="true" hidden="false"/>
    </xf>
    <xf numFmtId="164" fontId="20" fillId="8" borderId="1" xfId="0" applyFont="true" applyBorder="true" applyAlignment="true" applyProtection="false">
      <alignment horizontal="center"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6" fillId="0" borderId="1" xfId="0" applyFont="true" applyBorder="true" applyAlignment="true" applyProtection="false">
      <alignment horizontal="left" vertical="bottom" textRotation="0" wrapText="false" indent="0" shrinkToFit="false"/>
      <protection locked="true" hidden="false"/>
    </xf>
    <xf numFmtId="164" fontId="20" fillId="0" borderId="1" xfId="0" applyFont="true" applyBorder="true" applyAlignment="true" applyProtection="false">
      <alignment horizontal="left" vertical="bottom" textRotation="0" wrapText="false" indent="0" shrinkToFit="false"/>
      <protection locked="true" hidden="false"/>
    </xf>
    <xf numFmtId="166" fontId="20" fillId="0" borderId="1" xfId="0" applyFont="true" applyBorder="true" applyAlignment="true" applyProtection="false">
      <alignment horizontal="center" vertical="bottom" textRotation="0" wrapText="false" indent="0" shrinkToFit="false"/>
      <protection locked="true" hidden="false"/>
    </xf>
    <xf numFmtId="164" fontId="12" fillId="9" borderId="0" xfId="0" applyFont="true" applyBorder="false" applyAlignment="true" applyProtection="false">
      <alignment horizontal="general"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2D33"/>
          <bgColor rgb="FF000000"/>
        </patternFill>
      </fill>
    </dxf>
    <dxf>
      <fill>
        <patternFill patternType="solid">
          <bgColor rgb="FF000000"/>
        </patternFill>
      </fill>
    </dxf>
    <dxf>
      <fill>
        <patternFill patternType="solid">
          <fgColor rgb="FFFFFFFF"/>
          <bgColor rgb="FF000000"/>
        </patternFill>
      </fill>
    </dxf>
    <dxf>
      <fill>
        <patternFill patternType="solid">
          <fgColor rgb="FFF8C9C0"/>
          <bgColor rgb="FF000000"/>
        </patternFill>
      </fill>
    </dxf>
    <dxf>
      <fill>
        <patternFill patternType="solid">
          <fgColor rgb="FFFFE3A6"/>
          <bgColor rgb="FF000000"/>
        </patternFill>
      </fill>
    </dxf>
    <dxf>
      <fill>
        <patternFill patternType="solid">
          <fgColor rgb="FF6B7C82"/>
          <bgColor rgb="FF000000"/>
        </patternFill>
      </fill>
    </dxf>
    <dxf>
      <fill>
        <patternFill patternType="solid">
          <fgColor rgb="FF7A5C00"/>
          <bgColor rgb="FF000000"/>
        </patternFill>
      </fill>
    </dxf>
    <dxf>
      <fill>
        <patternFill patternType="solid">
          <fgColor rgb="FFFFF4B8"/>
          <bgColor rgb="FF000000"/>
        </patternFill>
      </fill>
    </dxf>
    <dxf>
      <fill>
        <patternFill>
          <bgColor rgb="FFF8C9C0"/>
        </patternFill>
      </fill>
    </dxf>
    <dxf>
      <fill>
        <patternFill>
          <bgColor rgb="FFFFE3A6"/>
        </patternFill>
      </fill>
    </dxf>
    <dxf>
      <fill>
        <patternFill>
          <bgColor rgb="FFE3F1F4"/>
        </patternFill>
      </fill>
    </dxf>
    <dxf>
      <fill>
        <patternFill>
          <bgColor rgb="FFBFE3C8"/>
        </patternFill>
      </fill>
    </dxf>
    <dxf>
      <fill>
        <patternFill>
          <bgColor rgb="FFE2D4F5"/>
        </patternFill>
      </fill>
    </dxf>
    <dxf>
      <fill>
        <patternFill>
          <bgColor rgb="FFE4E4E4"/>
        </patternFill>
      </fill>
    </dxf>
    <dxf>
      <font>
        <name val="Arial"/>
        <charset val="1"/>
        <family val="0"/>
        <color rgb="FFB0B8BA"/>
      </font>
    </dxf>
    <dxf>
      <font>
        <name val="Arial"/>
        <charset val="1"/>
        <family val="0"/>
        <b val="1"/>
        <color rgb="FF0D6B3A"/>
      </font>
    </dxf>
    <dxf>
      <fill>
        <patternFill patternType="solid">
          <fgColor rgb="FF0B6475"/>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D6B3A"/>
      <rgbColor rgb="FF000080"/>
      <rgbColor rgb="FF7A5C00"/>
      <rgbColor rgb="FF800080"/>
      <rgbColor rgb="FF0B6475"/>
      <rgbColor rgb="FFB0B8BA"/>
      <rgbColor rgb="FF6B7C82"/>
      <rgbColor rgb="FF9999FF"/>
      <rgbColor rgb="FF993366"/>
      <rgbColor rgb="FFFFF4B8"/>
      <rgbColor rgb="FFE3F1F4"/>
      <rgbColor rgb="FF660066"/>
      <rgbColor rgb="FFFF8080"/>
      <rgbColor rgb="FF0066CC"/>
      <rgbColor rgb="FFE2D4F5"/>
      <rgbColor rgb="FF000080"/>
      <rgbColor rgb="FFFF00FF"/>
      <rgbColor rgb="FFFFFF00"/>
      <rgbColor rgb="FF00FFFF"/>
      <rgbColor rgb="FF800080"/>
      <rgbColor rgb="FF800000"/>
      <rgbColor rgb="FF008080"/>
      <rgbColor rgb="FF0000FF"/>
      <rgbColor rgb="FF00CCFF"/>
      <rgbColor rgb="FFDCEDF0"/>
      <rgbColor rgb="FFBFE3C8"/>
      <rgbColor rgb="FFFFE3A6"/>
      <rgbColor rgb="FFD5DDDF"/>
      <rgbColor rgb="FFF0F4F5"/>
      <rgbColor rgb="FFE4E4E4"/>
      <rgbColor rgb="FFF8C9C0"/>
      <rgbColor rgb="FF3366FF"/>
      <rgbColor rgb="FF33CCCC"/>
      <rgbColor rgb="FF99CC00"/>
      <rgbColor rgb="FFFFCC00"/>
      <rgbColor rgb="FFFF9900"/>
      <rgbColor rgb="FFFF6600"/>
      <rgbColor rgb="FF666699"/>
      <rgbColor rgb="FF969696"/>
      <rgbColor rgb="FF003366"/>
      <rgbColor rgb="FF339966"/>
      <rgbColor rgb="FF003300"/>
      <rgbColor rgb="FF333300"/>
      <rgbColor rgb="FFB03A2E"/>
      <rgbColor rgb="FF993366"/>
      <rgbColor rgb="FF333399"/>
      <rgbColor rgb="FF1F2D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Slot_Map_Weekly_Meeting_W40.xlsx" TargetMode="External"/><Relationship Id="rId2" Type="http://schemas.openxmlformats.org/officeDocument/2006/relationships/hyperlink" Target="Slot_Map_Weekly_Meeting_W40.xlsx" TargetMode="External"/><Relationship Id="rId3" Type="http://schemas.openxmlformats.org/officeDocument/2006/relationships/hyperlink" Target="Slot_Map_Weekly_Meeting_W40.xlsx" TargetMode="External"/><Relationship Id="rId4" Type="http://schemas.openxmlformats.org/officeDocument/2006/relationships/hyperlink" Target="Slot_Map_Weekly_Meeting_W40.xlsx" TargetMode="External"/><Relationship Id="rId5" Type="http://schemas.openxmlformats.org/officeDocument/2006/relationships/hyperlink" Target="Slot_Map_Weekly_Meeting_W40.xlsx" TargetMode="External"/><Relationship Id="rId6" Type="http://schemas.openxmlformats.org/officeDocument/2006/relationships/hyperlink" Target="Slot_Map_Weekly_Meeting_W40.xlsx" TargetMode="External"/>
</Relationships>
</file>

<file path=xl/worksheets/_rels/sheet3.xml.rels><?xml version="1.0" encoding="UTF-8"?>
<Relationships xmlns="http://schemas.openxmlformats.org/package/2006/relationships"><Relationship Id="rId1" Type="http://schemas.openxmlformats.org/officeDocument/2006/relationships/hyperlink" Target="Slot_Map_Weekly_Meeting_W40.xlsx" TargetMode="External"/><Relationship Id="rId2" Type="http://schemas.openxmlformats.org/officeDocument/2006/relationships/hyperlink" Target="Slot_Map_Weekly_Meeting_W40.xlsx" TargetMode="External"/><Relationship Id="rId3" Type="http://schemas.openxmlformats.org/officeDocument/2006/relationships/hyperlink" Target="Slot_Map_Weekly_Meeting_W40.xlsx" TargetMode="External"/><Relationship Id="rId4"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Slot_Map_Weekly_Meeting_W40.xlsx" TargetMode="External"/><Relationship Id="rId2" Type="http://schemas.openxmlformats.org/officeDocument/2006/relationships/hyperlink" Target="Slot_Map_Weekly_Meeting_W40.xlsx" TargetMode="External"/><Relationship Id="rId3" Type="http://schemas.openxmlformats.org/officeDocument/2006/relationships/hyperlink" Target="Slot_Map_Weekly_Meeting_W40.xlsx" TargetMode="External"/><Relationship Id="rId4"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Slot_Map_Weekly_Meeting_W40.xlsx" TargetMode="External"/><Relationship Id="rId2" Type="http://schemas.openxmlformats.org/officeDocument/2006/relationships/hyperlink" Target="Slot_Map_Weekly_Meeting_W40.xlsx" TargetMode="External"/><Relationship Id="rId3" Type="http://schemas.openxmlformats.org/officeDocument/2006/relationships/hyperlink" Target="Slot_Map_Weekly_Meeting_W40.xlsx" TargetMode="External"/><Relationship Id="rId4"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Slot_Map_Weekly_Meeting_W40.xlsx" TargetMode="External"/><Relationship Id="rId2" Type="http://schemas.openxmlformats.org/officeDocument/2006/relationships/hyperlink" Target="Slot_Map_Weekly_Meeting_W40.xlsx" TargetMode="External"/><Relationship Id="rId3" Type="http://schemas.openxmlformats.org/officeDocument/2006/relationships/hyperlink" Target="Slot_Map_Weekly_Meeting_W40.xlsx" TargetMode="External"/><Relationship Id="rId4"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hyperlink" Target="Slot_Map_Weekly_Meeting_W40.xlsx" TargetMode="External"/><Relationship Id="rId2" Type="http://schemas.openxmlformats.org/officeDocument/2006/relationships/hyperlink" Target="Slot_Map_Weekly_Meeting_W40.xlsx" TargetMode="External"/><Relationship Id="rId3" Type="http://schemas.openxmlformats.org/officeDocument/2006/relationships/hyperlink" Target="Slot_Map_Weekly_Meeting_W40.xlsx" TargetMode="External"/><Relationship Id="rId4"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hyperlink" Target="Slot_Map_Weekly_Meeting_W40.xlsx" TargetMode="External"/><Relationship Id="rId2" Type="http://schemas.openxmlformats.org/officeDocument/2006/relationships/hyperlink" Target="Slot_Map_Weekly_Meeting_W40.xlsx" TargetMode="External"/><Relationship Id="rId3" Type="http://schemas.openxmlformats.org/officeDocument/2006/relationships/hyperlink" Target="Slot_Map_Weekly_Meeting_W40.xlsx" TargetMode="External"/><Relationship Id="rId4"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7.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c r="C6" s="5" t="s">
        <v>4</v>
      </c>
    </row>
    <row r="7" customFormat="false" ht="23.85" hidden="false" customHeight="false" outlineLevel="0" collapsed="false">
      <c r="B7" s="4" t="s">
        <v>5</v>
      </c>
      <c r="C7" s="5" t="s">
        <v>6</v>
      </c>
    </row>
    <row r="8" customFormat="false" ht="23.85" hidden="false" customHeight="false" outlineLevel="0" collapsed="false">
      <c r="B8" s="4" t="s">
        <v>7</v>
      </c>
      <c r="C8" s="5" t="s">
        <v>8</v>
      </c>
    </row>
    <row r="9" customFormat="false" ht="23.85" hidden="false" customHeight="false" outlineLevel="0" collapsed="false">
      <c r="B9" s="4" t="s">
        <v>9</v>
      </c>
      <c r="C9" s="5" t="s">
        <v>10</v>
      </c>
    </row>
    <row r="10" customFormat="false" ht="15" hidden="false" customHeight="false" outlineLevel="0" collapsed="false">
      <c r="B10" s="4" t="s">
        <v>11</v>
      </c>
      <c r="C10" s="5" t="s">
        <v>12</v>
      </c>
    </row>
    <row r="12" customFormat="false" ht="15" hidden="false" customHeight="false" outlineLevel="0" collapsed="false">
      <c r="B12" s="3" t="s">
        <v>13</v>
      </c>
    </row>
    <row r="13" customFormat="false" ht="15" hidden="false" customHeight="false" outlineLevel="0" collapsed="false">
      <c r="B13" s="6" t="s">
        <v>14</v>
      </c>
      <c r="C13" s="7" t="s">
        <v>15</v>
      </c>
    </row>
    <row r="14" customFormat="false" ht="15" hidden="false" customHeight="false" outlineLevel="0" collapsed="false">
      <c r="B14" s="8" t="s">
        <v>16</v>
      </c>
      <c r="C14" s="7" t="s">
        <v>17</v>
      </c>
    </row>
    <row r="15" customFormat="false" ht="15" hidden="false" customHeight="false" outlineLevel="0" collapsed="false">
      <c r="B15" s="9" t="s">
        <v>18</v>
      </c>
      <c r="C15" s="7" t="s">
        <v>19</v>
      </c>
    </row>
    <row r="16" customFormat="false" ht="15" hidden="false" customHeight="false" outlineLevel="0" collapsed="false">
      <c r="B16" s="10" t="s">
        <v>20</v>
      </c>
      <c r="C16" s="7" t="s">
        <v>21</v>
      </c>
    </row>
    <row r="17" customFormat="false" ht="15" hidden="false" customHeight="false" outlineLevel="0" collapsed="false">
      <c r="B17" s="11" t="s">
        <v>22</v>
      </c>
      <c r="C17" s="7" t="s">
        <v>23</v>
      </c>
    </row>
    <row r="18" customFormat="false" ht="15" hidden="false" customHeight="false" outlineLevel="0" collapsed="false">
      <c r="B18" s="12" t="s">
        <v>24</v>
      </c>
      <c r="C18" s="7" t="s">
        <v>25</v>
      </c>
    </row>
    <row r="19" customFormat="false" ht="15" hidden="false" customHeight="false" outlineLevel="0" collapsed="false">
      <c r="B19" s="13" t="s">
        <v>26</v>
      </c>
      <c r="C19" s="7" t="s">
        <v>27</v>
      </c>
    </row>
    <row r="21" customFormat="false" ht="15" hidden="false" customHeight="false" outlineLevel="0" collapsed="false">
      <c r="B21" s="3" t="s">
        <v>28</v>
      </c>
    </row>
    <row r="22" customFormat="false" ht="15" hidden="false" customHeight="false" outlineLevel="0" collapsed="false">
      <c r="B22" s="14" t="s">
        <v>29</v>
      </c>
      <c r="C22" s="7" t="s">
        <v>30</v>
      </c>
    </row>
    <row r="23" customFormat="false" ht="15" hidden="false" customHeight="false" outlineLevel="0" collapsed="false">
      <c r="B23" s="15" t="s">
        <v>31</v>
      </c>
      <c r="C23" s="7" t="s">
        <v>32</v>
      </c>
    </row>
    <row r="25" customFormat="false" ht="15" hidden="false" customHeight="false" outlineLevel="0" collapsed="false">
      <c r="B25" s="3" t="s">
        <v>33</v>
      </c>
    </row>
    <row r="26" customFormat="false" ht="15" hidden="false" customHeight="false" outlineLevel="0" collapsed="false">
      <c r="B26" s="13" t="s">
        <v>34</v>
      </c>
      <c r="C26" s="16" t="s">
        <v>35</v>
      </c>
    </row>
    <row r="27" customFormat="false" ht="15" hidden="false" customHeight="false" outlineLevel="0" collapsed="false">
      <c r="B27" s="13" t="s">
        <v>36</v>
      </c>
      <c r="C27" s="16" t="s">
        <v>14</v>
      </c>
    </row>
    <row r="28" customFormat="false" ht="15" hidden="false" customHeight="false" outlineLevel="0" collapsed="false">
      <c r="B28" s="13" t="s">
        <v>37</v>
      </c>
      <c r="C28" s="16" t="s">
        <v>38</v>
      </c>
    </row>
    <row r="29" customFormat="false" ht="15" hidden="false" customHeight="false" outlineLevel="0" collapsed="false">
      <c r="B29" s="13" t="s">
        <v>39</v>
      </c>
      <c r="C29" s="16" t="s">
        <v>40</v>
      </c>
    </row>
    <row r="30" customFormat="false" ht="15" hidden="false" customHeight="false" outlineLevel="0" collapsed="false">
      <c r="B30" s="13" t="s">
        <v>41</v>
      </c>
      <c r="C30" s="16" t="s">
        <v>42</v>
      </c>
    </row>
    <row r="31" customFormat="false" ht="15" hidden="false" customHeight="false" outlineLevel="0" collapsed="false">
      <c r="B31" s="13" t="s">
        <v>43</v>
      </c>
      <c r="C31" s="16" t="s">
        <v>44</v>
      </c>
    </row>
    <row r="32" customFormat="false" ht="15" hidden="false" customHeight="false" outlineLevel="0" collapsed="false">
      <c r="B32" s="13" t="s">
        <v>45</v>
      </c>
      <c r="C32" s="16" t="n">
        <v>3</v>
      </c>
    </row>
    <row r="33" customFormat="false" ht="15" hidden="false" customHeight="false" outlineLevel="0" collapsed="false">
      <c r="B33" s="13" t="s">
        <v>46</v>
      </c>
      <c r="C33" s="16" t="s">
        <v>47</v>
      </c>
    </row>
    <row r="35" customFormat="false" ht="15" hidden="false" customHeight="false" outlineLevel="0" collapsed="false">
      <c r="B35" s="3" t="s">
        <v>46</v>
      </c>
    </row>
    <row r="36" customFormat="false" ht="23.85" hidden="false" customHeight="false" outlineLevel="0" collapsed="false">
      <c r="B36" s="17" t="s">
        <v>48</v>
      </c>
      <c r="C36" s="5" t="s">
        <v>49</v>
      </c>
    </row>
    <row r="37" customFormat="false" ht="15" hidden="false" customHeight="false" outlineLevel="0" collapsed="false">
      <c r="B37" s="17" t="s">
        <v>48</v>
      </c>
      <c r="C37" s="5" t="s">
        <v>50</v>
      </c>
    </row>
    <row r="38" customFormat="false" ht="23.85" hidden="false" customHeight="false" outlineLevel="0" collapsed="false">
      <c r="B38" s="17" t="s">
        <v>48</v>
      </c>
      <c r="C38" s="5"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11"/>
    <col collapsed="false" customWidth="true" hidden="false" outlineLevel="0" max="4" min="4" style="0" width="12"/>
    <col collapsed="false" customWidth="true" hidden="false" outlineLevel="0" max="5" min="5" style="0" width="11"/>
    <col collapsed="false" customWidth="true" hidden="false" outlineLevel="0" max="6" min="6" style="0" width="15"/>
    <col collapsed="false" customWidth="true" hidden="false" outlineLevel="0" max="7" min="7" style="0" width="16"/>
    <col collapsed="false" customWidth="true" hidden="false" outlineLevel="0" max="8" min="8" style="0" width="10"/>
    <col collapsed="false" customWidth="true" hidden="false" outlineLevel="0" max="9" min="9" style="0" width="9"/>
    <col collapsed="false" customWidth="true" hidden="false" outlineLevel="0" max="10" min="10" style="0" width="12"/>
    <col collapsed="false" customWidth="true" hidden="false" outlineLevel="0" max="11" min="11" style="0" width="11"/>
  </cols>
  <sheetData>
    <row r="2" customFormat="false" ht="19.7" hidden="false" customHeight="false" outlineLevel="0" collapsed="false">
      <c r="B2" s="1" t="s">
        <v>52</v>
      </c>
    </row>
    <row r="3" customFormat="false" ht="15" hidden="false" customHeight="false" outlineLevel="0" collapsed="false">
      <c r="B3" s="2" t="s">
        <v>53</v>
      </c>
    </row>
    <row r="5" customFormat="false" ht="30" hidden="false" customHeight="true" outlineLevel="0" collapsed="false">
      <c r="B5" s="18" t="s">
        <v>54</v>
      </c>
      <c r="C5" s="18" t="s">
        <v>55</v>
      </c>
      <c r="D5" s="18" t="s">
        <v>56</v>
      </c>
      <c r="E5" s="18" t="s">
        <v>57</v>
      </c>
      <c r="F5" s="18" t="s">
        <v>58</v>
      </c>
      <c r="G5" s="18" t="s">
        <v>59</v>
      </c>
      <c r="H5" s="18" t="s">
        <v>18</v>
      </c>
      <c r="I5" s="18" t="s">
        <v>20</v>
      </c>
      <c r="J5" s="18" t="s">
        <v>22</v>
      </c>
      <c r="K5" s="18" t="s">
        <v>60</v>
      </c>
    </row>
    <row r="6" customFormat="false" ht="15" hidden="false" customHeight="false" outlineLevel="0" collapsed="false">
      <c r="B6" s="19" t="s">
        <v>61</v>
      </c>
      <c r="C6" s="20" t="n">
        <f aca="false">IFERROR(D6/E6,"")</f>
        <v>0.569072164948454</v>
      </c>
      <c r="D6" s="21" t="n">
        <f aca="false">SUMIFS('Master Data'!$H$2:$H$2436,'Master Data'!$B$2:$B$2436,B6,'Master Data'!$G$2:$G$2436,"&gt;0")</f>
        <v>828</v>
      </c>
      <c r="E6" s="21" t="n">
        <f aca="false">SUMIFS('Master Data'!$G$2:$G$2436,'Master Data'!$B$2:$B$2436,B6,'Master Data'!$G$2:$G$2436,"&gt;0")</f>
        <v>1455</v>
      </c>
      <c r="F6" s="22" t="n">
        <f aca="false">COUNTIFS('Master Data'!$B$2:$B$2436,$B6,'Master Data'!$L$2:$L$2436,"Belum terisi")</f>
        <v>48</v>
      </c>
      <c r="G6" s="23" t="n">
        <f aca="false">COUNTIFS('Master Data'!$B$2:$B$2436,$B6,'Master Data'!$L$2:$L$2436,"Slot kosong")</f>
        <v>56</v>
      </c>
      <c r="H6" s="21" t="n">
        <f aca="false">COUNTIFS('Master Data'!$B$2:$B$2436,$B6,'Master Data'!$L$2:$L$2436,"Sebagian")</f>
        <v>101</v>
      </c>
      <c r="I6" s="21" t="n">
        <f aca="false">COUNTIFS('Master Data'!$B$2:$B$2436,$B6,'Master Data'!$L$2:$L$2436,"Penuh")</f>
        <v>131</v>
      </c>
      <c r="J6" s="21" t="n">
        <f aca="false">COUNTIFS('Master Data'!$B$2:$B$2436,$B6,'Master Data'!$L$2:$L$2436,"Lebih kapasitas")</f>
        <v>18</v>
      </c>
      <c r="K6" s="24" t="s">
        <v>62</v>
      </c>
    </row>
    <row r="7" customFormat="false" ht="15" hidden="false" customHeight="false" outlineLevel="0" collapsed="false">
      <c r="B7" s="19" t="s">
        <v>63</v>
      </c>
      <c r="C7" s="20" t="n">
        <f aca="false">IFERROR(D7/E7,"")</f>
        <v>0.395674300254453</v>
      </c>
      <c r="D7" s="21" t="n">
        <f aca="false">SUMIFS('Master Data'!$H$2:$H$2436,'Master Data'!$B$2:$B$2436,B7,'Master Data'!$G$2:$G$2436,"&gt;0")</f>
        <v>622</v>
      </c>
      <c r="E7" s="21" t="n">
        <f aca="false">SUMIFS('Master Data'!$G$2:$G$2436,'Master Data'!$B$2:$B$2436,B7,'Master Data'!$G$2:$G$2436,"&gt;0")</f>
        <v>1572</v>
      </c>
      <c r="F7" s="22" t="n">
        <f aca="false">COUNTIFS('Master Data'!$B$2:$B$2436,$B7,'Master Data'!$L$2:$L$2436,"Belum terisi")</f>
        <v>110</v>
      </c>
      <c r="G7" s="23" t="n">
        <f aca="false">COUNTIFS('Master Data'!$B$2:$B$2436,$B7,'Master Data'!$L$2:$L$2436,"Slot kosong")</f>
        <v>35</v>
      </c>
      <c r="H7" s="21" t="n">
        <f aca="false">COUNTIFS('Master Data'!$B$2:$B$2436,$B7,'Master Data'!$L$2:$L$2436,"Sebagian")</f>
        <v>125</v>
      </c>
      <c r="I7" s="21" t="n">
        <f aca="false">COUNTIFS('Master Data'!$B$2:$B$2436,$B7,'Master Data'!$L$2:$L$2436,"Penuh")</f>
        <v>76</v>
      </c>
      <c r="J7" s="21" t="n">
        <f aca="false">COUNTIFS('Master Data'!$B$2:$B$2436,$B7,'Master Data'!$L$2:$L$2436,"Lebih kapasitas")</f>
        <v>3</v>
      </c>
      <c r="K7" s="24" t="s">
        <v>64</v>
      </c>
    </row>
    <row r="8" customFormat="false" ht="15" hidden="false" customHeight="false" outlineLevel="0" collapsed="false">
      <c r="B8" s="19" t="s">
        <v>65</v>
      </c>
      <c r="C8" s="20" t="n">
        <f aca="false">IFERROR(D8/E8,"")</f>
        <v>0.392571012381646</v>
      </c>
      <c r="D8" s="21" t="n">
        <f aca="false">SUMIFS('Master Data'!$H$2:$H$2436,'Master Data'!$B$2:$B$2436,B8,'Master Data'!$G$2:$G$2436,"&gt;0")</f>
        <v>539</v>
      </c>
      <c r="E8" s="21" t="n">
        <f aca="false">SUMIFS('Master Data'!$G$2:$G$2436,'Master Data'!$B$2:$B$2436,B8,'Master Data'!$G$2:$G$2436,"&gt;0")</f>
        <v>1373</v>
      </c>
      <c r="F8" s="22" t="n">
        <f aca="false">COUNTIFS('Master Data'!$B$2:$B$2436,$B8,'Master Data'!$L$2:$L$2436,"Belum terisi")</f>
        <v>107</v>
      </c>
      <c r="G8" s="23" t="n">
        <f aca="false">COUNTIFS('Master Data'!$B$2:$B$2436,$B8,'Master Data'!$L$2:$L$2436,"Slot kosong")</f>
        <v>33</v>
      </c>
      <c r="H8" s="21" t="n">
        <f aca="false">COUNTIFS('Master Data'!$B$2:$B$2436,$B8,'Master Data'!$L$2:$L$2436,"Sebagian")</f>
        <v>99</v>
      </c>
      <c r="I8" s="21" t="n">
        <f aca="false">COUNTIFS('Master Data'!$B$2:$B$2436,$B8,'Master Data'!$L$2:$L$2436,"Penuh")</f>
        <v>71</v>
      </c>
      <c r="J8" s="21" t="n">
        <f aca="false">COUNTIFS('Master Data'!$B$2:$B$2436,$B8,'Master Data'!$L$2:$L$2436,"Lebih kapasitas")</f>
        <v>9</v>
      </c>
      <c r="K8" s="24" t="s">
        <v>66</v>
      </c>
    </row>
    <row r="9" customFormat="false" ht="15" hidden="false" customHeight="false" outlineLevel="0" collapsed="false">
      <c r="B9" s="19" t="s">
        <v>67</v>
      </c>
      <c r="C9" s="20" t="n">
        <f aca="false">IFERROR(D9/E9,"")</f>
        <v>0.0773809523809524</v>
      </c>
      <c r="D9" s="21" t="n">
        <f aca="false">SUMIFS('Master Data'!$H$2:$H$2436,'Master Data'!$B$2:$B$2436,B9,'Master Data'!$G$2:$G$2436,"&gt;0")</f>
        <v>117</v>
      </c>
      <c r="E9" s="21" t="n">
        <f aca="false">SUMIFS('Master Data'!$G$2:$G$2436,'Master Data'!$B$2:$B$2436,B9,'Master Data'!$G$2:$G$2436,"&gt;0")</f>
        <v>1512</v>
      </c>
      <c r="F9" s="22" t="n">
        <f aca="false">COUNTIFS('Master Data'!$B$2:$B$2436,$B9,'Master Data'!$L$2:$L$2436,"Belum terisi")</f>
        <v>269</v>
      </c>
      <c r="G9" s="23" t="n">
        <f aca="false">COUNTIFS('Master Data'!$B$2:$B$2436,$B9,'Master Data'!$L$2:$L$2436,"Slot kosong")</f>
        <v>0</v>
      </c>
      <c r="H9" s="21" t="n">
        <f aca="false">COUNTIFS('Master Data'!$B$2:$B$2436,$B9,'Master Data'!$L$2:$L$2436,"Sebagian")</f>
        <v>66</v>
      </c>
      <c r="I9" s="21" t="n">
        <f aca="false">COUNTIFS('Master Data'!$B$2:$B$2436,$B9,'Master Data'!$L$2:$L$2436,"Penuh")</f>
        <v>1</v>
      </c>
      <c r="J9" s="21" t="n">
        <f aca="false">COUNTIFS('Master Data'!$B$2:$B$2436,$B9,'Master Data'!$L$2:$L$2436,"Lebih kapasitas")</f>
        <v>0</v>
      </c>
      <c r="K9" s="24" t="s">
        <v>68</v>
      </c>
    </row>
    <row r="10" customFormat="false" ht="15" hidden="false" customHeight="false" outlineLevel="0" collapsed="false">
      <c r="B10" s="19" t="s">
        <v>69</v>
      </c>
      <c r="C10" s="20" t="n">
        <f aca="false">IFERROR(D10/E10,"")</f>
        <v>0.0963203463203463</v>
      </c>
      <c r="D10" s="21" t="n">
        <f aca="false">SUMIFS('Master Data'!$H$2:$H$2436,'Master Data'!$B$2:$B$2436,B10,'Master Data'!$G$2:$G$2436,"&gt;0")</f>
        <v>178</v>
      </c>
      <c r="E10" s="21" t="n">
        <f aca="false">SUMIFS('Master Data'!$G$2:$G$2436,'Master Data'!$B$2:$B$2436,B10,'Master Data'!$G$2:$G$2436,"&gt;0")</f>
        <v>1848</v>
      </c>
      <c r="F10" s="22" t="n">
        <f aca="false">COUNTIFS('Master Data'!$B$2:$B$2436,$B10,'Master Data'!$L$2:$L$2436,"Belum terisi")</f>
        <v>263</v>
      </c>
      <c r="G10" s="23" t="n">
        <f aca="false">COUNTIFS('Master Data'!$B$2:$B$2436,$B10,'Master Data'!$L$2:$L$2436,"Slot kosong")</f>
        <v>84</v>
      </c>
      <c r="H10" s="21" t="n">
        <f aca="false">COUNTIFS('Master Data'!$B$2:$B$2436,$B10,'Master Data'!$L$2:$L$2436,"Sebagian")</f>
        <v>61</v>
      </c>
      <c r="I10" s="21" t="n">
        <f aca="false">COUNTIFS('Master Data'!$B$2:$B$2436,$B10,'Master Data'!$L$2:$L$2436,"Penuh")</f>
        <v>12</v>
      </c>
      <c r="J10" s="21" t="n">
        <f aca="false">COUNTIFS('Master Data'!$B$2:$B$2436,$B10,'Master Data'!$L$2:$L$2436,"Lebih kapasitas")</f>
        <v>0</v>
      </c>
      <c r="K10" s="24" t="s">
        <v>70</v>
      </c>
    </row>
    <row r="11" customFormat="false" ht="15" hidden="false" customHeight="false" outlineLevel="0" collapsed="false">
      <c r="B11" s="19" t="s">
        <v>71</v>
      </c>
      <c r="C11" s="20" t="n">
        <f aca="false">IFERROR(D11/E11,"")</f>
        <v>0.091991341991342</v>
      </c>
      <c r="D11" s="21" t="n">
        <f aca="false">SUMIFS('Master Data'!$H$2:$H$2436,'Master Data'!$B$2:$B$2436,B11,'Master Data'!$G$2:$G$2436,"&gt;0")</f>
        <v>170</v>
      </c>
      <c r="E11" s="21" t="n">
        <f aca="false">SUMIFS('Master Data'!$G$2:$G$2436,'Master Data'!$B$2:$B$2436,B11,'Master Data'!$G$2:$G$2436,"&gt;0")</f>
        <v>1848</v>
      </c>
      <c r="F11" s="22" t="n">
        <f aca="false">COUNTIFS('Master Data'!$B$2:$B$2436,$B11,'Master Data'!$L$2:$L$2436,"Belum terisi")</f>
        <v>244</v>
      </c>
      <c r="G11" s="23" t="n">
        <f aca="false">COUNTIFS('Master Data'!$B$2:$B$2436,$B11,'Master Data'!$L$2:$L$2436,"Slot kosong")</f>
        <v>84</v>
      </c>
      <c r="H11" s="21" t="n">
        <f aca="false">COUNTIFS('Master Data'!$B$2:$B$2436,$B11,'Master Data'!$L$2:$L$2436,"Sebagian")</f>
        <v>82</v>
      </c>
      <c r="I11" s="21" t="n">
        <f aca="false">COUNTIFS('Master Data'!$B$2:$B$2436,$B11,'Master Data'!$L$2:$L$2436,"Penuh")</f>
        <v>10</v>
      </c>
      <c r="J11" s="21" t="n">
        <f aca="false">COUNTIFS('Master Data'!$B$2:$B$2436,$B11,'Master Data'!$L$2:$L$2436,"Lebih kapasitas")</f>
        <v>0</v>
      </c>
      <c r="K11" s="24" t="s">
        <v>72</v>
      </c>
    </row>
    <row r="12" customFormat="false" ht="15" hidden="false" customHeight="false" outlineLevel="0" collapsed="false">
      <c r="B12" s="25" t="s">
        <v>73</v>
      </c>
      <c r="C12" s="26" t="n">
        <f aca="false">IFERROR(D12/E12,"")</f>
        <v>0.25541215653622</v>
      </c>
      <c r="D12" s="27" t="n">
        <f aca="false">SUM(D6:D11)</f>
        <v>2454</v>
      </c>
      <c r="E12" s="27" t="n">
        <f aca="false">SUM(E6:E11)</f>
        <v>9608</v>
      </c>
      <c r="F12" s="27" t="n">
        <f aca="false">SUM(F6:F11)</f>
        <v>1041</v>
      </c>
      <c r="G12" s="27" t="n">
        <f aca="false">SUM(G6:G11)</f>
        <v>292</v>
      </c>
      <c r="H12" s="27" t="n">
        <f aca="false">SUM(H6:H11)</f>
        <v>534</v>
      </c>
      <c r="I12" s="27" t="n">
        <f aca="false">SUM(I6:I11)</f>
        <v>301</v>
      </c>
      <c r="J12" s="27" t="n">
        <f aca="false">SUM(J6:J11)</f>
        <v>30</v>
      </c>
    </row>
    <row r="14" customFormat="false" ht="15" hidden="false" customHeight="false" outlineLevel="0" collapsed="false">
      <c r="B14" s="28" t="s">
        <v>74</v>
      </c>
    </row>
  </sheetData>
  <conditionalFormatting sqref="C6:C11">
    <cfRule type="colorScale" priority="2">
      <colorScale>
        <cfvo type="num" val="0"/>
        <cfvo type="num" val="0.5"/>
        <cfvo type="num" val="1"/>
        <color rgb="FFF8C9C0"/>
        <color rgb="FFFFF4B8"/>
        <color rgb="FFBFE3C8"/>
      </colorScale>
    </cfRule>
  </conditionalFormatting>
  <hyperlinks>
    <hyperlink ref="K6" r:id="rId1" location="'KLM'!A1" display="→ KLM"/>
    <hyperlink ref="K7" r:id="rId2" location="'KWC'!A1" display="→ KWC"/>
    <hyperlink ref="K8" r:id="rId3" location="'PML'!A1" display="→ PML"/>
    <hyperlink ref="K9" r:id="rId4" location="'TMP'!A1" display="→ TMP"/>
    <hyperlink ref="K10" r:id="rId5" location="'BTU'!A1" display="→ BTU"/>
    <hyperlink ref="K11" r:id="rId6" location="'HIB'!A1" display="→ HIB"/>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21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0" topLeftCell="B1" activePane="topRight" state="frozen"/>
      <selection pane="topLeft" activeCell="A1" activeCellId="0" sqref="A1"/>
      <selection pane="top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8" min="2" style="0" width="19"/>
    <col collapsed="false" customWidth="true" hidden="false" outlineLevel="0" max="9" min="9" style="0" width="40"/>
    <col collapsed="false" customWidth="true" hidden="false" outlineLevel="0" max="10" min="10" style="0" width="18"/>
    <col collapsed="false" customWidth="true" hidden="false" outlineLevel="0" max="11" min="11" style="0" width="16"/>
    <col collapsed="false" customWidth="true" hidden="false" outlineLevel="0" max="13" min="12" style="0" width="14"/>
    <col collapsed="false" customWidth="true" hidden="false" outlineLevel="0" max="14" min="14" style="0" width="11"/>
    <col collapsed="false" customWidth="true" hidden="false" outlineLevel="0" max="15" min="15" style="0" width="34"/>
    <col collapsed="false" customWidth="true" hidden="true" outlineLevel="0" max="26" min="20" style="0" width="13"/>
  </cols>
  <sheetData>
    <row r="1" customFormat="false" ht="19.7" hidden="false" customHeight="false" outlineLevel="0" collapsed="false">
      <c r="A1" s="29" t="s">
        <v>75</v>
      </c>
      <c r="B1" s="29"/>
      <c r="C1" s="29"/>
      <c r="D1" s="29"/>
      <c r="E1" s="29"/>
      <c r="F1" s="29"/>
    </row>
    <row r="2" customFormat="false" ht="15" hidden="false" customHeight="false" outlineLevel="0" collapsed="false">
      <c r="A2" s="30" t="s">
        <v>76</v>
      </c>
      <c r="B2" s="30"/>
      <c r="C2" s="30"/>
      <c r="D2" s="30"/>
      <c r="E2" s="30"/>
      <c r="F2" s="30"/>
    </row>
    <row r="3" customFormat="false" ht="15" hidden="false" customHeight="false" outlineLevel="0" collapsed="false">
      <c r="A3" s="13" t="s">
        <v>54</v>
      </c>
      <c r="B3" s="3" t="s">
        <v>61</v>
      </c>
      <c r="C3" s="13" t="s">
        <v>77</v>
      </c>
      <c r="D3" s="31"/>
      <c r="E3" s="31"/>
    </row>
    <row r="4" customFormat="false" ht="15" hidden="false" customHeight="false" outlineLevel="0" collapsed="false">
      <c r="A4" s="13" t="s">
        <v>78</v>
      </c>
      <c r="B4" s="31" t="s">
        <v>79</v>
      </c>
      <c r="C4" s="13" t="s">
        <v>80</v>
      </c>
      <c r="D4" s="31"/>
      <c r="E4" s="31"/>
    </row>
    <row r="6" customFormat="false" ht="15" hidden="false" customHeight="false" outlineLevel="0" collapsed="false">
      <c r="A6" s="32" t="s">
        <v>81</v>
      </c>
      <c r="B6" s="33" t="s">
        <v>55</v>
      </c>
      <c r="C6" s="33" t="s">
        <v>56</v>
      </c>
      <c r="D6" s="34" t="s">
        <v>14</v>
      </c>
      <c r="E6" s="35" t="s">
        <v>16</v>
      </c>
      <c r="F6" s="36" t="s">
        <v>18</v>
      </c>
      <c r="G6" s="37" t="s">
        <v>20</v>
      </c>
      <c r="H6" s="38" t="s">
        <v>22</v>
      </c>
    </row>
    <row r="7" customFormat="false" ht="19.7" hidden="false" customHeight="false" outlineLevel="0" collapsed="false">
      <c r="B7" s="39" t="n">
        <f aca="false">IFERROR(SUMIFS('Master Data'!$H$2:$H$2436,'Master Data'!$B$2:$B$2436,$B$3,'Master Data'!$G$2:$G$2436,"&gt;0")/SUMIFS('Master Data'!$G$2:$G$2436,'Master Data'!$B$2:$B$2436,$B$3,'Master Data'!$G$2:$G$2436,"&gt;0"),"")</f>
        <v>0.569072164948454</v>
      </c>
      <c r="C7" s="40" t="str">
        <f aca="false">SUMIFS('Master Data'!$H$2:$H$2436,'Master Data'!$B$2:$B$2436,$B$3,'Master Data'!$G$2:$G$2436,"&gt;0")&amp;" / "&amp;SUMIFS('Master Data'!$G$2:$G$2436,'Master Data'!$B$2:$B$2436,$B$3,'Master Data'!$G$2:$G$2436,"&gt;0")</f>
        <v>828 / 1455</v>
      </c>
      <c r="D7" s="41" t="n">
        <f aca="false">COUNTIFS('Master Data'!$B$2:$B$2436,$B$3,'Master Data'!$L$2:$L$2436,"Belum terisi")</f>
        <v>48</v>
      </c>
      <c r="E7" s="42" t="n">
        <f aca="false">COUNTIFS('Master Data'!$B$2:$B$2436,$B$3,'Master Data'!$L$2:$L$2436,"Slot kosong")</f>
        <v>56</v>
      </c>
      <c r="F7" s="43" t="n">
        <f aca="false">COUNTIFS('Master Data'!$B$2:$B$2436,$B$3,'Master Data'!$L$2:$L$2436,"Sebagian")</f>
        <v>101</v>
      </c>
      <c r="G7" s="44" t="n">
        <f aca="false">COUNTIFS('Master Data'!$B$2:$B$2436,$B$3,'Master Data'!$L$2:$L$2436,"Penuh")</f>
        <v>131</v>
      </c>
      <c r="H7" s="45" t="n">
        <f aca="false">COUNTIFS('Master Data'!$B$2:$B$2436,$B$3,'Master Data'!$L$2:$L$2436,"Lebih kapasitas")</f>
        <v>18</v>
      </c>
    </row>
    <row r="9" customFormat="false" ht="15" hidden="false" customHeight="false" outlineLevel="0" collapsed="false">
      <c r="A9" s="32" t="s">
        <v>82</v>
      </c>
      <c r="B9" s="46" t="s">
        <v>14</v>
      </c>
      <c r="C9" s="47" t="s">
        <v>16</v>
      </c>
      <c r="D9" s="48" t="s">
        <v>18</v>
      </c>
      <c r="E9" s="49" t="s">
        <v>20</v>
      </c>
      <c r="F9" s="50" t="s">
        <v>22</v>
      </c>
      <c r="G9" s="51" t="s">
        <v>24</v>
      </c>
    </row>
    <row r="10" customFormat="false" ht="15" hidden="false" customHeight="false" outlineLevel="0" collapsed="false">
      <c r="B10" s="52" t="s">
        <v>83</v>
      </c>
    </row>
    <row r="11" customFormat="false" ht="15" hidden="false" customHeight="false" outlineLevel="0" collapsed="false">
      <c r="A11" s="32" t="s">
        <v>84</v>
      </c>
      <c r="B11" s="53" t="s">
        <v>85</v>
      </c>
      <c r="C11" s="53" t="s">
        <v>86</v>
      </c>
      <c r="D11" s="53" t="s">
        <v>87</v>
      </c>
    </row>
    <row r="13" customFormat="false" ht="16.15" hidden="false" customHeight="false" outlineLevel="0" collapsed="false">
      <c r="A13" s="54" t="s">
        <v>88</v>
      </c>
      <c r="B13" s="55"/>
      <c r="C13" s="56" t="str">
        <f aca="false">"Utilisasi lane: "&amp;IFERROR(TEXT(SUMIFS('Master Data'!$H$2:$H$2436,'Master Data'!$B$2:$B$2436,$B$3,'Master Data'!$C$2:$C$2436,1,'Master Data'!$G$2:$G$2436,"&gt;0")/SUMIFS('Master Data'!$G$2:$G$2436,'Master Data'!$B$2:$B$2436,$B$3,'Master Data'!$C$2:$C$2436,1,'Master Data'!$G$2:$G$2436,"&gt;0"),"0%"),"–")&amp;"   ·   Belum terisi: "&amp;COUNTIFS('Master Data'!$B$2:$B$2436,$B$3,'Master Data'!$C$2:$C$2436,1,'Master Data'!$L$2:$L$2436,"Belum terisi")&amp;"   ·   Slot kosong: "&amp;COUNTIFS('Master Data'!$B$2:$B$2436,$B$3,'Master Data'!$C$2:$C$2436,1,'Master Data'!$L$2:$L$2436,"Slot kosong")</f>
        <v>Utilisasi lane: 41%   ·   Belum terisi: 1   ·   Slot kosong: 27</v>
      </c>
      <c r="D13" s="55"/>
      <c r="E13" s="55"/>
      <c r="F13" s="55"/>
      <c r="G13" s="55"/>
      <c r="H13" s="55"/>
    </row>
    <row r="14" customFormat="false" ht="15" hidden="false" customHeight="false" outlineLevel="0" collapsed="false">
      <c r="A14" s="57" t="s">
        <v>89</v>
      </c>
      <c r="B14" s="58" t="s">
        <v>90</v>
      </c>
      <c r="C14" s="58" t="s">
        <v>91</v>
      </c>
      <c r="D14" s="58" t="s">
        <v>92</v>
      </c>
      <c r="E14" s="58" t="s">
        <v>93</v>
      </c>
      <c r="F14" s="58" t="s">
        <v>94</v>
      </c>
      <c r="G14" s="58" t="s">
        <v>95</v>
      </c>
      <c r="H14" s="58" t="s">
        <v>78</v>
      </c>
    </row>
    <row r="15" customFormat="false" ht="30" hidden="false" customHeight="true" outlineLevel="0" collapsed="false">
      <c r="A15" s="59" t="s">
        <v>96</v>
      </c>
      <c r="B15" s="60" t="str">
        <f aca="false">IFERROR(INDEX('Master Data'!$M$2:$M$2436,MATCH($B$3&amp;"|1|"&amp;B$14&amp;"|"&amp;$A15,'Master Data'!$A$2:$A$2436,0)),"")</f>
        <v>–</v>
      </c>
      <c r="C15" s="60" t="str">
        <f aca="false">IFERROR(INDEX('Master Data'!$M$2:$M$2436,MATCH($B$3&amp;"|1|"&amp;C$14&amp;"|"&amp;$A15,'Master Data'!$A$2:$A$2436,0)),"")</f>
        <v>–</v>
      </c>
      <c r="D15" s="60" t="str">
        <f aca="false">IFERROR(INDEX('Master Data'!$M$2:$M$2436,MATCH($B$3&amp;"|1|"&amp;D$14&amp;"|"&amp;$A15,'Master Data'!$A$2:$A$2436,0)),"")</f>
        <v>–</v>
      </c>
      <c r="E15" s="60" t="str">
        <f aca="false">IFERROR(INDEX('Master Data'!$M$2:$M$2436,MATCH($B$3&amp;"|1|"&amp;E$14&amp;"|"&amp;$A15,'Master Data'!$A$2:$A$2436,0)),"")</f>
        <v>–</v>
      </c>
      <c r="F15" s="60" t="str">
        <f aca="false">IFERROR(INDEX('Master Data'!$M$2:$M$2436,MATCH($B$3&amp;"|1|"&amp;F$14&amp;"|"&amp;$A15,'Master Data'!$A$2:$A$2436,0)),"")</f>
        <v>–</v>
      </c>
      <c r="G15" s="60" t="str">
        <f aca="false">IFERROR(INDEX('Master Data'!$M$2:$M$2436,MATCH($B$3&amp;"|1|"&amp;G$14&amp;"|"&amp;$A15,'Master Data'!$A$2:$A$2436,0)),"")</f>
        <v>–</v>
      </c>
      <c r="H15" s="60" t="str">
        <f aca="false">IFERROR(INDEX('Master Data'!$M$2:$M$2436,MATCH($B$3&amp;"|1|"&amp;H$14&amp;"|"&amp;$A15,'Master Data'!$A$2:$A$2436,0)),"")</f>
        <v>–</v>
      </c>
      <c r="T15" s="61" t="str">
        <f aca="false">IFERROR(INDEX('Master Data'!$L$2:$L$2436,MATCH($B$3&amp;"|1|"&amp;B$14&amp;"|"&amp;$A15,'Master Data'!$A$2:$A$2436,0)),"")</f>
        <v>Tidak dibuka</v>
      </c>
      <c r="U15" s="61" t="str">
        <f aca="false">IFERROR(INDEX('Master Data'!$L$2:$L$2436,MATCH($B$3&amp;"|1|"&amp;C$14&amp;"|"&amp;$A15,'Master Data'!$A$2:$A$2436,0)),"")</f>
        <v>Tidak dibuka</v>
      </c>
      <c r="V15" s="61" t="str">
        <f aca="false">IFERROR(INDEX('Master Data'!$L$2:$L$2436,MATCH($B$3&amp;"|1|"&amp;D$14&amp;"|"&amp;$A15,'Master Data'!$A$2:$A$2436,0)),"")</f>
        <v>Tidak dibuka</v>
      </c>
      <c r="W15" s="61" t="str">
        <f aca="false">IFERROR(INDEX('Master Data'!$L$2:$L$2436,MATCH($B$3&amp;"|1|"&amp;E$14&amp;"|"&amp;$A15,'Master Data'!$A$2:$A$2436,0)),"")</f>
        <v>Tidak dibuka</v>
      </c>
      <c r="X15" s="61" t="str">
        <f aca="false">IFERROR(INDEX('Master Data'!$L$2:$L$2436,MATCH($B$3&amp;"|1|"&amp;F$14&amp;"|"&amp;$A15,'Master Data'!$A$2:$A$2436,0)),"")</f>
        <v>Tidak dibuka</v>
      </c>
      <c r="Y15" s="61" t="str">
        <f aca="false">IFERROR(INDEX('Master Data'!$L$2:$L$2436,MATCH($B$3&amp;"|1|"&amp;G$14&amp;"|"&amp;$A15,'Master Data'!$A$2:$A$2436,0)),"")</f>
        <v>Tidak dibuka</v>
      </c>
      <c r="Z15" s="61" t="str">
        <f aca="false">IFERROR(INDEX('Master Data'!$L$2:$L$2436,MATCH($B$3&amp;"|1|"&amp;H$14&amp;"|"&amp;$A15,'Master Data'!$A$2:$A$2436,0)),"")</f>
        <v>Tidak dibuka</v>
      </c>
    </row>
    <row r="16" customFormat="false" ht="30" hidden="false" customHeight="true" outlineLevel="0" collapsed="false">
      <c r="A16" s="59" t="s">
        <v>97</v>
      </c>
      <c r="B16" s="60" t="str">
        <f aca="false">IFERROR(INDEX('Master Data'!$M$2:$M$2436,MATCH($B$3&amp;"|1|"&amp;B$14&amp;"|"&amp;$A16,'Master Data'!$A$2:$A$2436,0)),"")</f>
        <v>(tanpa age group)  0/5
coach: –</v>
      </c>
      <c r="C16" s="60" t="str">
        <f aca="false">IFERROR(INDEX('Master Data'!$M$2:$M$2436,MATCH($B$3&amp;"|1|"&amp;C$14&amp;"|"&amp;$A16,'Master Data'!$A$2:$A$2436,0)),"")</f>
        <v>(tanpa age group)  0/5
coach: –</v>
      </c>
      <c r="D16" s="60" t="str">
        <f aca="false">IFERROR(INDEX('Master Data'!$M$2:$M$2436,MATCH($B$3&amp;"|1|"&amp;D$14&amp;"|"&amp;$A16,'Master Data'!$A$2:$A$2436,0)),"")</f>
        <v>Baby  5/5
coach: Nuky</v>
      </c>
      <c r="E16" s="60" t="str">
        <f aca="false">IFERROR(INDEX('Master Data'!$M$2:$M$2436,MATCH($B$3&amp;"|1|"&amp;E$14&amp;"|"&amp;$A16,'Master Data'!$A$2:$A$2436,0)),"")</f>
        <v>(tanpa age group)  0/5
coach: –</v>
      </c>
      <c r="F16" s="60" t="str">
        <f aca="false">IFERROR(INDEX('Master Data'!$M$2:$M$2436,MATCH($B$3&amp;"|1|"&amp;F$14&amp;"|"&amp;$A16,'Master Data'!$A$2:$A$2436,0)),"")</f>
        <v>Baby  5/5
coach: Surya</v>
      </c>
      <c r="G16" s="60" t="str">
        <f aca="false">IFERROR(INDEX('Master Data'!$M$2:$M$2436,MATCH($B$3&amp;"|1|"&amp;G$14&amp;"|"&amp;$A16,'Master Data'!$A$2:$A$2436,0)),"")</f>
        <v>Baby  5/5
coach: Eka</v>
      </c>
      <c r="H16" s="60" t="str">
        <f aca="false">IFERROR(INDEX('Master Data'!$M$2:$M$2436,MATCH($B$3&amp;"|1|"&amp;H$14&amp;"|"&amp;$A16,'Master Data'!$A$2:$A$2436,0)),"")</f>
        <v>Baby  5/5
coach: Rischa</v>
      </c>
      <c r="T16" s="61" t="str">
        <f aca="false">IFERROR(INDEX('Master Data'!$L$2:$L$2436,MATCH($B$3&amp;"|1|"&amp;B$14&amp;"|"&amp;$A16,'Master Data'!$A$2:$A$2436,0)),"")</f>
        <v>Slot kosong</v>
      </c>
      <c r="U16" s="61" t="str">
        <f aca="false">IFERROR(INDEX('Master Data'!$L$2:$L$2436,MATCH($B$3&amp;"|1|"&amp;C$14&amp;"|"&amp;$A16,'Master Data'!$A$2:$A$2436,0)),"")</f>
        <v>Slot kosong</v>
      </c>
      <c r="V16" s="61" t="str">
        <f aca="false">IFERROR(INDEX('Master Data'!$L$2:$L$2436,MATCH($B$3&amp;"|1|"&amp;D$14&amp;"|"&amp;$A16,'Master Data'!$A$2:$A$2436,0)),"")</f>
        <v>Penuh</v>
      </c>
      <c r="W16" s="61" t="str">
        <f aca="false">IFERROR(INDEX('Master Data'!$L$2:$L$2436,MATCH($B$3&amp;"|1|"&amp;E$14&amp;"|"&amp;$A16,'Master Data'!$A$2:$A$2436,0)),"")</f>
        <v>Slot kosong</v>
      </c>
      <c r="X16" s="61" t="str">
        <f aca="false">IFERROR(INDEX('Master Data'!$L$2:$L$2436,MATCH($B$3&amp;"|1|"&amp;F$14&amp;"|"&amp;$A16,'Master Data'!$A$2:$A$2436,0)),"")</f>
        <v>Penuh</v>
      </c>
      <c r="Y16" s="61" t="str">
        <f aca="false">IFERROR(INDEX('Master Data'!$L$2:$L$2436,MATCH($B$3&amp;"|1|"&amp;G$14&amp;"|"&amp;$A16,'Master Data'!$A$2:$A$2436,0)),"")</f>
        <v>Penuh</v>
      </c>
      <c r="Z16" s="61" t="str">
        <f aca="false">IFERROR(INDEX('Master Data'!$L$2:$L$2436,MATCH($B$3&amp;"|1|"&amp;H$14&amp;"|"&amp;$A16,'Master Data'!$A$2:$A$2436,0)),"")</f>
        <v>Penuh</v>
      </c>
    </row>
    <row r="17" customFormat="false" ht="30" hidden="false" customHeight="true" outlineLevel="0" collapsed="false">
      <c r="A17" s="59" t="s">
        <v>98</v>
      </c>
      <c r="B17" s="60" t="str">
        <f aca="false">IFERROR(INDEX('Master Data'!$M$2:$M$2436,MATCH($B$3&amp;"|1|"&amp;B$14&amp;"|"&amp;$A17,'Master Data'!$A$2:$A$2436,0)),"")</f>
        <v>(tanpa age group)  0/5
coach: –</v>
      </c>
      <c r="C17" s="60" t="str">
        <f aca="false">IFERROR(INDEX('Master Data'!$M$2:$M$2436,MATCH($B$3&amp;"|1|"&amp;C$14&amp;"|"&amp;$A17,'Master Data'!$A$2:$A$2436,0)),"")</f>
        <v>(tanpa age group)  0/5
coach: –</v>
      </c>
      <c r="D17" s="60" t="str">
        <f aca="false">IFERROR(INDEX('Master Data'!$M$2:$M$2436,MATCH($B$3&amp;"|1|"&amp;D$14&amp;"|"&amp;$A17,'Master Data'!$A$2:$A$2436,0)),"")</f>
        <v>(tanpa age group)  0/5
coach: –</v>
      </c>
      <c r="E17" s="60" t="str">
        <f aca="false">IFERROR(INDEX('Master Data'!$M$2:$M$2436,MATCH($B$3&amp;"|1|"&amp;E$14&amp;"|"&amp;$A17,'Master Data'!$A$2:$A$2436,0)),"")</f>
        <v>(tanpa age group)  0/5
coach: –</v>
      </c>
      <c r="F17" s="60" t="str">
        <f aca="false">IFERROR(INDEX('Master Data'!$M$2:$M$2436,MATCH($B$3&amp;"|1|"&amp;F$14&amp;"|"&amp;$A17,'Master Data'!$A$2:$A$2436,0)),"")</f>
        <v>(tanpa age group)  0/5
coach: –</v>
      </c>
      <c r="G17" s="60" t="str">
        <f aca="false">IFERROR(INDEX('Master Data'!$M$2:$M$2436,MATCH($B$3&amp;"|1|"&amp;G$14&amp;"|"&amp;$A17,'Master Data'!$A$2:$A$2436,0)),"")</f>
        <v>Baby  5/5
coach: Rischa</v>
      </c>
      <c r="H17" s="60" t="str">
        <f aca="false">IFERROR(INDEX('Master Data'!$M$2:$M$2436,MATCH($B$3&amp;"|1|"&amp;H$14&amp;"|"&amp;$A17,'Master Data'!$A$2:$A$2436,0)),"")</f>
        <v>Baby  5/5
coach: Zidane</v>
      </c>
      <c r="T17" s="61" t="str">
        <f aca="false">IFERROR(INDEX('Master Data'!$L$2:$L$2436,MATCH($B$3&amp;"|1|"&amp;B$14&amp;"|"&amp;$A17,'Master Data'!$A$2:$A$2436,0)),"")</f>
        <v>Slot kosong</v>
      </c>
      <c r="U17" s="61" t="str">
        <f aca="false">IFERROR(INDEX('Master Data'!$L$2:$L$2436,MATCH($B$3&amp;"|1|"&amp;C$14&amp;"|"&amp;$A17,'Master Data'!$A$2:$A$2436,0)),"")</f>
        <v>Slot kosong</v>
      </c>
      <c r="V17" s="61" t="str">
        <f aca="false">IFERROR(INDEX('Master Data'!$L$2:$L$2436,MATCH($B$3&amp;"|1|"&amp;D$14&amp;"|"&amp;$A17,'Master Data'!$A$2:$A$2436,0)),"")</f>
        <v>Slot kosong</v>
      </c>
      <c r="W17" s="61" t="str">
        <f aca="false">IFERROR(INDEX('Master Data'!$L$2:$L$2436,MATCH($B$3&amp;"|1|"&amp;E$14&amp;"|"&amp;$A17,'Master Data'!$A$2:$A$2436,0)),"")</f>
        <v>Slot kosong</v>
      </c>
      <c r="X17" s="61" t="str">
        <f aca="false">IFERROR(INDEX('Master Data'!$L$2:$L$2436,MATCH($B$3&amp;"|1|"&amp;F$14&amp;"|"&amp;$A17,'Master Data'!$A$2:$A$2436,0)),"")</f>
        <v>Slot kosong</v>
      </c>
      <c r="Y17" s="61" t="str">
        <f aca="false">IFERROR(INDEX('Master Data'!$L$2:$L$2436,MATCH($B$3&amp;"|1|"&amp;G$14&amp;"|"&amp;$A17,'Master Data'!$A$2:$A$2436,0)),"")</f>
        <v>Penuh</v>
      </c>
      <c r="Z17" s="61" t="str">
        <f aca="false">IFERROR(INDEX('Master Data'!$L$2:$L$2436,MATCH($B$3&amp;"|1|"&amp;H$14&amp;"|"&amp;$A17,'Master Data'!$A$2:$A$2436,0)),"")</f>
        <v>Penuh</v>
      </c>
    </row>
    <row r="18" customFormat="false" ht="30" hidden="false" customHeight="true" outlineLevel="0" collapsed="false">
      <c r="A18" s="59" t="s">
        <v>99</v>
      </c>
      <c r="B18" s="60" t="str">
        <f aca="false">IFERROR(INDEX('Master Data'!$M$2:$M$2436,MATCH($B$3&amp;"|1|"&amp;B$14&amp;"|"&amp;$A18,'Master Data'!$A$2:$A$2436,0)),"")</f>
        <v>Baby  1/5
coach: Danti</v>
      </c>
      <c r="C18" s="60" t="str">
        <f aca="false">IFERROR(INDEX('Master Data'!$M$2:$M$2436,MATCH($B$3&amp;"|1|"&amp;C$14&amp;"|"&amp;$A18,'Master Data'!$A$2:$A$2436,0)),"")</f>
        <v>Baby  1/5
coach: Zidane</v>
      </c>
      <c r="D18" s="60" t="str">
        <f aca="false">IFERROR(INDEX('Master Data'!$M$2:$M$2436,MATCH($B$3&amp;"|1|"&amp;D$14&amp;"|"&amp;$A18,'Master Data'!$A$2:$A$2436,0)),"")</f>
        <v>(tanpa age group)  0/5
coach: –</v>
      </c>
      <c r="E18" s="60" t="str">
        <f aca="false">IFERROR(INDEX('Master Data'!$M$2:$M$2436,MATCH($B$3&amp;"|1|"&amp;E$14&amp;"|"&amp;$A18,'Master Data'!$A$2:$A$2436,0)),"")</f>
        <v>(tanpa age group)  0/5
coach: –</v>
      </c>
      <c r="F18" s="60" t="str">
        <f aca="false">IFERROR(INDEX('Master Data'!$M$2:$M$2436,MATCH($B$3&amp;"|1|"&amp;F$14&amp;"|"&amp;$A18,'Master Data'!$A$2:$A$2436,0)),"")</f>
        <v>(tanpa age group)  0/5
coach: –</v>
      </c>
      <c r="G18" s="60" t="str">
        <f aca="false">IFERROR(INDEX('Master Data'!$M$2:$M$2436,MATCH($B$3&amp;"|1|"&amp;G$14&amp;"|"&amp;$A18,'Master Data'!$A$2:$A$2436,0)),"")</f>
        <v>Baby  5/5
coach: Rischa</v>
      </c>
      <c r="H18" s="60" t="str">
        <f aca="false">IFERROR(INDEX('Master Data'!$M$2:$M$2436,MATCH($B$3&amp;"|1|"&amp;H$14&amp;"|"&amp;$A18,'Master Data'!$A$2:$A$2436,0)),"")</f>
        <v>Baby  4/5
coach: Nuky</v>
      </c>
      <c r="T18" s="61" t="str">
        <f aca="false">IFERROR(INDEX('Master Data'!$L$2:$L$2436,MATCH($B$3&amp;"|1|"&amp;B$14&amp;"|"&amp;$A18,'Master Data'!$A$2:$A$2436,0)),"")</f>
        <v>Sebagian</v>
      </c>
      <c r="U18" s="61" t="str">
        <f aca="false">IFERROR(INDEX('Master Data'!$L$2:$L$2436,MATCH($B$3&amp;"|1|"&amp;C$14&amp;"|"&amp;$A18,'Master Data'!$A$2:$A$2436,0)),"")</f>
        <v>Sebagian</v>
      </c>
      <c r="V18" s="61" t="str">
        <f aca="false">IFERROR(INDEX('Master Data'!$L$2:$L$2436,MATCH($B$3&amp;"|1|"&amp;D$14&amp;"|"&amp;$A18,'Master Data'!$A$2:$A$2436,0)),"")</f>
        <v>Slot kosong</v>
      </c>
      <c r="W18" s="61" t="str">
        <f aca="false">IFERROR(INDEX('Master Data'!$L$2:$L$2436,MATCH($B$3&amp;"|1|"&amp;E$14&amp;"|"&amp;$A18,'Master Data'!$A$2:$A$2436,0)),"")</f>
        <v>Slot kosong</v>
      </c>
      <c r="X18" s="61" t="str">
        <f aca="false">IFERROR(INDEX('Master Data'!$L$2:$L$2436,MATCH($B$3&amp;"|1|"&amp;F$14&amp;"|"&amp;$A18,'Master Data'!$A$2:$A$2436,0)),"")</f>
        <v>Slot kosong</v>
      </c>
      <c r="Y18" s="61" t="str">
        <f aca="false">IFERROR(INDEX('Master Data'!$L$2:$L$2436,MATCH($B$3&amp;"|1|"&amp;G$14&amp;"|"&amp;$A18,'Master Data'!$A$2:$A$2436,0)),"")</f>
        <v>Penuh</v>
      </c>
      <c r="Z18" s="61" t="str">
        <f aca="false">IFERROR(INDEX('Master Data'!$L$2:$L$2436,MATCH($B$3&amp;"|1|"&amp;H$14&amp;"|"&amp;$A18,'Master Data'!$A$2:$A$2436,0)),"")</f>
        <v>Sebagian</v>
      </c>
    </row>
    <row r="19" customFormat="false" ht="30" hidden="false" customHeight="true" outlineLevel="0" collapsed="false">
      <c r="A19" s="59" t="s">
        <v>100</v>
      </c>
      <c r="B19" s="60" t="str">
        <f aca="false">IFERROR(INDEX('Master Data'!$M$2:$M$2436,MATCH($B$3&amp;"|1|"&amp;B$14&amp;"|"&amp;$A19,'Master Data'!$A$2:$A$2436,0)),"")</f>
        <v>(tanpa age group)  0/5
coach: –</v>
      </c>
      <c r="C19" s="60" t="str">
        <f aca="false">IFERROR(INDEX('Master Data'!$M$2:$M$2436,MATCH($B$3&amp;"|1|"&amp;C$14&amp;"|"&amp;$A19,'Master Data'!$A$2:$A$2436,0)),"")</f>
        <v>Baby  2/5
coach: Zidane</v>
      </c>
      <c r="D19" s="60" t="str">
        <f aca="false">IFERROR(INDEX('Master Data'!$M$2:$M$2436,MATCH($B$3&amp;"|1|"&amp;D$14&amp;"|"&amp;$A19,'Master Data'!$A$2:$A$2436,0)),"")</f>
        <v>Baby  2/5
coach: Nuky</v>
      </c>
      <c r="E19" s="60" t="str">
        <f aca="false">IFERROR(INDEX('Master Data'!$M$2:$M$2436,MATCH($B$3&amp;"|1|"&amp;E$14&amp;"|"&amp;$A19,'Master Data'!$A$2:$A$2436,0)),"")</f>
        <v>(tanpa age group)  0/5
coach: –</v>
      </c>
      <c r="F19" s="60" t="str">
        <f aca="false">IFERROR(INDEX('Master Data'!$M$2:$M$2436,MATCH($B$3&amp;"|1|"&amp;F$14&amp;"|"&amp;$A19,'Master Data'!$A$2:$A$2436,0)),"")</f>
        <v>(tanpa age group)  0/5
coach: –</v>
      </c>
      <c r="G19" s="60" t="str">
        <f aca="false">IFERROR(INDEX('Master Data'!$M$2:$M$2436,MATCH($B$3&amp;"|1|"&amp;G$14&amp;"|"&amp;$A19,'Master Data'!$A$2:$A$2436,0)),"")</f>
        <v>Little  4/4
coach: Tessa</v>
      </c>
      <c r="H19" s="60" t="str">
        <f aca="false">IFERROR(INDEX('Master Data'!$M$2:$M$2436,MATCH($B$3&amp;"|1|"&amp;H$14&amp;"|"&amp;$A19,'Master Data'!$A$2:$A$2436,0)),"")</f>
        <v>Little  4/4
coach: Gita</v>
      </c>
      <c r="T19" s="61" t="str">
        <f aca="false">IFERROR(INDEX('Master Data'!$L$2:$L$2436,MATCH($B$3&amp;"|1|"&amp;B$14&amp;"|"&amp;$A19,'Master Data'!$A$2:$A$2436,0)),"")</f>
        <v>Slot kosong</v>
      </c>
      <c r="U19" s="61" t="str">
        <f aca="false">IFERROR(INDEX('Master Data'!$L$2:$L$2436,MATCH($B$3&amp;"|1|"&amp;C$14&amp;"|"&amp;$A19,'Master Data'!$A$2:$A$2436,0)),"")</f>
        <v>Sebagian</v>
      </c>
      <c r="V19" s="61" t="str">
        <f aca="false">IFERROR(INDEX('Master Data'!$L$2:$L$2436,MATCH($B$3&amp;"|1|"&amp;D$14&amp;"|"&amp;$A19,'Master Data'!$A$2:$A$2436,0)),"")</f>
        <v>Sebagian</v>
      </c>
      <c r="W19" s="61" t="str">
        <f aca="false">IFERROR(INDEX('Master Data'!$L$2:$L$2436,MATCH($B$3&amp;"|1|"&amp;E$14&amp;"|"&amp;$A19,'Master Data'!$A$2:$A$2436,0)),"")</f>
        <v>Slot kosong</v>
      </c>
      <c r="X19" s="61" t="str">
        <f aca="false">IFERROR(INDEX('Master Data'!$L$2:$L$2436,MATCH($B$3&amp;"|1|"&amp;F$14&amp;"|"&amp;$A19,'Master Data'!$A$2:$A$2436,0)),"")</f>
        <v>Slot kosong</v>
      </c>
      <c r="Y19" s="61" t="str">
        <f aca="false">IFERROR(INDEX('Master Data'!$L$2:$L$2436,MATCH($B$3&amp;"|1|"&amp;G$14&amp;"|"&amp;$A19,'Master Data'!$A$2:$A$2436,0)),"")</f>
        <v>Penuh</v>
      </c>
      <c r="Z19" s="61" t="str">
        <f aca="false">IFERROR(INDEX('Master Data'!$L$2:$L$2436,MATCH($B$3&amp;"|1|"&amp;H$14&amp;"|"&amp;$A19,'Master Data'!$A$2:$A$2436,0)),"")</f>
        <v>Penuh</v>
      </c>
    </row>
    <row r="20" customFormat="false" ht="30" hidden="false" customHeight="true" outlineLevel="0" collapsed="false">
      <c r="A20" s="59" t="s">
        <v>101</v>
      </c>
      <c r="B20" s="60" t="str">
        <f aca="false">IFERROR(INDEX('Master Data'!$M$2:$M$2436,MATCH($B$3&amp;"|1|"&amp;B$14&amp;"|"&amp;$A20,'Master Data'!$A$2:$A$2436,0)),"")</f>
        <v>Baby  3/5
coach: Danti</v>
      </c>
      <c r="C20" s="60" t="str">
        <f aca="false">IFERROR(INDEX('Master Data'!$M$2:$M$2436,MATCH($B$3&amp;"|1|"&amp;C$14&amp;"|"&amp;$A20,'Master Data'!$A$2:$A$2436,0)),"")</f>
        <v>–</v>
      </c>
      <c r="D20" s="60" t="str">
        <f aca="false">IFERROR(INDEX('Master Data'!$M$2:$M$2436,MATCH($B$3&amp;"|1|"&amp;D$14&amp;"|"&amp;$A20,'Master Data'!$A$2:$A$2436,0)),"")</f>
        <v>–</v>
      </c>
      <c r="E20" s="60" t="str">
        <f aca="false">IFERROR(INDEX('Master Data'!$M$2:$M$2436,MATCH($B$3&amp;"|1|"&amp;E$14&amp;"|"&amp;$A20,'Master Data'!$A$2:$A$2436,0)),"")</f>
        <v>–</v>
      </c>
      <c r="F20" s="60" t="str">
        <f aca="false">IFERROR(INDEX('Master Data'!$M$2:$M$2436,MATCH($B$3&amp;"|1|"&amp;F$14&amp;"|"&amp;$A20,'Master Data'!$A$2:$A$2436,0)),"")</f>
        <v>–</v>
      </c>
      <c r="G20" s="60" t="str">
        <f aca="false">IFERROR(INDEX('Master Data'!$M$2:$M$2436,MATCH($B$3&amp;"|1|"&amp;G$14&amp;"|"&amp;$A20,'Master Data'!$A$2:$A$2436,0)),"")</f>
        <v>Little  2/4
coach: Daffa</v>
      </c>
      <c r="H20" s="60" t="str">
        <f aca="false">IFERROR(INDEX('Master Data'!$M$2:$M$2436,MATCH($B$3&amp;"|1|"&amp;H$14&amp;"|"&amp;$A20,'Master Data'!$A$2:$A$2436,0)),"")</f>
        <v>(tanpa age group)  0/5
coach: –</v>
      </c>
      <c r="T20" s="61" t="str">
        <f aca="false">IFERROR(INDEX('Master Data'!$L$2:$L$2436,MATCH($B$3&amp;"|1|"&amp;B$14&amp;"|"&amp;$A20,'Master Data'!$A$2:$A$2436,0)),"")</f>
        <v>Sebagian</v>
      </c>
      <c r="U20" s="61" t="str">
        <f aca="false">IFERROR(INDEX('Master Data'!$L$2:$L$2436,MATCH($B$3&amp;"|1|"&amp;C$14&amp;"|"&amp;$A20,'Master Data'!$A$2:$A$2436,0)),"")</f>
        <v>Tidak dibuka</v>
      </c>
      <c r="V20" s="61" t="str">
        <f aca="false">IFERROR(INDEX('Master Data'!$L$2:$L$2436,MATCH($B$3&amp;"|1|"&amp;D$14&amp;"|"&amp;$A20,'Master Data'!$A$2:$A$2436,0)),"")</f>
        <v>Tidak dibuka</v>
      </c>
      <c r="W20" s="61" t="str">
        <f aca="false">IFERROR(INDEX('Master Data'!$L$2:$L$2436,MATCH($B$3&amp;"|1|"&amp;E$14&amp;"|"&amp;$A20,'Master Data'!$A$2:$A$2436,0)),"")</f>
        <v>Tidak dibuka</v>
      </c>
      <c r="X20" s="61" t="str">
        <f aca="false">IFERROR(INDEX('Master Data'!$L$2:$L$2436,MATCH($B$3&amp;"|1|"&amp;F$14&amp;"|"&amp;$A20,'Master Data'!$A$2:$A$2436,0)),"")</f>
        <v>Tidak dibuka</v>
      </c>
      <c r="Y20" s="61" t="str">
        <f aca="false">IFERROR(INDEX('Master Data'!$L$2:$L$2436,MATCH($B$3&amp;"|1|"&amp;G$14&amp;"|"&amp;$A20,'Master Data'!$A$2:$A$2436,0)),"")</f>
        <v>Sebagian</v>
      </c>
      <c r="Z20" s="61" t="str">
        <f aca="false">IFERROR(INDEX('Master Data'!$L$2:$L$2436,MATCH($B$3&amp;"|1|"&amp;H$14&amp;"|"&amp;$A20,'Master Data'!$A$2:$A$2436,0)),"")</f>
        <v>Slot kosong</v>
      </c>
    </row>
    <row r="21" customFormat="false" ht="30" hidden="false" customHeight="true" outlineLevel="0" collapsed="false">
      <c r="A21" s="59" t="s">
        <v>102</v>
      </c>
      <c r="B21" s="60" t="str">
        <f aca="false">IFERROR(INDEX('Master Data'!$M$2:$M$2436,MATCH($B$3&amp;"|1|"&amp;B$14&amp;"|"&amp;$A21,'Master Data'!$A$2:$A$2436,0)),"")</f>
        <v>Little  1/4
coach: Gita</v>
      </c>
      <c r="C21" s="60" t="str">
        <f aca="false">IFERROR(INDEX('Master Data'!$M$2:$M$2436,MATCH($B$3&amp;"|1|"&amp;C$14&amp;"|"&amp;$A21,'Master Data'!$A$2:$A$2436,0)),"")</f>
        <v>(tanpa age group)  0/5
coach: –</v>
      </c>
      <c r="D21" s="60" t="str">
        <f aca="false">IFERROR(INDEX('Master Data'!$M$2:$M$2436,MATCH($B$3&amp;"|1|"&amp;D$14&amp;"|"&amp;$A21,'Master Data'!$A$2:$A$2436,0)),"")</f>
        <v>Baby  0/5
coach: –</v>
      </c>
      <c r="E21" s="60" t="str">
        <f aca="false">IFERROR(INDEX('Master Data'!$M$2:$M$2436,MATCH($B$3&amp;"|1|"&amp;E$14&amp;"|"&amp;$A21,'Master Data'!$A$2:$A$2436,0)),"")</f>
        <v>(tanpa age group)  0/5
coach: –</v>
      </c>
      <c r="F21" s="60" t="str">
        <f aca="false">IFERROR(INDEX('Master Data'!$M$2:$M$2436,MATCH($B$3&amp;"|1|"&amp;F$14&amp;"|"&amp;$A21,'Master Data'!$A$2:$A$2436,0)),"")</f>
        <v>(tanpa age group)  0/5
coach: –</v>
      </c>
      <c r="G21" s="60" t="str">
        <f aca="false">IFERROR(INDEX('Master Data'!$M$2:$M$2436,MATCH($B$3&amp;"|1|"&amp;G$14&amp;"|"&amp;$A21,'Master Data'!$A$2:$A$2436,0)),"")</f>
        <v>Baby  5/5
coach: Danti</v>
      </c>
      <c r="H21" s="60" t="str">
        <f aca="false">IFERROR(INDEX('Master Data'!$M$2:$M$2436,MATCH($B$3&amp;"|1|"&amp;H$14&amp;"|"&amp;$A21,'Master Data'!$A$2:$A$2436,0)),"")</f>
        <v>Baby  3/5
coach: Eka</v>
      </c>
      <c r="T21" s="61" t="str">
        <f aca="false">IFERROR(INDEX('Master Data'!$L$2:$L$2436,MATCH($B$3&amp;"|1|"&amp;B$14&amp;"|"&amp;$A21,'Master Data'!$A$2:$A$2436,0)),"")</f>
        <v>Sebagian</v>
      </c>
      <c r="U21" s="61" t="str">
        <f aca="false">IFERROR(INDEX('Master Data'!$L$2:$L$2436,MATCH($B$3&amp;"|1|"&amp;C$14&amp;"|"&amp;$A21,'Master Data'!$A$2:$A$2436,0)),"")</f>
        <v>Slot kosong</v>
      </c>
      <c r="V21" s="61" t="str">
        <f aca="false">IFERROR(INDEX('Master Data'!$L$2:$L$2436,MATCH($B$3&amp;"|1|"&amp;D$14&amp;"|"&amp;$A21,'Master Data'!$A$2:$A$2436,0)),"")</f>
        <v>Belum terisi</v>
      </c>
      <c r="W21" s="61" t="str">
        <f aca="false">IFERROR(INDEX('Master Data'!$L$2:$L$2436,MATCH($B$3&amp;"|1|"&amp;E$14&amp;"|"&amp;$A21,'Master Data'!$A$2:$A$2436,0)),"")</f>
        <v>Slot kosong</v>
      </c>
      <c r="X21" s="61" t="str">
        <f aca="false">IFERROR(INDEX('Master Data'!$L$2:$L$2436,MATCH($B$3&amp;"|1|"&amp;F$14&amp;"|"&amp;$A21,'Master Data'!$A$2:$A$2436,0)),"")</f>
        <v>Slot kosong</v>
      </c>
      <c r="Y21" s="61" t="str">
        <f aca="false">IFERROR(INDEX('Master Data'!$L$2:$L$2436,MATCH($B$3&amp;"|1|"&amp;G$14&amp;"|"&amp;$A21,'Master Data'!$A$2:$A$2436,0)),"")</f>
        <v>Penuh</v>
      </c>
      <c r="Z21" s="61" t="str">
        <f aca="false">IFERROR(INDEX('Master Data'!$L$2:$L$2436,MATCH($B$3&amp;"|1|"&amp;H$14&amp;"|"&amp;$A21,'Master Data'!$A$2:$A$2436,0)),"")</f>
        <v>Sebagian</v>
      </c>
    </row>
    <row r="22" customFormat="false" ht="30" hidden="false" customHeight="true" outlineLevel="0" collapsed="false">
      <c r="A22" s="59" t="s">
        <v>103</v>
      </c>
      <c r="B22" s="60" t="str">
        <f aca="false">IFERROR(INDEX('Master Data'!$M$2:$M$2436,MATCH($B$3&amp;"|1|"&amp;B$14&amp;"|"&amp;$A22,'Master Data'!$A$2:$A$2436,0)),"")</f>
        <v>(tanpa age group)  0/5
coach: –</v>
      </c>
      <c r="C22" s="60" t="str">
        <f aca="false">IFERROR(INDEX('Master Data'!$M$2:$M$2436,MATCH($B$3&amp;"|1|"&amp;C$14&amp;"|"&amp;$A22,'Master Data'!$A$2:$A$2436,0)),"")</f>
        <v>(tanpa age group)  0/5
coach: –</v>
      </c>
      <c r="D22" s="60" t="str">
        <f aca="false">IFERROR(INDEX('Master Data'!$M$2:$M$2436,MATCH($B$3&amp;"|1|"&amp;D$14&amp;"|"&amp;$A22,'Master Data'!$A$2:$A$2436,0)),"")</f>
        <v>(tanpa age group)  0/5
coach: –</v>
      </c>
      <c r="E22" s="60" t="str">
        <f aca="false">IFERROR(INDEX('Master Data'!$M$2:$M$2436,MATCH($B$3&amp;"|1|"&amp;E$14&amp;"|"&amp;$A22,'Master Data'!$A$2:$A$2436,0)),"")</f>
        <v>Kids  1/5
coach: Tessa</v>
      </c>
      <c r="F22" s="60" t="str">
        <f aca="false">IFERROR(INDEX('Master Data'!$M$2:$M$2436,MATCH($B$3&amp;"|1|"&amp;F$14&amp;"|"&amp;$A22,'Master Data'!$A$2:$A$2436,0)),"")</f>
        <v>Kids  3/4
coach: Tessa</v>
      </c>
      <c r="G22" s="60" t="str">
        <f aca="false">IFERROR(INDEX('Master Data'!$M$2:$M$2436,MATCH($B$3&amp;"|1|"&amp;G$14&amp;"|"&amp;$A22,'Master Data'!$A$2:$A$2436,0)),"")</f>
        <v>Kids  4/4
coach: Daffa</v>
      </c>
      <c r="H22" s="60" t="str">
        <f aca="false">IFERROR(INDEX('Master Data'!$M$2:$M$2436,MATCH($B$3&amp;"|1|"&amp;H$14&amp;"|"&amp;$A22,'Master Data'!$A$2:$A$2436,0)),"")</f>
        <v>Kids  4/4
coach: Danti</v>
      </c>
      <c r="T22" s="61" t="str">
        <f aca="false">IFERROR(INDEX('Master Data'!$L$2:$L$2436,MATCH($B$3&amp;"|1|"&amp;B$14&amp;"|"&amp;$A22,'Master Data'!$A$2:$A$2436,0)),"")</f>
        <v>Slot kosong</v>
      </c>
      <c r="U22" s="61" t="str">
        <f aca="false">IFERROR(INDEX('Master Data'!$L$2:$L$2436,MATCH($B$3&amp;"|1|"&amp;C$14&amp;"|"&amp;$A22,'Master Data'!$A$2:$A$2436,0)),"")</f>
        <v>Slot kosong</v>
      </c>
      <c r="V22" s="61" t="str">
        <f aca="false">IFERROR(INDEX('Master Data'!$L$2:$L$2436,MATCH($B$3&amp;"|1|"&amp;D$14&amp;"|"&amp;$A22,'Master Data'!$A$2:$A$2436,0)),"")</f>
        <v>Slot kosong</v>
      </c>
      <c r="W22" s="61" t="str">
        <f aca="false">IFERROR(INDEX('Master Data'!$L$2:$L$2436,MATCH($B$3&amp;"|1|"&amp;E$14&amp;"|"&amp;$A22,'Master Data'!$A$2:$A$2436,0)),"")</f>
        <v>Sebagian</v>
      </c>
      <c r="X22" s="61" t="str">
        <f aca="false">IFERROR(INDEX('Master Data'!$L$2:$L$2436,MATCH($B$3&amp;"|1|"&amp;F$14&amp;"|"&amp;$A22,'Master Data'!$A$2:$A$2436,0)),"")</f>
        <v>Sebagian</v>
      </c>
      <c r="Y22" s="61" t="str">
        <f aca="false">IFERROR(INDEX('Master Data'!$L$2:$L$2436,MATCH($B$3&amp;"|1|"&amp;G$14&amp;"|"&amp;$A22,'Master Data'!$A$2:$A$2436,0)),"")</f>
        <v>Penuh</v>
      </c>
      <c r="Z22" s="61" t="str">
        <f aca="false">IFERROR(INDEX('Master Data'!$L$2:$L$2436,MATCH($B$3&amp;"|1|"&amp;H$14&amp;"|"&amp;$A22,'Master Data'!$A$2:$A$2436,0)),"")</f>
        <v>Penuh</v>
      </c>
    </row>
    <row r="23" customFormat="false" ht="30" hidden="false" customHeight="true" outlineLevel="0" collapsed="false">
      <c r="A23" s="59" t="s">
        <v>104</v>
      </c>
      <c r="B23" s="60" t="str">
        <f aca="false">IFERROR(INDEX('Master Data'!$M$2:$M$2436,MATCH($B$3&amp;"|1|"&amp;B$14&amp;"|"&amp;$A23,'Master Data'!$A$2:$A$2436,0)),"")</f>
        <v>Little  2/0
coach: Gita</v>
      </c>
      <c r="C23" s="60" t="str">
        <f aca="false">IFERROR(INDEX('Master Data'!$M$2:$M$2436,MATCH($B$3&amp;"|1|"&amp;C$14&amp;"|"&amp;$A23,'Master Data'!$A$2:$A$2436,0)),"")</f>
        <v>Kids  4/0
coach: Tessa</v>
      </c>
      <c r="D23" s="60" t="str">
        <f aca="false">IFERROR(INDEX('Master Data'!$M$2:$M$2436,MATCH($B$3&amp;"|1|"&amp;D$14&amp;"|"&amp;$A23,'Master Data'!$A$2:$A$2436,0)),"")</f>
        <v>Baby  1/0
coach: Zidane</v>
      </c>
      <c r="E23" s="60" t="str">
        <f aca="false">IFERROR(INDEX('Master Data'!$M$2:$M$2436,MATCH($B$3&amp;"|1|"&amp;E$14&amp;"|"&amp;$A23,'Master Data'!$A$2:$A$2436,0)),"")</f>
        <v>Baby  1/0
coach: Tessa</v>
      </c>
      <c r="F23" s="60" t="str">
        <f aca="false">IFERROR(INDEX('Master Data'!$M$2:$M$2436,MATCH($B$3&amp;"|1|"&amp;F$14&amp;"|"&amp;$A23,'Master Data'!$A$2:$A$2436,0)),"")</f>
        <v>Little  3/4
coach: Dian</v>
      </c>
      <c r="G23" s="60" t="str">
        <f aca="false">IFERROR(INDEX('Master Data'!$M$2:$M$2436,MATCH($B$3&amp;"|1|"&amp;G$14&amp;"|"&amp;$A23,'Master Data'!$A$2:$A$2436,0)),"")</f>
        <v>Baby  5/5
coach: Eka</v>
      </c>
      <c r="H23" s="60" t="str">
        <f aca="false">IFERROR(INDEX('Master Data'!$M$2:$M$2436,MATCH($B$3&amp;"|1|"&amp;H$14&amp;"|"&amp;$A23,'Master Data'!$A$2:$A$2436,0)),"")</f>
        <v>Baby  4/5
coach: Zidane</v>
      </c>
      <c r="T23" s="61" t="str">
        <f aca="false">IFERROR(INDEX('Master Data'!$L$2:$L$2436,MATCH($B$3&amp;"|1|"&amp;B$14&amp;"|"&amp;$A23,'Master Data'!$A$2:$A$2436,0)),"")</f>
        <v>Lebih kapasitas</v>
      </c>
      <c r="U23" s="61" t="str">
        <f aca="false">IFERROR(INDEX('Master Data'!$L$2:$L$2436,MATCH($B$3&amp;"|1|"&amp;C$14&amp;"|"&amp;$A23,'Master Data'!$A$2:$A$2436,0)),"")</f>
        <v>Lebih kapasitas</v>
      </c>
      <c r="V23" s="61" t="str">
        <f aca="false">IFERROR(INDEX('Master Data'!$L$2:$L$2436,MATCH($B$3&amp;"|1|"&amp;D$14&amp;"|"&amp;$A23,'Master Data'!$A$2:$A$2436,0)),"")</f>
        <v>Lebih kapasitas</v>
      </c>
      <c r="W23" s="61" t="str">
        <f aca="false">IFERROR(INDEX('Master Data'!$L$2:$L$2436,MATCH($B$3&amp;"|1|"&amp;E$14&amp;"|"&amp;$A23,'Master Data'!$A$2:$A$2436,0)),"")</f>
        <v>Lebih kapasitas</v>
      </c>
      <c r="X23" s="61" t="str">
        <f aca="false">IFERROR(INDEX('Master Data'!$L$2:$L$2436,MATCH($B$3&amp;"|1|"&amp;F$14&amp;"|"&amp;$A23,'Master Data'!$A$2:$A$2436,0)),"")</f>
        <v>Sebagian</v>
      </c>
      <c r="Y23" s="61" t="str">
        <f aca="false">IFERROR(INDEX('Master Data'!$L$2:$L$2436,MATCH($B$3&amp;"|1|"&amp;G$14&amp;"|"&amp;$A23,'Master Data'!$A$2:$A$2436,0)),"")</f>
        <v>Penuh</v>
      </c>
      <c r="Z23" s="61" t="str">
        <f aca="false">IFERROR(INDEX('Master Data'!$L$2:$L$2436,MATCH($B$3&amp;"|1|"&amp;H$14&amp;"|"&amp;$A23,'Master Data'!$A$2:$A$2436,0)),"")</f>
        <v>Sebagian</v>
      </c>
    </row>
    <row r="24" customFormat="false" ht="30" hidden="false" customHeight="true" outlineLevel="0" collapsed="false">
      <c r="A24" s="59" t="s">
        <v>105</v>
      </c>
      <c r="B24" s="60" t="str">
        <f aca="false">IFERROR(INDEX('Master Data'!$M$2:$M$2436,MATCH($B$3&amp;"|1|"&amp;B$14&amp;"|"&amp;$A24,'Master Data'!$A$2:$A$2436,0)),"")</f>
        <v>–</v>
      </c>
      <c r="C24" s="60" t="str">
        <f aca="false">IFERROR(INDEX('Master Data'!$M$2:$M$2436,MATCH($B$3&amp;"|1|"&amp;C$14&amp;"|"&amp;$A24,'Master Data'!$A$2:$A$2436,0)),"")</f>
        <v>–</v>
      </c>
      <c r="D24" s="60" t="str">
        <f aca="false">IFERROR(INDEX('Master Data'!$M$2:$M$2436,MATCH($B$3&amp;"|1|"&amp;D$14&amp;"|"&amp;$A24,'Master Data'!$A$2:$A$2436,0)),"")</f>
        <v>Little  3/0
coach: Gita</v>
      </c>
      <c r="E24" s="60" t="str">
        <f aca="false">IFERROR(INDEX('Master Data'!$M$2:$M$2436,MATCH($B$3&amp;"|1|"&amp;E$14&amp;"|"&amp;$A24,'Master Data'!$A$2:$A$2436,0)),"")</f>
        <v>Kids  1/0
coach: Daffa</v>
      </c>
      <c r="F24" s="60" t="str">
        <f aca="false">IFERROR(INDEX('Master Data'!$M$2:$M$2436,MATCH($B$3&amp;"|1|"&amp;F$14&amp;"|"&amp;$A24,'Master Data'!$A$2:$A$2436,0)),"")</f>
        <v>Kids  4/4
coach: Surya</v>
      </c>
      <c r="G24" s="60" t="str">
        <f aca="false">IFERROR(INDEX('Master Data'!$M$2:$M$2436,MATCH($B$3&amp;"|1|"&amp;G$14&amp;"|"&amp;$A24,'Master Data'!$A$2:$A$2436,0)),"")</f>
        <v>Little  4/4
coach: Daffa</v>
      </c>
      <c r="H24" s="60" t="str">
        <f aca="false">IFERROR(INDEX('Master Data'!$M$2:$M$2436,MATCH($B$3&amp;"|1|"&amp;H$14&amp;"|"&amp;$A24,'Master Data'!$A$2:$A$2436,0)),"")</f>
        <v>Kids  2/4
coach: Zidane</v>
      </c>
      <c r="T24" s="61" t="str">
        <f aca="false">IFERROR(INDEX('Master Data'!$L$2:$L$2436,MATCH($B$3&amp;"|1|"&amp;B$14&amp;"|"&amp;$A24,'Master Data'!$A$2:$A$2436,0)),"")</f>
        <v>Tidak dibuka</v>
      </c>
      <c r="U24" s="61" t="str">
        <f aca="false">IFERROR(INDEX('Master Data'!$L$2:$L$2436,MATCH($B$3&amp;"|1|"&amp;C$14&amp;"|"&amp;$A24,'Master Data'!$A$2:$A$2436,0)),"")</f>
        <v>Tidak dibuka</v>
      </c>
      <c r="V24" s="61" t="str">
        <f aca="false">IFERROR(INDEX('Master Data'!$L$2:$L$2436,MATCH($B$3&amp;"|1|"&amp;D$14&amp;"|"&amp;$A24,'Master Data'!$A$2:$A$2436,0)),"")</f>
        <v>Lebih kapasitas</v>
      </c>
      <c r="W24" s="61" t="str">
        <f aca="false">IFERROR(INDEX('Master Data'!$L$2:$L$2436,MATCH($B$3&amp;"|1|"&amp;E$14&amp;"|"&amp;$A24,'Master Data'!$A$2:$A$2436,0)),"")</f>
        <v>Lebih kapasitas</v>
      </c>
      <c r="X24" s="61" t="str">
        <f aca="false">IFERROR(INDEX('Master Data'!$L$2:$L$2436,MATCH($B$3&amp;"|1|"&amp;F$14&amp;"|"&amp;$A24,'Master Data'!$A$2:$A$2436,0)),"")</f>
        <v>Penuh</v>
      </c>
      <c r="Y24" s="61" t="str">
        <f aca="false">IFERROR(INDEX('Master Data'!$L$2:$L$2436,MATCH($B$3&amp;"|1|"&amp;G$14&amp;"|"&amp;$A24,'Master Data'!$A$2:$A$2436,0)),"")</f>
        <v>Penuh</v>
      </c>
      <c r="Z24" s="61" t="str">
        <f aca="false">IFERROR(INDEX('Master Data'!$L$2:$L$2436,MATCH($B$3&amp;"|1|"&amp;H$14&amp;"|"&amp;$A24,'Master Data'!$A$2:$A$2436,0)),"")</f>
        <v>Sebagian</v>
      </c>
    </row>
    <row r="25" customFormat="false" ht="30" hidden="false" customHeight="true" outlineLevel="0" collapsed="false">
      <c r="A25" s="59" t="s">
        <v>106</v>
      </c>
      <c r="B25" s="60" t="str">
        <f aca="false">IFERROR(INDEX('Master Data'!$M$2:$M$2436,MATCH($B$3&amp;"|1|"&amp;B$14&amp;"|"&amp;$A25,'Master Data'!$A$2:$A$2436,0)),"")</f>
        <v>Kids  3/5
coach: Gita</v>
      </c>
      <c r="C25" s="60" t="str">
        <f aca="false">IFERROR(INDEX('Master Data'!$M$2:$M$2436,MATCH($B$3&amp;"|1|"&amp;C$14&amp;"|"&amp;$A25,'Master Data'!$A$2:$A$2436,0)),"")</f>
        <v>(tanpa age group)  0/5
coach: –</v>
      </c>
      <c r="D25" s="60" t="str">
        <f aca="false">IFERROR(INDEX('Master Data'!$M$2:$M$2436,MATCH($B$3&amp;"|1|"&amp;D$14&amp;"|"&amp;$A25,'Master Data'!$A$2:$A$2436,0)),"")</f>
        <v>(tanpa age group)  0/5
coach: –</v>
      </c>
      <c r="E25" s="60" t="str">
        <f aca="false">IFERROR(INDEX('Master Data'!$M$2:$M$2436,MATCH($B$3&amp;"|1|"&amp;E$14&amp;"|"&amp;$A25,'Master Data'!$A$2:$A$2436,0)),"")</f>
        <v>Kids  4/4
coach: Tessa</v>
      </c>
      <c r="F25" s="60" t="str">
        <f aca="false">IFERROR(INDEX('Master Data'!$M$2:$M$2436,MATCH($B$3&amp;"|1|"&amp;F$14&amp;"|"&amp;$A25,'Master Data'!$A$2:$A$2436,0)),"")</f>
        <v>Little  3/4
coach: Tessa</v>
      </c>
      <c r="G25" s="60" t="str">
        <f aca="false">IFERROR(INDEX('Master Data'!$M$2:$M$2436,MATCH($B$3&amp;"|1|"&amp;G$14&amp;"|"&amp;$A25,'Master Data'!$A$2:$A$2436,0)),"")</f>
        <v>Baby  4/5
coach: Danti</v>
      </c>
      <c r="H25" s="60" t="str">
        <f aca="false">IFERROR(INDEX('Master Data'!$M$2:$M$2436,MATCH($B$3&amp;"|1|"&amp;H$14&amp;"|"&amp;$A25,'Master Data'!$A$2:$A$2436,0)),"")</f>
        <v>Little  1/4
coach: Dian</v>
      </c>
      <c r="T25" s="61" t="str">
        <f aca="false">IFERROR(INDEX('Master Data'!$L$2:$L$2436,MATCH($B$3&amp;"|1|"&amp;B$14&amp;"|"&amp;$A25,'Master Data'!$A$2:$A$2436,0)),"")</f>
        <v>Sebagian</v>
      </c>
      <c r="U25" s="61" t="str">
        <f aca="false">IFERROR(INDEX('Master Data'!$L$2:$L$2436,MATCH($B$3&amp;"|1|"&amp;C$14&amp;"|"&amp;$A25,'Master Data'!$A$2:$A$2436,0)),"")</f>
        <v>Slot kosong</v>
      </c>
      <c r="V25" s="61" t="str">
        <f aca="false">IFERROR(INDEX('Master Data'!$L$2:$L$2436,MATCH($B$3&amp;"|1|"&amp;D$14&amp;"|"&amp;$A25,'Master Data'!$A$2:$A$2436,0)),"")</f>
        <v>Slot kosong</v>
      </c>
      <c r="W25" s="61" t="str">
        <f aca="false">IFERROR(INDEX('Master Data'!$L$2:$L$2436,MATCH($B$3&amp;"|1|"&amp;E$14&amp;"|"&amp;$A25,'Master Data'!$A$2:$A$2436,0)),"")</f>
        <v>Penuh</v>
      </c>
      <c r="X25" s="61" t="str">
        <f aca="false">IFERROR(INDEX('Master Data'!$L$2:$L$2436,MATCH($B$3&amp;"|1|"&amp;F$14&amp;"|"&amp;$A25,'Master Data'!$A$2:$A$2436,0)),"")</f>
        <v>Sebagian</v>
      </c>
      <c r="Y25" s="61" t="str">
        <f aca="false">IFERROR(INDEX('Master Data'!$L$2:$L$2436,MATCH($B$3&amp;"|1|"&amp;G$14&amp;"|"&amp;$A25,'Master Data'!$A$2:$A$2436,0)),"")</f>
        <v>Sebagian</v>
      </c>
      <c r="Z25" s="61" t="str">
        <f aca="false">IFERROR(INDEX('Master Data'!$L$2:$L$2436,MATCH($B$3&amp;"|1|"&amp;H$14&amp;"|"&amp;$A25,'Master Data'!$A$2:$A$2436,0)),"")</f>
        <v>Sebagian</v>
      </c>
    </row>
    <row r="26" customFormat="false" ht="30" hidden="false" customHeight="true" outlineLevel="0" collapsed="false">
      <c r="A26" s="59" t="s">
        <v>107</v>
      </c>
      <c r="B26" s="60" t="str">
        <f aca="false">IFERROR(INDEX('Master Data'!$M$2:$M$2436,MATCH($B$3&amp;"|1|"&amp;B$14&amp;"|"&amp;$A26,'Master Data'!$A$2:$A$2436,0)),"")</f>
        <v>Baby  2/5
coach: Rischa</v>
      </c>
      <c r="C26" s="60" t="str">
        <f aca="false">IFERROR(INDEX('Master Data'!$M$2:$M$2436,MATCH($B$3&amp;"|1|"&amp;C$14&amp;"|"&amp;$A26,'Master Data'!$A$2:$A$2436,0)),"")</f>
        <v>Baby  4/5
coach: Danti</v>
      </c>
      <c r="D26" s="60" t="str">
        <f aca="false">IFERROR(INDEX('Master Data'!$M$2:$M$2436,MATCH($B$3&amp;"|1|"&amp;D$14&amp;"|"&amp;$A26,'Master Data'!$A$2:$A$2436,0)),"")</f>
        <v>(tanpa age group)  0/5
coach: –</v>
      </c>
      <c r="E26" s="60" t="str">
        <f aca="false">IFERROR(INDEX('Master Data'!$M$2:$M$2436,MATCH($B$3&amp;"|1|"&amp;E$14&amp;"|"&amp;$A26,'Master Data'!$A$2:$A$2436,0)),"")</f>
        <v>(tanpa age group)  0/5
coach: –</v>
      </c>
      <c r="F26" s="60" t="str">
        <f aca="false">IFERROR(INDEX('Master Data'!$M$2:$M$2436,MATCH($B$3&amp;"|1|"&amp;F$14&amp;"|"&amp;$A26,'Master Data'!$A$2:$A$2436,0)),"")</f>
        <v>Baby  5/5
coach: Nuky</v>
      </c>
      <c r="G26" s="60" t="str">
        <f aca="false">IFERROR(INDEX('Master Data'!$M$2:$M$2436,MATCH($B$3&amp;"|1|"&amp;G$14&amp;"|"&amp;$A26,'Master Data'!$A$2:$A$2436,0)),"")</f>
        <v>(tanpa age group)  0/5
coach: –</v>
      </c>
      <c r="H26" s="60" t="str">
        <f aca="false">IFERROR(INDEX('Master Data'!$M$2:$M$2436,MATCH($B$3&amp;"|1|"&amp;H$14&amp;"|"&amp;$A26,'Master Data'!$A$2:$A$2436,0)),"")</f>
        <v>(tanpa age group)  0/5
coach: –</v>
      </c>
      <c r="T26" s="61" t="str">
        <f aca="false">IFERROR(INDEX('Master Data'!$L$2:$L$2436,MATCH($B$3&amp;"|1|"&amp;B$14&amp;"|"&amp;$A26,'Master Data'!$A$2:$A$2436,0)),"")</f>
        <v>Sebagian</v>
      </c>
      <c r="U26" s="61" t="str">
        <f aca="false">IFERROR(INDEX('Master Data'!$L$2:$L$2436,MATCH($B$3&amp;"|1|"&amp;C$14&amp;"|"&amp;$A26,'Master Data'!$A$2:$A$2436,0)),"")</f>
        <v>Sebagian</v>
      </c>
      <c r="V26" s="61" t="str">
        <f aca="false">IFERROR(INDEX('Master Data'!$L$2:$L$2436,MATCH($B$3&amp;"|1|"&amp;D$14&amp;"|"&amp;$A26,'Master Data'!$A$2:$A$2436,0)),"")</f>
        <v>Slot kosong</v>
      </c>
      <c r="W26" s="61" t="str">
        <f aca="false">IFERROR(INDEX('Master Data'!$L$2:$L$2436,MATCH($B$3&amp;"|1|"&amp;E$14&amp;"|"&amp;$A26,'Master Data'!$A$2:$A$2436,0)),"")</f>
        <v>Slot kosong</v>
      </c>
      <c r="X26" s="61" t="str">
        <f aca="false">IFERROR(INDEX('Master Data'!$L$2:$L$2436,MATCH($B$3&amp;"|1|"&amp;F$14&amp;"|"&amp;$A26,'Master Data'!$A$2:$A$2436,0)),"")</f>
        <v>Penuh</v>
      </c>
      <c r="Y26" s="61" t="str">
        <f aca="false">IFERROR(INDEX('Master Data'!$L$2:$L$2436,MATCH($B$3&amp;"|1|"&amp;G$14&amp;"|"&amp;$A26,'Master Data'!$A$2:$A$2436,0)),"")</f>
        <v>Slot kosong</v>
      </c>
      <c r="Z26" s="61" t="str">
        <f aca="false">IFERROR(INDEX('Master Data'!$L$2:$L$2436,MATCH($B$3&amp;"|1|"&amp;H$14&amp;"|"&amp;$A26,'Master Data'!$A$2:$A$2436,0)),"")</f>
        <v>Slot kosong</v>
      </c>
    </row>
    <row r="28" customFormat="false" ht="16.15" hidden="false" customHeight="false" outlineLevel="0" collapsed="false">
      <c r="A28" s="54" t="s">
        <v>108</v>
      </c>
      <c r="B28" s="55"/>
      <c r="C28" s="56" t="str">
        <f aca="false">"Utilisasi lane: "&amp;IFERROR(TEXT(SUMIFS('Master Data'!$H$2:$H$2436,'Master Data'!$B$2:$B$2436,$B$3,'Master Data'!$C$2:$C$2436,2,'Master Data'!$G$2:$G$2436,"&gt;0")/SUMIFS('Master Data'!$G$2:$G$2436,'Master Data'!$B$2:$B$2436,$B$3,'Master Data'!$C$2:$C$2436,2,'Master Data'!$G$2:$G$2436,"&gt;0"),"0%"),"–")&amp;"   ·   Belum terisi: "&amp;COUNTIFS('Master Data'!$B$2:$B$2436,$B$3,'Master Data'!$C$2:$C$2436,2,'Master Data'!$L$2:$L$2436,"Belum terisi")&amp;"   ·   Slot kosong: "&amp;COUNTIFS('Master Data'!$B$2:$B$2436,$B$3,'Master Data'!$C$2:$C$2436,2,'Master Data'!$L$2:$L$2436,"Slot kosong")</f>
        <v>Utilisasi lane: 48%   ·   Belum terisi: 24   ·   Slot kosong: 0</v>
      </c>
      <c r="D28" s="55"/>
      <c r="E28" s="55"/>
      <c r="F28" s="55"/>
      <c r="G28" s="55"/>
      <c r="H28" s="55"/>
    </row>
    <row r="29" customFormat="false" ht="15" hidden="false" customHeight="false" outlineLevel="0" collapsed="false">
      <c r="A29" s="57" t="s">
        <v>89</v>
      </c>
      <c r="B29" s="58" t="s">
        <v>90</v>
      </c>
      <c r="C29" s="58" t="s">
        <v>91</v>
      </c>
      <c r="D29" s="58" t="s">
        <v>92</v>
      </c>
      <c r="E29" s="58" t="s">
        <v>93</v>
      </c>
      <c r="F29" s="58" t="s">
        <v>94</v>
      </c>
      <c r="G29" s="58" t="s">
        <v>95</v>
      </c>
      <c r="H29" s="58" t="s">
        <v>78</v>
      </c>
    </row>
    <row r="30" customFormat="false" ht="30" hidden="false" customHeight="true" outlineLevel="0" collapsed="false">
      <c r="A30" s="59" t="s">
        <v>96</v>
      </c>
      <c r="B30" s="60" t="str">
        <f aca="false">IFERROR(INDEX('Master Data'!$M$2:$M$2436,MATCH($B$3&amp;"|2|"&amp;B$29&amp;"|"&amp;$A30,'Master Data'!$A$2:$A$2436,0)),"")</f>
        <v>Tiny  0/0
coach: –</v>
      </c>
      <c r="C30" s="60" t="str">
        <f aca="false">IFERROR(INDEX('Master Data'!$M$2:$M$2436,MATCH($B$3&amp;"|2|"&amp;C$29&amp;"|"&amp;$A30,'Master Data'!$A$2:$A$2436,0)),"")</f>
        <v>Tiny  0/0
coach: –</v>
      </c>
      <c r="D30" s="60" t="str">
        <f aca="false">IFERROR(INDEX('Master Data'!$M$2:$M$2436,MATCH($B$3&amp;"|2|"&amp;D$29&amp;"|"&amp;$A30,'Master Data'!$A$2:$A$2436,0)),"")</f>
        <v>Tiny  0/0
coach: –</v>
      </c>
      <c r="E30" s="60" t="str">
        <f aca="false">IFERROR(INDEX('Master Data'!$M$2:$M$2436,MATCH($B$3&amp;"|2|"&amp;E$29&amp;"|"&amp;$A30,'Master Data'!$A$2:$A$2436,0)),"")</f>
        <v>Tiny  0/0
coach: –</v>
      </c>
      <c r="F30" s="60" t="str">
        <f aca="false">IFERROR(INDEX('Master Data'!$M$2:$M$2436,MATCH($B$3&amp;"|2|"&amp;F$29&amp;"|"&amp;$A30,'Master Data'!$A$2:$A$2436,0)),"")</f>
        <v>Tiny  0/0
coach: –</v>
      </c>
      <c r="G30" s="60" t="str">
        <f aca="false">IFERROR(INDEX('Master Data'!$M$2:$M$2436,MATCH($B$3&amp;"|2|"&amp;G$29&amp;"|"&amp;$A30,'Master Data'!$A$2:$A$2436,0)),"")</f>
        <v>Tiny  0/0
coach: –</v>
      </c>
      <c r="H30" s="60" t="str">
        <f aca="false">IFERROR(INDEX('Master Data'!$M$2:$M$2436,MATCH($B$3&amp;"|2|"&amp;H$29&amp;"|"&amp;$A30,'Master Data'!$A$2:$A$2436,0)),"")</f>
        <v>Tiny  0/0
coach: –</v>
      </c>
      <c r="T30" s="61" t="str">
        <f aca="false">IFERROR(INDEX('Master Data'!$L$2:$L$2436,MATCH($B$3&amp;"|2|"&amp;B$29&amp;"|"&amp;$A30,'Master Data'!$A$2:$A$2436,0)),"")</f>
        <v>Tutup</v>
      </c>
      <c r="U30" s="61" t="str">
        <f aca="false">IFERROR(INDEX('Master Data'!$L$2:$L$2436,MATCH($B$3&amp;"|2|"&amp;C$29&amp;"|"&amp;$A30,'Master Data'!$A$2:$A$2436,0)),"")</f>
        <v>Tutup</v>
      </c>
      <c r="V30" s="61" t="str">
        <f aca="false">IFERROR(INDEX('Master Data'!$L$2:$L$2436,MATCH($B$3&amp;"|2|"&amp;D$29&amp;"|"&amp;$A30,'Master Data'!$A$2:$A$2436,0)),"")</f>
        <v>Tutup</v>
      </c>
      <c r="W30" s="61" t="str">
        <f aca="false">IFERROR(INDEX('Master Data'!$L$2:$L$2436,MATCH($B$3&amp;"|2|"&amp;E$29&amp;"|"&amp;$A30,'Master Data'!$A$2:$A$2436,0)),"")</f>
        <v>Tutup</v>
      </c>
      <c r="X30" s="61" t="str">
        <f aca="false">IFERROR(INDEX('Master Data'!$L$2:$L$2436,MATCH($B$3&amp;"|2|"&amp;F$29&amp;"|"&amp;$A30,'Master Data'!$A$2:$A$2436,0)),"")</f>
        <v>Tutup</v>
      </c>
      <c r="Y30" s="61" t="str">
        <f aca="false">IFERROR(INDEX('Master Data'!$L$2:$L$2436,MATCH($B$3&amp;"|2|"&amp;G$29&amp;"|"&amp;$A30,'Master Data'!$A$2:$A$2436,0)),"")</f>
        <v>Tutup</v>
      </c>
      <c r="Z30" s="61" t="str">
        <f aca="false">IFERROR(INDEX('Master Data'!$L$2:$L$2436,MATCH($B$3&amp;"|2|"&amp;H$29&amp;"|"&amp;$A30,'Master Data'!$A$2:$A$2436,0)),"")</f>
        <v>Tutup</v>
      </c>
    </row>
    <row r="31" customFormat="false" ht="30" hidden="false" customHeight="true" outlineLevel="0" collapsed="false">
      <c r="A31" s="59" t="s">
        <v>97</v>
      </c>
      <c r="B31" s="60" t="str">
        <f aca="false">IFERROR(INDEX('Master Data'!$M$2:$M$2436,MATCH($B$3&amp;"|2|"&amp;B$29&amp;"|"&amp;$A31,'Master Data'!$A$2:$A$2436,0)),"")</f>
        <v>Tiny  3/5
coach: Zidane</v>
      </c>
      <c r="C31" s="60" t="str">
        <f aca="false">IFERROR(INDEX('Master Data'!$M$2:$M$2436,MATCH($B$3&amp;"|2|"&amp;C$29&amp;"|"&amp;$A31,'Master Data'!$A$2:$A$2436,0)),"")</f>
        <v>Tiny  5/5
coach: Zidane</v>
      </c>
      <c r="D31" s="60" t="str">
        <f aca="false">IFERROR(INDEX('Master Data'!$M$2:$M$2436,MATCH($B$3&amp;"|2|"&amp;D$29&amp;"|"&amp;$A31,'Master Data'!$A$2:$A$2436,0)),"")</f>
        <v>Tiny  4/5
coach: Eka</v>
      </c>
      <c r="E31" s="60" t="str">
        <f aca="false">IFERROR(INDEX('Master Data'!$M$2:$M$2436,MATCH($B$3&amp;"|2|"&amp;E$29&amp;"|"&amp;$A31,'Master Data'!$A$2:$A$2436,0)),"")</f>
        <v>Tiny  0/5
coach: –</v>
      </c>
      <c r="F31" s="60" t="str">
        <f aca="false">IFERROR(INDEX('Master Data'!$M$2:$M$2436,MATCH($B$3&amp;"|2|"&amp;F$29&amp;"|"&amp;$A31,'Master Data'!$A$2:$A$2436,0)),"")</f>
        <v>Tiny  2/5
coach: Gita</v>
      </c>
      <c r="G31" s="60" t="str">
        <f aca="false">IFERROR(INDEX('Master Data'!$M$2:$M$2436,MATCH($B$3&amp;"|2|"&amp;G$29&amp;"|"&amp;$A31,'Master Data'!$A$2:$A$2436,0)),"")</f>
        <v>Tiny  5/5
coach: Rischa</v>
      </c>
      <c r="H31" s="60" t="str">
        <f aca="false">IFERROR(INDEX('Master Data'!$M$2:$M$2436,MATCH($B$3&amp;"|2|"&amp;H$29&amp;"|"&amp;$A31,'Master Data'!$A$2:$A$2436,0)),"")</f>
        <v>Tiny  5/5
coach: Danti</v>
      </c>
      <c r="T31" s="61" t="str">
        <f aca="false">IFERROR(INDEX('Master Data'!$L$2:$L$2436,MATCH($B$3&amp;"|2|"&amp;B$29&amp;"|"&amp;$A31,'Master Data'!$A$2:$A$2436,0)),"")</f>
        <v>Sebagian</v>
      </c>
      <c r="U31" s="61" t="str">
        <f aca="false">IFERROR(INDEX('Master Data'!$L$2:$L$2436,MATCH($B$3&amp;"|2|"&amp;C$29&amp;"|"&amp;$A31,'Master Data'!$A$2:$A$2436,0)),"")</f>
        <v>Penuh</v>
      </c>
      <c r="V31" s="61" t="str">
        <f aca="false">IFERROR(INDEX('Master Data'!$L$2:$L$2436,MATCH($B$3&amp;"|2|"&amp;D$29&amp;"|"&amp;$A31,'Master Data'!$A$2:$A$2436,0)),"")</f>
        <v>Sebagian</v>
      </c>
      <c r="W31" s="61" t="str">
        <f aca="false">IFERROR(INDEX('Master Data'!$L$2:$L$2436,MATCH($B$3&amp;"|2|"&amp;E$29&amp;"|"&amp;$A31,'Master Data'!$A$2:$A$2436,0)),"")</f>
        <v>Belum terisi</v>
      </c>
      <c r="X31" s="61" t="str">
        <f aca="false">IFERROR(INDEX('Master Data'!$L$2:$L$2436,MATCH($B$3&amp;"|2|"&amp;F$29&amp;"|"&amp;$A31,'Master Data'!$A$2:$A$2436,0)),"")</f>
        <v>Sebagian</v>
      </c>
      <c r="Y31" s="61" t="str">
        <f aca="false">IFERROR(INDEX('Master Data'!$L$2:$L$2436,MATCH($B$3&amp;"|2|"&amp;G$29&amp;"|"&amp;$A31,'Master Data'!$A$2:$A$2436,0)),"")</f>
        <v>Penuh</v>
      </c>
      <c r="Z31" s="61" t="str">
        <f aca="false">IFERROR(INDEX('Master Data'!$L$2:$L$2436,MATCH($B$3&amp;"|2|"&amp;H$29&amp;"|"&amp;$A31,'Master Data'!$A$2:$A$2436,0)),"")</f>
        <v>Penuh</v>
      </c>
    </row>
    <row r="32" customFormat="false" ht="30" hidden="false" customHeight="true" outlineLevel="0" collapsed="false">
      <c r="A32" s="59" t="s">
        <v>98</v>
      </c>
      <c r="B32" s="60" t="str">
        <f aca="false">IFERROR(INDEX('Master Data'!$M$2:$M$2436,MATCH($B$3&amp;"|2|"&amp;B$29&amp;"|"&amp;$A32,'Master Data'!$A$2:$A$2436,0)),"")</f>
        <v>Tiny  3/5
coach: Zidane</v>
      </c>
      <c r="C32" s="60" t="str">
        <f aca="false">IFERROR(INDEX('Master Data'!$M$2:$M$2436,MATCH($B$3&amp;"|2|"&amp;C$29&amp;"|"&amp;$A32,'Master Data'!$A$2:$A$2436,0)),"")</f>
        <v>Tiny  4/5
coach: Rischa</v>
      </c>
      <c r="D32" s="60" t="str">
        <f aca="false">IFERROR(INDEX('Master Data'!$M$2:$M$2436,MATCH($B$3&amp;"|2|"&amp;D$29&amp;"|"&amp;$A32,'Master Data'!$A$2:$A$2436,0)),"")</f>
        <v>Tiny  4/5
coach: Surya</v>
      </c>
      <c r="E32" s="60" t="str">
        <f aca="false">IFERROR(INDEX('Master Data'!$M$2:$M$2436,MATCH($B$3&amp;"|2|"&amp;E$29&amp;"|"&amp;$A32,'Master Data'!$A$2:$A$2436,0)),"")</f>
        <v>Tiny  4/5
coach: Eka</v>
      </c>
      <c r="F32" s="60" t="str">
        <f aca="false">IFERROR(INDEX('Master Data'!$M$2:$M$2436,MATCH($B$3&amp;"|2|"&amp;F$29&amp;"|"&amp;$A32,'Master Data'!$A$2:$A$2436,0)),"")</f>
        <v>Tiny  5/5
coach: Surya</v>
      </c>
      <c r="G32" s="60" t="str">
        <f aca="false">IFERROR(INDEX('Master Data'!$M$2:$M$2436,MATCH($B$3&amp;"|2|"&amp;G$29&amp;"|"&amp;$A32,'Master Data'!$A$2:$A$2436,0)),"")</f>
        <v>Tiny  5/5
coach: Eka</v>
      </c>
      <c r="H32" s="60" t="str">
        <f aca="false">IFERROR(INDEX('Master Data'!$M$2:$M$2436,MATCH($B$3&amp;"|2|"&amp;H$29&amp;"|"&amp;$A32,'Master Data'!$A$2:$A$2436,0)),"")</f>
        <v>Tiny  4/5
coach: Rischa</v>
      </c>
      <c r="T32" s="61" t="str">
        <f aca="false">IFERROR(INDEX('Master Data'!$L$2:$L$2436,MATCH($B$3&amp;"|2|"&amp;B$29&amp;"|"&amp;$A32,'Master Data'!$A$2:$A$2436,0)),"")</f>
        <v>Sebagian</v>
      </c>
      <c r="U32" s="61" t="str">
        <f aca="false">IFERROR(INDEX('Master Data'!$L$2:$L$2436,MATCH($B$3&amp;"|2|"&amp;C$29&amp;"|"&amp;$A32,'Master Data'!$A$2:$A$2436,0)),"")</f>
        <v>Sebagian</v>
      </c>
      <c r="V32" s="61" t="str">
        <f aca="false">IFERROR(INDEX('Master Data'!$L$2:$L$2436,MATCH($B$3&amp;"|2|"&amp;D$29&amp;"|"&amp;$A32,'Master Data'!$A$2:$A$2436,0)),"")</f>
        <v>Sebagian</v>
      </c>
      <c r="W32" s="61" t="str">
        <f aca="false">IFERROR(INDEX('Master Data'!$L$2:$L$2436,MATCH($B$3&amp;"|2|"&amp;E$29&amp;"|"&amp;$A32,'Master Data'!$A$2:$A$2436,0)),"")</f>
        <v>Sebagian</v>
      </c>
      <c r="X32" s="61" t="str">
        <f aca="false">IFERROR(INDEX('Master Data'!$L$2:$L$2436,MATCH($B$3&amp;"|2|"&amp;F$29&amp;"|"&amp;$A32,'Master Data'!$A$2:$A$2436,0)),"")</f>
        <v>Penuh</v>
      </c>
      <c r="Y32" s="61" t="str">
        <f aca="false">IFERROR(INDEX('Master Data'!$L$2:$L$2436,MATCH($B$3&amp;"|2|"&amp;G$29&amp;"|"&amp;$A32,'Master Data'!$A$2:$A$2436,0)),"")</f>
        <v>Penuh</v>
      </c>
      <c r="Z32" s="61" t="str">
        <f aca="false">IFERROR(INDEX('Master Data'!$L$2:$L$2436,MATCH($B$3&amp;"|2|"&amp;H$29&amp;"|"&amp;$A32,'Master Data'!$A$2:$A$2436,0)),"")</f>
        <v>Sebagian</v>
      </c>
    </row>
    <row r="33" customFormat="false" ht="30" hidden="false" customHeight="true" outlineLevel="0" collapsed="false">
      <c r="A33" s="59" t="s">
        <v>99</v>
      </c>
      <c r="B33" s="60" t="str">
        <f aca="false">IFERROR(INDEX('Master Data'!$M$2:$M$2436,MATCH($B$3&amp;"|2|"&amp;B$29&amp;"|"&amp;$A33,'Master Data'!$A$2:$A$2436,0)),"")</f>
        <v>Tiny  0/5
coach: –</v>
      </c>
      <c r="C33" s="60" t="str">
        <f aca="false">IFERROR(INDEX('Master Data'!$M$2:$M$2436,MATCH($B$3&amp;"|2|"&amp;C$29&amp;"|"&amp;$A33,'Master Data'!$A$2:$A$2436,0)),"")</f>
        <v>Tiny  3/5
coach: Rischa</v>
      </c>
      <c r="D33" s="60" t="str">
        <f aca="false">IFERROR(INDEX('Master Data'!$M$2:$M$2436,MATCH($B$3&amp;"|2|"&amp;D$29&amp;"|"&amp;$A33,'Master Data'!$A$2:$A$2436,0)),"")</f>
        <v>Tiny  5/5
coach: Surya</v>
      </c>
      <c r="E33" s="60" t="str">
        <f aca="false">IFERROR(INDEX('Master Data'!$M$2:$M$2436,MATCH($B$3&amp;"|2|"&amp;E$29&amp;"|"&amp;$A33,'Master Data'!$A$2:$A$2436,0)),"")</f>
        <v>Tiny  0/5
coach: –</v>
      </c>
      <c r="F33" s="60" t="str">
        <f aca="false">IFERROR(INDEX('Master Data'!$M$2:$M$2436,MATCH($B$3&amp;"|2|"&amp;F$29&amp;"|"&amp;$A33,'Master Data'!$A$2:$A$2436,0)),"")</f>
        <v>Tiny  0/5
coach: –</v>
      </c>
      <c r="G33" s="60" t="str">
        <f aca="false">IFERROR(INDEX('Master Data'!$M$2:$M$2436,MATCH($B$3&amp;"|2|"&amp;G$29&amp;"|"&amp;$A33,'Master Data'!$A$2:$A$2436,0)),"")</f>
        <v>Tiny  5/5
coach: Eka</v>
      </c>
      <c r="H33" s="60" t="str">
        <f aca="false">IFERROR(INDEX('Master Data'!$M$2:$M$2436,MATCH($B$3&amp;"|2|"&amp;H$29&amp;"|"&amp;$A33,'Master Data'!$A$2:$A$2436,0)),"")</f>
        <v>Tiny  5/5
coach: Danti</v>
      </c>
      <c r="T33" s="61" t="str">
        <f aca="false">IFERROR(INDEX('Master Data'!$L$2:$L$2436,MATCH($B$3&amp;"|2|"&amp;B$29&amp;"|"&amp;$A33,'Master Data'!$A$2:$A$2436,0)),"")</f>
        <v>Belum terisi</v>
      </c>
      <c r="U33" s="61" t="str">
        <f aca="false">IFERROR(INDEX('Master Data'!$L$2:$L$2436,MATCH($B$3&amp;"|2|"&amp;C$29&amp;"|"&amp;$A33,'Master Data'!$A$2:$A$2436,0)),"")</f>
        <v>Sebagian</v>
      </c>
      <c r="V33" s="61" t="str">
        <f aca="false">IFERROR(INDEX('Master Data'!$L$2:$L$2436,MATCH($B$3&amp;"|2|"&amp;D$29&amp;"|"&amp;$A33,'Master Data'!$A$2:$A$2436,0)),"")</f>
        <v>Penuh</v>
      </c>
      <c r="W33" s="61" t="str">
        <f aca="false">IFERROR(INDEX('Master Data'!$L$2:$L$2436,MATCH($B$3&amp;"|2|"&amp;E$29&amp;"|"&amp;$A33,'Master Data'!$A$2:$A$2436,0)),"")</f>
        <v>Belum terisi</v>
      </c>
      <c r="X33" s="61" t="str">
        <f aca="false">IFERROR(INDEX('Master Data'!$L$2:$L$2436,MATCH($B$3&amp;"|2|"&amp;F$29&amp;"|"&amp;$A33,'Master Data'!$A$2:$A$2436,0)),"")</f>
        <v>Belum terisi</v>
      </c>
      <c r="Y33" s="61" t="str">
        <f aca="false">IFERROR(INDEX('Master Data'!$L$2:$L$2436,MATCH($B$3&amp;"|2|"&amp;G$29&amp;"|"&amp;$A33,'Master Data'!$A$2:$A$2436,0)),"")</f>
        <v>Penuh</v>
      </c>
      <c r="Z33" s="61" t="str">
        <f aca="false">IFERROR(INDEX('Master Data'!$L$2:$L$2436,MATCH($B$3&amp;"|2|"&amp;H$29&amp;"|"&amp;$A33,'Master Data'!$A$2:$A$2436,0)),"")</f>
        <v>Penuh</v>
      </c>
    </row>
    <row r="34" customFormat="false" ht="30" hidden="false" customHeight="true" outlineLevel="0" collapsed="false">
      <c r="A34" s="59" t="s">
        <v>100</v>
      </c>
      <c r="B34" s="60" t="str">
        <f aca="false">IFERROR(INDEX('Master Data'!$M$2:$M$2436,MATCH($B$3&amp;"|2|"&amp;B$29&amp;"|"&amp;$A34,'Master Data'!$A$2:$A$2436,0)),"")</f>
        <v>Tiny  0/5
coach: –</v>
      </c>
      <c r="C34" s="60" t="str">
        <f aca="false">IFERROR(INDEX('Master Data'!$M$2:$M$2436,MATCH($B$3&amp;"|2|"&amp;C$29&amp;"|"&amp;$A34,'Master Data'!$A$2:$A$2436,0)),"")</f>
        <v>Tiny  0/5
coach: –</v>
      </c>
      <c r="D34" s="60" t="str">
        <f aca="false">IFERROR(INDEX('Master Data'!$M$2:$M$2436,MATCH($B$3&amp;"|2|"&amp;D$29&amp;"|"&amp;$A34,'Master Data'!$A$2:$A$2436,0)),"")</f>
        <v>Tiny  0/5
coach: –</v>
      </c>
      <c r="E34" s="60" t="str">
        <f aca="false">IFERROR(INDEX('Master Data'!$M$2:$M$2436,MATCH($B$3&amp;"|2|"&amp;E$29&amp;"|"&amp;$A34,'Master Data'!$A$2:$A$2436,0)),"")</f>
        <v>Tiny  0/5
coach: –</v>
      </c>
      <c r="F34" s="60" t="str">
        <f aca="false">IFERROR(INDEX('Master Data'!$M$2:$M$2436,MATCH($B$3&amp;"|2|"&amp;F$29&amp;"|"&amp;$A34,'Master Data'!$A$2:$A$2436,0)),"")</f>
        <v>Tiny  0/5
coach: –</v>
      </c>
      <c r="G34" s="60" t="str">
        <f aca="false">IFERROR(INDEX('Master Data'!$M$2:$M$2436,MATCH($B$3&amp;"|2|"&amp;G$29&amp;"|"&amp;$A34,'Master Data'!$A$2:$A$2436,0)),"")</f>
        <v>Tiny  4/5
coach: Nuky</v>
      </c>
      <c r="H34" s="60" t="str">
        <f aca="false">IFERROR(INDEX('Master Data'!$M$2:$M$2436,MATCH($B$3&amp;"|2|"&amp;H$29&amp;"|"&amp;$A34,'Master Data'!$A$2:$A$2436,0)),"")</f>
        <v>Tiny  5/5
coach: Surya</v>
      </c>
      <c r="T34" s="61" t="str">
        <f aca="false">IFERROR(INDEX('Master Data'!$L$2:$L$2436,MATCH($B$3&amp;"|2|"&amp;B$29&amp;"|"&amp;$A34,'Master Data'!$A$2:$A$2436,0)),"")</f>
        <v>Belum terisi</v>
      </c>
      <c r="U34" s="61" t="str">
        <f aca="false">IFERROR(INDEX('Master Data'!$L$2:$L$2436,MATCH($B$3&amp;"|2|"&amp;C$29&amp;"|"&amp;$A34,'Master Data'!$A$2:$A$2436,0)),"")</f>
        <v>Belum terisi</v>
      </c>
      <c r="V34" s="61" t="str">
        <f aca="false">IFERROR(INDEX('Master Data'!$L$2:$L$2436,MATCH($B$3&amp;"|2|"&amp;D$29&amp;"|"&amp;$A34,'Master Data'!$A$2:$A$2436,0)),"")</f>
        <v>Belum terisi</v>
      </c>
      <c r="W34" s="61" t="str">
        <f aca="false">IFERROR(INDEX('Master Data'!$L$2:$L$2436,MATCH($B$3&amp;"|2|"&amp;E$29&amp;"|"&amp;$A34,'Master Data'!$A$2:$A$2436,0)),"")</f>
        <v>Belum terisi</v>
      </c>
      <c r="X34" s="61" t="str">
        <f aca="false">IFERROR(INDEX('Master Data'!$L$2:$L$2436,MATCH($B$3&amp;"|2|"&amp;F$29&amp;"|"&amp;$A34,'Master Data'!$A$2:$A$2436,0)),"")</f>
        <v>Belum terisi</v>
      </c>
      <c r="Y34" s="61" t="str">
        <f aca="false">IFERROR(INDEX('Master Data'!$L$2:$L$2436,MATCH($B$3&amp;"|2|"&amp;G$29&amp;"|"&amp;$A34,'Master Data'!$A$2:$A$2436,0)),"")</f>
        <v>Sebagian</v>
      </c>
      <c r="Z34" s="61" t="str">
        <f aca="false">IFERROR(INDEX('Master Data'!$L$2:$L$2436,MATCH($B$3&amp;"|2|"&amp;H$29&amp;"|"&amp;$A34,'Master Data'!$A$2:$A$2436,0)),"")</f>
        <v>Penuh</v>
      </c>
    </row>
    <row r="35" customFormat="false" ht="30" hidden="false" customHeight="true" outlineLevel="0" collapsed="false">
      <c r="A35" s="59" t="s">
        <v>101</v>
      </c>
      <c r="B35" s="60" t="str">
        <f aca="false">IFERROR(INDEX('Master Data'!$M$2:$M$2436,MATCH($B$3&amp;"|2|"&amp;B$29&amp;"|"&amp;$A35,'Master Data'!$A$2:$A$2436,0)),"")</f>
        <v>Tiny  0/0
coach: –</v>
      </c>
      <c r="C35" s="60" t="str">
        <f aca="false">IFERROR(INDEX('Master Data'!$M$2:$M$2436,MATCH($B$3&amp;"|2|"&amp;C$29&amp;"|"&amp;$A35,'Master Data'!$A$2:$A$2436,0)),"")</f>
        <v>Tiny  0/0
coach: –</v>
      </c>
      <c r="D35" s="60" t="str">
        <f aca="false">IFERROR(INDEX('Master Data'!$M$2:$M$2436,MATCH($B$3&amp;"|2|"&amp;D$29&amp;"|"&amp;$A35,'Master Data'!$A$2:$A$2436,0)),"")</f>
        <v>Tiny  0/0
coach: –</v>
      </c>
      <c r="E35" s="60" t="str">
        <f aca="false">IFERROR(INDEX('Master Data'!$M$2:$M$2436,MATCH($B$3&amp;"|2|"&amp;E$29&amp;"|"&amp;$A35,'Master Data'!$A$2:$A$2436,0)),"")</f>
        <v>Tiny  0/0
coach: –</v>
      </c>
      <c r="F35" s="60" t="str">
        <f aca="false">IFERROR(INDEX('Master Data'!$M$2:$M$2436,MATCH($B$3&amp;"|2|"&amp;F$29&amp;"|"&amp;$A35,'Master Data'!$A$2:$A$2436,0)),"")</f>
        <v>Tiny  0/0
coach: –</v>
      </c>
      <c r="G35" s="60" t="str">
        <f aca="false">IFERROR(INDEX('Master Data'!$M$2:$M$2436,MATCH($B$3&amp;"|2|"&amp;G$29&amp;"|"&amp;$A35,'Master Data'!$A$2:$A$2436,0)),"")</f>
        <v>Kids  4/4
coach: Tessa</v>
      </c>
      <c r="H35" s="60" t="str">
        <f aca="false">IFERROR(INDEX('Master Data'!$M$2:$M$2436,MATCH($B$3&amp;"|2|"&amp;H$29&amp;"|"&amp;$A35,'Master Data'!$A$2:$A$2436,0)),"")</f>
        <v>Tiny  2/5
coach: Tessa</v>
      </c>
      <c r="T35" s="61" t="str">
        <f aca="false">IFERROR(INDEX('Master Data'!$L$2:$L$2436,MATCH($B$3&amp;"|2|"&amp;B$29&amp;"|"&amp;$A35,'Master Data'!$A$2:$A$2436,0)),"")</f>
        <v>Tutup</v>
      </c>
      <c r="U35" s="61" t="str">
        <f aca="false">IFERROR(INDEX('Master Data'!$L$2:$L$2436,MATCH($B$3&amp;"|2|"&amp;C$29&amp;"|"&amp;$A35,'Master Data'!$A$2:$A$2436,0)),"")</f>
        <v>Tutup</v>
      </c>
      <c r="V35" s="61" t="str">
        <f aca="false">IFERROR(INDEX('Master Data'!$L$2:$L$2436,MATCH($B$3&amp;"|2|"&amp;D$29&amp;"|"&amp;$A35,'Master Data'!$A$2:$A$2436,0)),"")</f>
        <v>Tutup</v>
      </c>
      <c r="W35" s="61" t="str">
        <f aca="false">IFERROR(INDEX('Master Data'!$L$2:$L$2436,MATCH($B$3&amp;"|2|"&amp;E$29&amp;"|"&amp;$A35,'Master Data'!$A$2:$A$2436,0)),"")</f>
        <v>Tutup</v>
      </c>
      <c r="X35" s="61" t="str">
        <f aca="false">IFERROR(INDEX('Master Data'!$L$2:$L$2436,MATCH($B$3&amp;"|2|"&amp;F$29&amp;"|"&amp;$A35,'Master Data'!$A$2:$A$2436,0)),"")</f>
        <v>Tutup</v>
      </c>
      <c r="Y35" s="61" t="str">
        <f aca="false">IFERROR(INDEX('Master Data'!$L$2:$L$2436,MATCH($B$3&amp;"|2|"&amp;G$29&amp;"|"&amp;$A35,'Master Data'!$A$2:$A$2436,0)),"")</f>
        <v>Penuh</v>
      </c>
      <c r="Z35" s="61" t="str">
        <f aca="false">IFERROR(INDEX('Master Data'!$L$2:$L$2436,MATCH($B$3&amp;"|2|"&amp;H$29&amp;"|"&amp;$A35,'Master Data'!$A$2:$A$2436,0)),"")</f>
        <v>Sebagian</v>
      </c>
    </row>
    <row r="36" customFormat="false" ht="30" hidden="false" customHeight="true" outlineLevel="0" collapsed="false">
      <c r="A36" s="59" t="s">
        <v>102</v>
      </c>
      <c r="B36" s="60" t="str">
        <f aca="false">IFERROR(INDEX('Master Data'!$M$2:$M$2436,MATCH($B$3&amp;"|2|"&amp;B$29&amp;"|"&amp;$A36,'Master Data'!$A$2:$A$2436,0)),"")</f>
        <v>Tiny  0/5
coach: –</v>
      </c>
      <c r="C36" s="60" t="str">
        <f aca="false">IFERROR(INDEX('Master Data'!$M$2:$M$2436,MATCH($B$3&amp;"|2|"&amp;C$29&amp;"|"&amp;$A36,'Master Data'!$A$2:$A$2436,0)),"")</f>
        <v>Tiny  0/5
coach: –</v>
      </c>
      <c r="D36" s="60" t="str">
        <f aca="false">IFERROR(INDEX('Master Data'!$M$2:$M$2436,MATCH($B$3&amp;"|2|"&amp;D$29&amp;"|"&amp;$A36,'Master Data'!$A$2:$A$2436,0)),"")</f>
        <v>Tiny  0/5
coach: –</v>
      </c>
      <c r="E36" s="60" t="str">
        <f aca="false">IFERROR(INDEX('Master Data'!$M$2:$M$2436,MATCH($B$3&amp;"|2|"&amp;E$29&amp;"|"&amp;$A36,'Master Data'!$A$2:$A$2436,0)),"")</f>
        <v>Tiny  0/5
coach: –</v>
      </c>
      <c r="F36" s="60" t="str">
        <f aca="false">IFERROR(INDEX('Master Data'!$M$2:$M$2436,MATCH($B$3&amp;"|2|"&amp;F$29&amp;"|"&amp;$A36,'Master Data'!$A$2:$A$2436,0)),"")</f>
        <v>Tiny  0/5
coach: –</v>
      </c>
      <c r="G36" s="60" t="str">
        <f aca="false">IFERROR(INDEX('Master Data'!$M$2:$M$2436,MATCH($B$3&amp;"|2|"&amp;G$29&amp;"|"&amp;$A36,'Master Data'!$A$2:$A$2436,0)),"")</f>
        <v>Tiny  3/5
coach: Zidane</v>
      </c>
      <c r="H36" s="60" t="str">
        <f aca="false">IFERROR(INDEX('Master Data'!$M$2:$M$2436,MATCH($B$3&amp;"|2|"&amp;H$29&amp;"|"&amp;$A36,'Master Data'!$A$2:$A$2436,0)),"")</f>
        <v>Tiny  4/5
coach: Surya</v>
      </c>
      <c r="T36" s="61" t="str">
        <f aca="false">IFERROR(INDEX('Master Data'!$L$2:$L$2436,MATCH($B$3&amp;"|2|"&amp;B$29&amp;"|"&amp;$A36,'Master Data'!$A$2:$A$2436,0)),"")</f>
        <v>Belum terisi</v>
      </c>
      <c r="U36" s="61" t="str">
        <f aca="false">IFERROR(INDEX('Master Data'!$L$2:$L$2436,MATCH($B$3&amp;"|2|"&amp;C$29&amp;"|"&amp;$A36,'Master Data'!$A$2:$A$2436,0)),"")</f>
        <v>Belum terisi</v>
      </c>
      <c r="V36" s="61" t="str">
        <f aca="false">IFERROR(INDEX('Master Data'!$L$2:$L$2436,MATCH($B$3&amp;"|2|"&amp;D$29&amp;"|"&amp;$A36,'Master Data'!$A$2:$A$2436,0)),"")</f>
        <v>Belum terisi</v>
      </c>
      <c r="W36" s="61" t="str">
        <f aca="false">IFERROR(INDEX('Master Data'!$L$2:$L$2436,MATCH($B$3&amp;"|2|"&amp;E$29&amp;"|"&amp;$A36,'Master Data'!$A$2:$A$2436,0)),"")</f>
        <v>Belum terisi</v>
      </c>
      <c r="X36" s="61" t="str">
        <f aca="false">IFERROR(INDEX('Master Data'!$L$2:$L$2436,MATCH($B$3&amp;"|2|"&amp;F$29&amp;"|"&amp;$A36,'Master Data'!$A$2:$A$2436,0)),"")</f>
        <v>Belum terisi</v>
      </c>
      <c r="Y36" s="61" t="str">
        <f aca="false">IFERROR(INDEX('Master Data'!$L$2:$L$2436,MATCH($B$3&amp;"|2|"&amp;G$29&amp;"|"&amp;$A36,'Master Data'!$A$2:$A$2436,0)),"")</f>
        <v>Sebagian</v>
      </c>
      <c r="Z36" s="61" t="str">
        <f aca="false">IFERROR(INDEX('Master Data'!$L$2:$L$2436,MATCH($B$3&amp;"|2|"&amp;H$29&amp;"|"&amp;$A36,'Master Data'!$A$2:$A$2436,0)),"")</f>
        <v>Sebagian</v>
      </c>
    </row>
    <row r="37" customFormat="false" ht="30" hidden="false" customHeight="true" outlineLevel="0" collapsed="false">
      <c r="A37" s="59" t="s">
        <v>103</v>
      </c>
      <c r="B37" s="60" t="str">
        <f aca="false">IFERROR(INDEX('Master Data'!$M$2:$M$2436,MATCH($B$3&amp;"|2|"&amp;B$29&amp;"|"&amp;$A37,'Master Data'!$A$2:$A$2436,0)),"")</f>
        <v>Tiny  1/5
coach: Rischa</v>
      </c>
      <c r="C37" s="60" t="str">
        <f aca="false">IFERROR(INDEX('Master Data'!$M$2:$M$2436,MATCH($B$3&amp;"|2|"&amp;C$29&amp;"|"&amp;$A37,'Master Data'!$A$2:$A$2436,0)),"")</f>
        <v>Tiny  2/5
coach: Rischa</v>
      </c>
      <c r="D37" s="60" t="str">
        <f aca="false">IFERROR(INDEX('Master Data'!$M$2:$M$2436,MATCH($B$3&amp;"|2|"&amp;D$29&amp;"|"&amp;$A37,'Master Data'!$A$2:$A$2436,0)),"")</f>
        <v>Tiny  0/5
coach: –</v>
      </c>
      <c r="E37" s="60" t="str">
        <f aca="false">IFERROR(INDEX('Master Data'!$M$2:$M$2436,MATCH($B$3&amp;"|2|"&amp;E$29&amp;"|"&amp;$A37,'Master Data'!$A$2:$A$2436,0)),"")</f>
        <v>Tiny  0/5
coach: –</v>
      </c>
      <c r="F37" s="60" t="str">
        <f aca="false">IFERROR(INDEX('Master Data'!$M$2:$M$2436,MATCH($B$3&amp;"|2|"&amp;F$29&amp;"|"&amp;$A37,'Master Data'!$A$2:$A$2436,0)),"")</f>
        <v>Tiny  3/5
coach: Surya</v>
      </c>
      <c r="G37" s="60" t="str">
        <f aca="false">IFERROR(INDEX('Master Data'!$M$2:$M$2436,MATCH($B$3&amp;"|2|"&amp;G$29&amp;"|"&amp;$A37,'Master Data'!$A$2:$A$2436,0)),"")</f>
        <v>Tiny  5/5
coach: Rischa</v>
      </c>
      <c r="H37" s="60" t="str">
        <f aca="false">IFERROR(INDEX('Master Data'!$M$2:$M$2436,MATCH($B$3&amp;"|2|"&amp;H$29&amp;"|"&amp;$A37,'Master Data'!$A$2:$A$2436,0)),"")</f>
        <v>Kids  1/4
coach: Tessa</v>
      </c>
      <c r="T37" s="61" t="str">
        <f aca="false">IFERROR(INDEX('Master Data'!$L$2:$L$2436,MATCH($B$3&amp;"|2|"&amp;B$29&amp;"|"&amp;$A37,'Master Data'!$A$2:$A$2436,0)),"")</f>
        <v>Sebagian</v>
      </c>
      <c r="U37" s="61" t="str">
        <f aca="false">IFERROR(INDEX('Master Data'!$L$2:$L$2436,MATCH($B$3&amp;"|2|"&amp;C$29&amp;"|"&amp;$A37,'Master Data'!$A$2:$A$2436,0)),"")</f>
        <v>Sebagian</v>
      </c>
      <c r="V37" s="61" t="str">
        <f aca="false">IFERROR(INDEX('Master Data'!$L$2:$L$2436,MATCH($B$3&amp;"|2|"&amp;D$29&amp;"|"&amp;$A37,'Master Data'!$A$2:$A$2436,0)),"")</f>
        <v>Belum terisi</v>
      </c>
      <c r="W37" s="61" t="str">
        <f aca="false">IFERROR(INDEX('Master Data'!$L$2:$L$2436,MATCH($B$3&amp;"|2|"&amp;E$29&amp;"|"&amp;$A37,'Master Data'!$A$2:$A$2436,0)),"")</f>
        <v>Belum terisi</v>
      </c>
      <c r="X37" s="61" t="str">
        <f aca="false">IFERROR(INDEX('Master Data'!$L$2:$L$2436,MATCH($B$3&amp;"|2|"&amp;F$29&amp;"|"&amp;$A37,'Master Data'!$A$2:$A$2436,0)),"")</f>
        <v>Sebagian</v>
      </c>
      <c r="Y37" s="61" t="str">
        <f aca="false">IFERROR(INDEX('Master Data'!$L$2:$L$2436,MATCH($B$3&amp;"|2|"&amp;G$29&amp;"|"&amp;$A37,'Master Data'!$A$2:$A$2436,0)),"")</f>
        <v>Penuh</v>
      </c>
      <c r="Z37" s="61" t="str">
        <f aca="false">IFERROR(INDEX('Master Data'!$L$2:$L$2436,MATCH($B$3&amp;"|2|"&amp;H$29&amp;"|"&amp;$A37,'Master Data'!$A$2:$A$2436,0)),"")</f>
        <v>Sebagian</v>
      </c>
    </row>
    <row r="38" customFormat="false" ht="30" hidden="false" customHeight="true" outlineLevel="0" collapsed="false">
      <c r="A38" s="59" t="s">
        <v>104</v>
      </c>
      <c r="B38" s="60" t="str">
        <f aca="false">IFERROR(INDEX('Master Data'!$M$2:$M$2436,MATCH($B$3&amp;"|2|"&amp;B$29&amp;"|"&amp;$A38,'Master Data'!$A$2:$A$2436,0)),"")</f>
        <v>Tiny  0/0
coach: –</v>
      </c>
      <c r="C38" s="60" t="str">
        <f aca="false">IFERROR(INDEX('Master Data'!$M$2:$M$2436,MATCH($B$3&amp;"|2|"&amp;C$29&amp;"|"&amp;$A38,'Master Data'!$A$2:$A$2436,0)),"")</f>
        <v>Tiny  0/0
coach: –</v>
      </c>
      <c r="D38" s="60" t="str">
        <f aca="false">IFERROR(INDEX('Master Data'!$M$2:$M$2436,MATCH($B$3&amp;"|2|"&amp;D$29&amp;"|"&amp;$A38,'Master Data'!$A$2:$A$2436,0)),"")</f>
        <v>Tiny  0/0
coach: –</v>
      </c>
      <c r="E38" s="60" t="str">
        <f aca="false">IFERROR(INDEX('Master Data'!$M$2:$M$2436,MATCH($B$3&amp;"|2|"&amp;E$29&amp;"|"&amp;$A38,'Master Data'!$A$2:$A$2436,0)),"")</f>
        <v>Tiny  0/0
coach: –</v>
      </c>
      <c r="F38" s="60" t="str">
        <f aca="false">IFERROR(INDEX('Master Data'!$M$2:$M$2436,MATCH($B$3&amp;"|2|"&amp;F$29&amp;"|"&amp;$A38,'Master Data'!$A$2:$A$2436,0)),"")</f>
        <v>Tiny  0/0
coach: –</v>
      </c>
      <c r="G38" s="60" t="str">
        <f aca="false">IFERROR(INDEX('Master Data'!$M$2:$M$2436,MATCH($B$3&amp;"|2|"&amp;G$29&amp;"|"&amp;$A38,'Master Data'!$A$2:$A$2436,0)),"")</f>
        <v>Tiny  5/5
coach: Nuky</v>
      </c>
      <c r="H38" s="60" t="str">
        <f aca="false">IFERROR(INDEX('Master Data'!$M$2:$M$2436,MATCH($B$3&amp;"|2|"&amp;H$29&amp;"|"&amp;$A38,'Master Data'!$A$2:$A$2436,0)),"")</f>
        <v>Tiny  3/5
coach: Nuky</v>
      </c>
      <c r="T38" s="61" t="str">
        <f aca="false">IFERROR(INDEX('Master Data'!$L$2:$L$2436,MATCH($B$3&amp;"|2|"&amp;B$29&amp;"|"&amp;$A38,'Master Data'!$A$2:$A$2436,0)),"")</f>
        <v>Tutup</v>
      </c>
      <c r="U38" s="61" t="str">
        <f aca="false">IFERROR(INDEX('Master Data'!$L$2:$L$2436,MATCH($B$3&amp;"|2|"&amp;C$29&amp;"|"&amp;$A38,'Master Data'!$A$2:$A$2436,0)),"")</f>
        <v>Tutup</v>
      </c>
      <c r="V38" s="61" t="str">
        <f aca="false">IFERROR(INDEX('Master Data'!$L$2:$L$2436,MATCH($B$3&amp;"|2|"&amp;D$29&amp;"|"&amp;$A38,'Master Data'!$A$2:$A$2436,0)),"")</f>
        <v>Tutup</v>
      </c>
      <c r="W38" s="61" t="str">
        <f aca="false">IFERROR(INDEX('Master Data'!$L$2:$L$2436,MATCH($B$3&amp;"|2|"&amp;E$29&amp;"|"&amp;$A38,'Master Data'!$A$2:$A$2436,0)),"")</f>
        <v>Tutup</v>
      </c>
      <c r="X38" s="61" t="str">
        <f aca="false">IFERROR(INDEX('Master Data'!$L$2:$L$2436,MATCH($B$3&amp;"|2|"&amp;F$29&amp;"|"&amp;$A38,'Master Data'!$A$2:$A$2436,0)),"")</f>
        <v>Tutup</v>
      </c>
      <c r="Y38" s="61" t="str">
        <f aca="false">IFERROR(INDEX('Master Data'!$L$2:$L$2436,MATCH($B$3&amp;"|2|"&amp;G$29&amp;"|"&amp;$A38,'Master Data'!$A$2:$A$2436,0)),"")</f>
        <v>Penuh</v>
      </c>
      <c r="Z38" s="61" t="str">
        <f aca="false">IFERROR(INDEX('Master Data'!$L$2:$L$2436,MATCH($B$3&amp;"|2|"&amp;H$29&amp;"|"&amp;$A38,'Master Data'!$A$2:$A$2436,0)),"")</f>
        <v>Sebagian</v>
      </c>
    </row>
    <row r="39" customFormat="false" ht="30" hidden="false" customHeight="true" outlineLevel="0" collapsed="false">
      <c r="A39" s="59" t="s">
        <v>105</v>
      </c>
      <c r="B39" s="60" t="str">
        <f aca="false">IFERROR(INDEX('Master Data'!$M$2:$M$2436,MATCH($B$3&amp;"|2|"&amp;B$29&amp;"|"&amp;$A39,'Master Data'!$A$2:$A$2436,0)),"")</f>
        <v>Tiny  0/0
coach: –</v>
      </c>
      <c r="C39" s="60" t="str">
        <f aca="false">IFERROR(INDEX('Master Data'!$M$2:$M$2436,MATCH($B$3&amp;"|2|"&amp;C$29&amp;"|"&amp;$A39,'Master Data'!$A$2:$A$2436,0)),"")</f>
        <v>Kids  4/0
coach: Dian</v>
      </c>
      <c r="D39" s="60" t="str">
        <f aca="false">IFERROR(INDEX('Master Data'!$M$2:$M$2436,MATCH($B$3&amp;"|2|"&amp;D$29&amp;"|"&amp;$A39,'Master Data'!$A$2:$A$2436,0)),"")</f>
        <v>Tiny  0/5
coach: –</v>
      </c>
      <c r="E39" s="60" t="str">
        <f aca="false">IFERROR(INDEX('Master Data'!$M$2:$M$2436,MATCH($B$3&amp;"|2|"&amp;E$29&amp;"|"&amp;$A39,'Master Data'!$A$2:$A$2436,0)),"")</f>
        <v>Tiny  0/0
coach: –</v>
      </c>
      <c r="F39" s="60" t="str">
        <f aca="false">IFERROR(INDEX('Master Data'!$M$2:$M$2436,MATCH($B$3&amp;"|2|"&amp;F$29&amp;"|"&amp;$A39,'Master Data'!$A$2:$A$2436,0)),"")</f>
        <v>Kids  4/0
coach: Tessa</v>
      </c>
      <c r="G39" s="60" t="str">
        <f aca="false">IFERROR(INDEX('Master Data'!$M$2:$M$2436,MATCH($B$3&amp;"|2|"&amp;G$29&amp;"|"&amp;$A39,'Master Data'!$A$2:$A$2436,0)),"")</f>
        <v>Kids  4/4
coach: Gita</v>
      </c>
      <c r="H39" s="60" t="str">
        <f aca="false">IFERROR(INDEX('Master Data'!$M$2:$M$2436,MATCH($B$3&amp;"|2|"&amp;H$29&amp;"|"&amp;$A39,'Master Data'!$A$2:$A$2436,0)),"")</f>
        <v>Tiny  5/5
coach: Gita</v>
      </c>
      <c r="T39" s="61" t="str">
        <f aca="false">IFERROR(INDEX('Master Data'!$L$2:$L$2436,MATCH($B$3&amp;"|2|"&amp;B$29&amp;"|"&amp;$A39,'Master Data'!$A$2:$A$2436,0)),"")</f>
        <v>Tutup</v>
      </c>
      <c r="U39" s="61" t="str">
        <f aca="false">IFERROR(INDEX('Master Data'!$L$2:$L$2436,MATCH($B$3&amp;"|2|"&amp;C$29&amp;"|"&amp;$A39,'Master Data'!$A$2:$A$2436,0)),"")</f>
        <v>Lebih kapasitas</v>
      </c>
      <c r="V39" s="61" t="str">
        <f aca="false">IFERROR(INDEX('Master Data'!$L$2:$L$2436,MATCH($B$3&amp;"|2|"&amp;D$29&amp;"|"&amp;$A39,'Master Data'!$A$2:$A$2436,0)),"")</f>
        <v>Belum terisi</v>
      </c>
      <c r="W39" s="61" t="str">
        <f aca="false">IFERROR(INDEX('Master Data'!$L$2:$L$2436,MATCH($B$3&amp;"|2|"&amp;E$29&amp;"|"&amp;$A39,'Master Data'!$A$2:$A$2436,0)),"")</f>
        <v>Tutup</v>
      </c>
      <c r="X39" s="61" t="str">
        <f aca="false">IFERROR(INDEX('Master Data'!$L$2:$L$2436,MATCH($B$3&amp;"|2|"&amp;F$29&amp;"|"&amp;$A39,'Master Data'!$A$2:$A$2436,0)),"")</f>
        <v>Lebih kapasitas</v>
      </c>
      <c r="Y39" s="61" t="str">
        <f aca="false">IFERROR(INDEX('Master Data'!$L$2:$L$2436,MATCH($B$3&amp;"|2|"&amp;G$29&amp;"|"&amp;$A39,'Master Data'!$A$2:$A$2436,0)),"")</f>
        <v>Penuh</v>
      </c>
      <c r="Z39" s="61" t="str">
        <f aca="false">IFERROR(INDEX('Master Data'!$L$2:$L$2436,MATCH($B$3&amp;"|2|"&amp;H$29&amp;"|"&amp;$A39,'Master Data'!$A$2:$A$2436,0)),"")</f>
        <v>Penuh</v>
      </c>
    </row>
    <row r="40" customFormat="false" ht="30" hidden="false" customHeight="true" outlineLevel="0" collapsed="false">
      <c r="A40" s="59" t="s">
        <v>106</v>
      </c>
      <c r="B40" s="60" t="str">
        <f aca="false">IFERROR(INDEX('Master Data'!$M$2:$M$2436,MATCH($B$3&amp;"|2|"&amp;B$29&amp;"|"&amp;$A40,'Master Data'!$A$2:$A$2436,0)),"")</f>
        <v>Tiny  0/5
coach: –</v>
      </c>
      <c r="C40" s="60" t="str">
        <f aca="false">IFERROR(INDEX('Master Data'!$M$2:$M$2436,MATCH($B$3&amp;"|2|"&amp;C$29&amp;"|"&amp;$A40,'Master Data'!$A$2:$A$2436,0)),"")</f>
        <v>Tiny  3/5
coach: Zidane</v>
      </c>
      <c r="D40" s="60" t="str">
        <f aca="false">IFERROR(INDEX('Master Data'!$M$2:$M$2436,MATCH($B$3&amp;"|2|"&amp;D$29&amp;"|"&amp;$A40,'Master Data'!$A$2:$A$2436,0)),"")</f>
        <v>Tiny  5/5
coach: Nuky</v>
      </c>
      <c r="E40" s="60" t="str">
        <f aca="false">IFERROR(INDEX('Master Data'!$M$2:$M$2436,MATCH($B$3&amp;"|2|"&amp;E$29&amp;"|"&amp;$A40,'Master Data'!$A$2:$A$2436,0)),"")</f>
        <v>Tiny  0/5
coach: –</v>
      </c>
      <c r="F40" s="60" t="str">
        <f aca="false">IFERROR(INDEX('Master Data'!$M$2:$M$2436,MATCH($B$3&amp;"|2|"&amp;F$29&amp;"|"&amp;$A40,'Master Data'!$A$2:$A$2436,0)),"")</f>
        <v>Tiny  4/5
coach: Surya</v>
      </c>
      <c r="G40" s="60" t="str">
        <f aca="false">IFERROR(INDEX('Master Data'!$M$2:$M$2436,MATCH($B$3&amp;"|2|"&amp;G$29&amp;"|"&amp;$A40,'Master Data'!$A$2:$A$2436,0)),"")</f>
        <v>Tiny  5/5
coach: Tessa</v>
      </c>
      <c r="H40" s="60" t="str">
        <f aca="false">IFERROR(INDEX('Master Data'!$M$2:$M$2436,MATCH($B$3&amp;"|2|"&amp;H$29&amp;"|"&amp;$A40,'Master Data'!$A$2:$A$2436,0)),"")</f>
        <v>Tiny  5/5
coach: Nuky</v>
      </c>
      <c r="T40" s="61" t="str">
        <f aca="false">IFERROR(INDEX('Master Data'!$L$2:$L$2436,MATCH($B$3&amp;"|2|"&amp;B$29&amp;"|"&amp;$A40,'Master Data'!$A$2:$A$2436,0)),"")</f>
        <v>Belum terisi</v>
      </c>
      <c r="U40" s="61" t="str">
        <f aca="false">IFERROR(INDEX('Master Data'!$L$2:$L$2436,MATCH($B$3&amp;"|2|"&amp;C$29&amp;"|"&amp;$A40,'Master Data'!$A$2:$A$2436,0)),"")</f>
        <v>Sebagian</v>
      </c>
      <c r="V40" s="61" t="str">
        <f aca="false">IFERROR(INDEX('Master Data'!$L$2:$L$2436,MATCH($B$3&amp;"|2|"&amp;D$29&amp;"|"&amp;$A40,'Master Data'!$A$2:$A$2436,0)),"")</f>
        <v>Penuh</v>
      </c>
      <c r="W40" s="61" t="str">
        <f aca="false">IFERROR(INDEX('Master Data'!$L$2:$L$2436,MATCH($B$3&amp;"|2|"&amp;E$29&amp;"|"&amp;$A40,'Master Data'!$A$2:$A$2436,0)),"")</f>
        <v>Belum terisi</v>
      </c>
      <c r="X40" s="61" t="str">
        <f aca="false">IFERROR(INDEX('Master Data'!$L$2:$L$2436,MATCH($B$3&amp;"|2|"&amp;F$29&amp;"|"&amp;$A40,'Master Data'!$A$2:$A$2436,0)),"")</f>
        <v>Sebagian</v>
      </c>
      <c r="Y40" s="61" t="str">
        <f aca="false">IFERROR(INDEX('Master Data'!$L$2:$L$2436,MATCH($B$3&amp;"|2|"&amp;G$29&amp;"|"&amp;$A40,'Master Data'!$A$2:$A$2436,0)),"")</f>
        <v>Penuh</v>
      </c>
      <c r="Z40" s="61" t="str">
        <f aca="false">IFERROR(INDEX('Master Data'!$L$2:$L$2436,MATCH($B$3&amp;"|2|"&amp;H$29&amp;"|"&amp;$A40,'Master Data'!$A$2:$A$2436,0)),"")</f>
        <v>Penuh</v>
      </c>
    </row>
    <row r="41" customFormat="false" ht="30" hidden="false" customHeight="true" outlineLevel="0" collapsed="false">
      <c r="A41" s="59" t="s">
        <v>107</v>
      </c>
      <c r="B41" s="60" t="str">
        <f aca="false">IFERROR(INDEX('Master Data'!$M$2:$M$2436,MATCH($B$3&amp;"|2|"&amp;B$29&amp;"|"&amp;$A41,'Master Data'!$A$2:$A$2436,0)),"")</f>
        <v>Tiny  0/5
coach: –</v>
      </c>
      <c r="C41" s="60" t="str">
        <f aca="false">IFERROR(INDEX('Master Data'!$M$2:$M$2436,MATCH($B$3&amp;"|2|"&amp;C$29&amp;"|"&amp;$A41,'Master Data'!$A$2:$A$2436,0)),"")</f>
        <v>Tiny  0/5
coach: –</v>
      </c>
      <c r="D41" s="60" t="str">
        <f aca="false">IFERROR(INDEX('Master Data'!$M$2:$M$2436,MATCH($B$3&amp;"|2|"&amp;D$29&amp;"|"&amp;$A41,'Master Data'!$A$2:$A$2436,0)),"")</f>
        <v>Tiny  4/5
coach: Eka</v>
      </c>
      <c r="E41" s="60" t="str">
        <f aca="false">IFERROR(INDEX('Master Data'!$M$2:$M$2436,MATCH($B$3&amp;"|2|"&amp;E$29&amp;"|"&amp;$A41,'Master Data'!$A$2:$A$2436,0)),"")</f>
        <v>Tiny  0/5
coach: –</v>
      </c>
      <c r="F41" s="60" t="str">
        <f aca="false">IFERROR(INDEX('Master Data'!$M$2:$M$2436,MATCH($B$3&amp;"|2|"&amp;F$29&amp;"|"&amp;$A41,'Master Data'!$A$2:$A$2436,0)),"")</f>
        <v>Tiny  3/5
coach: Tessa</v>
      </c>
      <c r="G41" s="60" t="str">
        <f aca="false">IFERROR(INDEX('Master Data'!$M$2:$M$2436,MATCH($B$3&amp;"|2|"&amp;G$29&amp;"|"&amp;$A41,'Master Data'!$A$2:$A$2436,0)),"")</f>
        <v>Tiny  0/5
coach: –</v>
      </c>
      <c r="H41" s="60" t="str">
        <f aca="false">IFERROR(INDEX('Master Data'!$M$2:$M$2436,MATCH($B$3&amp;"|2|"&amp;H$29&amp;"|"&amp;$A41,'Master Data'!$A$2:$A$2436,0)),"")</f>
        <v>Tiny  0/5
coach: –</v>
      </c>
      <c r="T41" s="61" t="str">
        <f aca="false">IFERROR(INDEX('Master Data'!$L$2:$L$2436,MATCH($B$3&amp;"|2|"&amp;B$29&amp;"|"&amp;$A41,'Master Data'!$A$2:$A$2436,0)),"")</f>
        <v>Belum terisi</v>
      </c>
      <c r="U41" s="61" t="str">
        <f aca="false">IFERROR(INDEX('Master Data'!$L$2:$L$2436,MATCH($B$3&amp;"|2|"&amp;C$29&amp;"|"&amp;$A41,'Master Data'!$A$2:$A$2436,0)),"")</f>
        <v>Belum terisi</v>
      </c>
      <c r="V41" s="61" t="str">
        <f aca="false">IFERROR(INDEX('Master Data'!$L$2:$L$2436,MATCH($B$3&amp;"|2|"&amp;D$29&amp;"|"&amp;$A41,'Master Data'!$A$2:$A$2436,0)),"")</f>
        <v>Sebagian</v>
      </c>
      <c r="W41" s="61" t="str">
        <f aca="false">IFERROR(INDEX('Master Data'!$L$2:$L$2436,MATCH($B$3&amp;"|2|"&amp;E$29&amp;"|"&amp;$A41,'Master Data'!$A$2:$A$2436,0)),"")</f>
        <v>Belum terisi</v>
      </c>
      <c r="X41" s="61" t="str">
        <f aca="false">IFERROR(INDEX('Master Data'!$L$2:$L$2436,MATCH($B$3&amp;"|2|"&amp;F$29&amp;"|"&amp;$A41,'Master Data'!$A$2:$A$2436,0)),"")</f>
        <v>Sebagian</v>
      </c>
      <c r="Y41" s="61" t="str">
        <f aca="false">IFERROR(INDEX('Master Data'!$L$2:$L$2436,MATCH($B$3&amp;"|2|"&amp;G$29&amp;"|"&amp;$A41,'Master Data'!$A$2:$A$2436,0)),"")</f>
        <v>Belum terisi</v>
      </c>
      <c r="Z41" s="61" t="str">
        <f aca="false">IFERROR(INDEX('Master Data'!$L$2:$L$2436,MATCH($B$3&amp;"|2|"&amp;H$29&amp;"|"&amp;$A41,'Master Data'!$A$2:$A$2436,0)),"")</f>
        <v>Belum terisi</v>
      </c>
    </row>
    <row r="43" customFormat="false" ht="16.15" hidden="false" customHeight="false" outlineLevel="0" collapsed="false">
      <c r="A43" s="54" t="s">
        <v>109</v>
      </c>
      <c r="B43" s="55"/>
      <c r="C43" s="56" t="str">
        <f aca="false">"Utilisasi lane: "&amp;IFERROR(TEXT(SUMIFS('Master Data'!$H$2:$H$2436,'Master Data'!$B$2:$B$2436,$B$3,'Master Data'!$C$2:$C$2436,3,'Master Data'!$G$2:$G$2436,"&gt;0")/SUMIFS('Master Data'!$G$2:$G$2436,'Master Data'!$B$2:$B$2436,$B$3,'Master Data'!$C$2:$C$2436,3,'Master Data'!$G$2:$G$2436,"&gt;0"),"0%"),"–")&amp;"   ·   Belum terisi: "&amp;COUNTIFS('Master Data'!$B$2:$B$2436,$B$3,'Master Data'!$C$2:$C$2436,3,'Master Data'!$L$2:$L$2436,"Belum terisi")&amp;"   ·   Slot kosong: "&amp;COUNTIFS('Master Data'!$B$2:$B$2436,$B$3,'Master Data'!$C$2:$C$2436,3,'Master Data'!$L$2:$L$2436,"Slot kosong")</f>
        <v>Utilisasi lane: 77%   ·   Belum terisi: 6   ·   Slot kosong: 0</v>
      </c>
      <c r="D43" s="55"/>
      <c r="E43" s="55"/>
      <c r="F43" s="55"/>
      <c r="G43" s="55"/>
      <c r="H43" s="55"/>
    </row>
    <row r="44" customFormat="false" ht="15" hidden="false" customHeight="false" outlineLevel="0" collapsed="false">
      <c r="A44" s="57" t="s">
        <v>89</v>
      </c>
      <c r="B44" s="58" t="s">
        <v>90</v>
      </c>
      <c r="C44" s="58" t="s">
        <v>91</v>
      </c>
      <c r="D44" s="58" t="s">
        <v>92</v>
      </c>
      <c r="E44" s="58" t="s">
        <v>93</v>
      </c>
      <c r="F44" s="58" t="s">
        <v>94</v>
      </c>
      <c r="G44" s="58" t="s">
        <v>95</v>
      </c>
      <c r="H44" s="58" t="s">
        <v>78</v>
      </c>
    </row>
    <row r="45" customFormat="false" ht="30" hidden="false" customHeight="true" outlineLevel="0" collapsed="false">
      <c r="A45" s="59" t="s">
        <v>110</v>
      </c>
      <c r="B45" s="60" t="str">
        <f aca="false">IFERROR(INDEX('Master Data'!$M$2:$M$2436,MATCH($B$3&amp;"|3|"&amp;B$44&amp;"|"&amp;$A45,'Master Data'!$A$2:$A$2436,0)),"")</f>
        <v>Little  0/0
coach: –</v>
      </c>
      <c r="C45" s="60" t="str">
        <f aca="false">IFERROR(INDEX('Master Data'!$M$2:$M$2436,MATCH($B$3&amp;"|3|"&amp;C$44&amp;"|"&amp;$A45,'Master Data'!$A$2:$A$2436,0)),"")</f>
        <v>Little  0/0
coach: –</v>
      </c>
      <c r="D45" s="60" t="str">
        <f aca="false">IFERROR(INDEX('Master Data'!$M$2:$M$2436,MATCH($B$3&amp;"|3|"&amp;D$44&amp;"|"&amp;$A45,'Master Data'!$A$2:$A$2436,0)),"")</f>
        <v>Little  0/0
coach: –</v>
      </c>
      <c r="E45" s="60" t="str">
        <f aca="false">IFERROR(INDEX('Master Data'!$M$2:$M$2436,MATCH($B$3&amp;"|3|"&amp;E$44&amp;"|"&amp;$A45,'Master Data'!$A$2:$A$2436,0)),"")</f>
        <v>Little  0/0
coach: –</v>
      </c>
      <c r="F45" s="60" t="str">
        <f aca="false">IFERROR(INDEX('Master Data'!$M$2:$M$2436,MATCH($B$3&amp;"|3|"&amp;F$44&amp;"|"&amp;$A45,'Master Data'!$A$2:$A$2436,0)),"")</f>
        <v>Little  0/0
coach: –</v>
      </c>
      <c r="G45" s="60" t="str">
        <f aca="false">IFERROR(INDEX('Master Data'!$M$2:$M$2436,MATCH($B$3&amp;"|3|"&amp;G$44&amp;"|"&amp;$A45,'Master Data'!$A$2:$A$2436,0)),"")</f>
        <v>Little  0/0
coach: –</v>
      </c>
      <c r="H45" s="60" t="str">
        <f aca="false">IFERROR(INDEX('Master Data'!$M$2:$M$2436,MATCH($B$3&amp;"|3|"&amp;H$44&amp;"|"&amp;$A45,'Master Data'!$A$2:$A$2436,0)),"")</f>
        <v>Little  0/0
coach: –</v>
      </c>
      <c r="T45" s="61" t="str">
        <f aca="false">IFERROR(INDEX('Master Data'!$L$2:$L$2436,MATCH($B$3&amp;"|3|"&amp;B$44&amp;"|"&amp;$A45,'Master Data'!$A$2:$A$2436,0)),"")</f>
        <v>Tutup</v>
      </c>
      <c r="U45" s="61" t="str">
        <f aca="false">IFERROR(INDEX('Master Data'!$L$2:$L$2436,MATCH($B$3&amp;"|3|"&amp;C$44&amp;"|"&amp;$A45,'Master Data'!$A$2:$A$2436,0)),"")</f>
        <v>Tutup</v>
      </c>
      <c r="V45" s="61" t="str">
        <f aca="false">IFERROR(INDEX('Master Data'!$L$2:$L$2436,MATCH($B$3&amp;"|3|"&amp;D$44&amp;"|"&amp;$A45,'Master Data'!$A$2:$A$2436,0)),"")</f>
        <v>Tutup</v>
      </c>
      <c r="W45" s="61" t="str">
        <f aca="false">IFERROR(INDEX('Master Data'!$L$2:$L$2436,MATCH($B$3&amp;"|3|"&amp;E$44&amp;"|"&amp;$A45,'Master Data'!$A$2:$A$2436,0)),"")</f>
        <v>Tutup</v>
      </c>
      <c r="X45" s="61" t="str">
        <f aca="false">IFERROR(INDEX('Master Data'!$L$2:$L$2436,MATCH($B$3&amp;"|3|"&amp;F$44&amp;"|"&amp;$A45,'Master Data'!$A$2:$A$2436,0)),"")</f>
        <v>Tutup</v>
      </c>
      <c r="Y45" s="61" t="str">
        <f aca="false">IFERROR(INDEX('Master Data'!$L$2:$L$2436,MATCH($B$3&amp;"|3|"&amp;G$44&amp;"|"&amp;$A45,'Master Data'!$A$2:$A$2436,0)),"")</f>
        <v>Tutup</v>
      </c>
      <c r="Z45" s="61" t="str">
        <f aca="false">IFERROR(INDEX('Master Data'!$L$2:$L$2436,MATCH($B$3&amp;"|3|"&amp;H$44&amp;"|"&amp;$A45,'Master Data'!$A$2:$A$2436,0)),"")</f>
        <v>Tutup</v>
      </c>
    </row>
    <row r="46" customFormat="false" ht="30" hidden="false" customHeight="true" outlineLevel="0" collapsed="false">
      <c r="A46" s="59" t="s">
        <v>111</v>
      </c>
      <c r="B46" s="60" t="str">
        <f aca="false">IFERROR(INDEX('Master Data'!$M$2:$M$2436,MATCH($B$3&amp;"|3|"&amp;B$44&amp;"|"&amp;$A46,'Master Data'!$A$2:$A$2436,0)),"")</f>
        <v>Little  2/4
coach: Daffa</v>
      </c>
      <c r="C46" s="60" t="str">
        <f aca="false">IFERROR(INDEX('Master Data'!$M$2:$M$2436,MATCH($B$3&amp;"|3|"&amp;C$44&amp;"|"&amp;$A46,'Master Data'!$A$2:$A$2436,0)),"")</f>
        <v>Little  3/4
coach: Dian</v>
      </c>
      <c r="D46" s="60" t="str">
        <f aca="false">IFERROR(INDEX('Master Data'!$M$2:$M$2436,MATCH($B$3&amp;"|3|"&amp;D$44&amp;"|"&amp;$A46,'Master Data'!$A$2:$A$2436,0)),"")</f>
        <v>Little  3/4
coach: Danti</v>
      </c>
      <c r="E46" s="60" t="str">
        <f aca="false">IFERROR(INDEX('Master Data'!$M$2:$M$2436,MATCH($B$3&amp;"|3|"&amp;E$44&amp;"|"&amp;$A46,'Master Data'!$A$2:$A$2436,0)),"")</f>
        <v>Little  4/4
coach: Surya</v>
      </c>
      <c r="F46" s="60" t="str">
        <f aca="false">IFERROR(INDEX('Master Data'!$M$2:$M$2436,MATCH($B$3&amp;"|3|"&amp;F$44&amp;"|"&amp;$A46,'Master Data'!$A$2:$A$2436,0)),"")</f>
        <v>Little  0/4
coach: –</v>
      </c>
      <c r="G46" s="60" t="str">
        <f aca="false">IFERROR(INDEX('Master Data'!$M$2:$M$2436,MATCH($B$3&amp;"|3|"&amp;G$44&amp;"|"&amp;$A46,'Master Data'!$A$2:$A$2436,0)),"")</f>
        <v>Little  4/4
coach: Zidane</v>
      </c>
      <c r="H46" s="60" t="str">
        <f aca="false">IFERROR(INDEX('Master Data'!$M$2:$M$2436,MATCH($B$3&amp;"|3|"&amp;H$44&amp;"|"&amp;$A46,'Master Data'!$A$2:$A$2436,0)),"")</f>
        <v>Little  3/4
coach: Zidane</v>
      </c>
      <c r="T46" s="61" t="str">
        <f aca="false">IFERROR(INDEX('Master Data'!$L$2:$L$2436,MATCH($B$3&amp;"|3|"&amp;B$44&amp;"|"&amp;$A46,'Master Data'!$A$2:$A$2436,0)),"")</f>
        <v>Sebagian</v>
      </c>
      <c r="U46" s="61" t="str">
        <f aca="false">IFERROR(INDEX('Master Data'!$L$2:$L$2436,MATCH($B$3&amp;"|3|"&amp;C$44&amp;"|"&amp;$A46,'Master Data'!$A$2:$A$2436,0)),"")</f>
        <v>Sebagian</v>
      </c>
      <c r="V46" s="61" t="str">
        <f aca="false">IFERROR(INDEX('Master Data'!$L$2:$L$2436,MATCH($B$3&amp;"|3|"&amp;D$44&amp;"|"&amp;$A46,'Master Data'!$A$2:$A$2436,0)),"")</f>
        <v>Sebagian</v>
      </c>
      <c r="W46" s="61" t="str">
        <f aca="false">IFERROR(INDEX('Master Data'!$L$2:$L$2436,MATCH($B$3&amp;"|3|"&amp;E$44&amp;"|"&amp;$A46,'Master Data'!$A$2:$A$2436,0)),"")</f>
        <v>Penuh</v>
      </c>
      <c r="X46" s="61" t="str">
        <f aca="false">IFERROR(INDEX('Master Data'!$L$2:$L$2436,MATCH($B$3&amp;"|3|"&amp;F$44&amp;"|"&amp;$A46,'Master Data'!$A$2:$A$2436,0)),"")</f>
        <v>Belum terisi</v>
      </c>
      <c r="Y46" s="61" t="str">
        <f aca="false">IFERROR(INDEX('Master Data'!$L$2:$L$2436,MATCH($B$3&amp;"|3|"&amp;G$44&amp;"|"&amp;$A46,'Master Data'!$A$2:$A$2436,0)),"")</f>
        <v>Penuh</v>
      </c>
      <c r="Z46" s="61" t="str">
        <f aca="false">IFERROR(INDEX('Master Data'!$L$2:$L$2436,MATCH($B$3&amp;"|3|"&amp;H$44&amp;"|"&amp;$A46,'Master Data'!$A$2:$A$2436,0)),"")</f>
        <v>Sebagian</v>
      </c>
    </row>
    <row r="47" customFormat="false" ht="30" hidden="false" customHeight="true" outlineLevel="0" collapsed="false">
      <c r="A47" s="59" t="s">
        <v>112</v>
      </c>
      <c r="B47" s="60" t="str">
        <f aca="false">IFERROR(INDEX('Master Data'!$M$2:$M$2436,MATCH($B$3&amp;"|3|"&amp;B$44&amp;"|"&amp;$A47,'Master Data'!$A$2:$A$2436,0)),"")</f>
        <v>Little  0/4
coach: –</v>
      </c>
      <c r="C47" s="60" t="str">
        <f aca="false">IFERROR(INDEX('Master Data'!$M$2:$M$2436,MATCH($B$3&amp;"|3|"&amp;C$44&amp;"|"&amp;$A47,'Master Data'!$A$2:$A$2436,0)),"")</f>
        <v>Little  2/4
coach: Dian</v>
      </c>
      <c r="D47" s="60" t="str">
        <f aca="false">IFERROR(INDEX('Master Data'!$M$2:$M$2436,MATCH($B$3&amp;"|3|"&amp;D$44&amp;"|"&amp;$A47,'Master Data'!$A$2:$A$2436,0)),"")</f>
        <v>Little  0/4
coach: –</v>
      </c>
      <c r="E47" s="60" t="str">
        <f aca="false">IFERROR(INDEX('Master Data'!$M$2:$M$2436,MATCH($B$3&amp;"|3|"&amp;E$44&amp;"|"&amp;$A47,'Master Data'!$A$2:$A$2436,0)),"")</f>
        <v>Little  4/4
coach: Daffa</v>
      </c>
      <c r="F47" s="60" t="str">
        <f aca="false">IFERROR(INDEX('Master Data'!$M$2:$M$2436,MATCH($B$3&amp;"|3|"&amp;F$44&amp;"|"&amp;$A47,'Master Data'!$A$2:$A$2436,0)),"")</f>
        <v>Little  0/4
coach: –</v>
      </c>
      <c r="G47" s="60" t="str">
        <f aca="false">IFERROR(INDEX('Master Data'!$M$2:$M$2436,MATCH($B$3&amp;"|3|"&amp;G$44&amp;"|"&amp;$A47,'Master Data'!$A$2:$A$2436,0)),"")</f>
        <v>Little  4/4
coach: Surya</v>
      </c>
      <c r="H47" s="60" t="str">
        <f aca="false">IFERROR(INDEX('Master Data'!$M$2:$M$2436,MATCH($B$3&amp;"|3|"&amp;H$44&amp;"|"&amp;$A47,'Master Data'!$A$2:$A$2436,0)),"")</f>
        <v>Little  4/4
coach: Surya</v>
      </c>
      <c r="T47" s="61" t="str">
        <f aca="false">IFERROR(INDEX('Master Data'!$L$2:$L$2436,MATCH($B$3&amp;"|3|"&amp;B$44&amp;"|"&amp;$A47,'Master Data'!$A$2:$A$2436,0)),"")</f>
        <v>Belum terisi</v>
      </c>
      <c r="U47" s="61" t="str">
        <f aca="false">IFERROR(INDEX('Master Data'!$L$2:$L$2436,MATCH($B$3&amp;"|3|"&amp;C$44&amp;"|"&amp;$A47,'Master Data'!$A$2:$A$2436,0)),"")</f>
        <v>Sebagian</v>
      </c>
      <c r="V47" s="61" t="str">
        <f aca="false">IFERROR(INDEX('Master Data'!$L$2:$L$2436,MATCH($B$3&amp;"|3|"&amp;D$44&amp;"|"&amp;$A47,'Master Data'!$A$2:$A$2436,0)),"")</f>
        <v>Belum terisi</v>
      </c>
      <c r="W47" s="61" t="str">
        <f aca="false">IFERROR(INDEX('Master Data'!$L$2:$L$2436,MATCH($B$3&amp;"|3|"&amp;E$44&amp;"|"&amp;$A47,'Master Data'!$A$2:$A$2436,0)),"")</f>
        <v>Penuh</v>
      </c>
      <c r="X47" s="61" t="str">
        <f aca="false">IFERROR(INDEX('Master Data'!$L$2:$L$2436,MATCH($B$3&amp;"|3|"&amp;F$44&amp;"|"&amp;$A47,'Master Data'!$A$2:$A$2436,0)),"")</f>
        <v>Belum terisi</v>
      </c>
      <c r="Y47" s="61" t="str">
        <f aca="false">IFERROR(INDEX('Master Data'!$L$2:$L$2436,MATCH($B$3&amp;"|3|"&amp;G$44&amp;"|"&amp;$A47,'Master Data'!$A$2:$A$2436,0)),"")</f>
        <v>Penuh</v>
      </c>
      <c r="Z47" s="61" t="str">
        <f aca="false">IFERROR(INDEX('Master Data'!$L$2:$L$2436,MATCH($B$3&amp;"|3|"&amp;H$44&amp;"|"&amp;$A47,'Master Data'!$A$2:$A$2436,0)),"")</f>
        <v>Penuh</v>
      </c>
    </row>
    <row r="48" customFormat="false" ht="30" hidden="false" customHeight="true" outlineLevel="0" collapsed="false">
      <c r="A48" s="59" t="s">
        <v>113</v>
      </c>
      <c r="B48" s="60" t="str">
        <f aca="false">IFERROR(INDEX('Master Data'!$M$2:$M$2436,MATCH($B$3&amp;"|3|"&amp;B$44&amp;"|"&amp;$A48,'Master Data'!$A$2:$A$2436,0)),"")</f>
        <v>Little  3/4
coach: Dian</v>
      </c>
      <c r="C48" s="60" t="str">
        <f aca="false">IFERROR(INDEX('Master Data'!$M$2:$M$2436,MATCH($B$3&amp;"|3|"&amp;C$44&amp;"|"&amp;$A48,'Master Data'!$A$2:$A$2436,0)),"")</f>
        <v>Little  2/4
coach: Danti</v>
      </c>
      <c r="D48" s="60" t="str">
        <f aca="false">IFERROR(INDEX('Master Data'!$M$2:$M$2436,MATCH($B$3&amp;"|3|"&amp;D$44&amp;"|"&amp;$A48,'Master Data'!$A$2:$A$2436,0)),"")</f>
        <v>Little  1/4
coach: Zidane</v>
      </c>
      <c r="E48" s="60" t="str">
        <f aca="false">IFERROR(INDEX('Master Data'!$M$2:$M$2436,MATCH($B$3&amp;"|3|"&amp;E$44&amp;"|"&amp;$A48,'Master Data'!$A$2:$A$2436,0)),"")</f>
        <v>Little  3/4
coach: Eka</v>
      </c>
      <c r="F48" s="60" t="str">
        <f aca="false">IFERROR(INDEX('Master Data'!$M$2:$M$2436,MATCH($B$3&amp;"|3|"&amp;F$44&amp;"|"&amp;$A48,'Master Data'!$A$2:$A$2436,0)),"")</f>
        <v>Little  3/4
coach: Eka</v>
      </c>
      <c r="G48" s="60" t="str">
        <f aca="false">IFERROR(INDEX('Master Data'!$M$2:$M$2436,MATCH($B$3&amp;"|3|"&amp;G$44&amp;"|"&amp;$A48,'Master Data'!$A$2:$A$2436,0)),"")</f>
        <v>Little  4/4
coach: Zidane</v>
      </c>
      <c r="H48" s="60" t="str">
        <f aca="false">IFERROR(INDEX('Master Data'!$M$2:$M$2436,MATCH($B$3&amp;"|3|"&amp;H$44&amp;"|"&amp;$A48,'Master Data'!$A$2:$A$2436,0)),"")</f>
        <v>Little  4/4
coach: Dian</v>
      </c>
      <c r="T48" s="61" t="str">
        <f aca="false">IFERROR(INDEX('Master Data'!$L$2:$L$2436,MATCH($B$3&amp;"|3|"&amp;B$44&amp;"|"&amp;$A48,'Master Data'!$A$2:$A$2436,0)),"")</f>
        <v>Sebagian</v>
      </c>
      <c r="U48" s="61" t="str">
        <f aca="false">IFERROR(INDEX('Master Data'!$L$2:$L$2436,MATCH($B$3&amp;"|3|"&amp;C$44&amp;"|"&amp;$A48,'Master Data'!$A$2:$A$2436,0)),"")</f>
        <v>Sebagian</v>
      </c>
      <c r="V48" s="61" t="str">
        <f aca="false">IFERROR(INDEX('Master Data'!$L$2:$L$2436,MATCH($B$3&amp;"|3|"&amp;D$44&amp;"|"&amp;$A48,'Master Data'!$A$2:$A$2436,0)),"")</f>
        <v>Sebagian</v>
      </c>
      <c r="W48" s="61" t="str">
        <f aca="false">IFERROR(INDEX('Master Data'!$L$2:$L$2436,MATCH($B$3&amp;"|3|"&amp;E$44&amp;"|"&amp;$A48,'Master Data'!$A$2:$A$2436,0)),"")</f>
        <v>Sebagian</v>
      </c>
      <c r="X48" s="61" t="str">
        <f aca="false">IFERROR(INDEX('Master Data'!$L$2:$L$2436,MATCH($B$3&amp;"|3|"&amp;F$44&amp;"|"&amp;$A48,'Master Data'!$A$2:$A$2436,0)),"")</f>
        <v>Sebagian</v>
      </c>
      <c r="Y48" s="61" t="str">
        <f aca="false">IFERROR(INDEX('Master Data'!$L$2:$L$2436,MATCH($B$3&amp;"|3|"&amp;G$44&amp;"|"&amp;$A48,'Master Data'!$A$2:$A$2436,0)),"")</f>
        <v>Penuh</v>
      </c>
      <c r="Z48" s="61" t="str">
        <f aca="false">IFERROR(INDEX('Master Data'!$L$2:$L$2436,MATCH($B$3&amp;"|3|"&amp;H$44&amp;"|"&amp;$A48,'Master Data'!$A$2:$A$2436,0)),"")</f>
        <v>Penuh</v>
      </c>
    </row>
    <row r="49" customFormat="false" ht="30" hidden="false" customHeight="true" outlineLevel="0" collapsed="false">
      <c r="A49" s="59" t="s">
        <v>114</v>
      </c>
      <c r="B49" s="60" t="str">
        <f aca="false">IFERROR(INDEX('Master Data'!$M$2:$M$2436,MATCH($B$3&amp;"|3|"&amp;B$44&amp;"|"&amp;$A49,'Master Data'!$A$2:$A$2436,0)),"")</f>
        <v>Little  3/4
coach: Rischa</v>
      </c>
      <c r="C49" s="60" t="str">
        <f aca="false">IFERROR(INDEX('Master Data'!$M$2:$M$2436,MATCH($B$3&amp;"|3|"&amp;C$44&amp;"|"&amp;$A49,'Master Data'!$A$2:$A$2436,0)),"")</f>
        <v>Little  4/4
coach: Danti</v>
      </c>
      <c r="D49" s="60" t="str">
        <f aca="false">IFERROR(INDEX('Master Data'!$M$2:$M$2436,MATCH($B$3&amp;"|3|"&amp;D$44&amp;"|"&amp;$A49,'Master Data'!$A$2:$A$2436,0)),"")</f>
        <v>Little  4/4
coach: Danti</v>
      </c>
      <c r="E49" s="60" t="str">
        <f aca="false">IFERROR(INDEX('Master Data'!$M$2:$M$2436,MATCH($B$3&amp;"|3|"&amp;E$44&amp;"|"&amp;$A49,'Master Data'!$A$2:$A$2436,0)),"")</f>
        <v>Little  3/4
coach: Surya</v>
      </c>
      <c r="F49" s="60" t="str">
        <f aca="false">IFERROR(INDEX('Master Data'!$M$2:$M$2436,MATCH($B$3&amp;"|3|"&amp;F$44&amp;"|"&amp;$A49,'Master Data'!$A$2:$A$2436,0)),"")</f>
        <v>Little  2/4
coach: Rischa</v>
      </c>
      <c r="G49" s="60" t="str">
        <f aca="false">IFERROR(INDEX('Master Data'!$M$2:$M$2436,MATCH($B$3&amp;"|3|"&amp;G$44&amp;"|"&amp;$A49,'Master Data'!$A$2:$A$2436,0)),"")</f>
        <v>Little  4/4
coach: Dian</v>
      </c>
      <c r="H49" s="60" t="str">
        <f aca="false">IFERROR(INDEX('Master Data'!$M$2:$M$2436,MATCH($B$3&amp;"|3|"&amp;H$44&amp;"|"&amp;$A49,'Master Data'!$A$2:$A$2436,0)),"")</f>
        <v>Little  4/4
coach: Eka</v>
      </c>
      <c r="T49" s="61" t="str">
        <f aca="false">IFERROR(INDEX('Master Data'!$L$2:$L$2436,MATCH($B$3&amp;"|3|"&amp;B$44&amp;"|"&amp;$A49,'Master Data'!$A$2:$A$2436,0)),"")</f>
        <v>Sebagian</v>
      </c>
      <c r="U49" s="61" t="str">
        <f aca="false">IFERROR(INDEX('Master Data'!$L$2:$L$2436,MATCH($B$3&amp;"|3|"&amp;C$44&amp;"|"&amp;$A49,'Master Data'!$A$2:$A$2436,0)),"")</f>
        <v>Penuh</v>
      </c>
      <c r="V49" s="61" t="str">
        <f aca="false">IFERROR(INDEX('Master Data'!$L$2:$L$2436,MATCH($B$3&amp;"|3|"&amp;D$44&amp;"|"&amp;$A49,'Master Data'!$A$2:$A$2436,0)),"")</f>
        <v>Penuh</v>
      </c>
      <c r="W49" s="61" t="str">
        <f aca="false">IFERROR(INDEX('Master Data'!$L$2:$L$2436,MATCH($B$3&amp;"|3|"&amp;E$44&amp;"|"&amp;$A49,'Master Data'!$A$2:$A$2436,0)),"")</f>
        <v>Sebagian</v>
      </c>
      <c r="X49" s="61" t="str">
        <f aca="false">IFERROR(INDEX('Master Data'!$L$2:$L$2436,MATCH($B$3&amp;"|3|"&amp;F$44&amp;"|"&amp;$A49,'Master Data'!$A$2:$A$2436,0)),"")</f>
        <v>Sebagian</v>
      </c>
      <c r="Y49" s="61" t="str">
        <f aca="false">IFERROR(INDEX('Master Data'!$L$2:$L$2436,MATCH($B$3&amp;"|3|"&amp;G$44&amp;"|"&amp;$A49,'Master Data'!$A$2:$A$2436,0)),"")</f>
        <v>Penuh</v>
      </c>
      <c r="Z49" s="61" t="str">
        <f aca="false">IFERROR(INDEX('Master Data'!$L$2:$L$2436,MATCH($B$3&amp;"|3|"&amp;H$44&amp;"|"&amp;$A49,'Master Data'!$A$2:$A$2436,0)),"")</f>
        <v>Penuh</v>
      </c>
    </row>
    <row r="50" customFormat="false" ht="30" hidden="false" customHeight="true" outlineLevel="0" collapsed="false">
      <c r="A50" s="59" t="s">
        <v>115</v>
      </c>
      <c r="B50" s="60" t="str">
        <f aca="false">IFERROR(INDEX('Master Data'!$M$2:$M$2436,MATCH($B$3&amp;"|3|"&amp;B$44&amp;"|"&amp;$A50,'Master Data'!$A$2:$A$2436,0)),"")</f>
        <v>Little  2/0
coach: Gita</v>
      </c>
      <c r="C50" s="60" t="str">
        <f aca="false">IFERROR(INDEX('Master Data'!$M$2:$M$2436,MATCH($B$3&amp;"|3|"&amp;C$44&amp;"|"&amp;$A50,'Master Data'!$A$2:$A$2436,0)),"")</f>
        <v>Little  1/0
coach: Tessa</v>
      </c>
      <c r="D50" s="60" t="str">
        <f aca="false">IFERROR(INDEX('Master Data'!$M$2:$M$2436,MATCH($B$3&amp;"|3|"&amp;D$44&amp;"|"&amp;$A50,'Master Data'!$A$2:$A$2436,0)),"")</f>
        <v>Little  0/0
coach: –</v>
      </c>
      <c r="E50" s="60" t="str">
        <f aca="false">IFERROR(INDEX('Master Data'!$M$2:$M$2436,MATCH($B$3&amp;"|3|"&amp;E$44&amp;"|"&amp;$A50,'Master Data'!$A$2:$A$2436,0)),"")</f>
        <v>Little  0/0
coach: –</v>
      </c>
      <c r="F50" s="60" t="str">
        <f aca="false">IFERROR(INDEX('Master Data'!$M$2:$M$2436,MATCH($B$3&amp;"|3|"&amp;F$44&amp;"|"&amp;$A50,'Master Data'!$A$2:$A$2436,0)),"")</f>
        <v>Little  3/4
coach: Rischa</v>
      </c>
      <c r="G50" s="60" t="str">
        <f aca="false">IFERROR(INDEX('Master Data'!$M$2:$M$2436,MATCH($B$3&amp;"|3|"&amp;G$44&amp;"|"&amp;$A50,'Master Data'!$A$2:$A$2436,0)),"")</f>
        <v>Little  3/4
coach: Zidane</v>
      </c>
      <c r="H50" s="60" t="str">
        <f aca="false">IFERROR(INDEX('Master Data'!$M$2:$M$2436,MATCH($B$3&amp;"|3|"&amp;H$44&amp;"|"&amp;$A50,'Master Data'!$A$2:$A$2436,0)),"")</f>
        <v>Little  4/4
coach: Nuky</v>
      </c>
      <c r="T50" s="61" t="str">
        <f aca="false">IFERROR(INDEX('Master Data'!$L$2:$L$2436,MATCH($B$3&amp;"|3|"&amp;B$44&amp;"|"&amp;$A50,'Master Data'!$A$2:$A$2436,0)),"")</f>
        <v>Lebih kapasitas</v>
      </c>
      <c r="U50" s="61" t="str">
        <f aca="false">IFERROR(INDEX('Master Data'!$L$2:$L$2436,MATCH($B$3&amp;"|3|"&amp;C$44&amp;"|"&amp;$A50,'Master Data'!$A$2:$A$2436,0)),"")</f>
        <v>Lebih kapasitas</v>
      </c>
      <c r="V50" s="61" t="str">
        <f aca="false">IFERROR(INDEX('Master Data'!$L$2:$L$2436,MATCH($B$3&amp;"|3|"&amp;D$44&amp;"|"&amp;$A50,'Master Data'!$A$2:$A$2436,0)),"")</f>
        <v>Tutup</v>
      </c>
      <c r="W50" s="61" t="str">
        <f aca="false">IFERROR(INDEX('Master Data'!$L$2:$L$2436,MATCH($B$3&amp;"|3|"&amp;E$44&amp;"|"&amp;$A50,'Master Data'!$A$2:$A$2436,0)),"")</f>
        <v>Tutup</v>
      </c>
      <c r="X50" s="61" t="str">
        <f aca="false">IFERROR(INDEX('Master Data'!$L$2:$L$2436,MATCH($B$3&amp;"|3|"&amp;F$44&amp;"|"&amp;$A50,'Master Data'!$A$2:$A$2436,0)),"")</f>
        <v>Sebagian</v>
      </c>
      <c r="Y50" s="61" t="str">
        <f aca="false">IFERROR(INDEX('Master Data'!$L$2:$L$2436,MATCH($B$3&amp;"|3|"&amp;G$44&amp;"|"&amp;$A50,'Master Data'!$A$2:$A$2436,0)),"")</f>
        <v>Sebagian</v>
      </c>
      <c r="Z50" s="61" t="str">
        <f aca="false">IFERROR(INDEX('Master Data'!$L$2:$L$2436,MATCH($B$3&amp;"|3|"&amp;H$44&amp;"|"&amp;$A50,'Master Data'!$A$2:$A$2436,0)),"")</f>
        <v>Penuh</v>
      </c>
    </row>
    <row r="51" customFormat="false" ht="30" hidden="false" customHeight="true" outlineLevel="0" collapsed="false">
      <c r="A51" s="59" t="s">
        <v>116</v>
      </c>
      <c r="B51" s="60" t="str">
        <f aca="false">IFERROR(INDEX('Master Data'!$M$2:$M$2436,MATCH($B$3&amp;"|3|"&amp;B$44&amp;"|"&amp;$A51,'Master Data'!$A$2:$A$2436,0)),"")</f>
        <v>Little  0/4
coach: –</v>
      </c>
      <c r="C51" s="60" t="str">
        <f aca="false">IFERROR(INDEX('Master Data'!$M$2:$M$2436,MATCH($B$3&amp;"|3|"&amp;C$44&amp;"|"&amp;$A51,'Master Data'!$A$2:$A$2436,0)),"")</f>
        <v>Little  0/4
coach: –</v>
      </c>
      <c r="D51" s="60" t="str">
        <f aca="false">IFERROR(INDEX('Master Data'!$M$2:$M$2436,MATCH($B$3&amp;"|3|"&amp;D$44&amp;"|"&amp;$A51,'Master Data'!$A$2:$A$2436,0)),"")</f>
        <v>Little  4/4
coach: Zidane</v>
      </c>
      <c r="E51" s="60" t="str">
        <f aca="false">IFERROR(INDEX('Master Data'!$M$2:$M$2436,MATCH($B$3&amp;"|3|"&amp;E$44&amp;"|"&amp;$A51,'Master Data'!$A$2:$A$2436,0)),"")</f>
        <v>Little  3/4
coach: Daffa</v>
      </c>
      <c r="F51" s="60" t="str">
        <f aca="false">IFERROR(INDEX('Master Data'!$M$2:$M$2436,MATCH($B$3&amp;"|3|"&amp;F$44&amp;"|"&amp;$A51,'Master Data'!$A$2:$A$2436,0)),"")</f>
        <v>Little  3/0
coach: Nuky</v>
      </c>
      <c r="G51" s="60" t="str">
        <f aca="false">IFERROR(INDEX('Master Data'!$M$2:$M$2436,MATCH($B$3&amp;"|3|"&amp;G$44&amp;"|"&amp;$A51,'Master Data'!$A$2:$A$2436,0)),"")</f>
        <v>Little  4/4
coach: Rischa</v>
      </c>
      <c r="H51" s="60" t="str">
        <f aca="false">IFERROR(INDEX('Master Data'!$M$2:$M$2436,MATCH($B$3&amp;"|3|"&amp;H$44&amp;"|"&amp;$A51,'Master Data'!$A$2:$A$2436,0)),"")</f>
        <v>Little  3/4
coach: Daffa</v>
      </c>
      <c r="T51" s="61" t="str">
        <f aca="false">IFERROR(INDEX('Master Data'!$L$2:$L$2436,MATCH($B$3&amp;"|3|"&amp;B$44&amp;"|"&amp;$A51,'Master Data'!$A$2:$A$2436,0)),"")</f>
        <v>Belum terisi</v>
      </c>
      <c r="U51" s="61" t="str">
        <f aca="false">IFERROR(INDEX('Master Data'!$L$2:$L$2436,MATCH($B$3&amp;"|3|"&amp;C$44&amp;"|"&amp;$A51,'Master Data'!$A$2:$A$2436,0)),"")</f>
        <v>Belum terisi</v>
      </c>
      <c r="V51" s="61" t="str">
        <f aca="false">IFERROR(INDEX('Master Data'!$L$2:$L$2436,MATCH($B$3&amp;"|3|"&amp;D$44&amp;"|"&amp;$A51,'Master Data'!$A$2:$A$2436,0)),"")</f>
        <v>Penuh</v>
      </c>
      <c r="W51" s="61" t="str">
        <f aca="false">IFERROR(INDEX('Master Data'!$L$2:$L$2436,MATCH($B$3&amp;"|3|"&amp;E$44&amp;"|"&amp;$A51,'Master Data'!$A$2:$A$2436,0)),"")</f>
        <v>Sebagian</v>
      </c>
      <c r="X51" s="61" t="str">
        <f aca="false">IFERROR(INDEX('Master Data'!$L$2:$L$2436,MATCH($B$3&amp;"|3|"&amp;F$44&amp;"|"&amp;$A51,'Master Data'!$A$2:$A$2436,0)),"")</f>
        <v>Lebih kapasitas</v>
      </c>
      <c r="Y51" s="61" t="str">
        <f aca="false">IFERROR(INDEX('Master Data'!$L$2:$L$2436,MATCH($B$3&amp;"|3|"&amp;G$44&amp;"|"&amp;$A51,'Master Data'!$A$2:$A$2436,0)),"")</f>
        <v>Penuh</v>
      </c>
      <c r="Z51" s="61" t="str">
        <f aca="false">IFERROR(INDEX('Master Data'!$L$2:$L$2436,MATCH($B$3&amp;"|3|"&amp;H$44&amp;"|"&amp;$A51,'Master Data'!$A$2:$A$2436,0)),"")</f>
        <v>Sebagian</v>
      </c>
    </row>
    <row r="52" customFormat="false" ht="30" hidden="false" customHeight="true" outlineLevel="0" collapsed="false">
      <c r="A52" s="59" t="s">
        <v>117</v>
      </c>
      <c r="B52" s="60" t="str">
        <f aca="false">IFERROR(INDEX('Master Data'!$M$2:$M$2436,MATCH($B$3&amp;"|3|"&amp;B$44&amp;"|"&amp;$A52,'Master Data'!$A$2:$A$2436,0)),"")</f>
        <v>Little  2/4
coach: Zidane</v>
      </c>
      <c r="C52" s="60" t="str">
        <f aca="false">IFERROR(INDEX('Master Data'!$M$2:$M$2436,MATCH($B$3&amp;"|3|"&amp;C$44&amp;"|"&amp;$A52,'Master Data'!$A$2:$A$2436,0)),"")</f>
        <v>Little  3/4
coach: Danti</v>
      </c>
      <c r="D52" s="60" t="str">
        <f aca="false">IFERROR(INDEX('Master Data'!$M$2:$M$2436,MATCH($B$3&amp;"|3|"&amp;D$44&amp;"|"&amp;$A52,'Master Data'!$A$2:$A$2436,0)),"")</f>
        <v>Little  3/4
coach: Eka</v>
      </c>
      <c r="E52" s="60" t="str">
        <f aca="false">IFERROR(INDEX('Master Data'!$M$2:$M$2436,MATCH($B$3&amp;"|3|"&amp;E$44&amp;"|"&amp;$A52,'Master Data'!$A$2:$A$2436,0)),"")</f>
        <v>Little  4/4
coach: Nuky</v>
      </c>
      <c r="F52" s="60" t="str">
        <f aca="false">IFERROR(INDEX('Master Data'!$M$2:$M$2436,MATCH($B$3&amp;"|3|"&amp;F$44&amp;"|"&amp;$A52,'Master Data'!$A$2:$A$2436,0)),"")</f>
        <v>Little  2/4
coach: Dian</v>
      </c>
      <c r="G52" s="60" t="str">
        <f aca="false">IFERROR(INDEX('Master Data'!$M$2:$M$2436,MATCH($B$3&amp;"|3|"&amp;G$44&amp;"|"&amp;$A52,'Master Data'!$A$2:$A$2436,0)),"")</f>
        <v>Little  2/4
coach: Danti</v>
      </c>
      <c r="H52" s="60" t="str">
        <f aca="false">IFERROR(INDEX('Master Data'!$M$2:$M$2436,MATCH($B$3&amp;"|3|"&amp;H$44&amp;"|"&amp;$A52,'Master Data'!$A$2:$A$2436,0)),"")</f>
        <v>Little  3/4
coach: Zidane</v>
      </c>
      <c r="T52" s="61" t="str">
        <f aca="false">IFERROR(INDEX('Master Data'!$L$2:$L$2436,MATCH($B$3&amp;"|3|"&amp;B$44&amp;"|"&amp;$A52,'Master Data'!$A$2:$A$2436,0)),"")</f>
        <v>Sebagian</v>
      </c>
      <c r="U52" s="61" t="str">
        <f aca="false">IFERROR(INDEX('Master Data'!$L$2:$L$2436,MATCH($B$3&amp;"|3|"&amp;C$44&amp;"|"&amp;$A52,'Master Data'!$A$2:$A$2436,0)),"")</f>
        <v>Sebagian</v>
      </c>
      <c r="V52" s="61" t="str">
        <f aca="false">IFERROR(INDEX('Master Data'!$L$2:$L$2436,MATCH($B$3&amp;"|3|"&amp;D$44&amp;"|"&amp;$A52,'Master Data'!$A$2:$A$2436,0)),"")</f>
        <v>Sebagian</v>
      </c>
      <c r="W52" s="61" t="str">
        <f aca="false">IFERROR(INDEX('Master Data'!$L$2:$L$2436,MATCH($B$3&amp;"|3|"&amp;E$44&amp;"|"&amp;$A52,'Master Data'!$A$2:$A$2436,0)),"")</f>
        <v>Penuh</v>
      </c>
      <c r="X52" s="61" t="str">
        <f aca="false">IFERROR(INDEX('Master Data'!$L$2:$L$2436,MATCH($B$3&amp;"|3|"&amp;F$44&amp;"|"&amp;$A52,'Master Data'!$A$2:$A$2436,0)),"")</f>
        <v>Sebagian</v>
      </c>
      <c r="Y52" s="61" t="str">
        <f aca="false">IFERROR(INDEX('Master Data'!$L$2:$L$2436,MATCH($B$3&amp;"|3|"&amp;G$44&amp;"|"&amp;$A52,'Master Data'!$A$2:$A$2436,0)),"")</f>
        <v>Sebagian</v>
      </c>
      <c r="Z52" s="61" t="str">
        <f aca="false">IFERROR(INDEX('Master Data'!$L$2:$L$2436,MATCH($B$3&amp;"|3|"&amp;H$44&amp;"|"&amp;$A52,'Master Data'!$A$2:$A$2436,0)),"")</f>
        <v>Sebagian</v>
      </c>
    </row>
    <row r="53" customFormat="false" ht="30" hidden="false" customHeight="true" outlineLevel="0" collapsed="false">
      <c r="A53" s="59" t="s">
        <v>118</v>
      </c>
      <c r="B53" s="60" t="str">
        <f aca="false">IFERROR(INDEX('Master Data'!$M$2:$M$2436,MATCH($B$3&amp;"|3|"&amp;B$44&amp;"|"&amp;$A53,'Master Data'!$A$2:$A$2436,0)),"")</f>
        <v>Little  3/0
coach: Daffa</v>
      </c>
      <c r="C53" s="60" t="str">
        <f aca="false">IFERROR(INDEX('Master Data'!$M$2:$M$2436,MATCH($B$3&amp;"|3|"&amp;C$44&amp;"|"&amp;$A53,'Master Data'!$A$2:$A$2436,0)),"")</f>
        <v>Little  3/4
coach: Rischa</v>
      </c>
      <c r="D53" s="60" t="str">
        <f aca="false">IFERROR(INDEX('Master Data'!$M$2:$M$2436,MATCH($B$3&amp;"|3|"&amp;D$44&amp;"|"&amp;$A53,'Master Data'!$A$2:$A$2436,0)),"")</f>
        <v>Little  2/0
coach: Surya</v>
      </c>
      <c r="E53" s="60" t="str">
        <f aca="false">IFERROR(INDEX('Master Data'!$M$2:$M$2436,MATCH($B$3&amp;"|3|"&amp;E$44&amp;"|"&amp;$A53,'Master Data'!$A$2:$A$2436,0)),"")</f>
        <v>Little  0/0
coach: –</v>
      </c>
      <c r="F53" s="60" t="str">
        <f aca="false">IFERROR(INDEX('Master Data'!$M$2:$M$2436,MATCH($B$3&amp;"|3|"&amp;F$44&amp;"|"&amp;$A53,'Master Data'!$A$2:$A$2436,0)),"")</f>
        <v>Little  4/4
coach: Surya</v>
      </c>
      <c r="G53" s="60" t="str">
        <f aca="false">IFERROR(INDEX('Master Data'!$M$2:$M$2436,MATCH($B$3&amp;"|3|"&amp;G$44&amp;"|"&amp;$A53,'Master Data'!$A$2:$A$2436,0)),"")</f>
        <v>Little  4/4
coach: Tessa</v>
      </c>
      <c r="H53" s="60" t="str">
        <f aca="false">IFERROR(INDEX('Master Data'!$M$2:$M$2436,MATCH($B$3&amp;"|3|"&amp;H$44&amp;"|"&amp;$A53,'Master Data'!$A$2:$A$2436,0)),"")</f>
        <v>Little  4/4
coach: Rischa</v>
      </c>
      <c r="T53" s="61" t="str">
        <f aca="false">IFERROR(INDEX('Master Data'!$L$2:$L$2436,MATCH($B$3&amp;"|3|"&amp;B$44&amp;"|"&amp;$A53,'Master Data'!$A$2:$A$2436,0)),"")</f>
        <v>Lebih kapasitas</v>
      </c>
      <c r="U53" s="61" t="str">
        <f aca="false">IFERROR(INDEX('Master Data'!$L$2:$L$2436,MATCH($B$3&amp;"|3|"&amp;C$44&amp;"|"&amp;$A53,'Master Data'!$A$2:$A$2436,0)),"")</f>
        <v>Sebagian</v>
      </c>
      <c r="V53" s="61" t="str">
        <f aca="false">IFERROR(INDEX('Master Data'!$L$2:$L$2436,MATCH($B$3&amp;"|3|"&amp;D$44&amp;"|"&amp;$A53,'Master Data'!$A$2:$A$2436,0)),"")</f>
        <v>Lebih kapasitas</v>
      </c>
      <c r="W53" s="61" t="str">
        <f aca="false">IFERROR(INDEX('Master Data'!$L$2:$L$2436,MATCH($B$3&amp;"|3|"&amp;E$44&amp;"|"&amp;$A53,'Master Data'!$A$2:$A$2436,0)),"")</f>
        <v>Tutup</v>
      </c>
      <c r="X53" s="61" t="str">
        <f aca="false">IFERROR(INDEX('Master Data'!$L$2:$L$2436,MATCH($B$3&amp;"|3|"&amp;F$44&amp;"|"&amp;$A53,'Master Data'!$A$2:$A$2436,0)),"")</f>
        <v>Penuh</v>
      </c>
      <c r="Y53" s="61" t="str">
        <f aca="false">IFERROR(INDEX('Master Data'!$L$2:$L$2436,MATCH($B$3&amp;"|3|"&amp;G$44&amp;"|"&amp;$A53,'Master Data'!$A$2:$A$2436,0)),"")</f>
        <v>Penuh</v>
      </c>
      <c r="Z53" s="61" t="str">
        <f aca="false">IFERROR(INDEX('Master Data'!$L$2:$L$2436,MATCH($B$3&amp;"|3|"&amp;H$44&amp;"|"&amp;$A53,'Master Data'!$A$2:$A$2436,0)),"")</f>
        <v>Penuh</v>
      </c>
    </row>
    <row r="54" customFormat="false" ht="30" hidden="false" customHeight="true" outlineLevel="0" collapsed="false">
      <c r="A54" s="59" t="s">
        <v>119</v>
      </c>
      <c r="B54" s="60" t="str">
        <f aca="false">IFERROR(INDEX('Master Data'!$M$2:$M$2436,MATCH($B$3&amp;"|3|"&amp;B$44&amp;"|"&amp;$A54,'Master Data'!$A$2:$A$2436,0)),"")</f>
        <v>Little  3/4
coach: Dian</v>
      </c>
      <c r="C54" s="60" t="str">
        <f aca="false">IFERROR(INDEX('Master Data'!$M$2:$M$2436,MATCH($B$3&amp;"|3|"&amp;C$44&amp;"|"&amp;$A54,'Master Data'!$A$2:$A$2436,0)),"")</f>
        <v>Little  0/0
coach: –</v>
      </c>
      <c r="D54" s="60" t="str">
        <f aca="false">IFERROR(INDEX('Master Data'!$M$2:$M$2436,MATCH($B$3&amp;"|3|"&amp;D$44&amp;"|"&amp;$A54,'Master Data'!$A$2:$A$2436,0)),"")</f>
        <v>Little  4/4
coach: Surya</v>
      </c>
      <c r="E54" s="60" t="str">
        <f aca="false">IFERROR(INDEX('Master Data'!$M$2:$M$2436,MATCH($B$3&amp;"|3|"&amp;E$44&amp;"|"&amp;$A54,'Master Data'!$A$2:$A$2436,0)),"")</f>
        <v>Little  4/4
coach: Surya</v>
      </c>
      <c r="F54" s="60" t="str">
        <f aca="false">IFERROR(INDEX('Master Data'!$M$2:$M$2436,MATCH($B$3&amp;"|3|"&amp;F$44&amp;"|"&amp;$A54,'Master Data'!$A$2:$A$2436,0)),"")</f>
        <v>Little  3/4
coach: Eka</v>
      </c>
      <c r="G54" s="60" t="str">
        <f aca="false">IFERROR(INDEX('Master Data'!$M$2:$M$2436,MATCH($B$3&amp;"|3|"&amp;G$44&amp;"|"&amp;$A54,'Master Data'!$A$2:$A$2436,0)),"")</f>
        <v>Little  4/4
coach: Zidane</v>
      </c>
      <c r="H54" s="60" t="str">
        <f aca="false">IFERROR(INDEX('Master Data'!$M$2:$M$2436,MATCH($B$3&amp;"|3|"&amp;H$44&amp;"|"&amp;$A54,'Master Data'!$A$2:$A$2436,0)),"")</f>
        <v>Little  4/4
coach: Dian</v>
      </c>
      <c r="T54" s="61" t="str">
        <f aca="false">IFERROR(INDEX('Master Data'!$L$2:$L$2436,MATCH($B$3&amp;"|3|"&amp;B$44&amp;"|"&amp;$A54,'Master Data'!$A$2:$A$2436,0)),"")</f>
        <v>Sebagian</v>
      </c>
      <c r="U54" s="61" t="str">
        <f aca="false">IFERROR(INDEX('Master Data'!$L$2:$L$2436,MATCH($B$3&amp;"|3|"&amp;C$44&amp;"|"&amp;$A54,'Master Data'!$A$2:$A$2436,0)),"")</f>
        <v>Tutup</v>
      </c>
      <c r="V54" s="61" t="str">
        <f aca="false">IFERROR(INDEX('Master Data'!$L$2:$L$2436,MATCH($B$3&amp;"|3|"&amp;D$44&amp;"|"&amp;$A54,'Master Data'!$A$2:$A$2436,0)),"")</f>
        <v>Penuh</v>
      </c>
      <c r="W54" s="61" t="str">
        <f aca="false">IFERROR(INDEX('Master Data'!$L$2:$L$2436,MATCH($B$3&amp;"|3|"&amp;E$44&amp;"|"&amp;$A54,'Master Data'!$A$2:$A$2436,0)),"")</f>
        <v>Penuh</v>
      </c>
      <c r="X54" s="61" t="str">
        <f aca="false">IFERROR(INDEX('Master Data'!$L$2:$L$2436,MATCH($B$3&amp;"|3|"&amp;F$44&amp;"|"&amp;$A54,'Master Data'!$A$2:$A$2436,0)),"")</f>
        <v>Sebagian</v>
      </c>
      <c r="Y54" s="61" t="str">
        <f aca="false">IFERROR(INDEX('Master Data'!$L$2:$L$2436,MATCH($B$3&amp;"|3|"&amp;G$44&amp;"|"&amp;$A54,'Master Data'!$A$2:$A$2436,0)),"")</f>
        <v>Penuh</v>
      </c>
      <c r="Z54" s="61" t="str">
        <f aca="false">IFERROR(INDEX('Master Data'!$L$2:$L$2436,MATCH($B$3&amp;"|3|"&amp;H$44&amp;"|"&amp;$A54,'Master Data'!$A$2:$A$2436,0)),"")</f>
        <v>Penuh</v>
      </c>
    </row>
    <row r="55" customFormat="false" ht="30" hidden="false" customHeight="true" outlineLevel="0" collapsed="false">
      <c r="A55" s="59" t="s">
        <v>120</v>
      </c>
      <c r="B55" s="60" t="str">
        <f aca="false">IFERROR(INDEX('Master Data'!$M$2:$M$2436,MATCH($B$3&amp;"|3|"&amp;B$44&amp;"|"&amp;$A55,'Master Data'!$A$2:$A$2436,0)),"")</f>
        <v>Little  3/4
coach: Rischa</v>
      </c>
      <c r="C55" s="60" t="str">
        <f aca="false">IFERROR(INDEX('Master Data'!$M$2:$M$2436,MATCH($B$3&amp;"|3|"&amp;C$44&amp;"|"&amp;$A55,'Master Data'!$A$2:$A$2436,0)),"")</f>
        <v>Little  4/4
coach: Rischa</v>
      </c>
      <c r="D55" s="60" t="str">
        <f aca="false">IFERROR(INDEX('Master Data'!$M$2:$M$2436,MATCH($B$3&amp;"|3|"&amp;D$44&amp;"|"&amp;$A55,'Master Data'!$A$2:$A$2436,0)),"")</f>
        <v>Little  3/4
coach: Eka</v>
      </c>
      <c r="E55" s="60" t="str">
        <f aca="false">IFERROR(INDEX('Master Data'!$M$2:$M$2436,MATCH($B$3&amp;"|3|"&amp;E$44&amp;"|"&amp;$A55,'Master Data'!$A$2:$A$2436,0)),"")</f>
        <v>Little  4/4
coach: Surya</v>
      </c>
      <c r="F55" s="60" t="str">
        <f aca="false">IFERROR(INDEX('Master Data'!$M$2:$M$2436,MATCH($B$3&amp;"|3|"&amp;F$44&amp;"|"&amp;$A55,'Master Data'!$A$2:$A$2436,0)),"")</f>
        <v>Little  4/4
coach: Daffa</v>
      </c>
      <c r="G55" s="60" t="str">
        <f aca="false">IFERROR(INDEX('Master Data'!$M$2:$M$2436,MATCH($B$3&amp;"|3|"&amp;G$44&amp;"|"&amp;$A55,'Master Data'!$A$2:$A$2436,0)),"")</f>
        <v>Little  4/4
coach: Nuky</v>
      </c>
      <c r="H55" s="60" t="str">
        <f aca="false">IFERROR(INDEX('Master Data'!$M$2:$M$2436,MATCH($B$3&amp;"|3|"&amp;H$44&amp;"|"&amp;$A55,'Master Data'!$A$2:$A$2436,0)),"")</f>
        <v>Little  4/4
coach: Danti</v>
      </c>
      <c r="T55" s="61" t="str">
        <f aca="false">IFERROR(INDEX('Master Data'!$L$2:$L$2436,MATCH($B$3&amp;"|3|"&amp;B$44&amp;"|"&amp;$A55,'Master Data'!$A$2:$A$2436,0)),"")</f>
        <v>Sebagian</v>
      </c>
      <c r="U55" s="61" t="str">
        <f aca="false">IFERROR(INDEX('Master Data'!$L$2:$L$2436,MATCH($B$3&amp;"|3|"&amp;C$44&amp;"|"&amp;$A55,'Master Data'!$A$2:$A$2436,0)),"")</f>
        <v>Penuh</v>
      </c>
      <c r="V55" s="61" t="str">
        <f aca="false">IFERROR(INDEX('Master Data'!$L$2:$L$2436,MATCH($B$3&amp;"|3|"&amp;D$44&amp;"|"&amp;$A55,'Master Data'!$A$2:$A$2436,0)),"")</f>
        <v>Sebagian</v>
      </c>
      <c r="W55" s="61" t="str">
        <f aca="false">IFERROR(INDEX('Master Data'!$L$2:$L$2436,MATCH($B$3&amp;"|3|"&amp;E$44&amp;"|"&amp;$A55,'Master Data'!$A$2:$A$2436,0)),"")</f>
        <v>Penuh</v>
      </c>
      <c r="X55" s="61" t="str">
        <f aca="false">IFERROR(INDEX('Master Data'!$L$2:$L$2436,MATCH($B$3&amp;"|3|"&amp;F$44&amp;"|"&amp;$A55,'Master Data'!$A$2:$A$2436,0)),"")</f>
        <v>Penuh</v>
      </c>
      <c r="Y55" s="61" t="str">
        <f aca="false">IFERROR(INDEX('Master Data'!$L$2:$L$2436,MATCH($B$3&amp;"|3|"&amp;G$44&amp;"|"&amp;$A55,'Master Data'!$A$2:$A$2436,0)),"")</f>
        <v>Penuh</v>
      </c>
      <c r="Z55" s="61" t="str">
        <f aca="false">IFERROR(INDEX('Master Data'!$L$2:$L$2436,MATCH($B$3&amp;"|3|"&amp;H$44&amp;"|"&amp;$A55,'Master Data'!$A$2:$A$2436,0)),"")</f>
        <v>Penuh</v>
      </c>
    </row>
    <row r="56" customFormat="false" ht="30" hidden="false" customHeight="true" outlineLevel="0" collapsed="false">
      <c r="A56" s="59" t="s">
        <v>121</v>
      </c>
      <c r="B56" s="60" t="str">
        <f aca="false">IFERROR(INDEX('Master Data'!$M$2:$M$2436,MATCH($B$3&amp;"|3|"&amp;B$44&amp;"|"&amp;$A56,'Master Data'!$A$2:$A$2436,0)),"")</f>
        <v>Little  4/4
coach: Daffa</v>
      </c>
      <c r="C56" s="60" t="str">
        <f aca="false">IFERROR(INDEX('Master Data'!$M$2:$M$2436,MATCH($B$3&amp;"|3|"&amp;C$44&amp;"|"&amp;$A56,'Master Data'!$A$2:$A$2436,0)),"")</f>
        <v>Little  4/4
coach: Zidane</v>
      </c>
      <c r="D56" s="60" t="str">
        <f aca="false">IFERROR(INDEX('Master Data'!$M$2:$M$2436,MATCH($B$3&amp;"|3|"&amp;D$44&amp;"|"&amp;$A56,'Master Data'!$A$2:$A$2436,0)),"")</f>
        <v>Little  4/4
coach: Surya</v>
      </c>
      <c r="E56" s="60" t="str">
        <f aca="false">IFERROR(INDEX('Master Data'!$M$2:$M$2436,MATCH($B$3&amp;"|3|"&amp;E$44&amp;"|"&amp;$A56,'Master Data'!$A$2:$A$2436,0)),"")</f>
        <v>Little  4/4
coach: Nuky</v>
      </c>
      <c r="F56" s="60" t="str">
        <f aca="false">IFERROR(INDEX('Master Data'!$M$2:$M$2436,MATCH($B$3&amp;"|3|"&amp;F$44&amp;"|"&amp;$A56,'Master Data'!$A$2:$A$2436,0)),"")</f>
        <v>Little  4/4
coach: Rischa</v>
      </c>
      <c r="G56" s="60" t="str">
        <f aca="false">IFERROR(INDEX('Master Data'!$M$2:$M$2436,MATCH($B$3&amp;"|3|"&amp;G$44&amp;"|"&amp;$A56,'Master Data'!$A$2:$A$2436,0)),"")</f>
        <v>Little  4/4
coach: Danti</v>
      </c>
      <c r="H56" s="60" t="str">
        <f aca="false">IFERROR(INDEX('Master Data'!$M$2:$M$2436,MATCH($B$3&amp;"|3|"&amp;H$44&amp;"|"&amp;$A56,'Master Data'!$A$2:$A$2436,0)),"")</f>
        <v>Little  3/4
coach: Eka</v>
      </c>
      <c r="T56" s="61" t="str">
        <f aca="false">IFERROR(INDEX('Master Data'!$L$2:$L$2436,MATCH($B$3&amp;"|3|"&amp;B$44&amp;"|"&amp;$A56,'Master Data'!$A$2:$A$2436,0)),"")</f>
        <v>Penuh</v>
      </c>
      <c r="U56" s="61" t="str">
        <f aca="false">IFERROR(INDEX('Master Data'!$L$2:$L$2436,MATCH($B$3&amp;"|3|"&amp;C$44&amp;"|"&amp;$A56,'Master Data'!$A$2:$A$2436,0)),"")</f>
        <v>Penuh</v>
      </c>
      <c r="V56" s="61" t="str">
        <f aca="false">IFERROR(INDEX('Master Data'!$L$2:$L$2436,MATCH($B$3&amp;"|3|"&amp;D$44&amp;"|"&amp;$A56,'Master Data'!$A$2:$A$2436,0)),"")</f>
        <v>Penuh</v>
      </c>
      <c r="W56" s="61" t="str">
        <f aca="false">IFERROR(INDEX('Master Data'!$L$2:$L$2436,MATCH($B$3&amp;"|3|"&amp;E$44&amp;"|"&amp;$A56,'Master Data'!$A$2:$A$2436,0)),"")</f>
        <v>Penuh</v>
      </c>
      <c r="X56" s="61" t="str">
        <f aca="false">IFERROR(INDEX('Master Data'!$L$2:$L$2436,MATCH($B$3&amp;"|3|"&amp;F$44&amp;"|"&amp;$A56,'Master Data'!$A$2:$A$2436,0)),"")</f>
        <v>Penuh</v>
      </c>
      <c r="Y56" s="61" t="str">
        <f aca="false">IFERROR(INDEX('Master Data'!$L$2:$L$2436,MATCH($B$3&amp;"|3|"&amp;G$44&amp;"|"&amp;$A56,'Master Data'!$A$2:$A$2436,0)),"")</f>
        <v>Penuh</v>
      </c>
      <c r="Z56" s="61" t="str">
        <f aca="false">IFERROR(INDEX('Master Data'!$L$2:$L$2436,MATCH($B$3&amp;"|3|"&amp;H$44&amp;"|"&amp;$A56,'Master Data'!$A$2:$A$2436,0)),"")</f>
        <v>Sebagian</v>
      </c>
    </row>
    <row r="58" customFormat="false" ht="16.15" hidden="false" customHeight="false" outlineLevel="0" collapsed="false">
      <c r="A58" s="54" t="s">
        <v>122</v>
      </c>
      <c r="B58" s="55"/>
      <c r="C58" s="56" t="str">
        <f aca="false">"Utilisasi lane: "&amp;IFERROR(TEXT(SUMIFS('Master Data'!$H$2:$H$2436,'Master Data'!$B$2:$B$2436,$B$3,'Master Data'!$C$2:$C$2436,4,'Master Data'!$G$2:$G$2436,"&gt;0")/SUMIFS('Master Data'!$G$2:$G$2436,'Master Data'!$B$2:$B$2436,$B$3,'Master Data'!$C$2:$C$2436,4,'Master Data'!$G$2:$G$2436,"&gt;0"),"0%"),"–")&amp;"   ·   Belum terisi: "&amp;COUNTIFS('Master Data'!$B$2:$B$2436,$B$3,'Master Data'!$C$2:$C$2436,4,'Master Data'!$L$2:$L$2436,"Belum terisi")&amp;"   ·   Slot kosong: "&amp;COUNTIFS('Master Data'!$B$2:$B$2436,$B$3,'Master Data'!$C$2:$C$2436,4,'Master Data'!$L$2:$L$2436,"Slot kosong")</f>
        <v>Utilisasi lane: 67%   ·   Belum terisi: 17   ·   Slot kosong: 0</v>
      </c>
      <c r="D58" s="55"/>
      <c r="E58" s="55"/>
      <c r="F58" s="55"/>
      <c r="G58" s="55"/>
      <c r="H58" s="55"/>
    </row>
    <row r="59" customFormat="false" ht="15" hidden="false" customHeight="false" outlineLevel="0" collapsed="false">
      <c r="A59" s="57" t="s">
        <v>89</v>
      </c>
      <c r="B59" s="58" t="s">
        <v>90</v>
      </c>
      <c r="C59" s="58" t="s">
        <v>91</v>
      </c>
      <c r="D59" s="58" t="s">
        <v>92</v>
      </c>
      <c r="E59" s="58" t="s">
        <v>93</v>
      </c>
      <c r="F59" s="58" t="s">
        <v>94</v>
      </c>
      <c r="G59" s="58" t="s">
        <v>95</v>
      </c>
      <c r="H59" s="58" t="s">
        <v>78</v>
      </c>
    </row>
    <row r="60" customFormat="false" ht="30" hidden="false" customHeight="true" outlineLevel="0" collapsed="false">
      <c r="A60" s="59" t="s">
        <v>110</v>
      </c>
      <c r="B60" s="60" t="str">
        <f aca="false">IFERROR(INDEX('Master Data'!$M$2:$M$2436,MATCH($B$3&amp;"|4|"&amp;B$59&amp;"|"&amp;$A60,'Master Data'!$A$2:$A$2436,0)),"")</f>
        <v>Kids  0/0
coach: –</v>
      </c>
      <c r="C60" s="60" t="str">
        <f aca="false">IFERROR(INDEX('Master Data'!$M$2:$M$2436,MATCH($B$3&amp;"|4|"&amp;C$59&amp;"|"&amp;$A60,'Master Data'!$A$2:$A$2436,0)),"")</f>
        <v>Kids  0/0
coach: –</v>
      </c>
      <c r="D60" s="60" t="str">
        <f aca="false">IFERROR(INDEX('Master Data'!$M$2:$M$2436,MATCH($B$3&amp;"|4|"&amp;D$59&amp;"|"&amp;$A60,'Master Data'!$A$2:$A$2436,0)),"")</f>
        <v>Kids  0/0
coach: –</v>
      </c>
      <c r="E60" s="60" t="str">
        <f aca="false">IFERROR(INDEX('Master Data'!$M$2:$M$2436,MATCH($B$3&amp;"|4|"&amp;E$59&amp;"|"&amp;$A60,'Master Data'!$A$2:$A$2436,0)),"")</f>
        <v>Kids  0/0
coach: –</v>
      </c>
      <c r="F60" s="60" t="str">
        <f aca="false">IFERROR(INDEX('Master Data'!$M$2:$M$2436,MATCH($B$3&amp;"|4|"&amp;F$59&amp;"|"&amp;$A60,'Master Data'!$A$2:$A$2436,0)),"")</f>
        <v>Kids  0/0
coach: –</v>
      </c>
      <c r="G60" s="60" t="str">
        <f aca="false">IFERROR(INDEX('Master Data'!$M$2:$M$2436,MATCH($B$3&amp;"|4|"&amp;G$59&amp;"|"&amp;$A60,'Master Data'!$A$2:$A$2436,0)),"")</f>
        <v>Kids  0/0
coach: –</v>
      </c>
      <c r="H60" s="60" t="str">
        <f aca="false">IFERROR(INDEX('Master Data'!$M$2:$M$2436,MATCH($B$3&amp;"|4|"&amp;H$59&amp;"|"&amp;$A60,'Master Data'!$A$2:$A$2436,0)),"")</f>
        <v>Kids  0/0
coach: –</v>
      </c>
      <c r="T60" s="61" t="str">
        <f aca="false">IFERROR(INDEX('Master Data'!$L$2:$L$2436,MATCH($B$3&amp;"|4|"&amp;B$59&amp;"|"&amp;$A60,'Master Data'!$A$2:$A$2436,0)),"")</f>
        <v>Tutup</v>
      </c>
      <c r="U60" s="61" t="str">
        <f aca="false">IFERROR(INDEX('Master Data'!$L$2:$L$2436,MATCH($B$3&amp;"|4|"&amp;C$59&amp;"|"&amp;$A60,'Master Data'!$A$2:$A$2436,0)),"")</f>
        <v>Tutup</v>
      </c>
      <c r="V60" s="61" t="str">
        <f aca="false">IFERROR(INDEX('Master Data'!$L$2:$L$2436,MATCH($B$3&amp;"|4|"&amp;D$59&amp;"|"&amp;$A60,'Master Data'!$A$2:$A$2436,0)),"")</f>
        <v>Tutup</v>
      </c>
      <c r="W60" s="61" t="str">
        <f aca="false">IFERROR(INDEX('Master Data'!$L$2:$L$2436,MATCH($B$3&amp;"|4|"&amp;E$59&amp;"|"&amp;$A60,'Master Data'!$A$2:$A$2436,0)),"")</f>
        <v>Tutup</v>
      </c>
      <c r="X60" s="61" t="str">
        <f aca="false">IFERROR(INDEX('Master Data'!$L$2:$L$2436,MATCH($B$3&amp;"|4|"&amp;F$59&amp;"|"&amp;$A60,'Master Data'!$A$2:$A$2436,0)),"")</f>
        <v>Tutup</v>
      </c>
      <c r="Y60" s="61" t="str">
        <f aca="false">IFERROR(INDEX('Master Data'!$L$2:$L$2436,MATCH($B$3&amp;"|4|"&amp;G$59&amp;"|"&amp;$A60,'Master Data'!$A$2:$A$2436,0)),"")</f>
        <v>Tutup</v>
      </c>
      <c r="Z60" s="61" t="str">
        <f aca="false">IFERROR(INDEX('Master Data'!$L$2:$L$2436,MATCH($B$3&amp;"|4|"&amp;H$59&amp;"|"&amp;$A60,'Master Data'!$A$2:$A$2436,0)),"")</f>
        <v>Tutup</v>
      </c>
    </row>
    <row r="61" customFormat="false" ht="30" hidden="false" customHeight="true" outlineLevel="0" collapsed="false">
      <c r="A61" s="59" t="s">
        <v>111</v>
      </c>
      <c r="B61" s="60" t="str">
        <f aca="false">IFERROR(INDEX('Master Data'!$M$2:$M$2436,MATCH($B$3&amp;"|4|"&amp;B$59&amp;"|"&amp;$A61,'Master Data'!$A$2:$A$2436,0)),"")</f>
        <v>Kids  0/4
coach: –</v>
      </c>
      <c r="C61" s="60" t="str">
        <f aca="false">IFERROR(INDEX('Master Data'!$M$2:$M$2436,MATCH($B$3&amp;"|4|"&amp;C$59&amp;"|"&amp;$A61,'Master Data'!$A$2:$A$2436,0)),"")</f>
        <v>Kids  0/4
coach: –</v>
      </c>
      <c r="D61" s="60" t="str">
        <f aca="false">IFERROR(INDEX('Master Data'!$M$2:$M$2436,MATCH($B$3&amp;"|4|"&amp;D$59&amp;"|"&amp;$A61,'Master Data'!$A$2:$A$2436,0)),"")</f>
        <v>Kids  3/4
coach: Gita</v>
      </c>
      <c r="E61" s="60" t="str">
        <f aca="false">IFERROR(INDEX('Master Data'!$M$2:$M$2436,MATCH($B$3&amp;"|4|"&amp;E$59&amp;"|"&amp;$A61,'Master Data'!$A$2:$A$2436,0)),"")</f>
        <v>Kids  0/4
coach: –</v>
      </c>
      <c r="F61" s="60" t="str">
        <f aca="false">IFERROR(INDEX('Master Data'!$M$2:$M$2436,MATCH($B$3&amp;"|4|"&amp;F$59&amp;"|"&amp;$A61,'Master Data'!$A$2:$A$2436,0)),"")</f>
        <v>Kids  0/4
coach: –</v>
      </c>
      <c r="G61" s="60" t="str">
        <f aca="false">IFERROR(INDEX('Master Data'!$M$2:$M$2436,MATCH($B$3&amp;"|4|"&amp;G$59&amp;"|"&amp;$A61,'Master Data'!$A$2:$A$2436,0)),"")</f>
        <v>Kids  4/4
coach: Dian</v>
      </c>
      <c r="H61" s="60" t="str">
        <f aca="false">IFERROR(INDEX('Master Data'!$M$2:$M$2436,MATCH($B$3&amp;"|4|"&amp;H$59&amp;"|"&amp;$A61,'Master Data'!$A$2:$A$2436,0)),"")</f>
        <v>Kids  4/4
coach: Dian</v>
      </c>
      <c r="T61" s="61" t="str">
        <f aca="false">IFERROR(INDEX('Master Data'!$L$2:$L$2436,MATCH($B$3&amp;"|4|"&amp;B$59&amp;"|"&amp;$A61,'Master Data'!$A$2:$A$2436,0)),"")</f>
        <v>Belum terisi</v>
      </c>
      <c r="U61" s="61" t="str">
        <f aca="false">IFERROR(INDEX('Master Data'!$L$2:$L$2436,MATCH($B$3&amp;"|4|"&amp;C$59&amp;"|"&amp;$A61,'Master Data'!$A$2:$A$2436,0)),"")</f>
        <v>Belum terisi</v>
      </c>
      <c r="V61" s="61" t="str">
        <f aca="false">IFERROR(INDEX('Master Data'!$L$2:$L$2436,MATCH($B$3&amp;"|4|"&amp;D$59&amp;"|"&amp;$A61,'Master Data'!$A$2:$A$2436,0)),"")</f>
        <v>Sebagian</v>
      </c>
      <c r="W61" s="61" t="str">
        <f aca="false">IFERROR(INDEX('Master Data'!$L$2:$L$2436,MATCH($B$3&amp;"|4|"&amp;E$59&amp;"|"&amp;$A61,'Master Data'!$A$2:$A$2436,0)),"")</f>
        <v>Belum terisi</v>
      </c>
      <c r="X61" s="61" t="str">
        <f aca="false">IFERROR(INDEX('Master Data'!$L$2:$L$2436,MATCH($B$3&amp;"|4|"&amp;F$59&amp;"|"&amp;$A61,'Master Data'!$A$2:$A$2436,0)),"")</f>
        <v>Belum terisi</v>
      </c>
      <c r="Y61" s="61" t="str">
        <f aca="false">IFERROR(INDEX('Master Data'!$L$2:$L$2436,MATCH($B$3&amp;"|4|"&amp;G$59&amp;"|"&amp;$A61,'Master Data'!$A$2:$A$2436,0)),"")</f>
        <v>Penuh</v>
      </c>
      <c r="Z61" s="61" t="str">
        <f aca="false">IFERROR(INDEX('Master Data'!$L$2:$L$2436,MATCH($B$3&amp;"|4|"&amp;H$59&amp;"|"&amp;$A61,'Master Data'!$A$2:$A$2436,0)),"")</f>
        <v>Penuh</v>
      </c>
    </row>
    <row r="62" customFormat="false" ht="30" hidden="false" customHeight="true" outlineLevel="0" collapsed="false">
      <c r="A62" s="59" t="s">
        <v>112</v>
      </c>
      <c r="B62" s="60" t="str">
        <f aca="false">IFERROR(INDEX('Master Data'!$M$2:$M$2436,MATCH($B$3&amp;"|4|"&amp;B$59&amp;"|"&amp;$A62,'Master Data'!$A$2:$A$2436,0)),"")</f>
        <v>Kids  0/4
coach: –</v>
      </c>
      <c r="C62" s="60" t="str">
        <f aca="false">IFERROR(INDEX('Master Data'!$M$2:$M$2436,MATCH($B$3&amp;"|4|"&amp;C$59&amp;"|"&amp;$A62,'Master Data'!$A$2:$A$2436,0)),"")</f>
        <v>Kids  0/4
coach: –</v>
      </c>
      <c r="D62" s="60" t="str">
        <f aca="false">IFERROR(INDEX('Master Data'!$M$2:$M$2436,MATCH($B$3&amp;"|4|"&amp;D$59&amp;"|"&amp;$A62,'Master Data'!$A$2:$A$2436,0)),"")</f>
        <v>Kids  0/4
coach: –</v>
      </c>
      <c r="E62" s="60" t="str">
        <f aca="false">IFERROR(INDEX('Master Data'!$M$2:$M$2436,MATCH($B$3&amp;"|4|"&amp;E$59&amp;"|"&amp;$A62,'Master Data'!$A$2:$A$2436,0)),"")</f>
        <v>Kids  3/4
coach: Surya</v>
      </c>
      <c r="F62" s="60" t="str">
        <f aca="false">IFERROR(INDEX('Master Data'!$M$2:$M$2436,MATCH($B$3&amp;"|4|"&amp;F$59&amp;"|"&amp;$A62,'Master Data'!$A$2:$A$2436,0)),"")</f>
        <v>Kids  0/4
coach: –</v>
      </c>
      <c r="G62" s="60" t="str">
        <f aca="false">IFERROR(INDEX('Master Data'!$M$2:$M$2436,MATCH($B$3&amp;"|4|"&amp;G$59&amp;"|"&amp;$A62,'Master Data'!$A$2:$A$2436,0)),"")</f>
        <v>Kids  3/4
coach: Dian</v>
      </c>
      <c r="H62" s="60" t="str">
        <f aca="false">IFERROR(INDEX('Master Data'!$M$2:$M$2436,MATCH($B$3&amp;"|4|"&amp;H$59&amp;"|"&amp;$A62,'Master Data'!$A$2:$A$2436,0)),"")</f>
        <v>Kids  3/4
coach: Eka</v>
      </c>
      <c r="T62" s="61" t="str">
        <f aca="false">IFERROR(INDEX('Master Data'!$L$2:$L$2436,MATCH($B$3&amp;"|4|"&amp;B$59&amp;"|"&amp;$A62,'Master Data'!$A$2:$A$2436,0)),"")</f>
        <v>Belum terisi</v>
      </c>
      <c r="U62" s="61" t="str">
        <f aca="false">IFERROR(INDEX('Master Data'!$L$2:$L$2436,MATCH($B$3&amp;"|4|"&amp;C$59&amp;"|"&amp;$A62,'Master Data'!$A$2:$A$2436,0)),"")</f>
        <v>Belum terisi</v>
      </c>
      <c r="V62" s="61" t="str">
        <f aca="false">IFERROR(INDEX('Master Data'!$L$2:$L$2436,MATCH($B$3&amp;"|4|"&amp;D$59&amp;"|"&amp;$A62,'Master Data'!$A$2:$A$2436,0)),"")</f>
        <v>Belum terisi</v>
      </c>
      <c r="W62" s="61" t="str">
        <f aca="false">IFERROR(INDEX('Master Data'!$L$2:$L$2436,MATCH($B$3&amp;"|4|"&amp;E$59&amp;"|"&amp;$A62,'Master Data'!$A$2:$A$2436,0)),"")</f>
        <v>Sebagian</v>
      </c>
      <c r="X62" s="61" t="str">
        <f aca="false">IFERROR(INDEX('Master Data'!$L$2:$L$2436,MATCH($B$3&amp;"|4|"&amp;F$59&amp;"|"&amp;$A62,'Master Data'!$A$2:$A$2436,0)),"")</f>
        <v>Belum terisi</v>
      </c>
      <c r="Y62" s="61" t="str">
        <f aca="false">IFERROR(INDEX('Master Data'!$L$2:$L$2436,MATCH($B$3&amp;"|4|"&amp;G$59&amp;"|"&amp;$A62,'Master Data'!$A$2:$A$2436,0)),"")</f>
        <v>Sebagian</v>
      </c>
      <c r="Z62" s="61" t="str">
        <f aca="false">IFERROR(INDEX('Master Data'!$L$2:$L$2436,MATCH($B$3&amp;"|4|"&amp;H$59&amp;"|"&amp;$A62,'Master Data'!$A$2:$A$2436,0)),"")</f>
        <v>Sebagian</v>
      </c>
    </row>
    <row r="63" customFormat="false" ht="30" hidden="false" customHeight="true" outlineLevel="0" collapsed="false">
      <c r="A63" s="59" t="s">
        <v>113</v>
      </c>
      <c r="B63" s="60" t="str">
        <f aca="false">IFERROR(INDEX('Master Data'!$M$2:$M$2436,MATCH($B$3&amp;"|4|"&amp;B$59&amp;"|"&amp;$A63,'Master Data'!$A$2:$A$2436,0)),"")</f>
        <v>Kids  0/4
coach: –</v>
      </c>
      <c r="C63" s="60" t="str">
        <f aca="false">IFERROR(INDEX('Master Data'!$M$2:$M$2436,MATCH($B$3&amp;"|4|"&amp;C$59&amp;"|"&amp;$A63,'Master Data'!$A$2:$A$2436,0)),"")</f>
        <v>Kids  0/4
coach: –</v>
      </c>
      <c r="D63" s="60" t="str">
        <f aca="false">IFERROR(INDEX('Master Data'!$M$2:$M$2436,MATCH($B$3&amp;"|4|"&amp;D$59&amp;"|"&amp;$A63,'Master Data'!$A$2:$A$2436,0)),"")</f>
        <v>Kids  0/4
coach: –</v>
      </c>
      <c r="E63" s="60" t="str">
        <f aca="false">IFERROR(INDEX('Master Data'!$M$2:$M$2436,MATCH($B$3&amp;"|4|"&amp;E$59&amp;"|"&amp;$A63,'Master Data'!$A$2:$A$2436,0)),"")</f>
        <v>Kids  0/4
coach: –</v>
      </c>
      <c r="F63" s="60" t="str">
        <f aca="false">IFERROR(INDEX('Master Data'!$M$2:$M$2436,MATCH($B$3&amp;"|4|"&amp;F$59&amp;"|"&amp;$A63,'Master Data'!$A$2:$A$2436,0)),"")</f>
        <v>Kids  3/4
coach: Rischa</v>
      </c>
      <c r="G63" s="60" t="str">
        <f aca="false">IFERROR(INDEX('Master Data'!$M$2:$M$2436,MATCH($B$3&amp;"|4|"&amp;G$59&amp;"|"&amp;$A63,'Master Data'!$A$2:$A$2436,0)),"")</f>
        <v>Kids  4/4
coach: Danti</v>
      </c>
      <c r="H63" s="60" t="str">
        <f aca="false">IFERROR(INDEX('Master Data'!$M$2:$M$2436,MATCH($B$3&amp;"|4|"&amp;H$59&amp;"|"&amp;$A63,'Master Data'!$A$2:$A$2436,0)),"")</f>
        <v>Kids  4/4
coach: Daffa</v>
      </c>
      <c r="T63" s="61" t="str">
        <f aca="false">IFERROR(INDEX('Master Data'!$L$2:$L$2436,MATCH($B$3&amp;"|4|"&amp;B$59&amp;"|"&amp;$A63,'Master Data'!$A$2:$A$2436,0)),"")</f>
        <v>Belum terisi</v>
      </c>
      <c r="U63" s="61" t="str">
        <f aca="false">IFERROR(INDEX('Master Data'!$L$2:$L$2436,MATCH($B$3&amp;"|4|"&amp;C$59&amp;"|"&amp;$A63,'Master Data'!$A$2:$A$2436,0)),"")</f>
        <v>Belum terisi</v>
      </c>
      <c r="V63" s="61" t="str">
        <f aca="false">IFERROR(INDEX('Master Data'!$L$2:$L$2436,MATCH($B$3&amp;"|4|"&amp;D$59&amp;"|"&amp;$A63,'Master Data'!$A$2:$A$2436,0)),"")</f>
        <v>Belum terisi</v>
      </c>
      <c r="W63" s="61" t="str">
        <f aca="false">IFERROR(INDEX('Master Data'!$L$2:$L$2436,MATCH($B$3&amp;"|4|"&amp;E$59&amp;"|"&amp;$A63,'Master Data'!$A$2:$A$2436,0)),"")</f>
        <v>Belum terisi</v>
      </c>
      <c r="X63" s="61" t="str">
        <f aca="false">IFERROR(INDEX('Master Data'!$L$2:$L$2436,MATCH($B$3&amp;"|4|"&amp;F$59&amp;"|"&amp;$A63,'Master Data'!$A$2:$A$2436,0)),"")</f>
        <v>Sebagian</v>
      </c>
      <c r="Y63" s="61" t="str">
        <f aca="false">IFERROR(INDEX('Master Data'!$L$2:$L$2436,MATCH($B$3&amp;"|4|"&amp;G$59&amp;"|"&amp;$A63,'Master Data'!$A$2:$A$2436,0)),"")</f>
        <v>Penuh</v>
      </c>
      <c r="Z63" s="61" t="str">
        <f aca="false">IFERROR(INDEX('Master Data'!$L$2:$L$2436,MATCH($B$3&amp;"|4|"&amp;H$59&amp;"|"&amp;$A63,'Master Data'!$A$2:$A$2436,0)),"")</f>
        <v>Penuh</v>
      </c>
    </row>
    <row r="64" customFormat="false" ht="30" hidden="false" customHeight="true" outlineLevel="0" collapsed="false">
      <c r="A64" s="59" t="s">
        <v>114</v>
      </c>
      <c r="B64" s="60" t="str">
        <f aca="false">IFERROR(INDEX('Master Data'!$M$2:$M$2436,MATCH($B$3&amp;"|4|"&amp;B$59&amp;"|"&amp;$A64,'Master Data'!$A$2:$A$2436,0)),"")</f>
        <v>Kids  0/4
coach: –</v>
      </c>
      <c r="C64" s="60" t="str">
        <f aca="false">IFERROR(INDEX('Master Data'!$M$2:$M$2436,MATCH($B$3&amp;"|4|"&amp;C$59&amp;"|"&amp;$A64,'Master Data'!$A$2:$A$2436,0)),"")</f>
        <v>Kids  0/4
coach: –</v>
      </c>
      <c r="D64" s="60" t="str">
        <f aca="false">IFERROR(INDEX('Master Data'!$M$2:$M$2436,MATCH($B$3&amp;"|4|"&amp;D$59&amp;"|"&amp;$A64,'Master Data'!$A$2:$A$2436,0)),"")</f>
        <v>Kids  0/4
coach: –</v>
      </c>
      <c r="E64" s="60" t="str">
        <f aca="false">IFERROR(INDEX('Master Data'!$M$2:$M$2436,MATCH($B$3&amp;"|4|"&amp;E$59&amp;"|"&amp;$A64,'Master Data'!$A$2:$A$2436,0)),"")</f>
        <v>Kids  0/4
coach: –</v>
      </c>
      <c r="F64" s="60" t="str">
        <f aca="false">IFERROR(INDEX('Master Data'!$M$2:$M$2436,MATCH($B$3&amp;"|4|"&amp;F$59&amp;"|"&amp;$A64,'Master Data'!$A$2:$A$2436,0)),"")</f>
        <v>Kids  3/4
coach: Eka</v>
      </c>
      <c r="G64" s="60" t="str">
        <f aca="false">IFERROR(INDEX('Master Data'!$M$2:$M$2436,MATCH($B$3&amp;"|4|"&amp;G$59&amp;"|"&amp;$A64,'Master Data'!$A$2:$A$2436,0)),"")</f>
        <v>Kids  4/4
coach: Daffa</v>
      </c>
      <c r="H64" s="60" t="str">
        <f aca="false">IFERROR(INDEX('Master Data'!$M$2:$M$2436,MATCH($B$3&amp;"|4|"&amp;H$59&amp;"|"&amp;$A64,'Master Data'!$A$2:$A$2436,0)),"")</f>
        <v>Kids  4/4
coach: Nuky</v>
      </c>
      <c r="T64" s="61" t="str">
        <f aca="false">IFERROR(INDEX('Master Data'!$L$2:$L$2436,MATCH($B$3&amp;"|4|"&amp;B$59&amp;"|"&amp;$A64,'Master Data'!$A$2:$A$2436,0)),"")</f>
        <v>Belum terisi</v>
      </c>
      <c r="U64" s="61" t="str">
        <f aca="false">IFERROR(INDEX('Master Data'!$L$2:$L$2436,MATCH($B$3&amp;"|4|"&amp;C$59&amp;"|"&amp;$A64,'Master Data'!$A$2:$A$2436,0)),"")</f>
        <v>Belum terisi</v>
      </c>
      <c r="V64" s="61" t="str">
        <f aca="false">IFERROR(INDEX('Master Data'!$L$2:$L$2436,MATCH($B$3&amp;"|4|"&amp;D$59&amp;"|"&amp;$A64,'Master Data'!$A$2:$A$2436,0)),"")</f>
        <v>Belum terisi</v>
      </c>
      <c r="W64" s="61" t="str">
        <f aca="false">IFERROR(INDEX('Master Data'!$L$2:$L$2436,MATCH($B$3&amp;"|4|"&amp;E$59&amp;"|"&amp;$A64,'Master Data'!$A$2:$A$2436,0)),"")</f>
        <v>Belum terisi</v>
      </c>
      <c r="X64" s="61" t="str">
        <f aca="false">IFERROR(INDEX('Master Data'!$L$2:$L$2436,MATCH($B$3&amp;"|4|"&amp;F$59&amp;"|"&amp;$A64,'Master Data'!$A$2:$A$2436,0)),"")</f>
        <v>Sebagian</v>
      </c>
      <c r="Y64" s="61" t="str">
        <f aca="false">IFERROR(INDEX('Master Data'!$L$2:$L$2436,MATCH($B$3&amp;"|4|"&amp;G$59&amp;"|"&amp;$A64,'Master Data'!$A$2:$A$2436,0)),"")</f>
        <v>Penuh</v>
      </c>
      <c r="Z64" s="61" t="str">
        <f aca="false">IFERROR(INDEX('Master Data'!$L$2:$L$2436,MATCH($B$3&amp;"|4|"&amp;H$59&amp;"|"&amp;$A64,'Master Data'!$A$2:$A$2436,0)),"")</f>
        <v>Penuh</v>
      </c>
    </row>
    <row r="65" customFormat="false" ht="30" hidden="false" customHeight="true" outlineLevel="0" collapsed="false">
      <c r="A65" s="59" t="s">
        <v>115</v>
      </c>
      <c r="B65" s="60" t="str">
        <f aca="false">IFERROR(INDEX('Master Data'!$M$2:$M$2436,MATCH($B$3&amp;"|4|"&amp;B$59&amp;"|"&amp;$A65,'Master Data'!$A$2:$A$2436,0)),"")</f>
        <v>Kids  0/0
coach: –</v>
      </c>
      <c r="C65" s="60" t="str">
        <f aca="false">IFERROR(INDEX('Master Data'!$M$2:$M$2436,MATCH($B$3&amp;"|4|"&amp;C$59&amp;"|"&amp;$A65,'Master Data'!$A$2:$A$2436,0)),"")</f>
        <v>Kids  0/0
coach: –</v>
      </c>
      <c r="D65" s="60" t="str">
        <f aca="false">IFERROR(INDEX('Master Data'!$M$2:$M$2436,MATCH($B$3&amp;"|4|"&amp;D$59&amp;"|"&amp;$A65,'Master Data'!$A$2:$A$2436,0)),"")</f>
        <v>Kids  0/0
coach: –</v>
      </c>
      <c r="E65" s="60" t="str">
        <f aca="false">IFERROR(INDEX('Master Data'!$M$2:$M$2436,MATCH($B$3&amp;"|4|"&amp;E$59&amp;"|"&amp;$A65,'Master Data'!$A$2:$A$2436,0)),"")</f>
        <v>Kids  0/0
coach: –</v>
      </c>
      <c r="F65" s="60" t="str">
        <f aca="false">IFERROR(INDEX('Master Data'!$M$2:$M$2436,MATCH($B$3&amp;"|4|"&amp;F$59&amp;"|"&amp;$A65,'Master Data'!$A$2:$A$2436,0)),"")</f>
        <v>Kids  0/0
coach: –</v>
      </c>
      <c r="G65" s="60" t="str">
        <f aca="false">IFERROR(INDEX('Master Data'!$M$2:$M$2436,MATCH($B$3&amp;"|4|"&amp;G$59&amp;"|"&amp;$A65,'Master Data'!$A$2:$A$2436,0)),"")</f>
        <v>Kids  4/4
coach: Surya</v>
      </c>
      <c r="H65" s="60" t="str">
        <f aca="false">IFERROR(INDEX('Master Data'!$M$2:$M$2436,MATCH($B$3&amp;"|4|"&amp;H$59&amp;"|"&amp;$A65,'Master Data'!$A$2:$A$2436,0)),"")</f>
        <v>Kids  4/4
coach: Zidane</v>
      </c>
      <c r="T65" s="61" t="str">
        <f aca="false">IFERROR(INDEX('Master Data'!$L$2:$L$2436,MATCH($B$3&amp;"|4|"&amp;B$59&amp;"|"&amp;$A65,'Master Data'!$A$2:$A$2436,0)),"")</f>
        <v>Tutup</v>
      </c>
      <c r="U65" s="61" t="str">
        <f aca="false">IFERROR(INDEX('Master Data'!$L$2:$L$2436,MATCH($B$3&amp;"|4|"&amp;C$59&amp;"|"&amp;$A65,'Master Data'!$A$2:$A$2436,0)),"")</f>
        <v>Tutup</v>
      </c>
      <c r="V65" s="61" t="str">
        <f aca="false">IFERROR(INDEX('Master Data'!$L$2:$L$2436,MATCH($B$3&amp;"|4|"&amp;D$59&amp;"|"&amp;$A65,'Master Data'!$A$2:$A$2436,0)),"")</f>
        <v>Tutup</v>
      </c>
      <c r="W65" s="61" t="str">
        <f aca="false">IFERROR(INDEX('Master Data'!$L$2:$L$2436,MATCH($B$3&amp;"|4|"&amp;E$59&amp;"|"&amp;$A65,'Master Data'!$A$2:$A$2436,0)),"")</f>
        <v>Tutup</v>
      </c>
      <c r="X65" s="61" t="str">
        <f aca="false">IFERROR(INDEX('Master Data'!$L$2:$L$2436,MATCH($B$3&amp;"|4|"&amp;F$59&amp;"|"&amp;$A65,'Master Data'!$A$2:$A$2436,0)),"")</f>
        <v>Tutup</v>
      </c>
      <c r="Y65" s="61" t="str">
        <f aca="false">IFERROR(INDEX('Master Data'!$L$2:$L$2436,MATCH($B$3&amp;"|4|"&amp;G$59&amp;"|"&amp;$A65,'Master Data'!$A$2:$A$2436,0)),"")</f>
        <v>Penuh</v>
      </c>
      <c r="Z65" s="61" t="str">
        <f aca="false">IFERROR(INDEX('Master Data'!$L$2:$L$2436,MATCH($B$3&amp;"|4|"&amp;H$59&amp;"|"&amp;$A65,'Master Data'!$A$2:$A$2436,0)),"")</f>
        <v>Penuh</v>
      </c>
    </row>
    <row r="66" customFormat="false" ht="30" hidden="false" customHeight="true" outlineLevel="0" collapsed="false">
      <c r="A66" s="59" t="s">
        <v>116</v>
      </c>
      <c r="B66" s="60" t="str">
        <f aca="false">IFERROR(INDEX('Master Data'!$M$2:$M$2436,MATCH($B$3&amp;"|4|"&amp;B$59&amp;"|"&amp;$A66,'Master Data'!$A$2:$A$2436,0)),"")</f>
        <v>Kids  3/4
coach: Zidane</v>
      </c>
      <c r="C66" s="60" t="str">
        <f aca="false">IFERROR(INDEX('Master Data'!$M$2:$M$2436,MATCH($B$3&amp;"|4|"&amp;C$59&amp;"|"&amp;$A66,'Master Data'!$A$2:$A$2436,0)),"")</f>
        <v>Kids  3/4
coach: Dian</v>
      </c>
      <c r="D66" s="60" t="str">
        <f aca="false">IFERROR(INDEX('Master Data'!$M$2:$M$2436,MATCH($B$3&amp;"|4|"&amp;D$59&amp;"|"&amp;$A66,'Master Data'!$A$2:$A$2436,0)),"")</f>
        <v>Kids  4/4
coach: Surya</v>
      </c>
      <c r="E66" s="60" t="str">
        <f aca="false">IFERROR(INDEX('Master Data'!$M$2:$M$2436,MATCH($B$3&amp;"|4|"&amp;E$59&amp;"|"&amp;$A66,'Master Data'!$A$2:$A$2436,0)),"")</f>
        <v>Kids  0/4
coach: –</v>
      </c>
      <c r="F66" s="60" t="str">
        <f aca="false">IFERROR(INDEX('Master Data'!$M$2:$M$2436,MATCH($B$3&amp;"|4|"&amp;F$59&amp;"|"&amp;$A66,'Master Data'!$A$2:$A$2436,0)),"")</f>
        <v>Kids  3/4
coach: Eka</v>
      </c>
      <c r="G66" s="60" t="str">
        <f aca="false">IFERROR(INDEX('Master Data'!$M$2:$M$2436,MATCH($B$3&amp;"|4|"&amp;G$59&amp;"|"&amp;$A66,'Master Data'!$A$2:$A$2436,0)),"")</f>
        <v>Kids  3/4
coach: Surya</v>
      </c>
      <c r="H66" s="60" t="str">
        <f aca="false">IFERROR(INDEX('Master Data'!$M$2:$M$2436,MATCH($B$3&amp;"|4|"&amp;H$59&amp;"|"&amp;$A66,'Master Data'!$A$2:$A$2436,0)),"")</f>
        <v>Kids  4/4
coach: Rischa</v>
      </c>
      <c r="T66" s="61" t="str">
        <f aca="false">IFERROR(INDEX('Master Data'!$L$2:$L$2436,MATCH($B$3&amp;"|4|"&amp;B$59&amp;"|"&amp;$A66,'Master Data'!$A$2:$A$2436,0)),"")</f>
        <v>Sebagian</v>
      </c>
      <c r="U66" s="61" t="str">
        <f aca="false">IFERROR(INDEX('Master Data'!$L$2:$L$2436,MATCH($B$3&amp;"|4|"&amp;C$59&amp;"|"&amp;$A66,'Master Data'!$A$2:$A$2436,0)),"")</f>
        <v>Sebagian</v>
      </c>
      <c r="V66" s="61" t="str">
        <f aca="false">IFERROR(INDEX('Master Data'!$L$2:$L$2436,MATCH($B$3&amp;"|4|"&amp;D$59&amp;"|"&amp;$A66,'Master Data'!$A$2:$A$2436,0)),"")</f>
        <v>Penuh</v>
      </c>
      <c r="W66" s="61" t="str">
        <f aca="false">IFERROR(INDEX('Master Data'!$L$2:$L$2436,MATCH($B$3&amp;"|4|"&amp;E$59&amp;"|"&amp;$A66,'Master Data'!$A$2:$A$2436,0)),"")</f>
        <v>Belum terisi</v>
      </c>
      <c r="X66" s="61" t="str">
        <f aca="false">IFERROR(INDEX('Master Data'!$L$2:$L$2436,MATCH($B$3&amp;"|4|"&amp;F$59&amp;"|"&amp;$A66,'Master Data'!$A$2:$A$2436,0)),"")</f>
        <v>Sebagian</v>
      </c>
      <c r="Y66" s="61" t="str">
        <f aca="false">IFERROR(INDEX('Master Data'!$L$2:$L$2436,MATCH($B$3&amp;"|4|"&amp;G$59&amp;"|"&amp;$A66,'Master Data'!$A$2:$A$2436,0)),"")</f>
        <v>Sebagian</v>
      </c>
      <c r="Z66" s="61" t="str">
        <f aca="false">IFERROR(INDEX('Master Data'!$L$2:$L$2436,MATCH($B$3&amp;"|4|"&amp;H$59&amp;"|"&amp;$A66,'Master Data'!$A$2:$A$2436,0)),"")</f>
        <v>Penuh</v>
      </c>
    </row>
    <row r="67" customFormat="false" ht="30" hidden="false" customHeight="true" outlineLevel="0" collapsed="false">
      <c r="A67" s="59" t="s">
        <v>117</v>
      </c>
      <c r="B67" s="60" t="str">
        <f aca="false">IFERROR(INDEX('Master Data'!$M$2:$M$2436,MATCH($B$3&amp;"|4|"&amp;B$59&amp;"|"&amp;$A67,'Master Data'!$A$2:$A$2436,0)),"")</f>
        <v>Kids  4/4
coach: Dian</v>
      </c>
      <c r="C67" s="60" t="str">
        <f aca="false">IFERROR(INDEX('Master Data'!$M$2:$M$2436,MATCH($B$3&amp;"|4|"&amp;C$59&amp;"|"&amp;$A67,'Master Data'!$A$2:$A$2436,0)),"")</f>
        <v>Kids  4/4
coach: Zidane</v>
      </c>
      <c r="D67" s="60" t="str">
        <f aca="false">IFERROR(INDEX('Master Data'!$M$2:$M$2436,MATCH($B$3&amp;"|4|"&amp;D$59&amp;"|"&amp;$A67,'Master Data'!$A$2:$A$2436,0)),"")</f>
        <v>Kids  4/4
coach: Danti</v>
      </c>
      <c r="E67" s="60" t="str">
        <f aca="false">IFERROR(INDEX('Master Data'!$M$2:$M$2436,MATCH($B$3&amp;"|4|"&amp;E$59&amp;"|"&amp;$A67,'Master Data'!$A$2:$A$2436,0)),"")</f>
        <v>Kids  3/4
coach: Surya</v>
      </c>
      <c r="F67" s="60" t="str">
        <f aca="false">IFERROR(INDEX('Master Data'!$M$2:$M$2436,MATCH($B$3&amp;"|4|"&amp;F$59&amp;"|"&amp;$A67,'Master Data'!$A$2:$A$2436,0)),"")</f>
        <v>Kids  2/4
coach: Daffa</v>
      </c>
      <c r="G67" s="60" t="str">
        <f aca="false">IFERROR(INDEX('Master Data'!$M$2:$M$2436,MATCH($B$3&amp;"|4|"&amp;G$59&amp;"|"&amp;$A67,'Master Data'!$A$2:$A$2436,0)),"")</f>
        <v>Kids  4/4
coach: Nuky</v>
      </c>
      <c r="H67" s="60" t="str">
        <f aca="false">IFERROR(INDEX('Master Data'!$M$2:$M$2436,MATCH($B$3&amp;"|4|"&amp;H$59&amp;"|"&amp;$A67,'Master Data'!$A$2:$A$2436,0)),"")</f>
        <v>Kids  4/4
coach: Daffa</v>
      </c>
      <c r="T67" s="61" t="str">
        <f aca="false">IFERROR(INDEX('Master Data'!$L$2:$L$2436,MATCH($B$3&amp;"|4|"&amp;B$59&amp;"|"&amp;$A67,'Master Data'!$A$2:$A$2436,0)),"")</f>
        <v>Penuh</v>
      </c>
      <c r="U67" s="61" t="str">
        <f aca="false">IFERROR(INDEX('Master Data'!$L$2:$L$2436,MATCH($B$3&amp;"|4|"&amp;C$59&amp;"|"&amp;$A67,'Master Data'!$A$2:$A$2436,0)),"")</f>
        <v>Penuh</v>
      </c>
      <c r="V67" s="61" t="str">
        <f aca="false">IFERROR(INDEX('Master Data'!$L$2:$L$2436,MATCH($B$3&amp;"|4|"&amp;D$59&amp;"|"&amp;$A67,'Master Data'!$A$2:$A$2436,0)),"")</f>
        <v>Penuh</v>
      </c>
      <c r="W67" s="61" t="str">
        <f aca="false">IFERROR(INDEX('Master Data'!$L$2:$L$2436,MATCH($B$3&amp;"|4|"&amp;E$59&amp;"|"&amp;$A67,'Master Data'!$A$2:$A$2436,0)),"")</f>
        <v>Sebagian</v>
      </c>
      <c r="X67" s="61" t="str">
        <f aca="false">IFERROR(INDEX('Master Data'!$L$2:$L$2436,MATCH($B$3&amp;"|4|"&amp;F$59&amp;"|"&amp;$A67,'Master Data'!$A$2:$A$2436,0)),"")</f>
        <v>Sebagian</v>
      </c>
      <c r="Y67" s="61" t="str">
        <f aca="false">IFERROR(INDEX('Master Data'!$L$2:$L$2436,MATCH($B$3&amp;"|4|"&amp;G$59&amp;"|"&amp;$A67,'Master Data'!$A$2:$A$2436,0)),"")</f>
        <v>Penuh</v>
      </c>
      <c r="Z67" s="61" t="str">
        <f aca="false">IFERROR(INDEX('Master Data'!$L$2:$L$2436,MATCH($B$3&amp;"|4|"&amp;H$59&amp;"|"&amp;$A67,'Master Data'!$A$2:$A$2436,0)),"")</f>
        <v>Penuh</v>
      </c>
    </row>
    <row r="68" customFormat="false" ht="30" hidden="false" customHeight="true" outlineLevel="0" collapsed="false">
      <c r="A68" s="59" t="s">
        <v>118</v>
      </c>
      <c r="B68" s="60" t="str">
        <f aca="false">IFERROR(INDEX('Master Data'!$M$2:$M$2436,MATCH($B$3&amp;"|4|"&amp;B$59&amp;"|"&amp;$A68,'Master Data'!$A$2:$A$2436,0)),"")</f>
        <v>Kids  4/4
coach: Danti</v>
      </c>
      <c r="C68" s="60" t="str">
        <f aca="false">IFERROR(INDEX('Master Data'!$M$2:$M$2436,MATCH($B$3&amp;"|4|"&amp;C$59&amp;"|"&amp;$A68,'Master Data'!$A$2:$A$2436,0)),"")</f>
        <v>Kids  4/4
coach: Dian</v>
      </c>
      <c r="D68" s="60" t="str">
        <f aca="false">IFERROR(INDEX('Master Data'!$M$2:$M$2436,MATCH($B$3&amp;"|4|"&amp;D$59&amp;"|"&amp;$A68,'Master Data'!$A$2:$A$2436,0)),"")</f>
        <v>Kids  4/4
coach: Danti</v>
      </c>
      <c r="E68" s="60" t="str">
        <f aca="false">IFERROR(INDEX('Master Data'!$M$2:$M$2436,MATCH($B$3&amp;"|4|"&amp;E$59&amp;"|"&amp;$A68,'Master Data'!$A$2:$A$2436,0)),"")</f>
        <v>Kids  0/0
coach: –</v>
      </c>
      <c r="F68" s="60" t="str">
        <f aca="false">IFERROR(INDEX('Master Data'!$M$2:$M$2436,MATCH($B$3&amp;"|4|"&amp;F$59&amp;"|"&amp;$A68,'Master Data'!$A$2:$A$2436,0)),"")</f>
        <v>Kids  4/4
coach: Rischa</v>
      </c>
      <c r="G68" s="60" t="str">
        <f aca="false">IFERROR(INDEX('Master Data'!$M$2:$M$2436,MATCH($B$3&amp;"|4|"&amp;G$59&amp;"|"&amp;$A68,'Master Data'!$A$2:$A$2436,0)),"")</f>
        <v>Kids  4/4
coach: Surya</v>
      </c>
      <c r="H68" s="60" t="str">
        <f aca="false">IFERROR(INDEX('Master Data'!$M$2:$M$2436,MATCH($B$3&amp;"|4|"&amp;H$59&amp;"|"&amp;$A68,'Master Data'!$A$2:$A$2436,0)),"")</f>
        <v>Kids  4/4
coach: Dian</v>
      </c>
      <c r="T68" s="61" t="str">
        <f aca="false">IFERROR(INDEX('Master Data'!$L$2:$L$2436,MATCH($B$3&amp;"|4|"&amp;B$59&amp;"|"&amp;$A68,'Master Data'!$A$2:$A$2436,0)),"")</f>
        <v>Penuh</v>
      </c>
      <c r="U68" s="61" t="str">
        <f aca="false">IFERROR(INDEX('Master Data'!$L$2:$L$2436,MATCH($B$3&amp;"|4|"&amp;C$59&amp;"|"&amp;$A68,'Master Data'!$A$2:$A$2436,0)),"")</f>
        <v>Penuh</v>
      </c>
      <c r="V68" s="61" t="str">
        <f aca="false">IFERROR(INDEX('Master Data'!$L$2:$L$2436,MATCH($B$3&amp;"|4|"&amp;D$59&amp;"|"&amp;$A68,'Master Data'!$A$2:$A$2436,0)),"")</f>
        <v>Penuh</v>
      </c>
      <c r="W68" s="61" t="str">
        <f aca="false">IFERROR(INDEX('Master Data'!$L$2:$L$2436,MATCH($B$3&amp;"|4|"&amp;E$59&amp;"|"&amp;$A68,'Master Data'!$A$2:$A$2436,0)),"")</f>
        <v>Tutup</v>
      </c>
      <c r="X68" s="61" t="str">
        <f aca="false">IFERROR(INDEX('Master Data'!$L$2:$L$2436,MATCH($B$3&amp;"|4|"&amp;F$59&amp;"|"&amp;$A68,'Master Data'!$A$2:$A$2436,0)),"")</f>
        <v>Penuh</v>
      </c>
      <c r="Y68" s="61" t="str">
        <f aca="false">IFERROR(INDEX('Master Data'!$L$2:$L$2436,MATCH($B$3&amp;"|4|"&amp;G$59&amp;"|"&amp;$A68,'Master Data'!$A$2:$A$2436,0)),"")</f>
        <v>Penuh</v>
      </c>
      <c r="Z68" s="61" t="str">
        <f aca="false">IFERROR(INDEX('Master Data'!$L$2:$L$2436,MATCH($B$3&amp;"|4|"&amp;H$59&amp;"|"&amp;$A68,'Master Data'!$A$2:$A$2436,0)),"")</f>
        <v>Penuh</v>
      </c>
    </row>
    <row r="69" customFormat="false" ht="30" hidden="false" customHeight="true" outlineLevel="0" collapsed="false">
      <c r="A69" s="59" t="s">
        <v>119</v>
      </c>
      <c r="B69" s="60" t="str">
        <f aca="false">IFERROR(INDEX('Master Data'!$M$2:$M$2436,MATCH($B$3&amp;"|4|"&amp;B$59&amp;"|"&amp;$A69,'Master Data'!$A$2:$A$2436,0)),"")</f>
        <v>Kids  2/4
coach: Zidane</v>
      </c>
      <c r="C69" s="60" t="str">
        <f aca="false">IFERROR(INDEX('Master Data'!$M$2:$M$2436,MATCH($B$3&amp;"|4|"&amp;C$59&amp;"|"&amp;$A69,'Master Data'!$A$2:$A$2436,0)),"")</f>
        <v>Kids  4/0
coach: Zidane</v>
      </c>
      <c r="D69" s="60" t="str">
        <f aca="false">IFERROR(INDEX('Master Data'!$M$2:$M$2436,MATCH($B$3&amp;"|4|"&amp;D$59&amp;"|"&amp;$A69,'Master Data'!$A$2:$A$2436,0)),"")</f>
        <v>Kids  4/4
coach: Danti</v>
      </c>
      <c r="E69" s="60" t="str">
        <f aca="false">IFERROR(INDEX('Master Data'!$M$2:$M$2436,MATCH($B$3&amp;"|4|"&amp;E$59&amp;"|"&amp;$A69,'Master Data'!$A$2:$A$2436,0)),"")</f>
        <v>Kids  3/4
coach: Eka</v>
      </c>
      <c r="F69" s="60" t="str">
        <f aca="false">IFERROR(INDEX('Master Data'!$M$2:$M$2436,MATCH($B$3&amp;"|4|"&amp;F$59&amp;"|"&amp;$A69,'Master Data'!$A$2:$A$2436,0)),"")</f>
        <v>Kids  3/0
coach: Daffa</v>
      </c>
      <c r="G69" s="60" t="str">
        <f aca="false">IFERROR(INDEX('Master Data'!$M$2:$M$2436,MATCH($B$3&amp;"|4|"&amp;G$59&amp;"|"&amp;$A69,'Master Data'!$A$2:$A$2436,0)),"")</f>
        <v>Kids  3/4
coach: Dian</v>
      </c>
      <c r="H69" s="60" t="str">
        <f aca="false">IFERROR(INDEX('Master Data'!$M$2:$M$2436,MATCH($B$3&amp;"|4|"&amp;H$59&amp;"|"&amp;$A69,'Master Data'!$A$2:$A$2436,0)),"")</f>
        <v>Kids  4/4
coach: Surya</v>
      </c>
      <c r="T69" s="61" t="str">
        <f aca="false">IFERROR(INDEX('Master Data'!$L$2:$L$2436,MATCH($B$3&amp;"|4|"&amp;B$59&amp;"|"&amp;$A69,'Master Data'!$A$2:$A$2436,0)),"")</f>
        <v>Sebagian</v>
      </c>
      <c r="U69" s="61" t="str">
        <f aca="false">IFERROR(INDEX('Master Data'!$L$2:$L$2436,MATCH($B$3&amp;"|4|"&amp;C$59&amp;"|"&amp;$A69,'Master Data'!$A$2:$A$2436,0)),"")</f>
        <v>Lebih kapasitas</v>
      </c>
      <c r="V69" s="61" t="str">
        <f aca="false">IFERROR(INDEX('Master Data'!$L$2:$L$2436,MATCH($B$3&amp;"|4|"&amp;D$59&amp;"|"&amp;$A69,'Master Data'!$A$2:$A$2436,0)),"")</f>
        <v>Penuh</v>
      </c>
      <c r="W69" s="61" t="str">
        <f aca="false">IFERROR(INDEX('Master Data'!$L$2:$L$2436,MATCH($B$3&amp;"|4|"&amp;E$59&amp;"|"&amp;$A69,'Master Data'!$A$2:$A$2436,0)),"")</f>
        <v>Sebagian</v>
      </c>
      <c r="X69" s="61" t="str">
        <f aca="false">IFERROR(INDEX('Master Data'!$L$2:$L$2436,MATCH($B$3&amp;"|4|"&amp;F$59&amp;"|"&amp;$A69,'Master Data'!$A$2:$A$2436,0)),"")</f>
        <v>Lebih kapasitas</v>
      </c>
      <c r="Y69" s="61" t="str">
        <f aca="false">IFERROR(INDEX('Master Data'!$L$2:$L$2436,MATCH($B$3&amp;"|4|"&amp;G$59&amp;"|"&amp;$A69,'Master Data'!$A$2:$A$2436,0)),"")</f>
        <v>Sebagian</v>
      </c>
      <c r="Z69" s="61" t="str">
        <f aca="false">IFERROR(INDEX('Master Data'!$L$2:$L$2436,MATCH($B$3&amp;"|4|"&amp;H$59&amp;"|"&amp;$A69,'Master Data'!$A$2:$A$2436,0)),"")</f>
        <v>Penuh</v>
      </c>
    </row>
    <row r="70" customFormat="false" ht="30" hidden="false" customHeight="true" outlineLevel="0" collapsed="false">
      <c r="A70" s="59" t="s">
        <v>120</v>
      </c>
      <c r="B70" s="60" t="str">
        <f aca="false">IFERROR(INDEX('Master Data'!$M$2:$M$2436,MATCH($B$3&amp;"|4|"&amp;B$59&amp;"|"&amp;$A70,'Master Data'!$A$2:$A$2436,0)),"")</f>
        <v>Kids  4/4
coach: Danti</v>
      </c>
      <c r="C70" s="60" t="str">
        <f aca="false">IFERROR(INDEX('Master Data'!$M$2:$M$2436,MATCH($B$3&amp;"|4|"&amp;C$59&amp;"|"&amp;$A70,'Master Data'!$A$2:$A$2436,0)),"")</f>
        <v>Kids  3/4
coach: Danti</v>
      </c>
      <c r="D70" s="60" t="str">
        <f aca="false">IFERROR(INDEX('Master Data'!$M$2:$M$2436,MATCH($B$3&amp;"|4|"&amp;D$59&amp;"|"&amp;$A70,'Master Data'!$A$2:$A$2436,0)),"")</f>
        <v>Kids  4/4
coach: Zidane</v>
      </c>
      <c r="E70" s="60" t="str">
        <f aca="false">IFERROR(INDEX('Master Data'!$M$2:$M$2436,MATCH($B$3&amp;"|4|"&amp;E$59&amp;"|"&amp;$A70,'Master Data'!$A$2:$A$2436,0)),"")</f>
        <v>Kids  4/4
coach: Eka</v>
      </c>
      <c r="F70" s="60" t="str">
        <f aca="false">IFERROR(INDEX('Master Data'!$M$2:$M$2436,MATCH($B$3&amp;"|4|"&amp;F$59&amp;"|"&amp;$A70,'Master Data'!$A$2:$A$2436,0)),"")</f>
        <v>Kids  4/4
coach: Dian</v>
      </c>
      <c r="G70" s="60" t="str">
        <f aca="false">IFERROR(INDEX('Master Data'!$M$2:$M$2436,MATCH($B$3&amp;"|4|"&amp;G$59&amp;"|"&amp;$A70,'Master Data'!$A$2:$A$2436,0)),"")</f>
        <v>Kids  3/4
coach: Zidane</v>
      </c>
      <c r="H70" s="60" t="str">
        <f aca="false">IFERROR(INDEX('Master Data'!$M$2:$M$2436,MATCH($B$3&amp;"|4|"&amp;H$59&amp;"|"&amp;$A70,'Master Data'!$A$2:$A$2436,0)),"")</f>
        <v>Kids  4/4
coach: Eka</v>
      </c>
      <c r="T70" s="61" t="str">
        <f aca="false">IFERROR(INDEX('Master Data'!$L$2:$L$2436,MATCH($B$3&amp;"|4|"&amp;B$59&amp;"|"&amp;$A70,'Master Data'!$A$2:$A$2436,0)),"")</f>
        <v>Penuh</v>
      </c>
      <c r="U70" s="61" t="str">
        <f aca="false">IFERROR(INDEX('Master Data'!$L$2:$L$2436,MATCH($B$3&amp;"|4|"&amp;C$59&amp;"|"&amp;$A70,'Master Data'!$A$2:$A$2436,0)),"")</f>
        <v>Sebagian</v>
      </c>
      <c r="V70" s="61" t="str">
        <f aca="false">IFERROR(INDEX('Master Data'!$L$2:$L$2436,MATCH($B$3&amp;"|4|"&amp;D$59&amp;"|"&amp;$A70,'Master Data'!$A$2:$A$2436,0)),"")</f>
        <v>Penuh</v>
      </c>
      <c r="W70" s="61" t="str">
        <f aca="false">IFERROR(INDEX('Master Data'!$L$2:$L$2436,MATCH($B$3&amp;"|4|"&amp;E$59&amp;"|"&amp;$A70,'Master Data'!$A$2:$A$2436,0)),"")</f>
        <v>Penuh</v>
      </c>
      <c r="X70" s="61" t="str">
        <f aca="false">IFERROR(INDEX('Master Data'!$L$2:$L$2436,MATCH($B$3&amp;"|4|"&amp;F$59&amp;"|"&amp;$A70,'Master Data'!$A$2:$A$2436,0)),"")</f>
        <v>Penuh</v>
      </c>
      <c r="Y70" s="61" t="str">
        <f aca="false">IFERROR(INDEX('Master Data'!$L$2:$L$2436,MATCH($B$3&amp;"|4|"&amp;G$59&amp;"|"&amp;$A70,'Master Data'!$A$2:$A$2436,0)),"")</f>
        <v>Sebagian</v>
      </c>
      <c r="Z70" s="61" t="str">
        <f aca="false">IFERROR(INDEX('Master Data'!$L$2:$L$2436,MATCH($B$3&amp;"|4|"&amp;H$59&amp;"|"&amp;$A70,'Master Data'!$A$2:$A$2436,0)),"")</f>
        <v>Penuh</v>
      </c>
    </row>
    <row r="71" customFormat="false" ht="30" hidden="false" customHeight="true" outlineLevel="0" collapsed="false">
      <c r="A71" s="59" t="s">
        <v>121</v>
      </c>
      <c r="B71" s="60" t="str">
        <f aca="false">IFERROR(INDEX('Master Data'!$M$2:$M$2436,MATCH($B$3&amp;"|4|"&amp;B$59&amp;"|"&amp;$A71,'Master Data'!$A$2:$A$2436,0)),"")</f>
        <v>Kids  4/4
coach: Dian</v>
      </c>
      <c r="C71" s="60" t="str">
        <f aca="false">IFERROR(INDEX('Master Data'!$M$2:$M$2436,MATCH($B$3&amp;"|4|"&amp;C$59&amp;"|"&amp;$A71,'Master Data'!$A$2:$A$2436,0)),"")</f>
        <v>Kids  4/4
coach: Rischa</v>
      </c>
      <c r="D71" s="60" t="str">
        <f aca="false">IFERROR(INDEX('Master Data'!$M$2:$M$2436,MATCH($B$3&amp;"|4|"&amp;D$59&amp;"|"&amp;$A71,'Master Data'!$A$2:$A$2436,0)),"")</f>
        <v>Kids  3/4
coach: Zidane</v>
      </c>
      <c r="E71" s="60" t="str">
        <f aca="false">IFERROR(INDEX('Master Data'!$M$2:$M$2436,MATCH($B$3&amp;"|4|"&amp;E$59&amp;"|"&amp;$A71,'Master Data'!$A$2:$A$2436,0)),"")</f>
        <v>Kids  4/4
coach: Daffa</v>
      </c>
      <c r="F71" s="60" t="str">
        <f aca="false">IFERROR(INDEX('Master Data'!$M$2:$M$2436,MATCH($B$3&amp;"|4|"&amp;F$59&amp;"|"&amp;$A71,'Master Data'!$A$2:$A$2436,0)),"")</f>
        <v>Kids  4/4
coach: Eka</v>
      </c>
      <c r="G71" s="60" t="str">
        <f aca="false">IFERROR(INDEX('Master Data'!$M$2:$M$2436,MATCH($B$3&amp;"|4|"&amp;G$59&amp;"|"&amp;$A71,'Master Data'!$A$2:$A$2436,0)),"")</f>
        <v>Kids  4/4
coach: Daffa</v>
      </c>
      <c r="H71" s="60" t="str">
        <f aca="false">IFERROR(INDEX('Master Data'!$M$2:$M$2436,MATCH($B$3&amp;"|4|"&amp;H$59&amp;"|"&amp;$A71,'Master Data'!$A$2:$A$2436,0)),"")</f>
        <v>Kids  2/4
coach: Alan</v>
      </c>
      <c r="T71" s="61" t="str">
        <f aca="false">IFERROR(INDEX('Master Data'!$L$2:$L$2436,MATCH($B$3&amp;"|4|"&amp;B$59&amp;"|"&amp;$A71,'Master Data'!$A$2:$A$2436,0)),"")</f>
        <v>Penuh</v>
      </c>
      <c r="U71" s="61" t="str">
        <f aca="false">IFERROR(INDEX('Master Data'!$L$2:$L$2436,MATCH($B$3&amp;"|4|"&amp;C$59&amp;"|"&amp;$A71,'Master Data'!$A$2:$A$2436,0)),"")</f>
        <v>Penuh</v>
      </c>
      <c r="V71" s="61" t="str">
        <f aca="false">IFERROR(INDEX('Master Data'!$L$2:$L$2436,MATCH($B$3&amp;"|4|"&amp;D$59&amp;"|"&amp;$A71,'Master Data'!$A$2:$A$2436,0)),"")</f>
        <v>Sebagian</v>
      </c>
      <c r="W71" s="61" t="str">
        <f aca="false">IFERROR(INDEX('Master Data'!$L$2:$L$2436,MATCH($B$3&amp;"|4|"&amp;E$59&amp;"|"&amp;$A71,'Master Data'!$A$2:$A$2436,0)),"")</f>
        <v>Penuh</v>
      </c>
      <c r="X71" s="61" t="str">
        <f aca="false">IFERROR(INDEX('Master Data'!$L$2:$L$2436,MATCH($B$3&amp;"|4|"&amp;F$59&amp;"|"&amp;$A71,'Master Data'!$A$2:$A$2436,0)),"")</f>
        <v>Penuh</v>
      </c>
      <c r="Y71" s="61" t="str">
        <f aca="false">IFERROR(INDEX('Master Data'!$L$2:$L$2436,MATCH($B$3&amp;"|4|"&amp;G$59&amp;"|"&amp;$A71,'Master Data'!$A$2:$A$2436,0)),"")</f>
        <v>Penuh</v>
      </c>
      <c r="Z71" s="61" t="str">
        <f aca="false">IFERROR(INDEX('Master Data'!$L$2:$L$2436,MATCH($B$3&amp;"|4|"&amp;H$59&amp;"|"&amp;$A71,'Master Data'!$A$2:$A$2436,0)),"")</f>
        <v>Sebagian</v>
      </c>
    </row>
    <row r="73" customFormat="false" ht="16.15" hidden="false" customHeight="false" outlineLevel="0" collapsed="false">
      <c r="A73" s="54" t="s">
        <v>123</v>
      </c>
      <c r="B73" s="55"/>
      <c r="C73" s="56" t="str">
        <f aca="false">"Utilisasi lane: "&amp;IFERROR(TEXT(SUMIFS('Master Data'!$H$2:$H$2436,'Master Data'!$B$2:$B$2436,$B$3,'Master Data'!$C$2:$C$2436,5,'Master Data'!$G$2:$G$2436,"&gt;0")/SUMIFS('Master Data'!$G$2:$G$2436,'Master Data'!$B$2:$B$2436,$B$3,'Master Data'!$C$2:$C$2436,5,'Master Data'!$G$2:$G$2436,"&gt;0"),"0%"),"–")&amp;"   ·   Belum terisi: "&amp;COUNTIFS('Master Data'!$B$2:$B$2436,$B$3,'Master Data'!$C$2:$C$2436,5,'Master Data'!$L$2:$L$2436,"Belum terisi")&amp;"   ·   Slot kosong: "&amp;COUNTIFS('Master Data'!$B$2:$B$2436,$B$3,'Master Data'!$C$2:$C$2436,5,'Master Data'!$L$2:$L$2436,"Slot kosong")</f>
        <v>Utilisasi lane: 54%   ·   Belum terisi: 0   ·   Slot kosong: 29</v>
      </c>
      <c r="D73" s="55"/>
      <c r="E73" s="55"/>
      <c r="F73" s="55"/>
      <c r="G73" s="55"/>
      <c r="H73" s="55"/>
    </row>
    <row r="74" customFormat="false" ht="15" hidden="false" customHeight="false" outlineLevel="0" collapsed="false">
      <c r="A74" s="57" t="s">
        <v>89</v>
      </c>
      <c r="B74" s="58" t="s">
        <v>90</v>
      </c>
      <c r="C74" s="58" t="s">
        <v>91</v>
      </c>
      <c r="D74" s="58" t="s">
        <v>92</v>
      </c>
      <c r="E74" s="58" t="s">
        <v>93</v>
      </c>
      <c r="F74" s="58" t="s">
        <v>94</v>
      </c>
      <c r="G74" s="58" t="s">
        <v>95</v>
      </c>
      <c r="H74" s="58" t="s">
        <v>78</v>
      </c>
    </row>
    <row r="75" customFormat="false" ht="30" hidden="false" customHeight="true" outlineLevel="0" collapsed="false">
      <c r="A75" s="59" t="s">
        <v>110</v>
      </c>
      <c r="B75" s="60" t="str">
        <f aca="false">IFERROR(INDEX('Master Data'!$M$2:$M$2436,MATCH($B$3&amp;"|5|"&amp;B$74&amp;"|"&amp;$A75,'Master Data'!$A$2:$A$2436,0)),"")</f>
        <v>–</v>
      </c>
      <c r="C75" s="60" t="str">
        <f aca="false">IFERROR(INDEX('Master Data'!$M$2:$M$2436,MATCH($B$3&amp;"|5|"&amp;C$74&amp;"|"&amp;$A75,'Master Data'!$A$2:$A$2436,0)),"")</f>
        <v>–</v>
      </c>
      <c r="D75" s="60" t="str">
        <f aca="false">IFERROR(INDEX('Master Data'!$M$2:$M$2436,MATCH($B$3&amp;"|5|"&amp;D$74&amp;"|"&amp;$A75,'Master Data'!$A$2:$A$2436,0)),"")</f>
        <v>–</v>
      </c>
      <c r="E75" s="60" t="str">
        <f aca="false">IFERROR(INDEX('Master Data'!$M$2:$M$2436,MATCH($B$3&amp;"|5|"&amp;E$74&amp;"|"&amp;$A75,'Master Data'!$A$2:$A$2436,0)),"")</f>
        <v>–</v>
      </c>
      <c r="F75" s="60" t="str">
        <f aca="false">IFERROR(INDEX('Master Data'!$M$2:$M$2436,MATCH($B$3&amp;"|5|"&amp;F$74&amp;"|"&amp;$A75,'Master Data'!$A$2:$A$2436,0)),"")</f>
        <v>–</v>
      </c>
      <c r="G75" s="60" t="str">
        <f aca="false">IFERROR(INDEX('Master Data'!$M$2:$M$2436,MATCH($B$3&amp;"|5|"&amp;G$74&amp;"|"&amp;$A75,'Master Data'!$A$2:$A$2436,0)),"")</f>
        <v>–</v>
      </c>
      <c r="H75" s="60" t="str">
        <f aca="false">IFERROR(INDEX('Master Data'!$M$2:$M$2436,MATCH($B$3&amp;"|5|"&amp;H$74&amp;"|"&amp;$A75,'Master Data'!$A$2:$A$2436,0)),"")</f>
        <v>–</v>
      </c>
      <c r="T75" s="61" t="str">
        <f aca="false">IFERROR(INDEX('Master Data'!$L$2:$L$2436,MATCH($B$3&amp;"|5|"&amp;B$74&amp;"|"&amp;$A75,'Master Data'!$A$2:$A$2436,0)),"")</f>
        <v>Tidak dibuka</v>
      </c>
      <c r="U75" s="61" t="str">
        <f aca="false">IFERROR(INDEX('Master Data'!$L$2:$L$2436,MATCH($B$3&amp;"|5|"&amp;C$74&amp;"|"&amp;$A75,'Master Data'!$A$2:$A$2436,0)),"")</f>
        <v>Tidak dibuka</v>
      </c>
      <c r="V75" s="61" t="str">
        <f aca="false">IFERROR(INDEX('Master Data'!$L$2:$L$2436,MATCH($B$3&amp;"|5|"&amp;D$74&amp;"|"&amp;$A75,'Master Data'!$A$2:$A$2436,0)),"")</f>
        <v>Tidak dibuka</v>
      </c>
      <c r="W75" s="61" t="str">
        <f aca="false">IFERROR(INDEX('Master Data'!$L$2:$L$2436,MATCH($B$3&amp;"|5|"&amp;E$74&amp;"|"&amp;$A75,'Master Data'!$A$2:$A$2436,0)),"")</f>
        <v>Tidak dibuka</v>
      </c>
      <c r="X75" s="61" t="str">
        <f aca="false">IFERROR(INDEX('Master Data'!$L$2:$L$2436,MATCH($B$3&amp;"|5|"&amp;F$74&amp;"|"&amp;$A75,'Master Data'!$A$2:$A$2436,0)),"")</f>
        <v>Tidak dibuka</v>
      </c>
      <c r="Y75" s="61" t="str">
        <f aca="false">IFERROR(INDEX('Master Data'!$L$2:$L$2436,MATCH($B$3&amp;"|5|"&amp;G$74&amp;"|"&amp;$A75,'Master Data'!$A$2:$A$2436,0)),"")</f>
        <v>Tidak dibuka</v>
      </c>
      <c r="Z75" s="61" t="str">
        <f aca="false">IFERROR(INDEX('Master Data'!$L$2:$L$2436,MATCH($B$3&amp;"|5|"&amp;H$74&amp;"|"&amp;$A75,'Master Data'!$A$2:$A$2436,0)),"")</f>
        <v>Tidak dibuka</v>
      </c>
    </row>
    <row r="76" customFormat="false" ht="30" hidden="false" customHeight="true" outlineLevel="0" collapsed="false">
      <c r="A76" s="59" t="s">
        <v>111</v>
      </c>
      <c r="B76" s="60" t="str">
        <f aca="false">IFERROR(INDEX('Master Data'!$M$2:$M$2436,MATCH($B$3&amp;"|5|"&amp;B$74&amp;"|"&amp;$A76,'Master Data'!$A$2:$A$2436,0)),"")</f>
        <v>(tanpa age group)  0/4
coach: –</v>
      </c>
      <c r="C76" s="60" t="str">
        <f aca="false">IFERROR(INDEX('Master Data'!$M$2:$M$2436,MATCH($B$3&amp;"|5|"&amp;C$74&amp;"|"&amp;$A76,'Master Data'!$A$2:$A$2436,0)),"")</f>
        <v>(tanpa age group)  0/4
coach: –</v>
      </c>
      <c r="D76" s="60" t="str">
        <f aca="false">IFERROR(INDEX('Master Data'!$M$2:$M$2436,MATCH($B$3&amp;"|5|"&amp;D$74&amp;"|"&amp;$A76,'Master Data'!$A$2:$A$2436,0)),"")</f>
        <v>(tanpa age group)  0/4
coach: –</v>
      </c>
      <c r="E76" s="60" t="str">
        <f aca="false">IFERROR(INDEX('Master Data'!$M$2:$M$2436,MATCH($B$3&amp;"|5|"&amp;E$74&amp;"|"&amp;$A76,'Master Data'!$A$2:$A$2436,0)),"")</f>
        <v>(tanpa age group)  0/4
coach: –</v>
      </c>
      <c r="F76" s="60" t="str">
        <f aca="false">IFERROR(INDEX('Master Data'!$M$2:$M$2436,MATCH($B$3&amp;"|5|"&amp;F$74&amp;"|"&amp;$A76,'Master Data'!$A$2:$A$2436,0)),"")</f>
        <v>(tanpa age group)  0/4
coach: –</v>
      </c>
      <c r="G76" s="60" t="str">
        <f aca="false">IFERROR(INDEX('Master Data'!$M$2:$M$2436,MATCH($B$3&amp;"|5|"&amp;G$74&amp;"|"&amp;$A76,'Master Data'!$A$2:$A$2436,0)),"")</f>
        <v>Little  4/4
coach: Nuky</v>
      </c>
      <c r="H76" s="60" t="str">
        <f aca="false">IFERROR(INDEX('Master Data'!$M$2:$M$2436,MATCH($B$3&amp;"|5|"&amp;H$74&amp;"|"&amp;$A76,'Master Data'!$A$2:$A$2436,0)),"")</f>
        <v>Little  4/4
coach: Daffa</v>
      </c>
      <c r="T76" s="61" t="str">
        <f aca="false">IFERROR(INDEX('Master Data'!$L$2:$L$2436,MATCH($B$3&amp;"|5|"&amp;B$74&amp;"|"&amp;$A76,'Master Data'!$A$2:$A$2436,0)),"")</f>
        <v>Slot kosong</v>
      </c>
      <c r="U76" s="61" t="str">
        <f aca="false">IFERROR(INDEX('Master Data'!$L$2:$L$2436,MATCH($B$3&amp;"|5|"&amp;C$74&amp;"|"&amp;$A76,'Master Data'!$A$2:$A$2436,0)),"")</f>
        <v>Slot kosong</v>
      </c>
      <c r="V76" s="61" t="str">
        <f aca="false">IFERROR(INDEX('Master Data'!$L$2:$L$2436,MATCH($B$3&amp;"|5|"&amp;D$74&amp;"|"&amp;$A76,'Master Data'!$A$2:$A$2436,0)),"")</f>
        <v>Slot kosong</v>
      </c>
      <c r="W76" s="61" t="str">
        <f aca="false">IFERROR(INDEX('Master Data'!$L$2:$L$2436,MATCH($B$3&amp;"|5|"&amp;E$74&amp;"|"&amp;$A76,'Master Data'!$A$2:$A$2436,0)),"")</f>
        <v>Slot kosong</v>
      </c>
      <c r="X76" s="61" t="str">
        <f aca="false">IFERROR(INDEX('Master Data'!$L$2:$L$2436,MATCH($B$3&amp;"|5|"&amp;F$74&amp;"|"&amp;$A76,'Master Data'!$A$2:$A$2436,0)),"")</f>
        <v>Slot kosong</v>
      </c>
      <c r="Y76" s="61" t="str">
        <f aca="false">IFERROR(INDEX('Master Data'!$L$2:$L$2436,MATCH($B$3&amp;"|5|"&amp;G$74&amp;"|"&amp;$A76,'Master Data'!$A$2:$A$2436,0)),"")</f>
        <v>Penuh</v>
      </c>
      <c r="Z76" s="61" t="str">
        <f aca="false">IFERROR(INDEX('Master Data'!$L$2:$L$2436,MATCH($B$3&amp;"|5|"&amp;H$74&amp;"|"&amp;$A76,'Master Data'!$A$2:$A$2436,0)),"")</f>
        <v>Penuh</v>
      </c>
    </row>
    <row r="77" customFormat="false" ht="30" hidden="false" customHeight="true" outlineLevel="0" collapsed="false">
      <c r="A77" s="59" t="s">
        <v>112</v>
      </c>
      <c r="B77" s="60" t="str">
        <f aca="false">IFERROR(INDEX('Master Data'!$M$2:$M$2436,MATCH($B$3&amp;"|5|"&amp;B$74&amp;"|"&amp;$A77,'Master Data'!$A$2:$A$2436,0)),"")</f>
        <v>(tanpa age group)  0/4
coach: –</v>
      </c>
      <c r="C77" s="60" t="str">
        <f aca="false">IFERROR(INDEX('Master Data'!$M$2:$M$2436,MATCH($B$3&amp;"|5|"&amp;C$74&amp;"|"&amp;$A77,'Master Data'!$A$2:$A$2436,0)),"")</f>
        <v>(tanpa age group)  0/4
coach: –</v>
      </c>
      <c r="D77" s="60" t="str">
        <f aca="false">IFERROR(INDEX('Master Data'!$M$2:$M$2436,MATCH($B$3&amp;"|5|"&amp;D$74&amp;"|"&amp;$A77,'Master Data'!$A$2:$A$2436,0)),"")</f>
        <v>(tanpa age group)  0/4
coach: –</v>
      </c>
      <c r="E77" s="60" t="str">
        <f aca="false">IFERROR(INDEX('Master Data'!$M$2:$M$2436,MATCH($B$3&amp;"|5|"&amp;E$74&amp;"|"&amp;$A77,'Master Data'!$A$2:$A$2436,0)),"")</f>
        <v>(tanpa age group)  0/4
coach: –</v>
      </c>
      <c r="F77" s="60" t="str">
        <f aca="false">IFERROR(INDEX('Master Data'!$M$2:$M$2436,MATCH($B$3&amp;"|5|"&amp;F$74&amp;"|"&amp;$A77,'Master Data'!$A$2:$A$2436,0)),"")</f>
        <v>(tanpa age group)  0/4
coach: –</v>
      </c>
      <c r="G77" s="60" t="str">
        <f aca="false">IFERROR(INDEX('Master Data'!$M$2:$M$2436,MATCH($B$3&amp;"|5|"&amp;G$74&amp;"|"&amp;$A77,'Master Data'!$A$2:$A$2436,0)),"")</f>
        <v>Little  4/4
coach: Danti</v>
      </c>
      <c r="H77" s="60" t="str">
        <f aca="false">IFERROR(INDEX('Master Data'!$M$2:$M$2436,MATCH($B$3&amp;"|5|"&amp;H$74&amp;"|"&amp;$A77,'Master Data'!$A$2:$A$2436,0)),"")</f>
        <v>Little  4/4
coach: Danti</v>
      </c>
      <c r="T77" s="61" t="str">
        <f aca="false">IFERROR(INDEX('Master Data'!$L$2:$L$2436,MATCH($B$3&amp;"|5|"&amp;B$74&amp;"|"&amp;$A77,'Master Data'!$A$2:$A$2436,0)),"")</f>
        <v>Slot kosong</v>
      </c>
      <c r="U77" s="61" t="str">
        <f aca="false">IFERROR(INDEX('Master Data'!$L$2:$L$2436,MATCH($B$3&amp;"|5|"&amp;C$74&amp;"|"&amp;$A77,'Master Data'!$A$2:$A$2436,0)),"")</f>
        <v>Slot kosong</v>
      </c>
      <c r="V77" s="61" t="str">
        <f aca="false">IFERROR(INDEX('Master Data'!$L$2:$L$2436,MATCH($B$3&amp;"|5|"&amp;D$74&amp;"|"&amp;$A77,'Master Data'!$A$2:$A$2436,0)),"")</f>
        <v>Slot kosong</v>
      </c>
      <c r="W77" s="61" t="str">
        <f aca="false">IFERROR(INDEX('Master Data'!$L$2:$L$2436,MATCH($B$3&amp;"|5|"&amp;E$74&amp;"|"&amp;$A77,'Master Data'!$A$2:$A$2436,0)),"")</f>
        <v>Slot kosong</v>
      </c>
      <c r="X77" s="61" t="str">
        <f aca="false">IFERROR(INDEX('Master Data'!$L$2:$L$2436,MATCH($B$3&amp;"|5|"&amp;F$74&amp;"|"&amp;$A77,'Master Data'!$A$2:$A$2436,0)),"")</f>
        <v>Slot kosong</v>
      </c>
      <c r="Y77" s="61" t="str">
        <f aca="false">IFERROR(INDEX('Master Data'!$L$2:$L$2436,MATCH($B$3&amp;"|5|"&amp;G$74&amp;"|"&amp;$A77,'Master Data'!$A$2:$A$2436,0)),"")</f>
        <v>Penuh</v>
      </c>
      <c r="Z77" s="61" t="str">
        <f aca="false">IFERROR(INDEX('Master Data'!$L$2:$L$2436,MATCH($B$3&amp;"|5|"&amp;H$74&amp;"|"&amp;$A77,'Master Data'!$A$2:$A$2436,0)),"")</f>
        <v>Penuh</v>
      </c>
    </row>
    <row r="78" customFormat="false" ht="30" hidden="false" customHeight="true" outlineLevel="0" collapsed="false">
      <c r="A78" s="59" t="s">
        <v>113</v>
      </c>
      <c r="B78" s="60" t="str">
        <f aca="false">IFERROR(INDEX('Master Data'!$M$2:$M$2436,MATCH($B$3&amp;"|5|"&amp;B$74&amp;"|"&amp;$A78,'Master Data'!$A$2:$A$2436,0)),"")</f>
        <v>(tanpa age group)  0/4
coach: –</v>
      </c>
      <c r="C78" s="60" t="str">
        <f aca="false">IFERROR(INDEX('Master Data'!$M$2:$M$2436,MATCH($B$3&amp;"|5|"&amp;C$74&amp;"|"&amp;$A78,'Master Data'!$A$2:$A$2436,0)),"")</f>
        <v>(tanpa age group)  0/4
coach: –</v>
      </c>
      <c r="D78" s="60" t="str">
        <f aca="false">IFERROR(INDEX('Master Data'!$M$2:$M$2436,MATCH($B$3&amp;"|5|"&amp;D$74&amp;"|"&amp;$A78,'Master Data'!$A$2:$A$2436,0)),"")</f>
        <v>(tanpa age group)  0/4
coach: –</v>
      </c>
      <c r="E78" s="60" t="str">
        <f aca="false">IFERROR(INDEX('Master Data'!$M$2:$M$2436,MATCH($B$3&amp;"|5|"&amp;E$74&amp;"|"&amp;$A78,'Master Data'!$A$2:$A$2436,0)),"")</f>
        <v>(tanpa age group)  0/4
coach: –</v>
      </c>
      <c r="F78" s="60" t="str">
        <f aca="false">IFERROR(INDEX('Master Data'!$M$2:$M$2436,MATCH($B$3&amp;"|5|"&amp;F$74&amp;"|"&amp;$A78,'Master Data'!$A$2:$A$2436,0)),"")</f>
        <v>(tanpa age group)  0/4
coach: –</v>
      </c>
      <c r="G78" s="60" t="str">
        <f aca="false">IFERROR(INDEX('Master Data'!$M$2:$M$2436,MATCH($B$3&amp;"|5|"&amp;G$74&amp;"|"&amp;$A78,'Master Data'!$A$2:$A$2436,0)),"")</f>
        <v>Kids  4/4
coach: Nuky</v>
      </c>
      <c r="H78" s="60" t="str">
        <f aca="false">IFERROR(INDEX('Master Data'!$M$2:$M$2436,MATCH($B$3&amp;"|5|"&amp;H$74&amp;"|"&amp;$A78,'Master Data'!$A$2:$A$2436,0)),"")</f>
        <v>Kids  4/4
coach: Rischa</v>
      </c>
      <c r="T78" s="61" t="str">
        <f aca="false">IFERROR(INDEX('Master Data'!$L$2:$L$2436,MATCH($B$3&amp;"|5|"&amp;B$74&amp;"|"&amp;$A78,'Master Data'!$A$2:$A$2436,0)),"")</f>
        <v>Slot kosong</v>
      </c>
      <c r="U78" s="61" t="str">
        <f aca="false">IFERROR(INDEX('Master Data'!$L$2:$L$2436,MATCH($B$3&amp;"|5|"&amp;C$74&amp;"|"&amp;$A78,'Master Data'!$A$2:$A$2436,0)),"")</f>
        <v>Slot kosong</v>
      </c>
      <c r="V78" s="61" t="str">
        <f aca="false">IFERROR(INDEX('Master Data'!$L$2:$L$2436,MATCH($B$3&amp;"|5|"&amp;D$74&amp;"|"&amp;$A78,'Master Data'!$A$2:$A$2436,0)),"")</f>
        <v>Slot kosong</v>
      </c>
      <c r="W78" s="61" t="str">
        <f aca="false">IFERROR(INDEX('Master Data'!$L$2:$L$2436,MATCH($B$3&amp;"|5|"&amp;E$74&amp;"|"&amp;$A78,'Master Data'!$A$2:$A$2436,0)),"")</f>
        <v>Slot kosong</v>
      </c>
      <c r="X78" s="61" t="str">
        <f aca="false">IFERROR(INDEX('Master Data'!$L$2:$L$2436,MATCH($B$3&amp;"|5|"&amp;F$74&amp;"|"&amp;$A78,'Master Data'!$A$2:$A$2436,0)),"")</f>
        <v>Slot kosong</v>
      </c>
      <c r="Y78" s="61" t="str">
        <f aca="false">IFERROR(INDEX('Master Data'!$L$2:$L$2436,MATCH($B$3&amp;"|5|"&amp;G$74&amp;"|"&amp;$A78,'Master Data'!$A$2:$A$2436,0)),"")</f>
        <v>Penuh</v>
      </c>
      <c r="Z78" s="61" t="str">
        <f aca="false">IFERROR(INDEX('Master Data'!$L$2:$L$2436,MATCH($B$3&amp;"|5|"&amp;H$74&amp;"|"&amp;$A78,'Master Data'!$A$2:$A$2436,0)),"")</f>
        <v>Penuh</v>
      </c>
    </row>
    <row r="79" customFormat="false" ht="30" hidden="false" customHeight="true" outlineLevel="0" collapsed="false">
      <c r="A79" s="59" t="s">
        <v>114</v>
      </c>
      <c r="B79" s="60" t="str">
        <f aca="false">IFERROR(INDEX('Master Data'!$M$2:$M$2436,MATCH($B$3&amp;"|5|"&amp;B$74&amp;"|"&amp;$A79,'Master Data'!$A$2:$A$2436,0)),"")</f>
        <v>(tanpa age group)  0/4
coach: –</v>
      </c>
      <c r="C79" s="60" t="str">
        <f aca="false">IFERROR(INDEX('Master Data'!$M$2:$M$2436,MATCH($B$3&amp;"|5|"&amp;C$74&amp;"|"&amp;$A79,'Master Data'!$A$2:$A$2436,0)),"")</f>
        <v>(tanpa age group)  0/4
coach: –</v>
      </c>
      <c r="D79" s="60" t="str">
        <f aca="false">IFERROR(INDEX('Master Data'!$M$2:$M$2436,MATCH($B$3&amp;"|5|"&amp;D$74&amp;"|"&amp;$A79,'Master Data'!$A$2:$A$2436,0)),"")</f>
        <v>(tanpa age group)  0/4
coach: –</v>
      </c>
      <c r="E79" s="60" t="str">
        <f aca="false">IFERROR(INDEX('Master Data'!$M$2:$M$2436,MATCH($B$3&amp;"|5|"&amp;E$74&amp;"|"&amp;$A79,'Master Data'!$A$2:$A$2436,0)),"")</f>
        <v>(tanpa age group)  0/4
coach: –</v>
      </c>
      <c r="F79" s="60" t="str">
        <f aca="false">IFERROR(INDEX('Master Data'!$M$2:$M$2436,MATCH($B$3&amp;"|5|"&amp;F$74&amp;"|"&amp;$A79,'Master Data'!$A$2:$A$2436,0)),"")</f>
        <v>Kids  4/4
coach: Gita</v>
      </c>
      <c r="G79" s="60" t="str">
        <f aca="false">IFERROR(INDEX('Master Data'!$M$2:$M$2436,MATCH($B$3&amp;"|5|"&amp;G$74&amp;"|"&amp;$A79,'Master Data'!$A$2:$A$2436,0)),"")</f>
        <v>Kids  4/4
coach: Rischa</v>
      </c>
      <c r="H79" s="60" t="str">
        <f aca="false">IFERROR(INDEX('Master Data'!$M$2:$M$2436,MATCH($B$3&amp;"|5|"&amp;H$74&amp;"|"&amp;$A79,'Master Data'!$A$2:$A$2436,0)),"")</f>
        <v>Little  3/4
coach: Dian</v>
      </c>
      <c r="T79" s="61" t="str">
        <f aca="false">IFERROR(INDEX('Master Data'!$L$2:$L$2436,MATCH($B$3&amp;"|5|"&amp;B$74&amp;"|"&amp;$A79,'Master Data'!$A$2:$A$2436,0)),"")</f>
        <v>Slot kosong</v>
      </c>
      <c r="U79" s="61" t="str">
        <f aca="false">IFERROR(INDEX('Master Data'!$L$2:$L$2436,MATCH($B$3&amp;"|5|"&amp;C$74&amp;"|"&amp;$A79,'Master Data'!$A$2:$A$2436,0)),"")</f>
        <v>Slot kosong</v>
      </c>
      <c r="V79" s="61" t="str">
        <f aca="false">IFERROR(INDEX('Master Data'!$L$2:$L$2436,MATCH($B$3&amp;"|5|"&amp;D$74&amp;"|"&amp;$A79,'Master Data'!$A$2:$A$2436,0)),"")</f>
        <v>Slot kosong</v>
      </c>
      <c r="W79" s="61" t="str">
        <f aca="false">IFERROR(INDEX('Master Data'!$L$2:$L$2436,MATCH($B$3&amp;"|5|"&amp;E$74&amp;"|"&amp;$A79,'Master Data'!$A$2:$A$2436,0)),"")</f>
        <v>Slot kosong</v>
      </c>
      <c r="X79" s="61" t="str">
        <f aca="false">IFERROR(INDEX('Master Data'!$L$2:$L$2436,MATCH($B$3&amp;"|5|"&amp;F$74&amp;"|"&amp;$A79,'Master Data'!$A$2:$A$2436,0)),"")</f>
        <v>Penuh</v>
      </c>
      <c r="Y79" s="61" t="str">
        <f aca="false">IFERROR(INDEX('Master Data'!$L$2:$L$2436,MATCH($B$3&amp;"|5|"&amp;G$74&amp;"|"&amp;$A79,'Master Data'!$A$2:$A$2436,0)),"")</f>
        <v>Penuh</v>
      </c>
      <c r="Z79" s="61" t="str">
        <f aca="false">IFERROR(INDEX('Master Data'!$L$2:$L$2436,MATCH($B$3&amp;"|5|"&amp;H$74&amp;"|"&amp;$A79,'Master Data'!$A$2:$A$2436,0)),"")</f>
        <v>Sebagian</v>
      </c>
    </row>
    <row r="80" customFormat="false" ht="30" hidden="false" customHeight="true" outlineLevel="0" collapsed="false">
      <c r="A80" s="59" t="s">
        <v>115</v>
      </c>
      <c r="B80" s="60" t="str">
        <f aca="false">IFERROR(INDEX('Master Data'!$M$2:$M$2436,MATCH($B$3&amp;"|5|"&amp;B$74&amp;"|"&amp;$A80,'Master Data'!$A$2:$A$2436,0)),"")</f>
        <v>–</v>
      </c>
      <c r="C80" s="60" t="str">
        <f aca="false">IFERROR(INDEX('Master Data'!$M$2:$M$2436,MATCH($B$3&amp;"|5|"&amp;C$74&amp;"|"&amp;$A80,'Master Data'!$A$2:$A$2436,0)),"")</f>
        <v>–</v>
      </c>
      <c r="D80" s="60" t="str">
        <f aca="false">IFERROR(INDEX('Master Data'!$M$2:$M$2436,MATCH($B$3&amp;"|5|"&amp;D$74&amp;"|"&amp;$A80,'Master Data'!$A$2:$A$2436,0)),"")</f>
        <v>(tanpa age group)  0/4
coach: –</v>
      </c>
      <c r="E80" s="60" t="str">
        <f aca="false">IFERROR(INDEX('Master Data'!$M$2:$M$2436,MATCH($B$3&amp;"|5|"&amp;E$74&amp;"|"&amp;$A80,'Master Data'!$A$2:$A$2436,0)),"")</f>
        <v>(tanpa age group)  0/4
coach: –</v>
      </c>
      <c r="F80" s="60" t="str">
        <f aca="false">IFERROR(INDEX('Master Data'!$M$2:$M$2436,MATCH($B$3&amp;"|5|"&amp;F$74&amp;"|"&amp;$A80,'Master Data'!$A$2:$A$2436,0)),"")</f>
        <v>(tanpa age group)  0/4
coach: –</v>
      </c>
      <c r="G80" s="60" t="str">
        <f aca="false">IFERROR(INDEX('Master Data'!$M$2:$M$2436,MATCH($B$3&amp;"|5|"&amp;G$74&amp;"|"&amp;$A80,'Master Data'!$A$2:$A$2436,0)),"")</f>
        <v>Kids  4/4
coach: Nuky</v>
      </c>
      <c r="H80" s="60" t="str">
        <f aca="false">IFERROR(INDEX('Master Data'!$M$2:$M$2436,MATCH($B$3&amp;"|5|"&amp;H$74&amp;"|"&amp;$A80,'Master Data'!$A$2:$A$2436,0)),"")</f>
        <v>(tanpa age group)  0/4
coach: –</v>
      </c>
      <c r="T80" s="61" t="str">
        <f aca="false">IFERROR(INDEX('Master Data'!$L$2:$L$2436,MATCH($B$3&amp;"|5|"&amp;B$74&amp;"|"&amp;$A80,'Master Data'!$A$2:$A$2436,0)),"")</f>
        <v>Tidak dibuka</v>
      </c>
      <c r="U80" s="61" t="str">
        <f aca="false">IFERROR(INDEX('Master Data'!$L$2:$L$2436,MATCH($B$3&amp;"|5|"&amp;C$74&amp;"|"&amp;$A80,'Master Data'!$A$2:$A$2436,0)),"")</f>
        <v>Tidak dibuka</v>
      </c>
      <c r="V80" s="61" t="str">
        <f aca="false">IFERROR(INDEX('Master Data'!$L$2:$L$2436,MATCH($B$3&amp;"|5|"&amp;D$74&amp;"|"&amp;$A80,'Master Data'!$A$2:$A$2436,0)),"")</f>
        <v>Slot kosong</v>
      </c>
      <c r="W80" s="61" t="str">
        <f aca="false">IFERROR(INDEX('Master Data'!$L$2:$L$2436,MATCH($B$3&amp;"|5|"&amp;E$74&amp;"|"&amp;$A80,'Master Data'!$A$2:$A$2436,0)),"")</f>
        <v>Slot kosong</v>
      </c>
      <c r="X80" s="61" t="str">
        <f aca="false">IFERROR(INDEX('Master Data'!$L$2:$L$2436,MATCH($B$3&amp;"|5|"&amp;F$74&amp;"|"&amp;$A80,'Master Data'!$A$2:$A$2436,0)),"")</f>
        <v>Slot kosong</v>
      </c>
      <c r="Y80" s="61" t="str">
        <f aca="false">IFERROR(INDEX('Master Data'!$L$2:$L$2436,MATCH($B$3&amp;"|5|"&amp;G$74&amp;"|"&amp;$A80,'Master Data'!$A$2:$A$2436,0)),"")</f>
        <v>Penuh</v>
      </c>
      <c r="Z80" s="61" t="str">
        <f aca="false">IFERROR(INDEX('Master Data'!$L$2:$L$2436,MATCH($B$3&amp;"|5|"&amp;H$74&amp;"|"&amp;$A80,'Master Data'!$A$2:$A$2436,0)),"")</f>
        <v>Slot kosong</v>
      </c>
    </row>
    <row r="81" customFormat="false" ht="30" hidden="false" customHeight="true" outlineLevel="0" collapsed="false">
      <c r="A81" s="59" t="s">
        <v>116</v>
      </c>
      <c r="B81" s="60" t="str">
        <f aca="false">IFERROR(INDEX('Master Data'!$M$2:$M$2436,MATCH($B$3&amp;"|5|"&amp;B$74&amp;"|"&amp;$A81,'Master Data'!$A$2:$A$2436,0)),"")</f>
        <v>(tanpa age group)  0/4
coach: –</v>
      </c>
      <c r="C81" s="60" t="str">
        <f aca="false">IFERROR(INDEX('Master Data'!$M$2:$M$2436,MATCH($B$3&amp;"|5|"&amp;C$74&amp;"|"&amp;$A81,'Master Data'!$A$2:$A$2436,0)),"")</f>
        <v>(tanpa age group)  0/4
coach: –</v>
      </c>
      <c r="D81" s="60" t="str">
        <f aca="false">IFERROR(INDEX('Master Data'!$M$2:$M$2436,MATCH($B$3&amp;"|5|"&amp;D$74&amp;"|"&amp;$A81,'Master Data'!$A$2:$A$2436,0)),"")</f>
        <v>Little  3/4
coach: Eka</v>
      </c>
      <c r="E81" s="60" t="str">
        <f aca="false">IFERROR(INDEX('Master Data'!$M$2:$M$2436,MATCH($B$3&amp;"|5|"&amp;E$74&amp;"|"&amp;$A81,'Master Data'!$A$2:$A$2436,0)),"")</f>
        <v>Little  2/4
coach: Nuky</v>
      </c>
      <c r="F81" s="60" t="str">
        <f aca="false">IFERROR(INDEX('Master Data'!$M$2:$M$2436,MATCH($B$3&amp;"|5|"&amp;F$74&amp;"|"&amp;$A81,'Master Data'!$A$2:$A$2436,0)),"")</f>
        <v>Kids  4/4
coach: Daffa</v>
      </c>
      <c r="G81" s="60" t="str">
        <f aca="false">IFERROR(INDEX('Master Data'!$M$2:$M$2436,MATCH($B$3&amp;"|5|"&amp;G$74&amp;"|"&amp;$A81,'Master Data'!$A$2:$A$2436,0)),"")</f>
        <v>Little  3/4
coach: Eka</v>
      </c>
      <c r="H81" s="60" t="str">
        <f aca="false">IFERROR(INDEX('Master Data'!$M$2:$M$2436,MATCH($B$3&amp;"|5|"&amp;H$74&amp;"|"&amp;$A81,'Master Data'!$A$2:$A$2436,0)),"")</f>
        <v>Kids  4/4
coach: Danti</v>
      </c>
      <c r="T81" s="61" t="str">
        <f aca="false">IFERROR(INDEX('Master Data'!$L$2:$L$2436,MATCH($B$3&amp;"|5|"&amp;B$74&amp;"|"&amp;$A81,'Master Data'!$A$2:$A$2436,0)),"")</f>
        <v>Slot kosong</v>
      </c>
      <c r="U81" s="61" t="str">
        <f aca="false">IFERROR(INDEX('Master Data'!$L$2:$L$2436,MATCH($B$3&amp;"|5|"&amp;C$74&amp;"|"&amp;$A81,'Master Data'!$A$2:$A$2436,0)),"")</f>
        <v>Slot kosong</v>
      </c>
      <c r="V81" s="61" t="str">
        <f aca="false">IFERROR(INDEX('Master Data'!$L$2:$L$2436,MATCH($B$3&amp;"|5|"&amp;D$74&amp;"|"&amp;$A81,'Master Data'!$A$2:$A$2436,0)),"")</f>
        <v>Sebagian</v>
      </c>
      <c r="W81" s="61" t="str">
        <f aca="false">IFERROR(INDEX('Master Data'!$L$2:$L$2436,MATCH($B$3&amp;"|5|"&amp;E$74&amp;"|"&amp;$A81,'Master Data'!$A$2:$A$2436,0)),"")</f>
        <v>Sebagian</v>
      </c>
      <c r="X81" s="61" t="str">
        <f aca="false">IFERROR(INDEX('Master Data'!$L$2:$L$2436,MATCH($B$3&amp;"|5|"&amp;F$74&amp;"|"&amp;$A81,'Master Data'!$A$2:$A$2436,0)),"")</f>
        <v>Penuh</v>
      </c>
      <c r="Y81" s="61" t="str">
        <f aca="false">IFERROR(INDEX('Master Data'!$L$2:$L$2436,MATCH($B$3&amp;"|5|"&amp;G$74&amp;"|"&amp;$A81,'Master Data'!$A$2:$A$2436,0)),"")</f>
        <v>Sebagian</v>
      </c>
      <c r="Z81" s="61" t="str">
        <f aca="false">IFERROR(INDEX('Master Data'!$L$2:$L$2436,MATCH($B$3&amp;"|5|"&amp;H$74&amp;"|"&amp;$A81,'Master Data'!$A$2:$A$2436,0)),"")</f>
        <v>Penuh</v>
      </c>
    </row>
    <row r="82" customFormat="false" ht="30" hidden="false" customHeight="true" outlineLevel="0" collapsed="false">
      <c r="A82" s="59" t="s">
        <v>117</v>
      </c>
      <c r="B82" s="60" t="str">
        <f aca="false">IFERROR(INDEX('Master Data'!$M$2:$M$2436,MATCH($B$3&amp;"|5|"&amp;B$74&amp;"|"&amp;$A82,'Master Data'!$A$2:$A$2436,0)),"")</f>
        <v>Little  3/4
coach: Daffa</v>
      </c>
      <c r="C82" s="60" t="str">
        <f aca="false">IFERROR(INDEX('Master Data'!$M$2:$M$2436,MATCH($B$3&amp;"|5|"&amp;C$74&amp;"|"&amp;$A82,'Master Data'!$A$2:$A$2436,0)),"")</f>
        <v>Little  3/4
coach: Tessa</v>
      </c>
      <c r="D82" s="60" t="str">
        <f aca="false">IFERROR(INDEX('Master Data'!$M$2:$M$2436,MATCH($B$3&amp;"|5|"&amp;D$74&amp;"|"&amp;$A82,'Master Data'!$A$2:$A$2436,0)),"")</f>
        <v>(tanpa age group)  0/4
coach: –</v>
      </c>
      <c r="E82" s="60" t="str">
        <f aca="false">IFERROR(INDEX('Master Data'!$M$2:$M$2436,MATCH($B$3&amp;"|5|"&amp;E$74&amp;"|"&amp;$A82,'Master Data'!$A$2:$A$2436,0)),"")</f>
        <v>Kids  4/4
coach: Eka</v>
      </c>
      <c r="F82" s="60" t="str">
        <f aca="false">IFERROR(INDEX('Master Data'!$M$2:$M$2436,MATCH($B$3&amp;"|5|"&amp;F$74&amp;"|"&amp;$A82,'Master Data'!$A$2:$A$2436,0)),"")</f>
        <v>Kids  3/4
coach: Eka</v>
      </c>
      <c r="G82" s="60" t="str">
        <f aca="false">IFERROR(INDEX('Master Data'!$M$2:$M$2436,MATCH($B$3&amp;"|5|"&amp;G$74&amp;"|"&amp;$A82,'Master Data'!$A$2:$A$2436,0)),"")</f>
        <v>Little  4/4
coach: Surya</v>
      </c>
      <c r="H82" s="60" t="str">
        <f aca="false">IFERROR(INDEX('Master Data'!$M$2:$M$2436,MATCH($B$3&amp;"|5|"&amp;H$74&amp;"|"&amp;$A82,'Master Data'!$A$2:$A$2436,0)),"")</f>
        <v>Kids  4/4
coach: Nuky</v>
      </c>
      <c r="T82" s="61" t="str">
        <f aca="false">IFERROR(INDEX('Master Data'!$L$2:$L$2436,MATCH($B$3&amp;"|5|"&amp;B$74&amp;"|"&amp;$A82,'Master Data'!$A$2:$A$2436,0)),"")</f>
        <v>Sebagian</v>
      </c>
      <c r="U82" s="61" t="str">
        <f aca="false">IFERROR(INDEX('Master Data'!$L$2:$L$2436,MATCH($B$3&amp;"|5|"&amp;C$74&amp;"|"&amp;$A82,'Master Data'!$A$2:$A$2436,0)),"")</f>
        <v>Sebagian</v>
      </c>
      <c r="V82" s="61" t="str">
        <f aca="false">IFERROR(INDEX('Master Data'!$L$2:$L$2436,MATCH($B$3&amp;"|5|"&amp;D$74&amp;"|"&amp;$A82,'Master Data'!$A$2:$A$2436,0)),"")</f>
        <v>Slot kosong</v>
      </c>
      <c r="W82" s="61" t="str">
        <f aca="false">IFERROR(INDEX('Master Data'!$L$2:$L$2436,MATCH($B$3&amp;"|5|"&amp;E$74&amp;"|"&amp;$A82,'Master Data'!$A$2:$A$2436,0)),"")</f>
        <v>Penuh</v>
      </c>
      <c r="X82" s="61" t="str">
        <f aca="false">IFERROR(INDEX('Master Data'!$L$2:$L$2436,MATCH($B$3&amp;"|5|"&amp;F$74&amp;"|"&amp;$A82,'Master Data'!$A$2:$A$2436,0)),"")</f>
        <v>Sebagian</v>
      </c>
      <c r="Y82" s="61" t="str">
        <f aca="false">IFERROR(INDEX('Master Data'!$L$2:$L$2436,MATCH($B$3&amp;"|5|"&amp;G$74&amp;"|"&amp;$A82,'Master Data'!$A$2:$A$2436,0)),"")</f>
        <v>Penuh</v>
      </c>
      <c r="Z82" s="61" t="str">
        <f aca="false">IFERROR(INDEX('Master Data'!$L$2:$L$2436,MATCH($B$3&amp;"|5|"&amp;H$74&amp;"|"&amp;$A82,'Master Data'!$A$2:$A$2436,0)),"")</f>
        <v>Penuh</v>
      </c>
    </row>
    <row r="83" customFormat="false" ht="30" hidden="false" customHeight="true" outlineLevel="0" collapsed="false">
      <c r="A83" s="59" t="s">
        <v>118</v>
      </c>
      <c r="B83" s="60" t="str">
        <f aca="false">IFERROR(INDEX('Master Data'!$M$2:$M$2436,MATCH($B$3&amp;"|5|"&amp;B$74&amp;"|"&amp;$A83,'Master Data'!$A$2:$A$2436,0)),"")</f>
        <v>Kids  4/4
coach: Dian</v>
      </c>
      <c r="C83" s="60" t="str">
        <f aca="false">IFERROR(INDEX('Master Data'!$M$2:$M$2436,MATCH($B$3&amp;"|5|"&amp;C$74&amp;"|"&amp;$A83,'Master Data'!$A$2:$A$2436,0)),"")</f>
        <v>(tanpa age group)  0/4
coach: –</v>
      </c>
      <c r="D83" s="60" t="str">
        <f aca="false">IFERROR(INDEX('Master Data'!$M$2:$M$2436,MATCH($B$3&amp;"|5|"&amp;D$74&amp;"|"&amp;$A83,'Master Data'!$A$2:$A$2436,0)),"")</f>
        <v>(tanpa age group)  0/4
coach: –</v>
      </c>
      <c r="E83" s="60" t="str">
        <f aca="false">IFERROR(INDEX('Master Data'!$M$2:$M$2436,MATCH($B$3&amp;"|5|"&amp;E$74&amp;"|"&amp;$A83,'Master Data'!$A$2:$A$2436,0)),"")</f>
        <v>–</v>
      </c>
      <c r="F83" s="60" t="str">
        <f aca="false">IFERROR(INDEX('Master Data'!$M$2:$M$2436,MATCH($B$3&amp;"|5|"&amp;F$74&amp;"|"&amp;$A83,'Master Data'!$A$2:$A$2436,0)),"")</f>
        <v>Little  4/4
coach: Nuky</v>
      </c>
      <c r="G83" s="60" t="str">
        <f aca="false">IFERROR(INDEX('Master Data'!$M$2:$M$2436,MATCH($B$3&amp;"|5|"&amp;G$74&amp;"|"&amp;$A83,'Master Data'!$A$2:$A$2436,0)),"")</f>
        <v>Kids  3/4
coach: Rischa</v>
      </c>
      <c r="H83" s="60" t="str">
        <f aca="false">IFERROR(INDEX('Master Data'!$M$2:$M$2436,MATCH($B$3&amp;"|5|"&amp;H$74&amp;"|"&amp;$A83,'Master Data'!$A$2:$A$2436,0)),"")</f>
        <v>Little  4/4
coach: Daffa</v>
      </c>
      <c r="T83" s="61" t="str">
        <f aca="false">IFERROR(INDEX('Master Data'!$L$2:$L$2436,MATCH($B$3&amp;"|5|"&amp;B$74&amp;"|"&amp;$A83,'Master Data'!$A$2:$A$2436,0)),"")</f>
        <v>Penuh</v>
      </c>
      <c r="U83" s="61" t="str">
        <f aca="false">IFERROR(INDEX('Master Data'!$L$2:$L$2436,MATCH($B$3&amp;"|5|"&amp;C$74&amp;"|"&amp;$A83,'Master Data'!$A$2:$A$2436,0)),"")</f>
        <v>Slot kosong</v>
      </c>
      <c r="V83" s="61" t="str">
        <f aca="false">IFERROR(INDEX('Master Data'!$L$2:$L$2436,MATCH($B$3&amp;"|5|"&amp;D$74&amp;"|"&amp;$A83,'Master Data'!$A$2:$A$2436,0)),"")</f>
        <v>Slot kosong</v>
      </c>
      <c r="W83" s="61" t="str">
        <f aca="false">IFERROR(INDEX('Master Data'!$L$2:$L$2436,MATCH($B$3&amp;"|5|"&amp;E$74&amp;"|"&amp;$A83,'Master Data'!$A$2:$A$2436,0)),"")</f>
        <v>Tidak dibuka</v>
      </c>
      <c r="X83" s="61" t="str">
        <f aca="false">IFERROR(INDEX('Master Data'!$L$2:$L$2436,MATCH($B$3&amp;"|5|"&amp;F$74&amp;"|"&amp;$A83,'Master Data'!$A$2:$A$2436,0)),"")</f>
        <v>Penuh</v>
      </c>
      <c r="Y83" s="61" t="str">
        <f aca="false">IFERROR(INDEX('Master Data'!$L$2:$L$2436,MATCH($B$3&amp;"|5|"&amp;G$74&amp;"|"&amp;$A83,'Master Data'!$A$2:$A$2436,0)),"")</f>
        <v>Sebagian</v>
      </c>
      <c r="Z83" s="61" t="str">
        <f aca="false">IFERROR(INDEX('Master Data'!$L$2:$L$2436,MATCH($B$3&amp;"|5|"&amp;H$74&amp;"|"&amp;$A83,'Master Data'!$A$2:$A$2436,0)),"")</f>
        <v>Penuh</v>
      </c>
    </row>
    <row r="84" customFormat="false" ht="30" hidden="false" customHeight="true" outlineLevel="0" collapsed="false">
      <c r="A84" s="59" t="s">
        <v>119</v>
      </c>
      <c r="B84" s="60" t="str">
        <f aca="false">IFERROR(INDEX('Master Data'!$M$2:$M$2436,MATCH($B$3&amp;"|5|"&amp;B$74&amp;"|"&amp;$A84,'Master Data'!$A$2:$A$2436,0)),"")</f>
        <v>Kids  4/4
coach: Rischa</v>
      </c>
      <c r="C84" s="60" t="str">
        <f aca="false">IFERROR(INDEX('Master Data'!$M$2:$M$2436,MATCH($B$3&amp;"|5|"&amp;C$74&amp;"|"&amp;$A84,'Master Data'!$A$2:$A$2436,0)),"")</f>
        <v>Little  2/4
coach: Danti</v>
      </c>
      <c r="D84" s="60" t="str">
        <f aca="false">IFERROR(INDEX('Master Data'!$M$2:$M$2436,MATCH($B$3&amp;"|5|"&amp;D$74&amp;"|"&amp;$A84,'Master Data'!$A$2:$A$2436,0)),"")</f>
        <v>Kids  4/4
coach: Nuky</v>
      </c>
      <c r="E84" s="60" t="str">
        <f aca="false">IFERROR(INDEX('Master Data'!$M$2:$M$2436,MATCH($B$3&amp;"|5|"&amp;E$74&amp;"|"&amp;$A84,'Master Data'!$A$2:$A$2436,0)),"")</f>
        <v>Kids  4/0
coach: Nuky</v>
      </c>
      <c r="F84" s="60" t="str">
        <f aca="false">IFERROR(INDEX('Master Data'!$M$2:$M$2436,MATCH($B$3&amp;"|5|"&amp;F$74&amp;"|"&amp;$A84,'Master Data'!$A$2:$A$2436,0)),"")</f>
        <v>Kids  4/4
coach: Rischa</v>
      </c>
      <c r="G84" s="60" t="str">
        <f aca="false">IFERROR(INDEX('Master Data'!$M$2:$M$2436,MATCH($B$3&amp;"|5|"&amp;G$74&amp;"|"&amp;$A84,'Master Data'!$A$2:$A$2436,0)),"")</f>
        <v>Kids  4/4
coach: Danti</v>
      </c>
      <c r="H84" s="60" t="str">
        <f aca="false">IFERROR(INDEX('Master Data'!$M$2:$M$2436,MATCH($B$3&amp;"|5|"&amp;H$74&amp;"|"&amp;$A84,'Master Data'!$A$2:$A$2436,0)),"")</f>
        <v>Kids  4/4
coach: Eka</v>
      </c>
      <c r="T84" s="61" t="str">
        <f aca="false">IFERROR(INDEX('Master Data'!$L$2:$L$2436,MATCH($B$3&amp;"|5|"&amp;B$74&amp;"|"&amp;$A84,'Master Data'!$A$2:$A$2436,0)),"")</f>
        <v>Penuh</v>
      </c>
      <c r="U84" s="61" t="str">
        <f aca="false">IFERROR(INDEX('Master Data'!$L$2:$L$2436,MATCH($B$3&amp;"|5|"&amp;C$74&amp;"|"&amp;$A84,'Master Data'!$A$2:$A$2436,0)),"")</f>
        <v>Sebagian</v>
      </c>
      <c r="V84" s="61" t="str">
        <f aca="false">IFERROR(INDEX('Master Data'!$L$2:$L$2436,MATCH($B$3&amp;"|5|"&amp;D$74&amp;"|"&amp;$A84,'Master Data'!$A$2:$A$2436,0)),"")</f>
        <v>Penuh</v>
      </c>
      <c r="W84" s="61" t="str">
        <f aca="false">IFERROR(INDEX('Master Data'!$L$2:$L$2436,MATCH($B$3&amp;"|5|"&amp;E$74&amp;"|"&amp;$A84,'Master Data'!$A$2:$A$2436,0)),"")</f>
        <v>Lebih kapasitas</v>
      </c>
      <c r="X84" s="61" t="str">
        <f aca="false">IFERROR(INDEX('Master Data'!$L$2:$L$2436,MATCH($B$3&amp;"|5|"&amp;F$74&amp;"|"&amp;$A84,'Master Data'!$A$2:$A$2436,0)),"")</f>
        <v>Penuh</v>
      </c>
      <c r="Y84" s="61" t="str">
        <f aca="false">IFERROR(INDEX('Master Data'!$L$2:$L$2436,MATCH($B$3&amp;"|5|"&amp;G$74&amp;"|"&amp;$A84,'Master Data'!$A$2:$A$2436,0)),"")</f>
        <v>Penuh</v>
      </c>
      <c r="Z84" s="61" t="str">
        <f aca="false">IFERROR(INDEX('Master Data'!$L$2:$L$2436,MATCH($B$3&amp;"|5|"&amp;H$74&amp;"|"&amp;$A84,'Master Data'!$A$2:$A$2436,0)),"")</f>
        <v>Penuh</v>
      </c>
    </row>
    <row r="85" customFormat="false" ht="30" hidden="false" customHeight="true" outlineLevel="0" collapsed="false">
      <c r="A85" s="59" t="s">
        <v>120</v>
      </c>
      <c r="B85" s="60" t="str">
        <f aca="false">IFERROR(INDEX('Master Data'!$M$2:$M$2436,MATCH($B$3&amp;"|5|"&amp;B$74&amp;"|"&amp;$A85,'Master Data'!$A$2:$A$2436,0)),"")</f>
        <v>Kids  2/4
coach: Daffa</v>
      </c>
      <c r="C85" s="60" t="str">
        <f aca="false">IFERROR(INDEX('Master Data'!$M$2:$M$2436,MATCH($B$3&amp;"|5|"&amp;C$74&amp;"|"&amp;$A85,'Master Data'!$A$2:$A$2436,0)),"")</f>
        <v>Kids  4/4
coach: Tessa</v>
      </c>
      <c r="D85" s="60" t="str">
        <f aca="false">IFERROR(INDEX('Master Data'!$M$2:$M$2436,MATCH($B$3&amp;"|5|"&amp;D$74&amp;"|"&amp;$A85,'Master Data'!$A$2:$A$2436,0)),"")</f>
        <v>Kids  4/4
coach: Danti</v>
      </c>
      <c r="E85" s="60" t="str">
        <f aca="false">IFERROR(INDEX('Master Data'!$M$2:$M$2436,MATCH($B$3&amp;"|5|"&amp;E$74&amp;"|"&amp;$A85,'Master Data'!$A$2:$A$2436,0)),"")</f>
        <v>Kids  4/0
coach: Nuky</v>
      </c>
      <c r="F85" s="60" t="str">
        <f aca="false">IFERROR(INDEX('Master Data'!$M$2:$M$2436,MATCH($B$3&amp;"|5|"&amp;F$74&amp;"|"&amp;$A85,'Master Data'!$A$2:$A$2436,0)),"")</f>
        <v>Kids  4/4
coach: Nuky</v>
      </c>
      <c r="G85" s="60" t="str">
        <f aca="false">IFERROR(INDEX('Master Data'!$M$2:$M$2436,MATCH($B$3&amp;"|5|"&amp;G$74&amp;"|"&amp;$A85,'Master Data'!$A$2:$A$2436,0)),"")</f>
        <v>Kids  4/4
coach: Eka</v>
      </c>
      <c r="H85" s="60" t="str">
        <f aca="false">IFERROR(INDEX('Master Data'!$M$2:$M$2436,MATCH($B$3&amp;"|5|"&amp;H$74&amp;"|"&amp;$A85,'Master Data'!$A$2:$A$2436,0)),"")</f>
        <v>Kids  4/4
coach: Surya</v>
      </c>
      <c r="T85" s="61" t="str">
        <f aca="false">IFERROR(INDEX('Master Data'!$L$2:$L$2436,MATCH($B$3&amp;"|5|"&amp;B$74&amp;"|"&amp;$A85,'Master Data'!$A$2:$A$2436,0)),"")</f>
        <v>Sebagian</v>
      </c>
      <c r="U85" s="61" t="str">
        <f aca="false">IFERROR(INDEX('Master Data'!$L$2:$L$2436,MATCH($B$3&amp;"|5|"&amp;C$74&amp;"|"&amp;$A85,'Master Data'!$A$2:$A$2436,0)),"")</f>
        <v>Penuh</v>
      </c>
      <c r="V85" s="61" t="str">
        <f aca="false">IFERROR(INDEX('Master Data'!$L$2:$L$2436,MATCH($B$3&amp;"|5|"&amp;D$74&amp;"|"&amp;$A85,'Master Data'!$A$2:$A$2436,0)),"")</f>
        <v>Penuh</v>
      </c>
      <c r="W85" s="61" t="str">
        <f aca="false">IFERROR(INDEX('Master Data'!$L$2:$L$2436,MATCH($B$3&amp;"|5|"&amp;E$74&amp;"|"&amp;$A85,'Master Data'!$A$2:$A$2436,0)),"")</f>
        <v>Lebih kapasitas</v>
      </c>
      <c r="X85" s="61" t="str">
        <f aca="false">IFERROR(INDEX('Master Data'!$L$2:$L$2436,MATCH($B$3&amp;"|5|"&amp;F$74&amp;"|"&amp;$A85,'Master Data'!$A$2:$A$2436,0)),"")</f>
        <v>Penuh</v>
      </c>
      <c r="Y85" s="61" t="str">
        <f aca="false">IFERROR(INDEX('Master Data'!$L$2:$L$2436,MATCH($B$3&amp;"|5|"&amp;G$74&amp;"|"&amp;$A85,'Master Data'!$A$2:$A$2436,0)),"")</f>
        <v>Penuh</v>
      </c>
      <c r="Z85" s="61" t="str">
        <f aca="false">IFERROR(INDEX('Master Data'!$L$2:$L$2436,MATCH($B$3&amp;"|5|"&amp;H$74&amp;"|"&amp;$A85,'Master Data'!$A$2:$A$2436,0)),"")</f>
        <v>Penuh</v>
      </c>
    </row>
    <row r="86" customFormat="false" ht="30" hidden="false" customHeight="true" outlineLevel="0" collapsed="false">
      <c r="A86" s="59" t="s">
        <v>121</v>
      </c>
      <c r="B86" s="60" t="str">
        <f aca="false">IFERROR(INDEX('Master Data'!$M$2:$M$2436,MATCH($B$3&amp;"|5|"&amp;B$74&amp;"|"&amp;$A86,'Master Data'!$A$2:$A$2436,0)),"")</f>
        <v>Kids  4/4
coach: Danti</v>
      </c>
      <c r="C86" s="60" t="str">
        <f aca="false">IFERROR(INDEX('Master Data'!$M$2:$M$2436,MATCH($B$3&amp;"|5|"&amp;C$74&amp;"|"&amp;$A86,'Master Data'!$A$2:$A$2436,0)),"")</f>
        <v>Little  4/4
coach: Dian</v>
      </c>
      <c r="D86" s="60" t="str">
        <f aca="false">IFERROR(INDEX('Master Data'!$M$2:$M$2436,MATCH($B$3&amp;"|5|"&amp;D$74&amp;"|"&amp;$A86,'Master Data'!$A$2:$A$2436,0)),"")</f>
        <v>Kids  4/4
coach: Nuky</v>
      </c>
      <c r="E86" s="60" t="str">
        <f aca="false">IFERROR(INDEX('Master Data'!$M$2:$M$2436,MATCH($B$3&amp;"|5|"&amp;E$74&amp;"|"&amp;$A86,'Master Data'!$A$2:$A$2436,0)),"")</f>
        <v>Kids  4/0
coach: Eka</v>
      </c>
      <c r="F86" s="60" t="str">
        <f aca="false">IFERROR(INDEX('Master Data'!$M$2:$M$2436,MATCH($B$3&amp;"|5|"&amp;F$74&amp;"|"&amp;$A86,'Master Data'!$A$2:$A$2436,0)),"")</f>
        <v>Little  4/4
coach: Daffa</v>
      </c>
      <c r="G86" s="60" t="str">
        <f aca="false">IFERROR(INDEX('Master Data'!$M$2:$M$2436,MATCH($B$3&amp;"|5|"&amp;G$74&amp;"|"&amp;$A86,'Master Data'!$A$2:$A$2436,0)),"")</f>
        <v>Little  3/4
coach: Surya</v>
      </c>
      <c r="H86" s="60" t="str">
        <f aca="false">IFERROR(INDEX('Master Data'!$M$2:$M$2436,MATCH($B$3&amp;"|5|"&amp;H$74&amp;"|"&amp;$A86,'Master Data'!$A$2:$A$2436,0)),"")</f>
        <v>(tanpa age group)  0/4
coach: –</v>
      </c>
      <c r="T86" s="61" t="str">
        <f aca="false">IFERROR(INDEX('Master Data'!$L$2:$L$2436,MATCH($B$3&amp;"|5|"&amp;B$74&amp;"|"&amp;$A86,'Master Data'!$A$2:$A$2436,0)),"")</f>
        <v>Penuh</v>
      </c>
      <c r="U86" s="61" t="str">
        <f aca="false">IFERROR(INDEX('Master Data'!$L$2:$L$2436,MATCH($B$3&amp;"|5|"&amp;C$74&amp;"|"&amp;$A86,'Master Data'!$A$2:$A$2436,0)),"")</f>
        <v>Penuh</v>
      </c>
      <c r="V86" s="61" t="str">
        <f aca="false">IFERROR(INDEX('Master Data'!$L$2:$L$2436,MATCH($B$3&amp;"|5|"&amp;D$74&amp;"|"&amp;$A86,'Master Data'!$A$2:$A$2436,0)),"")</f>
        <v>Penuh</v>
      </c>
      <c r="W86" s="61" t="str">
        <f aca="false">IFERROR(INDEX('Master Data'!$L$2:$L$2436,MATCH($B$3&amp;"|5|"&amp;E$74&amp;"|"&amp;$A86,'Master Data'!$A$2:$A$2436,0)),"")</f>
        <v>Lebih kapasitas</v>
      </c>
      <c r="X86" s="61" t="str">
        <f aca="false">IFERROR(INDEX('Master Data'!$L$2:$L$2436,MATCH($B$3&amp;"|5|"&amp;F$74&amp;"|"&amp;$A86,'Master Data'!$A$2:$A$2436,0)),"")</f>
        <v>Penuh</v>
      </c>
      <c r="Y86" s="61" t="str">
        <f aca="false">IFERROR(INDEX('Master Data'!$L$2:$L$2436,MATCH($B$3&amp;"|5|"&amp;G$74&amp;"|"&amp;$A86,'Master Data'!$A$2:$A$2436,0)),"")</f>
        <v>Sebagian</v>
      </c>
      <c r="Z86" s="61" t="str">
        <f aca="false">IFERROR(INDEX('Master Data'!$L$2:$L$2436,MATCH($B$3&amp;"|5|"&amp;H$74&amp;"|"&amp;$A86,'Master Data'!$A$2:$A$2436,0)),"")</f>
        <v>Slot kosong</v>
      </c>
    </row>
    <row r="89" customFormat="false" ht="16.15" hidden="false" customHeight="false" outlineLevel="0" collapsed="false">
      <c r="A89" s="62" t="s">
        <v>124</v>
      </c>
      <c r="B89" s="63"/>
      <c r="C89" s="63"/>
      <c r="D89" s="63"/>
      <c r="E89" s="63"/>
      <c r="F89" s="63"/>
      <c r="G89" s="63"/>
      <c r="H89" s="63"/>
      <c r="I89" s="63"/>
      <c r="J89" s="63"/>
      <c r="K89" s="63"/>
      <c r="L89" s="63"/>
      <c r="M89" s="63"/>
      <c r="N89" s="63"/>
    </row>
    <row r="90" customFormat="false" ht="15" hidden="false" customHeight="false" outlineLevel="0" collapsed="false">
      <c r="A90" s="52" t="s">
        <v>125</v>
      </c>
    </row>
    <row r="91" customFormat="false" ht="31.5" hidden="false" customHeight="true" outlineLevel="0" collapsed="false">
      <c r="A91" s="64" t="s">
        <v>126</v>
      </c>
      <c r="B91" s="64" t="s">
        <v>127</v>
      </c>
      <c r="C91" s="64" t="s">
        <v>89</v>
      </c>
      <c r="D91" s="64" t="s">
        <v>128</v>
      </c>
      <c r="E91" s="64" t="s">
        <v>36</v>
      </c>
      <c r="F91" s="64" t="s">
        <v>129</v>
      </c>
      <c r="G91" s="64" t="s">
        <v>57</v>
      </c>
      <c r="H91" s="64" t="s">
        <v>130</v>
      </c>
      <c r="I91" s="64" t="s">
        <v>131</v>
      </c>
      <c r="J91" s="64" t="s">
        <v>132</v>
      </c>
      <c r="K91" s="65" t="s">
        <v>39</v>
      </c>
      <c r="L91" s="65" t="s">
        <v>41</v>
      </c>
      <c r="M91" s="65" t="s">
        <v>43</v>
      </c>
      <c r="N91" s="65" t="s">
        <v>45</v>
      </c>
      <c r="O91" s="65" t="s">
        <v>46</v>
      </c>
    </row>
    <row r="92" customFormat="false" ht="40.5" hidden="false" customHeight="true" outlineLevel="0" collapsed="false">
      <c r="A92" s="66" t="n">
        <v>1</v>
      </c>
      <c r="B92" s="67" t="s">
        <v>90</v>
      </c>
      <c r="C92" s="66" t="s">
        <v>111</v>
      </c>
      <c r="D92" s="66" t="n">
        <v>4</v>
      </c>
      <c r="E92" s="67" t="str">
        <f aca="false">IFERROR(INDEX('Master Data'!$L$2:$L$2436,MATCH($B$3&amp;"|"&amp;D92&amp;"|"&amp;B92&amp;"|"&amp;C92,'Master Data'!$A$2:$A$2436,0)),"")</f>
        <v>Belum terisi</v>
      </c>
      <c r="F92" s="67" t="str">
        <f aca="false">IFERROR(INDEX('Master Data'!$F$2:$F$2436,MATCH($B$3&amp;"|"&amp;D92&amp;"|"&amp;B92&amp;"|"&amp;C92,'Master Data'!$A$2:$A$2436,0))&amp;"","")</f>
        <v>Kids</v>
      </c>
      <c r="G92" s="66" t="n">
        <f aca="false">IFERROR(INDEX('Master Data'!$G$2:$G$2436,MATCH($B$3&amp;"|"&amp;D92&amp;"|"&amp;B92&amp;"|"&amp;C92,'Master Data'!$A$2:$A$2436,0)),"")</f>
        <v>4</v>
      </c>
      <c r="H92" s="67" t="str">
        <f aca="false">IFERROR(INDEX('Master Data'!$K$2:$K$2436,MATCH($B$3&amp;"|"&amp;D92&amp;"|"&amp;B92&amp;"|"&amp;C92,'Master Data'!$A$2:$A$2436,0))&amp;"","")</f>
        <v/>
      </c>
      <c r="I92" s="67" t="s">
        <v>133</v>
      </c>
      <c r="J92" s="67" t="s">
        <v>134</v>
      </c>
      <c r="K92" s="68"/>
      <c r="L92" s="68"/>
      <c r="M92" s="68"/>
      <c r="N92" s="69"/>
      <c r="O92" s="68"/>
    </row>
    <row r="93" customFormat="false" ht="40.5" hidden="false" customHeight="true" outlineLevel="0" collapsed="false">
      <c r="A93" s="66" t="n">
        <v>2</v>
      </c>
      <c r="B93" s="67" t="s">
        <v>90</v>
      </c>
      <c r="C93" s="66" t="s">
        <v>111</v>
      </c>
      <c r="D93" s="66" t="n">
        <v>5</v>
      </c>
      <c r="E93" s="67" t="str">
        <f aca="false">IFERROR(INDEX('Master Data'!$L$2:$L$2436,MATCH($B$3&amp;"|"&amp;D93&amp;"|"&amp;B93&amp;"|"&amp;C93,'Master Data'!$A$2:$A$2436,0)),"")</f>
        <v>Slot kosong</v>
      </c>
      <c r="F93" s="67" t="str">
        <f aca="false">IFERROR(INDEX('Master Data'!$F$2:$F$2436,MATCH($B$3&amp;"|"&amp;D93&amp;"|"&amp;B93&amp;"|"&amp;C93,'Master Data'!$A$2:$A$2436,0))&amp;"","")</f>
        <v/>
      </c>
      <c r="G93" s="66" t="n">
        <f aca="false">IFERROR(INDEX('Master Data'!$G$2:$G$2436,MATCH($B$3&amp;"|"&amp;D93&amp;"|"&amp;B93&amp;"|"&amp;C93,'Master Data'!$A$2:$A$2436,0)),"")</f>
        <v>4</v>
      </c>
      <c r="H93" s="67" t="str">
        <f aca="false">IFERROR(INDEX('Master Data'!$K$2:$K$2436,MATCH($B$3&amp;"|"&amp;D93&amp;"|"&amp;B93&amp;"|"&amp;C93,'Master Data'!$A$2:$A$2436,0))&amp;"","")</f>
        <v/>
      </c>
      <c r="I93" s="67" t="s">
        <v>133</v>
      </c>
      <c r="J93" s="67" t="s">
        <v>134</v>
      </c>
      <c r="K93" s="68"/>
      <c r="L93" s="68"/>
      <c r="M93" s="68"/>
      <c r="N93" s="69"/>
      <c r="O93" s="68"/>
    </row>
    <row r="94" customFormat="false" ht="40.5" hidden="false" customHeight="true" outlineLevel="0" collapsed="false">
      <c r="A94" s="66" t="n">
        <v>3</v>
      </c>
      <c r="B94" s="67" t="s">
        <v>90</v>
      </c>
      <c r="C94" s="66" t="s">
        <v>97</v>
      </c>
      <c r="D94" s="66" t="n">
        <v>1</v>
      </c>
      <c r="E94" s="67" t="str">
        <f aca="false">IFERROR(INDEX('Master Data'!$L$2:$L$2436,MATCH($B$3&amp;"|"&amp;D94&amp;"|"&amp;B94&amp;"|"&amp;C94,'Master Data'!$A$2:$A$2436,0)),"")</f>
        <v>Slot kosong</v>
      </c>
      <c r="F94" s="67" t="str">
        <f aca="false">IFERROR(INDEX('Master Data'!$F$2:$F$2436,MATCH($B$3&amp;"|"&amp;D94&amp;"|"&amp;B94&amp;"|"&amp;C94,'Master Data'!$A$2:$A$2436,0))&amp;"","")</f>
        <v/>
      </c>
      <c r="G94" s="66" t="n">
        <f aca="false">IFERROR(INDEX('Master Data'!$G$2:$G$2436,MATCH($B$3&amp;"|"&amp;D94&amp;"|"&amp;B94&amp;"|"&amp;C94,'Master Data'!$A$2:$A$2436,0)),"")</f>
        <v>5</v>
      </c>
      <c r="H94" s="67" t="str">
        <f aca="false">IFERROR(INDEX('Master Data'!$K$2:$K$2436,MATCH($B$3&amp;"|"&amp;D94&amp;"|"&amp;B94&amp;"|"&amp;C94,'Master Data'!$A$2:$A$2436,0))&amp;"","")</f>
        <v/>
      </c>
      <c r="I94" s="67" t="s">
        <v>133</v>
      </c>
      <c r="J94" s="67" t="s">
        <v>134</v>
      </c>
      <c r="K94" s="68"/>
      <c r="L94" s="68"/>
      <c r="M94" s="68"/>
      <c r="N94" s="69"/>
      <c r="O94" s="68"/>
    </row>
    <row r="95" customFormat="false" ht="52.5" hidden="false" customHeight="true" outlineLevel="0" collapsed="false">
      <c r="A95" s="66" t="n">
        <v>4</v>
      </c>
      <c r="B95" s="67" t="s">
        <v>90</v>
      </c>
      <c r="C95" s="66" t="s">
        <v>112</v>
      </c>
      <c r="D95" s="66" t="n">
        <v>3</v>
      </c>
      <c r="E95" s="67" t="str">
        <f aca="false">IFERROR(INDEX('Master Data'!$L$2:$L$2436,MATCH($B$3&amp;"|"&amp;D95&amp;"|"&amp;B95&amp;"|"&amp;C95,'Master Data'!$A$2:$A$2436,0)),"")</f>
        <v>Belum terisi</v>
      </c>
      <c r="F95" s="67" t="str">
        <f aca="false">IFERROR(INDEX('Master Data'!$F$2:$F$2436,MATCH($B$3&amp;"|"&amp;D95&amp;"|"&amp;B95&amp;"|"&amp;C95,'Master Data'!$A$2:$A$2436,0))&amp;"","")</f>
        <v>Little</v>
      </c>
      <c r="G95" s="66" t="n">
        <f aca="false">IFERROR(INDEX('Master Data'!$G$2:$G$2436,MATCH($B$3&amp;"|"&amp;D95&amp;"|"&amp;B95&amp;"|"&amp;C95,'Master Data'!$A$2:$A$2436,0)),"")</f>
        <v>4</v>
      </c>
      <c r="H95" s="67" t="str">
        <f aca="false">IFERROR(INDEX('Master Data'!$K$2:$K$2436,MATCH($B$3&amp;"|"&amp;D95&amp;"|"&amp;B95&amp;"|"&amp;C95,'Master Data'!$A$2:$A$2436,0))&amp;"","")</f>
        <v/>
      </c>
      <c r="I95" s="67" t="s">
        <v>135</v>
      </c>
      <c r="J95" s="67" t="s">
        <v>134</v>
      </c>
      <c r="K95" s="68"/>
      <c r="L95" s="68"/>
      <c r="M95" s="68"/>
      <c r="N95" s="69"/>
      <c r="O95" s="68"/>
    </row>
    <row r="96" customFormat="false" ht="52.5" hidden="false" customHeight="true" outlineLevel="0" collapsed="false">
      <c r="A96" s="66" t="n">
        <v>5</v>
      </c>
      <c r="B96" s="67" t="s">
        <v>90</v>
      </c>
      <c r="C96" s="66" t="s">
        <v>112</v>
      </c>
      <c r="D96" s="66" t="n">
        <v>4</v>
      </c>
      <c r="E96" s="67" t="str">
        <f aca="false">IFERROR(INDEX('Master Data'!$L$2:$L$2436,MATCH($B$3&amp;"|"&amp;D96&amp;"|"&amp;B96&amp;"|"&amp;C96,'Master Data'!$A$2:$A$2436,0)),"")</f>
        <v>Belum terisi</v>
      </c>
      <c r="F96" s="67" t="str">
        <f aca="false">IFERROR(INDEX('Master Data'!$F$2:$F$2436,MATCH($B$3&amp;"|"&amp;D96&amp;"|"&amp;B96&amp;"|"&amp;C96,'Master Data'!$A$2:$A$2436,0))&amp;"","")</f>
        <v>Kids</v>
      </c>
      <c r="G96" s="66" t="n">
        <f aca="false">IFERROR(INDEX('Master Data'!$G$2:$G$2436,MATCH($B$3&amp;"|"&amp;D96&amp;"|"&amp;B96&amp;"|"&amp;C96,'Master Data'!$A$2:$A$2436,0)),"")</f>
        <v>4</v>
      </c>
      <c r="H96" s="67" t="str">
        <f aca="false">IFERROR(INDEX('Master Data'!$K$2:$K$2436,MATCH($B$3&amp;"|"&amp;D96&amp;"|"&amp;B96&amp;"|"&amp;C96,'Master Data'!$A$2:$A$2436,0))&amp;"","")</f>
        <v/>
      </c>
      <c r="I96" s="67" t="s">
        <v>135</v>
      </c>
      <c r="J96" s="67" t="s">
        <v>134</v>
      </c>
      <c r="K96" s="68"/>
      <c r="L96" s="68"/>
      <c r="M96" s="68"/>
      <c r="N96" s="69"/>
      <c r="O96" s="68"/>
    </row>
    <row r="97" customFormat="false" ht="52.5" hidden="false" customHeight="true" outlineLevel="0" collapsed="false">
      <c r="A97" s="66" t="n">
        <v>6</v>
      </c>
      <c r="B97" s="67" t="s">
        <v>90</v>
      </c>
      <c r="C97" s="66" t="s">
        <v>112</v>
      </c>
      <c r="D97" s="66" t="n">
        <v>5</v>
      </c>
      <c r="E97" s="67" t="str">
        <f aca="false">IFERROR(INDEX('Master Data'!$L$2:$L$2436,MATCH($B$3&amp;"|"&amp;D97&amp;"|"&amp;B97&amp;"|"&amp;C97,'Master Data'!$A$2:$A$2436,0)),"")</f>
        <v>Slot kosong</v>
      </c>
      <c r="F97" s="67" t="str">
        <f aca="false">IFERROR(INDEX('Master Data'!$F$2:$F$2436,MATCH($B$3&amp;"|"&amp;D97&amp;"|"&amp;B97&amp;"|"&amp;C97,'Master Data'!$A$2:$A$2436,0))&amp;"","")</f>
        <v/>
      </c>
      <c r="G97" s="66" t="n">
        <f aca="false">IFERROR(INDEX('Master Data'!$G$2:$G$2436,MATCH($B$3&amp;"|"&amp;D97&amp;"|"&amp;B97&amp;"|"&amp;C97,'Master Data'!$A$2:$A$2436,0)),"")</f>
        <v>4</v>
      </c>
      <c r="H97" s="67" t="str">
        <f aca="false">IFERROR(INDEX('Master Data'!$K$2:$K$2436,MATCH($B$3&amp;"|"&amp;D97&amp;"|"&amp;B97&amp;"|"&amp;C97,'Master Data'!$A$2:$A$2436,0))&amp;"","")</f>
        <v/>
      </c>
      <c r="I97" s="67" t="s">
        <v>135</v>
      </c>
      <c r="J97" s="67" t="s">
        <v>134</v>
      </c>
      <c r="K97" s="68"/>
      <c r="L97" s="68"/>
      <c r="M97" s="68"/>
      <c r="N97" s="69"/>
      <c r="O97" s="68"/>
    </row>
    <row r="98" customFormat="false" ht="40.5" hidden="false" customHeight="true" outlineLevel="0" collapsed="false">
      <c r="A98" s="66" t="n">
        <v>7</v>
      </c>
      <c r="B98" s="67" t="s">
        <v>90</v>
      </c>
      <c r="C98" s="66" t="s">
        <v>98</v>
      </c>
      <c r="D98" s="66" t="n">
        <v>1</v>
      </c>
      <c r="E98" s="67" t="str">
        <f aca="false">IFERROR(INDEX('Master Data'!$L$2:$L$2436,MATCH($B$3&amp;"|"&amp;D98&amp;"|"&amp;B98&amp;"|"&amp;C98,'Master Data'!$A$2:$A$2436,0)),"")</f>
        <v>Slot kosong</v>
      </c>
      <c r="F98" s="67" t="str">
        <f aca="false">IFERROR(INDEX('Master Data'!$F$2:$F$2436,MATCH($B$3&amp;"|"&amp;D98&amp;"|"&amp;B98&amp;"|"&amp;C98,'Master Data'!$A$2:$A$2436,0))&amp;"","")</f>
        <v/>
      </c>
      <c r="G98" s="66" t="n">
        <f aca="false">IFERROR(INDEX('Master Data'!$G$2:$G$2436,MATCH($B$3&amp;"|"&amp;D98&amp;"|"&amp;B98&amp;"|"&amp;C98,'Master Data'!$A$2:$A$2436,0)),"")</f>
        <v>5</v>
      </c>
      <c r="H98" s="67" t="str">
        <f aca="false">IFERROR(INDEX('Master Data'!$K$2:$K$2436,MATCH($B$3&amp;"|"&amp;D98&amp;"|"&amp;B98&amp;"|"&amp;C98,'Master Data'!$A$2:$A$2436,0))&amp;"","")</f>
        <v/>
      </c>
      <c r="I98" s="67" t="s">
        <v>136</v>
      </c>
      <c r="J98" s="67" t="s">
        <v>134</v>
      </c>
      <c r="K98" s="68"/>
      <c r="L98" s="68"/>
      <c r="M98" s="68"/>
      <c r="N98" s="69"/>
      <c r="O98" s="68"/>
    </row>
    <row r="99" customFormat="false" ht="27.75" hidden="false" customHeight="true" outlineLevel="0" collapsed="false">
      <c r="A99" s="66" t="n">
        <v>8</v>
      </c>
      <c r="B99" s="67" t="s">
        <v>90</v>
      </c>
      <c r="C99" s="66" t="s">
        <v>113</v>
      </c>
      <c r="D99" s="66" t="n">
        <v>4</v>
      </c>
      <c r="E99" s="67" t="str">
        <f aca="false">IFERROR(INDEX('Master Data'!$L$2:$L$2436,MATCH($B$3&amp;"|"&amp;D99&amp;"|"&amp;B99&amp;"|"&amp;C99,'Master Data'!$A$2:$A$2436,0)),"")</f>
        <v>Belum terisi</v>
      </c>
      <c r="F99" s="67" t="str">
        <f aca="false">IFERROR(INDEX('Master Data'!$F$2:$F$2436,MATCH($B$3&amp;"|"&amp;D99&amp;"|"&amp;B99&amp;"|"&amp;C99,'Master Data'!$A$2:$A$2436,0))&amp;"","")</f>
        <v>Kids</v>
      </c>
      <c r="G99" s="66" t="n">
        <f aca="false">IFERROR(INDEX('Master Data'!$G$2:$G$2436,MATCH($B$3&amp;"|"&amp;D99&amp;"|"&amp;B99&amp;"|"&amp;C99,'Master Data'!$A$2:$A$2436,0)),"")</f>
        <v>4</v>
      </c>
      <c r="H99" s="67" t="str">
        <f aca="false">IFERROR(INDEX('Master Data'!$K$2:$K$2436,MATCH($B$3&amp;"|"&amp;D99&amp;"|"&amp;B99&amp;"|"&amp;C99,'Master Data'!$A$2:$A$2436,0))&amp;"","")</f>
        <v/>
      </c>
      <c r="I99" s="67" t="s">
        <v>137</v>
      </c>
      <c r="J99" s="67" t="s">
        <v>134</v>
      </c>
      <c r="K99" s="68"/>
      <c r="L99" s="68"/>
      <c r="M99" s="68"/>
      <c r="N99" s="69"/>
      <c r="O99" s="68"/>
    </row>
    <row r="100" customFormat="false" ht="27.75" hidden="false" customHeight="true" outlineLevel="0" collapsed="false">
      <c r="A100" s="66" t="n">
        <v>9</v>
      </c>
      <c r="B100" s="67" t="s">
        <v>90</v>
      </c>
      <c r="C100" s="66" t="s">
        <v>113</v>
      </c>
      <c r="D100" s="66" t="n">
        <v>5</v>
      </c>
      <c r="E100" s="67" t="str">
        <f aca="false">IFERROR(INDEX('Master Data'!$L$2:$L$2436,MATCH($B$3&amp;"|"&amp;D100&amp;"|"&amp;B100&amp;"|"&amp;C100,'Master Data'!$A$2:$A$2436,0)),"")</f>
        <v>Slot kosong</v>
      </c>
      <c r="F100" s="67" t="str">
        <f aca="false">IFERROR(INDEX('Master Data'!$F$2:$F$2436,MATCH($B$3&amp;"|"&amp;D100&amp;"|"&amp;B100&amp;"|"&amp;C100,'Master Data'!$A$2:$A$2436,0))&amp;"","")</f>
        <v/>
      </c>
      <c r="G100" s="66" t="n">
        <f aca="false">IFERROR(INDEX('Master Data'!$G$2:$G$2436,MATCH($B$3&amp;"|"&amp;D100&amp;"|"&amp;B100&amp;"|"&amp;C100,'Master Data'!$A$2:$A$2436,0)),"")</f>
        <v>4</v>
      </c>
      <c r="H100" s="67" t="str">
        <f aca="false">IFERROR(INDEX('Master Data'!$K$2:$K$2436,MATCH($B$3&amp;"|"&amp;D100&amp;"|"&amp;B100&amp;"|"&amp;C100,'Master Data'!$A$2:$A$2436,0))&amp;"","")</f>
        <v/>
      </c>
      <c r="I100" s="67" t="s">
        <v>137</v>
      </c>
      <c r="J100" s="67" t="s">
        <v>134</v>
      </c>
      <c r="K100" s="68"/>
      <c r="L100" s="68"/>
      <c r="M100" s="68"/>
      <c r="N100" s="69"/>
      <c r="O100" s="68"/>
    </row>
    <row r="101" customFormat="false" ht="27.75" hidden="false" customHeight="true" outlineLevel="0" collapsed="false">
      <c r="A101" s="66" t="n">
        <v>10</v>
      </c>
      <c r="B101" s="67" t="s">
        <v>90</v>
      </c>
      <c r="C101" s="66" t="s">
        <v>99</v>
      </c>
      <c r="D101" s="66" t="n">
        <v>2</v>
      </c>
      <c r="E101" s="67" t="str">
        <f aca="false">IFERROR(INDEX('Master Data'!$L$2:$L$2436,MATCH($B$3&amp;"|"&amp;D101&amp;"|"&amp;B101&amp;"|"&amp;C101,'Master Data'!$A$2:$A$2436,0)),"")</f>
        <v>Belum terisi</v>
      </c>
      <c r="F101" s="67" t="str">
        <f aca="false">IFERROR(INDEX('Master Data'!$F$2:$F$2436,MATCH($B$3&amp;"|"&amp;D101&amp;"|"&amp;B101&amp;"|"&amp;C101,'Master Data'!$A$2:$A$2436,0))&amp;"","")</f>
        <v>Tiny</v>
      </c>
      <c r="G101" s="66" t="n">
        <f aca="false">IFERROR(INDEX('Master Data'!$G$2:$G$2436,MATCH($B$3&amp;"|"&amp;D101&amp;"|"&amp;B101&amp;"|"&amp;C101,'Master Data'!$A$2:$A$2436,0)),"")</f>
        <v>5</v>
      </c>
      <c r="H101" s="67" t="str">
        <f aca="false">IFERROR(INDEX('Master Data'!$K$2:$K$2436,MATCH($B$3&amp;"|"&amp;D101&amp;"|"&amp;B101&amp;"|"&amp;C101,'Master Data'!$A$2:$A$2436,0))&amp;"","")</f>
        <v/>
      </c>
      <c r="I101" s="67" t="s">
        <v>138</v>
      </c>
      <c r="J101" s="67" t="s">
        <v>134</v>
      </c>
      <c r="K101" s="68"/>
      <c r="L101" s="68"/>
      <c r="M101" s="68"/>
      <c r="N101" s="69"/>
      <c r="O101" s="68"/>
    </row>
    <row r="102" customFormat="false" ht="40.5" hidden="false" customHeight="true" outlineLevel="0" collapsed="false">
      <c r="A102" s="66" t="n">
        <v>11</v>
      </c>
      <c r="B102" s="67" t="s">
        <v>90</v>
      </c>
      <c r="C102" s="66" t="s">
        <v>114</v>
      </c>
      <c r="D102" s="66" t="n">
        <v>4</v>
      </c>
      <c r="E102" s="67" t="str">
        <f aca="false">IFERROR(INDEX('Master Data'!$L$2:$L$2436,MATCH($B$3&amp;"|"&amp;D102&amp;"|"&amp;B102&amp;"|"&amp;C102,'Master Data'!$A$2:$A$2436,0)),"")</f>
        <v>Belum terisi</v>
      </c>
      <c r="F102" s="67" t="str">
        <f aca="false">IFERROR(INDEX('Master Data'!$F$2:$F$2436,MATCH($B$3&amp;"|"&amp;D102&amp;"|"&amp;B102&amp;"|"&amp;C102,'Master Data'!$A$2:$A$2436,0))&amp;"","")</f>
        <v>Kids</v>
      </c>
      <c r="G102" s="66" t="n">
        <f aca="false">IFERROR(INDEX('Master Data'!$G$2:$G$2436,MATCH($B$3&amp;"|"&amp;D102&amp;"|"&amp;B102&amp;"|"&amp;C102,'Master Data'!$A$2:$A$2436,0)),"")</f>
        <v>4</v>
      </c>
      <c r="H102" s="67" t="str">
        <f aca="false">IFERROR(INDEX('Master Data'!$K$2:$K$2436,MATCH($B$3&amp;"|"&amp;D102&amp;"|"&amp;B102&amp;"|"&amp;C102,'Master Data'!$A$2:$A$2436,0))&amp;"","")</f>
        <v/>
      </c>
      <c r="I102" s="67" t="s">
        <v>139</v>
      </c>
      <c r="J102" s="67" t="s">
        <v>134</v>
      </c>
      <c r="K102" s="68"/>
      <c r="L102" s="68"/>
      <c r="M102" s="68"/>
      <c r="N102" s="69"/>
      <c r="O102" s="68"/>
    </row>
    <row r="103" customFormat="false" ht="40.5" hidden="false" customHeight="true" outlineLevel="0" collapsed="false">
      <c r="A103" s="66" t="n">
        <v>12</v>
      </c>
      <c r="B103" s="67" t="s">
        <v>90</v>
      </c>
      <c r="C103" s="66" t="s">
        <v>114</v>
      </c>
      <c r="D103" s="66" t="n">
        <v>5</v>
      </c>
      <c r="E103" s="67" t="str">
        <f aca="false">IFERROR(INDEX('Master Data'!$L$2:$L$2436,MATCH($B$3&amp;"|"&amp;D103&amp;"|"&amp;B103&amp;"|"&amp;C103,'Master Data'!$A$2:$A$2436,0)),"")</f>
        <v>Slot kosong</v>
      </c>
      <c r="F103" s="67" t="str">
        <f aca="false">IFERROR(INDEX('Master Data'!$F$2:$F$2436,MATCH($B$3&amp;"|"&amp;D103&amp;"|"&amp;B103&amp;"|"&amp;C103,'Master Data'!$A$2:$A$2436,0))&amp;"","")</f>
        <v/>
      </c>
      <c r="G103" s="66" t="n">
        <f aca="false">IFERROR(INDEX('Master Data'!$G$2:$G$2436,MATCH($B$3&amp;"|"&amp;D103&amp;"|"&amp;B103&amp;"|"&amp;C103,'Master Data'!$A$2:$A$2436,0)),"")</f>
        <v>4</v>
      </c>
      <c r="H103" s="67" t="str">
        <f aca="false">IFERROR(INDEX('Master Data'!$K$2:$K$2436,MATCH($B$3&amp;"|"&amp;D103&amp;"|"&amp;B103&amp;"|"&amp;C103,'Master Data'!$A$2:$A$2436,0))&amp;"","")</f>
        <v/>
      </c>
      <c r="I103" s="67" t="s">
        <v>139</v>
      </c>
      <c r="J103" s="67" t="s">
        <v>134</v>
      </c>
      <c r="K103" s="68"/>
      <c r="L103" s="68"/>
      <c r="M103" s="68"/>
      <c r="N103" s="69"/>
      <c r="O103" s="68"/>
    </row>
    <row r="104" customFormat="false" ht="40.5" hidden="false" customHeight="true" outlineLevel="0" collapsed="false">
      <c r="A104" s="66" t="n">
        <v>13</v>
      </c>
      <c r="B104" s="67" t="s">
        <v>90</v>
      </c>
      <c r="C104" s="66" t="s">
        <v>100</v>
      </c>
      <c r="D104" s="66" t="n">
        <v>1</v>
      </c>
      <c r="E104" s="67" t="str">
        <f aca="false">IFERROR(INDEX('Master Data'!$L$2:$L$2436,MATCH($B$3&amp;"|"&amp;D104&amp;"|"&amp;B104&amp;"|"&amp;C104,'Master Data'!$A$2:$A$2436,0)),"")</f>
        <v>Slot kosong</v>
      </c>
      <c r="F104" s="67" t="str">
        <f aca="false">IFERROR(INDEX('Master Data'!$F$2:$F$2436,MATCH($B$3&amp;"|"&amp;D104&amp;"|"&amp;B104&amp;"|"&amp;C104,'Master Data'!$A$2:$A$2436,0))&amp;"","")</f>
        <v/>
      </c>
      <c r="G104" s="66" t="n">
        <f aca="false">IFERROR(INDEX('Master Data'!$G$2:$G$2436,MATCH($B$3&amp;"|"&amp;D104&amp;"|"&amp;B104&amp;"|"&amp;C104,'Master Data'!$A$2:$A$2436,0)),"")</f>
        <v>5</v>
      </c>
      <c r="H104" s="67" t="str">
        <f aca="false">IFERROR(INDEX('Master Data'!$K$2:$K$2436,MATCH($B$3&amp;"|"&amp;D104&amp;"|"&amp;B104&amp;"|"&amp;C104,'Master Data'!$A$2:$A$2436,0))&amp;"","")</f>
        <v/>
      </c>
      <c r="I104" s="67" t="s">
        <v>140</v>
      </c>
      <c r="J104" s="67" t="s">
        <v>134</v>
      </c>
      <c r="K104" s="68"/>
      <c r="L104" s="68"/>
      <c r="M104" s="68"/>
      <c r="N104" s="69"/>
      <c r="O104" s="68"/>
    </row>
    <row r="105" customFormat="false" ht="40.5" hidden="false" customHeight="true" outlineLevel="0" collapsed="false">
      <c r="A105" s="66" t="n">
        <v>14</v>
      </c>
      <c r="B105" s="67" t="s">
        <v>90</v>
      </c>
      <c r="C105" s="66" t="s">
        <v>100</v>
      </c>
      <c r="D105" s="66" t="n">
        <v>2</v>
      </c>
      <c r="E105" s="67" t="str">
        <f aca="false">IFERROR(INDEX('Master Data'!$L$2:$L$2436,MATCH($B$3&amp;"|"&amp;D105&amp;"|"&amp;B105&amp;"|"&amp;C105,'Master Data'!$A$2:$A$2436,0)),"")</f>
        <v>Belum terisi</v>
      </c>
      <c r="F105" s="67" t="str">
        <f aca="false">IFERROR(INDEX('Master Data'!$F$2:$F$2436,MATCH($B$3&amp;"|"&amp;D105&amp;"|"&amp;B105&amp;"|"&amp;C105,'Master Data'!$A$2:$A$2436,0))&amp;"","")</f>
        <v>Tiny</v>
      </c>
      <c r="G105" s="66" t="n">
        <f aca="false">IFERROR(INDEX('Master Data'!$G$2:$G$2436,MATCH($B$3&amp;"|"&amp;D105&amp;"|"&amp;B105&amp;"|"&amp;C105,'Master Data'!$A$2:$A$2436,0)),"")</f>
        <v>5</v>
      </c>
      <c r="H105" s="67" t="str">
        <f aca="false">IFERROR(INDEX('Master Data'!$K$2:$K$2436,MATCH($B$3&amp;"|"&amp;D105&amp;"|"&amp;B105&amp;"|"&amp;C105,'Master Data'!$A$2:$A$2436,0))&amp;"","")</f>
        <v/>
      </c>
      <c r="I105" s="67" t="s">
        <v>140</v>
      </c>
      <c r="J105" s="67" t="s">
        <v>134</v>
      </c>
      <c r="K105" s="68"/>
      <c r="L105" s="68"/>
      <c r="M105" s="68"/>
      <c r="N105" s="69"/>
      <c r="O105" s="68"/>
    </row>
    <row r="106" customFormat="false" ht="40.5" hidden="false" customHeight="true" outlineLevel="0" collapsed="false">
      <c r="A106" s="66" t="n">
        <v>15</v>
      </c>
      <c r="B106" s="67" t="s">
        <v>90</v>
      </c>
      <c r="C106" s="66" t="s">
        <v>116</v>
      </c>
      <c r="D106" s="66" t="n">
        <v>3</v>
      </c>
      <c r="E106" s="67" t="str">
        <f aca="false">IFERROR(INDEX('Master Data'!$L$2:$L$2436,MATCH($B$3&amp;"|"&amp;D106&amp;"|"&amp;B106&amp;"|"&amp;C106,'Master Data'!$A$2:$A$2436,0)),"")</f>
        <v>Belum terisi</v>
      </c>
      <c r="F106" s="67" t="str">
        <f aca="false">IFERROR(INDEX('Master Data'!$F$2:$F$2436,MATCH($B$3&amp;"|"&amp;D106&amp;"|"&amp;B106&amp;"|"&amp;C106,'Master Data'!$A$2:$A$2436,0))&amp;"","")</f>
        <v>Little</v>
      </c>
      <c r="G106" s="66" t="n">
        <f aca="false">IFERROR(INDEX('Master Data'!$G$2:$G$2436,MATCH($B$3&amp;"|"&amp;D106&amp;"|"&amp;B106&amp;"|"&amp;C106,'Master Data'!$A$2:$A$2436,0)),"")</f>
        <v>4</v>
      </c>
      <c r="H106" s="67" t="str">
        <f aca="false">IFERROR(INDEX('Master Data'!$K$2:$K$2436,MATCH($B$3&amp;"|"&amp;D106&amp;"|"&amp;B106&amp;"|"&amp;C106,'Master Data'!$A$2:$A$2436,0))&amp;"","")</f>
        <v/>
      </c>
      <c r="I106" s="67" t="s">
        <v>141</v>
      </c>
      <c r="J106" s="67" t="s">
        <v>134</v>
      </c>
      <c r="K106" s="68"/>
      <c r="L106" s="68"/>
      <c r="M106" s="68"/>
      <c r="N106" s="69"/>
      <c r="O106" s="68"/>
    </row>
    <row r="107" customFormat="false" ht="40.5" hidden="false" customHeight="true" outlineLevel="0" collapsed="false">
      <c r="A107" s="66" t="n">
        <v>16</v>
      </c>
      <c r="B107" s="67" t="s">
        <v>90</v>
      </c>
      <c r="C107" s="66" t="s">
        <v>116</v>
      </c>
      <c r="D107" s="66" t="n">
        <v>5</v>
      </c>
      <c r="E107" s="67" t="str">
        <f aca="false">IFERROR(INDEX('Master Data'!$L$2:$L$2436,MATCH($B$3&amp;"|"&amp;D107&amp;"|"&amp;B107&amp;"|"&amp;C107,'Master Data'!$A$2:$A$2436,0)),"")</f>
        <v>Slot kosong</v>
      </c>
      <c r="F107" s="67" t="str">
        <f aca="false">IFERROR(INDEX('Master Data'!$F$2:$F$2436,MATCH($B$3&amp;"|"&amp;D107&amp;"|"&amp;B107&amp;"|"&amp;C107,'Master Data'!$A$2:$A$2436,0))&amp;"","")</f>
        <v/>
      </c>
      <c r="G107" s="66" t="n">
        <f aca="false">IFERROR(INDEX('Master Data'!$G$2:$G$2436,MATCH($B$3&amp;"|"&amp;D107&amp;"|"&amp;B107&amp;"|"&amp;C107,'Master Data'!$A$2:$A$2436,0)),"")</f>
        <v>4</v>
      </c>
      <c r="H107" s="67" t="str">
        <f aca="false">IFERROR(INDEX('Master Data'!$K$2:$K$2436,MATCH($B$3&amp;"|"&amp;D107&amp;"|"&amp;B107&amp;"|"&amp;C107,'Master Data'!$A$2:$A$2436,0))&amp;"","")</f>
        <v/>
      </c>
      <c r="I107" s="67" t="s">
        <v>141</v>
      </c>
      <c r="J107" s="67" t="s">
        <v>134</v>
      </c>
      <c r="K107" s="68"/>
      <c r="L107" s="68"/>
      <c r="M107" s="68"/>
      <c r="N107" s="69"/>
      <c r="O107" s="68"/>
    </row>
    <row r="108" customFormat="false" ht="27.75" hidden="false" customHeight="true" outlineLevel="0" collapsed="false">
      <c r="A108" s="66" t="n">
        <v>17</v>
      </c>
      <c r="B108" s="67" t="s">
        <v>90</v>
      </c>
      <c r="C108" s="66" t="s">
        <v>102</v>
      </c>
      <c r="D108" s="66" t="n">
        <v>2</v>
      </c>
      <c r="E108" s="67" t="str">
        <f aca="false">IFERROR(INDEX('Master Data'!$L$2:$L$2436,MATCH($B$3&amp;"|"&amp;D108&amp;"|"&amp;B108&amp;"|"&amp;C108,'Master Data'!$A$2:$A$2436,0)),"")</f>
        <v>Belum terisi</v>
      </c>
      <c r="F108" s="67" t="str">
        <f aca="false">IFERROR(INDEX('Master Data'!$F$2:$F$2436,MATCH($B$3&amp;"|"&amp;D108&amp;"|"&amp;B108&amp;"|"&amp;C108,'Master Data'!$A$2:$A$2436,0))&amp;"","")</f>
        <v>Tiny</v>
      </c>
      <c r="G108" s="66" t="n">
        <f aca="false">IFERROR(INDEX('Master Data'!$G$2:$G$2436,MATCH($B$3&amp;"|"&amp;D108&amp;"|"&amp;B108&amp;"|"&amp;C108,'Master Data'!$A$2:$A$2436,0)),"")</f>
        <v>5</v>
      </c>
      <c r="H108" s="67" t="str">
        <f aca="false">IFERROR(INDEX('Master Data'!$K$2:$K$2436,MATCH($B$3&amp;"|"&amp;D108&amp;"|"&amp;B108&amp;"|"&amp;C108,'Master Data'!$A$2:$A$2436,0))&amp;"","")</f>
        <v/>
      </c>
      <c r="I108" s="67" t="s">
        <v>142</v>
      </c>
      <c r="J108" s="67" t="s">
        <v>134</v>
      </c>
      <c r="K108" s="68"/>
      <c r="L108" s="68"/>
      <c r="M108" s="68"/>
      <c r="N108" s="69"/>
      <c r="O108" s="68"/>
    </row>
    <row r="109" customFormat="false" ht="15.75" hidden="false" customHeight="true" outlineLevel="0" collapsed="false">
      <c r="A109" s="66" t="n">
        <v>18</v>
      </c>
      <c r="B109" s="67" t="s">
        <v>90</v>
      </c>
      <c r="C109" s="66" t="s">
        <v>103</v>
      </c>
      <c r="D109" s="66" t="n">
        <v>1</v>
      </c>
      <c r="E109" s="67" t="str">
        <f aca="false">IFERROR(INDEX('Master Data'!$L$2:$L$2436,MATCH($B$3&amp;"|"&amp;D109&amp;"|"&amp;B109&amp;"|"&amp;C109,'Master Data'!$A$2:$A$2436,0)),"")</f>
        <v>Slot kosong</v>
      </c>
      <c r="F109" s="67" t="str">
        <f aca="false">IFERROR(INDEX('Master Data'!$F$2:$F$2436,MATCH($B$3&amp;"|"&amp;D109&amp;"|"&amp;B109&amp;"|"&amp;C109,'Master Data'!$A$2:$A$2436,0))&amp;"","")</f>
        <v/>
      </c>
      <c r="G109" s="66" t="n">
        <f aca="false">IFERROR(INDEX('Master Data'!$G$2:$G$2436,MATCH($B$3&amp;"|"&amp;D109&amp;"|"&amp;B109&amp;"|"&amp;C109,'Master Data'!$A$2:$A$2436,0)),"")</f>
        <v>5</v>
      </c>
      <c r="H109" s="67" t="str">
        <f aca="false">IFERROR(INDEX('Master Data'!$K$2:$K$2436,MATCH($B$3&amp;"|"&amp;D109&amp;"|"&amp;B109&amp;"|"&amp;C109,'Master Data'!$A$2:$A$2436,0))&amp;"","")</f>
        <v/>
      </c>
      <c r="I109" s="67" t="s">
        <v>143</v>
      </c>
      <c r="J109" s="67" t="s">
        <v>144</v>
      </c>
      <c r="K109" s="68"/>
      <c r="L109" s="68"/>
      <c r="M109" s="68"/>
      <c r="N109" s="69"/>
      <c r="O109" s="68"/>
    </row>
    <row r="110" customFormat="false" ht="15.75" hidden="false" customHeight="true" outlineLevel="0" collapsed="false">
      <c r="A110" s="66" t="n">
        <v>19</v>
      </c>
      <c r="B110" s="67" t="s">
        <v>90</v>
      </c>
      <c r="C110" s="66" t="s">
        <v>106</v>
      </c>
      <c r="D110" s="66" t="n">
        <v>2</v>
      </c>
      <c r="E110" s="67" t="str">
        <f aca="false">IFERROR(INDEX('Master Data'!$L$2:$L$2436,MATCH($B$3&amp;"|"&amp;D110&amp;"|"&amp;B110&amp;"|"&amp;C110,'Master Data'!$A$2:$A$2436,0)),"")</f>
        <v>Belum terisi</v>
      </c>
      <c r="F110" s="67" t="str">
        <f aca="false">IFERROR(INDEX('Master Data'!$F$2:$F$2436,MATCH($B$3&amp;"|"&amp;D110&amp;"|"&amp;B110&amp;"|"&amp;C110,'Master Data'!$A$2:$A$2436,0))&amp;"","")</f>
        <v>Tiny</v>
      </c>
      <c r="G110" s="66" t="n">
        <f aca="false">IFERROR(INDEX('Master Data'!$G$2:$G$2436,MATCH($B$3&amp;"|"&amp;D110&amp;"|"&amp;B110&amp;"|"&amp;C110,'Master Data'!$A$2:$A$2436,0)),"")</f>
        <v>5</v>
      </c>
      <c r="H110" s="67" t="str">
        <f aca="false">IFERROR(INDEX('Master Data'!$K$2:$K$2436,MATCH($B$3&amp;"|"&amp;D110&amp;"|"&amp;B110&amp;"|"&amp;C110,'Master Data'!$A$2:$A$2436,0))&amp;"","")</f>
        <v/>
      </c>
      <c r="I110" s="67" t="s">
        <v>145</v>
      </c>
      <c r="J110" s="67" t="s">
        <v>134</v>
      </c>
      <c r="K110" s="68"/>
      <c r="L110" s="68"/>
      <c r="M110" s="68"/>
      <c r="N110" s="69"/>
      <c r="O110" s="68"/>
    </row>
    <row r="111" customFormat="false" ht="27.75" hidden="false" customHeight="true" outlineLevel="0" collapsed="false">
      <c r="A111" s="66" t="n">
        <v>20</v>
      </c>
      <c r="B111" s="67" t="s">
        <v>90</v>
      </c>
      <c r="C111" s="66" t="s">
        <v>107</v>
      </c>
      <c r="D111" s="66" t="n">
        <v>2</v>
      </c>
      <c r="E111" s="67" t="str">
        <f aca="false">IFERROR(INDEX('Master Data'!$L$2:$L$2436,MATCH($B$3&amp;"|"&amp;D111&amp;"|"&amp;B111&amp;"|"&amp;C111,'Master Data'!$A$2:$A$2436,0)),"")</f>
        <v>Belum terisi</v>
      </c>
      <c r="F111" s="67" t="str">
        <f aca="false">IFERROR(INDEX('Master Data'!$F$2:$F$2436,MATCH($B$3&amp;"|"&amp;D111&amp;"|"&amp;B111&amp;"|"&amp;C111,'Master Data'!$A$2:$A$2436,0))&amp;"","")</f>
        <v>Tiny</v>
      </c>
      <c r="G111" s="66" t="n">
        <f aca="false">IFERROR(INDEX('Master Data'!$G$2:$G$2436,MATCH($B$3&amp;"|"&amp;D111&amp;"|"&amp;B111&amp;"|"&amp;C111,'Master Data'!$A$2:$A$2436,0)),"")</f>
        <v>5</v>
      </c>
      <c r="H111" s="67" t="str">
        <f aca="false">IFERROR(INDEX('Master Data'!$K$2:$K$2436,MATCH($B$3&amp;"|"&amp;D111&amp;"|"&amp;B111&amp;"|"&amp;C111,'Master Data'!$A$2:$A$2436,0))&amp;"","")</f>
        <v/>
      </c>
      <c r="I111" s="67" t="s">
        <v>146</v>
      </c>
      <c r="J111" s="67" t="s">
        <v>134</v>
      </c>
      <c r="K111" s="68"/>
      <c r="L111" s="68"/>
      <c r="M111" s="68"/>
      <c r="N111" s="69"/>
      <c r="O111" s="68"/>
    </row>
    <row r="112" customFormat="false" ht="40.5" hidden="false" customHeight="true" outlineLevel="0" collapsed="false">
      <c r="A112" s="66" t="n">
        <v>21</v>
      </c>
      <c r="B112" s="67" t="s">
        <v>91</v>
      </c>
      <c r="C112" s="66" t="s">
        <v>111</v>
      </c>
      <c r="D112" s="66" t="n">
        <v>4</v>
      </c>
      <c r="E112" s="67" t="str">
        <f aca="false">IFERROR(INDEX('Master Data'!$L$2:$L$2436,MATCH($B$3&amp;"|"&amp;D112&amp;"|"&amp;B112&amp;"|"&amp;C112,'Master Data'!$A$2:$A$2436,0)),"")</f>
        <v>Belum terisi</v>
      </c>
      <c r="F112" s="67" t="str">
        <f aca="false">IFERROR(INDEX('Master Data'!$F$2:$F$2436,MATCH($B$3&amp;"|"&amp;D112&amp;"|"&amp;B112&amp;"|"&amp;C112,'Master Data'!$A$2:$A$2436,0))&amp;"","")</f>
        <v>Kids</v>
      </c>
      <c r="G112" s="66" t="n">
        <f aca="false">IFERROR(INDEX('Master Data'!$G$2:$G$2436,MATCH($B$3&amp;"|"&amp;D112&amp;"|"&amp;B112&amp;"|"&amp;C112,'Master Data'!$A$2:$A$2436,0)),"")</f>
        <v>4</v>
      </c>
      <c r="H112" s="67" t="str">
        <f aca="false">IFERROR(INDEX('Master Data'!$K$2:$K$2436,MATCH($B$3&amp;"|"&amp;D112&amp;"|"&amp;B112&amp;"|"&amp;C112,'Master Data'!$A$2:$A$2436,0))&amp;"","")</f>
        <v/>
      </c>
      <c r="I112" s="67" t="s">
        <v>147</v>
      </c>
      <c r="J112" s="67" t="s">
        <v>134</v>
      </c>
      <c r="K112" s="68"/>
      <c r="L112" s="68"/>
      <c r="M112" s="68"/>
      <c r="N112" s="69"/>
      <c r="O112" s="68"/>
    </row>
    <row r="113" customFormat="false" ht="40.5" hidden="false" customHeight="true" outlineLevel="0" collapsed="false">
      <c r="A113" s="66" t="n">
        <v>22</v>
      </c>
      <c r="B113" s="67" t="s">
        <v>91</v>
      </c>
      <c r="C113" s="66" t="s">
        <v>111</v>
      </c>
      <c r="D113" s="66" t="n">
        <v>5</v>
      </c>
      <c r="E113" s="67" t="str">
        <f aca="false">IFERROR(INDEX('Master Data'!$L$2:$L$2436,MATCH($B$3&amp;"|"&amp;D113&amp;"|"&amp;B113&amp;"|"&amp;C113,'Master Data'!$A$2:$A$2436,0)),"")</f>
        <v>Slot kosong</v>
      </c>
      <c r="F113" s="67" t="str">
        <f aca="false">IFERROR(INDEX('Master Data'!$F$2:$F$2436,MATCH($B$3&amp;"|"&amp;D113&amp;"|"&amp;B113&amp;"|"&amp;C113,'Master Data'!$A$2:$A$2436,0))&amp;"","")</f>
        <v/>
      </c>
      <c r="G113" s="66" t="n">
        <f aca="false">IFERROR(INDEX('Master Data'!$G$2:$G$2436,MATCH($B$3&amp;"|"&amp;D113&amp;"|"&amp;B113&amp;"|"&amp;C113,'Master Data'!$A$2:$A$2436,0)),"")</f>
        <v>4</v>
      </c>
      <c r="H113" s="67" t="str">
        <f aca="false">IFERROR(INDEX('Master Data'!$K$2:$K$2436,MATCH($B$3&amp;"|"&amp;D113&amp;"|"&amp;B113&amp;"|"&amp;C113,'Master Data'!$A$2:$A$2436,0))&amp;"","")</f>
        <v/>
      </c>
      <c r="I113" s="67" t="s">
        <v>147</v>
      </c>
      <c r="J113" s="67" t="s">
        <v>134</v>
      </c>
      <c r="K113" s="68"/>
      <c r="L113" s="68"/>
      <c r="M113" s="68"/>
      <c r="N113" s="69"/>
      <c r="O113" s="68"/>
    </row>
    <row r="114" customFormat="false" ht="40.5" hidden="false" customHeight="true" outlineLevel="0" collapsed="false">
      <c r="A114" s="66" t="n">
        <v>23</v>
      </c>
      <c r="B114" s="67" t="s">
        <v>91</v>
      </c>
      <c r="C114" s="66" t="s">
        <v>97</v>
      </c>
      <c r="D114" s="66" t="n">
        <v>1</v>
      </c>
      <c r="E114" s="67" t="str">
        <f aca="false">IFERROR(INDEX('Master Data'!$L$2:$L$2436,MATCH($B$3&amp;"|"&amp;D114&amp;"|"&amp;B114&amp;"|"&amp;C114,'Master Data'!$A$2:$A$2436,0)),"")</f>
        <v>Slot kosong</v>
      </c>
      <c r="F114" s="67" t="str">
        <f aca="false">IFERROR(INDEX('Master Data'!$F$2:$F$2436,MATCH($B$3&amp;"|"&amp;D114&amp;"|"&amp;B114&amp;"|"&amp;C114,'Master Data'!$A$2:$A$2436,0))&amp;"","")</f>
        <v/>
      </c>
      <c r="G114" s="66" t="n">
        <f aca="false">IFERROR(INDEX('Master Data'!$G$2:$G$2436,MATCH($B$3&amp;"|"&amp;D114&amp;"|"&amp;B114&amp;"|"&amp;C114,'Master Data'!$A$2:$A$2436,0)),"")</f>
        <v>5</v>
      </c>
      <c r="H114" s="67" t="str">
        <f aca="false">IFERROR(INDEX('Master Data'!$K$2:$K$2436,MATCH($B$3&amp;"|"&amp;D114&amp;"|"&amp;B114&amp;"|"&amp;C114,'Master Data'!$A$2:$A$2436,0))&amp;"","")</f>
        <v/>
      </c>
      <c r="I114" s="67" t="s">
        <v>147</v>
      </c>
      <c r="J114" s="67" t="s">
        <v>134</v>
      </c>
      <c r="K114" s="68"/>
      <c r="L114" s="68"/>
      <c r="M114" s="68"/>
      <c r="N114" s="69"/>
      <c r="O114" s="68"/>
    </row>
    <row r="115" customFormat="false" ht="27.75" hidden="false" customHeight="true" outlineLevel="0" collapsed="false">
      <c r="A115" s="66" t="n">
        <v>24</v>
      </c>
      <c r="B115" s="67" t="s">
        <v>91</v>
      </c>
      <c r="C115" s="66" t="s">
        <v>112</v>
      </c>
      <c r="D115" s="66" t="n">
        <v>4</v>
      </c>
      <c r="E115" s="67" t="str">
        <f aca="false">IFERROR(INDEX('Master Data'!$L$2:$L$2436,MATCH($B$3&amp;"|"&amp;D115&amp;"|"&amp;B115&amp;"|"&amp;C115,'Master Data'!$A$2:$A$2436,0)),"")</f>
        <v>Belum terisi</v>
      </c>
      <c r="F115" s="67" t="str">
        <f aca="false">IFERROR(INDEX('Master Data'!$F$2:$F$2436,MATCH($B$3&amp;"|"&amp;D115&amp;"|"&amp;B115&amp;"|"&amp;C115,'Master Data'!$A$2:$A$2436,0))&amp;"","")</f>
        <v>Kids</v>
      </c>
      <c r="G115" s="66" t="n">
        <f aca="false">IFERROR(INDEX('Master Data'!$G$2:$G$2436,MATCH($B$3&amp;"|"&amp;D115&amp;"|"&amp;B115&amp;"|"&amp;C115,'Master Data'!$A$2:$A$2436,0)),"")</f>
        <v>4</v>
      </c>
      <c r="H115" s="67" t="str">
        <f aca="false">IFERROR(INDEX('Master Data'!$K$2:$K$2436,MATCH($B$3&amp;"|"&amp;D115&amp;"|"&amp;B115&amp;"|"&amp;C115,'Master Data'!$A$2:$A$2436,0))&amp;"","")</f>
        <v/>
      </c>
      <c r="I115" s="67" t="s">
        <v>148</v>
      </c>
      <c r="J115" s="67" t="s">
        <v>134</v>
      </c>
      <c r="K115" s="68"/>
      <c r="L115" s="68"/>
      <c r="M115" s="68"/>
      <c r="N115" s="69"/>
      <c r="O115" s="68"/>
    </row>
    <row r="116" customFormat="false" ht="27.75" hidden="false" customHeight="true" outlineLevel="0" collapsed="false">
      <c r="A116" s="66" t="n">
        <v>25</v>
      </c>
      <c r="B116" s="67" t="s">
        <v>91</v>
      </c>
      <c r="C116" s="66" t="s">
        <v>112</v>
      </c>
      <c r="D116" s="66" t="n">
        <v>5</v>
      </c>
      <c r="E116" s="67" t="str">
        <f aca="false">IFERROR(INDEX('Master Data'!$L$2:$L$2436,MATCH($B$3&amp;"|"&amp;D116&amp;"|"&amp;B116&amp;"|"&amp;C116,'Master Data'!$A$2:$A$2436,0)),"")</f>
        <v>Slot kosong</v>
      </c>
      <c r="F116" s="67" t="str">
        <f aca="false">IFERROR(INDEX('Master Data'!$F$2:$F$2436,MATCH($B$3&amp;"|"&amp;D116&amp;"|"&amp;B116&amp;"|"&amp;C116,'Master Data'!$A$2:$A$2436,0))&amp;"","")</f>
        <v/>
      </c>
      <c r="G116" s="66" t="n">
        <f aca="false">IFERROR(INDEX('Master Data'!$G$2:$G$2436,MATCH($B$3&amp;"|"&amp;D116&amp;"|"&amp;B116&amp;"|"&amp;C116,'Master Data'!$A$2:$A$2436,0)),"")</f>
        <v>4</v>
      </c>
      <c r="H116" s="67" t="str">
        <f aca="false">IFERROR(INDEX('Master Data'!$K$2:$K$2436,MATCH($B$3&amp;"|"&amp;D116&amp;"|"&amp;B116&amp;"|"&amp;C116,'Master Data'!$A$2:$A$2436,0))&amp;"","")</f>
        <v/>
      </c>
      <c r="I116" s="67" t="s">
        <v>148</v>
      </c>
      <c r="J116" s="67" t="s">
        <v>134</v>
      </c>
      <c r="K116" s="68"/>
      <c r="L116" s="68"/>
      <c r="M116" s="68"/>
      <c r="N116" s="69"/>
      <c r="O116" s="68"/>
    </row>
    <row r="117" customFormat="false" ht="27.75" hidden="false" customHeight="true" outlineLevel="0" collapsed="false">
      <c r="A117" s="66" t="n">
        <v>26</v>
      </c>
      <c r="B117" s="67" t="s">
        <v>91</v>
      </c>
      <c r="C117" s="66" t="s">
        <v>98</v>
      </c>
      <c r="D117" s="66" t="n">
        <v>1</v>
      </c>
      <c r="E117" s="67" t="str">
        <f aca="false">IFERROR(INDEX('Master Data'!$L$2:$L$2436,MATCH($B$3&amp;"|"&amp;D117&amp;"|"&amp;B117&amp;"|"&amp;C117,'Master Data'!$A$2:$A$2436,0)),"")</f>
        <v>Slot kosong</v>
      </c>
      <c r="F117" s="67" t="str">
        <f aca="false">IFERROR(INDEX('Master Data'!$F$2:$F$2436,MATCH($B$3&amp;"|"&amp;D117&amp;"|"&amp;B117&amp;"|"&amp;C117,'Master Data'!$A$2:$A$2436,0))&amp;"","")</f>
        <v/>
      </c>
      <c r="G117" s="66" t="n">
        <f aca="false">IFERROR(INDEX('Master Data'!$G$2:$G$2436,MATCH($B$3&amp;"|"&amp;D117&amp;"|"&amp;B117&amp;"|"&amp;C117,'Master Data'!$A$2:$A$2436,0)),"")</f>
        <v>5</v>
      </c>
      <c r="H117" s="67" t="str">
        <f aca="false">IFERROR(INDEX('Master Data'!$K$2:$K$2436,MATCH($B$3&amp;"|"&amp;D117&amp;"|"&amp;B117&amp;"|"&amp;C117,'Master Data'!$A$2:$A$2436,0))&amp;"","")</f>
        <v/>
      </c>
      <c r="I117" s="67" t="s">
        <v>149</v>
      </c>
      <c r="J117" s="67" t="s">
        <v>134</v>
      </c>
      <c r="K117" s="68"/>
      <c r="L117" s="68"/>
      <c r="M117" s="68"/>
      <c r="N117" s="69"/>
      <c r="O117" s="68"/>
    </row>
    <row r="118" customFormat="false" ht="27.75" hidden="false" customHeight="true" outlineLevel="0" collapsed="false">
      <c r="A118" s="66" t="n">
        <v>27</v>
      </c>
      <c r="B118" s="67" t="s">
        <v>91</v>
      </c>
      <c r="C118" s="66" t="s">
        <v>113</v>
      </c>
      <c r="D118" s="66" t="n">
        <v>4</v>
      </c>
      <c r="E118" s="67" t="str">
        <f aca="false">IFERROR(INDEX('Master Data'!$L$2:$L$2436,MATCH($B$3&amp;"|"&amp;D118&amp;"|"&amp;B118&amp;"|"&amp;C118,'Master Data'!$A$2:$A$2436,0)),"")</f>
        <v>Belum terisi</v>
      </c>
      <c r="F118" s="67" t="str">
        <f aca="false">IFERROR(INDEX('Master Data'!$F$2:$F$2436,MATCH($B$3&amp;"|"&amp;D118&amp;"|"&amp;B118&amp;"|"&amp;C118,'Master Data'!$A$2:$A$2436,0))&amp;"","")</f>
        <v>Kids</v>
      </c>
      <c r="G118" s="66" t="n">
        <f aca="false">IFERROR(INDEX('Master Data'!$G$2:$G$2436,MATCH($B$3&amp;"|"&amp;D118&amp;"|"&amp;B118&amp;"|"&amp;C118,'Master Data'!$A$2:$A$2436,0)),"")</f>
        <v>4</v>
      </c>
      <c r="H118" s="67" t="str">
        <f aca="false">IFERROR(INDEX('Master Data'!$K$2:$K$2436,MATCH($B$3&amp;"|"&amp;D118&amp;"|"&amp;B118&amp;"|"&amp;C118,'Master Data'!$A$2:$A$2436,0))&amp;"","")</f>
        <v/>
      </c>
      <c r="I118" s="67" t="s">
        <v>150</v>
      </c>
      <c r="J118" s="67" t="s">
        <v>134</v>
      </c>
      <c r="K118" s="68"/>
      <c r="L118" s="68"/>
      <c r="M118" s="68"/>
      <c r="N118" s="69"/>
      <c r="O118" s="68"/>
    </row>
    <row r="119" customFormat="false" ht="27.75" hidden="false" customHeight="true" outlineLevel="0" collapsed="false">
      <c r="A119" s="66" t="n">
        <v>28</v>
      </c>
      <c r="B119" s="67" t="s">
        <v>91</v>
      </c>
      <c r="C119" s="66" t="s">
        <v>113</v>
      </c>
      <c r="D119" s="66" t="n">
        <v>5</v>
      </c>
      <c r="E119" s="67" t="str">
        <f aca="false">IFERROR(INDEX('Master Data'!$L$2:$L$2436,MATCH($B$3&amp;"|"&amp;D119&amp;"|"&amp;B119&amp;"|"&amp;C119,'Master Data'!$A$2:$A$2436,0)),"")</f>
        <v>Slot kosong</v>
      </c>
      <c r="F119" s="67" t="str">
        <f aca="false">IFERROR(INDEX('Master Data'!$F$2:$F$2436,MATCH($B$3&amp;"|"&amp;D119&amp;"|"&amp;B119&amp;"|"&amp;C119,'Master Data'!$A$2:$A$2436,0))&amp;"","")</f>
        <v/>
      </c>
      <c r="G119" s="66" t="n">
        <f aca="false">IFERROR(INDEX('Master Data'!$G$2:$G$2436,MATCH($B$3&amp;"|"&amp;D119&amp;"|"&amp;B119&amp;"|"&amp;C119,'Master Data'!$A$2:$A$2436,0)),"")</f>
        <v>4</v>
      </c>
      <c r="H119" s="67" t="str">
        <f aca="false">IFERROR(INDEX('Master Data'!$K$2:$K$2436,MATCH($B$3&amp;"|"&amp;D119&amp;"|"&amp;B119&amp;"|"&amp;C119,'Master Data'!$A$2:$A$2436,0))&amp;"","")</f>
        <v/>
      </c>
      <c r="I119" s="67" t="s">
        <v>150</v>
      </c>
      <c r="J119" s="67" t="s">
        <v>134</v>
      </c>
      <c r="K119" s="68"/>
      <c r="L119" s="68"/>
      <c r="M119" s="68"/>
      <c r="N119" s="69"/>
      <c r="O119" s="68"/>
    </row>
    <row r="120" customFormat="false" ht="27.75" hidden="false" customHeight="true" outlineLevel="0" collapsed="false">
      <c r="A120" s="66" t="n">
        <v>29</v>
      </c>
      <c r="B120" s="67" t="s">
        <v>91</v>
      </c>
      <c r="C120" s="66" t="s">
        <v>114</v>
      </c>
      <c r="D120" s="66" t="n">
        <v>4</v>
      </c>
      <c r="E120" s="67" t="str">
        <f aca="false">IFERROR(INDEX('Master Data'!$L$2:$L$2436,MATCH($B$3&amp;"|"&amp;D120&amp;"|"&amp;B120&amp;"|"&amp;C120,'Master Data'!$A$2:$A$2436,0)),"")</f>
        <v>Belum terisi</v>
      </c>
      <c r="F120" s="67" t="str">
        <f aca="false">IFERROR(INDEX('Master Data'!$F$2:$F$2436,MATCH($B$3&amp;"|"&amp;D120&amp;"|"&amp;B120&amp;"|"&amp;C120,'Master Data'!$A$2:$A$2436,0))&amp;"","")</f>
        <v>Kids</v>
      </c>
      <c r="G120" s="66" t="n">
        <f aca="false">IFERROR(INDEX('Master Data'!$G$2:$G$2436,MATCH($B$3&amp;"|"&amp;D120&amp;"|"&amp;B120&amp;"|"&amp;C120,'Master Data'!$A$2:$A$2436,0)),"")</f>
        <v>4</v>
      </c>
      <c r="H120" s="67" t="str">
        <f aca="false">IFERROR(INDEX('Master Data'!$K$2:$K$2436,MATCH($B$3&amp;"|"&amp;D120&amp;"|"&amp;B120&amp;"|"&amp;C120,'Master Data'!$A$2:$A$2436,0))&amp;"","")</f>
        <v/>
      </c>
      <c r="I120" s="67" t="s">
        <v>150</v>
      </c>
      <c r="J120" s="67" t="s">
        <v>134</v>
      </c>
      <c r="K120" s="68"/>
      <c r="L120" s="68"/>
      <c r="M120" s="68"/>
      <c r="N120" s="69"/>
      <c r="O120" s="68"/>
    </row>
    <row r="121" customFormat="false" ht="27.75" hidden="false" customHeight="true" outlineLevel="0" collapsed="false">
      <c r="A121" s="66" t="n">
        <v>30</v>
      </c>
      <c r="B121" s="67" t="s">
        <v>91</v>
      </c>
      <c r="C121" s="66" t="s">
        <v>114</v>
      </c>
      <c r="D121" s="66" t="n">
        <v>5</v>
      </c>
      <c r="E121" s="67" t="str">
        <f aca="false">IFERROR(INDEX('Master Data'!$L$2:$L$2436,MATCH($B$3&amp;"|"&amp;D121&amp;"|"&amp;B121&amp;"|"&amp;C121,'Master Data'!$A$2:$A$2436,0)),"")</f>
        <v>Slot kosong</v>
      </c>
      <c r="F121" s="67" t="str">
        <f aca="false">IFERROR(INDEX('Master Data'!$F$2:$F$2436,MATCH($B$3&amp;"|"&amp;D121&amp;"|"&amp;B121&amp;"|"&amp;C121,'Master Data'!$A$2:$A$2436,0))&amp;"","")</f>
        <v/>
      </c>
      <c r="G121" s="66" t="n">
        <f aca="false">IFERROR(INDEX('Master Data'!$G$2:$G$2436,MATCH($B$3&amp;"|"&amp;D121&amp;"|"&amp;B121&amp;"|"&amp;C121,'Master Data'!$A$2:$A$2436,0)),"")</f>
        <v>4</v>
      </c>
      <c r="H121" s="67" t="str">
        <f aca="false">IFERROR(INDEX('Master Data'!$K$2:$K$2436,MATCH($B$3&amp;"|"&amp;D121&amp;"|"&amp;B121&amp;"|"&amp;C121,'Master Data'!$A$2:$A$2436,0))&amp;"","")</f>
        <v/>
      </c>
      <c r="I121" s="67" t="s">
        <v>150</v>
      </c>
      <c r="J121" s="67" t="s">
        <v>134</v>
      </c>
      <c r="K121" s="68"/>
      <c r="L121" s="68"/>
      <c r="M121" s="68"/>
      <c r="N121" s="69"/>
      <c r="O121" s="68"/>
    </row>
    <row r="122" customFormat="false" ht="27.75" hidden="false" customHeight="true" outlineLevel="0" collapsed="false">
      <c r="A122" s="66" t="n">
        <v>31</v>
      </c>
      <c r="B122" s="67" t="s">
        <v>91</v>
      </c>
      <c r="C122" s="66" t="s">
        <v>100</v>
      </c>
      <c r="D122" s="66" t="n">
        <v>2</v>
      </c>
      <c r="E122" s="67" t="str">
        <f aca="false">IFERROR(INDEX('Master Data'!$L$2:$L$2436,MATCH($B$3&amp;"|"&amp;D122&amp;"|"&amp;B122&amp;"|"&amp;C122,'Master Data'!$A$2:$A$2436,0)),"")</f>
        <v>Belum terisi</v>
      </c>
      <c r="F122" s="67" t="str">
        <f aca="false">IFERROR(INDEX('Master Data'!$F$2:$F$2436,MATCH($B$3&amp;"|"&amp;D122&amp;"|"&amp;B122&amp;"|"&amp;C122,'Master Data'!$A$2:$A$2436,0))&amp;"","")</f>
        <v>Tiny</v>
      </c>
      <c r="G122" s="66" t="n">
        <f aca="false">IFERROR(INDEX('Master Data'!$G$2:$G$2436,MATCH($B$3&amp;"|"&amp;D122&amp;"|"&amp;B122&amp;"|"&amp;C122,'Master Data'!$A$2:$A$2436,0)),"")</f>
        <v>5</v>
      </c>
      <c r="H122" s="67" t="str">
        <f aca="false">IFERROR(INDEX('Master Data'!$K$2:$K$2436,MATCH($B$3&amp;"|"&amp;D122&amp;"|"&amp;B122&amp;"|"&amp;C122,'Master Data'!$A$2:$A$2436,0))&amp;"","")</f>
        <v/>
      </c>
      <c r="I122" s="67" t="s">
        <v>151</v>
      </c>
      <c r="J122" s="67" t="s">
        <v>134</v>
      </c>
      <c r="K122" s="68"/>
      <c r="L122" s="68"/>
      <c r="M122" s="68"/>
      <c r="N122" s="69"/>
      <c r="O122" s="68"/>
    </row>
    <row r="123" customFormat="false" ht="52.5" hidden="false" customHeight="true" outlineLevel="0" collapsed="false">
      <c r="A123" s="66" t="n">
        <v>32</v>
      </c>
      <c r="B123" s="67" t="s">
        <v>91</v>
      </c>
      <c r="C123" s="66" t="s">
        <v>116</v>
      </c>
      <c r="D123" s="66" t="n">
        <v>3</v>
      </c>
      <c r="E123" s="67" t="str">
        <f aca="false">IFERROR(INDEX('Master Data'!$L$2:$L$2436,MATCH($B$3&amp;"|"&amp;D123&amp;"|"&amp;B123&amp;"|"&amp;C123,'Master Data'!$A$2:$A$2436,0)),"")</f>
        <v>Belum terisi</v>
      </c>
      <c r="F123" s="67" t="str">
        <f aca="false">IFERROR(INDEX('Master Data'!$F$2:$F$2436,MATCH($B$3&amp;"|"&amp;D123&amp;"|"&amp;B123&amp;"|"&amp;C123,'Master Data'!$A$2:$A$2436,0))&amp;"","")</f>
        <v>Little</v>
      </c>
      <c r="G123" s="66" t="n">
        <f aca="false">IFERROR(INDEX('Master Data'!$G$2:$G$2436,MATCH($B$3&amp;"|"&amp;D123&amp;"|"&amp;B123&amp;"|"&amp;C123,'Master Data'!$A$2:$A$2436,0)),"")</f>
        <v>4</v>
      </c>
      <c r="H123" s="67" t="str">
        <f aca="false">IFERROR(INDEX('Master Data'!$K$2:$K$2436,MATCH($B$3&amp;"|"&amp;D123&amp;"|"&amp;B123&amp;"|"&amp;C123,'Master Data'!$A$2:$A$2436,0))&amp;"","")</f>
        <v/>
      </c>
      <c r="I123" s="67" t="s">
        <v>152</v>
      </c>
      <c r="J123" s="67" t="s">
        <v>134</v>
      </c>
      <c r="K123" s="68"/>
      <c r="L123" s="68"/>
      <c r="M123" s="68"/>
      <c r="N123" s="69"/>
      <c r="O123" s="68"/>
    </row>
    <row r="124" customFormat="false" ht="52.5" hidden="false" customHeight="true" outlineLevel="0" collapsed="false">
      <c r="A124" s="66" t="n">
        <v>33</v>
      </c>
      <c r="B124" s="67" t="s">
        <v>91</v>
      </c>
      <c r="C124" s="66" t="s">
        <v>116</v>
      </c>
      <c r="D124" s="66" t="n">
        <v>5</v>
      </c>
      <c r="E124" s="67" t="str">
        <f aca="false">IFERROR(INDEX('Master Data'!$L$2:$L$2436,MATCH($B$3&amp;"|"&amp;D124&amp;"|"&amp;B124&amp;"|"&amp;C124,'Master Data'!$A$2:$A$2436,0)),"")</f>
        <v>Slot kosong</v>
      </c>
      <c r="F124" s="67" t="str">
        <f aca="false">IFERROR(INDEX('Master Data'!$F$2:$F$2436,MATCH($B$3&amp;"|"&amp;D124&amp;"|"&amp;B124&amp;"|"&amp;C124,'Master Data'!$A$2:$A$2436,0))&amp;"","")</f>
        <v/>
      </c>
      <c r="G124" s="66" t="n">
        <f aca="false">IFERROR(INDEX('Master Data'!$G$2:$G$2436,MATCH($B$3&amp;"|"&amp;D124&amp;"|"&amp;B124&amp;"|"&amp;C124,'Master Data'!$A$2:$A$2436,0)),"")</f>
        <v>4</v>
      </c>
      <c r="H124" s="67" t="str">
        <f aca="false">IFERROR(INDEX('Master Data'!$K$2:$K$2436,MATCH($B$3&amp;"|"&amp;D124&amp;"|"&amp;B124&amp;"|"&amp;C124,'Master Data'!$A$2:$A$2436,0))&amp;"","")</f>
        <v/>
      </c>
      <c r="I124" s="67" t="s">
        <v>152</v>
      </c>
      <c r="J124" s="67" t="s">
        <v>134</v>
      </c>
      <c r="K124" s="68"/>
      <c r="L124" s="68"/>
      <c r="M124" s="68"/>
      <c r="N124" s="69"/>
      <c r="O124" s="68"/>
    </row>
    <row r="125" customFormat="false" ht="15.75" hidden="false" customHeight="true" outlineLevel="0" collapsed="false">
      <c r="A125" s="66" t="n">
        <v>34</v>
      </c>
      <c r="B125" s="67" t="s">
        <v>91</v>
      </c>
      <c r="C125" s="66" t="s">
        <v>102</v>
      </c>
      <c r="D125" s="66" t="n">
        <v>1</v>
      </c>
      <c r="E125" s="67" t="str">
        <f aca="false">IFERROR(INDEX('Master Data'!$L$2:$L$2436,MATCH($B$3&amp;"|"&amp;D125&amp;"|"&amp;B125&amp;"|"&amp;C125,'Master Data'!$A$2:$A$2436,0)),"")</f>
        <v>Slot kosong</v>
      </c>
      <c r="F125" s="67" t="str">
        <f aca="false">IFERROR(INDEX('Master Data'!$F$2:$F$2436,MATCH($B$3&amp;"|"&amp;D125&amp;"|"&amp;B125&amp;"|"&amp;C125,'Master Data'!$A$2:$A$2436,0))&amp;"","")</f>
        <v/>
      </c>
      <c r="G125" s="66" t="n">
        <f aca="false">IFERROR(INDEX('Master Data'!$G$2:$G$2436,MATCH($B$3&amp;"|"&amp;D125&amp;"|"&amp;B125&amp;"|"&amp;C125,'Master Data'!$A$2:$A$2436,0)),"")</f>
        <v>5</v>
      </c>
      <c r="H125" s="67" t="str">
        <f aca="false">IFERROR(INDEX('Master Data'!$K$2:$K$2436,MATCH($B$3&amp;"|"&amp;D125&amp;"|"&amp;B125&amp;"|"&amp;C125,'Master Data'!$A$2:$A$2436,0))&amp;"","")</f>
        <v/>
      </c>
      <c r="I125" s="67" t="s">
        <v>153</v>
      </c>
      <c r="J125" s="67" t="s">
        <v>134</v>
      </c>
      <c r="K125" s="68"/>
      <c r="L125" s="68"/>
      <c r="M125" s="68"/>
      <c r="N125" s="69"/>
      <c r="O125" s="68"/>
    </row>
    <row r="126" customFormat="false" ht="15.75" hidden="false" customHeight="true" outlineLevel="0" collapsed="false">
      <c r="A126" s="66" t="n">
        <v>35</v>
      </c>
      <c r="B126" s="67" t="s">
        <v>91</v>
      </c>
      <c r="C126" s="66" t="s">
        <v>102</v>
      </c>
      <c r="D126" s="66" t="n">
        <v>2</v>
      </c>
      <c r="E126" s="67" t="str">
        <f aca="false">IFERROR(INDEX('Master Data'!$L$2:$L$2436,MATCH($B$3&amp;"|"&amp;D126&amp;"|"&amp;B126&amp;"|"&amp;C126,'Master Data'!$A$2:$A$2436,0)),"")</f>
        <v>Belum terisi</v>
      </c>
      <c r="F126" s="67" t="str">
        <f aca="false">IFERROR(INDEX('Master Data'!$F$2:$F$2436,MATCH($B$3&amp;"|"&amp;D126&amp;"|"&amp;B126&amp;"|"&amp;C126,'Master Data'!$A$2:$A$2436,0))&amp;"","")</f>
        <v>Tiny</v>
      </c>
      <c r="G126" s="66" t="n">
        <f aca="false">IFERROR(INDEX('Master Data'!$G$2:$G$2436,MATCH($B$3&amp;"|"&amp;D126&amp;"|"&amp;B126&amp;"|"&amp;C126,'Master Data'!$A$2:$A$2436,0)),"")</f>
        <v>5</v>
      </c>
      <c r="H126" s="67" t="str">
        <f aca="false">IFERROR(INDEX('Master Data'!$K$2:$K$2436,MATCH($B$3&amp;"|"&amp;D126&amp;"|"&amp;B126&amp;"|"&amp;C126,'Master Data'!$A$2:$A$2436,0))&amp;"","")</f>
        <v/>
      </c>
      <c r="I126" s="67" t="s">
        <v>153</v>
      </c>
      <c r="J126" s="67" t="s">
        <v>134</v>
      </c>
      <c r="K126" s="68"/>
      <c r="L126" s="68"/>
      <c r="M126" s="68"/>
      <c r="N126" s="69"/>
      <c r="O126" s="68"/>
    </row>
    <row r="127" customFormat="false" ht="15.75" hidden="false" customHeight="true" outlineLevel="0" collapsed="false">
      <c r="A127" s="66" t="n">
        <v>36</v>
      </c>
      <c r="B127" s="67" t="s">
        <v>91</v>
      </c>
      <c r="C127" s="66" t="s">
        <v>103</v>
      </c>
      <c r="D127" s="66" t="n">
        <v>1</v>
      </c>
      <c r="E127" s="67" t="str">
        <f aca="false">IFERROR(INDEX('Master Data'!$L$2:$L$2436,MATCH($B$3&amp;"|"&amp;D127&amp;"|"&amp;B127&amp;"|"&amp;C127,'Master Data'!$A$2:$A$2436,0)),"")</f>
        <v>Slot kosong</v>
      </c>
      <c r="F127" s="67" t="str">
        <f aca="false">IFERROR(INDEX('Master Data'!$F$2:$F$2436,MATCH($B$3&amp;"|"&amp;D127&amp;"|"&amp;B127&amp;"|"&amp;C127,'Master Data'!$A$2:$A$2436,0))&amp;"","")</f>
        <v/>
      </c>
      <c r="G127" s="66" t="n">
        <f aca="false">IFERROR(INDEX('Master Data'!$G$2:$G$2436,MATCH($B$3&amp;"|"&amp;D127&amp;"|"&amp;B127&amp;"|"&amp;C127,'Master Data'!$A$2:$A$2436,0)),"")</f>
        <v>5</v>
      </c>
      <c r="H127" s="67" t="str">
        <f aca="false">IFERROR(INDEX('Master Data'!$K$2:$K$2436,MATCH($B$3&amp;"|"&amp;D127&amp;"|"&amp;B127&amp;"|"&amp;C127,'Master Data'!$A$2:$A$2436,0))&amp;"","")</f>
        <v/>
      </c>
      <c r="I127" s="70" t="s">
        <v>154</v>
      </c>
      <c r="J127" s="67" t="s">
        <v>155</v>
      </c>
      <c r="K127" s="68"/>
      <c r="L127" s="68"/>
      <c r="M127" s="68"/>
      <c r="N127" s="69"/>
      <c r="O127" s="68"/>
    </row>
    <row r="128" customFormat="false" ht="27.75" hidden="false" customHeight="true" outlineLevel="0" collapsed="false">
      <c r="A128" s="66" t="n">
        <v>37</v>
      </c>
      <c r="B128" s="67" t="s">
        <v>91</v>
      </c>
      <c r="C128" s="66" t="s">
        <v>118</v>
      </c>
      <c r="D128" s="66" t="n">
        <v>5</v>
      </c>
      <c r="E128" s="67" t="str">
        <f aca="false">IFERROR(INDEX('Master Data'!$L$2:$L$2436,MATCH($B$3&amp;"|"&amp;D128&amp;"|"&amp;B128&amp;"|"&amp;C128,'Master Data'!$A$2:$A$2436,0)),"")</f>
        <v>Slot kosong</v>
      </c>
      <c r="F128" s="67" t="str">
        <f aca="false">IFERROR(INDEX('Master Data'!$F$2:$F$2436,MATCH($B$3&amp;"|"&amp;D128&amp;"|"&amp;B128&amp;"|"&amp;C128,'Master Data'!$A$2:$A$2436,0))&amp;"","")</f>
        <v/>
      </c>
      <c r="G128" s="66" t="n">
        <f aca="false">IFERROR(INDEX('Master Data'!$G$2:$G$2436,MATCH($B$3&amp;"|"&amp;D128&amp;"|"&amp;B128&amp;"|"&amp;C128,'Master Data'!$A$2:$A$2436,0)),"")</f>
        <v>4</v>
      </c>
      <c r="H128" s="67" t="str">
        <f aca="false">IFERROR(INDEX('Master Data'!$K$2:$K$2436,MATCH($B$3&amp;"|"&amp;D128&amp;"|"&amp;B128&amp;"|"&amp;C128,'Master Data'!$A$2:$A$2436,0))&amp;"","")</f>
        <v/>
      </c>
      <c r="I128" s="67" t="s">
        <v>156</v>
      </c>
      <c r="J128" s="67" t="s">
        <v>134</v>
      </c>
      <c r="K128" s="68"/>
      <c r="L128" s="68"/>
      <c r="M128" s="68"/>
      <c r="N128" s="69"/>
      <c r="O128" s="68"/>
    </row>
    <row r="129" customFormat="false" ht="15.75" hidden="false" customHeight="true" outlineLevel="0" collapsed="false">
      <c r="A129" s="66" t="n">
        <v>38</v>
      </c>
      <c r="B129" s="67" t="s">
        <v>91</v>
      </c>
      <c r="C129" s="66" t="s">
        <v>106</v>
      </c>
      <c r="D129" s="66" t="n">
        <v>1</v>
      </c>
      <c r="E129" s="67" t="str">
        <f aca="false">IFERROR(INDEX('Master Data'!$L$2:$L$2436,MATCH($B$3&amp;"|"&amp;D129&amp;"|"&amp;B129&amp;"|"&amp;C129,'Master Data'!$A$2:$A$2436,0)),"")</f>
        <v>Slot kosong</v>
      </c>
      <c r="F129" s="67" t="str">
        <f aca="false">IFERROR(INDEX('Master Data'!$F$2:$F$2436,MATCH($B$3&amp;"|"&amp;D129&amp;"|"&amp;B129&amp;"|"&amp;C129,'Master Data'!$A$2:$A$2436,0))&amp;"","")</f>
        <v/>
      </c>
      <c r="G129" s="66" t="n">
        <f aca="false">IFERROR(INDEX('Master Data'!$G$2:$G$2436,MATCH($B$3&amp;"|"&amp;D129&amp;"|"&amp;B129&amp;"|"&amp;C129,'Master Data'!$A$2:$A$2436,0)),"")</f>
        <v>5</v>
      </c>
      <c r="H129" s="67" t="str">
        <f aca="false">IFERROR(INDEX('Master Data'!$K$2:$K$2436,MATCH($B$3&amp;"|"&amp;D129&amp;"|"&amp;B129&amp;"|"&amp;C129,'Master Data'!$A$2:$A$2436,0))&amp;"","")</f>
        <v/>
      </c>
      <c r="I129" s="70" t="s">
        <v>154</v>
      </c>
      <c r="J129" s="67" t="s">
        <v>155</v>
      </c>
      <c r="K129" s="68"/>
      <c r="L129" s="68"/>
      <c r="M129" s="68"/>
      <c r="N129" s="69"/>
      <c r="O129" s="68"/>
    </row>
    <row r="130" customFormat="false" ht="15.75" hidden="false" customHeight="true" outlineLevel="0" collapsed="false">
      <c r="A130" s="66" t="n">
        <v>39</v>
      </c>
      <c r="B130" s="67" t="s">
        <v>91</v>
      </c>
      <c r="C130" s="66" t="s">
        <v>107</v>
      </c>
      <c r="D130" s="66" t="n">
        <v>2</v>
      </c>
      <c r="E130" s="67" t="str">
        <f aca="false">IFERROR(INDEX('Master Data'!$L$2:$L$2436,MATCH($B$3&amp;"|"&amp;D130&amp;"|"&amp;B130&amp;"|"&amp;C130,'Master Data'!$A$2:$A$2436,0)),"")</f>
        <v>Belum terisi</v>
      </c>
      <c r="F130" s="67" t="str">
        <f aca="false">IFERROR(INDEX('Master Data'!$F$2:$F$2436,MATCH($B$3&amp;"|"&amp;D130&amp;"|"&amp;B130&amp;"|"&amp;C130,'Master Data'!$A$2:$A$2436,0))&amp;"","")</f>
        <v>Tiny</v>
      </c>
      <c r="G130" s="66" t="n">
        <f aca="false">IFERROR(INDEX('Master Data'!$G$2:$G$2436,MATCH($B$3&amp;"|"&amp;D130&amp;"|"&amp;B130&amp;"|"&amp;C130,'Master Data'!$A$2:$A$2436,0)),"")</f>
        <v>5</v>
      </c>
      <c r="H130" s="67" t="str">
        <f aca="false">IFERROR(INDEX('Master Data'!$K$2:$K$2436,MATCH($B$3&amp;"|"&amp;D130&amp;"|"&amp;B130&amp;"|"&amp;C130,'Master Data'!$A$2:$A$2436,0))&amp;"","")</f>
        <v/>
      </c>
      <c r="I130" s="67" t="s">
        <v>157</v>
      </c>
      <c r="J130" s="67" t="s">
        <v>134</v>
      </c>
      <c r="K130" s="68"/>
      <c r="L130" s="68"/>
      <c r="M130" s="68"/>
      <c r="N130" s="69"/>
      <c r="O130" s="68"/>
    </row>
    <row r="131" customFormat="false" ht="27.75" hidden="false" customHeight="true" outlineLevel="0" collapsed="false">
      <c r="A131" s="66" t="n">
        <v>40</v>
      </c>
      <c r="B131" s="67" t="s">
        <v>92</v>
      </c>
      <c r="C131" s="66" t="s">
        <v>111</v>
      </c>
      <c r="D131" s="66" t="n">
        <v>5</v>
      </c>
      <c r="E131" s="67" t="str">
        <f aca="false">IFERROR(INDEX('Master Data'!$L$2:$L$2436,MATCH($B$3&amp;"|"&amp;D131&amp;"|"&amp;B131&amp;"|"&amp;C131,'Master Data'!$A$2:$A$2436,0)),"")</f>
        <v>Slot kosong</v>
      </c>
      <c r="F131" s="67" t="str">
        <f aca="false">IFERROR(INDEX('Master Data'!$F$2:$F$2436,MATCH($B$3&amp;"|"&amp;D131&amp;"|"&amp;B131&amp;"|"&amp;C131,'Master Data'!$A$2:$A$2436,0))&amp;"","")</f>
        <v/>
      </c>
      <c r="G131" s="66" t="n">
        <f aca="false">IFERROR(INDEX('Master Data'!$G$2:$G$2436,MATCH($B$3&amp;"|"&amp;D131&amp;"|"&amp;B131&amp;"|"&amp;C131,'Master Data'!$A$2:$A$2436,0)),"")</f>
        <v>4</v>
      </c>
      <c r="H131" s="67" t="str">
        <f aca="false">IFERROR(INDEX('Master Data'!$K$2:$K$2436,MATCH($B$3&amp;"|"&amp;D131&amp;"|"&amp;B131&amp;"|"&amp;C131,'Master Data'!$A$2:$A$2436,0))&amp;"","")</f>
        <v/>
      </c>
      <c r="I131" s="67" t="s">
        <v>158</v>
      </c>
      <c r="J131" s="67" t="s">
        <v>134</v>
      </c>
      <c r="K131" s="68"/>
      <c r="L131" s="68"/>
      <c r="M131" s="68"/>
      <c r="N131" s="69"/>
      <c r="O131" s="68"/>
    </row>
    <row r="132" customFormat="false" ht="40.5" hidden="false" customHeight="true" outlineLevel="0" collapsed="false">
      <c r="A132" s="66" t="n">
        <v>41</v>
      </c>
      <c r="B132" s="67" t="s">
        <v>92</v>
      </c>
      <c r="C132" s="66" t="s">
        <v>112</v>
      </c>
      <c r="D132" s="66" t="n">
        <v>3</v>
      </c>
      <c r="E132" s="67" t="str">
        <f aca="false">IFERROR(INDEX('Master Data'!$L$2:$L$2436,MATCH($B$3&amp;"|"&amp;D132&amp;"|"&amp;B132&amp;"|"&amp;C132,'Master Data'!$A$2:$A$2436,0)),"")</f>
        <v>Belum terisi</v>
      </c>
      <c r="F132" s="67" t="str">
        <f aca="false">IFERROR(INDEX('Master Data'!$F$2:$F$2436,MATCH($B$3&amp;"|"&amp;D132&amp;"|"&amp;B132&amp;"|"&amp;C132,'Master Data'!$A$2:$A$2436,0))&amp;"","")</f>
        <v>Little</v>
      </c>
      <c r="G132" s="66" t="n">
        <f aca="false">IFERROR(INDEX('Master Data'!$G$2:$G$2436,MATCH($B$3&amp;"|"&amp;D132&amp;"|"&amp;B132&amp;"|"&amp;C132,'Master Data'!$A$2:$A$2436,0)),"")</f>
        <v>4</v>
      </c>
      <c r="H132" s="67" t="str">
        <f aca="false">IFERROR(INDEX('Master Data'!$K$2:$K$2436,MATCH($B$3&amp;"|"&amp;D132&amp;"|"&amp;B132&amp;"|"&amp;C132,'Master Data'!$A$2:$A$2436,0))&amp;"","")</f>
        <v/>
      </c>
      <c r="I132" s="67" t="s">
        <v>159</v>
      </c>
      <c r="J132" s="67" t="s">
        <v>134</v>
      </c>
      <c r="K132" s="68"/>
      <c r="L132" s="68"/>
      <c r="M132" s="68"/>
      <c r="N132" s="69"/>
      <c r="O132" s="68"/>
    </row>
    <row r="133" customFormat="false" ht="40.5" hidden="false" customHeight="true" outlineLevel="0" collapsed="false">
      <c r="A133" s="66" t="n">
        <v>42</v>
      </c>
      <c r="B133" s="67" t="s">
        <v>92</v>
      </c>
      <c r="C133" s="66" t="s">
        <v>112</v>
      </c>
      <c r="D133" s="66" t="n">
        <v>4</v>
      </c>
      <c r="E133" s="67" t="str">
        <f aca="false">IFERROR(INDEX('Master Data'!$L$2:$L$2436,MATCH($B$3&amp;"|"&amp;D133&amp;"|"&amp;B133&amp;"|"&amp;C133,'Master Data'!$A$2:$A$2436,0)),"")</f>
        <v>Belum terisi</v>
      </c>
      <c r="F133" s="67" t="str">
        <f aca="false">IFERROR(INDEX('Master Data'!$F$2:$F$2436,MATCH($B$3&amp;"|"&amp;D133&amp;"|"&amp;B133&amp;"|"&amp;C133,'Master Data'!$A$2:$A$2436,0))&amp;"","")</f>
        <v>Kids</v>
      </c>
      <c r="G133" s="66" t="n">
        <f aca="false">IFERROR(INDEX('Master Data'!$G$2:$G$2436,MATCH($B$3&amp;"|"&amp;D133&amp;"|"&amp;B133&amp;"|"&amp;C133,'Master Data'!$A$2:$A$2436,0)),"")</f>
        <v>4</v>
      </c>
      <c r="H133" s="67" t="str">
        <f aca="false">IFERROR(INDEX('Master Data'!$K$2:$K$2436,MATCH($B$3&amp;"|"&amp;D133&amp;"|"&amp;B133&amp;"|"&amp;C133,'Master Data'!$A$2:$A$2436,0))&amp;"","")</f>
        <v/>
      </c>
      <c r="I133" s="67" t="s">
        <v>159</v>
      </c>
      <c r="J133" s="67" t="s">
        <v>134</v>
      </c>
      <c r="K133" s="68"/>
      <c r="L133" s="68"/>
      <c r="M133" s="68"/>
      <c r="N133" s="69"/>
      <c r="O133" s="68"/>
    </row>
    <row r="134" customFormat="false" ht="40.5" hidden="false" customHeight="true" outlineLevel="0" collapsed="false">
      <c r="A134" s="66" t="n">
        <v>43</v>
      </c>
      <c r="B134" s="67" t="s">
        <v>92</v>
      </c>
      <c r="C134" s="66" t="s">
        <v>112</v>
      </c>
      <c r="D134" s="66" t="n">
        <v>5</v>
      </c>
      <c r="E134" s="67" t="str">
        <f aca="false">IFERROR(INDEX('Master Data'!$L$2:$L$2436,MATCH($B$3&amp;"|"&amp;D134&amp;"|"&amp;B134&amp;"|"&amp;C134,'Master Data'!$A$2:$A$2436,0)),"")</f>
        <v>Slot kosong</v>
      </c>
      <c r="F134" s="67" t="str">
        <f aca="false">IFERROR(INDEX('Master Data'!$F$2:$F$2436,MATCH($B$3&amp;"|"&amp;D134&amp;"|"&amp;B134&amp;"|"&amp;C134,'Master Data'!$A$2:$A$2436,0))&amp;"","")</f>
        <v/>
      </c>
      <c r="G134" s="66" t="n">
        <f aca="false">IFERROR(INDEX('Master Data'!$G$2:$G$2436,MATCH($B$3&amp;"|"&amp;D134&amp;"|"&amp;B134&amp;"|"&amp;C134,'Master Data'!$A$2:$A$2436,0)),"")</f>
        <v>4</v>
      </c>
      <c r="H134" s="67" t="str">
        <f aca="false">IFERROR(INDEX('Master Data'!$K$2:$K$2436,MATCH($B$3&amp;"|"&amp;D134&amp;"|"&amp;B134&amp;"|"&amp;C134,'Master Data'!$A$2:$A$2436,0))&amp;"","")</f>
        <v/>
      </c>
      <c r="I134" s="67" t="s">
        <v>159</v>
      </c>
      <c r="J134" s="67" t="s">
        <v>134</v>
      </c>
      <c r="K134" s="68"/>
      <c r="L134" s="68"/>
      <c r="M134" s="68"/>
      <c r="N134" s="69"/>
      <c r="O134" s="68"/>
    </row>
    <row r="135" customFormat="false" ht="40.5" hidden="false" customHeight="true" outlineLevel="0" collapsed="false">
      <c r="A135" s="66" t="n">
        <v>44</v>
      </c>
      <c r="B135" s="67" t="s">
        <v>92</v>
      </c>
      <c r="C135" s="66" t="s">
        <v>98</v>
      </c>
      <c r="D135" s="66" t="n">
        <v>1</v>
      </c>
      <c r="E135" s="67" t="str">
        <f aca="false">IFERROR(INDEX('Master Data'!$L$2:$L$2436,MATCH($B$3&amp;"|"&amp;D135&amp;"|"&amp;B135&amp;"|"&amp;C135,'Master Data'!$A$2:$A$2436,0)),"")</f>
        <v>Slot kosong</v>
      </c>
      <c r="F135" s="67" t="str">
        <f aca="false">IFERROR(INDEX('Master Data'!$F$2:$F$2436,MATCH($B$3&amp;"|"&amp;D135&amp;"|"&amp;B135&amp;"|"&amp;C135,'Master Data'!$A$2:$A$2436,0))&amp;"","")</f>
        <v/>
      </c>
      <c r="G135" s="66" t="n">
        <f aca="false">IFERROR(INDEX('Master Data'!$G$2:$G$2436,MATCH($B$3&amp;"|"&amp;D135&amp;"|"&amp;B135&amp;"|"&amp;C135,'Master Data'!$A$2:$A$2436,0)),"")</f>
        <v>5</v>
      </c>
      <c r="H135" s="67" t="str">
        <f aca="false">IFERROR(INDEX('Master Data'!$K$2:$K$2436,MATCH($B$3&amp;"|"&amp;D135&amp;"|"&amp;B135&amp;"|"&amp;C135,'Master Data'!$A$2:$A$2436,0))&amp;"","")</f>
        <v/>
      </c>
      <c r="I135" s="67" t="s">
        <v>160</v>
      </c>
      <c r="J135" s="67" t="s">
        <v>134</v>
      </c>
      <c r="K135" s="68"/>
      <c r="L135" s="68"/>
      <c r="M135" s="68"/>
      <c r="N135" s="69"/>
      <c r="O135" s="68"/>
    </row>
    <row r="136" customFormat="false" ht="40.5" hidden="false" customHeight="true" outlineLevel="0" collapsed="false">
      <c r="A136" s="66" t="n">
        <v>45</v>
      </c>
      <c r="B136" s="67" t="s">
        <v>92</v>
      </c>
      <c r="C136" s="66" t="s">
        <v>113</v>
      </c>
      <c r="D136" s="66" t="n">
        <v>4</v>
      </c>
      <c r="E136" s="67" t="str">
        <f aca="false">IFERROR(INDEX('Master Data'!$L$2:$L$2436,MATCH($B$3&amp;"|"&amp;D136&amp;"|"&amp;B136&amp;"|"&amp;C136,'Master Data'!$A$2:$A$2436,0)),"")</f>
        <v>Belum terisi</v>
      </c>
      <c r="F136" s="67" t="str">
        <f aca="false">IFERROR(INDEX('Master Data'!$F$2:$F$2436,MATCH($B$3&amp;"|"&amp;D136&amp;"|"&amp;B136&amp;"|"&amp;C136,'Master Data'!$A$2:$A$2436,0))&amp;"","")</f>
        <v>Kids</v>
      </c>
      <c r="G136" s="66" t="n">
        <f aca="false">IFERROR(INDEX('Master Data'!$G$2:$G$2436,MATCH($B$3&amp;"|"&amp;D136&amp;"|"&amp;B136&amp;"|"&amp;C136,'Master Data'!$A$2:$A$2436,0)),"")</f>
        <v>4</v>
      </c>
      <c r="H136" s="67" t="str">
        <f aca="false">IFERROR(INDEX('Master Data'!$K$2:$K$2436,MATCH($B$3&amp;"|"&amp;D136&amp;"|"&amp;B136&amp;"|"&amp;C136,'Master Data'!$A$2:$A$2436,0))&amp;"","")</f>
        <v/>
      </c>
      <c r="I136" s="67" t="s">
        <v>160</v>
      </c>
      <c r="J136" s="67" t="s">
        <v>134</v>
      </c>
      <c r="K136" s="68"/>
      <c r="L136" s="68"/>
      <c r="M136" s="68"/>
      <c r="N136" s="69"/>
      <c r="O136" s="68"/>
    </row>
    <row r="137" customFormat="false" ht="40.5" hidden="false" customHeight="true" outlineLevel="0" collapsed="false">
      <c r="A137" s="66" t="n">
        <v>46</v>
      </c>
      <c r="B137" s="67" t="s">
        <v>92</v>
      </c>
      <c r="C137" s="66" t="s">
        <v>113</v>
      </c>
      <c r="D137" s="66" t="n">
        <v>5</v>
      </c>
      <c r="E137" s="67" t="str">
        <f aca="false">IFERROR(INDEX('Master Data'!$L$2:$L$2436,MATCH($B$3&amp;"|"&amp;D137&amp;"|"&amp;B137&amp;"|"&amp;C137,'Master Data'!$A$2:$A$2436,0)),"")</f>
        <v>Slot kosong</v>
      </c>
      <c r="F137" s="67" t="str">
        <f aca="false">IFERROR(INDEX('Master Data'!$F$2:$F$2436,MATCH($B$3&amp;"|"&amp;D137&amp;"|"&amp;B137&amp;"|"&amp;C137,'Master Data'!$A$2:$A$2436,0))&amp;"","")</f>
        <v/>
      </c>
      <c r="G137" s="66" t="n">
        <f aca="false">IFERROR(INDEX('Master Data'!$G$2:$G$2436,MATCH($B$3&amp;"|"&amp;D137&amp;"|"&amp;B137&amp;"|"&amp;C137,'Master Data'!$A$2:$A$2436,0)),"")</f>
        <v>4</v>
      </c>
      <c r="H137" s="67" t="str">
        <f aca="false">IFERROR(INDEX('Master Data'!$K$2:$K$2436,MATCH($B$3&amp;"|"&amp;D137&amp;"|"&amp;B137&amp;"|"&amp;C137,'Master Data'!$A$2:$A$2436,0))&amp;"","")</f>
        <v/>
      </c>
      <c r="I137" s="67" t="s">
        <v>160</v>
      </c>
      <c r="J137" s="67" t="s">
        <v>134</v>
      </c>
      <c r="K137" s="68"/>
      <c r="L137" s="68"/>
      <c r="M137" s="68"/>
      <c r="N137" s="69"/>
      <c r="O137" s="68"/>
    </row>
    <row r="138" customFormat="false" ht="40.5" hidden="false" customHeight="true" outlineLevel="0" collapsed="false">
      <c r="A138" s="66" t="n">
        <v>47</v>
      </c>
      <c r="B138" s="67" t="s">
        <v>92</v>
      </c>
      <c r="C138" s="66" t="s">
        <v>99</v>
      </c>
      <c r="D138" s="66" t="n">
        <v>1</v>
      </c>
      <c r="E138" s="67" t="str">
        <f aca="false">IFERROR(INDEX('Master Data'!$L$2:$L$2436,MATCH($B$3&amp;"|"&amp;D138&amp;"|"&amp;B138&amp;"|"&amp;C138,'Master Data'!$A$2:$A$2436,0)),"")</f>
        <v>Slot kosong</v>
      </c>
      <c r="F138" s="67" t="str">
        <f aca="false">IFERROR(INDEX('Master Data'!$F$2:$F$2436,MATCH($B$3&amp;"|"&amp;D138&amp;"|"&amp;B138&amp;"|"&amp;C138,'Master Data'!$A$2:$A$2436,0))&amp;"","")</f>
        <v/>
      </c>
      <c r="G138" s="66" t="n">
        <f aca="false">IFERROR(INDEX('Master Data'!$G$2:$G$2436,MATCH($B$3&amp;"|"&amp;D138&amp;"|"&amp;B138&amp;"|"&amp;C138,'Master Data'!$A$2:$A$2436,0)),"")</f>
        <v>5</v>
      </c>
      <c r="H138" s="67" t="str">
        <f aca="false">IFERROR(INDEX('Master Data'!$K$2:$K$2436,MATCH($B$3&amp;"|"&amp;D138&amp;"|"&amp;B138&amp;"|"&amp;C138,'Master Data'!$A$2:$A$2436,0))&amp;"","")</f>
        <v/>
      </c>
      <c r="I138" s="67" t="s">
        <v>161</v>
      </c>
      <c r="J138" s="67" t="s">
        <v>134</v>
      </c>
      <c r="K138" s="68"/>
      <c r="L138" s="68"/>
      <c r="M138" s="68"/>
      <c r="N138" s="69"/>
      <c r="O138" s="68"/>
    </row>
    <row r="139" customFormat="false" ht="40.5" hidden="false" customHeight="true" outlineLevel="0" collapsed="false">
      <c r="A139" s="66" t="n">
        <v>48</v>
      </c>
      <c r="B139" s="67" t="s">
        <v>92</v>
      </c>
      <c r="C139" s="66" t="s">
        <v>114</v>
      </c>
      <c r="D139" s="66" t="n">
        <v>4</v>
      </c>
      <c r="E139" s="67" t="str">
        <f aca="false">IFERROR(INDEX('Master Data'!$L$2:$L$2436,MATCH($B$3&amp;"|"&amp;D139&amp;"|"&amp;B139&amp;"|"&amp;C139,'Master Data'!$A$2:$A$2436,0)),"")</f>
        <v>Belum terisi</v>
      </c>
      <c r="F139" s="67" t="str">
        <f aca="false">IFERROR(INDEX('Master Data'!$F$2:$F$2436,MATCH($B$3&amp;"|"&amp;D139&amp;"|"&amp;B139&amp;"|"&amp;C139,'Master Data'!$A$2:$A$2436,0))&amp;"","")</f>
        <v>Kids</v>
      </c>
      <c r="G139" s="66" t="n">
        <f aca="false">IFERROR(INDEX('Master Data'!$G$2:$G$2436,MATCH($B$3&amp;"|"&amp;D139&amp;"|"&amp;B139&amp;"|"&amp;C139,'Master Data'!$A$2:$A$2436,0)),"")</f>
        <v>4</v>
      </c>
      <c r="H139" s="67" t="str">
        <f aca="false">IFERROR(INDEX('Master Data'!$K$2:$K$2436,MATCH($B$3&amp;"|"&amp;D139&amp;"|"&amp;B139&amp;"|"&amp;C139,'Master Data'!$A$2:$A$2436,0))&amp;"","")</f>
        <v/>
      </c>
      <c r="I139" s="67" t="s">
        <v>162</v>
      </c>
      <c r="J139" s="67" t="s">
        <v>134</v>
      </c>
      <c r="K139" s="68"/>
      <c r="L139" s="68"/>
      <c r="M139" s="68"/>
      <c r="N139" s="69"/>
      <c r="O139" s="68"/>
    </row>
    <row r="140" customFormat="false" ht="40.5" hidden="false" customHeight="true" outlineLevel="0" collapsed="false">
      <c r="A140" s="66" t="n">
        <v>49</v>
      </c>
      <c r="B140" s="67" t="s">
        <v>92</v>
      </c>
      <c r="C140" s="66" t="s">
        <v>114</v>
      </c>
      <c r="D140" s="66" t="n">
        <v>5</v>
      </c>
      <c r="E140" s="67" t="str">
        <f aca="false">IFERROR(INDEX('Master Data'!$L$2:$L$2436,MATCH($B$3&amp;"|"&amp;D140&amp;"|"&amp;B140&amp;"|"&amp;C140,'Master Data'!$A$2:$A$2436,0)),"")</f>
        <v>Slot kosong</v>
      </c>
      <c r="F140" s="67" t="str">
        <f aca="false">IFERROR(INDEX('Master Data'!$F$2:$F$2436,MATCH($B$3&amp;"|"&amp;D140&amp;"|"&amp;B140&amp;"|"&amp;C140,'Master Data'!$A$2:$A$2436,0))&amp;"","")</f>
        <v/>
      </c>
      <c r="G140" s="66" t="n">
        <f aca="false">IFERROR(INDEX('Master Data'!$G$2:$G$2436,MATCH($B$3&amp;"|"&amp;D140&amp;"|"&amp;B140&amp;"|"&amp;C140,'Master Data'!$A$2:$A$2436,0)),"")</f>
        <v>4</v>
      </c>
      <c r="H140" s="67" t="str">
        <f aca="false">IFERROR(INDEX('Master Data'!$K$2:$K$2436,MATCH($B$3&amp;"|"&amp;D140&amp;"|"&amp;B140&amp;"|"&amp;C140,'Master Data'!$A$2:$A$2436,0))&amp;"","")</f>
        <v/>
      </c>
      <c r="I140" s="67" t="s">
        <v>162</v>
      </c>
      <c r="J140" s="67" t="s">
        <v>134</v>
      </c>
      <c r="K140" s="68"/>
      <c r="L140" s="68"/>
      <c r="M140" s="68"/>
      <c r="N140" s="69"/>
      <c r="O140" s="68"/>
    </row>
    <row r="141" customFormat="false" ht="40.5" hidden="false" customHeight="true" outlineLevel="0" collapsed="false">
      <c r="A141" s="66" t="n">
        <v>50</v>
      </c>
      <c r="B141" s="67" t="s">
        <v>92</v>
      </c>
      <c r="C141" s="66" t="s">
        <v>100</v>
      </c>
      <c r="D141" s="66" t="n">
        <v>2</v>
      </c>
      <c r="E141" s="67" t="str">
        <f aca="false">IFERROR(INDEX('Master Data'!$L$2:$L$2436,MATCH($B$3&amp;"|"&amp;D141&amp;"|"&amp;B141&amp;"|"&amp;C141,'Master Data'!$A$2:$A$2436,0)),"")</f>
        <v>Belum terisi</v>
      </c>
      <c r="F141" s="67" t="str">
        <f aca="false">IFERROR(INDEX('Master Data'!$F$2:$F$2436,MATCH($B$3&amp;"|"&amp;D141&amp;"|"&amp;B141&amp;"|"&amp;C141,'Master Data'!$A$2:$A$2436,0))&amp;"","")</f>
        <v>Tiny</v>
      </c>
      <c r="G141" s="66" t="n">
        <f aca="false">IFERROR(INDEX('Master Data'!$G$2:$G$2436,MATCH($B$3&amp;"|"&amp;D141&amp;"|"&amp;B141&amp;"|"&amp;C141,'Master Data'!$A$2:$A$2436,0)),"")</f>
        <v>5</v>
      </c>
      <c r="H141" s="67" t="str">
        <f aca="false">IFERROR(INDEX('Master Data'!$K$2:$K$2436,MATCH($B$3&amp;"|"&amp;D141&amp;"|"&amp;B141&amp;"|"&amp;C141,'Master Data'!$A$2:$A$2436,0))&amp;"","")</f>
        <v/>
      </c>
      <c r="I141" s="67" t="s">
        <v>163</v>
      </c>
      <c r="J141" s="67" t="s">
        <v>134</v>
      </c>
      <c r="K141" s="68"/>
      <c r="L141" s="68"/>
      <c r="M141" s="68"/>
      <c r="N141" s="69"/>
      <c r="O141" s="68"/>
    </row>
    <row r="142" customFormat="false" ht="52.5" hidden="false" customHeight="true" outlineLevel="0" collapsed="false">
      <c r="A142" s="66" t="n">
        <v>51</v>
      </c>
      <c r="B142" s="67" t="s">
        <v>92</v>
      </c>
      <c r="C142" s="66" t="s">
        <v>115</v>
      </c>
      <c r="D142" s="66" t="n">
        <v>5</v>
      </c>
      <c r="E142" s="67" t="str">
        <f aca="false">IFERROR(INDEX('Master Data'!$L$2:$L$2436,MATCH($B$3&amp;"|"&amp;D142&amp;"|"&amp;B142&amp;"|"&amp;C142,'Master Data'!$A$2:$A$2436,0)),"")</f>
        <v>Slot kosong</v>
      </c>
      <c r="F142" s="67" t="str">
        <f aca="false">IFERROR(INDEX('Master Data'!$F$2:$F$2436,MATCH($B$3&amp;"|"&amp;D142&amp;"|"&amp;B142&amp;"|"&amp;C142,'Master Data'!$A$2:$A$2436,0))&amp;"","")</f>
        <v/>
      </c>
      <c r="G142" s="66" t="n">
        <f aca="false">IFERROR(INDEX('Master Data'!$G$2:$G$2436,MATCH($B$3&amp;"|"&amp;D142&amp;"|"&amp;B142&amp;"|"&amp;C142,'Master Data'!$A$2:$A$2436,0)),"")</f>
        <v>4</v>
      </c>
      <c r="H142" s="67" t="str">
        <f aca="false">IFERROR(INDEX('Master Data'!$K$2:$K$2436,MATCH($B$3&amp;"|"&amp;D142&amp;"|"&amp;B142&amp;"|"&amp;C142,'Master Data'!$A$2:$A$2436,0))&amp;"","")</f>
        <v/>
      </c>
      <c r="I142" s="67" t="s">
        <v>164</v>
      </c>
      <c r="J142" s="67" t="s">
        <v>134</v>
      </c>
      <c r="K142" s="68"/>
      <c r="L142" s="68"/>
      <c r="M142" s="68"/>
      <c r="N142" s="69"/>
      <c r="O142" s="68"/>
    </row>
    <row r="143" customFormat="false" ht="27.75" hidden="false" customHeight="true" outlineLevel="0" collapsed="false">
      <c r="A143" s="66" t="n">
        <v>52</v>
      </c>
      <c r="B143" s="67" t="s">
        <v>92</v>
      </c>
      <c r="C143" s="66" t="s">
        <v>102</v>
      </c>
      <c r="D143" s="66" t="n">
        <v>1</v>
      </c>
      <c r="E143" s="67" t="str">
        <f aca="false">IFERROR(INDEX('Master Data'!$L$2:$L$2436,MATCH($B$3&amp;"|"&amp;D143&amp;"|"&amp;B143&amp;"|"&amp;C143,'Master Data'!$A$2:$A$2436,0)),"")</f>
        <v>Belum terisi</v>
      </c>
      <c r="F143" s="67" t="str">
        <f aca="false">IFERROR(INDEX('Master Data'!$F$2:$F$2436,MATCH($B$3&amp;"|"&amp;D143&amp;"|"&amp;B143&amp;"|"&amp;C143,'Master Data'!$A$2:$A$2436,0))&amp;"","")</f>
        <v>Baby</v>
      </c>
      <c r="G143" s="66" t="n">
        <f aca="false">IFERROR(INDEX('Master Data'!$G$2:$G$2436,MATCH($B$3&amp;"|"&amp;D143&amp;"|"&amp;B143&amp;"|"&amp;C143,'Master Data'!$A$2:$A$2436,0)),"")</f>
        <v>5</v>
      </c>
      <c r="H143" s="67" t="str">
        <f aca="false">IFERROR(INDEX('Master Data'!$K$2:$K$2436,MATCH($B$3&amp;"|"&amp;D143&amp;"|"&amp;B143&amp;"|"&amp;C143,'Master Data'!$A$2:$A$2436,0))&amp;"","")</f>
        <v/>
      </c>
      <c r="I143" s="67" t="s">
        <v>165</v>
      </c>
      <c r="J143" s="67" t="s">
        <v>134</v>
      </c>
      <c r="K143" s="68"/>
      <c r="L143" s="68"/>
      <c r="M143" s="68"/>
      <c r="N143" s="69"/>
      <c r="O143" s="68"/>
    </row>
    <row r="144" customFormat="false" ht="27.75" hidden="false" customHeight="true" outlineLevel="0" collapsed="false">
      <c r="A144" s="66" t="n">
        <v>53</v>
      </c>
      <c r="B144" s="67" t="s">
        <v>92</v>
      </c>
      <c r="C144" s="66" t="s">
        <v>102</v>
      </c>
      <c r="D144" s="66" t="n">
        <v>2</v>
      </c>
      <c r="E144" s="67" t="str">
        <f aca="false">IFERROR(INDEX('Master Data'!$L$2:$L$2436,MATCH($B$3&amp;"|"&amp;D144&amp;"|"&amp;B144&amp;"|"&amp;C144,'Master Data'!$A$2:$A$2436,0)),"")</f>
        <v>Belum terisi</v>
      </c>
      <c r="F144" s="67" t="str">
        <f aca="false">IFERROR(INDEX('Master Data'!$F$2:$F$2436,MATCH($B$3&amp;"|"&amp;D144&amp;"|"&amp;B144&amp;"|"&amp;C144,'Master Data'!$A$2:$A$2436,0))&amp;"","")</f>
        <v>Tiny</v>
      </c>
      <c r="G144" s="66" t="n">
        <f aca="false">IFERROR(INDEX('Master Data'!$G$2:$G$2436,MATCH($B$3&amp;"|"&amp;D144&amp;"|"&amp;B144&amp;"|"&amp;C144,'Master Data'!$A$2:$A$2436,0)),"")</f>
        <v>5</v>
      </c>
      <c r="H144" s="67" t="str">
        <f aca="false">IFERROR(INDEX('Master Data'!$K$2:$K$2436,MATCH($B$3&amp;"|"&amp;D144&amp;"|"&amp;B144&amp;"|"&amp;C144,'Master Data'!$A$2:$A$2436,0))&amp;"","")</f>
        <v/>
      </c>
      <c r="I144" s="67" t="s">
        <v>165</v>
      </c>
      <c r="J144" s="67" t="s">
        <v>134</v>
      </c>
      <c r="K144" s="68"/>
      <c r="L144" s="68"/>
      <c r="M144" s="68"/>
      <c r="N144" s="69"/>
      <c r="O144" s="68"/>
    </row>
    <row r="145" customFormat="false" ht="40.5" hidden="false" customHeight="true" outlineLevel="0" collapsed="false">
      <c r="A145" s="66" t="n">
        <v>54</v>
      </c>
      <c r="B145" s="67" t="s">
        <v>92</v>
      </c>
      <c r="C145" s="66" t="s">
        <v>117</v>
      </c>
      <c r="D145" s="66" t="n">
        <v>5</v>
      </c>
      <c r="E145" s="67" t="str">
        <f aca="false">IFERROR(INDEX('Master Data'!$L$2:$L$2436,MATCH($B$3&amp;"|"&amp;D145&amp;"|"&amp;B145&amp;"|"&amp;C145,'Master Data'!$A$2:$A$2436,0)),"")</f>
        <v>Slot kosong</v>
      </c>
      <c r="F145" s="67" t="str">
        <f aca="false">IFERROR(INDEX('Master Data'!$F$2:$F$2436,MATCH($B$3&amp;"|"&amp;D145&amp;"|"&amp;B145&amp;"|"&amp;C145,'Master Data'!$A$2:$A$2436,0))&amp;"","")</f>
        <v/>
      </c>
      <c r="G145" s="66" t="n">
        <f aca="false">IFERROR(INDEX('Master Data'!$G$2:$G$2436,MATCH($B$3&amp;"|"&amp;D145&amp;"|"&amp;B145&amp;"|"&amp;C145,'Master Data'!$A$2:$A$2436,0)),"")</f>
        <v>4</v>
      </c>
      <c r="H145" s="67" t="str">
        <f aca="false">IFERROR(INDEX('Master Data'!$K$2:$K$2436,MATCH($B$3&amp;"|"&amp;D145&amp;"|"&amp;B145&amp;"|"&amp;C145,'Master Data'!$A$2:$A$2436,0))&amp;"","")</f>
        <v/>
      </c>
      <c r="I145" s="67" t="s">
        <v>166</v>
      </c>
      <c r="J145" s="67" t="s">
        <v>134</v>
      </c>
      <c r="K145" s="68"/>
      <c r="L145" s="68"/>
      <c r="M145" s="68"/>
      <c r="N145" s="69"/>
      <c r="O145" s="68"/>
    </row>
    <row r="146" customFormat="false" ht="40.5" hidden="false" customHeight="true" outlineLevel="0" collapsed="false">
      <c r="A146" s="66" t="n">
        <v>55</v>
      </c>
      <c r="B146" s="67" t="s">
        <v>92</v>
      </c>
      <c r="C146" s="66" t="s">
        <v>103</v>
      </c>
      <c r="D146" s="66" t="n">
        <v>1</v>
      </c>
      <c r="E146" s="67" t="str">
        <f aca="false">IFERROR(INDEX('Master Data'!$L$2:$L$2436,MATCH($B$3&amp;"|"&amp;D146&amp;"|"&amp;B146&amp;"|"&amp;C146,'Master Data'!$A$2:$A$2436,0)),"")</f>
        <v>Slot kosong</v>
      </c>
      <c r="F146" s="67" t="str">
        <f aca="false">IFERROR(INDEX('Master Data'!$F$2:$F$2436,MATCH($B$3&amp;"|"&amp;D146&amp;"|"&amp;B146&amp;"|"&amp;C146,'Master Data'!$A$2:$A$2436,0))&amp;"","")</f>
        <v/>
      </c>
      <c r="G146" s="66" t="n">
        <f aca="false">IFERROR(INDEX('Master Data'!$G$2:$G$2436,MATCH($B$3&amp;"|"&amp;D146&amp;"|"&amp;B146&amp;"|"&amp;C146,'Master Data'!$A$2:$A$2436,0)),"")</f>
        <v>5</v>
      </c>
      <c r="H146" s="67" t="str">
        <f aca="false">IFERROR(INDEX('Master Data'!$K$2:$K$2436,MATCH($B$3&amp;"|"&amp;D146&amp;"|"&amp;B146&amp;"|"&amp;C146,'Master Data'!$A$2:$A$2436,0))&amp;"","")</f>
        <v/>
      </c>
      <c r="I146" s="67" t="s">
        <v>167</v>
      </c>
      <c r="J146" s="67" t="s">
        <v>134</v>
      </c>
      <c r="K146" s="68"/>
      <c r="L146" s="68"/>
      <c r="M146" s="68"/>
      <c r="N146" s="69"/>
      <c r="O146" s="68"/>
    </row>
    <row r="147" customFormat="false" ht="40.5" hidden="false" customHeight="true" outlineLevel="0" collapsed="false">
      <c r="A147" s="66" t="n">
        <v>56</v>
      </c>
      <c r="B147" s="67" t="s">
        <v>92</v>
      </c>
      <c r="C147" s="66" t="s">
        <v>103</v>
      </c>
      <c r="D147" s="66" t="n">
        <v>2</v>
      </c>
      <c r="E147" s="67" t="str">
        <f aca="false">IFERROR(INDEX('Master Data'!$L$2:$L$2436,MATCH($B$3&amp;"|"&amp;D147&amp;"|"&amp;B147&amp;"|"&amp;C147,'Master Data'!$A$2:$A$2436,0)),"")</f>
        <v>Belum terisi</v>
      </c>
      <c r="F147" s="67" t="str">
        <f aca="false">IFERROR(INDEX('Master Data'!$F$2:$F$2436,MATCH($B$3&amp;"|"&amp;D147&amp;"|"&amp;B147&amp;"|"&amp;C147,'Master Data'!$A$2:$A$2436,0))&amp;"","")</f>
        <v>Tiny</v>
      </c>
      <c r="G147" s="66" t="n">
        <f aca="false">IFERROR(INDEX('Master Data'!$G$2:$G$2436,MATCH($B$3&amp;"|"&amp;D147&amp;"|"&amp;B147&amp;"|"&amp;C147,'Master Data'!$A$2:$A$2436,0)),"")</f>
        <v>5</v>
      </c>
      <c r="H147" s="67" t="str">
        <f aca="false">IFERROR(INDEX('Master Data'!$K$2:$K$2436,MATCH($B$3&amp;"|"&amp;D147&amp;"|"&amp;B147&amp;"|"&amp;C147,'Master Data'!$A$2:$A$2436,0))&amp;"","")</f>
        <v/>
      </c>
      <c r="I147" s="67" t="s">
        <v>167</v>
      </c>
      <c r="J147" s="67" t="s">
        <v>134</v>
      </c>
      <c r="K147" s="68"/>
      <c r="L147" s="68"/>
      <c r="M147" s="68"/>
      <c r="N147" s="69"/>
      <c r="O147" s="68"/>
    </row>
    <row r="148" customFormat="false" ht="40.5" hidden="false" customHeight="true" outlineLevel="0" collapsed="false">
      <c r="A148" s="66" t="n">
        <v>57</v>
      </c>
      <c r="B148" s="67" t="s">
        <v>92</v>
      </c>
      <c r="C148" s="66" t="s">
        <v>118</v>
      </c>
      <c r="D148" s="66" t="n">
        <v>5</v>
      </c>
      <c r="E148" s="67" t="str">
        <f aca="false">IFERROR(INDEX('Master Data'!$L$2:$L$2436,MATCH($B$3&amp;"|"&amp;D148&amp;"|"&amp;B148&amp;"|"&amp;C148,'Master Data'!$A$2:$A$2436,0)),"")</f>
        <v>Slot kosong</v>
      </c>
      <c r="F148" s="67" t="str">
        <f aca="false">IFERROR(INDEX('Master Data'!$F$2:$F$2436,MATCH($B$3&amp;"|"&amp;D148&amp;"|"&amp;B148&amp;"|"&amp;C148,'Master Data'!$A$2:$A$2436,0))&amp;"","")</f>
        <v/>
      </c>
      <c r="G148" s="66" t="n">
        <f aca="false">IFERROR(INDEX('Master Data'!$G$2:$G$2436,MATCH($B$3&amp;"|"&amp;D148&amp;"|"&amp;B148&amp;"|"&amp;C148,'Master Data'!$A$2:$A$2436,0)),"")</f>
        <v>4</v>
      </c>
      <c r="H148" s="67" t="str">
        <f aca="false">IFERROR(INDEX('Master Data'!$K$2:$K$2436,MATCH($B$3&amp;"|"&amp;D148&amp;"|"&amp;B148&amp;"|"&amp;C148,'Master Data'!$A$2:$A$2436,0))&amp;"","")</f>
        <v/>
      </c>
      <c r="I148" s="67" t="s">
        <v>161</v>
      </c>
      <c r="J148" s="67" t="s">
        <v>134</v>
      </c>
      <c r="K148" s="68"/>
      <c r="L148" s="68"/>
      <c r="M148" s="68"/>
      <c r="N148" s="69"/>
      <c r="O148" s="68"/>
    </row>
    <row r="149" customFormat="false" ht="15.75" hidden="false" customHeight="true" outlineLevel="0" collapsed="false">
      <c r="A149" s="66" t="n">
        <v>58</v>
      </c>
      <c r="B149" s="67" t="s">
        <v>92</v>
      </c>
      <c r="C149" s="66" t="s">
        <v>105</v>
      </c>
      <c r="D149" s="66" t="n">
        <v>2</v>
      </c>
      <c r="E149" s="67" t="str">
        <f aca="false">IFERROR(INDEX('Master Data'!$L$2:$L$2436,MATCH($B$3&amp;"|"&amp;D149&amp;"|"&amp;B149&amp;"|"&amp;C149,'Master Data'!$A$2:$A$2436,0)),"")</f>
        <v>Belum terisi</v>
      </c>
      <c r="F149" s="67" t="str">
        <f aca="false">IFERROR(INDEX('Master Data'!$F$2:$F$2436,MATCH($B$3&amp;"|"&amp;D149&amp;"|"&amp;B149&amp;"|"&amp;C149,'Master Data'!$A$2:$A$2436,0))&amp;"","")</f>
        <v>Tiny</v>
      </c>
      <c r="G149" s="66" t="n">
        <f aca="false">IFERROR(INDEX('Master Data'!$G$2:$G$2436,MATCH($B$3&amp;"|"&amp;D149&amp;"|"&amp;B149&amp;"|"&amp;C149,'Master Data'!$A$2:$A$2436,0)),"")</f>
        <v>5</v>
      </c>
      <c r="H149" s="67" t="str">
        <f aca="false">IFERROR(INDEX('Master Data'!$K$2:$K$2436,MATCH($B$3&amp;"|"&amp;D149&amp;"|"&amp;B149&amp;"|"&amp;C149,'Master Data'!$A$2:$A$2436,0))&amp;"","")</f>
        <v/>
      </c>
      <c r="I149" s="70" t="s">
        <v>154</v>
      </c>
      <c r="J149" s="67" t="s">
        <v>42</v>
      </c>
      <c r="K149" s="68"/>
      <c r="L149" s="68"/>
      <c r="M149" s="68"/>
      <c r="N149" s="69"/>
      <c r="O149" s="68"/>
    </row>
    <row r="150" customFormat="false" ht="15.75" hidden="false" customHeight="true" outlineLevel="0" collapsed="false">
      <c r="A150" s="66" t="n">
        <v>59</v>
      </c>
      <c r="B150" s="67" t="s">
        <v>92</v>
      </c>
      <c r="C150" s="66" t="s">
        <v>106</v>
      </c>
      <c r="D150" s="66" t="n">
        <v>1</v>
      </c>
      <c r="E150" s="67" t="str">
        <f aca="false">IFERROR(INDEX('Master Data'!$L$2:$L$2436,MATCH($B$3&amp;"|"&amp;D150&amp;"|"&amp;B150&amp;"|"&amp;C150,'Master Data'!$A$2:$A$2436,0)),"")</f>
        <v>Slot kosong</v>
      </c>
      <c r="F150" s="67" t="str">
        <f aca="false">IFERROR(INDEX('Master Data'!$F$2:$F$2436,MATCH($B$3&amp;"|"&amp;D150&amp;"|"&amp;B150&amp;"|"&amp;C150,'Master Data'!$A$2:$A$2436,0))&amp;"","")</f>
        <v/>
      </c>
      <c r="G150" s="66" t="n">
        <f aca="false">IFERROR(INDEX('Master Data'!$G$2:$G$2436,MATCH($B$3&amp;"|"&amp;D150&amp;"|"&amp;B150&amp;"|"&amp;C150,'Master Data'!$A$2:$A$2436,0)),"")</f>
        <v>5</v>
      </c>
      <c r="H150" s="67" t="str">
        <f aca="false">IFERROR(INDEX('Master Data'!$K$2:$K$2436,MATCH($B$3&amp;"|"&amp;D150&amp;"|"&amp;B150&amp;"|"&amp;C150,'Master Data'!$A$2:$A$2436,0))&amp;"","")</f>
        <v/>
      </c>
      <c r="I150" s="67" t="s">
        <v>143</v>
      </c>
      <c r="J150" s="67" t="s">
        <v>144</v>
      </c>
      <c r="K150" s="68"/>
      <c r="L150" s="68"/>
      <c r="M150" s="68"/>
      <c r="N150" s="69"/>
      <c r="O150" s="68"/>
    </row>
    <row r="151" customFormat="false" ht="27.75" hidden="false" customHeight="true" outlineLevel="0" collapsed="false">
      <c r="A151" s="66" t="n">
        <v>60</v>
      </c>
      <c r="B151" s="67" t="s">
        <v>92</v>
      </c>
      <c r="C151" s="66" t="s">
        <v>107</v>
      </c>
      <c r="D151" s="66" t="n">
        <v>1</v>
      </c>
      <c r="E151" s="67" t="str">
        <f aca="false">IFERROR(INDEX('Master Data'!$L$2:$L$2436,MATCH($B$3&amp;"|"&amp;D151&amp;"|"&amp;B151&amp;"|"&amp;C151,'Master Data'!$A$2:$A$2436,0)),"")</f>
        <v>Slot kosong</v>
      </c>
      <c r="F151" s="67" t="str">
        <f aca="false">IFERROR(INDEX('Master Data'!$F$2:$F$2436,MATCH($B$3&amp;"|"&amp;D151&amp;"|"&amp;B151&amp;"|"&amp;C151,'Master Data'!$A$2:$A$2436,0))&amp;"","")</f>
        <v/>
      </c>
      <c r="G151" s="66" t="n">
        <f aca="false">IFERROR(INDEX('Master Data'!$G$2:$G$2436,MATCH($B$3&amp;"|"&amp;D151&amp;"|"&amp;B151&amp;"|"&amp;C151,'Master Data'!$A$2:$A$2436,0)),"")</f>
        <v>5</v>
      </c>
      <c r="H151" s="67" t="str">
        <f aca="false">IFERROR(INDEX('Master Data'!$K$2:$K$2436,MATCH($B$3&amp;"|"&amp;D151&amp;"|"&amp;B151&amp;"|"&amp;C151,'Master Data'!$A$2:$A$2436,0))&amp;"","")</f>
        <v/>
      </c>
      <c r="I151" s="67" t="s">
        <v>168</v>
      </c>
      <c r="J151" s="67" t="s">
        <v>134</v>
      </c>
      <c r="K151" s="68"/>
      <c r="L151" s="68"/>
      <c r="M151" s="68"/>
      <c r="N151" s="69"/>
      <c r="O151" s="68"/>
    </row>
    <row r="152" customFormat="false" ht="40.5" hidden="false" customHeight="true" outlineLevel="0" collapsed="false">
      <c r="A152" s="66" t="n">
        <v>61</v>
      </c>
      <c r="B152" s="67" t="s">
        <v>93</v>
      </c>
      <c r="C152" s="66" t="s">
        <v>111</v>
      </c>
      <c r="D152" s="66" t="n">
        <v>4</v>
      </c>
      <c r="E152" s="67" t="str">
        <f aca="false">IFERROR(INDEX('Master Data'!$L$2:$L$2436,MATCH($B$3&amp;"|"&amp;D152&amp;"|"&amp;B152&amp;"|"&amp;C152,'Master Data'!$A$2:$A$2436,0)),"")</f>
        <v>Belum terisi</v>
      </c>
      <c r="F152" s="67" t="str">
        <f aca="false">IFERROR(INDEX('Master Data'!$F$2:$F$2436,MATCH($B$3&amp;"|"&amp;D152&amp;"|"&amp;B152&amp;"|"&amp;C152,'Master Data'!$A$2:$A$2436,0))&amp;"","")</f>
        <v>Kids</v>
      </c>
      <c r="G152" s="66" t="n">
        <f aca="false">IFERROR(INDEX('Master Data'!$G$2:$G$2436,MATCH($B$3&amp;"|"&amp;D152&amp;"|"&amp;B152&amp;"|"&amp;C152,'Master Data'!$A$2:$A$2436,0)),"")</f>
        <v>4</v>
      </c>
      <c r="H152" s="67" t="str">
        <f aca="false">IFERROR(INDEX('Master Data'!$K$2:$K$2436,MATCH($B$3&amp;"|"&amp;D152&amp;"|"&amp;B152&amp;"|"&amp;C152,'Master Data'!$A$2:$A$2436,0))&amp;"","")</f>
        <v/>
      </c>
      <c r="I152" s="67" t="s">
        <v>169</v>
      </c>
      <c r="J152" s="67" t="s">
        <v>134</v>
      </c>
      <c r="K152" s="68"/>
      <c r="L152" s="68"/>
      <c r="M152" s="68"/>
      <c r="N152" s="69"/>
      <c r="O152" s="68"/>
    </row>
    <row r="153" customFormat="false" ht="40.5" hidden="false" customHeight="true" outlineLevel="0" collapsed="false">
      <c r="A153" s="66" t="n">
        <v>62</v>
      </c>
      <c r="B153" s="67" t="s">
        <v>93</v>
      </c>
      <c r="C153" s="66" t="s">
        <v>111</v>
      </c>
      <c r="D153" s="66" t="n">
        <v>5</v>
      </c>
      <c r="E153" s="67" t="str">
        <f aca="false">IFERROR(INDEX('Master Data'!$L$2:$L$2436,MATCH($B$3&amp;"|"&amp;D153&amp;"|"&amp;B153&amp;"|"&amp;C153,'Master Data'!$A$2:$A$2436,0)),"")</f>
        <v>Slot kosong</v>
      </c>
      <c r="F153" s="67" t="str">
        <f aca="false">IFERROR(INDEX('Master Data'!$F$2:$F$2436,MATCH($B$3&amp;"|"&amp;D153&amp;"|"&amp;B153&amp;"|"&amp;C153,'Master Data'!$A$2:$A$2436,0))&amp;"","")</f>
        <v/>
      </c>
      <c r="G153" s="66" t="n">
        <f aca="false">IFERROR(INDEX('Master Data'!$G$2:$G$2436,MATCH($B$3&amp;"|"&amp;D153&amp;"|"&amp;B153&amp;"|"&amp;C153,'Master Data'!$A$2:$A$2436,0)),"")</f>
        <v>4</v>
      </c>
      <c r="H153" s="67" t="str">
        <f aca="false">IFERROR(INDEX('Master Data'!$K$2:$K$2436,MATCH($B$3&amp;"|"&amp;D153&amp;"|"&amp;B153&amp;"|"&amp;C153,'Master Data'!$A$2:$A$2436,0))&amp;"","")</f>
        <v/>
      </c>
      <c r="I153" s="67" t="s">
        <v>169</v>
      </c>
      <c r="J153" s="67" t="s">
        <v>134</v>
      </c>
      <c r="K153" s="68"/>
      <c r="L153" s="68"/>
      <c r="M153" s="68"/>
      <c r="N153" s="69"/>
      <c r="O153" s="68"/>
    </row>
    <row r="154" customFormat="false" ht="40.5" hidden="false" customHeight="true" outlineLevel="0" collapsed="false">
      <c r="A154" s="66" t="n">
        <v>63</v>
      </c>
      <c r="B154" s="67" t="s">
        <v>93</v>
      </c>
      <c r="C154" s="66" t="s">
        <v>97</v>
      </c>
      <c r="D154" s="66" t="n">
        <v>1</v>
      </c>
      <c r="E154" s="67" t="str">
        <f aca="false">IFERROR(INDEX('Master Data'!$L$2:$L$2436,MATCH($B$3&amp;"|"&amp;D154&amp;"|"&amp;B154&amp;"|"&amp;C154,'Master Data'!$A$2:$A$2436,0)),"")</f>
        <v>Slot kosong</v>
      </c>
      <c r="F154" s="67" t="str">
        <f aca="false">IFERROR(INDEX('Master Data'!$F$2:$F$2436,MATCH($B$3&amp;"|"&amp;D154&amp;"|"&amp;B154&amp;"|"&amp;C154,'Master Data'!$A$2:$A$2436,0))&amp;"","")</f>
        <v/>
      </c>
      <c r="G154" s="66" t="n">
        <f aca="false">IFERROR(INDEX('Master Data'!$G$2:$G$2436,MATCH($B$3&amp;"|"&amp;D154&amp;"|"&amp;B154&amp;"|"&amp;C154,'Master Data'!$A$2:$A$2436,0)),"")</f>
        <v>5</v>
      </c>
      <c r="H154" s="67" t="str">
        <f aca="false">IFERROR(INDEX('Master Data'!$K$2:$K$2436,MATCH($B$3&amp;"|"&amp;D154&amp;"|"&amp;B154&amp;"|"&amp;C154,'Master Data'!$A$2:$A$2436,0))&amp;"","")</f>
        <v/>
      </c>
      <c r="I154" s="67" t="s">
        <v>170</v>
      </c>
      <c r="J154" s="67" t="s">
        <v>134</v>
      </c>
      <c r="K154" s="68"/>
      <c r="L154" s="68"/>
      <c r="M154" s="68"/>
      <c r="N154" s="69"/>
      <c r="O154" s="68"/>
    </row>
    <row r="155" customFormat="false" ht="40.5" hidden="false" customHeight="true" outlineLevel="0" collapsed="false">
      <c r="A155" s="66" t="n">
        <v>64</v>
      </c>
      <c r="B155" s="67" t="s">
        <v>93</v>
      </c>
      <c r="C155" s="66" t="s">
        <v>97</v>
      </c>
      <c r="D155" s="66" t="n">
        <v>2</v>
      </c>
      <c r="E155" s="67" t="str">
        <f aca="false">IFERROR(INDEX('Master Data'!$L$2:$L$2436,MATCH($B$3&amp;"|"&amp;D155&amp;"|"&amp;B155&amp;"|"&amp;C155,'Master Data'!$A$2:$A$2436,0)),"")</f>
        <v>Belum terisi</v>
      </c>
      <c r="F155" s="67" t="str">
        <f aca="false">IFERROR(INDEX('Master Data'!$F$2:$F$2436,MATCH($B$3&amp;"|"&amp;D155&amp;"|"&amp;B155&amp;"|"&amp;C155,'Master Data'!$A$2:$A$2436,0))&amp;"","")</f>
        <v>Tiny</v>
      </c>
      <c r="G155" s="66" t="n">
        <f aca="false">IFERROR(INDEX('Master Data'!$G$2:$G$2436,MATCH($B$3&amp;"|"&amp;D155&amp;"|"&amp;B155&amp;"|"&amp;C155,'Master Data'!$A$2:$A$2436,0)),"")</f>
        <v>5</v>
      </c>
      <c r="H155" s="67" t="str">
        <f aca="false">IFERROR(INDEX('Master Data'!$K$2:$K$2436,MATCH($B$3&amp;"|"&amp;D155&amp;"|"&amp;B155&amp;"|"&amp;C155,'Master Data'!$A$2:$A$2436,0))&amp;"","")</f>
        <v/>
      </c>
      <c r="I155" s="67" t="s">
        <v>170</v>
      </c>
      <c r="J155" s="67" t="s">
        <v>134</v>
      </c>
      <c r="K155" s="68"/>
      <c r="L155" s="68"/>
      <c r="M155" s="68"/>
      <c r="N155" s="69"/>
      <c r="O155" s="68"/>
    </row>
    <row r="156" customFormat="false" ht="27.75" hidden="false" customHeight="true" outlineLevel="0" collapsed="false">
      <c r="A156" s="66" t="n">
        <v>65</v>
      </c>
      <c r="B156" s="67" t="s">
        <v>93</v>
      </c>
      <c r="C156" s="66" t="s">
        <v>112</v>
      </c>
      <c r="D156" s="66" t="n">
        <v>5</v>
      </c>
      <c r="E156" s="67" t="str">
        <f aca="false">IFERROR(INDEX('Master Data'!$L$2:$L$2436,MATCH($B$3&amp;"|"&amp;D156&amp;"|"&amp;B156&amp;"|"&amp;C156,'Master Data'!$A$2:$A$2436,0)),"")</f>
        <v>Slot kosong</v>
      </c>
      <c r="F156" s="67" t="str">
        <f aca="false">IFERROR(INDEX('Master Data'!$F$2:$F$2436,MATCH($B$3&amp;"|"&amp;D156&amp;"|"&amp;B156&amp;"|"&amp;C156,'Master Data'!$A$2:$A$2436,0))&amp;"","")</f>
        <v/>
      </c>
      <c r="G156" s="66" t="n">
        <f aca="false">IFERROR(INDEX('Master Data'!$G$2:$G$2436,MATCH($B$3&amp;"|"&amp;D156&amp;"|"&amp;B156&amp;"|"&amp;C156,'Master Data'!$A$2:$A$2436,0)),"")</f>
        <v>4</v>
      </c>
      <c r="H156" s="67" t="str">
        <f aca="false">IFERROR(INDEX('Master Data'!$K$2:$K$2436,MATCH($B$3&amp;"|"&amp;D156&amp;"|"&amp;B156&amp;"|"&amp;C156,'Master Data'!$A$2:$A$2436,0))&amp;"","")</f>
        <v/>
      </c>
      <c r="I156" s="67" t="s">
        <v>171</v>
      </c>
      <c r="J156" s="67" t="s">
        <v>134</v>
      </c>
      <c r="K156" s="68"/>
      <c r="L156" s="68"/>
      <c r="M156" s="68"/>
      <c r="N156" s="69"/>
      <c r="O156" s="68"/>
    </row>
    <row r="157" customFormat="false" ht="27.75" hidden="false" customHeight="true" outlineLevel="0" collapsed="false">
      <c r="A157" s="66" t="n">
        <v>66</v>
      </c>
      <c r="B157" s="67" t="s">
        <v>93</v>
      </c>
      <c r="C157" s="66" t="s">
        <v>98</v>
      </c>
      <c r="D157" s="66" t="n">
        <v>1</v>
      </c>
      <c r="E157" s="67" t="str">
        <f aca="false">IFERROR(INDEX('Master Data'!$L$2:$L$2436,MATCH($B$3&amp;"|"&amp;D157&amp;"|"&amp;B157&amp;"|"&amp;C157,'Master Data'!$A$2:$A$2436,0)),"")</f>
        <v>Slot kosong</v>
      </c>
      <c r="F157" s="67" t="str">
        <f aca="false">IFERROR(INDEX('Master Data'!$F$2:$F$2436,MATCH($B$3&amp;"|"&amp;D157&amp;"|"&amp;B157&amp;"|"&amp;C157,'Master Data'!$A$2:$A$2436,0))&amp;"","")</f>
        <v/>
      </c>
      <c r="G157" s="66" t="n">
        <f aca="false">IFERROR(INDEX('Master Data'!$G$2:$G$2436,MATCH($B$3&amp;"|"&amp;D157&amp;"|"&amp;B157&amp;"|"&amp;C157,'Master Data'!$A$2:$A$2436,0)),"")</f>
        <v>5</v>
      </c>
      <c r="H157" s="67" t="str">
        <f aca="false">IFERROR(INDEX('Master Data'!$K$2:$K$2436,MATCH($B$3&amp;"|"&amp;D157&amp;"|"&amp;B157&amp;"|"&amp;C157,'Master Data'!$A$2:$A$2436,0))&amp;"","")</f>
        <v/>
      </c>
      <c r="I157" s="67" t="s">
        <v>171</v>
      </c>
      <c r="J157" s="67" t="s">
        <v>134</v>
      </c>
      <c r="K157" s="68"/>
      <c r="L157" s="68"/>
      <c r="M157" s="68"/>
      <c r="N157" s="69"/>
      <c r="O157" s="68"/>
    </row>
    <row r="158" customFormat="false" ht="40.5" hidden="false" customHeight="true" outlineLevel="0" collapsed="false">
      <c r="A158" s="66" t="n">
        <v>67</v>
      </c>
      <c r="B158" s="67" t="s">
        <v>93</v>
      </c>
      <c r="C158" s="66" t="s">
        <v>113</v>
      </c>
      <c r="D158" s="66" t="n">
        <v>4</v>
      </c>
      <c r="E158" s="67" t="str">
        <f aca="false">IFERROR(INDEX('Master Data'!$L$2:$L$2436,MATCH($B$3&amp;"|"&amp;D158&amp;"|"&amp;B158&amp;"|"&amp;C158,'Master Data'!$A$2:$A$2436,0)),"")</f>
        <v>Belum terisi</v>
      </c>
      <c r="F158" s="67" t="str">
        <f aca="false">IFERROR(INDEX('Master Data'!$F$2:$F$2436,MATCH($B$3&amp;"|"&amp;D158&amp;"|"&amp;B158&amp;"|"&amp;C158,'Master Data'!$A$2:$A$2436,0))&amp;"","")</f>
        <v>Kids</v>
      </c>
      <c r="G158" s="66" t="n">
        <f aca="false">IFERROR(INDEX('Master Data'!$G$2:$G$2436,MATCH($B$3&amp;"|"&amp;D158&amp;"|"&amp;B158&amp;"|"&amp;C158,'Master Data'!$A$2:$A$2436,0)),"")</f>
        <v>4</v>
      </c>
      <c r="H158" s="67" t="str">
        <f aca="false">IFERROR(INDEX('Master Data'!$K$2:$K$2436,MATCH($B$3&amp;"|"&amp;D158&amp;"|"&amp;B158&amp;"|"&amp;C158,'Master Data'!$A$2:$A$2436,0))&amp;"","")</f>
        <v/>
      </c>
      <c r="I158" s="67" t="s">
        <v>172</v>
      </c>
      <c r="J158" s="67" t="s">
        <v>134</v>
      </c>
      <c r="K158" s="68"/>
      <c r="L158" s="68"/>
      <c r="M158" s="68"/>
      <c r="N158" s="69"/>
      <c r="O158" s="68"/>
    </row>
    <row r="159" customFormat="false" ht="40.5" hidden="false" customHeight="true" outlineLevel="0" collapsed="false">
      <c r="A159" s="66" t="n">
        <v>68</v>
      </c>
      <c r="B159" s="67" t="s">
        <v>93</v>
      </c>
      <c r="C159" s="66" t="s">
        <v>113</v>
      </c>
      <c r="D159" s="66" t="n">
        <v>5</v>
      </c>
      <c r="E159" s="67" t="str">
        <f aca="false">IFERROR(INDEX('Master Data'!$L$2:$L$2436,MATCH($B$3&amp;"|"&amp;D159&amp;"|"&amp;B159&amp;"|"&amp;C159,'Master Data'!$A$2:$A$2436,0)),"")</f>
        <v>Slot kosong</v>
      </c>
      <c r="F159" s="67" t="str">
        <f aca="false">IFERROR(INDEX('Master Data'!$F$2:$F$2436,MATCH($B$3&amp;"|"&amp;D159&amp;"|"&amp;B159&amp;"|"&amp;C159,'Master Data'!$A$2:$A$2436,0))&amp;"","")</f>
        <v/>
      </c>
      <c r="G159" s="66" t="n">
        <f aca="false">IFERROR(INDEX('Master Data'!$G$2:$G$2436,MATCH($B$3&amp;"|"&amp;D159&amp;"|"&amp;B159&amp;"|"&amp;C159,'Master Data'!$A$2:$A$2436,0)),"")</f>
        <v>4</v>
      </c>
      <c r="H159" s="67" t="str">
        <f aca="false">IFERROR(INDEX('Master Data'!$K$2:$K$2436,MATCH($B$3&amp;"|"&amp;D159&amp;"|"&amp;B159&amp;"|"&amp;C159,'Master Data'!$A$2:$A$2436,0))&amp;"","")</f>
        <v/>
      </c>
      <c r="I159" s="67" t="s">
        <v>172</v>
      </c>
      <c r="J159" s="67" t="s">
        <v>134</v>
      </c>
      <c r="K159" s="68"/>
      <c r="L159" s="68"/>
      <c r="M159" s="68"/>
      <c r="N159" s="69"/>
      <c r="O159" s="68"/>
    </row>
    <row r="160" customFormat="false" ht="27.75" hidden="false" customHeight="true" outlineLevel="0" collapsed="false">
      <c r="A160" s="66" t="n">
        <v>69</v>
      </c>
      <c r="B160" s="67" t="s">
        <v>93</v>
      </c>
      <c r="C160" s="66" t="s">
        <v>99</v>
      </c>
      <c r="D160" s="66" t="n">
        <v>1</v>
      </c>
      <c r="E160" s="67" t="str">
        <f aca="false">IFERROR(INDEX('Master Data'!$L$2:$L$2436,MATCH($B$3&amp;"|"&amp;D160&amp;"|"&amp;B160&amp;"|"&amp;C160,'Master Data'!$A$2:$A$2436,0)),"")</f>
        <v>Slot kosong</v>
      </c>
      <c r="F160" s="67" t="str">
        <f aca="false">IFERROR(INDEX('Master Data'!$F$2:$F$2436,MATCH($B$3&amp;"|"&amp;D160&amp;"|"&amp;B160&amp;"|"&amp;C160,'Master Data'!$A$2:$A$2436,0))&amp;"","")</f>
        <v/>
      </c>
      <c r="G160" s="66" t="n">
        <f aca="false">IFERROR(INDEX('Master Data'!$G$2:$G$2436,MATCH($B$3&amp;"|"&amp;D160&amp;"|"&amp;B160&amp;"|"&amp;C160,'Master Data'!$A$2:$A$2436,0)),"")</f>
        <v>5</v>
      </c>
      <c r="H160" s="67" t="str">
        <f aca="false">IFERROR(INDEX('Master Data'!$K$2:$K$2436,MATCH($B$3&amp;"|"&amp;D160&amp;"|"&amp;B160&amp;"|"&amp;C160,'Master Data'!$A$2:$A$2436,0))&amp;"","")</f>
        <v/>
      </c>
      <c r="I160" s="67" t="s">
        <v>173</v>
      </c>
      <c r="J160" s="67" t="s">
        <v>134</v>
      </c>
      <c r="K160" s="68"/>
      <c r="L160" s="68"/>
      <c r="M160" s="68"/>
      <c r="N160" s="69"/>
      <c r="O160" s="68"/>
    </row>
    <row r="161" customFormat="false" ht="27.75" hidden="false" customHeight="true" outlineLevel="0" collapsed="false">
      <c r="A161" s="66" t="n">
        <v>70</v>
      </c>
      <c r="B161" s="67" t="s">
        <v>93</v>
      </c>
      <c r="C161" s="66" t="s">
        <v>99</v>
      </c>
      <c r="D161" s="66" t="n">
        <v>2</v>
      </c>
      <c r="E161" s="67" t="str">
        <f aca="false">IFERROR(INDEX('Master Data'!$L$2:$L$2436,MATCH($B$3&amp;"|"&amp;D161&amp;"|"&amp;B161&amp;"|"&amp;C161,'Master Data'!$A$2:$A$2436,0)),"")</f>
        <v>Belum terisi</v>
      </c>
      <c r="F161" s="67" t="str">
        <f aca="false">IFERROR(INDEX('Master Data'!$F$2:$F$2436,MATCH($B$3&amp;"|"&amp;D161&amp;"|"&amp;B161&amp;"|"&amp;C161,'Master Data'!$A$2:$A$2436,0))&amp;"","")</f>
        <v>Tiny</v>
      </c>
      <c r="G161" s="66" t="n">
        <f aca="false">IFERROR(INDEX('Master Data'!$G$2:$G$2436,MATCH($B$3&amp;"|"&amp;D161&amp;"|"&amp;B161&amp;"|"&amp;C161,'Master Data'!$A$2:$A$2436,0)),"")</f>
        <v>5</v>
      </c>
      <c r="H161" s="67" t="str">
        <f aca="false">IFERROR(INDEX('Master Data'!$K$2:$K$2436,MATCH($B$3&amp;"|"&amp;D161&amp;"|"&amp;B161&amp;"|"&amp;C161,'Master Data'!$A$2:$A$2436,0))&amp;"","")</f>
        <v/>
      </c>
      <c r="I161" s="67" t="s">
        <v>173</v>
      </c>
      <c r="J161" s="67" t="s">
        <v>134</v>
      </c>
      <c r="K161" s="68"/>
      <c r="L161" s="68"/>
      <c r="M161" s="68"/>
      <c r="N161" s="69"/>
      <c r="O161" s="68"/>
    </row>
    <row r="162" customFormat="false" ht="40.5" hidden="false" customHeight="true" outlineLevel="0" collapsed="false">
      <c r="A162" s="66" t="n">
        <v>71</v>
      </c>
      <c r="B162" s="67" t="s">
        <v>93</v>
      </c>
      <c r="C162" s="66" t="s">
        <v>114</v>
      </c>
      <c r="D162" s="66" t="n">
        <v>4</v>
      </c>
      <c r="E162" s="67" t="str">
        <f aca="false">IFERROR(INDEX('Master Data'!$L$2:$L$2436,MATCH($B$3&amp;"|"&amp;D162&amp;"|"&amp;B162&amp;"|"&amp;C162,'Master Data'!$A$2:$A$2436,0)),"")</f>
        <v>Belum terisi</v>
      </c>
      <c r="F162" s="67" t="str">
        <f aca="false">IFERROR(INDEX('Master Data'!$F$2:$F$2436,MATCH($B$3&amp;"|"&amp;D162&amp;"|"&amp;B162&amp;"|"&amp;C162,'Master Data'!$A$2:$A$2436,0))&amp;"","")</f>
        <v>Kids</v>
      </c>
      <c r="G162" s="66" t="n">
        <f aca="false">IFERROR(INDEX('Master Data'!$G$2:$G$2436,MATCH($B$3&amp;"|"&amp;D162&amp;"|"&amp;B162&amp;"|"&amp;C162,'Master Data'!$A$2:$A$2436,0)),"")</f>
        <v>4</v>
      </c>
      <c r="H162" s="67" t="str">
        <f aca="false">IFERROR(INDEX('Master Data'!$K$2:$K$2436,MATCH($B$3&amp;"|"&amp;D162&amp;"|"&amp;B162&amp;"|"&amp;C162,'Master Data'!$A$2:$A$2436,0))&amp;"","")</f>
        <v/>
      </c>
      <c r="I162" s="67" t="s">
        <v>169</v>
      </c>
      <c r="J162" s="67" t="s">
        <v>134</v>
      </c>
      <c r="K162" s="68"/>
      <c r="L162" s="68"/>
      <c r="M162" s="68"/>
      <c r="N162" s="69"/>
      <c r="O162" s="68"/>
    </row>
    <row r="163" customFormat="false" ht="40.5" hidden="false" customHeight="true" outlineLevel="0" collapsed="false">
      <c r="A163" s="66" t="n">
        <v>72</v>
      </c>
      <c r="B163" s="67" t="s">
        <v>93</v>
      </c>
      <c r="C163" s="66" t="s">
        <v>114</v>
      </c>
      <c r="D163" s="66" t="n">
        <v>5</v>
      </c>
      <c r="E163" s="67" t="str">
        <f aca="false">IFERROR(INDEX('Master Data'!$L$2:$L$2436,MATCH($B$3&amp;"|"&amp;D163&amp;"|"&amp;B163&amp;"|"&amp;C163,'Master Data'!$A$2:$A$2436,0)),"")</f>
        <v>Slot kosong</v>
      </c>
      <c r="F163" s="67" t="str">
        <f aca="false">IFERROR(INDEX('Master Data'!$F$2:$F$2436,MATCH($B$3&amp;"|"&amp;D163&amp;"|"&amp;B163&amp;"|"&amp;C163,'Master Data'!$A$2:$A$2436,0))&amp;"","")</f>
        <v/>
      </c>
      <c r="G163" s="66" t="n">
        <f aca="false">IFERROR(INDEX('Master Data'!$G$2:$G$2436,MATCH($B$3&amp;"|"&amp;D163&amp;"|"&amp;B163&amp;"|"&amp;C163,'Master Data'!$A$2:$A$2436,0)),"")</f>
        <v>4</v>
      </c>
      <c r="H163" s="67" t="str">
        <f aca="false">IFERROR(INDEX('Master Data'!$K$2:$K$2436,MATCH($B$3&amp;"|"&amp;D163&amp;"|"&amp;B163&amp;"|"&amp;C163,'Master Data'!$A$2:$A$2436,0))&amp;"","")</f>
        <v/>
      </c>
      <c r="I163" s="67" t="s">
        <v>169</v>
      </c>
      <c r="J163" s="67" t="s">
        <v>134</v>
      </c>
      <c r="K163" s="68"/>
      <c r="L163" s="68"/>
      <c r="M163" s="68"/>
      <c r="N163" s="69"/>
      <c r="O163" s="68"/>
    </row>
    <row r="164" customFormat="false" ht="40.5" hidden="false" customHeight="true" outlineLevel="0" collapsed="false">
      <c r="A164" s="66" t="n">
        <v>73</v>
      </c>
      <c r="B164" s="67" t="s">
        <v>93</v>
      </c>
      <c r="C164" s="66" t="s">
        <v>100</v>
      </c>
      <c r="D164" s="66" t="n">
        <v>1</v>
      </c>
      <c r="E164" s="67" t="str">
        <f aca="false">IFERROR(INDEX('Master Data'!$L$2:$L$2436,MATCH($B$3&amp;"|"&amp;D164&amp;"|"&amp;B164&amp;"|"&amp;C164,'Master Data'!$A$2:$A$2436,0)),"")</f>
        <v>Slot kosong</v>
      </c>
      <c r="F164" s="67" t="str">
        <f aca="false">IFERROR(INDEX('Master Data'!$F$2:$F$2436,MATCH($B$3&amp;"|"&amp;D164&amp;"|"&amp;B164&amp;"|"&amp;C164,'Master Data'!$A$2:$A$2436,0))&amp;"","")</f>
        <v/>
      </c>
      <c r="G164" s="66" t="n">
        <f aca="false">IFERROR(INDEX('Master Data'!$G$2:$G$2436,MATCH($B$3&amp;"|"&amp;D164&amp;"|"&amp;B164&amp;"|"&amp;C164,'Master Data'!$A$2:$A$2436,0)),"")</f>
        <v>5</v>
      </c>
      <c r="H164" s="67" t="str">
        <f aca="false">IFERROR(INDEX('Master Data'!$K$2:$K$2436,MATCH($B$3&amp;"|"&amp;D164&amp;"|"&amp;B164&amp;"|"&amp;C164,'Master Data'!$A$2:$A$2436,0))&amp;"","")</f>
        <v/>
      </c>
      <c r="I164" s="67" t="s">
        <v>169</v>
      </c>
      <c r="J164" s="67" t="s">
        <v>134</v>
      </c>
      <c r="K164" s="68"/>
      <c r="L164" s="68"/>
      <c r="M164" s="68"/>
      <c r="N164" s="69"/>
      <c r="O164" s="68"/>
    </row>
    <row r="165" customFormat="false" ht="40.5" hidden="false" customHeight="true" outlineLevel="0" collapsed="false">
      <c r="A165" s="66" t="n">
        <v>74</v>
      </c>
      <c r="B165" s="67" t="s">
        <v>93</v>
      </c>
      <c r="C165" s="66" t="s">
        <v>100</v>
      </c>
      <c r="D165" s="66" t="n">
        <v>2</v>
      </c>
      <c r="E165" s="67" t="str">
        <f aca="false">IFERROR(INDEX('Master Data'!$L$2:$L$2436,MATCH($B$3&amp;"|"&amp;D165&amp;"|"&amp;B165&amp;"|"&amp;C165,'Master Data'!$A$2:$A$2436,0)),"")</f>
        <v>Belum terisi</v>
      </c>
      <c r="F165" s="67" t="str">
        <f aca="false">IFERROR(INDEX('Master Data'!$F$2:$F$2436,MATCH($B$3&amp;"|"&amp;D165&amp;"|"&amp;B165&amp;"|"&amp;C165,'Master Data'!$A$2:$A$2436,0))&amp;"","")</f>
        <v>Tiny</v>
      </c>
      <c r="G165" s="66" t="n">
        <f aca="false">IFERROR(INDEX('Master Data'!$G$2:$G$2436,MATCH($B$3&amp;"|"&amp;D165&amp;"|"&amp;B165&amp;"|"&amp;C165,'Master Data'!$A$2:$A$2436,0)),"")</f>
        <v>5</v>
      </c>
      <c r="H165" s="67" t="str">
        <f aca="false">IFERROR(INDEX('Master Data'!$K$2:$K$2436,MATCH($B$3&amp;"|"&amp;D165&amp;"|"&amp;B165&amp;"|"&amp;C165,'Master Data'!$A$2:$A$2436,0))&amp;"","")</f>
        <v/>
      </c>
      <c r="I165" s="67" t="s">
        <v>169</v>
      </c>
      <c r="J165" s="67" t="s">
        <v>134</v>
      </c>
      <c r="K165" s="68"/>
      <c r="L165" s="68"/>
      <c r="M165" s="68"/>
      <c r="N165" s="69"/>
      <c r="O165" s="68"/>
    </row>
    <row r="166" customFormat="false" ht="52.5" hidden="false" customHeight="true" outlineLevel="0" collapsed="false">
      <c r="A166" s="66" t="n">
        <v>75</v>
      </c>
      <c r="B166" s="67" t="s">
        <v>93</v>
      </c>
      <c r="C166" s="66" t="s">
        <v>115</v>
      </c>
      <c r="D166" s="66" t="n">
        <v>5</v>
      </c>
      <c r="E166" s="67" t="str">
        <f aca="false">IFERROR(INDEX('Master Data'!$L$2:$L$2436,MATCH($B$3&amp;"|"&amp;D166&amp;"|"&amp;B166&amp;"|"&amp;C166,'Master Data'!$A$2:$A$2436,0)),"")</f>
        <v>Slot kosong</v>
      </c>
      <c r="F166" s="67" t="str">
        <f aca="false">IFERROR(INDEX('Master Data'!$F$2:$F$2436,MATCH($B$3&amp;"|"&amp;D166&amp;"|"&amp;B166&amp;"|"&amp;C166,'Master Data'!$A$2:$A$2436,0))&amp;"","")</f>
        <v/>
      </c>
      <c r="G166" s="66" t="n">
        <f aca="false">IFERROR(INDEX('Master Data'!$G$2:$G$2436,MATCH($B$3&amp;"|"&amp;D166&amp;"|"&amp;B166&amp;"|"&amp;C166,'Master Data'!$A$2:$A$2436,0)),"")</f>
        <v>4</v>
      </c>
      <c r="H166" s="67" t="str">
        <f aca="false">IFERROR(INDEX('Master Data'!$K$2:$K$2436,MATCH($B$3&amp;"|"&amp;D166&amp;"|"&amp;B166&amp;"|"&amp;C166,'Master Data'!$A$2:$A$2436,0))&amp;"","")</f>
        <v/>
      </c>
      <c r="I166" s="67" t="s">
        <v>174</v>
      </c>
      <c r="J166" s="67" t="s">
        <v>134</v>
      </c>
      <c r="K166" s="68"/>
      <c r="L166" s="68"/>
      <c r="M166" s="68"/>
      <c r="N166" s="69"/>
      <c r="O166" s="68"/>
    </row>
    <row r="167" customFormat="false" ht="40.5" hidden="false" customHeight="true" outlineLevel="0" collapsed="false">
      <c r="A167" s="66" t="n">
        <v>76</v>
      </c>
      <c r="B167" s="67" t="s">
        <v>93</v>
      </c>
      <c r="C167" s="66" t="s">
        <v>116</v>
      </c>
      <c r="D167" s="66" t="n">
        <v>4</v>
      </c>
      <c r="E167" s="67" t="str">
        <f aca="false">IFERROR(INDEX('Master Data'!$L$2:$L$2436,MATCH($B$3&amp;"|"&amp;D167&amp;"|"&amp;B167&amp;"|"&amp;C167,'Master Data'!$A$2:$A$2436,0)),"")</f>
        <v>Belum terisi</v>
      </c>
      <c r="F167" s="67" t="str">
        <f aca="false">IFERROR(INDEX('Master Data'!$F$2:$F$2436,MATCH($B$3&amp;"|"&amp;D167&amp;"|"&amp;B167&amp;"|"&amp;C167,'Master Data'!$A$2:$A$2436,0))&amp;"","")</f>
        <v>Kids</v>
      </c>
      <c r="G167" s="66" t="n">
        <f aca="false">IFERROR(INDEX('Master Data'!$G$2:$G$2436,MATCH($B$3&amp;"|"&amp;D167&amp;"|"&amp;B167&amp;"|"&amp;C167,'Master Data'!$A$2:$A$2436,0)),"")</f>
        <v>4</v>
      </c>
      <c r="H167" s="67" t="str">
        <f aca="false">IFERROR(INDEX('Master Data'!$K$2:$K$2436,MATCH($B$3&amp;"|"&amp;D167&amp;"|"&amp;B167&amp;"|"&amp;C167,'Master Data'!$A$2:$A$2436,0))&amp;"","")</f>
        <v/>
      </c>
      <c r="I167" s="67" t="s">
        <v>175</v>
      </c>
      <c r="J167" s="67" t="s">
        <v>134</v>
      </c>
      <c r="K167" s="68"/>
      <c r="L167" s="68"/>
      <c r="M167" s="68"/>
      <c r="N167" s="69"/>
      <c r="O167" s="68"/>
    </row>
    <row r="168" customFormat="false" ht="15.75" hidden="false" customHeight="true" outlineLevel="0" collapsed="false">
      <c r="A168" s="66" t="n">
        <v>77</v>
      </c>
      <c r="B168" s="67" t="s">
        <v>93</v>
      </c>
      <c r="C168" s="66" t="s">
        <v>102</v>
      </c>
      <c r="D168" s="66" t="n">
        <v>1</v>
      </c>
      <c r="E168" s="67" t="str">
        <f aca="false">IFERROR(INDEX('Master Data'!$L$2:$L$2436,MATCH($B$3&amp;"|"&amp;D168&amp;"|"&amp;B168&amp;"|"&amp;C168,'Master Data'!$A$2:$A$2436,0)),"")</f>
        <v>Slot kosong</v>
      </c>
      <c r="F168" s="67" t="str">
        <f aca="false">IFERROR(INDEX('Master Data'!$F$2:$F$2436,MATCH($B$3&amp;"|"&amp;D168&amp;"|"&amp;B168&amp;"|"&amp;C168,'Master Data'!$A$2:$A$2436,0))&amp;"","")</f>
        <v/>
      </c>
      <c r="G168" s="66" t="n">
        <f aca="false">IFERROR(INDEX('Master Data'!$G$2:$G$2436,MATCH($B$3&amp;"|"&amp;D168&amp;"|"&amp;B168&amp;"|"&amp;C168,'Master Data'!$A$2:$A$2436,0)),"")</f>
        <v>5</v>
      </c>
      <c r="H168" s="67" t="str">
        <f aca="false">IFERROR(INDEX('Master Data'!$K$2:$K$2436,MATCH($B$3&amp;"|"&amp;D168&amp;"|"&amp;B168&amp;"|"&amp;C168,'Master Data'!$A$2:$A$2436,0))&amp;"","")</f>
        <v/>
      </c>
      <c r="I168" s="67" t="s">
        <v>157</v>
      </c>
      <c r="J168" s="67" t="s">
        <v>134</v>
      </c>
      <c r="K168" s="68"/>
      <c r="L168" s="68"/>
      <c r="M168" s="68"/>
      <c r="N168" s="69"/>
      <c r="O168" s="68"/>
    </row>
    <row r="169" customFormat="false" ht="15.75" hidden="false" customHeight="true" outlineLevel="0" collapsed="false">
      <c r="A169" s="66" t="n">
        <v>78</v>
      </c>
      <c r="B169" s="67" t="s">
        <v>93</v>
      </c>
      <c r="C169" s="66" t="s">
        <v>102</v>
      </c>
      <c r="D169" s="66" t="n">
        <v>2</v>
      </c>
      <c r="E169" s="67" t="str">
        <f aca="false">IFERROR(INDEX('Master Data'!$L$2:$L$2436,MATCH($B$3&amp;"|"&amp;D169&amp;"|"&amp;B169&amp;"|"&amp;C169,'Master Data'!$A$2:$A$2436,0)),"")</f>
        <v>Belum terisi</v>
      </c>
      <c r="F169" s="67" t="str">
        <f aca="false">IFERROR(INDEX('Master Data'!$F$2:$F$2436,MATCH($B$3&amp;"|"&amp;D169&amp;"|"&amp;B169&amp;"|"&amp;C169,'Master Data'!$A$2:$A$2436,0))&amp;"","")</f>
        <v>Tiny</v>
      </c>
      <c r="G169" s="66" t="n">
        <f aca="false">IFERROR(INDEX('Master Data'!$G$2:$G$2436,MATCH($B$3&amp;"|"&amp;D169&amp;"|"&amp;B169&amp;"|"&amp;C169,'Master Data'!$A$2:$A$2436,0)),"")</f>
        <v>5</v>
      </c>
      <c r="H169" s="67" t="str">
        <f aca="false">IFERROR(INDEX('Master Data'!$K$2:$K$2436,MATCH($B$3&amp;"|"&amp;D169&amp;"|"&amp;B169&amp;"|"&amp;C169,'Master Data'!$A$2:$A$2436,0))&amp;"","")</f>
        <v/>
      </c>
      <c r="I169" s="67" t="s">
        <v>157</v>
      </c>
      <c r="J169" s="67" t="s">
        <v>134</v>
      </c>
      <c r="K169" s="68"/>
      <c r="L169" s="68"/>
      <c r="M169" s="68"/>
      <c r="N169" s="69"/>
      <c r="O169" s="68"/>
    </row>
    <row r="170" customFormat="false" ht="15.75" hidden="false" customHeight="true" outlineLevel="0" collapsed="false">
      <c r="A170" s="66" t="n">
        <v>79</v>
      </c>
      <c r="B170" s="67" t="s">
        <v>93</v>
      </c>
      <c r="C170" s="66" t="s">
        <v>103</v>
      </c>
      <c r="D170" s="66" t="n">
        <v>2</v>
      </c>
      <c r="E170" s="67" t="str">
        <f aca="false">IFERROR(INDEX('Master Data'!$L$2:$L$2436,MATCH($B$3&amp;"|"&amp;D170&amp;"|"&amp;B170&amp;"|"&amp;C170,'Master Data'!$A$2:$A$2436,0)),"")</f>
        <v>Belum terisi</v>
      </c>
      <c r="F170" s="67" t="str">
        <f aca="false">IFERROR(INDEX('Master Data'!$F$2:$F$2436,MATCH($B$3&amp;"|"&amp;D170&amp;"|"&amp;B170&amp;"|"&amp;C170,'Master Data'!$A$2:$A$2436,0))&amp;"","")</f>
        <v>Tiny</v>
      </c>
      <c r="G170" s="66" t="n">
        <f aca="false">IFERROR(INDEX('Master Data'!$G$2:$G$2436,MATCH($B$3&amp;"|"&amp;D170&amp;"|"&amp;B170&amp;"|"&amp;C170,'Master Data'!$A$2:$A$2436,0)),"")</f>
        <v>5</v>
      </c>
      <c r="H170" s="67" t="str">
        <f aca="false">IFERROR(INDEX('Master Data'!$K$2:$K$2436,MATCH($B$3&amp;"|"&amp;D170&amp;"|"&amp;B170&amp;"|"&amp;C170,'Master Data'!$A$2:$A$2436,0))&amp;"","")</f>
        <v/>
      </c>
      <c r="I170" s="67" t="s">
        <v>176</v>
      </c>
      <c r="J170" s="67" t="s">
        <v>144</v>
      </c>
      <c r="K170" s="68"/>
      <c r="L170" s="68"/>
      <c r="M170" s="68"/>
      <c r="N170" s="69"/>
      <c r="O170" s="68"/>
    </row>
    <row r="171" customFormat="false" ht="15.75" hidden="false" customHeight="true" outlineLevel="0" collapsed="false">
      <c r="A171" s="66" t="n">
        <v>80</v>
      </c>
      <c r="B171" s="67" t="s">
        <v>93</v>
      </c>
      <c r="C171" s="66" t="s">
        <v>106</v>
      </c>
      <c r="D171" s="66" t="n">
        <v>2</v>
      </c>
      <c r="E171" s="67" t="str">
        <f aca="false">IFERROR(INDEX('Master Data'!$L$2:$L$2436,MATCH($B$3&amp;"|"&amp;D171&amp;"|"&amp;B171&amp;"|"&amp;C171,'Master Data'!$A$2:$A$2436,0)),"")</f>
        <v>Belum terisi</v>
      </c>
      <c r="F171" s="67" t="str">
        <f aca="false">IFERROR(INDEX('Master Data'!$F$2:$F$2436,MATCH($B$3&amp;"|"&amp;D171&amp;"|"&amp;B171&amp;"|"&amp;C171,'Master Data'!$A$2:$A$2436,0))&amp;"","")</f>
        <v>Tiny</v>
      </c>
      <c r="G171" s="66" t="n">
        <f aca="false">IFERROR(INDEX('Master Data'!$G$2:$G$2436,MATCH($B$3&amp;"|"&amp;D171&amp;"|"&amp;B171&amp;"|"&amp;C171,'Master Data'!$A$2:$A$2436,0)),"")</f>
        <v>5</v>
      </c>
      <c r="H171" s="67" t="str">
        <f aca="false">IFERROR(INDEX('Master Data'!$K$2:$K$2436,MATCH($B$3&amp;"|"&amp;D171&amp;"|"&amp;B171&amp;"|"&amp;C171,'Master Data'!$A$2:$A$2436,0))&amp;"","")</f>
        <v/>
      </c>
      <c r="I171" s="70" t="s">
        <v>154</v>
      </c>
      <c r="J171" s="67" t="s">
        <v>42</v>
      </c>
      <c r="K171" s="68"/>
      <c r="L171" s="68"/>
      <c r="M171" s="68"/>
      <c r="N171" s="69"/>
      <c r="O171" s="68"/>
    </row>
    <row r="172" customFormat="false" ht="27.75" hidden="false" customHeight="true" outlineLevel="0" collapsed="false">
      <c r="A172" s="66" t="n">
        <v>81</v>
      </c>
      <c r="B172" s="67" t="s">
        <v>93</v>
      </c>
      <c r="C172" s="66" t="s">
        <v>107</v>
      </c>
      <c r="D172" s="66" t="n">
        <v>1</v>
      </c>
      <c r="E172" s="67" t="str">
        <f aca="false">IFERROR(INDEX('Master Data'!$L$2:$L$2436,MATCH($B$3&amp;"|"&amp;D172&amp;"|"&amp;B172&amp;"|"&amp;C172,'Master Data'!$A$2:$A$2436,0)),"")</f>
        <v>Slot kosong</v>
      </c>
      <c r="F172" s="67" t="str">
        <f aca="false">IFERROR(INDEX('Master Data'!$F$2:$F$2436,MATCH($B$3&amp;"|"&amp;D172&amp;"|"&amp;B172&amp;"|"&amp;C172,'Master Data'!$A$2:$A$2436,0))&amp;"","")</f>
        <v/>
      </c>
      <c r="G172" s="66" t="n">
        <f aca="false">IFERROR(INDEX('Master Data'!$G$2:$G$2436,MATCH($B$3&amp;"|"&amp;D172&amp;"|"&amp;B172&amp;"|"&amp;C172,'Master Data'!$A$2:$A$2436,0)),"")</f>
        <v>5</v>
      </c>
      <c r="H172" s="67" t="str">
        <f aca="false">IFERROR(INDEX('Master Data'!$K$2:$K$2436,MATCH($B$3&amp;"|"&amp;D172&amp;"|"&amp;B172&amp;"|"&amp;C172,'Master Data'!$A$2:$A$2436,0))&amp;"","")</f>
        <v/>
      </c>
      <c r="I172" s="67" t="s">
        <v>177</v>
      </c>
      <c r="J172" s="67" t="s">
        <v>134</v>
      </c>
      <c r="K172" s="68"/>
      <c r="L172" s="68"/>
      <c r="M172" s="68"/>
      <c r="N172" s="69"/>
      <c r="O172" s="68"/>
    </row>
    <row r="173" customFormat="false" ht="27.75" hidden="false" customHeight="true" outlineLevel="0" collapsed="false">
      <c r="A173" s="66" t="n">
        <v>82</v>
      </c>
      <c r="B173" s="67" t="s">
        <v>93</v>
      </c>
      <c r="C173" s="66" t="s">
        <v>107</v>
      </c>
      <c r="D173" s="66" t="n">
        <v>2</v>
      </c>
      <c r="E173" s="67" t="str">
        <f aca="false">IFERROR(INDEX('Master Data'!$L$2:$L$2436,MATCH($B$3&amp;"|"&amp;D173&amp;"|"&amp;B173&amp;"|"&amp;C173,'Master Data'!$A$2:$A$2436,0)),"")</f>
        <v>Belum terisi</v>
      </c>
      <c r="F173" s="67" t="str">
        <f aca="false">IFERROR(INDEX('Master Data'!$F$2:$F$2436,MATCH($B$3&amp;"|"&amp;D173&amp;"|"&amp;B173&amp;"|"&amp;C173,'Master Data'!$A$2:$A$2436,0))&amp;"","")</f>
        <v>Tiny</v>
      </c>
      <c r="G173" s="66" t="n">
        <f aca="false">IFERROR(INDEX('Master Data'!$G$2:$G$2436,MATCH($B$3&amp;"|"&amp;D173&amp;"|"&amp;B173&amp;"|"&amp;C173,'Master Data'!$A$2:$A$2436,0)),"")</f>
        <v>5</v>
      </c>
      <c r="H173" s="67" t="str">
        <f aca="false">IFERROR(INDEX('Master Data'!$K$2:$K$2436,MATCH($B$3&amp;"|"&amp;D173&amp;"|"&amp;B173&amp;"|"&amp;C173,'Master Data'!$A$2:$A$2436,0))&amp;"","")</f>
        <v/>
      </c>
      <c r="I173" s="67" t="s">
        <v>177</v>
      </c>
      <c r="J173" s="67" t="s">
        <v>134</v>
      </c>
      <c r="K173" s="68"/>
      <c r="L173" s="68"/>
      <c r="M173" s="68"/>
      <c r="N173" s="69"/>
      <c r="O173" s="68"/>
    </row>
    <row r="174" customFormat="false" ht="52.5" hidden="false" customHeight="true" outlineLevel="0" collapsed="false">
      <c r="A174" s="66" t="n">
        <v>83</v>
      </c>
      <c r="B174" s="67" t="s">
        <v>94</v>
      </c>
      <c r="C174" s="66" t="s">
        <v>111</v>
      </c>
      <c r="D174" s="66" t="n">
        <v>3</v>
      </c>
      <c r="E174" s="67" t="str">
        <f aca="false">IFERROR(INDEX('Master Data'!$L$2:$L$2436,MATCH($B$3&amp;"|"&amp;D174&amp;"|"&amp;B174&amp;"|"&amp;C174,'Master Data'!$A$2:$A$2436,0)),"")</f>
        <v>Belum terisi</v>
      </c>
      <c r="F174" s="67" t="str">
        <f aca="false">IFERROR(INDEX('Master Data'!$F$2:$F$2436,MATCH($B$3&amp;"|"&amp;D174&amp;"|"&amp;B174&amp;"|"&amp;C174,'Master Data'!$A$2:$A$2436,0))&amp;"","")</f>
        <v>Little</v>
      </c>
      <c r="G174" s="66" t="n">
        <f aca="false">IFERROR(INDEX('Master Data'!$G$2:$G$2436,MATCH($B$3&amp;"|"&amp;D174&amp;"|"&amp;B174&amp;"|"&amp;C174,'Master Data'!$A$2:$A$2436,0)),"")</f>
        <v>4</v>
      </c>
      <c r="H174" s="67" t="str">
        <f aca="false">IFERROR(INDEX('Master Data'!$K$2:$K$2436,MATCH($B$3&amp;"|"&amp;D174&amp;"|"&amp;B174&amp;"|"&amp;C174,'Master Data'!$A$2:$A$2436,0))&amp;"","")</f>
        <v/>
      </c>
      <c r="I174" s="67" t="s">
        <v>178</v>
      </c>
      <c r="J174" s="67" t="s">
        <v>134</v>
      </c>
      <c r="K174" s="68"/>
      <c r="L174" s="68"/>
      <c r="M174" s="68"/>
      <c r="N174" s="69"/>
      <c r="O174" s="68"/>
    </row>
    <row r="175" customFormat="false" ht="52.5" hidden="false" customHeight="true" outlineLevel="0" collapsed="false">
      <c r="A175" s="66" t="n">
        <v>84</v>
      </c>
      <c r="B175" s="67" t="s">
        <v>94</v>
      </c>
      <c r="C175" s="66" t="s">
        <v>111</v>
      </c>
      <c r="D175" s="66" t="n">
        <v>4</v>
      </c>
      <c r="E175" s="67" t="str">
        <f aca="false">IFERROR(INDEX('Master Data'!$L$2:$L$2436,MATCH($B$3&amp;"|"&amp;D175&amp;"|"&amp;B175&amp;"|"&amp;C175,'Master Data'!$A$2:$A$2436,0)),"")</f>
        <v>Belum terisi</v>
      </c>
      <c r="F175" s="67" t="str">
        <f aca="false">IFERROR(INDEX('Master Data'!$F$2:$F$2436,MATCH($B$3&amp;"|"&amp;D175&amp;"|"&amp;B175&amp;"|"&amp;C175,'Master Data'!$A$2:$A$2436,0))&amp;"","")</f>
        <v>Kids</v>
      </c>
      <c r="G175" s="66" t="n">
        <f aca="false">IFERROR(INDEX('Master Data'!$G$2:$G$2436,MATCH($B$3&amp;"|"&amp;D175&amp;"|"&amp;B175&amp;"|"&amp;C175,'Master Data'!$A$2:$A$2436,0)),"")</f>
        <v>4</v>
      </c>
      <c r="H175" s="67" t="str">
        <f aca="false">IFERROR(INDEX('Master Data'!$K$2:$K$2436,MATCH($B$3&amp;"|"&amp;D175&amp;"|"&amp;B175&amp;"|"&amp;C175,'Master Data'!$A$2:$A$2436,0))&amp;"","")</f>
        <v/>
      </c>
      <c r="I175" s="67" t="s">
        <v>178</v>
      </c>
      <c r="J175" s="67" t="s">
        <v>134</v>
      </c>
      <c r="K175" s="68"/>
      <c r="L175" s="68"/>
      <c r="M175" s="68"/>
      <c r="N175" s="69"/>
      <c r="O175" s="68"/>
    </row>
    <row r="176" customFormat="false" ht="52.5" hidden="false" customHeight="true" outlineLevel="0" collapsed="false">
      <c r="A176" s="66" t="n">
        <v>85</v>
      </c>
      <c r="B176" s="67" t="s">
        <v>94</v>
      </c>
      <c r="C176" s="66" t="s">
        <v>111</v>
      </c>
      <c r="D176" s="66" t="n">
        <v>5</v>
      </c>
      <c r="E176" s="67" t="str">
        <f aca="false">IFERROR(INDEX('Master Data'!$L$2:$L$2436,MATCH($B$3&amp;"|"&amp;D176&amp;"|"&amp;B176&amp;"|"&amp;C176,'Master Data'!$A$2:$A$2436,0)),"")</f>
        <v>Slot kosong</v>
      </c>
      <c r="F176" s="67" t="str">
        <f aca="false">IFERROR(INDEX('Master Data'!$F$2:$F$2436,MATCH($B$3&amp;"|"&amp;D176&amp;"|"&amp;B176&amp;"|"&amp;C176,'Master Data'!$A$2:$A$2436,0))&amp;"","")</f>
        <v/>
      </c>
      <c r="G176" s="66" t="n">
        <f aca="false">IFERROR(INDEX('Master Data'!$G$2:$G$2436,MATCH($B$3&amp;"|"&amp;D176&amp;"|"&amp;B176&amp;"|"&amp;C176,'Master Data'!$A$2:$A$2436,0)),"")</f>
        <v>4</v>
      </c>
      <c r="H176" s="67" t="str">
        <f aca="false">IFERROR(INDEX('Master Data'!$K$2:$K$2436,MATCH($B$3&amp;"|"&amp;D176&amp;"|"&amp;B176&amp;"|"&amp;C176,'Master Data'!$A$2:$A$2436,0))&amp;"","")</f>
        <v/>
      </c>
      <c r="I176" s="67" t="s">
        <v>178</v>
      </c>
      <c r="J176" s="67" t="s">
        <v>134</v>
      </c>
      <c r="K176" s="68"/>
      <c r="L176" s="68"/>
      <c r="M176" s="68"/>
      <c r="N176" s="69"/>
      <c r="O176" s="68"/>
    </row>
    <row r="177" customFormat="false" ht="52.5" hidden="false" customHeight="true" outlineLevel="0" collapsed="false">
      <c r="A177" s="66" t="n">
        <v>86</v>
      </c>
      <c r="B177" s="67" t="s">
        <v>94</v>
      </c>
      <c r="C177" s="66" t="s">
        <v>112</v>
      </c>
      <c r="D177" s="66" t="n">
        <v>3</v>
      </c>
      <c r="E177" s="67" t="str">
        <f aca="false">IFERROR(INDEX('Master Data'!$L$2:$L$2436,MATCH($B$3&amp;"|"&amp;D177&amp;"|"&amp;B177&amp;"|"&amp;C177,'Master Data'!$A$2:$A$2436,0)),"")</f>
        <v>Belum terisi</v>
      </c>
      <c r="F177" s="67" t="str">
        <f aca="false">IFERROR(INDEX('Master Data'!$F$2:$F$2436,MATCH($B$3&amp;"|"&amp;D177&amp;"|"&amp;B177&amp;"|"&amp;C177,'Master Data'!$A$2:$A$2436,0))&amp;"","")</f>
        <v>Little</v>
      </c>
      <c r="G177" s="66" t="n">
        <f aca="false">IFERROR(INDEX('Master Data'!$G$2:$G$2436,MATCH($B$3&amp;"|"&amp;D177&amp;"|"&amp;B177&amp;"|"&amp;C177,'Master Data'!$A$2:$A$2436,0)),"")</f>
        <v>4</v>
      </c>
      <c r="H177" s="67" t="str">
        <f aca="false">IFERROR(INDEX('Master Data'!$K$2:$K$2436,MATCH($B$3&amp;"|"&amp;D177&amp;"|"&amp;B177&amp;"|"&amp;C177,'Master Data'!$A$2:$A$2436,0))&amp;"","")</f>
        <v/>
      </c>
      <c r="I177" s="67" t="s">
        <v>178</v>
      </c>
      <c r="J177" s="67" t="s">
        <v>134</v>
      </c>
      <c r="K177" s="68"/>
      <c r="L177" s="68"/>
      <c r="M177" s="68"/>
      <c r="N177" s="69"/>
      <c r="O177" s="68"/>
    </row>
    <row r="178" customFormat="false" ht="52.5" hidden="false" customHeight="true" outlineLevel="0" collapsed="false">
      <c r="A178" s="66" t="n">
        <v>87</v>
      </c>
      <c r="B178" s="67" t="s">
        <v>94</v>
      </c>
      <c r="C178" s="66" t="s">
        <v>112</v>
      </c>
      <c r="D178" s="66" t="n">
        <v>4</v>
      </c>
      <c r="E178" s="67" t="str">
        <f aca="false">IFERROR(INDEX('Master Data'!$L$2:$L$2436,MATCH($B$3&amp;"|"&amp;D178&amp;"|"&amp;B178&amp;"|"&amp;C178,'Master Data'!$A$2:$A$2436,0)),"")</f>
        <v>Belum terisi</v>
      </c>
      <c r="F178" s="67" t="str">
        <f aca="false">IFERROR(INDEX('Master Data'!$F$2:$F$2436,MATCH($B$3&amp;"|"&amp;D178&amp;"|"&amp;B178&amp;"|"&amp;C178,'Master Data'!$A$2:$A$2436,0))&amp;"","")</f>
        <v>Kids</v>
      </c>
      <c r="G178" s="66" t="n">
        <f aca="false">IFERROR(INDEX('Master Data'!$G$2:$G$2436,MATCH($B$3&amp;"|"&amp;D178&amp;"|"&amp;B178&amp;"|"&amp;C178,'Master Data'!$A$2:$A$2436,0)),"")</f>
        <v>4</v>
      </c>
      <c r="H178" s="67" t="str">
        <f aca="false">IFERROR(INDEX('Master Data'!$K$2:$K$2436,MATCH($B$3&amp;"|"&amp;D178&amp;"|"&amp;B178&amp;"|"&amp;C178,'Master Data'!$A$2:$A$2436,0))&amp;"","")</f>
        <v/>
      </c>
      <c r="I178" s="67" t="s">
        <v>178</v>
      </c>
      <c r="J178" s="67" t="s">
        <v>134</v>
      </c>
      <c r="K178" s="68"/>
      <c r="L178" s="68"/>
      <c r="M178" s="68"/>
      <c r="N178" s="69"/>
      <c r="O178" s="68"/>
    </row>
    <row r="179" customFormat="false" ht="52.5" hidden="false" customHeight="true" outlineLevel="0" collapsed="false">
      <c r="A179" s="66" t="n">
        <v>88</v>
      </c>
      <c r="B179" s="67" t="s">
        <v>94</v>
      </c>
      <c r="C179" s="66" t="s">
        <v>112</v>
      </c>
      <c r="D179" s="66" t="n">
        <v>5</v>
      </c>
      <c r="E179" s="67" t="str">
        <f aca="false">IFERROR(INDEX('Master Data'!$L$2:$L$2436,MATCH($B$3&amp;"|"&amp;D179&amp;"|"&amp;B179&amp;"|"&amp;C179,'Master Data'!$A$2:$A$2436,0)),"")</f>
        <v>Slot kosong</v>
      </c>
      <c r="F179" s="67" t="str">
        <f aca="false">IFERROR(INDEX('Master Data'!$F$2:$F$2436,MATCH($B$3&amp;"|"&amp;D179&amp;"|"&amp;B179&amp;"|"&amp;C179,'Master Data'!$A$2:$A$2436,0))&amp;"","")</f>
        <v/>
      </c>
      <c r="G179" s="66" t="n">
        <f aca="false">IFERROR(INDEX('Master Data'!$G$2:$G$2436,MATCH($B$3&amp;"|"&amp;D179&amp;"|"&amp;B179&amp;"|"&amp;C179,'Master Data'!$A$2:$A$2436,0)),"")</f>
        <v>4</v>
      </c>
      <c r="H179" s="67" t="str">
        <f aca="false">IFERROR(INDEX('Master Data'!$K$2:$K$2436,MATCH($B$3&amp;"|"&amp;D179&amp;"|"&amp;B179&amp;"|"&amp;C179,'Master Data'!$A$2:$A$2436,0))&amp;"","")</f>
        <v/>
      </c>
      <c r="I179" s="67" t="s">
        <v>178</v>
      </c>
      <c r="J179" s="67" t="s">
        <v>134</v>
      </c>
      <c r="K179" s="68"/>
      <c r="L179" s="68"/>
      <c r="M179" s="68"/>
      <c r="N179" s="69"/>
      <c r="O179" s="68"/>
    </row>
    <row r="180" customFormat="false" ht="52.5" hidden="false" customHeight="true" outlineLevel="0" collapsed="false">
      <c r="A180" s="66" t="n">
        <v>89</v>
      </c>
      <c r="B180" s="67" t="s">
        <v>94</v>
      </c>
      <c r="C180" s="66" t="s">
        <v>98</v>
      </c>
      <c r="D180" s="66" t="n">
        <v>1</v>
      </c>
      <c r="E180" s="67" t="str">
        <f aca="false">IFERROR(INDEX('Master Data'!$L$2:$L$2436,MATCH($B$3&amp;"|"&amp;D180&amp;"|"&amp;B180&amp;"|"&amp;C180,'Master Data'!$A$2:$A$2436,0)),"")</f>
        <v>Slot kosong</v>
      </c>
      <c r="F180" s="67" t="str">
        <f aca="false">IFERROR(INDEX('Master Data'!$F$2:$F$2436,MATCH($B$3&amp;"|"&amp;D180&amp;"|"&amp;B180&amp;"|"&amp;C180,'Master Data'!$A$2:$A$2436,0))&amp;"","")</f>
        <v/>
      </c>
      <c r="G180" s="66" t="n">
        <f aca="false">IFERROR(INDEX('Master Data'!$G$2:$G$2436,MATCH($B$3&amp;"|"&amp;D180&amp;"|"&amp;B180&amp;"|"&amp;C180,'Master Data'!$A$2:$A$2436,0)),"")</f>
        <v>5</v>
      </c>
      <c r="H180" s="67" t="str">
        <f aca="false">IFERROR(INDEX('Master Data'!$K$2:$K$2436,MATCH($B$3&amp;"|"&amp;D180&amp;"|"&amp;B180&amp;"|"&amp;C180,'Master Data'!$A$2:$A$2436,0))&amp;"","")</f>
        <v/>
      </c>
      <c r="I180" s="67" t="s">
        <v>179</v>
      </c>
      <c r="J180" s="67" t="s">
        <v>134</v>
      </c>
      <c r="K180" s="68"/>
      <c r="L180" s="68"/>
      <c r="M180" s="68"/>
      <c r="N180" s="69"/>
      <c r="O180" s="68"/>
    </row>
    <row r="181" customFormat="false" ht="52.5" hidden="false" customHeight="true" outlineLevel="0" collapsed="false">
      <c r="A181" s="66" t="n">
        <v>90</v>
      </c>
      <c r="B181" s="67" t="s">
        <v>94</v>
      </c>
      <c r="C181" s="66" t="s">
        <v>113</v>
      </c>
      <c r="D181" s="66" t="n">
        <v>5</v>
      </c>
      <c r="E181" s="67" t="str">
        <f aca="false">IFERROR(INDEX('Master Data'!$L$2:$L$2436,MATCH($B$3&amp;"|"&amp;D181&amp;"|"&amp;B181&amp;"|"&amp;C181,'Master Data'!$A$2:$A$2436,0)),"")</f>
        <v>Slot kosong</v>
      </c>
      <c r="F181" s="67" t="str">
        <f aca="false">IFERROR(INDEX('Master Data'!$F$2:$F$2436,MATCH($B$3&amp;"|"&amp;D181&amp;"|"&amp;B181&amp;"|"&amp;C181,'Master Data'!$A$2:$A$2436,0))&amp;"","")</f>
        <v/>
      </c>
      <c r="G181" s="66" t="n">
        <f aca="false">IFERROR(INDEX('Master Data'!$G$2:$G$2436,MATCH($B$3&amp;"|"&amp;D181&amp;"|"&amp;B181&amp;"|"&amp;C181,'Master Data'!$A$2:$A$2436,0)),"")</f>
        <v>4</v>
      </c>
      <c r="H181" s="67" t="str">
        <f aca="false">IFERROR(INDEX('Master Data'!$K$2:$K$2436,MATCH($B$3&amp;"|"&amp;D181&amp;"|"&amp;B181&amp;"|"&amp;C181,'Master Data'!$A$2:$A$2436,0))&amp;"","")</f>
        <v/>
      </c>
      <c r="I181" s="67" t="s">
        <v>179</v>
      </c>
      <c r="J181" s="67" t="s">
        <v>134</v>
      </c>
      <c r="K181" s="68"/>
      <c r="L181" s="68"/>
      <c r="M181" s="68"/>
      <c r="N181" s="69"/>
      <c r="O181" s="68"/>
    </row>
    <row r="182" customFormat="false" ht="52.5" hidden="false" customHeight="true" outlineLevel="0" collapsed="false">
      <c r="A182" s="66" t="n">
        <v>91</v>
      </c>
      <c r="B182" s="67" t="s">
        <v>94</v>
      </c>
      <c r="C182" s="66" t="s">
        <v>99</v>
      </c>
      <c r="D182" s="66" t="n">
        <v>1</v>
      </c>
      <c r="E182" s="67" t="str">
        <f aca="false">IFERROR(INDEX('Master Data'!$L$2:$L$2436,MATCH($B$3&amp;"|"&amp;D182&amp;"|"&amp;B182&amp;"|"&amp;C182,'Master Data'!$A$2:$A$2436,0)),"")</f>
        <v>Slot kosong</v>
      </c>
      <c r="F182" s="67" t="str">
        <f aca="false">IFERROR(INDEX('Master Data'!$F$2:$F$2436,MATCH($B$3&amp;"|"&amp;D182&amp;"|"&amp;B182&amp;"|"&amp;C182,'Master Data'!$A$2:$A$2436,0))&amp;"","")</f>
        <v/>
      </c>
      <c r="G182" s="66" t="n">
        <f aca="false">IFERROR(INDEX('Master Data'!$G$2:$G$2436,MATCH($B$3&amp;"|"&amp;D182&amp;"|"&amp;B182&amp;"|"&amp;C182,'Master Data'!$A$2:$A$2436,0)),"")</f>
        <v>5</v>
      </c>
      <c r="H182" s="67" t="str">
        <f aca="false">IFERROR(INDEX('Master Data'!$K$2:$K$2436,MATCH($B$3&amp;"|"&amp;D182&amp;"|"&amp;B182&amp;"|"&amp;C182,'Master Data'!$A$2:$A$2436,0))&amp;"","")</f>
        <v/>
      </c>
      <c r="I182" s="67" t="s">
        <v>180</v>
      </c>
      <c r="J182" s="67" t="s">
        <v>134</v>
      </c>
      <c r="K182" s="68"/>
      <c r="L182" s="68"/>
      <c r="M182" s="68"/>
      <c r="N182" s="69"/>
      <c r="O182" s="68"/>
    </row>
    <row r="183" customFormat="false" ht="52.5" hidden="false" customHeight="true" outlineLevel="0" collapsed="false">
      <c r="A183" s="66" t="n">
        <v>92</v>
      </c>
      <c r="B183" s="67" t="s">
        <v>94</v>
      </c>
      <c r="C183" s="66" t="s">
        <v>99</v>
      </c>
      <c r="D183" s="66" t="n">
        <v>2</v>
      </c>
      <c r="E183" s="67" t="str">
        <f aca="false">IFERROR(INDEX('Master Data'!$L$2:$L$2436,MATCH($B$3&amp;"|"&amp;D183&amp;"|"&amp;B183&amp;"|"&amp;C183,'Master Data'!$A$2:$A$2436,0)),"")</f>
        <v>Belum terisi</v>
      </c>
      <c r="F183" s="67" t="str">
        <f aca="false">IFERROR(INDEX('Master Data'!$F$2:$F$2436,MATCH($B$3&amp;"|"&amp;D183&amp;"|"&amp;B183&amp;"|"&amp;C183,'Master Data'!$A$2:$A$2436,0))&amp;"","")</f>
        <v>Tiny</v>
      </c>
      <c r="G183" s="66" t="n">
        <f aca="false">IFERROR(INDEX('Master Data'!$G$2:$G$2436,MATCH($B$3&amp;"|"&amp;D183&amp;"|"&amp;B183&amp;"|"&amp;C183,'Master Data'!$A$2:$A$2436,0)),"")</f>
        <v>5</v>
      </c>
      <c r="H183" s="67" t="str">
        <f aca="false">IFERROR(INDEX('Master Data'!$K$2:$K$2436,MATCH($B$3&amp;"|"&amp;D183&amp;"|"&amp;B183&amp;"|"&amp;C183,'Master Data'!$A$2:$A$2436,0))&amp;"","")</f>
        <v/>
      </c>
      <c r="I183" s="67" t="s">
        <v>180</v>
      </c>
      <c r="J183" s="67" t="s">
        <v>134</v>
      </c>
      <c r="K183" s="68"/>
      <c r="L183" s="68"/>
      <c r="M183" s="68"/>
      <c r="N183" s="69"/>
      <c r="O183" s="68"/>
    </row>
    <row r="184" customFormat="false" ht="52.5" hidden="false" customHeight="true" outlineLevel="0" collapsed="false">
      <c r="A184" s="66" t="n">
        <v>93</v>
      </c>
      <c r="B184" s="67" t="s">
        <v>94</v>
      </c>
      <c r="C184" s="66" t="s">
        <v>100</v>
      </c>
      <c r="D184" s="66" t="n">
        <v>1</v>
      </c>
      <c r="E184" s="67" t="str">
        <f aca="false">IFERROR(INDEX('Master Data'!$L$2:$L$2436,MATCH($B$3&amp;"|"&amp;D184&amp;"|"&amp;B184&amp;"|"&amp;C184,'Master Data'!$A$2:$A$2436,0)),"")</f>
        <v>Slot kosong</v>
      </c>
      <c r="F184" s="67" t="str">
        <f aca="false">IFERROR(INDEX('Master Data'!$F$2:$F$2436,MATCH($B$3&amp;"|"&amp;D184&amp;"|"&amp;B184&amp;"|"&amp;C184,'Master Data'!$A$2:$A$2436,0))&amp;"","")</f>
        <v/>
      </c>
      <c r="G184" s="66" t="n">
        <f aca="false">IFERROR(INDEX('Master Data'!$G$2:$G$2436,MATCH($B$3&amp;"|"&amp;D184&amp;"|"&amp;B184&amp;"|"&amp;C184,'Master Data'!$A$2:$A$2436,0)),"")</f>
        <v>5</v>
      </c>
      <c r="H184" s="67" t="str">
        <f aca="false">IFERROR(INDEX('Master Data'!$K$2:$K$2436,MATCH($B$3&amp;"|"&amp;D184&amp;"|"&amp;B184&amp;"|"&amp;C184,'Master Data'!$A$2:$A$2436,0))&amp;"","")</f>
        <v/>
      </c>
      <c r="I184" s="67" t="s">
        <v>180</v>
      </c>
      <c r="J184" s="67" t="s">
        <v>134</v>
      </c>
      <c r="K184" s="68"/>
      <c r="L184" s="68"/>
      <c r="M184" s="68"/>
      <c r="N184" s="69"/>
      <c r="O184" s="68"/>
    </row>
    <row r="185" customFormat="false" ht="52.5" hidden="false" customHeight="true" outlineLevel="0" collapsed="false">
      <c r="A185" s="66" t="n">
        <v>94</v>
      </c>
      <c r="B185" s="67" t="s">
        <v>94</v>
      </c>
      <c r="C185" s="66" t="s">
        <v>100</v>
      </c>
      <c r="D185" s="66" t="n">
        <v>2</v>
      </c>
      <c r="E185" s="67" t="str">
        <f aca="false">IFERROR(INDEX('Master Data'!$L$2:$L$2436,MATCH($B$3&amp;"|"&amp;D185&amp;"|"&amp;B185&amp;"|"&amp;C185,'Master Data'!$A$2:$A$2436,0)),"")</f>
        <v>Belum terisi</v>
      </c>
      <c r="F185" s="67" t="str">
        <f aca="false">IFERROR(INDEX('Master Data'!$F$2:$F$2436,MATCH($B$3&amp;"|"&amp;D185&amp;"|"&amp;B185&amp;"|"&amp;C185,'Master Data'!$A$2:$A$2436,0))&amp;"","")</f>
        <v>Tiny</v>
      </c>
      <c r="G185" s="66" t="n">
        <f aca="false">IFERROR(INDEX('Master Data'!$G$2:$G$2436,MATCH($B$3&amp;"|"&amp;D185&amp;"|"&amp;B185&amp;"|"&amp;C185,'Master Data'!$A$2:$A$2436,0)),"")</f>
        <v>5</v>
      </c>
      <c r="H185" s="67" t="str">
        <f aca="false">IFERROR(INDEX('Master Data'!$K$2:$K$2436,MATCH($B$3&amp;"|"&amp;D185&amp;"|"&amp;B185&amp;"|"&amp;C185,'Master Data'!$A$2:$A$2436,0))&amp;"","")</f>
        <v/>
      </c>
      <c r="I185" s="67" t="s">
        <v>180</v>
      </c>
      <c r="J185" s="67" t="s">
        <v>134</v>
      </c>
      <c r="K185" s="68"/>
      <c r="L185" s="68"/>
      <c r="M185" s="68"/>
      <c r="N185" s="69"/>
      <c r="O185" s="68"/>
    </row>
    <row r="186" customFormat="false" ht="65.25" hidden="false" customHeight="true" outlineLevel="0" collapsed="false">
      <c r="A186" s="66" t="n">
        <v>95</v>
      </c>
      <c r="B186" s="67" t="s">
        <v>94</v>
      </c>
      <c r="C186" s="66" t="s">
        <v>115</v>
      </c>
      <c r="D186" s="66" t="n">
        <v>5</v>
      </c>
      <c r="E186" s="67" t="str">
        <f aca="false">IFERROR(INDEX('Master Data'!$L$2:$L$2436,MATCH($B$3&amp;"|"&amp;D186&amp;"|"&amp;B186&amp;"|"&amp;C186,'Master Data'!$A$2:$A$2436,0)),"")</f>
        <v>Slot kosong</v>
      </c>
      <c r="F186" s="67" t="str">
        <f aca="false">IFERROR(INDEX('Master Data'!$F$2:$F$2436,MATCH($B$3&amp;"|"&amp;D186&amp;"|"&amp;B186&amp;"|"&amp;C186,'Master Data'!$A$2:$A$2436,0))&amp;"","")</f>
        <v/>
      </c>
      <c r="G186" s="66" t="n">
        <f aca="false">IFERROR(INDEX('Master Data'!$G$2:$G$2436,MATCH($B$3&amp;"|"&amp;D186&amp;"|"&amp;B186&amp;"|"&amp;C186,'Master Data'!$A$2:$A$2436,0)),"")</f>
        <v>4</v>
      </c>
      <c r="H186" s="67" t="str">
        <f aca="false">IFERROR(INDEX('Master Data'!$K$2:$K$2436,MATCH($B$3&amp;"|"&amp;D186&amp;"|"&amp;B186&amp;"|"&amp;C186,'Master Data'!$A$2:$A$2436,0))&amp;"","")</f>
        <v/>
      </c>
      <c r="I186" s="67" t="s">
        <v>181</v>
      </c>
      <c r="J186" s="67" t="s">
        <v>134</v>
      </c>
      <c r="K186" s="68"/>
      <c r="L186" s="68"/>
      <c r="M186" s="68"/>
      <c r="N186" s="69"/>
      <c r="O186" s="68"/>
    </row>
    <row r="187" customFormat="false" ht="40.5" hidden="false" customHeight="true" outlineLevel="0" collapsed="false">
      <c r="A187" s="66" t="n">
        <v>96</v>
      </c>
      <c r="B187" s="67" t="s">
        <v>94</v>
      </c>
      <c r="C187" s="66" t="s">
        <v>102</v>
      </c>
      <c r="D187" s="66" t="n">
        <v>1</v>
      </c>
      <c r="E187" s="67" t="str">
        <f aca="false">IFERROR(INDEX('Master Data'!$L$2:$L$2436,MATCH($B$3&amp;"|"&amp;D187&amp;"|"&amp;B187&amp;"|"&amp;C187,'Master Data'!$A$2:$A$2436,0)),"")</f>
        <v>Slot kosong</v>
      </c>
      <c r="F187" s="67" t="str">
        <f aca="false">IFERROR(INDEX('Master Data'!$F$2:$F$2436,MATCH($B$3&amp;"|"&amp;D187&amp;"|"&amp;B187&amp;"|"&amp;C187,'Master Data'!$A$2:$A$2436,0))&amp;"","")</f>
        <v/>
      </c>
      <c r="G187" s="66" t="n">
        <f aca="false">IFERROR(INDEX('Master Data'!$G$2:$G$2436,MATCH($B$3&amp;"|"&amp;D187&amp;"|"&amp;B187&amp;"|"&amp;C187,'Master Data'!$A$2:$A$2436,0)),"")</f>
        <v>5</v>
      </c>
      <c r="H187" s="67" t="str">
        <f aca="false">IFERROR(INDEX('Master Data'!$K$2:$K$2436,MATCH($B$3&amp;"|"&amp;D187&amp;"|"&amp;B187&amp;"|"&amp;C187,'Master Data'!$A$2:$A$2436,0))&amp;"","")</f>
        <v/>
      </c>
      <c r="I187" s="67" t="s">
        <v>182</v>
      </c>
      <c r="J187" s="67" t="s">
        <v>134</v>
      </c>
      <c r="K187" s="68"/>
      <c r="L187" s="68"/>
      <c r="M187" s="68"/>
      <c r="N187" s="69"/>
      <c r="O187" s="68"/>
    </row>
    <row r="188" customFormat="false" ht="40.5" hidden="false" customHeight="true" outlineLevel="0" collapsed="false">
      <c r="A188" s="66" t="n">
        <v>97</v>
      </c>
      <c r="B188" s="67" t="s">
        <v>94</v>
      </c>
      <c r="C188" s="66" t="s">
        <v>102</v>
      </c>
      <c r="D188" s="66" t="n">
        <v>2</v>
      </c>
      <c r="E188" s="67" t="str">
        <f aca="false">IFERROR(INDEX('Master Data'!$L$2:$L$2436,MATCH($B$3&amp;"|"&amp;D188&amp;"|"&amp;B188&amp;"|"&amp;C188,'Master Data'!$A$2:$A$2436,0)),"")</f>
        <v>Belum terisi</v>
      </c>
      <c r="F188" s="67" t="str">
        <f aca="false">IFERROR(INDEX('Master Data'!$F$2:$F$2436,MATCH($B$3&amp;"|"&amp;D188&amp;"|"&amp;B188&amp;"|"&amp;C188,'Master Data'!$A$2:$A$2436,0))&amp;"","")</f>
        <v>Tiny</v>
      </c>
      <c r="G188" s="66" t="n">
        <f aca="false">IFERROR(INDEX('Master Data'!$G$2:$G$2436,MATCH($B$3&amp;"|"&amp;D188&amp;"|"&amp;B188&amp;"|"&amp;C188,'Master Data'!$A$2:$A$2436,0)),"")</f>
        <v>5</v>
      </c>
      <c r="H188" s="67" t="str">
        <f aca="false">IFERROR(INDEX('Master Data'!$K$2:$K$2436,MATCH($B$3&amp;"|"&amp;D188&amp;"|"&amp;B188&amp;"|"&amp;C188,'Master Data'!$A$2:$A$2436,0))&amp;"","")</f>
        <v/>
      </c>
      <c r="I188" s="67" t="s">
        <v>182</v>
      </c>
      <c r="J188" s="67" t="s">
        <v>134</v>
      </c>
      <c r="K188" s="68"/>
      <c r="L188" s="68"/>
      <c r="M188" s="68"/>
      <c r="N188" s="69"/>
      <c r="O188" s="68"/>
    </row>
    <row r="189" customFormat="false" ht="65.25" hidden="false" customHeight="true" outlineLevel="0" collapsed="false">
      <c r="A189" s="66" t="n">
        <v>98</v>
      </c>
      <c r="B189" s="67" t="s">
        <v>95</v>
      </c>
      <c r="C189" s="66" t="s">
        <v>107</v>
      </c>
      <c r="D189" s="66" t="n">
        <v>1</v>
      </c>
      <c r="E189" s="67" t="str">
        <f aca="false">IFERROR(INDEX('Master Data'!$L$2:$L$2436,MATCH($B$3&amp;"|"&amp;D189&amp;"|"&amp;B189&amp;"|"&amp;C189,'Master Data'!$A$2:$A$2436,0)),"")</f>
        <v>Slot kosong</v>
      </c>
      <c r="F189" s="67" t="str">
        <f aca="false">IFERROR(INDEX('Master Data'!$F$2:$F$2436,MATCH($B$3&amp;"|"&amp;D189&amp;"|"&amp;B189&amp;"|"&amp;C189,'Master Data'!$A$2:$A$2436,0))&amp;"","")</f>
        <v/>
      </c>
      <c r="G189" s="66" t="n">
        <f aca="false">IFERROR(INDEX('Master Data'!$G$2:$G$2436,MATCH($B$3&amp;"|"&amp;D189&amp;"|"&amp;B189&amp;"|"&amp;C189,'Master Data'!$A$2:$A$2436,0)),"")</f>
        <v>5</v>
      </c>
      <c r="H189" s="67" t="str">
        <f aca="false">IFERROR(INDEX('Master Data'!$K$2:$K$2436,MATCH($B$3&amp;"|"&amp;D189&amp;"|"&amp;B189&amp;"|"&amp;C189,'Master Data'!$A$2:$A$2436,0))&amp;"","")</f>
        <v/>
      </c>
      <c r="I189" s="67" t="s">
        <v>183</v>
      </c>
      <c r="J189" s="67" t="s">
        <v>134</v>
      </c>
      <c r="K189" s="68"/>
      <c r="L189" s="68"/>
      <c r="M189" s="68"/>
      <c r="N189" s="69"/>
      <c r="O189" s="68"/>
    </row>
    <row r="190" customFormat="false" ht="65.25" hidden="false" customHeight="true" outlineLevel="0" collapsed="false">
      <c r="A190" s="66" t="n">
        <v>99</v>
      </c>
      <c r="B190" s="67" t="s">
        <v>95</v>
      </c>
      <c r="C190" s="66" t="s">
        <v>107</v>
      </c>
      <c r="D190" s="66" t="n">
        <v>2</v>
      </c>
      <c r="E190" s="67" t="str">
        <f aca="false">IFERROR(INDEX('Master Data'!$L$2:$L$2436,MATCH($B$3&amp;"|"&amp;D190&amp;"|"&amp;B190&amp;"|"&amp;C190,'Master Data'!$A$2:$A$2436,0)),"")</f>
        <v>Belum terisi</v>
      </c>
      <c r="F190" s="67" t="str">
        <f aca="false">IFERROR(INDEX('Master Data'!$F$2:$F$2436,MATCH($B$3&amp;"|"&amp;D190&amp;"|"&amp;B190&amp;"|"&amp;C190,'Master Data'!$A$2:$A$2436,0))&amp;"","")</f>
        <v>Tiny</v>
      </c>
      <c r="G190" s="66" t="n">
        <f aca="false">IFERROR(INDEX('Master Data'!$G$2:$G$2436,MATCH($B$3&amp;"|"&amp;D190&amp;"|"&amp;B190&amp;"|"&amp;C190,'Master Data'!$A$2:$A$2436,0)),"")</f>
        <v>5</v>
      </c>
      <c r="H190" s="67" t="str">
        <f aca="false">IFERROR(INDEX('Master Data'!$K$2:$K$2436,MATCH($B$3&amp;"|"&amp;D190&amp;"|"&amp;B190&amp;"|"&amp;C190,'Master Data'!$A$2:$A$2436,0))&amp;"","")</f>
        <v/>
      </c>
      <c r="I190" s="67" t="s">
        <v>183</v>
      </c>
      <c r="J190" s="67" t="s">
        <v>134</v>
      </c>
      <c r="K190" s="68"/>
      <c r="L190" s="68"/>
      <c r="M190" s="68"/>
      <c r="N190" s="69"/>
      <c r="O190" s="68"/>
    </row>
    <row r="191" customFormat="false" ht="52.5" hidden="false" customHeight="true" outlineLevel="0" collapsed="false">
      <c r="A191" s="66" t="n">
        <v>100</v>
      </c>
      <c r="B191" s="67" t="s">
        <v>78</v>
      </c>
      <c r="C191" s="66" t="s">
        <v>115</v>
      </c>
      <c r="D191" s="66" t="n">
        <v>5</v>
      </c>
      <c r="E191" s="67" t="str">
        <f aca="false">IFERROR(INDEX('Master Data'!$L$2:$L$2436,MATCH($B$3&amp;"|"&amp;D191&amp;"|"&amp;B191&amp;"|"&amp;C191,'Master Data'!$A$2:$A$2436,0)),"")</f>
        <v>Slot kosong</v>
      </c>
      <c r="F191" s="67" t="str">
        <f aca="false">IFERROR(INDEX('Master Data'!$F$2:$F$2436,MATCH($B$3&amp;"|"&amp;D191&amp;"|"&amp;B191&amp;"|"&amp;C191,'Master Data'!$A$2:$A$2436,0))&amp;"","")</f>
        <v/>
      </c>
      <c r="G191" s="66" t="n">
        <f aca="false">IFERROR(INDEX('Master Data'!$G$2:$G$2436,MATCH($B$3&amp;"|"&amp;D191&amp;"|"&amp;B191&amp;"|"&amp;C191,'Master Data'!$A$2:$A$2436,0)),"")</f>
        <v>4</v>
      </c>
      <c r="H191" s="67" t="str">
        <f aca="false">IFERROR(INDEX('Master Data'!$K$2:$K$2436,MATCH($B$3&amp;"|"&amp;D191&amp;"|"&amp;B191&amp;"|"&amp;C191,'Master Data'!$A$2:$A$2436,0))&amp;"","")</f>
        <v/>
      </c>
      <c r="I191" s="67" t="s">
        <v>184</v>
      </c>
      <c r="J191" s="67" t="s">
        <v>134</v>
      </c>
      <c r="K191" s="68"/>
      <c r="L191" s="68"/>
      <c r="M191" s="68"/>
      <c r="N191" s="69"/>
      <c r="O191" s="68"/>
    </row>
    <row r="192" customFormat="false" ht="65.25" hidden="false" customHeight="true" outlineLevel="0" collapsed="false">
      <c r="A192" s="66" t="n">
        <v>101</v>
      </c>
      <c r="B192" s="67" t="s">
        <v>78</v>
      </c>
      <c r="C192" s="66" t="s">
        <v>101</v>
      </c>
      <c r="D192" s="66" t="n">
        <v>1</v>
      </c>
      <c r="E192" s="67" t="str">
        <f aca="false">IFERROR(INDEX('Master Data'!$L$2:$L$2436,MATCH($B$3&amp;"|"&amp;D192&amp;"|"&amp;B192&amp;"|"&amp;C192,'Master Data'!$A$2:$A$2436,0)),"")</f>
        <v>Slot kosong</v>
      </c>
      <c r="F192" s="67" t="str">
        <f aca="false">IFERROR(INDEX('Master Data'!$F$2:$F$2436,MATCH($B$3&amp;"|"&amp;D192&amp;"|"&amp;B192&amp;"|"&amp;C192,'Master Data'!$A$2:$A$2436,0))&amp;"","")</f>
        <v/>
      </c>
      <c r="G192" s="66" t="n">
        <f aca="false">IFERROR(INDEX('Master Data'!$G$2:$G$2436,MATCH($B$3&amp;"|"&amp;D192&amp;"|"&amp;B192&amp;"|"&amp;C192,'Master Data'!$A$2:$A$2436,0)),"")</f>
        <v>5</v>
      </c>
      <c r="H192" s="67" t="str">
        <f aca="false">IFERROR(INDEX('Master Data'!$K$2:$K$2436,MATCH($B$3&amp;"|"&amp;D192&amp;"|"&amp;B192&amp;"|"&amp;C192,'Master Data'!$A$2:$A$2436,0))&amp;"","")</f>
        <v/>
      </c>
      <c r="I192" s="67" t="s">
        <v>185</v>
      </c>
      <c r="J192" s="67" t="s">
        <v>134</v>
      </c>
      <c r="K192" s="68"/>
      <c r="L192" s="68"/>
      <c r="M192" s="68"/>
      <c r="N192" s="69"/>
      <c r="O192" s="68"/>
    </row>
    <row r="193" customFormat="false" ht="65.25" hidden="false" customHeight="true" outlineLevel="0" collapsed="false">
      <c r="A193" s="66" t="n">
        <v>102</v>
      </c>
      <c r="B193" s="67" t="s">
        <v>78</v>
      </c>
      <c r="C193" s="66" t="s">
        <v>121</v>
      </c>
      <c r="D193" s="66" t="n">
        <v>5</v>
      </c>
      <c r="E193" s="67" t="str">
        <f aca="false">IFERROR(INDEX('Master Data'!$L$2:$L$2436,MATCH($B$3&amp;"|"&amp;D193&amp;"|"&amp;B193&amp;"|"&amp;C193,'Master Data'!$A$2:$A$2436,0)),"")</f>
        <v>Slot kosong</v>
      </c>
      <c r="F193" s="67" t="str">
        <f aca="false">IFERROR(INDEX('Master Data'!$F$2:$F$2436,MATCH($B$3&amp;"|"&amp;D193&amp;"|"&amp;B193&amp;"|"&amp;C193,'Master Data'!$A$2:$A$2436,0))&amp;"","")</f>
        <v/>
      </c>
      <c r="G193" s="66" t="n">
        <f aca="false">IFERROR(INDEX('Master Data'!$G$2:$G$2436,MATCH($B$3&amp;"|"&amp;D193&amp;"|"&amp;B193&amp;"|"&amp;C193,'Master Data'!$A$2:$A$2436,0)),"")</f>
        <v>4</v>
      </c>
      <c r="H193" s="67" t="str">
        <f aca="false">IFERROR(INDEX('Master Data'!$K$2:$K$2436,MATCH($B$3&amp;"|"&amp;D193&amp;"|"&amp;B193&amp;"|"&amp;C193,'Master Data'!$A$2:$A$2436,0))&amp;"","")</f>
        <v/>
      </c>
      <c r="I193" s="67" t="s">
        <v>186</v>
      </c>
      <c r="J193" s="67" t="s">
        <v>134</v>
      </c>
      <c r="K193" s="68"/>
      <c r="L193" s="68"/>
      <c r="M193" s="68"/>
      <c r="N193" s="69"/>
      <c r="O193" s="68"/>
    </row>
    <row r="194" customFormat="false" ht="65.25" hidden="false" customHeight="true" outlineLevel="0" collapsed="false">
      <c r="A194" s="66" t="n">
        <v>103</v>
      </c>
      <c r="B194" s="67" t="s">
        <v>78</v>
      </c>
      <c r="C194" s="66" t="s">
        <v>107</v>
      </c>
      <c r="D194" s="66" t="n">
        <v>1</v>
      </c>
      <c r="E194" s="67" t="str">
        <f aca="false">IFERROR(INDEX('Master Data'!$L$2:$L$2436,MATCH($B$3&amp;"|"&amp;D194&amp;"|"&amp;B194&amp;"|"&amp;C194,'Master Data'!$A$2:$A$2436,0)),"")</f>
        <v>Slot kosong</v>
      </c>
      <c r="F194" s="67" t="str">
        <f aca="false">IFERROR(INDEX('Master Data'!$F$2:$F$2436,MATCH($B$3&amp;"|"&amp;D194&amp;"|"&amp;B194&amp;"|"&amp;C194,'Master Data'!$A$2:$A$2436,0))&amp;"","")</f>
        <v/>
      </c>
      <c r="G194" s="66" t="n">
        <f aca="false">IFERROR(INDEX('Master Data'!$G$2:$G$2436,MATCH($B$3&amp;"|"&amp;D194&amp;"|"&amp;B194&amp;"|"&amp;C194,'Master Data'!$A$2:$A$2436,0)),"")</f>
        <v>5</v>
      </c>
      <c r="H194" s="67" t="str">
        <f aca="false">IFERROR(INDEX('Master Data'!$K$2:$K$2436,MATCH($B$3&amp;"|"&amp;D194&amp;"|"&amp;B194&amp;"|"&amp;C194,'Master Data'!$A$2:$A$2436,0))&amp;"","")</f>
        <v/>
      </c>
      <c r="I194" s="67" t="s">
        <v>187</v>
      </c>
      <c r="J194" s="67" t="s">
        <v>134</v>
      </c>
      <c r="K194" s="68"/>
      <c r="L194" s="68"/>
      <c r="M194" s="68"/>
      <c r="N194" s="69"/>
      <c r="O194" s="68"/>
    </row>
    <row r="195" customFormat="false" ht="65.25" hidden="false" customHeight="true" outlineLevel="0" collapsed="false">
      <c r="A195" s="66" t="n">
        <v>104</v>
      </c>
      <c r="B195" s="67" t="s">
        <v>78</v>
      </c>
      <c r="C195" s="66" t="s">
        <v>107</v>
      </c>
      <c r="D195" s="66" t="n">
        <v>2</v>
      </c>
      <c r="E195" s="67" t="str">
        <f aca="false">IFERROR(INDEX('Master Data'!$L$2:$L$2436,MATCH($B$3&amp;"|"&amp;D195&amp;"|"&amp;B195&amp;"|"&amp;C195,'Master Data'!$A$2:$A$2436,0)),"")</f>
        <v>Belum terisi</v>
      </c>
      <c r="F195" s="67" t="str">
        <f aca="false">IFERROR(INDEX('Master Data'!$F$2:$F$2436,MATCH($B$3&amp;"|"&amp;D195&amp;"|"&amp;B195&amp;"|"&amp;C195,'Master Data'!$A$2:$A$2436,0))&amp;"","")</f>
        <v>Tiny</v>
      </c>
      <c r="G195" s="66" t="n">
        <f aca="false">IFERROR(INDEX('Master Data'!$G$2:$G$2436,MATCH($B$3&amp;"|"&amp;D195&amp;"|"&amp;B195&amp;"|"&amp;C195,'Master Data'!$A$2:$A$2436,0)),"")</f>
        <v>5</v>
      </c>
      <c r="H195" s="67" t="str">
        <f aca="false">IFERROR(INDEX('Master Data'!$K$2:$K$2436,MATCH($B$3&amp;"|"&amp;D195&amp;"|"&amp;B195&amp;"|"&amp;C195,'Master Data'!$A$2:$A$2436,0))&amp;"","")</f>
        <v/>
      </c>
      <c r="I195" s="67" t="s">
        <v>187</v>
      </c>
      <c r="J195" s="67" t="s">
        <v>134</v>
      </c>
      <c r="K195" s="68"/>
      <c r="L195" s="68"/>
      <c r="M195" s="68"/>
      <c r="N195" s="69"/>
      <c r="O195" s="68"/>
    </row>
    <row r="198" customFormat="false" ht="16.15" hidden="false" customHeight="false" outlineLevel="0" collapsed="false">
      <c r="A198" s="54" t="s">
        <v>188</v>
      </c>
      <c r="B198" s="55"/>
      <c r="C198" s="55"/>
      <c r="D198" s="55"/>
      <c r="E198" s="55"/>
      <c r="F198" s="55"/>
      <c r="G198" s="55"/>
      <c r="H198" s="55"/>
      <c r="I198" s="55"/>
      <c r="J198" s="55"/>
      <c r="K198" s="55"/>
      <c r="L198" s="55"/>
      <c r="M198" s="55"/>
      <c r="N198" s="55"/>
    </row>
    <row r="199" customFormat="false" ht="15" hidden="false" customHeight="false" outlineLevel="0" collapsed="false">
      <c r="A199" s="52" t="s">
        <v>189</v>
      </c>
    </row>
    <row r="200" customFormat="false" ht="22.35" hidden="false" customHeight="false" outlineLevel="0" collapsed="false">
      <c r="A200" s="64" t="s">
        <v>126</v>
      </c>
      <c r="B200" s="64" t="s">
        <v>190</v>
      </c>
      <c r="C200" s="64" t="s">
        <v>191</v>
      </c>
      <c r="D200" s="64" t="s">
        <v>90</v>
      </c>
      <c r="E200" s="64" t="s">
        <v>91</v>
      </c>
      <c r="F200" s="64" t="s">
        <v>92</v>
      </c>
      <c r="G200" s="64" t="s">
        <v>93</v>
      </c>
      <c r="H200" s="64" t="s">
        <v>94</v>
      </c>
      <c r="I200" s="64" t="s">
        <v>95</v>
      </c>
      <c r="J200" s="64" t="s">
        <v>78</v>
      </c>
      <c r="K200" s="64" t="s">
        <v>192</v>
      </c>
      <c r="L200" s="64" t="s">
        <v>193</v>
      </c>
    </row>
    <row r="201" customFormat="false" ht="15" hidden="false" customHeight="false" outlineLevel="0" collapsed="false">
      <c r="A201" s="71" t="n">
        <v>1</v>
      </c>
      <c r="B201" s="72" t="s">
        <v>44</v>
      </c>
      <c r="C201" s="73" t="s">
        <v>134</v>
      </c>
      <c r="D201" s="74" t="n">
        <f aca="false">COUNTIFS('Master Data'!$B$2:$B$2436,$B$3,'Master Data'!$K$2:$K$2436,$B201,'Master Data'!$D$2:$D$2436,D$200)</f>
        <v>5</v>
      </c>
      <c r="E201" s="74" t="n">
        <f aca="false">COUNTIFS('Master Data'!$B$2:$B$2436,$B$3,'Master Data'!$K$2:$K$2436,$B201,'Master Data'!$D$2:$D$2436,E$200)</f>
        <v>6</v>
      </c>
      <c r="F201" s="74" t="n">
        <f aca="false">COUNTIFS('Master Data'!$B$2:$B$2436,$B$3,'Master Data'!$K$2:$K$2436,$B201,'Master Data'!$D$2:$D$2436,F$200)</f>
        <v>6</v>
      </c>
      <c r="G201" s="74" t="n">
        <f aca="false">COUNTIFS('Master Data'!$B$2:$B$2436,$B$3,'Master Data'!$K$2:$K$2436,$B201,'Master Data'!$D$2:$D$2436,G$200)</f>
        <v>0</v>
      </c>
      <c r="H201" s="74" t="n">
        <f aca="false">COUNTIFS('Master Data'!$B$2:$B$2436,$B$3,'Master Data'!$K$2:$K$2436,$B201,'Master Data'!$D$2:$D$2436,H$200)</f>
        <v>0</v>
      </c>
      <c r="I201" s="74" t="n">
        <f aca="false">COUNTIFS('Master Data'!$B$2:$B$2436,$B$3,'Master Data'!$K$2:$K$2436,$B201,'Master Data'!$D$2:$D$2436,I$200)</f>
        <v>7</v>
      </c>
      <c r="J201" s="74" t="n">
        <f aca="false">COUNTIFS('Master Data'!$B$2:$B$2436,$B$3,'Master Data'!$K$2:$K$2436,$B201,'Master Data'!$D$2:$D$2436,J$200)</f>
        <v>6</v>
      </c>
      <c r="K201" s="71" t="n">
        <f aca="false">SUM(D201:J201)</f>
        <v>30</v>
      </c>
      <c r="L201" s="71" t="s">
        <v>194</v>
      </c>
    </row>
    <row r="202" customFormat="false" ht="15" hidden="false" customHeight="false" outlineLevel="0" collapsed="false">
      <c r="A202" s="71" t="n">
        <v>2</v>
      </c>
      <c r="B202" s="72" t="s">
        <v>195</v>
      </c>
      <c r="C202" s="73" t="s">
        <v>134</v>
      </c>
      <c r="D202" s="74" t="n">
        <f aca="false">COUNTIFS('Master Data'!$B$2:$B$2436,$B$3,'Master Data'!$K$2:$K$2436,$B202,'Master Data'!$D$2:$D$2436,D$200)</f>
        <v>0</v>
      </c>
      <c r="E202" s="74" t="n">
        <f aca="false">COUNTIFS('Master Data'!$B$2:$B$2436,$B$3,'Master Data'!$K$2:$K$2436,$B202,'Master Data'!$D$2:$D$2436,E$200)</f>
        <v>0</v>
      </c>
      <c r="F202" s="74" t="n">
        <f aca="false">COUNTIFS('Master Data'!$B$2:$B$2436,$B$3,'Master Data'!$K$2:$K$2436,$B202,'Master Data'!$D$2:$D$2436,F$200)</f>
        <v>5</v>
      </c>
      <c r="G202" s="74" t="n">
        <f aca="false">COUNTIFS('Master Data'!$B$2:$B$2436,$B$3,'Master Data'!$K$2:$K$2436,$B202,'Master Data'!$D$2:$D$2436,G$200)</f>
        <v>6</v>
      </c>
      <c r="H202" s="74" t="n">
        <f aca="false">COUNTIFS('Master Data'!$B$2:$B$2436,$B$3,'Master Data'!$K$2:$K$2436,$B202,'Master Data'!$D$2:$D$2436,H$200)</f>
        <v>6</v>
      </c>
      <c r="I202" s="74" t="n">
        <f aca="false">COUNTIFS('Master Data'!$B$2:$B$2436,$B$3,'Master Data'!$K$2:$K$2436,$B202,'Master Data'!$D$2:$D$2436,I$200)</f>
        <v>6</v>
      </c>
      <c r="J202" s="74" t="n">
        <f aca="false">COUNTIFS('Master Data'!$B$2:$B$2436,$B$3,'Master Data'!$K$2:$K$2436,$B202,'Master Data'!$D$2:$D$2436,J$200)</f>
        <v>6</v>
      </c>
      <c r="K202" s="71" t="n">
        <f aca="false">SUM(D202:J202)</f>
        <v>29</v>
      </c>
      <c r="L202" s="71" t="s">
        <v>196</v>
      </c>
    </row>
    <row r="203" customFormat="false" ht="15" hidden="false" customHeight="false" outlineLevel="0" collapsed="false">
      <c r="A203" s="71" t="n">
        <v>3</v>
      </c>
      <c r="B203" s="72" t="s">
        <v>197</v>
      </c>
      <c r="C203" s="73" t="s">
        <v>134</v>
      </c>
      <c r="D203" s="74" t="n">
        <f aca="false">COUNTIFS('Master Data'!$B$2:$B$2436,$B$3,'Master Data'!$K$2:$K$2436,$B203,'Master Data'!$D$2:$D$2436,D$200)</f>
        <v>5</v>
      </c>
      <c r="E203" s="74" t="n">
        <f aca="false">COUNTIFS('Master Data'!$B$2:$B$2436,$B$3,'Master Data'!$K$2:$K$2436,$B203,'Master Data'!$D$2:$D$2436,E$200)</f>
        <v>6</v>
      </c>
      <c r="F203" s="74" t="n">
        <f aca="false">COUNTIFS('Master Data'!$B$2:$B$2436,$B$3,'Master Data'!$K$2:$K$2436,$B203,'Master Data'!$D$2:$D$2436,F$200)</f>
        <v>0</v>
      </c>
      <c r="G203" s="74" t="n">
        <f aca="false">COUNTIFS('Master Data'!$B$2:$B$2436,$B$3,'Master Data'!$K$2:$K$2436,$B203,'Master Data'!$D$2:$D$2436,G$200)</f>
        <v>0</v>
      </c>
      <c r="H203" s="74" t="n">
        <f aca="false">COUNTIFS('Master Data'!$B$2:$B$2436,$B$3,'Master Data'!$K$2:$K$2436,$B203,'Master Data'!$D$2:$D$2436,H$200)</f>
        <v>6</v>
      </c>
      <c r="I203" s="74" t="n">
        <f aca="false">COUNTIFS('Master Data'!$B$2:$B$2436,$B$3,'Master Data'!$K$2:$K$2436,$B203,'Master Data'!$D$2:$D$2436,I$200)</f>
        <v>7</v>
      </c>
      <c r="J203" s="74" t="n">
        <f aca="false">COUNTIFS('Master Data'!$B$2:$B$2436,$B$3,'Master Data'!$K$2:$K$2436,$B203,'Master Data'!$D$2:$D$2436,J$200)</f>
        <v>5</v>
      </c>
      <c r="K203" s="71" t="n">
        <f aca="false">SUM(D203:J203)</f>
        <v>29</v>
      </c>
      <c r="L203" s="71" t="s">
        <v>196</v>
      </c>
    </row>
    <row r="204" customFormat="false" ht="15" hidden="false" customHeight="false" outlineLevel="0" collapsed="false">
      <c r="A204" s="71" t="n">
        <v>4</v>
      </c>
      <c r="B204" s="72" t="s">
        <v>198</v>
      </c>
      <c r="C204" s="73" t="s">
        <v>134</v>
      </c>
      <c r="D204" s="74" t="n">
        <f aca="false">COUNTIFS('Master Data'!$B$2:$B$2436,$B$3,'Master Data'!$K$2:$K$2436,$B204,'Master Data'!$D$2:$D$2436,D$200)</f>
        <v>0</v>
      </c>
      <c r="E204" s="74" t="n">
        <f aca="false">COUNTIFS('Master Data'!$B$2:$B$2436,$B$3,'Master Data'!$K$2:$K$2436,$B204,'Master Data'!$D$2:$D$2436,E$200)</f>
        <v>0</v>
      </c>
      <c r="F204" s="74" t="n">
        <f aca="false">COUNTIFS('Master Data'!$B$2:$B$2436,$B$3,'Master Data'!$K$2:$K$2436,$B204,'Master Data'!$D$2:$D$2436,F$200)</f>
        <v>6</v>
      </c>
      <c r="G204" s="74" t="n">
        <f aca="false">COUNTIFS('Master Data'!$B$2:$B$2436,$B$3,'Master Data'!$K$2:$K$2436,$B204,'Master Data'!$D$2:$D$2436,G$200)</f>
        <v>6</v>
      </c>
      <c r="H204" s="74" t="n">
        <f aca="false">COUNTIFS('Master Data'!$B$2:$B$2436,$B$3,'Master Data'!$K$2:$K$2436,$B204,'Master Data'!$D$2:$D$2436,H$200)</f>
        <v>6</v>
      </c>
      <c r="I204" s="74" t="n">
        <f aca="false">COUNTIFS('Master Data'!$B$2:$B$2436,$B$3,'Master Data'!$K$2:$K$2436,$B204,'Master Data'!$D$2:$D$2436,I$200)</f>
        <v>6</v>
      </c>
      <c r="J204" s="74" t="n">
        <f aca="false">COUNTIFS('Master Data'!$B$2:$B$2436,$B$3,'Master Data'!$K$2:$K$2436,$B204,'Master Data'!$D$2:$D$2436,J$200)</f>
        <v>5</v>
      </c>
      <c r="K204" s="71" t="n">
        <f aca="false">SUM(D204:J204)</f>
        <v>29</v>
      </c>
      <c r="L204" s="71" t="s">
        <v>199</v>
      </c>
    </row>
    <row r="205" customFormat="false" ht="15" hidden="false" customHeight="false" outlineLevel="0" collapsed="false">
      <c r="A205" s="71" t="n">
        <v>5</v>
      </c>
      <c r="B205" s="72" t="s">
        <v>200</v>
      </c>
      <c r="C205" s="73" t="s">
        <v>134</v>
      </c>
      <c r="D205" s="74" t="n">
        <f aca="false">COUNTIFS('Master Data'!$B$2:$B$2436,$B$3,'Master Data'!$K$2:$K$2436,$B205,'Master Data'!$D$2:$D$2436,D$200)</f>
        <v>5</v>
      </c>
      <c r="E205" s="74" t="n">
        <f aca="false">COUNTIFS('Master Data'!$B$2:$B$2436,$B$3,'Master Data'!$K$2:$K$2436,$B205,'Master Data'!$D$2:$D$2436,E$200)</f>
        <v>7</v>
      </c>
      <c r="F205" s="74" t="n">
        <f aca="false">COUNTIFS('Master Data'!$B$2:$B$2436,$B$3,'Master Data'!$K$2:$K$2436,$B205,'Master Data'!$D$2:$D$2436,F$200)</f>
        <v>5</v>
      </c>
      <c r="G205" s="74" t="n">
        <f aca="false">COUNTIFS('Master Data'!$B$2:$B$2436,$B$3,'Master Data'!$K$2:$K$2436,$B205,'Master Data'!$D$2:$D$2436,G$200)</f>
        <v>0</v>
      </c>
      <c r="H205" s="74" t="n">
        <f aca="false">COUNTIFS('Master Data'!$B$2:$B$2436,$B$3,'Master Data'!$K$2:$K$2436,$B205,'Master Data'!$D$2:$D$2436,H$200)</f>
        <v>0</v>
      </c>
      <c r="I205" s="74" t="n">
        <f aca="false">COUNTIFS('Master Data'!$B$2:$B$2436,$B$3,'Master Data'!$K$2:$K$2436,$B205,'Master Data'!$D$2:$D$2436,I$200)</f>
        <v>6</v>
      </c>
      <c r="J205" s="74" t="n">
        <f aca="false">COUNTIFS('Master Data'!$B$2:$B$2436,$B$3,'Master Data'!$K$2:$K$2436,$B205,'Master Data'!$D$2:$D$2436,J$200)</f>
        <v>6</v>
      </c>
      <c r="K205" s="71" t="n">
        <f aca="false">SUM(D205:J205)</f>
        <v>29</v>
      </c>
      <c r="L205" s="71" t="s">
        <v>199</v>
      </c>
    </row>
    <row r="206" customFormat="false" ht="15" hidden="false" customHeight="false" outlineLevel="0" collapsed="false">
      <c r="A206" s="71" t="n">
        <v>6</v>
      </c>
      <c r="B206" s="72" t="s">
        <v>201</v>
      </c>
      <c r="C206" s="73" t="s">
        <v>134</v>
      </c>
      <c r="D206" s="74" t="n">
        <f aca="false">COUNTIFS('Master Data'!$B$2:$B$2436,$B$3,'Master Data'!$K$2:$K$2436,$B206,'Master Data'!$D$2:$D$2436,D$200)</f>
        <v>0</v>
      </c>
      <c r="E206" s="74" t="n">
        <f aca="false">COUNTIFS('Master Data'!$B$2:$B$2436,$B$3,'Master Data'!$K$2:$K$2436,$B206,'Master Data'!$D$2:$D$2436,E$200)</f>
        <v>0</v>
      </c>
      <c r="F206" s="74" t="n">
        <f aca="false">COUNTIFS('Master Data'!$B$2:$B$2436,$B$3,'Master Data'!$K$2:$K$2436,$B206,'Master Data'!$D$2:$D$2436,F$200)</f>
        <v>5</v>
      </c>
      <c r="G206" s="74" t="n">
        <f aca="false">COUNTIFS('Master Data'!$B$2:$B$2436,$B$3,'Master Data'!$K$2:$K$2436,$B206,'Master Data'!$D$2:$D$2436,G$200)</f>
        <v>5</v>
      </c>
      <c r="H206" s="74" t="n">
        <f aca="false">COUNTIFS('Master Data'!$B$2:$B$2436,$B$3,'Master Data'!$K$2:$K$2436,$B206,'Master Data'!$D$2:$D$2436,H$200)</f>
        <v>4</v>
      </c>
      <c r="I206" s="74" t="n">
        <f aca="false">COUNTIFS('Master Data'!$B$2:$B$2436,$B$3,'Master Data'!$K$2:$K$2436,$B206,'Master Data'!$D$2:$D$2436,I$200)</f>
        <v>7</v>
      </c>
      <c r="J206" s="74" t="n">
        <f aca="false">COUNTIFS('Master Data'!$B$2:$B$2436,$B$3,'Master Data'!$K$2:$K$2436,$B206,'Master Data'!$D$2:$D$2436,J$200)</f>
        <v>6</v>
      </c>
      <c r="K206" s="71" t="n">
        <f aca="false">SUM(D206:J206)</f>
        <v>27</v>
      </c>
      <c r="L206" s="71" t="s">
        <v>194</v>
      </c>
    </row>
    <row r="207" customFormat="false" ht="15" hidden="false" customHeight="false" outlineLevel="0" collapsed="false">
      <c r="A207" s="71" t="n">
        <v>7</v>
      </c>
      <c r="B207" s="72" t="s">
        <v>202</v>
      </c>
      <c r="C207" s="73" t="s">
        <v>203</v>
      </c>
      <c r="D207" s="74" t="n">
        <f aca="false">COUNTIFS('Master Data'!$B$2:$B$2436,$B$3,'Master Data'!$K$2:$K$2436,$B207,'Master Data'!$D$2:$D$2436,D$200)</f>
        <v>5</v>
      </c>
      <c r="E207" s="74" t="n">
        <f aca="false">COUNTIFS('Master Data'!$B$2:$B$2436,$B$3,'Master Data'!$K$2:$K$2436,$B207,'Master Data'!$D$2:$D$2436,E$200)</f>
        <v>0</v>
      </c>
      <c r="F207" s="74" t="n">
        <f aca="false">COUNTIFS('Master Data'!$B$2:$B$2436,$B$3,'Master Data'!$K$2:$K$2436,$B207,'Master Data'!$D$2:$D$2436,F$200)</f>
        <v>0</v>
      </c>
      <c r="G207" s="74" t="n">
        <f aca="false">COUNTIFS('Master Data'!$B$2:$B$2436,$B$3,'Master Data'!$K$2:$K$2436,$B207,'Master Data'!$D$2:$D$2436,G$200)</f>
        <v>4</v>
      </c>
      <c r="H207" s="74" t="n">
        <f aca="false">COUNTIFS('Master Data'!$B$2:$B$2436,$B$3,'Master Data'!$K$2:$K$2436,$B207,'Master Data'!$D$2:$D$2436,H$200)</f>
        <v>5</v>
      </c>
      <c r="I207" s="74" t="n">
        <f aca="false">COUNTIFS('Master Data'!$B$2:$B$2436,$B$3,'Master Data'!$K$2:$K$2436,$B207,'Master Data'!$D$2:$D$2436,I$200)</f>
        <v>5</v>
      </c>
      <c r="J207" s="74" t="n">
        <f aca="false">COUNTIFS('Master Data'!$B$2:$B$2436,$B$3,'Master Data'!$K$2:$K$2436,$B207,'Master Data'!$D$2:$D$2436,J$200)</f>
        <v>5</v>
      </c>
      <c r="K207" s="71" t="n">
        <f aca="false">SUM(D207:J207)</f>
        <v>24</v>
      </c>
      <c r="L207" s="71" t="s">
        <v>199</v>
      </c>
    </row>
    <row r="208" customFormat="false" ht="15" hidden="false" customHeight="false" outlineLevel="0" collapsed="false">
      <c r="A208" s="71" t="n">
        <v>8</v>
      </c>
      <c r="B208" s="72" t="s">
        <v>204</v>
      </c>
      <c r="C208" s="73" t="s">
        <v>203</v>
      </c>
      <c r="D208" s="74" t="n">
        <f aca="false">COUNTIFS('Master Data'!$B$2:$B$2436,$B$3,'Master Data'!$K$2:$K$2436,$B208,'Master Data'!$D$2:$D$2436,D$200)</f>
        <v>5</v>
      </c>
      <c r="E208" s="74" t="n">
        <f aca="false">COUNTIFS('Master Data'!$B$2:$B$2436,$B$3,'Master Data'!$K$2:$K$2436,$B208,'Master Data'!$D$2:$D$2436,E$200)</f>
        <v>6</v>
      </c>
      <c r="F208" s="74" t="n">
        <f aca="false">COUNTIFS('Master Data'!$B$2:$B$2436,$B$3,'Master Data'!$K$2:$K$2436,$B208,'Master Data'!$D$2:$D$2436,F$200)</f>
        <v>0</v>
      </c>
      <c r="G208" s="74" t="n">
        <f aca="false">COUNTIFS('Master Data'!$B$2:$B$2436,$B$3,'Master Data'!$K$2:$K$2436,$B208,'Master Data'!$D$2:$D$2436,G$200)</f>
        <v>0</v>
      </c>
      <c r="H208" s="74" t="n">
        <f aca="false">COUNTIFS('Master Data'!$B$2:$B$2436,$B$3,'Master Data'!$K$2:$K$2436,$B208,'Master Data'!$D$2:$D$2436,H$200)</f>
        <v>3</v>
      </c>
      <c r="I208" s="74" t="n">
        <f aca="false">COUNTIFS('Master Data'!$B$2:$B$2436,$B$3,'Master Data'!$K$2:$K$2436,$B208,'Master Data'!$D$2:$D$2436,I$200)</f>
        <v>4</v>
      </c>
      <c r="J208" s="74" t="n">
        <f aca="false">COUNTIFS('Master Data'!$B$2:$B$2436,$B$3,'Master Data'!$K$2:$K$2436,$B208,'Master Data'!$D$2:$D$2436,J$200)</f>
        <v>6</v>
      </c>
      <c r="K208" s="71" t="n">
        <f aca="false">SUM(D208:J208)</f>
        <v>24</v>
      </c>
      <c r="L208" s="71" t="s">
        <v>199</v>
      </c>
    </row>
    <row r="209" customFormat="false" ht="15" hidden="false" customHeight="false" outlineLevel="0" collapsed="false">
      <c r="A209" s="71" t="n">
        <v>9</v>
      </c>
      <c r="B209" s="72" t="s">
        <v>205</v>
      </c>
      <c r="C209" s="73" t="s">
        <v>134</v>
      </c>
      <c r="D209" s="74" t="n">
        <f aca="false">COUNTIFS('Master Data'!$B$2:$B$2436,$B$3,'Master Data'!$K$2:$K$2436,$B209,'Master Data'!$D$2:$D$2436,D$200)</f>
        <v>0</v>
      </c>
      <c r="E209" s="74" t="n">
        <f aca="false">COUNTIFS('Master Data'!$B$2:$B$2436,$B$3,'Master Data'!$K$2:$K$2436,$B209,'Master Data'!$D$2:$D$2436,E$200)</f>
        <v>4</v>
      </c>
      <c r="F209" s="74" t="n">
        <f aca="false">COUNTIFS('Master Data'!$B$2:$B$2436,$B$3,'Master Data'!$K$2:$K$2436,$B209,'Master Data'!$D$2:$D$2436,F$200)</f>
        <v>0</v>
      </c>
      <c r="G209" s="74" t="n">
        <f aca="false">COUNTIFS('Master Data'!$B$2:$B$2436,$B$3,'Master Data'!$K$2:$K$2436,$B209,'Master Data'!$D$2:$D$2436,G$200)</f>
        <v>3</v>
      </c>
      <c r="H209" s="74" t="n">
        <f aca="false">COUNTIFS('Master Data'!$B$2:$B$2436,$B$3,'Master Data'!$K$2:$K$2436,$B209,'Master Data'!$D$2:$D$2436,H$200)</f>
        <v>4</v>
      </c>
      <c r="I209" s="74" t="n">
        <f aca="false">COUNTIFS('Master Data'!$B$2:$B$2436,$B$3,'Master Data'!$K$2:$K$2436,$B209,'Master Data'!$D$2:$D$2436,I$200)</f>
        <v>4</v>
      </c>
      <c r="J209" s="74" t="n">
        <f aca="false">COUNTIFS('Master Data'!$B$2:$B$2436,$B$3,'Master Data'!$K$2:$K$2436,$B209,'Master Data'!$D$2:$D$2436,J$200)</f>
        <v>2</v>
      </c>
      <c r="K209" s="71" t="n">
        <f aca="false">SUM(D209:J209)</f>
        <v>17</v>
      </c>
      <c r="L209" s="71" t="s">
        <v>206</v>
      </c>
    </row>
    <row r="210" customFormat="false" ht="15" hidden="false" customHeight="false" outlineLevel="0" collapsed="false">
      <c r="A210" s="71" t="n">
        <v>10</v>
      </c>
      <c r="B210" s="72" t="s">
        <v>207</v>
      </c>
      <c r="C210" s="73" t="s">
        <v>144</v>
      </c>
      <c r="D210" s="74" t="n">
        <f aca="false">COUNTIFS('Master Data'!$B$2:$B$2436,$B$3,'Master Data'!$K$2:$K$2436,$B210,'Master Data'!$D$2:$D$2436,D$200)</f>
        <v>4</v>
      </c>
      <c r="E210" s="74" t="n">
        <f aca="false">COUNTIFS('Master Data'!$B$2:$B$2436,$B$3,'Master Data'!$K$2:$K$2436,$B210,'Master Data'!$D$2:$D$2436,E$200)</f>
        <v>0</v>
      </c>
      <c r="F210" s="74" t="n">
        <f aca="false">COUNTIFS('Master Data'!$B$2:$B$2436,$B$3,'Master Data'!$K$2:$K$2436,$B210,'Master Data'!$D$2:$D$2436,F$200)</f>
        <v>2</v>
      </c>
      <c r="G210" s="74" t="n">
        <f aca="false">COUNTIFS('Master Data'!$B$2:$B$2436,$B$3,'Master Data'!$K$2:$K$2436,$B210,'Master Data'!$D$2:$D$2436,G$200)</f>
        <v>0</v>
      </c>
      <c r="H210" s="74" t="n">
        <f aca="false">COUNTIFS('Master Data'!$B$2:$B$2436,$B$3,'Master Data'!$K$2:$K$2436,$B210,'Master Data'!$D$2:$D$2436,H$200)</f>
        <v>2</v>
      </c>
      <c r="I210" s="74" t="n">
        <f aca="false">COUNTIFS('Master Data'!$B$2:$B$2436,$B$3,'Master Data'!$K$2:$K$2436,$B210,'Master Data'!$D$2:$D$2436,I$200)</f>
        <v>1</v>
      </c>
      <c r="J210" s="74" t="n">
        <f aca="false">COUNTIFS('Master Data'!$B$2:$B$2436,$B$3,'Master Data'!$K$2:$K$2436,$B210,'Master Data'!$D$2:$D$2436,J$200)</f>
        <v>2</v>
      </c>
      <c r="K210" s="71" t="n">
        <f aca="false">SUM(D210:J210)</f>
        <v>11</v>
      </c>
      <c r="L210" s="71" t="s">
        <v>208</v>
      </c>
    </row>
    <row r="211" customFormat="false" ht="15" hidden="false" customHeight="false" outlineLevel="0" collapsed="false">
      <c r="A211" s="71" t="n">
        <v>11</v>
      </c>
      <c r="B211" s="72" t="s">
        <v>209</v>
      </c>
      <c r="C211" s="73" t="s">
        <v>210</v>
      </c>
      <c r="D211" s="74" t="n">
        <f aca="false">COUNTIFS('Master Data'!$B$2:$B$2436,$B$3,'Master Data'!$K$2:$K$2436,$B211,'Master Data'!$D$2:$D$2436,D$200)</f>
        <v>0</v>
      </c>
      <c r="E211" s="74" t="n">
        <f aca="false">COUNTIFS('Master Data'!$B$2:$B$2436,$B$3,'Master Data'!$K$2:$K$2436,$B211,'Master Data'!$D$2:$D$2436,E$200)</f>
        <v>0</v>
      </c>
      <c r="F211" s="74" t="n">
        <f aca="false">COUNTIFS('Master Data'!$B$2:$B$2436,$B$3,'Master Data'!$K$2:$K$2436,$B211,'Master Data'!$D$2:$D$2436,F$200)</f>
        <v>0</v>
      </c>
      <c r="G211" s="74" t="n">
        <f aca="false">COUNTIFS('Master Data'!$B$2:$B$2436,$B$3,'Master Data'!$K$2:$K$2436,$B211,'Master Data'!$D$2:$D$2436,G$200)</f>
        <v>0</v>
      </c>
      <c r="H211" s="74" t="n">
        <f aca="false">COUNTIFS('Master Data'!$B$2:$B$2436,$B$3,'Master Data'!$K$2:$K$2436,$B211,'Master Data'!$D$2:$D$2436,H$200)</f>
        <v>0</v>
      </c>
      <c r="I211" s="74" t="n">
        <f aca="false">COUNTIFS('Master Data'!$B$2:$B$2436,$B$3,'Master Data'!$K$2:$K$2436,$B211,'Master Data'!$D$2:$D$2436,I$200)</f>
        <v>0</v>
      </c>
      <c r="J211" s="74" t="n">
        <f aca="false">COUNTIFS('Master Data'!$B$2:$B$2436,$B$3,'Master Data'!$K$2:$K$2436,$B211,'Master Data'!$D$2:$D$2436,J$200)</f>
        <v>1</v>
      </c>
      <c r="K211" s="71" t="n">
        <f aca="false">SUM(D211:J211)</f>
        <v>1</v>
      </c>
      <c r="L211" s="71" t="s">
        <v>211</v>
      </c>
    </row>
  </sheetData>
  <autoFilter ref="A91:O195"/>
  <mergeCells count="4">
    <mergeCell ref="A1:F1"/>
    <mergeCell ref="A2:F2"/>
    <mergeCell ref="D3:E3"/>
    <mergeCell ref="D4:E4"/>
  </mergeCells>
  <conditionalFormatting sqref="B15:H26">
    <cfRule type="expression" priority="2" aboveAverage="0" equalAverage="0" bottom="0" percent="0" rank="0" text="" dxfId="8">
      <formula>T15="Belum terisi"</formula>
    </cfRule>
    <cfRule type="expression" priority="3" aboveAverage="0" equalAverage="0" bottom="0" percent="0" rank="0" text="" dxfId="9">
      <formula>T15="Slot kosong"</formula>
    </cfRule>
    <cfRule type="expression" priority="4" aboveAverage="0" equalAverage="0" bottom="0" percent="0" rank="0" text="" dxfId="10">
      <formula>T15="Sebagian"</formula>
    </cfRule>
    <cfRule type="expression" priority="5" aboveAverage="0" equalAverage="0" bottom="0" percent="0" rank="0" text="" dxfId="11">
      <formula>T15="Penuh"</formula>
    </cfRule>
    <cfRule type="expression" priority="6" aboveAverage="0" equalAverage="0" bottom="0" percent="0" rank="0" text="" dxfId="12">
      <formula>T15="Lebih kapasitas"</formula>
    </cfRule>
    <cfRule type="expression" priority="7" aboveAverage="0" equalAverage="0" bottom="0" percent="0" rank="0" text="" dxfId="13">
      <formula>T15="Tutup"</formula>
    </cfRule>
    <cfRule type="expression" priority="8" aboveAverage="0" equalAverage="0" bottom="0" percent="0" rank="0" text="" dxfId="14">
      <formula>T15="Tidak dibuka"</formula>
    </cfRule>
  </conditionalFormatting>
  <conditionalFormatting sqref="B30:H41">
    <cfRule type="expression" priority="9" aboveAverage="0" equalAverage="0" bottom="0" percent="0" rank="0" text="" dxfId="8">
      <formula>T30="Belum terisi"</formula>
    </cfRule>
    <cfRule type="expression" priority="10" aboveAverage="0" equalAverage="0" bottom="0" percent="0" rank="0" text="" dxfId="9">
      <formula>T30="Slot kosong"</formula>
    </cfRule>
    <cfRule type="expression" priority="11" aboveAverage="0" equalAverage="0" bottom="0" percent="0" rank="0" text="" dxfId="10">
      <formula>T30="Sebagian"</formula>
    </cfRule>
    <cfRule type="expression" priority="12" aboveAverage="0" equalAverage="0" bottom="0" percent="0" rank="0" text="" dxfId="11">
      <formula>T30="Penuh"</formula>
    </cfRule>
    <cfRule type="expression" priority="13" aboveAverage="0" equalAverage="0" bottom="0" percent="0" rank="0" text="" dxfId="12">
      <formula>T30="Lebih kapasitas"</formula>
    </cfRule>
    <cfRule type="expression" priority="14" aboveAverage="0" equalAverage="0" bottom="0" percent="0" rank="0" text="" dxfId="13">
      <formula>T30="Tutup"</formula>
    </cfRule>
    <cfRule type="expression" priority="15" aboveAverage="0" equalAverage="0" bottom="0" percent="0" rank="0" text="" dxfId="14">
      <formula>T30="Tidak dibuka"</formula>
    </cfRule>
  </conditionalFormatting>
  <conditionalFormatting sqref="B45:H56">
    <cfRule type="expression" priority="16" aboveAverage="0" equalAverage="0" bottom="0" percent="0" rank="0" text="" dxfId="8">
      <formula>T45="Belum terisi"</formula>
    </cfRule>
    <cfRule type="expression" priority="17" aboveAverage="0" equalAverage="0" bottom="0" percent="0" rank="0" text="" dxfId="9">
      <formula>T45="Slot kosong"</formula>
    </cfRule>
    <cfRule type="expression" priority="18" aboveAverage="0" equalAverage="0" bottom="0" percent="0" rank="0" text="" dxfId="10">
      <formula>T45="Sebagian"</formula>
    </cfRule>
    <cfRule type="expression" priority="19" aboveAverage="0" equalAverage="0" bottom="0" percent="0" rank="0" text="" dxfId="11">
      <formula>T45="Penuh"</formula>
    </cfRule>
    <cfRule type="expression" priority="20" aboveAverage="0" equalAverage="0" bottom="0" percent="0" rank="0" text="" dxfId="12">
      <formula>T45="Lebih kapasitas"</formula>
    </cfRule>
    <cfRule type="expression" priority="21" aboveAverage="0" equalAverage="0" bottom="0" percent="0" rank="0" text="" dxfId="13">
      <formula>T45="Tutup"</formula>
    </cfRule>
    <cfRule type="expression" priority="22" aboveAverage="0" equalAverage="0" bottom="0" percent="0" rank="0" text="" dxfId="14">
      <formula>T45="Tidak dibuka"</formula>
    </cfRule>
  </conditionalFormatting>
  <conditionalFormatting sqref="B60:H71">
    <cfRule type="expression" priority="23" aboveAverage="0" equalAverage="0" bottom="0" percent="0" rank="0" text="" dxfId="8">
      <formula>T60="Belum terisi"</formula>
    </cfRule>
    <cfRule type="expression" priority="24" aboveAverage="0" equalAverage="0" bottom="0" percent="0" rank="0" text="" dxfId="9">
      <formula>T60="Slot kosong"</formula>
    </cfRule>
    <cfRule type="expression" priority="25" aboveAverage="0" equalAverage="0" bottom="0" percent="0" rank="0" text="" dxfId="10">
      <formula>T60="Sebagian"</formula>
    </cfRule>
    <cfRule type="expression" priority="26" aboveAverage="0" equalAverage="0" bottom="0" percent="0" rank="0" text="" dxfId="11">
      <formula>T60="Penuh"</formula>
    </cfRule>
    <cfRule type="expression" priority="27" aboveAverage="0" equalAverage="0" bottom="0" percent="0" rank="0" text="" dxfId="12">
      <formula>T60="Lebih kapasitas"</formula>
    </cfRule>
    <cfRule type="expression" priority="28" aboveAverage="0" equalAverage="0" bottom="0" percent="0" rank="0" text="" dxfId="13">
      <formula>T60="Tutup"</formula>
    </cfRule>
    <cfRule type="expression" priority="29" aboveAverage="0" equalAverage="0" bottom="0" percent="0" rank="0" text="" dxfId="14">
      <formula>T60="Tidak dibuka"</formula>
    </cfRule>
  </conditionalFormatting>
  <conditionalFormatting sqref="B75:H86">
    <cfRule type="expression" priority="30" aboveAverage="0" equalAverage="0" bottom="0" percent="0" rank="0" text="" dxfId="8">
      <formula>T75="Belum terisi"</formula>
    </cfRule>
    <cfRule type="expression" priority="31" aboveAverage="0" equalAverage="0" bottom="0" percent="0" rank="0" text="" dxfId="9">
      <formula>T75="Slot kosong"</formula>
    </cfRule>
    <cfRule type="expression" priority="32" aboveAverage="0" equalAverage="0" bottom="0" percent="0" rank="0" text="" dxfId="10">
      <formula>T75="Sebagian"</formula>
    </cfRule>
    <cfRule type="expression" priority="33" aboveAverage="0" equalAverage="0" bottom="0" percent="0" rank="0" text="" dxfId="11">
      <formula>T75="Penuh"</formula>
    </cfRule>
    <cfRule type="expression" priority="34" aboveAverage="0" equalAverage="0" bottom="0" percent="0" rank="0" text="" dxfId="12">
      <formula>T75="Lebih kapasitas"</formula>
    </cfRule>
    <cfRule type="expression" priority="35" aboveAverage="0" equalAverage="0" bottom="0" percent="0" rank="0" text="" dxfId="13">
      <formula>T75="Tutup"</formula>
    </cfRule>
    <cfRule type="expression" priority="36" aboveAverage="0" equalAverage="0" bottom="0" percent="0" rank="0" text="" dxfId="14">
      <formula>T75="Tidak dibuka"</formula>
    </cfRule>
  </conditionalFormatting>
  <conditionalFormatting sqref="E92:E195">
    <cfRule type="expression" priority="37" aboveAverage="0" equalAverage="0" bottom="0" percent="0" rank="0" text="" dxfId="8">
      <formula>E92="Belum terisi"</formula>
    </cfRule>
    <cfRule type="expression" priority="38" aboveAverage="0" equalAverage="0" bottom="0" percent="0" rank="0" text="" dxfId="9">
      <formula>E92="Slot kosong"</formula>
    </cfRule>
  </conditionalFormatting>
  <conditionalFormatting sqref="A92:O195">
    <cfRule type="expression" priority="39" aboveAverage="0" equalAverage="0" bottom="0" percent="0" rank="0" text="" dxfId="15">
      <formula>$K92="Jual minggu ini"</formula>
    </cfRule>
  </conditionalFormatting>
  <conditionalFormatting sqref="D201:J211">
    <cfRule type="colorScale" priority="40">
      <colorScale>
        <cfvo type="num" val="0"/>
        <cfvo type="max" val="0"/>
        <color rgb="FFFFFFFF"/>
        <color rgb="FF8EC6D0"/>
      </colorScale>
    </cfRule>
  </conditionalFormatting>
  <dataValidations count="4">
    <dataValidation allowBlank="true" error="Isi angka 0–20" errorStyle="stop" errorTitle="Target murid" operator="between" showDropDown="false" showErrorMessage="false" showInputMessage="false" sqref="N92:N195" type="whole">
      <formula1>0</formula1>
      <formula2>20</formula2>
    </dataValidation>
    <dataValidation allowBlank="true" errorStyle="stop" operator="between" showDropDown="false" showErrorMessage="false" showInputMessage="false" sqref="K92:K195" type="list">
      <formula1>"Jual minggu ini,Buka kelas baru,Ganti age group,Tahan,Tutup slot"</formula1>
      <formula2>0</formula2>
    </dataValidation>
    <dataValidation allowBlank="true" errorStyle="stop" operator="between" showDropDown="false" showErrorMessage="false" showInputMessage="false" sqref="L92:L195" type="list">
      <formula1>"Baby,Tiny,Little,Kids"</formula1>
      <formula2>0</formula2>
    </dataValidation>
    <dataValidation allowBlank="true" errorStyle="stop" operator="between" showDropDown="false" showErrorMessage="false" showInputMessage="false" sqref="M92:M195" type="list">
      <formula1>$B$201:$B$211</formula1>
      <formula2>0</formula2>
    </dataValidation>
  </dataValidations>
  <hyperlinks>
    <hyperlink ref="B11" r:id="rId1" location="'KLM'!A13" display="→ Slot Map"/>
    <hyperlink ref="C11" r:id="rId2" location="'KLM'!A89" display="→ Daftar Diskusi"/>
    <hyperlink ref="D11" r:id="rId3" location="'KLM'!A198" display="→ Coach"/>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25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0" topLeftCell="B1" activePane="topRight" state="frozen"/>
      <selection pane="topLeft" activeCell="A1" activeCellId="0" sqref="A1"/>
      <selection pane="top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8" min="2" style="0" width="19"/>
    <col collapsed="false" customWidth="true" hidden="false" outlineLevel="0" max="9" min="9" style="0" width="40"/>
    <col collapsed="false" customWidth="true" hidden="false" outlineLevel="0" max="10" min="10" style="0" width="18"/>
    <col collapsed="false" customWidth="true" hidden="false" outlineLevel="0" max="11" min="11" style="0" width="16"/>
    <col collapsed="false" customWidth="true" hidden="false" outlineLevel="0" max="13" min="12" style="0" width="14"/>
    <col collapsed="false" customWidth="true" hidden="false" outlineLevel="0" max="14" min="14" style="0" width="11"/>
    <col collapsed="false" customWidth="true" hidden="false" outlineLevel="0" max="15" min="15" style="0" width="34"/>
    <col collapsed="false" customWidth="true" hidden="true" outlineLevel="0" max="26" min="20" style="0" width="13"/>
  </cols>
  <sheetData>
    <row r="1" customFormat="false" ht="19.7" hidden="false" customHeight="false" outlineLevel="0" collapsed="false">
      <c r="A1" s="29" t="s">
        <v>212</v>
      </c>
      <c r="B1" s="29"/>
      <c r="C1" s="29"/>
      <c r="D1" s="29"/>
      <c r="E1" s="29"/>
      <c r="F1" s="29"/>
    </row>
    <row r="2" customFormat="false" ht="15" hidden="false" customHeight="false" outlineLevel="0" collapsed="false">
      <c r="A2" s="30" t="s">
        <v>76</v>
      </c>
      <c r="B2" s="30"/>
      <c r="C2" s="30"/>
      <c r="D2" s="30"/>
      <c r="E2" s="30"/>
      <c r="F2" s="30"/>
    </row>
    <row r="3" customFormat="false" ht="15" hidden="false" customHeight="false" outlineLevel="0" collapsed="false">
      <c r="A3" s="13" t="s">
        <v>54</v>
      </c>
      <c r="B3" s="3" t="s">
        <v>63</v>
      </c>
      <c r="C3" s="13" t="s">
        <v>77</v>
      </c>
      <c r="D3" s="31"/>
      <c r="E3" s="31"/>
    </row>
    <row r="4" customFormat="false" ht="15" hidden="false" customHeight="false" outlineLevel="0" collapsed="false">
      <c r="A4" s="13" t="s">
        <v>78</v>
      </c>
      <c r="B4" s="31" t="s">
        <v>79</v>
      </c>
      <c r="C4" s="13" t="s">
        <v>80</v>
      </c>
      <c r="D4" s="31"/>
      <c r="E4" s="31"/>
    </row>
    <row r="6" customFormat="false" ht="15" hidden="false" customHeight="false" outlineLevel="0" collapsed="false">
      <c r="A6" s="32" t="s">
        <v>81</v>
      </c>
      <c r="B6" s="33" t="s">
        <v>55</v>
      </c>
      <c r="C6" s="33" t="s">
        <v>56</v>
      </c>
      <c r="D6" s="34" t="s">
        <v>14</v>
      </c>
      <c r="E6" s="35" t="s">
        <v>16</v>
      </c>
      <c r="F6" s="36" t="s">
        <v>18</v>
      </c>
      <c r="G6" s="37" t="s">
        <v>20</v>
      </c>
      <c r="H6" s="38" t="s">
        <v>22</v>
      </c>
    </row>
    <row r="7" customFormat="false" ht="19.7" hidden="false" customHeight="false" outlineLevel="0" collapsed="false">
      <c r="B7" s="39" t="n">
        <f aca="false">IFERROR(SUMIFS('Master Data'!$H$2:$H$2436,'Master Data'!$B$2:$B$2436,$B$3,'Master Data'!$G$2:$G$2436,"&gt;0")/SUMIFS('Master Data'!$G$2:$G$2436,'Master Data'!$B$2:$B$2436,$B$3,'Master Data'!$G$2:$G$2436,"&gt;0"),"")</f>
        <v>0.395674300254453</v>
      </c>
      <c r="C7" s="40" t="str">
        <f aca="false">SUMIFS('Master Data'!$H$2:$H$2436,'Master Data'!$B$2:$B$2436,$B$3,'Master Data'!$G$2:$G$2436,"&gt;0")&amp;" / "&amp;SUMIFS('Master Data'!$G$2:$G$2436,'Master Data'!$B$2:$B$2436,$B$3,'Master Data'!$G$2:$G$2436,"&gt;0")</f>
        <v>622 / 1572</v>
      </c>
      <c r="D7" s="41" t="n">
        <f aca="false">COUNTIFS('Master Data'!$B$2:$B$2436,$B$3,'Master Data'!$L$2:$L$2436,"Belum terisi")</f>
        <v>110</v>
      </c>
      <c r="E7" s="42" t="n">
        <f aca="false">COUNTIFS('Master Data'!$B$2:$B$2436,$B$3,'Master Data'!$L$2:$L$2436,"Slot kosong")</f>
        <v>35</v>
      </c>
      <c r="F7" s="43" t="n">
        <f aca="false">COUNTIFS('Master Data'!$B$2:$B$2436,$B$3,'Master Data'!$L$2:$L$2436,"Sebagian")</f>
        <v>125</v>
      </c>
      <c r="G7" s="44" t="n">
        <f aca="false">COUNTIFS('Master Data'!$B$2:$B$2436,$B$3,'Master Data'!$L$2:$L$2436,"Penuh")</f>
        <v>76</v>
      </c>
      <c r="H7" s="45" t="n">
        <f aca="false">COUNTIFS('Master Data'!$B$2:$B$2436,$B$3,'Master Data'!$L$2:$L$2436,"Lebih kapasitas")</f>
        <v>3</v>
      </c>
    </row>
    <row r="9" customFormat="false" ht="15" hidden="false" customHeight="false" outlineLevel="0" collapsed="false">
      <c r="A9" s="32" t="s">
        <v>82</v>
      </c>
      <c r="B9" s="46" t="s">
        <v>14</v>
      </c>
      <c r="C9" s="47" t="s">
        <v>16</v>
      </c>
      <c r="D9" s="48" t="s">
        <v>18</v>
      </c>
      <c r="E9" s="49" t="s">
        <v>20</v>
      </c>
      <c r="F9" s="50" t="s">
        <v>22</v>
      </c>
      <c r="G9" s="51" t="s">
        <v>24</v>
      </c>
    </row>
    <row r="10" customFormat="false" ht="15" hidden="false" customHeight="false" outlineLevel="0" collapsed="false">
      <c r="B10" s="52" t="s">
        <v>83</v>
      </c>
    </row>
    <row r="11" customFormat="false" ht="15" hidden="false" customHeight="false" outlineLevel="0" collapsed="false">
      <c r="A11" s="32" t="s">
        <v>84</v>
      </c>
      <c r="B11" s="53" t="s">
        <v>85</v>
      </c>
      <c r="C11" s="53" t="s">
        <v>86</v>
      </c>
      <c r="D11" s="53" t="s">
        <v>87</v>
      </c>
    </row>
    <row r="13" customFormat="false" ht="16.15" hidden="false" customHeight="false" outlineLevel="0" collapsed="false">
      <c r="A13" s="54" t="s">
        <v>88</v>
      </c>
      <c r="B13" s="55"/>
      <c r="C13" s="56" t="str">
        <f aca="false">"Utilisasi lane: "&amp;IFERROR(TEXT(SUMIFS('Master Data'!$H$2:$H$2436,'Master Data'!$B$2:$B$2436,$B$3,'Master Data'!$C$2:$C$2436,1,'Master Data'!$G$2:$G$2436,"&gt;0")/SUMIFS('Master Data'!$G$2:$G$2436,'Master Data'!$B$2:$B$2436,$B$3,'Master Data'!$C$2:$C$2436,1,'Master Data'!$G$2:$G$2436,"&gt;0"),"0%"),"–")&amp;"   ·   Belum terisi: "&amp;COUNTIFS('Master Data'!$B$2:$B$2436,$B$3,'Master Data'!$C$2:$C$2436,1,'Master Data'!$L$2:$L$2436,"Belum terisi")&amp;"   ·   Slot kosong: "&amp;COUNTIFS('Master Data'!$B$2:$B$2436,$B$3,'Master Data'!$C$2:$C$2436,1,'Master Data'!$L$2:$L$2436,"Slot kosong")</f>
        <v>Utilisasi lane: 21%   ·   Belum terisi: 44   ·   Slot kosong: 0</v>
      </c>
      <c r="D13" s="55"/>
      <c r="E13" s="55"/>
      <c r="F13" s="55"/>
      <c r="G13" s="55"/>
      <c r="H13" s="55"/>
    </row>
    <row r="14" customFormat="false" ht="15" hidden="false" customHeight="false" outlineLevel="0" collapsed="false">
      <c r="A14" s="57" t="s">
        <v>89</v>
      </c>
      <c r="B14" s="58" t="s">
        <v>90</v>
      </c>
      <c r="C14" s="58" t="s">
        <v>91</v>
      </c>
      <c r="D14" s="58" t="s">
        <v>92</v>
      </c>
      <c r="E14" s="58" t="s">
        <v>93</v>
      </c>
      <c r="F14" s="58" t="s">
        <v>94</v>
      </c>
      <c r="G14" s="58" t="s">
        <v>95</v>
      </c>
      <c r="H14" s="58" t="s">
        <v>78</v>
      </c>
    </row>
    <row r="15" customFormat="false" ht="30" hidden="false" customHeight="true" outlineLevel="0" collapsed="false">
      <c r="A15" s="59" t="s">
        <v>110</v>
      </c>
      <c r="B15" s="60" t="str">
        <f aca="false">IFERROR(INDEX('Master Data'!$M$2:$M$2436,MATCH($B$3&amp;"|1|"&amp;B$14&amp;"|"&amp;$A15,'Master Data'!$A$2:$A$2436,0)),"")</f>
        <v>Baby  0/0
coach: –</v>
      </c>
      <c r="C15" s="60" t="str">
        <f aca="false">IFERROR(INDEX('Master Data'!$M$2:$M$2436,MATCH($B$3&amp;"|1|"&amp;C$14&amp;"|"&amp;$A15,'Master Data'!$A$2:$A$2436,0)),"")</f>
        <v>Baby  0/0
coach: –</v>
      </c>
      <c r="D15" s="60" t="str">
        <f aca="false">IFERROR(INDEX('Master Data'!$M$2:$M$2436,MATCH($B$3&amp;"|1|"&amp;D$14&amp;"|"&amp;$A15,'Master Data'!$A$2:$A$2436,0)),"")</f>
        <v>Baby  0/0
coach: –</v>
      </c>
      <c r="E15" s="60" t="str">
        <f aca="false">IFERROR(INDEX('Master Data'!$M$2:$M$2436,MATCH($B$3&amp;"|1|"&amp;E$14&amp;"|"&amp;$A15,'Master Data'!$A$2:$A$2436,0)),"")</f>
        <v>Baby  0/0
coach: –</v>
      </c>
      <c r="F15" s="60" t="str">
        <f aca="false">IFERROR(INDEX('Master Data'!$M$2:$M$2436,MATCH($B$3&amp;"|1|"&amp;F$14&amp;"|"&amp;$A15,'Master Data'!$A$2:$A$2436,0)),"")</f>
        <v>Baby  0/0
coach: –</v>
      </c>
      <c r="G15" s="60" t="str">
        <f aca="false">IFERROR(INDEX('Master Data'!$M$2:$M$2436,MATCH($B$3&amp;"|1|"&amp;G$14&amp;"|"&amp;$A15,'Master Data'!$A$2:$A$2436,0)),"")</f>
        <v>Baby  0/0
coach: –</v>
      </c>
      <c r="H15" s="60" t="str">
        <f aca="false">IFERROR(INDEX('Master Data'!$M$2:$M$2436,MATCH($B$3&amp;"|1|"&amp;H$14&amp;"|"&amp;$A15,'Master Data'!$A$2:$A$2436,0)),"")</f>
        <v>Baby  0/0
coach: –</v>
      </c>
      <c r="T15" s="61" t="str">
        <f aca="false">IFERROR(INDEX('Master Data'!$L$2:$L$2436,MATCH($B$3&amp;"|1|"&amp;B$14&amp;"|"&amp;$A15,'Master Data'!$A$2:$A$2436,0)),"")</f>
        <v>Tutup</v>
      </c>
      <c r="U15" s="61" t="str">
        <f aca="false">IFERROR(INDEX('Master Data'!$L$2:$L$2436,MATCH($B$3&amp;"|1|"&amp;C$14&amp;"|"&amp;$A15,'Master Data'!$A$2:$A$2436,0)),"")</f>
        <v>Tutup</v>
      </c>
      <c r="V15" s="61" t="str">
        <f aca="false">IFERROR(INDEX('Master Data'!$L$2:$L$2436,MATCH($B$3&amp;"|1|"&amp;D$14&amp;"|"&amp;$A15,'Master Data'!$A$2:$A$2436,0)),"")</f>
        <v>Tutup</v>
      </c>
      <c r="W15" s="61" t="str">
        <f aca="false">IFERROR(INDEX('Master Data'!$L$2:$L$2436,MATCH($B$3&amp;"|1|"&amp;E$14&amp;"|"&amp;$A15,'Master Data'!$A$2:$A$2436,0)),"")</f>
        <v>Tutup</v>
      </c>
      <c r="X15" s="61" t="str">
        <f aca="false">IFERROR(INDEX('Master Data'!$L$2:$L$2436,MATCH($B$3&amp;"|1|"&amp;F$14&amp;"|"&amp;$A15,'Master Data'!$A$2:$A$2436,0)),"")</f>
        <v>Tutup</v>
      </c>
      <c r="Y15" s="61" t="str">
        <f aca="false">IFERROR(INDEX('Master Data'!$L$2:$L$2436,MATCH($B$3&amp;"|1|"&amp;G$14&amp;"|"&amp;$A15,'Master Data'!$A$2:$A$2436,0)),"")</f>
        <v>Tutup</v>
      </c>
      <c r="Z15" s="61" t="str">
        <f aca="false">IFERROR(INDEX('Master Data'!$L$2:$L$2436,MATCH($B$3&amp;"|1|"&amp;H$14&amp;"|"&amp;$A15,'Master Data'!$A$2:$A$2436,0)),"")</f>
        <v>Tutup</v>
      </c>
    </row>
    <row r="16" customFormat="false" ht="30" hidden="false" customHeight="true" outlineLevel="0" collapsed="false">
      <c r="A16" s="59" t="s">
        <v>111</v>
      </c>
      <c r="B16" s="60" t="str">
        <f aca="false">IFERROR(INDEX('Master Data'!$M$2:$M$2436,MATCH($B$3&amp;"|1|"&amp;B$14&amp;"|"&amp;$A16,'Master Data'!$A$2:$A$2436,0)),"")</f>
        <v>Baby  3/5
coach: Sri</v>
      </c>
      <c r="C16" s="60" t="str">
        <f aca="false">IFERROR(INDEX('Master Data'!$M$2:$M$2436,MATCH($B$3&amp;"|1|"&amp;C$14&amp;"|"&amp;$A16,'Master Data'!$A$2:$A$2436,0)),"")</f>
        <v>Baby  0/5
coach: –</v>
      </c>
      <c r="D16" s="60" t="str">
        <f aca="false">IFERROR(INDEX('Master Data'!$M$2:$M$2436,MATCH($B$3&amp;"|1|"&amp;D$14&amp;"|"&amp;$A16,'Master Data'!$A$2:$A$2436,0)),"")</f>
        <v>Baby  0/5
coach: –</v>
      </c>
      <c r="E16" s="60" t="str">
        <f aca="false">IFERROR(INDEX('Master Data'!$M$2:$M$2436,MATCH($B$3&amp;"|1|"&amp;E$14&amp;"|"&amp;$A16,'Master Data'!$A$2:$A$2436,0)),"")</f>
        <v>Baby  0/5
coach: –</v>
      </c>
      <c r="F16" s="60" t="str">
        <f aca="false">IFERROR(INDEX('Master Data'!$M$2:$M$2436,MATCH($B$3&amp;"|1|"&amp;F$14&amp;"|"&amp;$A16,'Master Data'!$A$2:$A$2436,0)),"")</f>
        <v>Baby  4/5
coach: Andreas</v>
      </c>
      <c r="G16" s="60" t="str">
        <f aca="false">IFERROR(INDEX('Master Data'!$M$2:$M$2436,MATCH($B$3&amp;"|1|"&amp;G$14&amp;"|"&amp;$A16,'Master Data'!$A$2:$A$2436,0)),"")</f>
        <v>Baby  5/5
coach: Sri</v>
      </c>
      <c r="H16" s="60" t="str">
        <f aca="false">IFERROR(INDEX('Master Data'!$M$2:$M$2436,MATCH($B$3&amp;"|1|"&amp;H$14&amp;"|"&amp;$A16,'Master Data'!$A$2:$A$2436,0)),"")</f>
        <v>Baby  5/5
coach: Nabila</v>
      </c>
      <c r="T16" s="61" t="str">
        <f aca="false">IFERROR(INDEX('Master Data'!$L$2:$L$2436,MATCH($B$3&amp;"|1|"&amp;B$14&amp;"|"&amp;$A16,'Master Data'!$A$2:$A$2436,0)),"")</f>
        <v>Sebagian</v>
      </c>
      <c r="U16" s="61" t="str">
        <f aca="false">IFERROR(INDEX('Master Data'!$L$2:$L$2436,MATCH($B$3&amp;"|1|"&amp;C$14&amp;"|"&amp;$A16,'Master Data'!$A$2:$A$2436,0)),"")</f>
        <v>Belum terisi</v>
      </c>
      <c r="V16" s="61" t="str">
        <f aca="false">IFERROR(INDEX('Master Data'!$L$2:$L$2436,MATCH($B$3&amp;"|1|"&amp;D$14&amp;"|"&amp;$A16,'Master Data'!$A$2:$A$2436,0)),"")</f>
        <v>Belum terisi</v>
      </c>
      <c r="W16" s="61" t="str">
        <f aca="false">IFERROR(INDEX('Master Data'!$L$2:$L$2436,MATCH($B$3&amp;"|1|"&amp;E$14&amp;"|"&amp;$A16,'Master Data'!$A$2:$A$2436,0)),"")</f>
        <v>Belum terisi</v>
      </c>
      <c r="X16" s="61" t="str">
        <f aca="false">IFERROR(INDEX('Master Data'!$L$2:$L$2436,MATCH($B$3&amp;"|1|"&amp;F$14&amp;"|"&amp;$A16,'Master Data'!$A$2:$A$2436,0)),"")</f>
        <v>Sebagian</v>
      </c>
      <c r="Y16" s="61" t="str">
        <f aca="false">IFERROR(INDEX('Master Data'!$L$2:$L$2436,MATCH($B$3&amp;"|1|"&amp;G$14&amp;"|"&amp;$A16,'Master Data'!$A$2:$A$2436,0)),"")</f>
        <v>Penuh</v>
      </c>
      <c r="Z16" s="61" t="str">
        <f aca="false">IFERROR(INDEX('Master Data'!$L$2:$L$2436,MATCH($B$3&amp;"|1|"&amp;H$14&amp;"|"&amp;$A16,'Master Data'!$A$2:$A$2436,0)),"")</f>
        <v>Penuh</v>
      </c>
    </row>
    <row r="17" customFormat="false" ht="30" hidden="false" customHeight="true" outlineLevel="0" collapsed="false">
      <c r="A17" s="59" t="s">
        <v>112</v>
      </c>
      <c r="B17" s="60" t="str">
        <f aca="false">IFERROR(INDEX('Master Data'!$M$2:$M$2436,MATCH($B$3&amp;"|1|"&amp;B$14&amp;"|"&amp;$A17,'Master Data'!$A$2:$A$2436,0)),"")</f>
        <v>Baby  0/5
coach: –</v>
      </c>
      <c r="C17" s="60" t="str">
        <f aca="false">IFERROR(INDEX('Master Data'!$M$2:$M$2436,MATCH($B$3&amp;"|1|"&amp;C$14&amp;"|"&amp;$A17,'Master Data'!$A$2:$A$2436,0)),"")</f>
        <v>Baby  2/5
coach: Eve</v>
      </c>
      <c r="D17" s="60" t="str">
        <f aca="false">IFERROR(INDEX('Master Data'!$M$2:$M$2436,MATCH($B$3&amp;"|1|"&amp;D$14&amp;"|"&amp;$A17,'Master Data'!$A$2:$A$2436,0)),"")</f>
        <v>Baby  1/5
coach: Nabila</v>
      </c>
      <c r="E17" s="60" t="str">
        <f aca="false">IFERROR(INDEX('Master Data'!$M$2:$M$2436,MATCH($B$3&amp;"|1|"&amp;E$14&amp;"|"&amp;$A17,'Master Data'!$A$2:$A$2436,0)),"")</f>
        <v>Baby  0/5
coach: –</v>
      </c>
      <c r="F17" s="60" t="str">
        <f aca="false">IFERROR(INDEX('Master Data'!$M$2:$M$2436,MATCH($B$3&amp;"|1|"&amp;F$14&amp;"|"&amp;$A17,'Master Data'!$A$2:$A$2436,0)),"")</f>
        <v>Baby  0/5
coach: –</v>
      </c>
      <c r="G17" s="60" t="str">
        <f aca="false">IFERROR(INDEX('Master Data'!$M$2:$M$2436,MATCH($B$3&amp;"|1|"&amp;G$14&amp;"|"&amp;$A17,'Master Data'!$A$2:$A$2436,0)),"")</f>
        <v>Baby  5/5
coach: Sri</v>
      </c>
      <c r="H17" s="60" t="str">
        <f aca="false">IFERROR(INDEX('Master Data'!$M$2:$M$2436,MATCH($B$3&amp;"|1|"&amp;H$14&amp;"|"&amp;$A17,'Master Data'!$A$2:$A$2436,0)),"")</f>
        <v>Baby  5/5
coach: Andreas</v>
      </c>
      <c r="T17" s="61" t="str">
        <f aca="false">IFERROR(INDEX('Master Data'!$L$2:$L$2436,MATCH($B$3&amp;"|1|"&amp;B$14&amp;"|"&amp;$A17,'Master Data'!$A$2:$A$2436,0)),"")</f>
        <v>Belum terisi</v>
      </c>
      <c r="U17" s="61" t="str">
        <f aca="false">IFERROR(INDEX('Master Data'!$L$2:$L$2436,MATCH($B$3&amp;"|1|"&amp;C$14&amp;"|"&amp;$A17,'Master Data'!$A$2:$A$2436,0)),"")</f>
        <v>Sebagian</v>
      </c>
      <c r="V17" s="61" t="str">
        <f aca="false">IFERROR(INDEX('Master Data'!$L$2:$L$2436,MATCH($B$3&amp;"|1|"&amp;D$14&amp;"|"&amp;$A17,'Master Data'!$A$2:$A$2436,0)),"")</f>
        <v>Sebagian</v>
      </c>
      <c r="W17" s="61" t="str">
        <f aca="false">IFERROR(INDEX('Master Data'!$L$2:$L$2436,MATCH($B$3&amp;"|1|"&amp;E$14&amp;"|"&amp;$A17,'Master Data'!$A$2:$A$2436,0)),"")</f>
        <v>Belum terisi</v>
      </c>
      <c r="X17" s="61" t="str">
        <f aca="false">IFERROR(INDEX('Master Data'!$L$2:$L$2436,MATCH($B$3&amp;"|1|"&amp;F$14&amp;"|"&amp;$A17,'Master Data'!$A$2:$A$2436,0)),"")</f>
        <v>Belum terisi</v>
      </c>
      <c r="Y17" s="61" t="str">
        <f aca="false">IFERROR(INDEX('Master Data'!$L$2:$L$2436,MATCH($B$3&amp;"|1|"&amp;G$14&amp;"|"&amp;$A17,'Master Data'!$A$2:$A$2436,0)),"")</f>
        <v>Penuh</v>
      </c>
      <c r="Z17" s="61" t="str">
        <f aca="false">IFERROR(INDEX('Master Data'!$L$2:$L$2436,MATCH($B$3&amp;"|1|"&amp;H$14&amp;"|"&amp;$A17,'Master Data'!$A$2:$A$2436,0)),"")</f>
        <v>Penuh</v>
      </c>
    </row>
    <row r="18" customFormat="false" ht="30" hidden="false" customHeight="true" outlineLevel="0" collapsed="false">
      <c r="A18" s="59" t="s">
        <v>113</v>
      </c>
      <c r="B18" s="60" t="str">
        <f aca="false">IFERROR(INDEX('Master Data'!$M$2:$M$2436,MATCH($B$3&amp;"|1|"&amp;B$14&amp;"|"&amp;$A18,'Master Data'!$A$2:$A$2436,0)),"")</f>
        <v>Baby  0/5
coach: –</v>
      </c>
      <c r="C18" s="60" t="str">
        <f aca="false">IFERROR(INDEX('Master Data'!$M$2:$M$2436,MATCH($B$3&amp;"|1|"&amp;C$14&amp;"|"&amp;$A18,'Master Data'!$A$2:$A$2436,0)),"")</f>
        <v>Baby  0/5
coach: –</v>
      </c>
      <c r="D18" s="60" t="str">
        <f aca="false">IFERROR(INDEX('Master Data'!$M$2:$M$2436,MATCH($B$3&amp;"|1|"&amp;D$14&amp;"|"&amp;$A18,'Master Data'!$A$2:$A$2436,0)),"")</f>
        <v>Baby  0/5
coach: –</v>
      </c>
      <c r="E18" s="60" t="str">
        <f aca="false">IFERROR(INDEX('Master Data'!$M$2:$M$2436,MATCH($B$3&amp;"|1|"&amp;E$14&amp;"|"&amp;$A18,'Master Data'!$A$2:$A$2436,0)),"")</f>
        <v>Baby  3/5
coach: Andreas</v>
      </c>
      <c r="F18" s="60" t="str">
        <f aca="false">IFERROR(INDEX('Master Data'!$M$2:$M$2436,MATCH($B$3&amp;"|1|"&amp;F$14&amp;"|"&amp;$A18,'Master Data'!$A$2:$A$2436,0)),"")</f>
        <v>Baby  0/5
coach: –</v>
      </c>
      <c r="G18" s="60" t="str">
        <f aca="false">IFERROR(INDEX('Master Data'!$M$2:$M$2436,MATCH($B$3&amp;"|1|"&amp;G$14&amp;"|"&amp;$A18,'Master Data'!$A$2:$A$2436,0)),"")</f>
        <v>Baby  5/5
coach: Nabila</v>
      </c>
      <c r="H18" s="60" t="str">
        <f aca="false">IFERROR(INDEX('Master Data'!$M$2:$M$2436,MATCH($B$3&amp;"|1|"&amp;H$14&amp;"|"&amp;$A18,'Master Data'!$A$2:$A$2436,0)),"")</f>
        <v>Baby  5/5
coach: Icis</v>
      </c>
      <c r="T18" s="61" t="str">
        <f aca="false">IFERROR(INDEX('Master Data'!$L$2:$L$2436,MATCH($B$3&amp;"|1|"&amp;B$14&amp;"|"&amp;$A18,'Master Data'!$A$2:$A$2436,0)),"")</f>
        <v>Belum terisi</v>
      </c>
      <c r="U18" s="61" t="str">
        <f aca="false">IFERROR(INDEX('Master Data'!$L$2:$L$2436,MATCH($B$3&amp;"|1|"&amp;C$14&amp;"|"&amp;$A18,'Master Data'!$A$2:$A$2436,0)),"")</f>
        <v>Belum terisi</v>
      </c>
      <c r="V18" s="61" t="str">
        <f aca="false">IFERROR(INDEX('Master Data'!$L$2:$L$2436,MATCH($B$3&amp;"|1|"&amp;D$14&amp;"|"&amp;$A18,'Master Data'!$A$2:$A$2436,0)),"")</f>
        <v>Belum terisi</v>
      </c>
      <c r="W18" s="61" t="str">
        <f aca="false">IFERROR(INDEX('Master Data'!$L$2:$L$2436,MATCH($B$3&amp;"|1|"&amp;E$14&amp;"|"&amp;$A18,'Master Data'!$A$2:$A$2436,0)),"")</f>
        <v>Sebagian</v>
      </c>
      <c r="X18" s="61" t="str">
        <f aca="false">IFERROR(INDEX('Master Data'!$L$2:$L$2436,MATCH($B$3&amp;"|1|"&amp;F$14&amp;"|"&amp;$A18,'Master Data'!$A$2:$A$2436,0)),"")</f>
        <v>Belum terisi</v>
      </c>
      <c r="Y18" s="61" t="str">
        <f aca="false">IFERROR(INDEX('Master Data'!$L$2:$L$2436,MATCH($B$3&amp;"|1|"&amp;G$14&amp;"|"&amp;$A18,'Master Data'!$A$2:$A$2436,0)),"")</f>
        <v>Penuh</v>
      </c>
      <c r="Z18" s="61" t="str">
        <f aca="false">IFERROR(INDEX('Master Data'!$L$2:$L$2436,MATCH($B$3&amp;"|1|"&amp;H$14&amp;"|"&amp;$A18,'Master Data'!$A$2:$A$2436,0)),"")</f>
        <v>Penuh</v>
      </c>
    </row>
    <row r="19" customFormat="false" ht="30" hidden="false" customHeight="true" outlineLevel="0" collapsed="false">
      <c r="A19" s="59" t="s">
        <v>114</v>
      </c>
      <c r="B19" s="60" t="str">
        <f aca="false">IFERROR(INDEX('Master Data'!$M$2:$M$2436,MATCH($B$3&amp;"|1|"&amp;B$14&amp;"|"&amp;$A19,'Master Data'!$A$2:$A$2436,0)),"")</f>
        <v>Baby  0/5
coach: –</v>
      </c>
      <c r="C19" s="60" t="str">
        <f aca="false">IFERROR(INDEX('Master Data'!$M$2:$M$2436,MATCH($B$3&amp;"|1|"&amp;C$14&amp;"|"&amp;$A19,'Master Data'!$A$2:$A$2436,0)),"")</f>
        <v>Baby  0/5
coach: –</v>
      </c>
      <c r="D19" s="60" t="str">
        <f aca="false">IFERROR(INDEX('Master Data'!$M$2:$M$2436,MATCH($B$3&amp;"|1|"&amp;D$14&amp;"|"&amp;$A19,'Master Data'!$A$2:$A$2436,0)),"")</f>
        <v>Baby  2/5
coach: Andreas</v>
      </c>
      <c r="E19" s="60" t="str">
        <f aca="false">IFERROR(INDEX('Master Data'!$M$2:$M$2436,MATCH($B$3&amp;"|1|"&amp;E$14&amp;"|"&amp;$A19,'Master Data'!$A$2:$A$2436,0)),"")</f>
        <v>Baby  0/5
coach: –</v>
      </c>
      <c r="F19" s="60" t="str">
        <f aca="false">IFERROR(INDEX('Master Data'!$M$2:$M$2436,MATCH($B$3&amp;"|1|"&amp;F$14&amp;"|"&amp;$A19,'Master Data'!$A$2:$A$2436,0)),"")</f>
        <v>Baby  0/5
coach: –</v>
      </c>
      <c r="G19" s="60" t="str">
        <f aca="false">IFERROR(INDEX('Master Data'!$M$2:$M$2436,MATCH($B$3&amp;"|1|"&amp;G$14&amp;"|"&amp;$A19,'Master Data'!$A$2:$A$2436,0)),"")</f>
        <v>Baby  2/5
coach: Andreas</v>
      </c>
      <c r="H19" s="60" t="str">
        <f aca="false">IFERROR(INDEX('Master Data'!$M$2:$M$2436,MATCH($B$3&amp;"|1|"&amp;H$14&amp;"|"&amp;$A19,'Master Data'!$A$2:$A$2436,0)),"")</f>
        <v>Baby  3/5
coach: Nabila</v>
      </c>
      <c r="T19" s="61" t="str">
        <f aca="false">IFERROR(INDEX('Master Data'!$L$2:$L$2436,MATCH($B$3&amp;"|1|"&amp;B$14&amp;"|"&amp;$A19,'Master Data'!$A$2:$A$2436,0)),"")</f>
        <v>Belum terisi</v>
      </c>
      <c r="U19" s="61" t="str">
        <f aca="false">IFERROR(INDEX('Master Data'!$L$2:$L$2436,MATCH($B$3&amp;"|1|"&amp;C$14&amp;"|"&amp;$A19,'Master Data'!$A$2:$A$2436,0)),"")</f>
        <v>Belum terisi</v>
      </c>
      <c r="V19" s="61" t="str">
        <f aca="false">IFERROR(INDEX('Master Data'!$L$2:$L$2436,MATCH($B$3&amp;"|1|"&amp;D$14&amp;"|"&amp;$A19,'Master Data'!$A$2:$A$2436,0)),"")</f>
        <v>Sebagian</v>
      </c>
      <c r="W19" s="61" t="str">
        <f aca="false">IFERROR(INDEX('Master Data'!$L$2:$L$2436,MATCH($B$3&amp;"|1|"&amp;E$14&amp;"|"&amp;$A19,'Master Data'!$A$2:$A$2436,0)),"")</f>
        <v>Belum terisi</v>
      </c>
      <c r="X19" s="61" t="str">
        <f aca="false">IFERROR(INDEX('Master Data'!$L$2:$L$2436,MATCH($B$3&amp;"|1|"&amp;F$14&amp;"|"&amp;$A19,'Master Data'!$A$2:$A$2436,0)),"")</f>
        <v>Belum terisi</v>
      </c>
      <c r="Y19" s="61" t="str">
        <f aca="false">IFERROR(INDEX('Master Data'!$L$2:$L$2436,MATCH($B$3&amp;"|1|"&amp;G$14&amp;"|"&amp;$A19,'Master Data'!$A$2:$A$2436,0)),"")</f>
        <v>Sebagian</v>
      </c>
      <c r="Z19" s="61" t="str">
        <f aca="false">IFERROR(INDEX('Master Data'!$L$2:$L$2436,MATCH($B$3&amp;"|1|"&amp;H$14&amp;"|"&amp;$A19,'Master Data'!$A$2:$A$2436,0)),"")</f>
        <v>Sebagian</v>
      </c>
    </row>
    <row r="20" customFormat="false" ht="30" hidden="false" customHeight="true" outlineLevel="0" collapsed="false">
      <c r="A20" s="59" t="s">
        <v>115</v>
      </c>
      <c r="B20" s="60" t="str">
        <f aca="false">IFERROR(INDEX('Master Data'!$M$2:$M$2436,MATCH($B$3&amp;"|1|"&amp;B$14&amp;"|"&amp;$A20,'Master Data'!$A$2:$A$2436,0)),"")</f>
        <v>Baby  0/5
coach: –</v>
      </c>
      <c r="C20" s="60" t="str">
        <f aca="false">IFERROR(INDEX('Master Data'!$M$2:$M$2436,MATCH($B$3&amp;"|1|"&amp;C$14&amp;"|"&amp;$A20,'Master Data'!$A$2:$A$2436,0)),"")</f>
        <v>Baby  0/0
coach: –</v>
      </c>
      <c r="D20" s="60" t="str">
        <f aca="false">IFERROR(INDEX('Master Data'!$M$2:$M$2436,MATCH($B$3&amp;"|1|"&amp;D$14&amp;"|"&amp;$A20,'Master Data'!$A$2:$A$2436,0)),"")</f>
        <v>Baby  0/0
coach: –</v>
      </c>
      <c r="E20" s="60" t="str">
        <f aca="false">IFERROR(INDEX('Master Data'!$M$2:$M$2436,MATCH($B$3&amp;"|1|"&amp;E$14&amp;"|"&amp;$A20,'Master Data'!$A$2:$A$2436,0)),"")</f>
        <v>Baby  0/0
coach: –</v>
      </c>
      <c r="F20" s="60" t="str">
        <f aca="false">IFERROR(INDEX('Master Data'!$M$2:$M$2436,MATCH($B$3&amp;"|1|"&amp;F$14&amp;"|"&amp;$A20,'Master Data'!$A$2:$A$2436,0)),"")</f>
        <v>Baby  0/0
coach: –</v>
      </c>
      <c r="G20" s="60" t="str">
        <f aca="false">IFERROR(INDEX('Master Data'!$M$2:$M$2436,MATCH($B$3&amp;"|1|"&amp;G$14&amp;"|"&amp;$A20,'Master Data'!$A$2:$A$2436,0)),"")</f>
        <v>Baby  0/5
coach: –</v>
      </c>
      <c r="H20" s="60" t="str">
        <f aca="false">IFERROR(INDEX('Master Data'!$M$2:$M$2436,MATCH($B$3&amp;"|1|"&amp;H$14&amp;"|"&amp;$A20,'Master Data'!$A$2:$A$2436,0)),"")</f>
        <v>Baby  0/5
coach: –</v>
      </c>
      <c r="T20" s="61" t="str">
        <f aca="false">IFERROR(INDEX('Master Data'!$L$2:$L$2436,MATCH($B$3&amp;"|1|"&amp;B$14&amp;"|"&amp;$A20,'Master Data'!$A$2:$A$2436,0)),"")</f>
        <v>Belum terisi</v>
      </c>
      <c r="U20" s="61" t="str">
        <f aca="false">IFERROR(INDEX('Master Data'!$L$2:$L$2436,MATCH($B$3&amp;"|1|"&amp;C$14&amp;"|"&amp;$A20,'Master Data'!$A$2:$A$2436,0)),"")</f>
        <v>Tutup</v>
      </c>
      <c r="V20" s="61" t="str">
        <f aca="false">IFERROR(INDEX('Master Data'!$L$2:$L$2436,MATCH($B$3&amp;"|1|"&amp;D$14&amp;"|"&amp;$A20,'Master Data'!$A$2:$A$2436,0)),"")</f>
        <v>Tutup</v>
      </c>
      <c r="W20" s="61" t="str">
        <f aca="false">IFERROR(INDEX('Master Data'!$L$2:$L$2436,MATCH($B$3&amp;"|1|"&amp;E$14&amp;"|"&amp;$A20,'Master Data'!$A$2:$A$2436,0)),"")</f>
        <v>Tutup</v>
      </c>
      <c r="X20" s="61" t="str">
        <f aca="false">IFERROR(INDEX('Master Data'!$L$2:$L$2436,MATCH($B$3&amp;"|1|"&amp;F$14&amp;"|"&amp;$A20,'Master Data'!$A$2:$A$2436,0)),"")</f>
        <v>Tutup</v>
      </c>
      <c r="Y20" s="61" t="str">
        <f aca="false">IFERROR(INDEX('Master Data'!$L$2:$L$2436,MATCH($B$3&amp;"|1|"&amp;G$14&amp;"|"&amp;$A20,'Master Data'!$A$2:$A$2436,0)),"")</f>
        <v>Belum terisi</v>
      </c>
      <c r="Z20" s="61" t="str">
        <f aca="false">IFERROR(INDEX('Master Data'!$L$2:$L$2436,MATCH($B$3&amp;"|1|"&amp;H$14&amp;"|"&amp;$A20,'Master Data'!$A$2:$A$2436,0)),"")</f>
        <v>Belum terisi</v>
      </c>
    </row>
    <row r="21" customFormat="false" ht="30" hidden="false" customHeight="true" outlineLevel="0" collapsed="false">
      <c r="A21" s="59" t="s">
        <v>116</v>
      </c>
      <c r="B21" s="60" t="str">
        <f aca="false">IFERROR(INDEX('Master Data'!$M$2:$M$2436,MATCH($B$3&amp;"|1|"&amp;B$14&amp;"|"&amp;$A21,'Master Data'!$A$2:$A$2436,0)),"")</f>
        <v>Baby  0/5
coach: –</v>
      </c>
      <c r="C21" s="60" t="str">
        <f aca="false">IFERROR(INDEX('Master Data'!$M$2:$M$2436,MATCH($B$3&amp;"|1|"&amp;C$14&amp;"|"&amp;$A21,'Master Data'!$A$2:$A$2436,0)),"")</f>
        <v>Baby  0/5
coach: –</v>
      </c>
      <c r="D21" s="60" t="str">
        <f aca="false">IFERROR(INDEX('Master Data'!$M$2:$M$2436,MATCH($B$3&amp;"|1|"&amp;D$14&amp;"|"&amp;$A21,'Master Data'!$A$2:$A$2436,0)),"")</f>
        <v>Baby  0/5
coach: –</v>
      </c>
      <c r="E21" s="60" t="str">
        <f aca="false">IFERROR(INDEX('Master Data'!$M$2:$M$2436,MATCH($B$3&amp;"|1|"&amp;E$14&amp;"|"&amp;$A21,'Master Data'!$A$2:$A$2436,0)),"")</f>
        <v>Baby  0/5
coach: –</v>
      </c>
      <c r="F21" s="60" t="str">
        <f aca="false">IFERROR(INDEX('Master Data'!$M$2:$M$2436,MATCH($B$3&amp;"|1|"&amp;F$14&amp;"|"&amp;$A21,'Master Data'!$A$2:$A$2436,0)),"")</f>
        <v>Baby  0/5
coach: –</v>
      </c>
      <c r="G21" s="60" t="str">
        <f aca="false">IFERROR(INDEX('Master Data'!$M$2:$M$2436,MATCH($B$3&amp;"|1|"&amp;G$14&amp;"|"&amp;$A21,'Master Data'!$A$2:$A$2436,0)),"")</f>
        <v>Baby  0/5
coach: –</v>
      </c>
      <c r="H21" s="60" t="str">
        <f aca="false">IFERROR(INDEX('Master Data'!$M$2:$M$2436,MATCH($B$3&amp;"|1|"&amp;H$14&amp;"|"&amp;$A21,'Master Data'!$A$2:$A$2436,0)),"")</f>
        <v>Baby  1/5
coach: Andreas</v>
      </c>
      <c r="T21" s="61" t="str">
        <f aca="false">IFERROR(INDEX('Master Data'!$L$2:$L$2436,MATCH($B$3&amp;"|1|"&amp;B$14&amp;"|"&amp;$A21,'Master Data'!$A$2:$A$2436,0)),"")</f>
        <v>Belum terisi</v>
      </c>
      <c r="U21" s="61" t="str">
        <f aca="false">IFERROR(INDEX('Master Data'!$L$2:$L$2436,MATCH($B$3&amp;"|1|"&amp;C$14&amp;"|"&amp;$A21,'Master Data'!$A$2:$A$2436,0)),"")</f>
        <v>Belum terisi</v>
      </c>
      <c r="V21" s="61" t="str">
        <f aca="false">IFERROR(INDEX('Master Data'!$L$2:$L$2436,MATCH($B$3&amp;"|1|"&amp;D$14&amp;"|"&amp;$A21,'Master Data'!$A$2:$A$2436,0)),"")</f>
        <v>Belum terisi</v>
      </c>
      <c r="W21" s="61" t="str">
        <f aca="false">IFERROR(INDEX('Master Data'!$L$2:$L$2436,MATCH($B$3&amp;"|1|"&amp;E$14&amp;"|"&amp;$A21,'Master Data'!$A$2:$A$2436,0)),"")</f>
        <v>Belum terisi</v>
      </c>
      <c r="X21" s="61" t="str">
        <f aca="false">IFERROR(INDEX('Master Data'!$L$2:$L$2436,MATCH($B$3&amp;"|1|"&amp;F$14&amp;"|"&amp;$A21,'Master Data'!$A$2:$A$2436,0)),"")</f>
        <v>Belum terisi</v>
      </c>
      <c r="Y21" s="61" t="str">
        <f aca="false">IFERROR(INDEX('Master Data'!$L$2:$L$2436,MATCH($B$3&amp;"|1|"&amp;G$14&amp;"|"&amp;$A21,'Master Data'!$A$2:$A$2436,0)),"")</f>
        <v>Belum terisi</v>
      </c>
      <c r="Z21" s="61" t="str">
        <f aca="false">IFERROR(INDEX('Master Data'!$L$2:$L$2436,MATCH($B$3&amp;"|1|"&amp;H$14&amp;"|"&amp;$A21,'Master Data'!$A$2:$A$2436,0)),"")</f>
        <v>Sebagian</v>
      </c>
    </row>
    <row r="22" customFormat="false" ht="30" hidden="false" customHeight="true" outlineLevel="0" collapsed="false">
      <c r="A22" s="59" t="s">
        <v>117</v>
      </c>
      <c r="B22" s="60" t="str">
        <f aca="false">IFERROR(INDEX('Master Data'!$M$2:$M$2436,MATCH($B$3&amp;"|1|"&amp;B$14&amp;"|"&amp;$A22,'Master Data'!$A$2:$A$2436,0)),"")</f>
        <v>Baby  0/5
coach: –</v>
      </c>
      <c r="C22" s="60" t="str">
        <f aca="false">IFERROR(INDEX('Master Data'!$M$2:$M$2436,MATCH($B$3&amp;"|1|"&amp;C$14&amp;"|"&amp;$A22,'Master Data'!$A$2:$A$2436,0)),"")</f>
        <v>Baby  0/5
coach: –</v>
      </c>
      <c r="D22" s="60" t="str">
        <f aca="false">IFERROR(INDEX('Master Data'!$M$2:$M$2436,MATCH($B$3&amp;"|1|"&amp;D$14&amp;"|"&amp;$A22,'Master Data'!$A$2:$A$2436,0)),"")</f>
        <v>Baby  0/5
coach: –</v>
      </c>
      <c r="E22" s="60" t="str">
        <f aca="false">IFERROR(INDEX('Master Data'!$M$2:$M$2436,MATCH($B$3&amp;"|1|"&amp;E$14&amp;"|"&amp;$A22,'Master Data'!$A$2:$A$2436,0)),"")</f>
        <v>Baby  0/5
coach: –</v>
      </c>
      <c r="F22" s="60" t="str">
        <f aca="false">IFERROR(INDEX('Master Data'!$M$2:$M$2436,MATCH($B$3&amp;"|1|"&amp;F$14&amp;"|"&amp;$A22,'Master Data'!$A$2:$A$2436,0)),"")</f>
        <v>Baby  0/5
coach: –</v>
      </c>
      <c r="G22" s="60" t="str">
        <f aca="false">IFERROR(INDEX('Master Data'!$M$2:$M$2436,MATCH($B$3&amp;"|1|"&amp;G$14&amp;"|"&amp;$A22,'Master Data'!$A$2:$A$2436,0)),"")</f>
        <v>Baby  0/5
coach: –</v>
      </c>
      <c r="H22" s="60" t="str">
        <f aca="false">IFERROR(INDEX('Master Data'!$M$2:$M$2436,MATCH($B$3&amp;"|1|"&amp;H$14&amp;"|"&amp;$A22,'Master Data'!$A$2:$A$2436,0)),"")</f>
        <v>Baby  0/5
coach: –</v>
      </c>
      <c r="T22" s="61" t="str">
        <f aca="false">IFERROR(INDEX('Master Data'!$L$2:$L$2436,MATCH($B$3&amp;"|1|"&amp;B$14&amp;"|"&amp;$A22,'Master Data'!$A$2:$A$2436,0)),"")</f>
        <v>Belum terisi</v>
      </c>
      <c r="U22" s="61" t="str">
        <f aca="false">IFERROR(INDEX('Master Data'!$L$2:$L$2436,MATCH($B$3&amp;"|1|"&amp;C$14&amp;"|"&amp;$A22,'Master Data'!$A$2:$A$2436,0)),"")</f>
        <v>Belum terisi</v>
      </c>
      <c r="V22" s="61" t="str">
        <f aca="false">IFERROR(INDEX('Master Data'!$L$2:$L$2436,MATCH($B$3&amp;"|1|"&amp;D$14&amp;"|"&amp;$A22,'Master Data'!$A$2:$A$2436,0)),"")</f>
        <v>Belum terisi</v>
      </c>
      <c r="W22" s="61" t="str">
        <f aca="false">IFERROR(INDEX('Master Data'!$L$2:$L$2436,MATCH($B$3&amp;"|1|"&amp;E$14&amp;"|"&amp;$A22,'Master Data'!$A$2:$A$2436,0)),"")</f>
        <v>Belum terisi</v>
      </c>
      <c r="X22" s="61" t="str">
        <f aca="false">IFERROR(INDEX('Master Data'!$L$2:$L$2436,MATCH($B$3&amp;"|1|"&amp;F$14&amp;"|"&amp;$A22,'Master Data'!$A$2:$A$2436,0)),"")</f>
        <v>Belum terisi</v>
      </c>
      <c r="Y22" s="61" t="str">
        <f aca="false">IFERROR(INDEX('Master Data'!$L$2:$L$2436,MATCH($B$3&amp;"|1|"&amp;G$14&amp;"|"&amp;$A22,'Master Data'!$A$2:$A$2436,0)),"")</f>
        <v>Belum terisi</v>
      </c>
      <c r="Z22" s="61" t="str">
        <f aca="false">IFERROR(INDEX('Master Data'!$L$2:$L$2436,MATCH($B$3&amp;"|1|"&amp;H$14&amp;"|"&amp;$A22,'Master Data'!$A$2:$A$2436,0)),"")</f>
        <v>Belum terisi</v>
      </c>
    </row>
    <row r="23" customFormat="false" ht="30" hidden="false" customHeight="true" outlineLevel="0" collapsed="false">
      <c r="A23" s="59" t="s">
        <v>118</v>
      </c>
      <c r="B23" s="60" t="str">
        <f aca="false">IFERROR(INDEX('Master Data'!$M$2:$M$2436,MATCH($B$3&amp;"|1|"&amp;B$14&amp;"|"&amp;$A23,'Master Data'!$A$2:$A$2436,0)),"")</f>
        <v>Baby  0/0
coach: –</v>
      </c>
      <c r="C23" s="60" t="str">
        <f aca="false">IFERROR(INDEX('Master Data'!$M$2:$M$2436,MATCH($B$3&amp;"|1|"&amp;C$14&amp;"|"&amp;$A23,'Master Data'!$A$2:$A$2436,0)),"")</f>
        <v>Baby  1/5
coach: Eve</v>
      </c>
      <c r="D23" s="60" t="str">
        <f aca="false">IFERROR(INDEX('Master Data'!$M$2:$M$2436,MATCH($B$3&amp;"|1|"&amp;D$14&amp;"|"&amp;$A23,'Master Data'!$A$2:$A$2436,0)),"")</f>
        <v>Baby  0/5
coach: –</v>
      </c>
      <c r="E23" s="60" t="str">
        <f aca="false">IFERROR(INDEX('Master Data'!$M$2:$M$2436,MATCH($B$3&amp;"|1|"&amp;E$14&amp;"|"&amp;$A23,'Master Data'!$A$2:$A$2436,0)),"")</f>
        <v>Baby  0/5
coach: –</v>
      </c>
      <c r="F23" s="60" t="str">
        <f aca="false">IFERROR(INDEX('Master Data'!$M$2:$M$2436,MATCH($B$3&amp;"|1|"&amp;F$14&amp;"|"&amp;$A23,'Master Data'!$A$2:$A$2436,0)),"")</f>
        <v>Baby  0/0
coach: –</v>
      </c>
      <c r="G23" s="60" t="str">
        <f aca="false">IFERROR(INDEX('Master Data'!$M$2:$M$2436,MATCH($B$3&amp;"|1|"&amp;G$14&amp;"|"&amp;$A23,'Master Data'!$A$2:$A$2436,0)),"")</f>
        <v>Baby  0/5
coach: –</v>
      </c>
      <c r="H23" s="60" t="str">
        <f aca="false">IFERROR(INDEX('Master Data'!$M$2:$M$2436,MATCH($B$3&amp;"|1|"&amp;H$14&amp;"|"&amp;$A23,'Master Data'!$A$2:$A$2436,0)),"")</f>
        <v>Baby  2/5
coach: Andreas</v>
      </c>
      <c r="T23" s="61" t="str">
        <f aca="false">IFERROR(INDEX('Master Data'!$L$2:$L$2436,MATCH($B$3&amp;"|1|"&amp;B$14&amp;"|"&amp;$A23,'Master Data'!$A$2:$A$2436,0)),"")</f>
        <v>Tutup</v>
      </c>
      <c r="U23" s="61" t="str">
        <f aca="false">IFERROR(INDEX('Master Data'!$L$2:$L$2436,MATCH($B$3&amp;"|1|"&amp;C$14&amp;"|"&amp;$A23,'Master Data'!$A$2:$A$2436,0)),"")</f>
        <v>Sebagian</v>
      </c>
      <c r="V23" s="61" t="str">
        <f aca="false">IFERROR(INDEX('Master Data'!$L$2:$L$2436,MATCH($B$3&amp;"|1|"&amp;D$14&amp;"|"&amp;$A23,'Master Data'!$A$2:$A$2436,0)),"")</f>
        <v>Belum terisi</v>
      </c>
      <c r="W23" s="61" t="str">
        <f aca="false">IFERROR(INDEX('Master Data'!$L$2:$L$2436,MATCH($B$3&amp;"|1|"&amp;E$14&amp;"|"&amp;$A23,'Master Data'!$A$2:$A$2436,0)),"")</f>
        <v>Belum terisi</v>
      </c>
      <c r="X23" s="61" t="str">
        <f aca="false">IFERROR(INDEX('Master Data'!$L$2:$L$2436,MATCH($B$3&amp;"|1|"&amp;F$14&amp;"|"&amp;$A23,'Master Data'!$A$2:$A$2436,0)),"")</f>
        <v>Tutup</v>
      </c>
      <c r="Y23" s="61" t="str">
        <f aca="false">IFERROR(INDEX('Master Data'!$L$2:$L$2436,MATCH($B$3&amp;"|1|"&amp;G$14&amp;"|"&amp;$A23,'Master Data'!$A$2:$A$2436,0)),"")</f>
        <v>Belum terisi</v>
      </c>
      <c r="Z23" s="61" t="str">
        <f aca="false">IFERROR(INDEX('Master Data'!$L$2:$L$2436,MATCH($B$3&amp;"|1|"&amp;H$14&amp;"|"&amp;$A23,'Master Data'!$A$2:$A$2436,0)),"")</f>
        <v>Sebagian</v>
      </c>
    </row>
    <row r="24" customFormat="false" ht="30" hidden="false" customHeight="true" outlineLevel="0" collapsed="false">
      <c r="A24" s="59" t="s">
        <v>119</v>
      </c>
      <c r="B24" s="60" t="str">
        <f aca="false">IFERROR(INDEX('Master Data'!$M$2:$M$2436,MATCH($B$3&amp;"|1|"&amp;B$14&amp;"|"&amp;$A24,'Master Data'!$A$2:$A$2436,0)),"")</f>
        <v>Baby  0/0
coach: –</v>
      </c>
      <c r="C24" s="60" t="str">
        <f aca="false">IFERROR(INDEX('Master Data'!$M$2:$M$2436,MATCH($B$3&amp;"|1|"&amp;C$14&amp;"|"&amp;$A24,'Master Data'!$A$2:$A$2436,0)),"")</f>
        <v>Baby  0/0
coach: –</v>
      </c>
      <c r="D24" s="60" t="str">
        <f aca="false">IFERROR(INDEX('Master Data'!$M$2:$M$2436,MATCH($B$3&amp;"|1|"&amp;D$14&amp;"|"&amp;$A24,'Master Data'!$A$2:$A$2436,0)),"")</f>
        <v>Baby  0/5
coach: –</v>
      </c>
      <c r="E24" s="60" t="str">
        <f aca="false">IFERROR(INDEX('Master Data'!$M$2:$M$2436,MATCH($B$3&amp;"|1|"&amp;E$14&amp;"|"&amp;$A24,'Master Data'!$A$2:$A$2436,0)),"")</f>
        <v>Baby  0/5
coach: –</v>
      </c>
      <c r="F24" s="60" t="str">
        <f aca="false">IFERROR(INDEX('Master Data'!$M$2:$M$2436,MATCH($B$3&amp;"|1|"&amp;F$14&amp;"|"&amp;$A24,'Master Data'!$A$2:$A$2436,0)),"")</f>
        <v>Baby  0/0
coach: –</v>
      </c>
      <c r="G24" s="60" t="str">
        <f aca="false">IFERROR(INDEX('Master Data'!$M$2:$M$2436,MATCH($B$3&amp;"|1|"&amp;G$14&amp;"|"&amp;$A24,'Master Data'!$A$2:$A$2436,0)),"")</f>
        <v>Baby  4/5
coach: Nabila</v>
      </c>
      <c r="H24" s="60" t="str">
        <f aca="false">IFERROR(INDEX('Master Data'!$M$2:$M$2436,MATCH($B$3&amp;"|1|"&amp;H$14&amp;"|"&amp;$A24,'Master Data'!$A$2:$A$2436,0)),"")</f>
        <v>Baby  2/5
coach: Deyon</v>
      </c>
      <c r="T24" s="61" t="str">
        <f aca="false">IFERROR(INDEX('Master Data'!$L$2:$L$2436,MATCH($B$3&amp;"|1|"&amp;B$14&amp;"|"&amp;$A24,'Master Data'!$A$2:$A$2436,0)),"")</f>
        <v>Tutup</v>
      </c>
      <c r="U24" s="61" t="str">
        <f aca="false">IFERROR(INDEX('Master Data'!$L$2:$L$2436,MATCH($B$3&amp;"|1|"&amp;C$14&amp;"|"&amp;$A24,'Master Data'!$A$2:$A$2436,0)),"")</f>
        <v>Tutup</v>
      </c>
      <c r="V24" s="61" t="str">
        <f aca="false">IFERROR(INDEX('Master Data'!$L$2:$L$2436,MATCH($B$3&amp;"|1|"&amp;D$14&amp;"|"&amp;$A24,'Master Data'!$A$2:$A$2436,0)),"")</f>
        <v>Belum terisi</v>
      </c>
      <c r="W24" s="61" t="str">
        <f aca="false">IFERROR(INDEX('Master Data'!$L$2:$L$2436,MATCH($B$3&amp;"|1|"&amp;E$14&amp;"|"&amp;$A24,'Master Data'!$A$2:$A$2436,0)),"")</f>
        <v>Belum terisi</v>
      </c>
      <c r="X24" s="61" t="str">
        <f aca="false">IFERROR(INDEX('Master Data'!$L$2:$L$2436,MATCH($B$3&amp;"|1|"&amp;F$14&amp;"|"&amp;$A24,'Master Data'!$A$2:$A$2436,0)),"")</f>
        <v>Tutup</v>
      </c>
      <c r="Y24" s="61" t="str">
        <f aca="false">IFERROR(INDEX('Master Data'!$L$2:$L$2436,MATCH($B$3&amp;"|1|"&amp;G$14&amp;"|"&amp;$A24,'Master Data'!$A$2:$A$2436,0)),"")</f>
        <v>Sebagian</v>
      </c>
      <c r="Z24" s="61" t="str">
        <f aca="false">IFERROR(INDEX('Master Data'!$L$2:$L$2436,MATCH($B$3&amp;"|1|"&amp;H$14&amp;"|"&amp;$A24,'Master Data'!$A$2:$A$2436,0)),"")</f>
        <v>Sebagian</v>
      </c>
    </row>
    <row r="25" customFormat="false" ht="30" hidden="false" customHeight="true" outlineLevel="0" collapsed="false">
      <c r="A25" s="59" t="s">
        <v>120</v>
      </c>
      <c r="B25" s="60" t="str">
        <f aca="false">IFERROR(INDEX('Master Data'!$M$2:$M$2436,MATCH($B$3&amp;"|1|"&amp;B$14&amp;"|"&amp;$A25,'Master Data'!$A$2:$A$2436,0)),"")</f>
        <v>Baby  0/5
coach: –</v>
      </c>
      <c r="C25" s="60" t="str">
        <f aca="false">IFERROR(INDEX('Master Data'!$M$2:$M$2436,MATCH($B$3&amp;"|1|"&amp;C$14&amp;"|"&amp;$A25,'Master Data'!$A$2:$A$2436,0)),"")</f>
        <v>Baby  0/5
coach: –</v>
      </c>
      <c r="D25" s="60" t="str">
        <f aca="false">IFERROR(INDEX('Master Data'!$M$2:$M$2436,MATCH($B$3&amp;"|1|"&amp;D$14&amp;"|"&amp;$A25,'Master Data'!$A$2:$A$2436,0)),"")</f>
        <v>Baby  2/5
coach: Sri</v>
      </c>
      <c r="E25" s="60" t="str">
        <f aca="false">IFERROR(INDEX('Master Data'!$M$2:$M$2436,MATCH($B$3&amp;"|1|"&amp;E$14&amp;"|"&amp;$A25,'Master Data'!$A$2:$A$2436,0)),"")</f>
        <v>Baby  1/5
coach: Icis</v>
      </c>
      <c r="F25" s="60" t="str">
        <f aca="false">IFERROR(INDEX('Master Data'!$M$2:$M$2436,MATCH($B$3&amp;"|1|"&amp;F$14&amp;"|"&amp;$A25,'Master Data'!$A$2:$A$2436,0)),"")</f>
        <v>Baby  2/5
coach: Deyon</v>
      </c>
      <c r="G25" s="60" t="str">
        <f aca="false">IFERROR(INDEX('Master Data'!$M$2:$M$2436,MATCH($B$3&amp;"|1|"&amp;G$14&amp;"|"&amp;$A25,'Master Data'!$A$2:$A$2436,0)),"")</f>
        <v>Baby  4/5
coach: Andreas</v>
      </c>
      <c r="H25" s="60" t="str">
        <f aca="false">IFERROR(INDEX('Master Data'!$M$2:$M$2436,MATCH($B$3&amp;"|1|"&amp;H$14&amp;"|"&amp;$A25,'Master Data'!$A$2:$A$2436,0)),"")</f>
        <v>Baby  3/5
coach: Eve</v>
      </c>
      <c r="T25" s="61" t="str">
        <f aca="false">IFERROR(INDEX('Master Data'!$L$2:$L$2436,MATCH($B$3&amp;"|1|"&amp;B$14&amp;"|"&amp;$A25,'Master Data'!$A$2:$A$2436,0)),"")</f>
        <v>Belum terisi</v>
      </c>
      <c r="U25" s="61" t="str">
        <f aca="false">IFERROR(INDEX('Master Data'!$L$2:$L$2436,MATCH($B$3&amp;"|1|"&amp;C$14&amp;"|"&amp;$A25,'Master Data'!$A$2:$A$2436,0)),"")</f>
        <v>Belum terisi</v>
      </c>
      <c r="V25" s="61" t="str">
        <f aca="false">IFERROR(INDEX('Master Data'!$L$2:$L$2436,MATCH($B$3&amp;"|1|"&amp;D$14&amp;"|"&amp;$A25,'Master Data'!$A$2:$A$2436,0)),"")</f>
        <v>Sebagian</v>
      </c>
      <c r="W25" s="61" t="str">
        <f aca="false">IFERROR(INDEX('Master Data'!$L$2:$L$2436,MATCH($B$3&amp;"|1|"&amp;E$14&amp;"|"&amp;$A25,'Master Data'!$A$2:$A$2436,0)),"")</f>
        <v>Sebagian</v>
      </c>
      <c r="X25" s="61" t="str">
        <f aca="false">IFERROR(INDEX('Master Data'!$L$2:$L$2436,MATCH($B$3&amp;"|1|"&amp;F$14&amp;"|"&amp;$A25,'Master Data'!$A$2:$A$2436,0)),"")</f>
        <v>Sebagian</v>
      </c>
      <c r="Y25" s="61" t="str">
        <f aca="false">IFERROR(INDEX('Master Data'!$L$2:$L$2436,MATCH($B$3&amp;"|1|"&amp;G$14&amp;"|"&amp;$A25,'Master Data'!$A$2:$A$2436,0)),"")</f>
        <v>Sebagian</v>
      </c>
      <c r="Z25" s="61" t="str">
        <f aca="false">IFERROR(INDEX('Master Data'!$L$2:$L$2436,MATCH($B$3&amp;"|1|"&amp;H$14&amp;"|"&amp;$A25,'Master Data'!$A$2:$A$2436,0)),"")</f>
        <v>Sebagian</v>
      </c>
    </row>
    <row r="26" customFormat="false" ht="30" hidden="false" customHeight="true" outlineLevel="0" collapsed="false">
      <c r="A26" s="59" t="s">
        <v>121</v>
      </c>
      <c r="B26" s="60" t="str">
        <f aca="false">IFERROR(INDEX('Master Data'!$M$2:$M$2436,MATCH($B$3&amp;"|1|"&amp;B$14&amp;"|"&amp;$A26,'Master Data'!$A$2:$A$2436,0)),"")</f>
        <v>Baby  0/5
coach: –</v>
      </c>
      <c r="C26" s="60" t="str">
        <f aca="false">IFERROR(INDEX('Master Data'!$M$2:$M$2436,MATCH($B$3&amp;"|1|"&amp;C$14&amp;"|"&amp;$A26,'Master Data'!$A$2:$A$2436,0)),"")</f>
        <v>Baby  0/5
coach: –</v>
      </c>
      <c r="D26" s="60" t="str">
        <f aca="false">IFERROR(INDEX('Master Data'!$M$2:$M$2436,MATCH($B$3&amp;"|1|"&amp;D$14&amp;"|"&amp;$A26,'Master Data'!$A$2:$A$2436,0)),"")</f>
        <v>Baby  0/5
coach: –</v>
      </c>
      <c r="E26" s="60" t="str">
        <f aca="false">IFERROR(INDEX('Master Data'!$M$2:$M$2436,MATCH($B$3&amp;"|1|"&amp;E$14&amp;"|"&amp;$A26,'Master Data'!$A$2:$A$2436,0)),"")</f>
        <v>Baby  0/5
coach: –</v>
      </c>
      <c r="F26" s="60" t="str">
        <f aca="false">IFERROR(INDEX('Master Data'!$M$2:$M$2436,MATCH($B$3&amp;"|1|"&amp;F$14&amp;"|"&amp;$A26,'Master Data'!$A$2:$A$2436,0)),"")</f>
        <v>Baby  0/5
coach: –</v>
      </c>
      <c r="G26" s="60" t="str">
        <f aca="false">IFERROR(INDEX('Master Data'!$M$2:$M$2436,MATCH($B$3&amp;"|1|"&amp;G$14&amp;"|"&amp;$A26,'Master Data'!$A$2:$A$2436,0)),"")</f>
        <v>Baby  0/5
coach: –</v>
      </c>
      <c r="H26" s="60" t="str">
        <f aca="false">IFERROR(INDEX('Master Data'!$M$2:$M$2436,MATCH($B$3&amp;"|1|"&amp;H$14&amp;"|"&amp;$A26,'Master Data'!$A$2:$A$2436,0)),"")</f>
        <v>Baby  0/5
coach: –</v>
      </c>
      <c r="T26" s="61" t="str">
        <f aca="false">IFERROR(INDEX('Master Data'!$L$2:$L$2436,MATCH($B$3&amp;"|1|"&amp;B$14&amp;"|"&amp;$A26,'Master Data'!$A$2:$A$2436,0)),"")</f>
        <v>Belum terisi</v>
      </c>
      <c r="U26" s="61" t="str">
        <f aca="false">IFERROR(INDEX('Master Data'!$L$2:$L$2436,MATCH($B$3&amp;"|1|"&amp;C$14&amp;"|"&amp;$A26,'Master Data'!$A$2:$A$2436,0)),"")</f>
        <v>Belum terisi</v>
      </c>
      <c r="V26" s="61" t="str">
        <f aca="false">IFERROR(INDEX('Master Data'!$L$2:$L$2436,MATCH($B$3&amp;"|1|"&amp;D$14&amp;"|"&amp;$A26,'Master Data'!$A$2:$A$2436,0)),"")</f>
        <v>Belum terisi</v>
      </c>
      <c r="W26" s="61" t="str">
        <f aca="false">IFERROR(INDEX('Master Data'!$L$2:$L$2436,MATCH($B$3&amp;"|1|"&amp;E$14&amp;"|"&amp;$A26,'Master Data'!$A$2:$A$2436,0)),"")</f>
        <v>Belum terisi</v>
      </c>
      <c r="X26" s="61" t="str">
        <f aca="false">IFERROR(INDEX('Master Data'!$L$2:$L$2436,MATCH($B$3&amp;"|1|"&amp;F$14&amp;"|"&amp;$A26,'Master Data'!$A$2:$A$2436,0)),"")</f>
        <v>Belum terisi</v>
      </c>
      <c r="Y26" s="61" t="str">
        <f aca="false">IFERROR(INDEX('Master Data'!$L$2:$L$2436,MATCH($B$3&amp;"|1|"&amp;G$14&amp;"|"&amp;$A26,'Master Data'!$A$2:$A$2436,0)),"")</f>
        <v>Belum terisi</v>
      </c>
      <c r="Z26" s="61" t="str">
        <f aca="false">IFERROR(INDEX('Master Data'!$L$2:$L$2436,MATCH($B$3&amp;"|1|"&amp;H$14&amp;"|"&amp;$A26,'Master Data'!$A$2:$A$2436,0)),"")</f>
        <v>Belum terisi</v>
      </c>
    </row>
    <row r="28" customFormat="false" ht="16.15" hidden="false" customHeight="false" outlineLevel="0" collapsed="false">
      <c r="A28" s="54" t="s">
        <v>108</v>
      </c>
      <c r="B28" s="55"/>
      <c r="C28" s="56" t="str">
        <f aca="false">"Utilisasi lane: "&amp;IFERROR(TEXT(SUMIFS('Master Data'!$H$2:$H$2436,'Master Data'!$B$2:$B$2436,$B$3,'Master Data'!$C$2:$C$2436,2,'Master Data'!$G$2:$G$2436,"&gt;0")/SUMIFS('Master Data'!$G$2:$G$2436,'Master Data'!$B$2:$B$2436,$B$3,'Master Data'!$C$2:$C$2436,2,'Master Data'!$G$2:$G$2436,"&gt;0"),"0%"),"–")&amp;"   ·   Belum terisi: "&amp;COUNTIFS('Master Data'!$B$2:$B$2436,$B$3,'Master Data'!$C$2:$C$2436,2,'Master Data'!$L$2:$L$2436,"Belum terisi")&amp;"   ·   Slot kosong: "&amp;COUNTIFS('Master Data'!$B$2:$B$2436,$B$3,'Master Data'!$C$2:$C$2436,2,'Master Data'!$L$2:$L$2436,"Slot kosong")</f>
        <v>Utilisasi lane: 28%   ·   Belum terisi: 32   ·   Slot kosong: 0</v>
      </c>
      <c r="D28" s="55"/>
      <c r="E28" s="55"/>
      <c r="F28" s="55"/>
      <c r="G28" s="55"/>
      <c r="H28" s="55"/>
    </row>
    <row r="29" customFormat="false" ht="15" hidden="false" customHeight="false" outlineLevel="0" collapsed="false">
      <c r="A29" s="57" t="s">
        <v>89</v>
      </c>
      <c r="B29" s="58" t="s">
        <v>90</v>
      </c>
      <c r="C29" s="58" t="s">
        <v>91</v>
      </c>
      <c r="D29" s="58" t="s">
        <v>92</v>
      </c>
      <c r="E29" s="58" t="s">
        <v>93</v>
      </c>
      <c r="F29" s="58" t="s">
        <v>94</v>
      </c>
      <c r="G29" s="58" t="s">
        <v>95</v>
      </c>
      <c r="H29" s="58" t="s">
        <v>78</v>
      </c>
    </row>
    <row r="30" customFormat="false" ht="30" hidden="false" customHeight="true" outlineLevel="0" collapsed="false">
      <c r="A30" s="59" t="s">
        <v>110</v>
      </c>
      <c r="B30" s="60" t="str">
        <f aca="false">IFERROR(INDEX('Master Data'!$M$2:$M$2436,MATCH($B$3&amp;"|2|"&amp;B$29&amp;"|"&amp;$A30,'Master Data'!$A$2:$A$2436,0)),"")</f>
        <v>Tiny  0/0
coach: –</v>
      </c>
      <c r="C30" s="60" t="str">
        <f aca="false">IFERROR(INDEX('Master Data'!$M$2:$M$2436,MATCH($B$3&amp;"|2|"&amp;C$29&amp;"|"&amp;$A30,'Master Data'!$A$2:$A$2436,0)),"")</f>
        <v>Tiny  0/0
coach: –</v>
      </c>
      <c r="D30" s="60" t="str">
        <f aca="false">IFERROR(INDEX('Master Data'!$M$2:$M$2436,MATCH($B$3&amp;"|2|"&amp;D$29&amp;"|"&amp;$A30,'Master Data'!$A$2:$A$2436,0)),"")</f>
        <v>Tiny  0/0
coach: –</v>
      </c>
      <c r="E30" s="60" t="str">
        <f aca="false">IFERROR(INDEX('Master Data'!$M$2:$M$2436,MATCH($B$3&amp;"|2|"&amp;E$29&amp;"|"&amp;$A30,'Master Data'!$A$2:$A$2436,0)),"")</f>
        <v>Tiny  0/0
coach: –</v>
      </c>
      <c r="F30" s="60" t="str">
        <f aca="false">IFERROR(INDEX('Master Data'!$M$2:$M$2436,MATCH($B$3&amp;"|2|"&amp;F$29&amp;"|"&amp;$A30,'Master Data'!$A$2:$A$2436,0)),"")</f>
        <v>Tiny  0/0
coach: –</v>
      </c>
      <c r="G30" s="60" t="str">
        <f aca="false">IFERROR(INDEX('Master Data'!$M$2:$M$2436,MATCH($B$3&amp;"|2|"&amp;G$29&amp;"|"&amp;$A30,'Master Data'!$A$2:$A$2436,0)),"")</f>
        <v>Tiny  0/0
coach: –</v>
      </c>
      <c r="H30" s="60" t="str">
        <f aca="false">IFERROR(INDEX('Master Data'!$M$2:$M$2436,MATCH($B$3&amp;"|2|"&amp;H$29&amp;"|"&amp;$A30,'Master Data'!$A$2:$A$2436,0)),"")</f>
        <v>Tiny  0/0
coach: –</v>
      </c>
      <c r="T30" s="61" t="str">
        <f aca="false">IFERROR(INDEX('Master Data'!$L$2:$L$2436,MATCH($B$3&amp;"|2|"&amp;B$29&amp;"|"&amp;$A30,'Master Data'!$A$2:$A$2436,0)),"")</f>
        <v>Tutup</v>
      </c>
      <c r="U30" s="61" t="str">
        <f aca="false">IFERROR(INDEX('Master Data'!$L$2:$L$2436,MATCH($B$3&amp;"|2|"&amp;C$29&amp;"|"&amp;$A30,'Master Data'!$A$2:$A$2436,0)),"")</f>
        <v>Tutup</v>
      </c>
      <c r="V30" s="61" t="str">
        <f aca="false">IFERROR(INDEX('Master Data'!$L$2:$L$2436,MATCH($B$3&amp;"|2|"&amp;D$29&amp;"|"&amp;$A30,'Master Data'!$A$2:$A$2436,0)),"")</f>
        <v>Tutup</v>
      </c>
      <c r="W30" s="61" t="str">
        <f aca="false">IFERROR(INDEX('Master Data'!$L$2:$L$2436,MATCH($B$3&amp;"|2|"&amp;E$29&amp;"|"&amp;$A30,'Master Data'!$A$2:$A$2436,0)),"")</f>
        <v>Tutup</v>
      </c>
      <c r="X30" s="61" t="str">
        <f aca="false">IFERROR(INDEX('Master Data'!$L$2:$L$2436,MATCH($B$3&amp;"|2|"&amp;F$29&amp;"|"&amp;$A30,'Master Data'!$A$2:$A$2436,0)),"")</f>
        <v>Tutup</v>
      </c>
      <c r="Y30" s="61" t="str">
        <f aca="false">IFERROR(INDEX('Master Data'!$L$2:$L$2436,MATCH($B$3&amp;"|2|"&amp;G$29&amp;"|"&amp;$A30,'Master Data'!$A$2:$A$2436,0)),"")</f>
        <v>Tutup</v>
      </c>
      <c r="Z30" s="61" t="str">
        <f aca="false">IFERROR(INDEX('Master Data'!$L$2:$L$2436,MATCH($B$3&amp;"|2|"&amp;H$29&amp;"|"&amp;$A30,'Master Data'!$A$2:$A$2436,0)),"")</f>
        <v>Tutup</v>
      </c>
    </row>
    <row r="31" customFormat="false" ht="30" hidden="false" customHeight="true" outlineLevel="0" collapsed="false">
      <c r="A31" s="59" t="s">
        <v>111</v>
      </c>
      <c r="B31" s="60" t="str">
        <f aca="false">IFERROR(INDEX('Master Data'!$M$2:$M$2436,MATCH($B$3&amp;"|2|"&amp;B$29&amp;"|"&amp;$A31,'Master Data'!$A$2:$A$2436,0)),"")</f>
        <v>Tiny  2/5
coach: Eve</v>
      </c>
      <c r="C31" s="60" t="str">
        <f aca="false">IFERROR(INDEX('Master Data'!$M$2:$M$2436,MATCH($B$3&amp;"|2|"&amp;C$29&amp;"|"&amp;$A31,'Master Data'!$A$2:$A$2436,0)),"")</f>
        <v>Tiny  0/5
coach: –</v>
      </c>
      <c r="D31" s="60" t="str">
        <f aca="false">IFERROR(INDEX('Master Data'!$M$2:$M$2436,MATCH($B$3&amp;"|2|"&amp;D$29&amp;"|"&amp;$A31,'Master Data'!$A$2:$A$2436,0)),"")</f>
        <v>Tiny  0/5
coach: –</v>
      </c>
      <c r="E31" s="60" t="str">
        <f aca="false">IFERROR(INDEX('Master Data'!$M$2:$M$2436,MATCH($B$3&amp;"|2|"&amp;E$29&amp;"|"&amp;$A31,'Master Data'!$A$2:$A$2436,0)),"")</f>
        <v>Tiny  0/5
coach: –</v>
      </c>
      <c r="F31" s="60" t="str">
        <f aca="false">IFERROR(INDEX('Master Data'!$M$2:$M$2436,MATCH($B$3&amp;"|2|"&amp;F$29&amp;"|"&amp;$A31,'Master Data'!$A$2:$A$2436,0)),"")</f>
        <v>Tiny  0/5
coach: –</v>
      </c>
      <c r="G31" s="60" t="str">
        <f aca="false">IFERROR(INDEX('Master Data'!$M$2:$M$2436,MATCH($B$3&amp;"|2|"&amp;G$29&amp;"|"&amp;$A31,'Master Data'!$A$2:$A$2436,0)),"")</f>
        <v>Tiny  4/5
coach: Icis</v>
      </c>
      <c r="H31" s="60" t="str">
        <f aca="false">IFERROR(INDEX('Master Data'!$M$2:$M$2436,MATCH($B$3&amp;"|2|"&amp;H$29&amp;"|"&amp;$A31,'Master Data'!$A$2:$A$2436,0)),"")</f>
        <v>Tiny  5/5
coach: Icis</v>
      </c>
      <c r="T31" s="61" t="str">
        <f aca="false">IFERROR(INDEX('Master Data'!$L$2:$L$2436,MATCH($B$3&amp;"|2|"&amp;B$29&amp;"|"&amp;$A31,'Master Data'!$A$2:$A$2436,0)),"")</f>
        <v>Sebagian</v>
      </c>
      <c r="U31" s="61" t="str">
        <f aca="false">IFERROR(INDEX('Master Data'!$L$2:$L$2436,MATCH($B$3&amp;"|2|"&amp;C$29&amp;"|"&amp;$A31,'Master Data'!$A$2:$A$2436,0)),"")</f>
        <v>Belum terisi</v>
      </c>
      <c r="V31" s="61" t="str">
        <f aca="false">IFERROR(INDEX('Master Data'!$L$2:$L$2436,MATCH($B$3&amp;"|2|"&amp;D$29&amp;"|"&amp;$A31,'Master Data'!$A$2:$A$2436,0)),"")</f>
        <v>Belum terisi</v>
      </c>
      <c r="W31" s="61" t="str">
        <f aca="false">IFERROR(INDEX('Master Data'!$L$2:$L$2436,MATCH($B$3&amp;"|2|"&amp;E$29&amp;"|"&amp;$A31,'Master Data'!$A$2:$A$2436,0)),"")</f>
        <v>Belum terisi</v>
      </c>
      <c r="X31" s="61" t="str">
        <f aca="false">IFERROR(INDEX('Master Data'!$L$2:$L$2436,MATCH($B$3&amp;"|2|"&amp;F$29&amp;"|"&amp;$A31,'Master Data'!$A$2:$A$2436,0)),"")</f>
        <v>Belum terisi</v>
      </c>
      <c r="Y31" s="61" t="str">
        <f aca="false">IFERROR(INDEX('Master Data'!$L$2:$L$2436,MATCH($B$3&amp;"|2|"&amp;G$29&amp;"|"&amp;$A31,'Master Data'!$A$2:$A$2436,0)),"")</f>
        <v>Sebagian</v>
      </c>
      <c r="Z31" s="61" t="str">
        <f aca="false">IFERROR(INDEX('Master Data'!$L$2:$L$2436,MATCH($B$3&amp;"|2|"&amp;H$29&amp;"|"&amp;$A31,'Master Data'!$A$2:$A$2436,0)),"")</f>
        <v>Penuh</v>
      </c>
    </row>
    <row r="32" customFormat="false" ht="30" hidden="false" customHeight="true" outlineLevel="0" collapsed="false">
      <c r="A32" s="59" t="s">
        <v>112</v>
      </c>
      <c r="B32" s="60" t="str">
        <f aca="false">IFERROR(INDEX('Master Data'!$M$2:$M$2436,MATCH($B$3&amp;"|2|"&amp;B$29&amp;"|"&amp;$A32,'Master Data'!$A$2:$A$2436,0)),"")</f>
        <v>Tiny  0/5
coach: –</v>
      </c>
      <c r="C32" s="60" t="str">
        <f aca="false">IFERROR(INDEX('Master Data'!$M$2:$M$2436,MATCH($B$3&amp;"|2|"&amp;C$29&amp;"|"&amp;$A32,'Master Data'!$A$2:$A$2436,0)),"")</f>
        <v>Tiny  3/5
coach: Deyon</v>
      </c>
      <c r="D32" s="60" t="str">
        <f aca="false">IFERROR(INDEX('Master Data'!$M$2:$M$2436,MATCH($B$3&amp;"|2|"&amp;D$29&amp;"|"&amp;$A32,'Master Data'!$A$2:$A$2436,0)),"")</f>
        <v>Tiny  2/5
coach: Sri</v>
      </c>
      <c r="E32" s="60" t="str">
        <f aca="false">IFERROR(INDEX('Master Data'!$M$2:$M$2436,MATCH($B$3&amp;"|2|"&amp;E$29&amp;"|"&amp;$A32,'Master Data'!$A$2:$A$2436,0)),"")</f>
        <v>Tiny  4/5
coach: Andreas</v>
      </c>
      <c r="F32" s="60" t="str">
        <f aca="false">IFERROR(INDEX('Master Data'!$M$2:$M$2436,MATCH($B$3&amp;"|2|"&amp;F$29&amp;"|"&amp;$A32,'Master Data'!$A$2:$A$2436,0)),"")</f>
        <v>Tiny  1/5
coach: Nabila</v>
      </c>
      <c r="G32" s="60" t="str">
        <f aca="false">IFERROR(INDEX('Master Data'!$M$2:$M$2436,MATCH($B$3&amp;"|2|"&amp;G$29&amp;"|"&amp;$A32,'Master Data'!$A$2:$A$2436,0)),"")</f>
        <v>Tiny  3/5
coach: Nabila</v>
      </c>
      <c r="H32" s="60" t="str">
        <f aca="false">IFERROR(INDEX('Master Data'!$M$2:$M$2436,MATCH($B$3&amp;"|2|"&amp;H$29&amp;"|"&amp;$A32,'Master Data'!$A$2:$A$2436,0)),"")</f>
        <v>Tiny  3/5
coach: Icis</v>
      </c>
      <c r="T32" s="61" t="str">
        <f aca="false">IFERROR(INDEX('Master Data'!$L$2:$L$2436,MATCH($B$3&amp;"|2|"&amp;B$29&amp;"|"&amp;$A32,'Master Data'!$A$2:$A$2436,0)),"")</f>
        <v>Belum terisi</v>
      </c>
      <c r="U32" s="61" t="str">
        <f aca="false">IFERROR(INDEX('Master Data'!$L$2:$L$2436,MATCH($B$3&amp;"|2|"&amp;C$29&amp;"|"&amp;$A32,'Master Data'!$A$2:$A$2436,0)),"")</f>
        <v>Sebagian</v>
      </c>
      <c r="V32" s="61" t="str">
        <f aca="false">IFERROR(INDEX('Master Data'!$L$2:$L$2436,MATCH($B$3&amp;"|2|"&amp;D$29&amp;"|"&amp;$A32,'Master Data'!$A$2:$A$2436,0)),"")</f>
        <v>Sebagian</v>
      </c>
      <c r="W32" s="61" t="str">
        <f aca="false">IFERROR(INDEX('Master Data'!$L$2:$L$2436,MATCH($B$3&amp;"|2|"&amp;E$29&amp;"|"&amp;$A32,'Master Data'!$A$2:$A$2436,0)),"")</f>
        <v>Sebagian</v>
      </c>
      <c r="X32" s="61" t="str">
        <f aca="false">IFERROR(INDEX('Master Data'!$L$2:$L$2436,MATCH($B$3&amp;"|2|"&amp;F$29&amp;"|"&amp;$A32,'Master Data'!$A$2:$A$2436,0)),"")</f>
        <v>Sebagian</v>
      </c>
      <c r="Y32" s="61" t="str">
        <f aca="false">IFERROR(INDEX('Master Data'!$L$2:$L$2436,MATCH($B$3&amp;"|2|"&amp;G$29&amp;"|"&amp;$A32,'Master Data'!$A$2:$A$2436,0)),"")</f>
        <v>Sebagian</v>
      </c>
      <c r="Z32" s="61" t="str">
        <f aca="false">IFERROR(INDEX('Master Data'!$L$2:$L$2436,MATCH($B$3&amp;"|2|"&amp;H$29&amp;"|"&amp;$A32,'Master Data'!$A$2:$A$2436,0)),"")</f>
        <v>Sebagian</v>
      </c>
    </row>
    <row r="33" customFormat="false" ht="30" hidden="false" customHeight="true" outlineLevel="0" collapsed="false">
      <c r="A33" s="59" t="s">
        <v>113</v>
      </c>
      <c r="B33" s="60" t="str">
        <f aca="false">IFERROR(INDEX('Master Data'!$M$2:$M$2436,MATCH($B$3&amp;"|2|"&amp;B$29&amp;"|"&amp;$A33,'Master Data'!$A$2:$A$2436,0)),"")</f>
        <v>Tiny  0/5
coach: –</v>
      </c>
      <c r="C33" s="60" t="str">
        <f aca="false">IFERROR(INDEX('Master Data'!$M$2:$M$2436,MATCH($B$3&amp;"|2|"&amp;C$29&amp;"|"&amp;$A33,'Master Data'!$A$2:$A$2436,0)),"")</f>
        <v>Tiny  0/5
coach: –</v>
      </c>
      <c r="D33" s="60" t="str">
        <f aca="false">IFERROR(INDEX('Master Data'!$M$2:$M$2436,MATCH($B$3&amp;"|2|"&amp;D$29&amp;"|"&amp;$A33,'Master Data'!$A$2:$A$2436,0)),"")</f>
        <v>Tiny  4/5
coach: Icis</v>
      </c>
      <c r="E33" s="60" t="str">
        <f aca="false">IFERROR(INDEX('Master Data'!$M$2:$M$2436,MATCH($B$3&amp;"|2|"&amp;E$29&amp;"|"&amp;$A33,'Master Data'!$A$2:$A$2436,0)),"")</f>
        <v>Tiny  0/5
coach: –</v>
      </c>
      <c r="F33" s="60" t="str">
        <f aca="false">IFERROR(INDEX('Master Data'!$M$2:$M$2436,MATCH($B$3&amp;"|2|"&amp;F$29&amp;"|"&amp;$A33,'Master Data'!$A$2:$A$2436,0)),"")</f>
        <v>Tiny  3/5
coach: Nabila</v>
      </c>
      <c r="G33" s="60" t="str">
        <f aca="false">IFERROR(INDEX('Master Data'!$M$2:$M$2436,MATCH($B$3&amp;"|2|"&amp;G$29&amp;"|"&amp;$A33,'Master Data'!$A$2:$A$2436,0)),"")</f>
        <v>Tiny  3/5
coach: Eve</v>
      </c>
      <c r="H33" s="60" t="str">
        <f aca="false">IFERROR(INDEX('Master Data'!$M$2:$M$2436,MATCH($B$3&amp;"|2|"&amp;H$29&amp;"|"&amp;$A33,'Master Data'!$A$2:$A$2436,0)),"")</f>
        <v>Tiny  2/5
coach: Eve</v>
      </c>
      <c r="T33" s="61" t="str">
        <f aca="false">IFERROR(INDEX('Master Data'!$L$2:$L$2436,MATCH($B$3&amp;"|2|"&amp;B$29&amp;"|"&amp;$A33,'Master Data'!$A$2:$A$2436,0)),"")</f>
        <v>Belum terisi</v>
      </c>
      <c r="U33" s="61" t="str">
        <f aca="false">IFERROR(INDEX('Master Data'!$L$2:$L$2436,MATCH($B$3&amp;"|2|"&amp;C$29&amp;"|"&amp;$A33,'Master Data'!$A$2:$A$2436,0)),"")</f>
        <v>Belum terisi</v>
      </c>
      <c r="V33" s="61" t="str">
        <f aca="false">IFERROR(INDEX('Master Data'!$L$2:$L$2436,MATCH($B$3&amp;"|2|"&amp;D$29&amp;"|"&amp;$A33,'Master Data'!$A$2:$A$2436,0)),"")</f>
        <v>Sebagian</v>
      </c>
      <c r="W33" s="61" t="str">
        <f aca="false">IFERROR(INDEX('Master Data'!$L$2:$L$2436,MATCH($B$3&amp;"|2|"&amp;E$29&amp;"|"&amp;$A33,'Master Data'!$A$2:$A$2436,0)),"")</f>
        <v>Belum terisi</v>
      </c>
      <c r="X33" s="61" t="str">
        <f aca="false">IFERROR(INDEX('Master Data'!$L$2:$L$2436,MATCH($B$3&amp;"|2|"&amp;F$29&amp;"|"&amp;$A33,'Master Data'!$A$2:$A$2436,0)),"")</f>
        <v>Sebagian</v>
      </c>
      <c r="Y33" s="61" t="str">
        <f aca="false">IFERROR(INDEX('Master Data'!$L$2:$L$2436,MATCH($B$3&amp;"|2|"&amp;G$29&amp;"|"&amp;$A33,'Master Data'!$A$2:$A$2436,0)),"")</f>
        <v>Sebagian</v>
      </c>
      <c r="Z33" s="61" t="str">
        <f aca="false">IFERROR(INDEX('Master Data'!$L$2:$L$2436,MATCH($B$3&amp;"|2|"&amp;H$29&amp;"|"&amp;$A33,'Master Data'!$A$2:$A$2436,0)),"")</f>
        <v>Sebagian</v>
      </c>
    </row>
    <row r="34" customFormat="false" ht="30" hidden="false" customHeight="true" outlineLevel="0" collapsed="false">
      <c r="A34" s="59" t="s">
        <v>114</v>
      </c>
      <c r="B34" s="60" t="str">
        <f aca="false">IFERROR(INDEX('Master Data'!$M$2:$M$2436,MATCH($B$3&amp;"|2|"&amp;B$29&amp;"|"&amp;$A34,'Master Data'!$A$2:$A$2436,0)),"")</f>
        <v>Tiny  1/5
coach: Deyon</v>
      </c>
      <c r="C34" s="60" t="str">
        <f aca="false">IFERROR(INDEX('Master Data'!$M$2:$M$2436,MATCH($B$3&amp;"|2|"&amp;C$29&amp;"|"&amp;$A34,'Master Data'!$A$2:$A$2436,0)),"")</f>
        <v>Tiny  2/5
coach: Eve</v>
      </c>
      <c r="D34" s="60" t="str">
        <f aca="false">IFERROR(INDEX('Master Data'!$M$2:$M$2436,MATCH($B$3&amp;"|2|"&amp;D$29&amp;"|"&amp;$A34,'Master Data'!$A$2:$A$2436,0)),"")</f>
        <v>Tiny  0/5
coach: –</v>
      </c>
      <c r="E34" s="60" t="str">
        <f aca="false">IFERROR(INDEX('Master Data'!$M$2:$M$2436,MATCH($B$3&amp;"|2|"&amp;E$29&amp;"|"&amp;$A34,'Master Data'!$A$2:$A$2436,0)),"")</f>
        <v>Tiny  4/5
coach: Nabila</v>
      </c>
      <c r="F34" s="60" t="str">
        <f aca="false">IFERROR(INDEX('Master Data'!$M$2:$M$2436,MATCH($B$3&amp;"|2|"&amp;F$29&amp;"|"&amp;$A34,'Master Data'!$A$2:$A$2436,0)),"")</f>
        <v>Tiny  1/5
coach: Icis</v>
      </c>
      <c r="G34" s="60" t="str">
        <f aca="false">IFERROR(INDEX('Master Data'!$M$2:$M$2436,MATCH($B$3&amp;"|2|"&amp;G$29&amp;"|"&amp;$A34,'Master Data'!$A$2:$A$2436,0)),"")</f>
        <v>Tiny  5/5
coach: Nabila</v>
      </c>
      <c r="H34" s="60" t="str">
        <f aca="false">IFERROR(INDEX('Master Data'!$M$2:$M$2436,MATCH($B$3&amp;"|2|"&amp;H$29&amp;"|"&amp;$A34,'Master Data'!$A$2:$A$2436,0)),"")</f>
        <v>Tiny  3/5
coach: Eve</v>
      </c>
      <c r="T34" s="61" t="str">
        <f aca="false">IFERROR(INDEX('Master Data'!$L$2:$L$2436,MATCH($B$3&amp;"|2|"&amp;B$29&amp;"|"&amp;$A34,'Master Data'!$A$2:$A$2436,0)),"")</f>
        <v>Sebagian</v>
      </c>
      <c r="U34" s="61" t="str">
        <f aca="false">IFERROR(INDEX('Master Data'!$L$2:$L$2436,MATCH($B$3&amp;"|2|"&amp;C$29&amp;"|"&amp;$A34,'Master Data'!$A$2:$A$2436,0)),"")</f>
        <v>Sebagian</v>
      </c>
      <c r="V34" s="61" t="str">
        <f aca="false">IFERROR(INDEX('Master Data'!$L$2:$L$2436,MATCH($B$3&amp;"|2|"&amp;D$29&amp;"|"&amp;$A34,'Master Data'!$A$2:$A$2436,0)),"")</f>
        <v>Belum terisi</v>
      </c>
      <c r="W34" s="61" t="str">
        <f aca="false">IFERROR(INDEX('Master Data'!$L$2:$L$2436,MATCH($B$3&amp;"|2|"&amp;E$29&amp;"|"&amp;$A34,'Master Data'!$A$2:$A$2436,0)),"")</f>
        <v>Sebagian</v>
      </c>
      <c r="X34" s="61" t="str">
        <f aca="false">IFERROR(INDEX('Master Data'!$L$2:$L$2436,MATCH($B$3&amp;"|2|"&amp;F$29&amp;"|"&amp;$A34,'Master Data'!$A$2:$A$2436,0)),"")</f>
        <v>Sebagian</v>
      </c>
      <c r="Y34" s="61" t="str">
        <f aca="false">IFERROR(INDEX('Master Data'!$L$2:$L$2436,MATCH($B$3&amp;"|2|"&amp;G$29&amp;"|"&amp;$A34,'Master Data'!$A$2:$A$2436,0)),"")</f>
        <v>Penuh</v>
      </c>
      <c r="Z34" s="61" t="str">
        <f aca="false">IFERROR(INDEX('Master Data'!$L$2:$L$2436,MATCH($B$3&amp;"|2|"&amp;H$29&amp;"|"&amp;$A34,'Master Data'!$A$2:$A$2436,0)),"")</f>
        <v>Sebagian</v>
      </c>
    </row>
    <row r="35" customFormat="false" ht="30" hidden="false" customHeight="true" outlineLevel="0" collapsed="false">
      <c r="A35" s="59" t="s">
        <v>115</v>
      </c>
      <c r="B35" s="60" t="str">
        <f aca="false">IFERROR(INDEX('Master Data'!$M$2:$M$2436,MATCH($B$3&amp;"|2|"&amp;B$29&amp;"|"&amp;$A35,'Master Data'!$A$2:$A$2436,0)),"")</f>
        <v>Tiny  0/0
coach: –</v>
      </c>
      <c r="C35" s="60" t="str">
        <f aca="false">IFERROR(INDEX('Master Data'!$M$2:$M$2436,MATCH($B$3&amp;"|2|"&amp;C$29&amp;"|"&amp;$A35,'Master Data'!$A$2:$A$2436,0)),"")</f>
        <v>Tiny  0/0
coach: –</v>
      </c>
      <c r="D35" s="60" t="str">
        <f aca="false">IFERROR(INDEX('Master Data'!$M$2:$M$2436,MATCH($B$3&amp;"|2|"&amp;D$29&amp;"|"&amp;$A35,'Master Data'!$A$2:$A$2436,0)),"")</f>
        <v>Tiny  0/0
coach: –</v>
      </c>
      <c r="E35" s="60" t="str">
        <f aca="false">IFERROR(INDEX('Master Data'!$M$2:$M$2436,MATCH($B$3&amp;"|2|"&amp;E$29&amp;"|"&amp;$A35,'Master Data'!$A$2:$A$2436,0)),"")</f>
        <v>Tiny  0/0
coach: –</v>
      </c>
      <c r="F35" s="60" t="str">
        <f aca="false">IFERROR(INDEX('Master Data'!$M$2:$M$2436,MATCH($B$3&amp;"|2|"&amp;F$29&amp;"|"&amp;$A35,'Master Data'!$A$2:$A$2436,0)),"")</f>
        <v>Tiny  0/0
coach: –</v>
      </c>
      <c r="G35" s="60" t="str">
        <f aca="false">IFERROR(INDEX('Master Data'!$M$2:$M$2436,MATCH($B$3&amp;"|2|"&amp;G$29&amp;"|"&amp;$A35,'Master Data'!$A$2:$A$2436,0)),"")</f>
        <v>Tiny  2/5
coach: Sri</v>
      </c>
      <c r="H35" s="60" t="str">
        <f aca="false">IFERROR(INDEX('Master Data'!$M$2:$M$2436,MATCH($B$3&amp;"|2|"&amp;H$29&amp;"|"&amp;$A35,'Master Data'!$A$2:$A$2436,0)),"")</f>
        <v>Tiny  0/5
coach: –</v>
      </c>
      <c r="T35" s="61" t="str">
        <f aca="false">IFERROR(INDEX('Master Data'!$L$2:$L$2436,MATCH($B$3&amp;"|2|"&amp;B$29&amp;"|"&amp;$A35,'Master Data'!$A$2:$A$2436,0)),"")</f>
        <v>Tutup</v>
      </c>
      <c r="U35" s="61" t="str">
        <f aca="false">IFERROR(INDEX('Master Data'!$L$2:$L$2436,MATCH($B$3&amp;"|2|"&amp;C$29&amp;"|"&amp;$A35,'Master Data'!$A$2:$A$2436,0)),"")</f>
        <v>Tutup</v>
      </c>
      <c r="V35" s="61" t="str">
        <f aca="false">IFERROR(INDEX('Master Data'!$L$2:$L$2436,MATCH($B$3&amp;"|2|"&amp;D$29&amp;"|"&amp;$A35,'Master Data'!$A$2:$A$2436,0)),"")</f>
        <v>Tutup</v>
      </c>
      <c r="W35" s="61" t="str">
        <f aca="false">IFERROR(INDEX('Master Data'!$L$2:$L$2436,MATCH($B$3&amp;"|2|"&amp;E$29&amp;"|"&amp;$A35,'Master Data'!$A$2:$A$2436,0)),"")</f>
        <v>Tutup</v>
      </c>
      <c r="X35" s="61" t="str">
        <f aca="false">IFERROR(INDEX('Master Data'!$L$2:$L$2436,MATCH($B$3&amp;"|2|"&amp;F$29&amp;"|"&amp;$A35,'Master Data'!$A$2:$A$2436,0)),"")</f>
        <v>Tutup</v>
      </c>
      <c r="Y35" s="61" t="str">
        <f aca="false">IFERROR(INDEX('Master Data'!$L$2:$L$2436,MATCH($B$3&amp;"|2|"&amp;G$29&amp;"|"&amp;$A35,'Master Data'!$A$2:$A$2436,0)),"")</f>
        <v>Sebagian</v>
      </c>
      <c r="Z35" s="61" t="str">
        <f aca="false">IFERROR(INDEX('Master Data'!$L$2:$L$2436,MATCH($B$3&amp;"|2|"&amp;H$29&amp;"|"&amp;$A35,'Master Data'!$A$2:$A$2436,0)),"")</f>
        <v>Belum terisi</v>
      </c>
    </row>
    <row r="36" customFormat="false" ht="30" hidden="false" customHeight="true" outlineLevel="0" collapsed="false">
      <c r="A36" s="59" t="s">
        <v>116</v>
      </c>
      <c r="B36" s="60" t="str">
        <f aca="false">IFERROR(INDEX('Master Data'!$M$2:$M$2436,MATCH($B$3&amp;"|2|"&amp;B$29&amp;"|"&amp;$A36,'Master Data'!$A$2:$A$2436,0)),"")</f>
        <v>Tiny  0/5
coach: –</v>
      </c>
      <c r="C36" s="60" t="str">
        <f aca="false">IFERROR(INDEX('Master Data'!$M$2:$M$2436,MATCH($B$3&amp;"|2|"&amp;C$29&amp;"|"&amp;$A36,'Master Data'!$A$2:$A$2436,0)),"")</f>
        <v>Tiny  0/5
coach: –</v>
      </c>
      <c r="D36" s="60" t="str">
        <f aca="false">IFERROR(INDEX('Master Data'!$M$2:$M$2436,MATCH($B$3&amp;"|2|"&amp;D$29&amp;"|"&amp;$A36,'Master Data'!$A$2:$A$2436,0)),"")</f>
        <v>Tiny  0/5
coach: –</v>
      </c>
      <c r="E36" s="60" t="str">
        <f aca="false">IFERROR(INDEX('Master Data'!$M$2:$M$2436,MATCH($B$3&amp;"|2|"&amp;E$29&amp;"|"&amp;$A36,'Master Data'!$A$2:$A$2436,0)),"")</f>
        <v>Tiny  0/5
coach: –</v>
      </c>
      <c r="F36" s="60" t="str">
        <f aca="false">IFERROR(INDEX('Master Data'!$M$2:$M$2436,MATCH($B$3&amp;"|2|"&amp;F$29&amp;"|"&amp;$A36,'Master Data'!$A$2:$A$2436,0)),"")</f>
        <v>Tiny  2/5
coach: Deyon</v>
      </c>
      <c r="G36" s="60" t="str">
        <f aca="false">IFERROR(INDEX('Master Data'!$M$2:$M$2436,MATCH($B$3&amp;"|2|"&amp;G$29&amp;"|"&amp;$A36,'Master Data'!$A$2:$A$2436,0)),"")</f>
        <v>Tiny  0/5
coach: –</v>
      </c>
      <c r="H36" s="60" t="str">
        <f aca="false">IFERROR(INDEX('Master Data'!$M$2:$M$2436,MATCH($B$3&amp;"|2|"&amp;H$29&amp;"|"&amp;$A36,'Master Data'!$A$2:$A$2436,0)),"")</f>
        <v>Tiny  0/5
coach: –</v>
      </c>
      <c r="T36" s="61" t="str">
        <f aca="false">IFERROR(INDEX('Master Data'!$L$2:$L$2436,MATCH($B$3&amp;"|2|"&amp;B$29&amp;"|"&amp;$A36,'Master Data'!$A$2:$A$2436,0)),"")</f>
        <v>Belum terisi</v>
      </c>
      <c r="U36" s="61" t="str">
        <f aca="false">IFERROR(INDEX('Master Data'!$L$2:$L$2436,MATCH($B$3&amp;"|2|"&amp;C$29&amp;"|"&amp;$A36,'Master Data'!$A$2:$A$2436,0)),"")</f>
        <v>Belum terisi</v>
      </c>
      <c r="V36" s="61" t="str">
        <f aca="false">IFERROR(INDEX('Master Data'!$L$2:$L$2436,MATCH($B$3&amp;"|2|"&amp;D$29&amp;"|"&amp;$A36,'Master Data'!$A$2:$A$2436,0)),"")</f>
        <v>Belum terisi</v>
      </c>
      <c r="W36" s="61" t="str">
        <f aca="false">IFERROR(INDEX('Master Data'!$L$2:$L$2436,MATCH($B$3&amp;"|2|"&amp;E$29&amp;"|"&amp;$A36,'Master Data'!$A$2:$A$2436,0)),"")</f>
        <v>Belum terisi</v>
      </c>
      <c r="X36" s="61" t="str">
        <f aca="false">IFERROR(INDEX('Master Data'!$L$2:$L$2436,MATCH($B$3&amp;"|2|"&amp;F$29&amp;"|"&amp;$A36,'Master Data'!$A$2:$A$2436,0)),"")</f>
        <v>Sebagian</v>
      </c>
      <c r="Y36" s="61" t="str">
        <f aca="false">IFERROR(INDEX('Master Data'!$L$2:$L$2436,MATCH($B$3&amp;"|2|"&amp;G$29&amp;"|"&amp;$A36,'Master Data'!$A$2:$A$2436,0)),"")</f>
        <v>Belum terisi</v>
      </c>
      <c r="Z36" s="61" t="str">
        <f aca="false">IFERROR(INDEX('Master Data'!$L$2:$L$2436,MATCH($B$3&amp;"|2|"&amp;H$29&amp;"|"&amp;$A36,'Master Data'!$A$2:$A$2436,0)),"")</f>
        <v>Belum terisi</v>
      </c>
    </row>
    <row r="37" customFormat="false" ht="30" hidden="false" customHeight="true" outlineLevel="0" collapsed="false">
      <c r="A37" s="59" t="s">
        <v>117</v>
      </c>
      <c r="B37" s="60" t="str">
        <f aca="false">IFERROR(INDEX('Master Data'!$M$2:$M$2436,MATCH($B$3&amp;"|2|"&amp;B$29&amp;"|"&amp;$A37,'Master Data'!$A$2:$A$2436,0)),"")</f>
        <v>Tiny  0/5
coach: –</v>
      </c>
      <c r="C37" s="60" t="str">
        <f aca="false">IFERROR(INDEX('Master Data'!$M$2:$M$2436,MATCH($B$3&amp;"|2|"&amp;C$29&amp;"|"&amp;$A37,'Master Data'!$A$2:$A$2436,0)),"")</f>
        <v>Tiny  0/5
coach: –</v>
      </c>
      <c r="D37" s="60" t="str">
        <f aca="false">IFERROR(INDEX('Master Data'!$M$2:$M$2436,MATCH($B$3&amp;"|2|"&amp;D$29&amp;"|"&amp;$A37,'Master Data'!$A$2:$A$2436,0)),"")</f>
        <v>Tiny  0/5
coach: –</v>
      </c>
      <c r="E37" s="60" t="str">
        <f aca="false">IFERROR(INDEX('Master Data'!$M$2:$M$2436,MATCH($B$3&amp;"|2|"&amp;E$29&amp;"|"&amp;$A37,'Master Data'!$A$2:$A$2436,0)),"")</f>
        <v>Tiny  1/5
coach: Andreas</v>
      </c>
      <c r="F37" s="60" t="str">
        <f aca="false">IFERROR(INDEX('Master Data'!$M$2:$M$2436,MATCH($B$3&amp;"|2|"&amp;F$29&amp;"|"&amp;$A37,'Master Data'!$A$2:$A$2436,0)),"")</f>
        <v>Tiny  0/5
coach: –</v>
      </c>
      <c r="G37" s="60" t="str">
        <f aca="false">IFERROR(INDEX('Master Data'!$M$2:$M$2436,MATCH($B$3&amp;"|2|"&amp;G$29&amp;"|"&amp;$A37,'Master Data'!$A$2:$A$2436,0)),"")</f>
        <v>Tiny  0/5
coach: Eve</v>
      </c>
      <c r="H37" s="60" t="str">
        <f aca="false">IFERROR(INDEX('Master Data'!$M$2:$M$2436,MATCH($B$3&amp;"|2|"&amp;H$29&amp;"|"&amp;$A37,'Master Data'!$A$2:$A$2436,0)),"")</f>
        <v>Tiny  0/5
coach: –</v>
      </c>
      <c r="T37" s="61" t="str">
        <f aca="false">IFERROR(INDEX('Master Data'!$L$2:$L$2436,MATCH($B$3&amp;"|2|"&amp;B$29&amp;"|"&amp;$A37,'Master Data'!$A$2:$A$2436,0)),"")</f>
        <v>Belum terisi</v>
      </c>
      <c r="U37" s="61" t="str">
        <f aca="false">IFERROR(INDEX('Master Data'!$L$2:$L$2436,MATCH($B$3&amp;"|2|"&amp;C$29&amp;"|"&amp;$A37,'Master Data'!$A$2:$A$2436,0)),"")</f>
        <v>Belum terisi</v>
      </c>
      <c r="V37" s="61" t="str">
        <f aca="false">IFERROR(INDEX('Master Data'!$L$2:$L$2436,MATCH($B$3&amp;"|2|"&amp;D$29&amp;"|"&amp;$A37,'Master Data'!$A$2:$A$2436,0)),"")</f>
        <v>Belum terisi</v>
      </c>
      <c r="W37" s="61" t="str">
        <f aca="false">IFERROR(INDEX('Master Data'!$L$2:$L$2436,MATCH($B$3&amp;"|2|"&amp;E$29&amp;"|"&amp;$A37,'Master Data'!$A$2:$A$2436,0)),"")</f>
        <v>Sebagian</v>
      </c>
      <c r="X37" s="61" t="str">
        <f aca="false">IFERROR(INDEX('Master Data'!$L$2:$L$2436,MATCH($B$3&amp;"|2|"&amp;F$29&amp;"|"&amp;$A37,'Master Data'!$A$2:$A$2436,0)),"")</f>
        <v>Belum terisi</v>
      </c>
      <c r="Y37" s="61" t="str">
        <f aca="false">IFERROR(INDEX('Master Data'!$L$2:$L$2436,MATCH($B$3&amp;"|2|"&amp;G$29&amp;"|"&amp;$A37,'Master Data'!$A$2:$A$2436,0)),"")</f>
        <v>Belum terisi</v>
      </c>
      <c r="Z37" s="61" t="str">
        <f aca="false">IFERROR(INDEX('Master Data'!$L$2:$L$2436,MATCH($B$3&amp;"|2|"&amp;H$29&amp;"|"&amp;$A37,'Master Data'!$A$2:$A$2436,0)),"")</f>
        <v>Belum terisi</v>
      </c>
    </row>
    <row r="38" customFormat="false" ht="30" hidden="false" customHeight="true" outlineLevel="0" collapsed="false">
      <c r="A38" s="59" t="s">
        <v>118</v>
      </c>
      <c r="B38" s="60" t="str">
        <f aca="false">IFERROR(INDEX('Master Data'!$M$2:$M$2436,MATCH($B$3&amp;"|2|"&amp;B$29&amp;"|"&amp;$A38,'Master Data'!$A$2:$A$2436,0)),"")</f>
        <v>Tiny  1/5
coach: Eve</v>
      </c>
      <c r="C38" s="60" t="str">
        <f aca="false">IFERROR(INDEX('Master Data'!$M$2:$M$2436,MATCH($B$3&amp;"|2|"&amp;C$29&amp;"|"&amp;$A38,'Master Data'!$A$2:$A$2436,0)),"")</f>
        <v>Tiny  0/0
coach: –</v>
      </c>
      <c r="D38" s="60" t="str">
        <f aca="false">IFERROR(INDEX('Master Data'!$M$2:$M$2436,MATCH($B$3&amp;"|2|"&amp;D$29&amp;"|"&amp;$A38,'Master Data'!$A$2:$A$2436,0)),"")</f>
        <v>Tiny  0/0
coach: –</v>
      </c>
      <c r="E38" s="60" t="str">
        <f aca="false">IFERROR(INDEX('Master Data'!$M$2:$M$2436,MATCH($B$3&amp;"|2|"&amp;E$29&amp;"|"&amp;$A38,'Master Data'!$A$2:$A$2436,0)),"")</f>
        <v>Tiny  0/5
coach: –</v>
      </c>
      <c r="F38" s="60" t="str">
        <f aca="false">IFERROR(INDEX('Master Data'!$M$2:$M$2436,MATCH($B$3&amp;"|2|"&amp;F$29&amp;"|"&amp;$A38,'Master Data'!$A$2:$A$2436,0)),"")</f>
        <v>Tiny  0/0
coach: –</v>
      </c>
      <c r="G38" s="60" t="str">
        <f aca="false">IFERROR(INDEX('Master Data'!$M$2:$M$2436,MATCH($B$3&amp;"|2|"&amp;G$29&amp;"|"&amp;$A38,'Master Data'!$A$2:$A$2436,0)),"")</f>
        <v>Tiny  3/5
coach: Deyon</v>
      </c>
      <c r="H38" s="60" t="str">
        <f aca="false">IFERROR(INDEX('Master Data'!$M$2:$M$2436,MATCH($B$3&amp;"|2|"&amp;H$29&amp;"|"&amp;$A38,'Master Data'!$A$2:$A$2436,0)),"")</f>
        <v>Tiny  0/5
coach: –</v>
      </c>
      <c r="T38" s="61" t="str">
        <f aca="false">IFERROR(INDEX('Master Data'!$L$2:$L$2436,MATCH($B$3&amp;"|2|"&amp;B$29&amp;"|"&amp;$A38,'Master Data'!$A$2:$A$2436,0)),"")</f>
        <v>Sebagian</v>
      </c>
      <c r="U38" s="61" t="str">
        <f aca="false">IFERROR(INDEX('Master Data'!$L$2:$L$2436,MATCH($B$3&amp;"|2|"&amp;C$29&amp;"|"&amp;$A38,'Master Data'!$A$2:$A$2436,0)),"")</f>
        <v>Tutup</v>
      </c>
      <c r="V38" s="61" t="str">
        <f aca="false">IFERROR(INDEX('Master Data'!$L$2:$L$2436,MATCH($B$3&amp;"|2|"&amp;D$29&amp;"|"&amp;$A38,'Master Data'!$A$2:$A$2436,0)),"")</f>
        <v>Tutup</v>
      </c>
      <c r="W38" s="61" t="str">
        <f aca="false">IFERROR(INDEX('Master Data'!$L$2:$L$2436,MATCH($B$3&amp;"|2|"&amp;E$29&amp;"|"&amp;$A38,'Master Data'!$A$2:$A$2436,0)),"")</f>
        <v>Belum terisi</v>
      </c>
      <c r="X38" s="61" t="str">
        <f aca="false">IFERROR(INDEX('Master Data'!$L$2:$L$2436,MATCH($B$3&amp;"|2|"&amp;F$29&amp;"|"&amp;$A38,'Master Data'!$A$2:$A$2436,0)),"")</f>
        <v>Tutup</v>
      </c>
      <c r="Y38" s="61" t="str">
        <f aca="false">IFERROR(INDEX('Master Data'!$L$2:$L$2436,MATCH($B$3&amp;"|2|"&amp;G$29&amp;"|"&amp;$A38,'Master Data'!$A$2:$A$2436,0)),"")</f>
        <v>Sebagian</v>
      </c>
      <c r="Z38" s="61" t="str">
        <f aca="false">IFERROR(INDEX('Master Data'!$L$2:$L$2436,MATCH($B$3&amp;"|2|"&amp;H$29&amp;"|"&amp;$A38,'Master Data'!$A$2:$A$2436,0)),"")</f>
        <v>Belum terisi</v>
      </c>
    </row>
    <row r="39" customFormat="false" ht="30" hidden="false" customHeight="true" outlineLevel="0" collapsed="false">
      <c r="A39" s="59" t="s">
        <v>119</v>
      </c>
      <c r="B39" s="60" t="str">
        <f aca="false">IFERROR(INDEX('Master Data'!$M$2:$M$2436,MATCH($B$3&amp;"|2|"&amp;B$29&amp;"|"&amp;$A39,'Master Data'!$A$2:$A$2436,0)),"")</f>
        <v>Tiny  0/0
coach: –</v>
      </c>
      <c r="C39" s="60" t="str">
        <f aca="false">IFERROR(INDEX('Master Data'!$M$2:$M$2436,MATCH($B$3&amp;"|2|"&amp;C$29&amp;"|"&amp;$A39,'Master Data'!$A$2:$A$2436,0)),"")</f>
        <v>Tiny  0/0
coach: –</v>
      </c>
      <c r="D39" s="60" t="str">
        <f aca="false">IFERROR(INDEX('Master Data'!$M$2:$M$2436,MATCH($B$3&amp;"|2|"&amp;D$29&amp;"|"&amp;$A39,'Master Data'!$A$2:$A$2436,0)),"")</f>
        <v>Tiny  4/5
coach: Nabila</v>
      </c>
      <c r="E39" s="60" t="str">
        <f aca="false">IFERROR(INDEX('Master Data'!$M$2:$M$2436,MATCH($B$3&amp;"|2|"&amp;E$29&amp;"|"&amp;$A39,'Master Data'!$A$2:$A$2436,0)),"")</f>
        <v>Tiny  0/5
coach: –</v>
      </c>
      <c r="F39" s="60" t="str">
        <f aca="false">IFERROR(INDEX('Master Data'!$M$2:$M$2436,MATCH($B$3&amp;"|2|"&amp;F$29&amp;"|"&amp;$A39,'Master Data'!$A$2:$A$2436,0)),"")</f>
        <v>Tiny  0/0
coach: –</v>
      </c>
      <c r="G39" s="60" t="str">
        <f aca="false">IFERROR(INDEX('Master Data'!$M$2:$M$2436,MATCH($B$3&amp;"|2|"&amp;G$29&amp;"|"&amp;$A39,'Master Data'!$A$2:$A$2436,0)),"")</f>
        <v>Tiny  2/5
coach: Andreas</v>
      </c>
      <c r="H39" s="60" t="str">
        <f aca="false">IFERROR(INDEX('Master Data'!$M$2:$M$2436,MATCH($B$3&amp;"|2|"&amp;H$29&amp;"|"&amp;$A39,'Master Data'!$A$2:$A$2436,0)),"")</f>
        <v>Tiny  4/5
coach: Sri</v>
      </c>
      <c r="T39" s="61" t="str">
        <f aca="false">IFERROR(INDEX('Master Data'!$L$2:$L$2436,MATCH($B$3&amp;"|2|"&amp;B$29&amp;"|"&amp;$A39,'Master Data'!$A$2:$A$2436,0)),"")</f>
        <v>Tutup</v>
      </c>
      <c r="U39" s="61" t="str">
        <f aca="false">IFERROR(INDEX('Master Data'!$L$2:$L$2436,MATCH($B$3&amp;"|2|"&amp;C$29&amp;"|"&amp;$A39,'Master Data'!$A$2:$A$2436,0)),"")</f>
        <v>Tutup</v>
      </c>
      <c r="V39" s="61" t="str">
        <f aca="false">IFERROR(INDEX('Master Data'!$L$2:$L$2436,MATCH($B$3&amp;"|2|"&amp;D$29&amp;"|"&amp;$A39,'Master Data'!$A$2:$A$2436,0)),"")</f>
        <v>Sebagian</v>
      </c>
      <c r="W39" s="61" t="str">
        <f aca="false">IFERROR(INDEX('Master Data'!$L$2:$L$2436,MATCH($B$3&amp;"|2|"&amp;E$29&amp;"|"&amp;$A39,'Master Data'!$A$2:$A$2436,0)),"")</f>
        <v>Belum terisi</v>
      </c>
      <c r="X39" s="61" t="str">
        <f aca="false">IFERROR(INDEX('Master Data'!$L$2:$L$2436,MATCH($B$3&amp;"|2|"&amp;F$29&amp;"|"&amp;$A39,'Master Data'!$A$2:$A$2436,0)),"")</f>
        <v>Tutup</v>
      </c>
      <c r="Y39" s="61" t="str">
        <f aca="false">IFERROR(INDEX('Master Data'!$L$2:$L$2436,MATCH($B$3&amp;"|2|"&amp;G$29&amp;"|"&amp;$A39,'Master Data'!$A$2:$A$2436,0)),"")</f>
        <v>Sebagian</v>
      </c>
      <c r="Z39" s="61" t="str">
        <f aca="false">IFERROR(INDEX('Master Data'!$L$2:$L$2436,MATCH($B$3&amp;"|2|"&amp;H$29&amp;"|"&amp;$A39,'Master Data'!$A$2:$A$2436,0)),"")</f>
        <v>Sebagian</v>
      </c>
    </row>
    <row r="40" customFormat="false" ht="30" hidden="false" customHeight="true" outlineLevel="0" collapsed="false">
      <c r="A40" s="59" t="s">
        <v>120</v>
      </c>
      <c r="B40" s="60" t="str">
        <f aca="false">IFERROR(INDEX('Master Data'!$M$2:$M$2436,MATCH($B$3&amp;"|2|"&amp;B$29&amp;"|"&amp;$A40,'Master Data'!$A$2:$A$2436,0)),"")</f>
        <v>Tiny  0/5
coach: –</v>
      </c>
      <c r="C40" s="60" t="str">
        <f aca="false">IFERROR(INDEX('Master Data'!$M$2:$M$2436,MATCH($B$3&amp;"|2|"&amp;C$29&amp;"|"&amp;$A40,'Master Data'!$A$2:$A$2436,0)),"")</f>
        <v>Tiny  0/5
coach: –</v>
      </c>
      <c r="D40" s="60" t="str">
        <f aca="false">IFERROR(INDEX('Master Data'!$M$2:$M$2436,MATCH($B$3&amp;"|2|"&amp;D$29&amp;"|"&amp;$A40,'Master Data'!$A$2:$A$2436,0)),"")</f>
        <v>Tiny  0/5
coach: –</v>
      </c>
      <c r="E40" s="60" t="str">
        <f aca="false">IFERROR(INDEX('Master Data'!$M$2:$M$2436,MATCH($B$3&amp;"|2|"&amp;E$29&amp;"|"&amp;$A40,'Master Data'!$A$2:$A$2436,0)),"")</f>
        <v>Tiny  0/5
coach: –</v>
      </c>
      <c r="F40" s="60" t="str">
        <f aca="false">IFERROR(INDEX('Master Data'!$M$2:$M$2436,MATCH($B$3&amp;"|2|"&amp;F$29&amp;"|"&amp;$A40,'Master Data'!$A$2:$A$2436,0)),"")</f>
        <v>Tiny  2/5
coach: Andreas</v>
      </c>
      <c r="G40" s="60" t="str">
        <f aca="false">IFERROR(INDEX('Master Data'!$M$2:$M$2436,MATCH($B$3&amp;"|2|"&amp;G$29&amp;"|"&amp;$A40,'Master Data'!$A$2:$A$2436,0)),"")</f>
        <v>Tiny  3/5
coach: Icis</v>
      </c>
      <c r="H40" s="60" t="str">
        <f aca="false">IFERROR(INDEX('Master Data'!$M$2:$M$2436,MATCH($B$3&amp;"|2|"&amp;H$29&amp;"|"&amp;$A40,'Master Data'!$A$2:$A$2436,0)),"")</f>
        <v>Tiny  3/5
coach: Deyon</v>
      </c>
      <c r="T40" s="61" t="str">
        <f aca="false">IFERROR(INDEX('Master Data'!$L$2:$L$2436,MATCH($B$3&amp;"|2|"&amp;B$29&amp;"|"&amp;$A40,'Master Data'!$A$2:$A$2436,0)),"")</f>
        <v>Belum terisi</v>
      </c>
      <c r="U40" s="61" t="str">
        <f aca="false">IFERROR(INDEX('Master Data'!$L$2:$L$2436,MATCH($B$3&amp;"|2|"&amp;C$29&amp;"|"&amp;$A40,'Master Data'!$A$2:$A$2436,0)),"")</f>
        <v>Belum terisi</v>
      </c>
      <c r="V40" s="61" t="str">
        <f aca="false">IFERROR(INDEX('Master Data'!$L$2:$L$2436,MATCH($B$3&amp;"|2|"&amp;D$29&amp;"|"&amp;$A40,'Master Data'!$A$2:$A$2436,0)),"")</f>
        <v>Belum terisi</v>
      </c>
      <c r="W40" s="61" t="str">
        <f aca="false">IFERROR(INDEX('Master Data'!$L$2:$L$2436,MATCH($B$3&amp;"|2|"&amp;E$29&amp;"|"&amp;$A40,'Master Data'!$A$2:$A$2436,0)),"")</f>
        <v>Belum terisi</v>
      </c>
      <c r="X40" s="61" t="str">
        <f aca="false">IFERROR(INDEX('Master Data'!$L$2:$L$2436,MATCH($B$3&amp;"|2|"&amp;F$29&amp;"|"&amp;$A40,'Master Data'!$A$2:$A$2436,0)),"")</f>
        <v>Sebagian</v>
      </c>
      <c r="Y40" s="61" t="str">
        <f aca="false">IFERROR(INDEX('Master Data'!$L$2:$L$2436,MATCH($B$3&amp;"|2|"&amp;G$29&amp;"|"&amp;$A40,'Master Data'!$A$2:$A$2436,0)),"")</f>
        <v>Sebagian</v>
      </c>
      <c r="Z40" s="61" t="str">
        <f aca="false">IFERROR(INDEX('Master Data'!$L$2:$L$2436,MATCH($B$3&amp;"|2|"&amp;H$29&amp;"|"&amp;$A40,'Master Data'!$A$2:$A$2436,0)),"")</f>
        <v>Sebagian</v>
      </c>
    </row>
    <row r="41" customFormat="false" ht="30" hidden="false" customHeight="true" outlineLevel="0" collapsed="false">
      <c r="A41" s="59" t="s">
        <v>121</v>
      </c>
      <c r="B41" s="60" t="str">
        <f aca="false">IFERROR(INDEX('Master Data'!$M$2:$M$2436,MATCH($B$3&amp;"|2|"&amp;B$29&amp;"|"&amp;$A41,'Master Data'!$A$2:$A$2436,0)),"")</f>
        <v>Tiny  0/5
coach: –</v>
      </c>
      <c r="C41" s="60" t="str">
        <f aca="false">IFERROR(INDEX('Master Data'!$M$2:$M$2436,MATCH($B$3&amp;"|2|"&amp;C$29&amp;"|"&amp;$A41,'Master Data'!$A$2:$A$2436,0)),"")</f>
        <v>Tiny  0/5
coach: –</v>
      </c>
      <c r="D41" s="60" t="str">
        <f aca="false">IFERROR(INDEX('Master Data'!$M$2:$M$2436,MATCH($B$3&amp;"|2|"&amp;D$29&amp;"|"&amp;$A41,'Master Data'!$A$2:$A$2436,0)),"")</f>
        <v>Tiny  3/5
coach: Sri</v>
      </c>
      <c r="E41" s="60" t="str">
        <f aca="false">IFERROR(INDEX('Master Data'!$M$2:$M$2436,MATCH($B$3&amp;"|2|"&amp;E$29&amp;"|"&amp;$A41,'Master Data'!$A$2:$A$2436,0)),"")</f>
        <v>Tiny  2/5
coach: Andreas</v>
      </c>
      <c r="F41" s="60" t="str">
        <f aca="false">IFERROR(INDEX('Master Data'!$M$2:$M$2436,MATCH($B$3&amp;"|2|"&amp;F$29&amp;"|"&amp;$A41,'Master Data'!$A$2:$A$2436,0)),"")</f>
        <v>Tiny  4/5
coach: Andreas</v>
      </c>
      <c r="G41" s="60" t="str">
        <f aca="false">IFERROR(INDEX('Master Data'!$M$2:$M$2436,MATCH($B$3&amp;"|2|"&amp;G$29&amp;"|"&amp;$A41,'Master Data'!$A$2:$A$2436,0)),"")</f>
        <v>Tiny  2/5
coach: Nabila</v>
      </c>
      <c r="H41" s="60" t="str">
        <f aca="false">IFERROR(INDEX('Master Data'!$M$2:$M$2436,MATCH($B$3&amp;"|2|"&amp;H$29&amp;"|"&amp;$A41,'Master Data'!$A$2:$A$2436,0)),"")</f>
        <v>Tiny  0/5
coach: –</v>
      </c>
      <c r="T41" s="61" t="str">
        <f aca="false">IFERROR(INDEX('Master Data'!$L$2:$L$2436,MATCH($B$3&amp;"|2|"&amp;B$29&amp;"|"&amp;$A41,'Master Data'!$A$2:$A$2436,0)),"")</f>
        <v>Belum terisi</v>
      </c>
      <c r="U41" s="61" t="str">
        <f aca="false">IFERROR(INDEX('Master Data'!$L$2:$L$2436,MATCH($B$3&amp;"|2|"&amp;C$29&amp;"|"&amp;$A41,'Master Data'!$A$2:$A$2436,0)),"")</f>
        <v>Belum terisi</v>
      </c>
      <c r="V41" s="61" t="str">
        <f aca="false">IFERROR(INDEX('Master Data'!$L$2:$L$2436,MATCH($B$3&amp;"|2|"&amp;D$29&amp;"|"&amp;$A41,'Master Data'!$A$2:$A$2436,0)),"")</f>
        <v>Sebagian</v>
      </c>
      <c r="W41" s="61" t="str">
        <f aca="false">IFERROR(INDEX('Master Data'!$L$2:$L$2436,MATCH($B$3&amp;"|2|"&amp;E$29&amp;"|"&amp;$A41,'Master Data'!$A$2:$A$2436,0)),"")</f>
        <v>Sebagian</v>
      </c>
      <c r="X41" s="61" t="str">
        <f aca="false">IFERROR(INDEX('Master Data'!$L$2:$L$2436,MATCH($B$3&amp;"|2|"&amp;F$29&amp;"|"&amp;$A41,'Master Data'!$A$2:$A$2436,0)),"")</f>
        <v>Sebagian</v>
      </c>
      <c r="Y41" s="61" t="str">
        <f aca="false">IFERROR(INDEX('Master Data'!$L$2:$L$2436,MATCH($B$3&amp;"|2|"&amp;G$29&amp;"|"&amp;$A41,'Master Data'!$A$2:$A$2436,0)),"")</f>
        <v>Sebagian</v>
      </c>
      <c r="Z41" s="61" t="str">
        <f aca="false">IFERROR(INDEX('Master Data'!$L$2:$L$2436,MATCH($B$3&amp;"|2|"&amp;H$29&amp;"|"&amp;$A41,'Master Data'!$A$2:$A$2436,0)),"")</f>
        <v>Belum terisi</v>
      </c>
    </row>
    <row r="43" customFormat="false" ht="16.15" hidden="false" customHeight="false" outlineLevel="0" collapsed="false">
      <c r="A43" s="54" t="s">
        <v>109</v>
      </c>
      <c r="B43" s="55"/>
      <c r="C43" s="56" t="str">
        <f aca="false">"Utilisasi lane: "&amp;IFERROR(TEXT(SUMIFS('Master Data'!$H$2:$H$2436,'Master Data'!$B$2:$B$2436,$B$3,'Master Data'!$C$2:$C$2436,3,'Master Data'!$G$2:$G$2436,"&gt;0")/SUMIFS('Master Data'!$G$2:$G$2436,'Master Data'!$B$2:$B$2436,$B$3,'Master Data'!$C$2:$C$2436,3,'Master Data'!$G$2:$G$2436,"&gt;0"),"0%"),"–")&amp;"   ·   Belum terisi: "&amp;COUNTIFS('Master Data'!$B$2:$B$2436,$B$3,'Master Data'!$C$2:$C$2436,3,'Master Data'!$L$2:$L$2436,"Belum terisi")&amp;"   ·   Slot kosong: "&amp;COUNTIFS('Master Data'!$B$2:$B$2436,$B$3,'Master Data'!$C$2:$C$2436,3,'Master Data'!$L$2:$L$2436,"Slot kosong")</f>
        <v>Utilisasi lane: 63%   ·   Belum terisi: 15   ·   Slot kosong: 0</v>
      </c>
      <c r="D43" s="55"/>
      <c r="E43" s="55"/>
      <c r="F43" s="55"/>
      <c r="G43" s="55"/>
      <c r="H43" s="55"/>
    </row>
    <row r="44" customFormat="false" ht="15" hidden="false" customHeight="false" outlineLevel="0" collapsed="false">
      <c r="A44" s="57" t="s">
        <v>89</v>
      </c>
      <c r="B44" s="58" t="s">
        <v>90</v>
      </c>
      <c r="C44" s="58" t="s">
        <v>91</v>
      </c>
      <c r="D44" s="58" t="s">
        <v>92</v>
      </c>
      <c r="E44" s="58" t="s">
        <v>93</v>
      </c>
      <c r="F44" s="58" t="s">
        <v>94</v>
      </c>
      <c r="G44" s="58" t="s">
        <v>95</v>
      </c>
      <c r="H44" s="58" t="s">
        <v>78</v>
      </c>
    </row>
    <row r="45" customFormat="false" ht="30" hidden="false" customHeight="true" outlineLevel="0" collapsed="false">
      <c r="A45" s="59" t="s">
        <v>96</v>
      </c>
      <c r="B45" s="60" t="str">
        <f aca="false">IFERROR(INDEX('Master Data'!$M$2:$M$2436,MATCH($B$3&amp;"|3|"&amp;B$44&amp;"|"&amp;$A45,'Master Data'!$A$2:$A$2436,0)),"")</f>
        <v>Little  0/0
coach: –</v>
      </c>
      <c r="C45" s="60" t="str">
        <f aca="false">IFERROR(INDEX('Master Data'!$M$2:$M$2436,MATCH($B$3&amp;"|3|"&amp;C$44&amp;"|"&amp;$A45,'Master Data'!$A$2:$A$2436,0)),"")</f>
        <v>Little  0/0
coach: –</v>
      </c>
      <c r="D45" s="60" t="str">
        <f aca="false">IFERROR(INDEX('Master Data'!$M$2:$M$2436,MATCH($B$3&amp;"|3|"&amp;D$44&amp;"|"&amp;$A45,'Master Data'!$A$2:$A$2436,0)),"")</f>
        <v>Little  0/0
coach: –</v>
      </c>
      <c r="E45" s="60" t="str">
        <f aca="false">IFERROR(INDEX('Master Data'!$M$2:$M$2436,MATCH($B$3&amp;"|3|"&amp;E$44&amp;"|"&amp;$A45,'Master Data'!$A$2:$A$2436,0)),"")</f>
        <v/>
      </c>
      <c r="F45" s="60" t="str">
        <f aca="false">IFERROR(INDEX('Master Data'!$M$2:$M$2436,MATCH($B$3&amp;"|3|"&amp;F$44&amp;"|"&amp;$A45,'Master Data'!$A$2:$A$2436,0)),"")</f>
        <v>Little  0/0
coach: –</v>
      </c>
      <c r="G45" s="60" t="str">
        <f aca="false">IFERROR(INDEX('Master Data'!$M$2:$M$2436,MATCH($B$3&amp;"|3|"&amp;G$44&amp;"|"&amp;$A45,'Master Data'!$A$2:$A$2436,0)),"")</f>
        <v>Little  0/0
coach: –</v>
      </c>
      <c r="H45" s="60" t="str">
        <f aca="false">IFERROR(INDEX('Master Data'!$M$2:$M$2436,MATCH($B$3&amp;"|3|"&amp;H$44&amp;"|"&amp;$A45,'Master Data'!$A$2:$A$2436,0)),"")</f>
        <v>Little  0/0
coach: –</v>
      </c>
      <c r="T45" s="61" t="str">
        <f aca="false">IFERROR(INDEX('Master Data'!$L$2:$L$2436,MATCH($B$3&amp;"|3|"&amp;B$44&amp;"|"&amp;$A45,'Master Data'!$A$2:$A$2436,0)),"")</f>
        <v>Tutup</v>
      </c>
      <c r="U45" s="61" t="str">
        <f aca="false">IFERROR(INDEX('Master Data'!$L$2:$L$2436,MATCH($B$3&amp;"|3|"&amp;C$44&amp;"|"&amp;$A45,'Master Data'!$A$2:$A$2436,0)),"")</f>
        <v>Tutup</v>
      </c>
      <c r="V45" s="61" t="str">
        <f aca="false">IFERROR(INDEX('Master Data'!$L$2:$L$2436,MATCH($B$3&amp;"|3|"&amp;D$44&amp;"|"&amp;$A45,'Master Data'!$A$2:$A$2436,0)),"")</f>
        <v>Tutup</v>
      </c>
      <c r="W45" s="61" t="str">
        <f aca="false">IFERROR(INDEX('Master Data'!$L$2:$L$2436,MATCH($B$3&amp;"|3|"&amp;E$44&amp;"|"&amp;$A45,'Master Data'!$A$2:$A$2436,0)),"")</f>
        <v/>
      </c>
      <c r="X45" s="61" t="str">
        <f aca="false">IFERROR(INDEX('Master Data'!$L$2:$L$2436,MATCH($B$3&amp;"|3|"&amp;F$44&amp;"|"&amp;$A45,'Master Data'!$A$2:$A$2436,0)),"")</f>
        <v>Tutup</v>
      </c>
      <c r="Y45" s="61" t="str">
        <f aca="false">IFERROR(INDEX('Master Data'!$L$2:$L$2436,MATCH($B$3&amp;"|3|"&amp;G$44&amp;"|"&amp;$A45,'Master Data'!$A$2:$A$2436,0)),"")</f>
        <v>Tutup</v>
      </c>
      <c r="Z45" s="61" t="str">
        <f aca="false">IFERROR(INDEX('Master Data'!$L$2:$L$2436,MATCH($B$3&amp;"|3|"&amp;H$44&amp;"|"&amp;$A45,'Master Data'!$A$2:$A$2436,0)),"")</f>
        <v>Tutup</v>
      </c>
    </row>
    <row r="46" customFormat="false" ht="30" hidden="false" customHeight="true" outlineLevel="0" collapsed="false">
      <c r="A46" s="59" t="s">
        <v>97</v>
      </c>
      <c r="B46" s="60" t="str">
        <f aca="false">IFERROR(INDEX('Master Data'!$M$2:$M$2436,MATCH($B$3&amp;"|3|"&amp;B$44&amp;"|"&amp;$A46,'Master Data'!$A$2:$A$2436,0)),"")</f>
        <v>Little  0/4
coach: –</v>
      </c>
      <c r="C46" s="60" t="str">
        <f aca="false">IFERROR(INDEX('Master Data'!$M$2:$M$2436,MATCH($B$3&amp;"|3|"&amp;C$44&amp;"|"&amp;$A46,'Master Data'!$A$2:$A$2436,0)),"")</f>
        <v>Little  0/4
coach: –</v>
      </c>
      <c r="D46" s="60" t="str">
        <f aca="false">IFERROR(INDEX('Master Data'!$M$2:$M$2436,MATCH($B$3&amp;"|3|"&amp;D$44&amp;"|"&amp;$A46,'Master Data'!$A$2:$A$2436,0)),"")</f>
        <v>Little  2/4
coach: Eriek</v>
      </c>
      <c r="E46" s="60" t="str">
        <f aca="false">IFERROR(INDEX('Master Data'!$M$2:$M$2436,MATCH($B$3&amp;"|3|"&amp;E$44&amp;"|"&amp;$A46,'Master Data'!$A$2:$A$2436,0)),"")</f>
        <v>Little  0/4
coach: –</v>
      </c>
      <c r="F46" s="60" t="str">
        <f aca="false">IFERROR(INDEX('Master Data'!$M$2:$M$2436,MATCH($B$3&amp;"|3|"&amp;F$44&amp;"|"&amp;$A46,'Master Data'!$A$2:$A$2436,0)),"")</f>
        <v>Little  0/4
coach: –</v>
      </c>
      <c r="G46" s="60" t="str">
        <f aca="false">IFERROR(INDEX('Master Data'!$M$2:$M$2436,MATCH($B$3&amp;"|3|"&amp;G$44&amp;"|"&amp;$A46,'Master Data'!$A$2:$A$2436,0)),"")</f>
        <v>Little  4/4
coach: Deyon</v>
      </c>
      <c r="H46" s="60" t="str">
        <f aca="false">IFERROR(INDEX('Master Data'!$M$2:$M$2436,MATCH($B$3&amp;"|3|"&amp;H$44&amp;"|"&amp;$A46,'Master Data'!$A$2:$A$2436,0)),"")</f>
        <v>Little  4/4
coach: Deyon</v>
      </c>
      <c r="T46" s="61" t="str">
        <f aca="false">IFERROR(INDEX('Master Data'!$L$2:$L$2436,MATCH($B$3&amp;"|3|"&amp;B$44&amp;"|"&amp;$A46,'Master Data'!$A$2:$A$2436,0)),"")</f>
        <v>Belum terisi</v>
      </c>
      <c r="U46" s="61" t="str">
        <f aca="false">IFERROR(INDEX('Master Data'!$L$2:$L$2436,MATCH($B$3&amp;"|3|"&amp;C$44&amp;"|"&amp;$A46,'Master Data'!$A$2:$A$2436,0)),"")</f>
        <v>Belum terisi</v>
      </c>
      <c r="V46" s="61" t="str">
        <f aca="false">IFERROR(INDEX('Master Data'!$L$2:$L$2436,MATCH($B$3&amp;"|3|"&amp;D$44&amp;"|"&amp;$A46,'Master Data'!$A$2:$A$2436,0)),"")</f>
        <v>Sebagian</v>
      </c>
      <c r="W46" s="61" t="str">
        <f aca="false">IFERROR(INDEX('Master Data'!$L$2:$L$2436,MATCH($B$3&amp;"|3|"&amp;E$44&amp;"|"&amp;$A46,'Master Data'!$A$2:$A$2436,0)),"")</f>
        <v>Belum terisi</v>
      </c>
      <c r="X46" s="61" t="str">
        <f aca="false">IFERROR(INDEX('Master Data'!$L$2:$L$2436,MATCH($B$3&amp;"|3|"&amp;F$44&amp;"|"&amp;$A46,'Master Data'!$A$2:$A$2436,0)),"")</f>
        <v>Belum terisi</v>
      </c>
      <c r="Y46" s="61" t="str">
        <f aca="false">IFERROR(INDEX('Master Data'!$L$2:$L$2436,MATCH($B$3&amp;"|3|"&amp;G$44&amp;"|"&amp;$A46,'Master Data'!$A$2:$A$2436,0)),"")</f>
        <v>Penuh</v>
      </c>
      <c r="Z46" s="61" t="str">
        <f aca="false">IFERROR(INDEX('Master Data'!$L$2:$L$2436,MATCH($B$3&amp;"|3|"&amp;H$44&amp;"|"&amp;$A46,'Master Data'!$A$2:$A$2436,0)),"")</f>
        <v>Penuh</v>
      </c>
    </row>
    <row r="47" customFormat="false" ht="30" hidden="false" customHeight="true" outlineLevel="0" collapsed="false">
      <c r="A47" s="59" t="s">
        <v>98</v>
      </c>
      <c r="B47" s="60" t="str">
        <f aca="false">IFERROR(INDEX('Master Data'!$M$2:$M$2436,MATCH($B$3&amp;"|3|"&amp;B$44&amp;"|"&amp;$A47,'Master Data'!$A$2:$A$2436,0)),"")</f>
        <v>Little  0/4
coach: –</v>
      </c>
      <c r="C47" s="60" t="str">
        <f aca="false">IFERROR(INDEX('Master Data'!$M$2:$M$2436,MATCH($B$3&amp;"|3|"&amp;C$44&amp;"|"&amp;$A47,'Master Data'!$A$2:$A$2436,0)),"")</f>
        <v>Little  2/4
coach: Sri</v>
      </c>
      <c r="D47" s="60" t="str">
        <f aca="false">IFERROR(INDEX('Master Data'!$M$2:$M$2436,MATCH($B$3&amp;"|3|"&amp;D$44&amp;"|"&amp;$A47,'Master Data'!$A$2:$A$2436,0)),"")</f>
        <v>Little  0/4
coach: –</v>
      </c>
      <c r="E47" s="60" t="str">
        <f aca="false">IFERROR(INDEX('Master Data'!$M$2:$M$2436,MATCH($B$3&amp;"|3|"&amp;E$44&amp;"|"&amp;$A47,'Master Data'!$A$2:$A$2436,0)),"")</f>
        <v>Little  2/4
coach: Nabila</v>
      </c>
      <c r="F47" s="60" t="str">
        <f aca="false">IFERROR(INDEX('Master Data'!$M$2:$M$2436,MATCH($B$3&amp;"|3|"&amp;F$44&amp;"|"&amp;$A47,'Master Data'!$A$2:$A$2436,0)),"")</f>
        <v>Little  3/4
coach: Deyon</v>
      </c>
      <c r="G47" s="60" t="str">
        <f aca="false">IFERROR(INDEX('Master Data'!$M$2:$M$2436,MATCH($B$3&amp;"|3|"&amp;G$44&amp;"|"&amp;$A47,'Master Data'!$A$2:$A$2436,0)),"")</f>
        <v>Little  4/4
coach: Deyon</v>
      </c>
      <c r="H47" s="60" t="str">
        <f aca="false">IFERROR(INDEX('Master Data'!$M$2:$M$2436,MATCH($B$3&amp;"|3|"&amp;H$44&amp;"|"&amp;$A47,'Master Data'!$A$2:$A$2436,0)),"")</f>
        <v>Little  4/4
coach: Sri</v>
      </c>
      <c r="T47" s="61" t="str">
        <f aca="false">IFERROR(INDEX('Master Data'!$L$2:$L$2436,MATCH($B$3&amp;"|3|"&amp;B$44&amp;"|"&amp;$A47,'Master Data'!$A$2:$A$2436,0)),"")</f>
        <v>Belum terisi</v>
      </c>
      <c r="U47" s="61" t="str">
        <f aca="false">IFERROR(INDEX('Master Data'!$L$2:$L$2436,MATCH($B$3&amp;"|3|"&amp;C$44&amp;"|"&amp;$A47,'Master Data'!$A$2:$A$2436,0)),"")</f>
        <v>Sebagian</v>
      </c>
      <c r="V47" s="61" t="str">
        <f aca="false">IFERROR(INDEX('Master Data'!$L$2:$L$2436,MATCH($B$3&amp;"|3|"&amp;D$44&amp;"|"&amp;$A47,'Master Data'!$A$2:$A$2436,0)),"")</f>
        <v>Belum terisi</v>
      </c>
      <c r="W47" s="61" t="str">
        <f aca="false">IFERROR(INDEX('Master Data'!$L$2:$L$2436,MATCH($B$3&amp;"|3|"&amp;E$44&amp;"|"&amp;$A47,'Master Data'!$A$2:$A$2436,0)),"")</f>
        <v>Sebagian</v>
      </c>
      <c r="X47" s="61" t="str">
        <f aca="false">IFERROR(INDEX('Master Data'!$L$2:$L$2436,MATCH($B$3&amp;"|3|"&amp;F$44&amp;"|"&amp;$A47,'Master Data'!$A$2:$A$2436,0)),"")</f>
        <v>Sebagian</v>
      </c>
      <c r="Y47" s="61" t="str">
        <f aca="false">IFERROR(INDEX('Master Data'!$L$2:$L$2436,MATCH($B$3&amp;"|3|"&amp;G$44&amp;"|"&amp;$A47,'Master Data'!$A$2:$A$2436,0)),"")</f>
        <v>Penuh</v>
      </c>
      <c r="Z47" s="61" t="str">
        <f aca="false">IFERROR(INDEX('Master Data'!$L$2:$L$2436,MATCH($B$3&amp;"|3|"&amp;H$44&amp;"|"&amp;$A47,'Master Data'!$A$2:$A$2436,0)),"")</f>
        <v>Penuh</v>
      </c>
    </row>
    <row r="48" customFormat="false" ht="30" hidden="false" customHeight="true" outlineLevel="0" collapsed="false">
      <c r="A48" s="59" t="s">
        <v>99</v>
      </c>
      <c r="B48" s="60" t="str">
        <f aca="false">IFERROR(INDEX('Master Data'!$M$2:$M$2436,MATCH($B$3&amp;"|3|"&amp;B$44&amp;"|"&amp;$A48,'Master Data'!$A$2:$A$2436,0)),"")</f>
        <v>Little  0/4
coach: –</v>
      </c>
      <c r="C48" s="60" t="str">
        <f aca="false">IFERROR(INDEX('Master Data'!$M$2:$M$2436,MATCH($B$3&amp;"|3|"&amp;C$44&amp;"|"&amp;$A48,'Master Data'!$A$2:$A$2436,0)),"")</f>
        <v>Little  3/4
coach: Sri</v>
      </c>
      <c r="D48" s="60" t="str">
        <f aca="false">IFERROR(INDEX('Master Data'!$M$2:$M$2436,MATCH($B$3&amp;"|3|"&amp;D$44&amp;"|"&amp;$A48,'Master Data'!$A$2:$A$2436,0)),"")</f>
        <v>Little  0/4
coach: –</v>
      </c>
      <c r="E48" s="60" t="str">
        <f aca="false">IFERROR(INDEX('Master Data'!$M$2:$M$2436,MATCH($B$3&amp;"|3|"&amp;E$44&amp;"|"&amp;$A48,'Master Data'!$A$2:$A$2436,0)),"")</f>
        <v>Little  0/4
coach: –</v>
      </c>
      <c r="F48" s="60" t="str">
        <f aca="false">IFERROR(INDEX('Master Data'!$M$2:$M$2436,MATCH($B$3&amp;"|3|"&amp;F$44&amp;"|"&amp;$A48,'Master Data'!$A$2:$A$2436,0)),"")</f>
        <v>Little  0/4
coach: –</v>
      </c>
      <c r="G48" s="60" t="str">
        <f aca="false">IFERROR(INDEX('Master Data'!$M$2:$M$2436,MATCH($B$3&amp;"|3|"&amp;G$44&amp;"|"&amp;$A48,'Master Data'!$A$2:$A$2436,0)),"")</f>
        <v>Little  4/4
coach: Icis</v>
      </c>
      <c r="H48" s="60" t="str">
        <f aca="false">IFERROR(INDEX('Master Data'!$M$2:$M$2436,MATCH($B$3&amp;"|3|"&amp;H$44&amp;"|"&amp;$A48,'Master Data'!$A$2:$A$2436,0)),"")</f>
        <v>Little  4/4
coach: Sri</v>
      </c>
      <c r="T48" s="61" t="str">
        <f aca="false">IFERROR(INDEX('Master Data'!$L$2:$L$2436,MATCH($B$3&amp;"|3|"&amp;B$44&amp;"|"&amp;$A48,'Master Data'!$A$2:$A$2436,0)),"")</f>
        <v>Belum terisi</v>
      </c>
      <c r="U48" s="61" t="str">
        <f aca="false">IFERROR(INDEX('Master Data'!$L$2:$L$2436,MATCH($B$3&amp;"|3|"&amp;C$44&amp;"|"&amp;$A48,'Master Data'!$A$2:$A$2436,0)),"")</f>
        <v>Sebagian</v>
      </c>
      <c r="V48" s="61" t="str">
        <f aca="false">IFERROR(INDEX('Master Data'!$L$2:$L$2436,MATCH($B$3&amp;"|3|"&amp;D$44&amp;"|"&amp;$A48,'Master Data'!$A$2:$A$2436,0)),"")</f>
        <v>Belum terisi</v>
      </c>
      <c r="W48" s="61" t="str">
        <f aca="false">IFERROR(INDEX('Master Data'!$L$2:$L$2436,MATCH($B$3&amp;"|3|"&amp;E$44&amp;"|"&amp;$A48,'Master Data'!$A$2:$A$2436,0)),"")</f>
        <v>Belum terisi</v>
      </c>
      <c r="X48" s="61" t="str">
        <f aca="false">IFERROR(INDEX('Master Data'!$L$2:$L$2436,MATCH($B$3&amp;"|3|"&amp;F$44&amp;"|"&amp;$A48,'Master Data'!$A$2:$A$2436,0)),"")</f>
        <v>Belum terisi</v>
      </c>
      <c r="Y48" s="61" t="str">
        <f aca="false">IFERROR(INDEX('Master Data'!$L$2:$L$2436,MATCH($B$3&amp;"|3|"&amp;G$44&amp;"|"&amp;$A48,'Master Data'!$A$2:$A$2436,0)),"")</f>
        <v>Penuh</v>
      </c>
      <c r="Z48" s="61" t="str">
        <f aca="false">IFERROR(INDEX('Master Data'!$L$2:$L$2436,MATCH($B$3&amp;"|3|"&amp;H$44&amp;"|"&amp;$A48,'Master Data'!$A$2:$A$2436,0)),"")</f>
        <v>Penuh</v>
      </c>
    </row>
    <row r="49" customFormat="false" ht="30" hidden="false" customHeight="true" outlineLevel="0" collapsed="false">
      <c r="A49" s="59" t="s">
        <v>100</v>
      </c>
      <c r="B49" s="60" t="str">
        <f aca="false">IFERROR(INDEX('Master Data'!$M$2:$M$2436,MATCH($B$3&amp;"|3|"&amp;B$44&amp;"|"&amp;$A49,'Master Data'!$A$2:$A$2436,0)),"")</f>
        <v>Little  4/4
coach: Sri</v>
      </c>
      <c r="C49" s="60" t="str">
        <f aca="false">IFERROR(INDEX('Master Data'!$M$2:$M$2436,MATCH($B$3&amp;"|3|"&amp;C$44&amp;"|"&amp;$A49,'Master Data'!$A$2:$A$2436,0)),"")</f>
        <v>Little  3/4
coach: Frido</v>
      </c>
      <c r="D49" s="60" t="str">
        <f aca="false">IFERROR(INDEX('Master Data'!$M$2:$M$2436,MATCH($B$3&amp;"|3|"&amp;D$44&amp;"|"&amp;$A49,'Master Data'!$A$2:$A$2436,0)),"")</f>
        <v>Little  4/4
coach: Icis</v>
      </c>
      <c r="E49" s="60" t="str">
        <f aca="false">IFERROR(INDEX('Master Data'!$M$2:$M$2436,MATCH($B$3&amp;"|3|"&amp;E$44&amp;"|"&amp;$A49,'Master Data'!$A$2:$A$2436,0)),"")</f>
        <v>Little  2/4
coach: Icis</v>
      </c>
      <c r="F49" s="60" t="str">
        <f aca="false">IFERROR(INDEX('Master Data'!$M$2:$M$2436,MATCH($B$3&amp;"|3|"&amp;F$44&amp;"|"&amp;$A49,'Master Data'!$A$2:$A$2436,0)),"")</f>
        <v>Little  0/4
coach: –</v>
      </c>
      <c r="G49" s="60" t="str">
        <f aca="false">IFERROR(INDEX('Master Data'!$M$2:$M$2436,MATCH($B$3&amp;"|3|"&amp;G$44&amp;"|"&amp;$A49,'Master Data'!$A$2:$A$2436,0)),"")</f>
        <v>Little  2/2
coach: Faris</v>
      </c>
      <c r="H49" s="60" t="str">
        <f aca="false">IFERROR(INDEX('Master Data'!$M$2:$M$2436,MATCH($B$3&amp;"|3|"&amp;H$44&amp;"|"&amp;$A49,'Master Data'!$A$2:$A$2436,0)),"")</f>
        <v>Little  3/4
coach: Deyon</v>
      </c>
      <c r="T49" s="61" t="str">
        <f aca="false">IFERROR(INDEX('Master Data'!$L$2:$L$2436,MATCH($B$3&amp;"|3|"&amp;B$44&amp;"|"&amp;$A49,'Master Data'!$A$2:$A$2436,0)),"")</f>
        <v>Penuh</v>
      </c>
      <c r="U49" s="61" t="str">
        <f aca="false">IFERROR(INDEX('Master Data'!$L$2:$L$2436,MATCH($B$3&amp;"|3|"&amp;C$44&amp;"|"&amp;$A49,'Master Data'!$A$2:$A$2436,0)),"")</f>
        <v>Sebagian</v>
      </c>
      <c r="V49" s="61" t="str">
        <f aca="false">IFERROR(INDEX('Master Data'!$L$2:$L$2436,MATCH($B$3&amp;"|3|"&amp;D$44&amp;"|"&amp;$A49,'Master Data'!$A$2:$A$2436,0)),"")</f>
        <v>Penuh</v>
      </c>
      <c r="W49" s="61" t="str">
        <f aca="false">IFERROR(INDEX('Master Data'!$L$2:$L$2436,MATCH($B$3&amp;"|3|"&amp;E$44&amp;"|"&amp;$A49,'Master Data'!$A$2:$A$2436,0)),"")</f>
        <v>Sebagian</v>
      </c>
      <c r="X49" s="61" t="str">
        <f aca="false">IFERROR(INDEX('Master Data'!$L$2:$L$2436,MATCH($B$3&amp;"|3|"&amp;F$44&amp;"|"&amp;$A49,'Master Data'!$A$2:$A$2436,0)),"")</f>
        <v>Belum terisi</v>
      </c>
      <c r="Y49" s="61" t="str">
        <f aca="false">IFERROR(INDEX('Master Data'!$L$2:$L$2436,MATCH($B$3&amp;"|3|"&amp;G$44&amp;"|"&amp;$A49,'Master Data'!$A$2:$A$2436,0)),"")</f>
        <v>Penuh</v>
      </c>
      <c r="Z49" s="61" t="str">
        <f aca="false">IFERROR(INDEX('Master Data'!$L$2:$L$2436,MATCH($B$3&amp;"|3|"&amp;H$44&amp;"|"&amp;$A49,'Master Data'!$A$2:$A$2436,0)),"")</f>
        <v>Sebagian</v>
      </c>
    </row>
    <row r="50" customFormat="false" ht="30" hidden="false" customHeight="true" outlineLevel="0" collapsed="false">
      <c r="A50" s="59" t="s">
        <v>101</v>
      </c>
      <c r="B50" s="60" t="str">
        <f aca="false">IFERROR(INDEX('Master Data'!$M$2:$M$2436,MATCH($B$3&amp;"|3|"&amp;B$44&amp;"|"&amp;$A50,'Master Data'!$A$2:$A$2436,0)),"")</f>
        <v>Little  0/0
coach: –</v>
      </c>
      <c r="C50" s="60" t="str">
        <f aca="false">IFERROR(INDEX('Master Data'!$M$2:$M$2436,MATCH($B$3&amp;"|3|"&amp;C$44&amp;"|"&amp;$A50,'Master Data'!$A$2:$A$2436,0)),"")</f>
        <v>Little  0/0
coach: –</v>
      </c>
      <c r="D50" s="60" t="str">
        <f aca="false">IFERROR(INDEX('Master Data'!$M$2:$M$2436,MATCH($B$3&amp;"|3|"&amp;D$44&amp;"|"&amp;$A50,'Master Data'!$A$2:$A$2436,0)),"")</f>
        <v>Little  0/0
coach: –</v>
      </c>
      <c r="E50" s="60" t="str">
        <f aca="false">IFERROR(INDEX('Master Data'!$M$2:$M$2436,MATCH($B$3&amp;"|3|"&amp;E$44&amp;"|"&amp;$A50,'Master Data'!$A$2:$A$2436,0)),"")</f>
        <v>Little  0/0
coach: –</v>
      </c>
      <c r="F50" s="60" t="str">
        <f aca="false">IFERROR(INDEX('Master Data'!$M$2:$M$2436,MATCH($B$3&amp;"|3|"&amp;F$44&amp;"|"&amp;$A50,'Master Data'!$A$2:$A$2436,0)),"")</f>
        <v>Little  0/0
coach: –</v>
      </c>
      <c r="G50" s="60" t="str">
        <f aca="false">IFERROR(INDEX('Master Data'!$M$2:$M$2436,MATCH($B$3&amp;"|3|"&amp;G$44&amp;"|"&amp;$A50,'Master Data'!$A$2:$A$2436,0)),"")</f>
        <v>Little  4/4
coach: Deyon</v>
      </c>
      <c r="H50" s="60" t="str">
        <f aca="false">IFERROR(INDEX('Master Data'!$M$2:$M$2436,MATCH($B$3&amp;"|3|"&amp;H$44&amp;"|"&amp;$A50,'Master Data'!$A$2:$A$2436,0)),"")</f>
        <v>Little  4/4
coach: Icis</v>
      </c>
      <c r="T50" s="61" t="str">
        <f aca="false">IFERROR(INDEX('Master Data'!$L$2:$L$2436,MATCH($B$3&amp;"|3|"&amp;B$44&amp;"|"&amp;$A50,'Master Data'!$A$2:$A$2436,0)),"")</f>
        <v>Tutup</v>
      </c>
      <c r="U50" s="61" t="str">
        <f aca="false">IFERROR(INDEX('Master Data'!$L$2:$L$2436,MATCH($B$3&amp;"|3|"&amp;C$44&amp;"|"&amp;$A50,'Master Data'!$A$2:$A$2436,0)),"")</f>
        <v>Tutup</v>
      </c>
      <c r="V50" s="61" t="str">
        <f aca="false">IFERROR(INDEX('Master Data'!$L$2:$L$2436,MATCH($B$3&amp;"|3|"&amp;D$44&amp;"|"&amp;$A50,'Master Data'!$A$2:$A$2436,0)),"")</f>
        <v>Tutup</v>
      </c>
      <c r="W50" s="61" t="str">
        <f aca="false">IFERROR(INDEX('Master Data'!$L$2:$L$2436,MATCH($B$3&amp;"|3|"&amp;E$44&amp;"|"&amp;$A50,'Master Data'!$A$2:$A$2436,0)),"")</f>
        <v>Tutup</v>
      </c>
      <c r="X50" s="61" t="str">
        <f aca="false">IFERROR(INDEX('Master Data'!$L$2:$L$2436,MATCH($B$3&amp;"|3|"&amp;F$44&amp;"|"&amp;$A50,'Master Data'!$A$2:$A$2436,0)),"")</f>
        <v>Tutup</v>
      </c>
      <c r="Y50" s="61" t="str">
        <f aca="false">IFERROR(INDEX('Master Data'!$L$2:$L$2436,MATCH($B$3&amp;"|3|"&amp;G$44&amp;"|"&amp;$A50,'Master Data'!$A$2:$A$2436,0)),"")</f>
        <v>Penuh</v>
      </c>
      <c r="Z50" s="61" t="str">
        <f aca="false">IFERROR(INDEX('Master Data'!$L$2:$L$2436,MATCH($B$3&amp;"|3|"&amp;H$44&amp;"|"&amp;$A50,'Master Data'!$A$2:$A$2436,0)),"")</f>
        <v>Penuh</v>
      </c>
    </row>
    <row r="51" customFormat="false" ht="30" hidden="false" customHeight="true" outlineLevel="0" collapsed="false">
      <c r="A51" s="59" t="s">
        <v>102</v>
      </c>
      <c r="B51" s="60" t="str">
        <f aca="false">IFERROR(INDEX('Master Data'!$M$2:$M$2436,MATCH($B$3&amp;"|3|"&amp;B$44&amp;"|"&amp;$A51,'Master Data'!$A$2:$A$2436,0)),"")</f>
        <v>Little  0/4
coach: –</v>
      </c>
      <c r="C51" s="60" t="str">
        <f aca="false">IFERROR(INDEX('Master Data'!$M$2:$M$2436,MATCH($B$3&amp;"|3|"&amp;C$44&amp;"|"&amp;$A51,'Master Data'!$A$2:$A$2436,0)),"")</f>
        <v>Little  4/4
coach: Sri</v>
      </c>
      <c r="D51" s="60" t="str">
        <f aca="false">IFERROR(INDEX('Master Data'!$M$2:$M$2436,MATCH($B$3&amp;"|3|"&amp;D$44&amp;"|"&amp;$A51,'Master Data'!$A$2:$A$2436,0)),"")</f>
        <v>Little  1/4
coach: Andreas</v>
      </c>
      <c r="E51" s="60" t="str">
        <f aca="false">IFERROR(INDEX('Master Data'!$M$2:$M$2436,MATCH($B$3&amp;"|3|"&amp;E$44&amp;"|"&amp;$A51,'Master Data'!$A$2:$A$2436,0)),"")</f>
        <v>Little  0/4
coach: –</v>
      </c>
      <c r="F51" s="60" t="str">
        <f aca="false">IFERROR(INDEX('Master Data'!$M$2:$M$2436,MATCH($B$3&amp;"|3|"&amp;F$44&amp;"|"&amp;$A51,'Master Data'!$A$2:$A$2436,0)),"")</f>
        <v>Little  3/4
coach: Icis</v>
      </c>
      <c r="G51" s="60" t="str">
        <f aca="false">IFERROR(INDEX('Master Data'!$M$2:$M$2436,MATCH($B$3&amp;"|3|"&amp;G$44&amp;"|"&amp;$A51,'Master Data'!$A$2:$A$2436,0)),"")</f>
        <v>Little  1/4
coach: Icis</v>
      </c>
      <c r="H51" s="60" t="str">
        <f aca="false">IFERROR(INDEX('Master Data'!$M$2:$M$2436,MATCH($B$3&amp;"|3|"&amp;H$44&amp;"|"&amp;$A51,'Master Data'!$A$2:$A$2436,0)),"")</f>
        <v>Little  1/4
coach: Ziran</v>
      </c>
      <c r="T51" s="61" t="str">
        <f aca="false">IFERROR(INDEX('Master Data'!$L$2:$L$2436,MATCH($B$3&amp;"|3|"&amp;B$44&amp;"|"&amp;$A51,'Master Data'!$A$2:$A$2436,0)),"")</f>
        <v>Belum terisi</v>
      </c>
      <c r="U51" s="61" t="str">
        <f aca="false">IFERROR(INDEX('Master Data'!$L$2:$L$2436,MATCH($B$3&amp;"|3|"&amp;C$44&amp;"|"&amp;$A51,'Master Data'!$A$2:$A$2436,0)),"")</f>
        <v>Penuh</v>
      </c>
      <c r="V51" s="61" t="str">
        <f aca="false">IFERROR(INDEX('Master Data'!$L$2:$L$2436,MATCH($B$3&amp;"|3|"&amp;D$44&amp;"|"&amp;$A51,'Master Data'!$A$2:$A$2436,0)),"")</f>
        <v>Sebagian</v>
      </c>
      <c r="W51" s="61" t="str">
        <f aca="false">IFERROR(INDEX('Master Data'!$L$2:$L$2436,MATCH($B$3&amp;"|3|"&amp;E$44&amp;"|"&amp;$A51,'Master Data'!$A$2:$A$2436,0)),"")</f>
        <v>Belum terisi</v>
      </c>
      <c r="X51" s="61" t="str">
        <f aca="false">IFERROR(INDEX('Master Data'!$L$2:$L$2436,MATCH($B$3&amp;"|3|"&amp;F$44&amp;"|"&amp;$A51,'Master Data'!$A$2:$A$2436,0)),"")</f>
        <v>Sebagian</v>
      </c>
      <c r="Y51" s="61" t="str">
        <f aca="false">IFERROR(INDEX('Master Data'!$L$2:$L$2436,MATCH($B$3&amp;"|3|"&amp;G$44&amp;"|"&amp;$A51,'Master Data'!$A$2:$A$2436,0)),"")</f>
        <v>Sebagian</v>
      </c>
      <c r="Z51" s="61" t="str">
        <f aca="false">IFERROR(INDEX('Master Data'!$L$2:$L$2436,MATCH($B$3&amp;"|3|"&amp;H$44&amp;"|"&amp;$A51,'Master Data'!$A$2:$A$2436,0)),"")</f>
        <v>Sebagian</v>
      </c>
    </row>
    <row r="52" customFormat="false" ht="30" hidden="false" customHeight="true" outlineLevel="0" collapsed="false">
      <c r="A52" s="59" t="s">
        <v>103</v>
      </c>
      <c r="B52" s="60" t="str">
        <f aca="false">IFERROR(INDEX('Master Data'!$M$2:$M$2436,MATCH($B$3&amp;"|3|"&amp;B$44&amp;"|"&amp;$A52,'Master Data'!$A$2:$A$2436,0)),"")</f>
        <v>Little  4/4
coach: Frido</v>
      </c>
      <c r="C52" s="60" t="str">
        <f aca="false">IFERROR(INDEX('Master Data'!$M$2:$M$2436,MATCH($B$3&amp;"|3|"&amp;C$44&amp;"|"&amp;$A52,'Master Data'!$A$2:$A$2436,0)),"")</f>
        <v>Little  3/4
coach: Eriek</v>
      </c>
      <c r="D52" s="60" t="str">
        <f aca="false">IFERROR(INDEX('Master Data'!$M$2:$M$2436,MATCH($B$3&amp;"|3|"&amp;D$44&amp;"|"&amp;$A52,'Master Data'!$A$2:$A$2436,0)),"")</f>
        <v>Little  3/4
coach: Andreas</v>
      </c>
      <c r="E52" s="60" t="str">
        <f aca="false">IFERROR(INDEX('Master Data'!$M$2:$M$2436,MATCH($B$3&amp;"|3|"&amp;E$44&amp;"|"&amp;$A52,'Master Data'!$A$2:$A$2436,0)),"")</f>
        <v>Little  3/4
coach: Icis</v>
      </c>
      <c r="F52" s="60" t="str">
        <f aca="false">IFERROR(INDEX('Master Data'!$M$2:$M$2436,MATCH($B$3&amp;"|3|"&amp;F$44&amp;"|"&amp;$A52,'Master Data'!$A$2:$A$2436,0)),"")</f>
        <v>Little  3/4
coach: Nabila</v>
      </c>
      <c r="G52" s="60" t="str">
        <f aca="false">IFERROR(INDEX('Master Data'!$M$2:$M$2436,MATCH($B$3&amp;"|3|"&amp;G$44&amp;"|"&amp;$A52,'Master Data'!$A$2:$A$2436,0)),"")</f>
        <v>Little  4/4
coach: Sri</v>
      </c>
      <c r="H52" s="60" t="str">
        <f aca="false">IFERROR(INDEX('Master Data'!$M$2:$M$2436,MATCH($B$3&amp;"|3|"&amp;H$44&amp;"|"&amp;$A52,'Master Data'!$A$2:$A$2436,0)),"")</f>
        <v>Little  3/4
coach: Deyon</v>
      </c>
      <c r="T52" s="61" t="str">
        <f aca="false">IFERROR(INDEX('Master Data'!$L$2:$L$2436,MATCH($B$3&amp;"|3|"&amp;B$44&amp;"|"&amp;$A52,'Master Data'!$A$2:$A$2436,0)),"")</f>
        <v>Penuh</v>
      </c>
      <c r="U52" s="61" t="str">
        <f aca="false">IFERROR(INDEX('Master Data'!$L$2:$L$2436,MATCH($B$3&amp;"|3|"&amp;C$44&amp;"|"&amp;$A52,'Master Data'!$A$2:$A$2436,0)),"")</f>
        <v>Sebagian</v>
      </c>
      <c r="V52" s="61" t="str">
        <f aca="false">IFERROR(INDEX('Master Data'!$L$2:$L$2436,MATCH($B$3&amp;"|3|"&amp;D$44&amp;"|"&amp;$A52,'Master Data'!$A$2:$A$2436,0)),"")</f>
        <v>Sebagian</v>
      </c>
      <c r="W52" s="61" t="str">
        <f aca="false">IFERROR(INDEX('Master Data'!$L$2:$L$2436,MATCH($B$3&amp;"|3|"&amp;E$44&amp;"|"&amp;$A52,'Master Data'!$A$2:$A$2436,0)),"")</f>
        <v>Sebagian</v>
      </c>
      <c r="X52" s="61" t="str">
        <f aca="false">IFERROR(INDEX('Master Data'!$L$2:$L$2436,MATCH($B$3&amp;"|3|"&amp;F$44&amp;"|"&amp;$A52,'Master Data'!$A$2:$A$2436,0)),"")</f>
        <v>Sebagian</v>
      </c>
      <c r="Y52" s="61" t="str">
        <f aca="false">IFERROR(INDEX('Master Data'!$L$2:$L$2436,MATCH($B$3&amp;"|3|"&amp;G$44&amp;"|"&amp;$A52,'Master Data'!$A$2:$A$2436,0)),"")</f>
        <v>Penuh</v>
      </c>
      <c r="Z52" s="61" t="str">
        <f aca="false">IFERROR(INDEX('Master Data'!$L$2:$L$2436,MATCH($B$3&amp;"|3|"&amp;H$44&amp;"|"&amp;$A52,'Master Data'!$A$2:$A$2436,0)),"")</f>
        <v>Sebagian</v>
      </c>
    </row>
    <row r="53" customFormat="false" ht="30" hidden="false" customHeight="true" outlineLevel="0" collapsed="false">
      <c r="A53" s="59" t="s">
        <v>104</v>
      </c>
      <c r="B53" s="60" t="str">
        <f aca="false">IFERROR(INDEX('Master Data'!$M$2:$M$2436,MATCH($B$3&amp;"|3|"&amp;B$44&amp;"|"&amp;$A53,'Master Data'!$A$2:$A$2436,0)),"")</f>
        <v>Little  0/0
coach: –</v>
      </c>
      <c r="C53" s="60" t="str">
        <f aca="false">IFERROR(INDEX('Master Data'!$M$2:$M$2436,MATCH($B$3&amp;"|3|"&amp;C$44&amp;"|"&amp;$A53,'Master Data'!$A$2:$A$2436,0)),"")</f>
        <v>Little  3/4
coach: Deyon</v>
      </c>
      <c r="D53" s="60" t="str">
        <f aca="false">IFERROR(INDEX('Master Data'!$M$2:$M$2436,MATCH($B$3&amp;"|3|"&amp;D$44&amp;"|"&amp;$A53,'Master Data'!$A$2:$A$2436,0)),"")</f>
        <v>Little  1/4
coach: Eriek</v>
      </c>
      <c r="E53" s="60" t="str">
        <f aca="false">IFERROR(INDEX('Master Data'!$M$2:$M$2436,MATCH($B$3&amp;"|3|"&amp;E$44&amp;"|"&amp;$A53,'Master Data'!$A$2:$A$2436,0)),"")</f>
        <v>Little  3/4
coach: Ziran</v>
      </c>
      <c r="F53" s="60" t="str">
        <f aca="false">IFERROR(INDEX('Master Data'!$M$2:$M$2436,MATCH($B$3&amp;"|3|"&amp;F$44&amp;"|"&amp;$A53,'Master Data'!$A$2:$A$2436,0)),"")</f>
        <v>Little  3/4
coach: Frido</v>
      </c>
      <c r="G53" s="60" t="str">
        <f aca="false">IFERROR(INDEX('Master Data'!$M$2:$M$2436,MATCH($B$3&amp;"|3|"&amp;G$44&amp;"|"&amp;$A53,'Master Data'!$A$2:$A$2436,0)),"")</f>
        <v>Little  4/4
coach: Icis</v>
      </c>
      <c r="H53" s="60" t="str">
        <f aca="false">IFERROR(INDEX('Master Data'!$M$2:$M$2436,MATCH($B$3&amp;"|3|"&amp;H$44&amp;"|"&amp;$A53,'Master Data'!$A$2:$A$2436,0)),"")</f>
        <v>Little  3/4
coach: Eve</v>
      </c>
      <c r="T53" s="61" t="str">
        <f aca="false">IFERROR(INDEX('Master Data'!$L$2:$L$2436,MATCH($B$3&amp;"|3|"&amp;B$44&amp;"|"&amp;$A53,'Master Data'!$A$2:$A$2436,0)),"")</f>
        <v>Tutup</v>
      </c>
      <c r="U53" s="61" t="str">
        <f aca="false">IFERROR(INDEX('Master Data'!$L$2:$L$2436,MATCH($B$3&amp;"|3|"&amp;C$44&amp;"|"&amp;$A53,'Master Data'!$A$2:$A$2436,0)),"")</f>
        <v>Sebagian</v>
      </c>
      <c r="V53" s="61" t="str">
        <f aca="false">IFERROR(INDEX('Master Data'!$L$2:$L$2436,MATCH($B$3&amp;"|3|"&amp;D$44&amp;"|"&amp;$A53,'Master Data'!$A$2:$A$2436,0)),"")</f>
        <v>Sebagian</v>
      </c>
      <c r="W53" s="61" t="str">
        <f aca="false">IFERROR(INDEX('Master Data'!$L$2:$L$2436,MATCH($B$3&amp;"|3|"&amp;E$44&amp;"|"&amp;$A53,'Master Data'!$A$2:$A$2436,0)),"")</f>
        <v>Sebagian</v>
      </c>
      <c r="X53" s="61" t="str">
        <f aca="false">IFERROR(INDEX('Master Data'!$L$2:$L$2436,MATCH($B$3&amp;"|3|"&amp;F$44&amp;"|"&amp;$A53,'Master Data'!$A$2:$A$2436,0)),"")</f>
        <v>Sebagian</v>
      </c>
      <c r="Y53" s="61" t="str">
        <f aca="false">IFERROR(INDEX('Master Data'!$L$2:$L$2436,MATCH($B$3&amp;"|3|"&amp;G$44&amp;"|"&amp;$A53,'Master Data'!$A$2:$A$2436,0)),"")</f>
        <v>Penuh</v>
      </c>
      <c r="Z53" s="61" t="str">
        <f aca="false">IFERROR(INDEX('Master Data'!$L$2:$L$2436,MATCH($B$3&amp;"|3|"&amp;H$44&amp;"|"&amp;$A53,'Master Data'!$A$2:$A$2436,0)),"")</f>
        <v>Sebagian</v>
      </c>
    </row>
    <row r="54" customFormat="false" ht="30" hidden="false" customHeight="true" outlineLevel="0" collapsed="false">
      <c r="A54" s="59" t="s">
        <v>105</v>
      </c>
      <c r="B54" s="60" t="str">
        <f aca="false">IFERROR(INDEX('Master Data'!$M$2:$M$2436,MATCH($B$3&amp;"|3|"&amp;B$44&amp;"|"&amp;$A54,'Master Data'!$A$2:$A$2436,0)),"")</f>
        <v>Little  4/4
coach: Sri</v>
      </c>
      <c r="C54" s="60" t="str">
        <f aca="false">IFERROR(INDEX('Master Data'!$M$2:$M$2436,MATCH($B$3&amp;"|3|"&amp;C$44&amp;"|"&amp;$A54,'Master Data'!$A$2:$A$2436,0)),"")</f>
        <v>Little  2/0
coach: Deyon</v>
      </c>
      <c r="D54" s="60" t="str">
        <f aca="false">IFERROR(INDEX('Master Data'!$M$2:$M$2436,MATCH($B$3&amp;"|3|"&amp;D$44&amp;"|"&amp;$A54,'Master Data'!$A$2:$A$2436,0)),"")</f>
        <v>Little  4/4
coach: Icis</v>
      </c>
      <c r="E54" s="60" t="str">
        <f aca="false">IFERROR(INDEX('Master Data'!$M$2:$M$2436,MATCH($B$3&amp;"|3|"&amp;E$44&amp;"|"&amp;$A54,'Master Data'!$A$2:$A$2436,0)),"")</f>
        <v>Little  4/4
coach: Nabila</v>
      </c>
      <c r="F54" s="60" t="str">
        <f aca="false">IFERROR(INDEX('Master Data'!$M$2:$M$2436,MATCH($B$3&amp;"|3|"&amp;F$44&amp;"|"&amp;$A54,'Master Data'!$A$2:$A$2436,0)),"")</f>
        <v>Little  4/4
coach: Icis</v>
      </c>
      <c r="G54" s="60" t="str">
        <f aca="false">IFERROR(INDEX('Master Data'!$M$2:$M$2436,MATCH($B$3&amp;"|3|"&amp;G$44&amp;"|"&amp;$A54,'Master Data'!$A$2:$A$2436,0)),"")</f>
        <v>Little  3/4
coach: Sri</v>
      </c>
      <c r="H54" s="60" t="str">
        <f aca="false">IFERROR(INDEX('Master Data'!$M$2:$M$2436,MATCH($B$3&amp;"|3|"&amp;H$44&amp;"|"&amp;$A54,'Master Data'!$A$2:$A$2436,0)),"")</f>
        <v>Little  4/4
coach: Nabila</v>
      </c>
      <c r="T54" s="61" t="str">
        <f aca="false">IFERROR(INDEX('Master Data'!$L$2:$L$2436,MATCH($B$3&amp;"|3|"&amp;B$44&amp;"|"&amp;$A54,'Master Data'!$A$2:$A$2436,0)),"")</f>
        <v>Penuh</v>
      </c>
      <c r="U54" s="61" t="str">
        <f aca="false">IFERROR(INDEX('Master Data'!$L$2:$L$2436,MATCH($B$3&amp;"|3|"&amp;C$44&amp;"|"&amp;$A54,'Master Data'!$A$2:$A$2436,0)),"")</f>
        <v>Lebih kapasitas</v>
      </c>
      <c r="V54" s="61" t="str">
        <f aca="false">IFERROR(INDEX('Master Data'!$L$2:$L$2436,MATCH($B$3&amp;"|3|"&amp;D$44&amp;"|"&amp;$A54,'Master Data'!$A$2:$A$2436,0)),"")</f>
        <v>Penuh</v>
      </c>
      <c r="W54" s="61" t="str">
        <f aca="false">IFERROR(INDEX('Master Data'!$L$2:$L$2436,MATCH($B$3&amp;"|3|"&amp;E$44&amp;"|"&amp;$A54,'Master Data'!$A$2:$A$2436,0)),"")</f>
        <v>Penuh</v>
      </c>
      <c r="X54" s="61" t="str">
        <f aca="false">IFERROR(INDEX('Master Data'!$L$2:$L$2436,MATCH($B$3&amp;"|3|"&amp;F$44&amp;"|"&amp;$A54,'Master Data'!$A$2:$A$2436,0)),"")</f>
        <v>Penuh</v>
      </c>
      <c r="Y54" s="61" t="str">
        <f aca="false">IFERROR(INDEX('Master Data'!$L$2:$L$2436,MATCH($B$3&amp;"|3|"&amp;G$44&amp;"|"&amp;$A54,'Master Data'!$A$2:$A$2436,0)),"")</f>
        <v>Sebagian</v>
      </c>
      <c r="Z54" s="61" t="str">
        <f aca="false">IFERROR(INDEX('Master Data'!$L$2:$L$2436,MATCH($B$3&amp;"|3|"&amp;H$44&amp;"|"&amp;$A54,'Master Data'!$A$2:$A$2436,0)),"")</f>
        <v>Penuh</v>
      </c>
    </row>
    <row r="55" customFormat="false" ht="30" hidden="false" customHeight="true" outlineLevel="0" collapsed="false">
      <c r="A55" s="59" t="s">
        <v>106</v>
      </c>
      <c r="B55" s="60" t="str">
        <f aca="false">IFERROR(INDEX('Master Data'!$M$2:$M$2436,MATCH($B$3&amp;"|3|"&amp;B$44&amp;"|"&amp;$A55,'Master Data'!$A$2:$A$2436,0)),"")</f>
        <v>Little  4/4
coach: Deyon</v>
      </c>
      <c r="C55" s="60" t="str">
        <f aca="false">IFERROR(INDEX('Master Data'!$M$2:$M$2436,MATCH($B$3&amp;"|3|"&amp;C$44&amp;"|"&amp;$A55,'Master Data'!$A$2:$A$2436,0)),"")</f>
        <v>Little  4/4
coach: Sri</v>
      </c>
      <c r="D55" s="60" t="str">
        <f aca="false">IFERROR(INDEX('Master Data'!$M$2:$M$2436,MATCH($B$3&amp;"|3|"&amp;D$44&amp;"|"&amp;$A55,'Master Data'!$A$2:$A$2436,0)),"")</f>
        <v>Little  3/4
coach: Eriek</v>
      </c>
      <c r="E55" s="60" t="str">
        <f aca="false">IFERROR(INDEX('Master Data'!$M$2:$M$2436,MATCH($B$3&amp;"|3|"&amp;E$44&amp;"|"&amp;$A55,'Master Data'!$A$2:$A$2436,0)),"")</f>
        <v>Little  0/4
coach: –</v>
      </c>
      <c r="F55" s="60" t="str">
        <f aca="false">IFERROR(INDEX('Master Data'!$M$2:$M$2436,MATCH($B$3&amp;"|3|"&amp;F$44&amp;"|"&amp;$A55,'Master Data'!$A$2:$A$2436,0)),"")</f>
        <v>Little  3/4
coach: Nabila</v>
      </c>
      <c r="G55" s="60" t="str">
        <f aca="false">IFERROR(INDEX('Master Data'!$M$2:$M$2436,MATCH($B$3&amp;"|3|"&amp;G$44&amp;"|"&amp;$A55,'Master Data'!$A$2:$A$2436,0)),"")</f>
        <v>Little  3/4
coach: Deyon</v>
      </c>
      <c r="H55" s="60" t="str">
        <f aca="false">IFERROR(INDEX('Master Data'!$M$2:$M$2436,MATCH($B$3&amp;"|3|"&amp;H$44&amp;"|"&amp;$A55,'Master Data'!$A$2:$A$2436,0)),"")</f>
        <v>Little  2/4
coach: Nabila</v>
      </c>
      <c r="T55" s="61" t="str">
        <f aca="false">IFERROR(INDEX('Master Data'!$L$2:$L$2436,MATCH($B$3&amp;"|3|"&amp;B$44&amp;"|"&amp;$A55,'Master Data'!$A$2:$A$2436,0)),"")</f>
        <v>Penuh</v>
      </c>
      <c r="U55" s="61" t="str">
        <f aca="false">IFERROR(INDEX('Master Data'!$L$2:$L$2436,MATCH($B$3&amp;"|3|"&amp;C$44&amp;"|"&amp;$A55,'Master Data'!$A$2:$A$2436,0)),"")</f>
        <v>Penuh</v>
      </c>
      <c r="V55" s="61" t="str">
        <f aca="false">IFERROR(INDEX('Master Data'!$L$2:$L$2436,MATCH($B$3&amp;"|3|"&amp;D$44&amp;"|"&amp;$A55,'Master Data'!$A$2:$A$2436,0)),"")</f>
        <v>Sebagian</v>
      </c>
      <c r="W55" s="61" t="str">
        <f aca="false">IFERROR(INDEX('Master Data'!$L$2:$L$2436,MATCH($B$3&amp;"|3|"&amp;E$44&amp;"|"&amp;$A55,'Master Data'!$A$2:$A$2436,0)),"")</f>
        <v>Belum terisi</v>
      </c>
      <c r="X55" s="61" t="str">
        <f aca="false">IFERROR(INDEX('Master Data'!$L$2:$L$2436,MATCH($B$3&amp;"|3|"&amp;F$44&amp;"|"&amp;$A55,'Master Data'!$A$2:$A$2436,0)),"")</f>
        <v>Sebagian</v>
      </c>
      <c r="Y55" s="61" t="str">
        <f aca="false">IFERROR(INDEX('Master Data'!$L$2:$L$2436,MATCH($B$3&amp;"|3|"&amp;G$44&amp;"|"&amp;$A55,'Master Data'!$A$2:$A$2436,0)),"")</f>
        <v>Sebagian</v>
      </c>
      <c r="Z55" s="61" t="str">
        <f aca="false">IFERROR(INDEX('Master Data'!$L$2:$L$2436,MATCH($B$3&amp;"|3|"&amp;H$44&amp;"|"&amp;$A55,'Master Data'!$A$2:$A$2436,0)),"")</f>
        <v>Sebagian</v>
      </c>
    </row>
    <row r="56" customFormat="false" ht="30" hidden="false" customHeight="true" outlineLevel="0" collapsed="false">
      <c r="A56" s="59" t="s">
        <v>107</v>
      </c>
      <c r="B56" s="60" t="str">
        <f aca="false">IFERROR(INDEX('Master Data'!$M$2:$M$2436,MATCH($B$3&amp;"|3|"&amp;B$44&amp;"|"&amp;$A56,'Master Data'!$A$2:$A$2436,0)),"")</f>
        <v>Little  3/4
coach: Deyon</v>
      </c>
      <c r="C56" s="60" t="str">
        <f aca="false">IFERROR(INDEX('Master Data'!$M$2:$M$2436,MATCH($B$3&amp;"|3|"&amp;C$44&amp;"|"&amp;$A56,'Master Data'!$A$2:$A$2436,0)),"")</f>
        <v>Little  0/4
coach: –</v>
      </c>
      <c r="D56" s="60" t="str">
        <f aca="false">IFERROR(INDEX('Master Data'!$M$2:$M$2436,MATCH($B$3&amp;"|3|"&amp;D$44&amp;"|"&amp;$A56,'Master Data'!$A$2:$A$2436,0)),"")</f>
        <v>Little  4/4
coach: Nabila</v>
      </c>
      <c r="E56" s="60" t="str">
        <f aca="false">IFERROR(INDEX('Master Data'!$M$2:$M$2436,MATCH($B$3&amp;"|3|"&amp;E$44&amp;"|"&amp;$A56,'Master Data'!$A$2:$A$2436,0)),"")</f>
        <v>Little  2/4
coach: Nabila</v>
      </c>
      <c r="F56" s="60" t="str">
        <f aca="false">IFERROR(INDEX('Master Data'!$M$2:$M$2436,MATCH($B$3&amp;"|3|"&amp;F$44&amp;"|"&amp;$A56,'Master Data'!$A$2:$A$2436,0)),"")</f>
        <v>Little  4/4
coach: Icis</v>
      </c>
      <c r="G56" s="60" t="str">
        <f aca="false">IFERROR(INDEX('Master Data'!$M$2:$M$2436,MATCH($B$3&amp;"|3|"&amp;G$44&amp;"|"&amp;$A56,'Master Data'!$A$2:$A$2436,0)),"")</f>
        <v>Little  4/4
coach: Frido</v>
      </c>
      <c r="H56" s="60" t="str">
        <f aca="false">IFERROR(INDEX('Master Data'!$M$2:$M$2436,MATCH($B$3&amp;"|3|"&amp;H$44&amp;"|"&amp;$A56,'Master Data'!$A$2:$A$2436,0)),"")</f>
        <v>Little  3/4
coach: Deyon</v>
      </c>
      <c r="T56" s="61" t="str">
        <f aca="false">IFERROR(INDEX('Master Data'!$L$2:$L$2436,MATCH($B$3&amp;"|3|"&amp;B$44&amp;"|"&amp;$A56,'Master Data'!$A$2:$A$2436,0)),"")</f>
        <v>Sebagian</v>
      </c>
      <c r="U56" s="61" t="str">
        <f aca="false">IFERROR(INDEX('Master Data'!$L$2:$L$2436,MATCH($B$3&amp;"|3|"&amp;C$44&amp;"|"&amp;$A56,'Master Data'!$A$2:$A$2436,0)),"")</f>
        <v>Belum terisi</v>
      </c>
      <c r="V56" s="61" t="str">
        <f aca="false">IFERROR(INDEX('Master Data'!$L$2:$L$2436,MATCH($B$3&amp;"|3|"&amp;D$44&amp;"|"&amp;$A56,'Master Data'!$A$2:$A$2436,0)),"")</f>
        <v>Penuh</v>
      </c>
      <c r="W56" s="61" t="str">
        <f aca="false">IFERROR(INDEX('Master Data'!$L$2:$L$2436,MATCH($B$3&amp;"|3|"&amp;E$44&amp;"|"&amp;$A56,'Master Data'!$A$2:$A$2436,0)),"")</f>
        <v>Sebagian</v>
      </c>
      <c r="X56" s="61" t="str">
        <f aca="false">IFERROR(INDEX('Master Data'!$L$2:$L$2436,MATCH($B$3&amp;"|3|"&amp;F$44&amp;"|"&amp;$A56,'Master Data'!$A$2:$A$2436,0)),"")</f>
        <v>Penuh</v>
      </c>
      <c r="Y56" s="61" t="str">
        <f aca="false">IFERROR(INDEX('Master Data'!$L$2:$L$2436,MATCH($B$3&amp;"|3|"&amp;G$44&amp;"|"&amp;$A56,'Master Data'!$A$2:$A$2436,0)),"")</f>
        <v>Penuh</v>
      </c>
      <c r="Z56" s="61" t="str">
        <f aca="false">IFERROR(INDEX('Master Data'!$L$2:$L$2436,MATCH($B$3&amp;"|3|"&amp;H$44&amp;"|"&amp;$A56,'Master Data'!$A$2:$A$2436,0)),"")</f>
        <v>Sebagian</v>
      </c>
    </row>
    <row r="58" customFormat="false" ht="16.15" hidden="false" customHeight="false" outlineLevel="0" collapsed="false">
      <c r="A58" s="54" t="s">
        <v>122</v>
      </c>
      <c r="B58" s="55"/>
      <c r="C58" s="56" t="str">
        <f aca="false">"Utilisasi lane: "&amp;IFERROR(TEXT(SUMIFS('Master Data'!$H$2:$H$2436,'Master Data'!$B$2:$B$2436,$B$3,'Master Data'!$C$2:$C$2436,4,'Master Data'!$G$2:$G$2436,"&gt;0")/SUMIFS('Master Data'!$G$2:$G$2436,'Master Data'!$B$2:$B$2436,$B$3,'Master Data'!$C$2:$C$2436,4,'Master Data'!$G$2:$G$2436,"&gt;0"),"0%"),"–")&amp;"   ·   Belum terisi: "&amp;COUNTIFS('Master Data'!$B$2:$B$2436,$B$3,'Master Data'!$C$2:$C$2436,4,'Master Data'!$L$2:$L$2436,"Belum terisi")&amp;"   ·   Slot kosong: "&amp;COUNTIFS('Master Data'!$B$2:$B$2436,$B$3,'Master Data'!$C$2:$C$2436,4,'Master Data'!$L$2:$L$2436,"Slot kosong")</f>
        <v>Utilisasi lane: 63%   ·   Belum terisi: 16   ·   Slot kosong: 0</v>
      </c>
      <c r="D58" s="55"/>
      <c r="E58" s="55"/>
      <c r="F58" s="55"/>
      <c r="G58" s="55"/>
      <c r="H58" s="55"/>
    </row>
    <row r="59" customFormat="false" ht="15" hidden="false" customHeight="false" outlineLevel="0" collapsed="false">
      <c r="A59" s="57" t="s">
        <v>89</v>
      </c>
      <c r="B59" s="58" t="s">
        <v>90</v>
      </c>
      <c r="C59" s="58" t="s">
        <v>91</v>
      </c>
      <c r="D59" s="58" t="s">
        <v>92</v>
      </c>
      <c r="E59" s="58" t="s">
        <v>93</v>
      </c>
      <c r="F59" s="58" t="s">
        <v>94</v>
      </c>
      <c r="G59" s="58" t="s">
        <v>95</v>
      </c>
      <c r="H59" s="58" t="s">
        <v>78</v>
      </c>
    </row>
    <row r="60" customFormat="false" ht="30" hidden="false" customHeight="true" outlineLevel="0" collapsed="false">
      <c r="A60" s="59" t="s">
        <v>96</v>
      </c>
      <c r="B60" s="60" t="str">
        <f aca="false">IFERROR(INDEX('Master Data'!$M$2:$M$2436,MATCH($B$3&amp;"|4|"&amp;B$59&amp;"|"&amp;$A60,'Master Data'!$A$2:$A$2436,0)),"")</f>
        <v>Kids  0/0
coach: –</v>
      </c>
      <c r="C60" s="60" t="str">
        <f aca="false">IFERROR(INDEX('Master Data'!$M$2:$M$2436,MATCH($B$3&amp;"|4|"&amp;C$59&amp;"|"&amp;$A60,'Master Data'!$A$2:$A$2436,0)),"")</f>
        <v>Kids  0/0
coach: –</v>
      </c>
      <c r="D60" s="60" t="str">
        <f aca="false">IFERROR(INDEX('Master Data'!$M$2:$M$2436,MATCH($B$3&amp;"|4|"&amp;D$59&amp;"|"&amp;$A60,'Master Data'!$A$2:$A$2436,0)),"")</f>
        <v>Kids  0/0
coach: –</v>
      </c>
      <c r="E60" s="60" t="str">
        <f aca="false">IFERROR(INDEX('Master Data'!$M$2:$M$2436,MATCH($B$3&amp;"|4|"&amp;E$59&amp;"|"&amp;$A60,'Master Data'!$A$2:$A$2436,0)),"")</f>
        <v>Kids  0/0
coach: –</v>
      </c>
      <c r="F60" s="60" t="str">
        <f aca="false">IFERROR(INDEX('Master Data'!$M$2:$M$2436,MATCH($B$3&amp;"|4|"&amp;F$59&amp;"|"&amp;$A60,'Master Data'!$A$2:$A$2436,0)),"")</f>
        <v>Kids  0/0
coach: –</v>
      </c>
      <c r="G60" s="60" t="str">
        <f aca="false">IFERROR(INDEX('Master Data'!$M$2:$M$2436,MATCH($B$3&amp;"|4|"&amp;G$59&amp;"|"&amp;$A60,'Master Data'!$A$2:$A$2436,0)),"")</f>
        <v>Kids  0/0
coach: –</v>
      </c>
      <c r="H60" s="60" t="str">
        <f aca="false">IFERROR(INDEX('Master Data'!$M$2:$M$2436,MATCH($B$3&amp;"|4|"&amp;H$59&amp;"|"&amp;$A60,'Master Data'!$A$2:$A$2436,0)),"")</f>
        <v>Kids  0/0
coach: –</v>
      </c>
      <c r="T60" s="61" t="str">
        <f aca="false">IFERROR(INDEX('Master Data'!$L$2:$L$2436,MATCH($B$3&amp;"|4|"&amp;B$59&amp;"|"&amp;$A60,'Master Data'!$A$2:$A$2436,0)),"")</f>
        <v>Tutup</v>
      </c>
      <c r="U60" s="61" t="str">
        <f aca="false">IFERROR(INDEX('Master Data'!$L$2:$L$2436,MATCH($B$3&amp;"|4|"&amp;C$59&amp;"|"&amp;$A60,'Master Data'!$A$2:$A$2436,0)),"")</f>
        <v>Tutup</v>
      </c>
      <c r="V60" s="61" t="str">
        <f aca="false">IFERROR(INDEX('Master Data'!$L$2:$L$2436,MATCH($B$3&amp;"|4|"&amp;D$59&amp;"|"&amp;$A60,'Master Data'!$A$2:$A$2436,0)),"")</f>
        <v>Tutup</v>
      </c>
      <c r="W60" s="61" t="str">
        <f aca="false">IFERROR(INDEX('Master Data'!$L$2:$L$2436,MATCH($B$3&amp;"|4|"&amp;E$59&amp;"|"&amp;$A60,'Master Data'!$A$2:$A$2436,0)),"")</f>
        <v>Tutup</v>
      </c>
      <c r="X60" s="61" t="str">
        <f aca="false">IFERROR(INDEX('Master Data'!$L$2:$L$2436,MATCH($B$3&amp;"|4|"&amp;F$59&amp;"|"&amp;$A60,'Master Data'!$A$2:$A$2436,0)),"")</f>
        <v>Tutup</v>
      </c>
      <c r="Y60" s="61" t="str">
        <f aca="false">IFERROR(INDEX('Master Data'!$L$2:$L$2436,MATCH($B$3&amp;"|4|"&amp;G$59&amp;"|"&amp;$A60,'Master Data'!$A$2:$A$2436,0)),"")</f>
        <v>Tutup</v>
      </c>
      <c r="Z60" s="61" t="str">
        <f aca="false">IFERROR(INDEX('Master Data'!$L$2:$L$2436,MATCH($B$3&amp;"|4|"&amp;H$59&amp;"|"&amp;$A60,'Master Data'!$A$2:$A$2436,0)),"")</f>
        <v>Tutup</v>
      </c>
    </row>
    <row r="61" customFormat="false" ht="30" hidden="false" customHeight="true" outlineLevel="0" collapsed="false">
      <c r="A61" s="59" t="s">
        <v>97</v>
      </c>
      <c r="B61" s="60" t="str">
        <f aca="false">IFERROR(INDEX('Master Data'!$M$2:$M$2436,MATCH($B$3&amp;"|4|"&amp;B$59&amp;"|"&amp;$A61,'Master Data'!$A$2:$A$2436,0)),"")</f>
        <v>Kids  0/4
coach: –</v>
      </c>
      <c r="C61" s="60" t="str">
        <f aca="false">IFERROR(INDEX('Master Data'!$M$2:$M$2436,MATCH($B$3&amp;"|4|"&amp;C$59&amp;"|"&amp;$A61,'Master Data'!$A$2:$A$2436,0)),"")</f>
        <v>Kids  0/4
coach: –</v>
      </c>
      <c r="D61" s="60" t="str">
        <f aca="false">IFERROR(INDEX('Master Data'!$M$2:$M$2436,MATCH($B$3&amp;"|4|"&amp;D$59&amp;"|"&amp;$A61,'Master Data'!$A$2:$A$2436,0)),"")</f>
        <v>Kids  0/4
coach: –</v>
      </c>
      <c r="E61" s="60" t="str">
        <f aca="false">IFERROR(INDEX('Master Data'!$M$2:$M$2436,MATCH($B$3&amp;"|4|"&amp;E$59&amp;"|"&amp;$A61,'Master Data'!$A$2:$A$2436,0)),"")</f>
        <v>Kids  0/4
coach: –</v>
      </c>
      <c r="F61" s="60" t="str">
        <f aca="false">IFERROR(INDEX('Master Data'!$M$2:$M$2436,MATCH($B$3&amp;"|4|"&amp;F$59&amp;"|"&amp;$A61,'Master Data'!$A$2:$A$2436,0)),"")</f>
        <v>Kids  0/4
coach: –</v>
      </c>
      <c r="G61" s="60" t="str">
        <f aca="false">IFERROR(INDEX('Master Data'!$M$2:$M$2436,MATCH($B$3&amp;"|4|"&amp;G$59&amp;"|"&amp;$A61,'Master Data'!$A$2:$A$2436,0)),"")</f>
        <v>Kids  4/4
coach: Frido</v>
      </c>
      <c r="H61" s="60" t="str">
        <f aca="false">IFERROR(INDEX('Master Data'!$M$2:$M$2436,MATCH($B$3&amp;"|4|"&amp;H$59&amp;"|"&amp;$A61,'Master Data'!$A$2:$A$2436,0)),"")</f>
        <v>Kids  4/4
coach: Sri</v>
      </c>
      <c r="T61" s="61" t="str">
        <f aca="false">IFERROR(INDEX('Master Data'!$L$2:$L$2436,MATCH($B$3&amp;"|4|"&amp;B$59&amp;"|"&amp;$A61,'Master Data'!$A$2:$A$2436,0)),"")</f>
        <v>Belum terisi</v>
      </c>
      <c r="U61" s="61" t="str">
        <f aca="false">IFERROR(INDEX('Master Data'!$L$2:$L$2436,MATCH($B$3&amp;"|4|"&amp;C$59&amp;"|"&amp;$A61,'Master Data'!$A$2:$A$2436,0)),"")</f>
        <v>Belum terisi</v>
      </c>
      <c r="V61" s="61" t="str">
        <f aca="false">IFERROR(INDEX('Master Data'!$L$2:$L$2436,MATCH($B$3&amp;"|4|"&amp;D$59&amp;"|"&amp;$A61,'Master Data'!$A$2:$A$2436,0)),"")</f>
        <v>Belum terisi</v>
      </c>
      <c r="W61" s="61" t="str">
        <f aca="false">IFERROR(INDEX('Master Data'!$L$2:$L$2436,MATCH($B$3&amp;"|4|"&amp;E$59&amp;"|"&amp;$A61,'Master Data'!$A$2:$A$2436,0)),"")</f>
        <v>Belum terisi</v>
      </c>
      <c r="X61" s="61" t="str">
        <f aca="false">IFERROR(INDEX('Master Data'!$L$2:$L$2436,MATCH($B$3&amp;"|4|"&amp;F$59&amp;"|"&amp;$A61,'Master Data'!$A$2:$A$2436,0)),"")</f>
        <v>Belum terisi</v>
      </c>
      <c r="Y61" s="61" t="str">
        <f aca="false">IFERROR(INDEX('Master Data'!$L$2:$L$2436,MATCH($B$3&amp;"|4|"&amp;G$59&amp;"|"&amp;$A61,'Master Data'!$A$2:$A$2436,0)),"")</f>
        <v>Penuh</v>
      </c>
      <c r="Z61" s="61" t="str">
        <f aca="false">IFERROR(INDEX('Master Data'!$L$2:$L$2436,MATCH($B$3&amp;"|4|"&amp;H$59&amp;"|"&amp;$A61,'Master Data'!$A$2:$A$2436,0)),"")</f>
        <v>Penuh</v>
      </c>
    </row>
    <row r="62" customFormat="false" ht="30" hidden="false" customHeight="true" outlineLevel="0" collapsed="false">
      <c r="A62" s="59" t="s">
        <v>98</v>
      </c>
      <c r="B62" s="60" t="str">
        <f aca="false">IFERROR(INDEX('Master Data'!$M$2:$M$2436,MATCH($B$3&amp;"|4|"&amp;B$59&amp;"|"&amp;$A62,'Master Data'!$A$2:$A$2436,0)),"")</f>
        <v>Kids  2/4
coach: Frido</v>
      </c>
      <c r="C62" s="60" t="str">
        <f aca="false">IFERROR(INDEX('Master Data'!$M$2:$M$2436,MATCH($B$3&amp;"|4|"&amp;C$59&amp;"|"&amp;$A62,'Master Data'!$A$2:$A$2436,0)),"")</f>
        <v>Kids  0/4
coach: –</v>
      </c>
      <c r="D62" s="60" t="str">
        <f aca="false">IFERROR(INDEX('Master Data'!$M$2:$M$2436,MATCH($B$3&amp;"|4|"&amp;D$59&amp;"|"&amp;$A62,'Master Data'!$A$2:$A$2436,0)),"")</f>
        <v>Kids  0/4
coach: –</v>
      </c>
      <c r="E62" s="60" t="str">
        <f aca="false">IFERROR(INDEX('Master Data'!$M$2:$M$2436,MATCH($B$3&amp;"|4|"&amp;E$59&amp;"|"&amp;$A62,'Master Data'!$A$2:$A$2436,0)),"")</f>
        <v>Kids  0/4
coach: –</v>
      </c>
      <c r="F62" s="60" t="str">
        <f aca="false">IFERROR(INDEX('Master Data'!$M$2:$M$2436,MATCH($B$3&amp;"|4|"&amp;F$59&amp;"|"&amp;$A62,'Master Data'!$A$2:$A$2436,0)),"")</f>
        <v>Kids  1/4
coach: Ziran</v>
      </c>
      <c r="G62" s="60" t="str">
        <f aca="false">IFERROR(INDEX('Master Data'!$M$2:$M$2436,MATCH($B$3&amp;"|4|"&amp;G$59&amp;"|"&amp;$A62,'Master Data'!$A$2:$A$2436,0)),"")</f>
        <v>Kids  4/4
coach: Icis</v>
      </c>
      <c r="H62" s="60" t="str">
        <f aca="false">IFERROR(INDEX('Master Data'!$M$2:$M$2436,MATCH($B$3&amp;"|4|"&amp;H$59&amp;"|"&amp;$A62,'Master Data'!$A$2:$A$2436,0)),"")</f>
        <v>Kids  4/4
coach: Nabila</v>
      </c>
      <c r="T62" s="61" t="str">
        <f aca="false">IFERROR(INDEX('Master Data'!$L$2:$L$2436,MATCH($B$3&amp;"|4|"&amp;B$59&amp;"|"&amp;$A62,'Master Data'!$A$2:$A$2436,0)),"")</f>
        <v>Sebagian</v>
      </c>
      <c r="U62" s="61" t="str">
        <f aca="false">IFERROR(INDEX('Master Data'!$L$2:$L$2436,MATCH($B$3&amp;"|4|"&amp;C$59&amp;"|"&amp;$A62,'Master Data'!$A$2:$A$2436,0)),"")</f>
        <v>Belum terisi</v>
      </c>
      <c r="V62" s="61" t="str">
        <f aca="false">IFERROR(INDEX('Master Data'!$L$2:$L$2436,MATCH($B$3&amp;"|4|"&amp;D$59&amp;"|"&amp;$A62,'Master Data'!$A$2:$A$2436,0)),"")</f>
        <v>Belum terisi</v>
      </c>
      <c r="W62" s="61" t="str">
        <f aca="false">IFERROR(INDEX('Master Data'!$L$2:$L$2436,MATCH($B$3&amp;"|4|"&amp;E$59&amp;"|"&amp;$A62,'Master Data'!$A$2:$A$2436,0)),"")</f>
        <v>Belum terisi</v>
      </c>
      <c r="X62" s="61" t="str">
        <f aca="false">IFERROR(INDEX('Master Data'!$L$2:$L$2436,MATCH($B$3&amp;"|4|"&amp;F$59&amp;"|"&amp;$A62,'Master Data'!$A$2:$A$2436,0)),"")</f>
        <v>Sebagian</v>
      </c>
      <c r="Y62" s="61" t="str">
        <f aca="false">IFERROR(INDEX('Master Data'!$L$2:$L$2436,MATCH($B$3&amp;"|4|"&amp;G$59&amp;"|"&amp;$A62,'Master Data'!$A$2:$A$2436,0)),"")</f>
        <v>Penuh</v>
      </c>
      <c r="Z62" s="61" t="str">
        <f aca="false">IFERROR(INDEX('Master Data'!$L$2:$L$2436,MATCH($B$3&amp;"|4|"&amp;H$59&amp;"|"&amp;$A62,'Master Data'!$A$2:$A$2436,0)),"")</f>
        <v>Penuh</v>
      </c>
    </row>
    <row r="63" customFormat="false" ht="30" hidden="false" customHeight="true" outlineLevel="0" collapsed="false">
      <c r="A63" s="59" t="s">
        <v>99</v>
      </c>
      <c r="B63" s="60" t="str">
        <f aca="false">IFERROR(INDEX('Master Data'!$M$2:$M$2436,MATCH($B$3&amp;"|4|"&amp;B$59&amp;"|"&amp;$A63,'Master Data'!$A$2:$A$2436,0)),"")</f>
        <v>Kids  0/4
coach: –</v>
      </c>
      <c r="C63" s="60" t="str">
        <f aca="false">IFERROR(INDEX('Master Data'!$M$2:$M$2436,MATCH($B$3&amp;"|4|"&amp;C$59&amp;"|"&amp;$A63,'Master Data'!$A$2:$A$2436,0)),"")</f>
        <v>Kids  0/4
coach: –</v>
      </c>
      <c r="D63" s="60" t="str">
        <f aca="false">IFERROR(INDEX('Master Data'!$M$2:$M$2436,MATCH($B$3&amp;"|4|"&amp;D$59&amp;"|"&amp;$A63,'Master Data'!$A$2:$A$2436,0)),"")</f>
        <v>Kids  0/4
coach: –</v>
      </c>
      <c r="E63" s="60" t="str">
        <f aca="false">IFERROR(INDEX('Master Data'!$M$2:$M$2436,MATCH($B$3&amp;"|4|"&amp;E$59&amp;"|"&amp;$A63,'Master Data'!$A$2:$A$2436,0)),"")</f>
        <v>Kids  0/4
coach: –</v>
      </c>
      <c r="F63" s="60" t="str">
        <f aca="false">IFERROR(INDEX('Master Data'!$M$2:$M$2436,MATCH($B$3&amp;"|4|"&amp;F$59&amp;"|"&amp;$A63,'Master Data'!$A$2:$A$2436,0)),"")</f>
        <v>Kids  0/4
coach: –</v>
      </c>
      <c r="G63" s="60" t="str">
        <f aca="false">IFERROR(INDEX('Master Data'!$M$2:$M$2436,MATCH($B$3&amp;"|4|"&amp;G$59&amp;"|"&amp;$A63,'Master Data'!$A$2:$A$2436,0)),"")</f>
        <v>Kids  3/4
coach: Sri</v>
      </c>
      <c r="H63" s="60" t="str">
        <f aca="false">IFERROR(INDEX('Master Data'!$M$2:$M$2436,MATCH($B$3&amp;"|4|"&amp;H$59&amp;"|"&amp;$A63,'Master Data'!$A$2:$A$2436,0)),"")</f>
        <v>Kids  4/4
coach: Deyon</v>
      </c>
      <c r="T63" s="61" t="str">
        <f aca="false">IFERROR(INDEX('Master Data'!$L$2:$L$2436,MATCH($B$3&amp;"|4|"&amp;B$59&amp;"|"&amp;$A63,'Master Data'!$A$2:$A$2436,0)),"")</f>
        <v>Belum terisi</v>
      </c>
      <c r="U63" s="61" t="str">
        <f aca="false">IFERROR(INDEX('Master Data'!$L$2:$L$2436,MATCH($B$3&amp;"|4|"&amp;C$59&amp;"|"&amp;$A63,'Master Data'!$A$2:$A$2436,0)),"")</f>
        <v>Belum terisi</v>
      </c>
      <c r="V63" s="61" t="str">
        <f aca="false">IFERROR(INDEX('Master Data'!$L$2:$L$2436,MATCH($B$3&amp;"|4|"&amp;D$59&amp;"|"&amp;$A63,'Master Data'!$A$2:$A$2436,0)),"")</f>
        <v>Belum terisi</v>
      </c>
      <c r="W63" s="61" t="str">
        <f aca="false">IFERROR(INDEX('Master Data'!$L$2:$L$2436,MATCH($B$3&amp;"|4|"&amp;E$59&amp;"|"&amp;$A63,'Master Data'!$A$2:$A$2436,0)),"")</f>
        <v>Belum terisi</v>
      </c>
      <c r="X63" s="61" t="str">
        <f aca="false">IFERROR(INDEX('Master Data'!$L$2:$L$2436,MATCH($B$3&amp;"|4|"&amp;F$59&amp;"|"&amp;$A63,'Master Data'!$A$2:$A$2436,0)),"")</f>
        <v>Belum terisi</v>
      </c>
      <c r="Y63" s="61" t="str">
        <f aca="false">IFERROR(INDEX('Master Data'!$L$2:$L$2436,MATCH($B$3&amp;"|4|"&amp;G$59&amp;"|"&amp;$A63,'Master Data'!$A$2:$A$2436,0)),"")</f>
        <v>Sebagian</v>
      </c>
      <c r="Z63" s="61" t="str">
        <f aca="false">IFERROR(INDEX('Master Data'!$L$2:$L$2436,MATCH($B$3&amp;"|4|"&amp;H$59&amp;"|"&amp;$A63,'Master Data'!$A$2:$A$2436,0)),"")</f>
        <v>Penuh</v>
      </c>
    </row>
    <row r="64" customFormat="false" ht="30" hidden="false" customHeight="true" outlineLevel="0" collapsed="false">
      <c r="A64" s="59" t="s">
        <v>100</v>
      </c>
      <c r="B64" s="60" t="str">
        <f aca="false">IFERROR(INDEX('Master Data'!$M$2:$M$2436,MATCH($B$3&amp;"|4|"&amp;B$59&amp;"|"&amp;$A64,'Master Data'!$A$2:$A$2436,0)),"")</f>
        <v>Kids  0/4
coach: –</v>
      </c>
      <c r="C64" s="60" t="str">
        <f aca="false">IFERROR(INDEX('Master Data'!$M$2:$M$2436,MATCH($B$3&amp;"|4|"&amp;C$59&amp;"|"&amp;$A64,'Master Data'!$A$2:$A$2436,0)),"")</f>
        <v>Kids  1/4
coach: Deyon</v>
      </c>
      <c r="D64" s="60" t="str">
        <f aca="false">IFERROR(INDEX('Master Data'!$M$2:$M$2436,MATCH($B$3&amp;"|4|"&amp;D$59&amp;"|"&amp;$A64,'Master Data'!$A$2:$A$2436,0)),"")</f>
        <v>Kids  2/4
coach: Nabila</v>
      </c>
      <c r="E64" s="60" t="str">
        <f aca="false">IFERROR(INDEX('Master Data'!$M$2:$M$2436,MATCH($B$3&amp;"|4|"&amp;E$59&amp;"|"&amp;$A64,'Master Data'!$A$2:$A$2436,0)),"")</f>
        <v>Kids  1/4
coach: Andreas</v>
      </c>
      <c r="F64" s="60" t="str">
        <f aca="false">IFERROR(INDEX('Master Data'!$M$2:$M$2436,MATCH($B$3&amp;"|4|"&amp;F$59&amp;"|"&amp;$A64,'Master Data'!$A$2:$A$2436,0)),"")</f>
        <v>Kids  0/4
coach: –</v>
      </c>
      <c r="G64" s="60" t="str">
        <f aca="false">IFERROR(INDEX('Master Data'!$M$2:$M$2436,MATCH($B$3&amp;"|4|"&amp;G$59&amp;"|"&amp;$A64,'Master Data'!$A$2:$A$2436,0)),"")</f>
        <v>Kids  4/4
coach: Deyon</v>
      </c>
      <c r="H64" s="60" t="str">
        <f aca="false">IFERROR(INDEX('Master Data'!$M$2:$M$2436,MATCH($B$3&amp;"|4|"&amp;H$59&amp;"|"&amp;$A64,'Master Data'!$A$2:$A$2436,0)),"")</f>
        <v>Kids  4/4
coach: Frido</v>
      </c>
      <c r="T64" s="61" t="str">
        <f aca="false">IFERROR(INDEX('Master Data'!$L$2:$L$2436,MATCH($B$3&amp;"|4|"&amp;B$59&amp;"|"&amp;$A64,'Master Data'!$A$2:$A$2436,0)),"")</f>
        <v>Belum terisi</v>
      </c>
      <c r="U64" s="61" t="str">
        <f aca="false">IFERROR(INDEX('Master Data'!$L$2:$L$2436,MATCH($B$3&amp;"|4|"&amp;C$59&amp;"|"&amp;$A64,'Master Data'!$A$2:$A$2436,0)),"")</f>
        <v>Sebagian</v>
      </c>
      <c r="V64" s="61" t="str">
        <f aca="false">IFERROR(INDEX('Master Data'!$L$2:$L$2436,MATCH($B$3&amp;"|4|"&amp;D$59&amp;"|"&amp;$A64,'Master Data'!$A$2:$A$2436,0)),"")</f>
        <v>Sebagian</v>
      </c>
      <c r="W64" s="61" t="str">
        <f aca="false">IFERROR(INDEX('Master Data'!$L$2:$L$2436,MATCH($B$3&amp;"|4|"&amp;E$59&amp;"|"&amp;$A64,'Master Data'!$A$2:$A$2436,0)),"")</f>
        <v>Sebagian</v>
      </c>
      <c r="X64" s="61" t="str">
        <f aca="false">IFERROR(INDEX('Master Data'!$L$2:$L$2436,MATCH($B$3&amp;"|4|"&amp;F$59&amp;"|"&amp;$A64,'Master Data'!$A$2:$A$2436,0)),"")</f>
        <v>Belum terisi</v>
      </c>
      <c r="Y64" s="61" t="str">
        <f aca="false">IFERROR(INDEX('Master Data'!$L$2:$L$2436,MATCH($B$3&amp;"|4|"&amp;G$59&amp;"|"&amp;$A64,'Master Data'!$A$2:$A$2436,0)),"")</f>
        <v>Penuh</v>
      </c>
      <c r="Z64" s="61" t="str">
        <f aca="false">IFERROR(INDEX('Master Data'!$L$2:$L$2436,MATCH($B$3&amp;"|4|"&amp;H$59&amp;"|"&amp;$A64,'Master Data'!$A$2:$A$2436,0)),"")</f>
        <v>Penuh</v>
      </c>
    </row>
    <row r="65" customFormat="false" ht="30" hidden="false" customHeight="true" outlineLevel="0" collapsed="false">
      <c r="A65" s="59" t="s">
        <v>101</v>
      </c>
      <c r="B65" s="60" t="str">
        <f aca="false">IFERROR(INDEX('Master Data'!$M$2:$M$2436,MATCH($B$3&amp;"|4|"&amp;B$59&amp;"|"&amp;$A65,'Master Data'!$A$2:$A$2436,0)),"")</f>
        <v>Kids  0/0
coach: –</v>
      </c>
      <c r="C65" s="60" t="str">
        <f aca="false">IFERROR(INDEX('Master Data'!$M$2:$M$2436,MATCH($B$3&amp;"|4|"&amp;C$59&amp;"|"&amp;$A65,'Master Data'!$A$2:$A$2436,0)),"")</f>
        <v>Kids  0/0
coach: –</v>
      </c>
      <c r="D65" s="60" t="str">
        <f aca="false">IFERROR(INDEX('Master Data'!$M$2:$M$2436,MATCH($B$3&amp;"|4|"&amp;D$59&amp;"|"&amp;$A65,'Master Data'!$A$2:$A$2436,0)),"")</f>
        <v>Kids  0/0
coach: –</v>
      </c>
      <c r="E65" s="60" t="str">
        <f aca="false">IFERROR(INDEX('Master Data'!$M$2:$M$2436,MATCH($B$3&amp;"|4|"&amp;E$59&amp;"|"&amp;$A65,'Master Data'!$A$2:$A$2436,0)),"")</f>
        <v>Kids  0/0
coach: –</v>
      </c>
      <c r="F65" s="60" t="str">
        <f aca="false">IFERROR(INDEX('Master Data'!$M$2:$M$2436,MATCH($B$3&amp;"|4|"&amp;F$59&amp;"|"&amp;$A65,'Master Data'!$A$2:$A$2436,0)),"")</f>
        <v>Kids  0/0
coach: –</v>
      </c>
      <c r="G65" s="60" t="str">
        <f aca="false">IFERROR(INDEX('Master Data'!$M$2:$M$2436,MATCH($B$3&amp;"|4|"&amp;G$59&amp;"|"&amp;$A65,'Master Data'!$A$2:$A$2436,0)),"")</f>
        <v>Kids  4/4
coach: Icis</v>
      </c>
      <c r="H65" s="60" t="str">
        <f aca="false">IFERROR(INDEX('Master Data'!$M$2:$M$2436,MATCH($B$3&amp;"|4|"&amp;H$59&amp;"|"&amp;$A65,'Master Data'!$A$2:$A$2436,0)),"")</f>
        <v>Kids  4/4
coach: Nabila</v>
      </c>
      <c r="T65" s="61" t="str">
        <f aca="false">IFERROR(INDEX('Master Data'!$L$2:$L$2436,MATCH($B$3&amp;"|4|"&amp;B$59&amp;"|"&amp;$A65,'Master Data'!$A$2:$A$2436,0)),"")</f>
        <v>Tutup</v>
      </c>
      <c r="U65" s="61" t="str">
        <f aca="false">IFERROR(INDEX('Master Data'!$L$2:$L$2436,MATCH($B$3&amp;"|4|"&amp;C$59&amp;"|"&amp;$A65,'Master Data'!$A$2:$A$2436,0)),"")</f>
        <v>Tutup</v>
      </c>
      <c r="V65" s="61" t="str">
        <f aca="false">IFERROR(INDEX('Master Data'!$L$2:$L$2436,MATCH($B$3&amp;"|4|"&amp;D$59&amp;"|"&amp;$A65,'Master Data'!$A$2:$A$2436,0)),"")</f>
        <v>Tutup</v>
      </c>
      <c r="W65" s="61" t="str">
        <f aca="false">IFERROR(INDEX('Master Data'!$L$2:$L$2436,MATCH($B$3&amp;"|4|"&amp;E$59&amp;"|"&amp;$A65,'Master Data'!$A$2:$A$2436,0)),"")</f>
        <v>Tutup</v>
      </c>
      <c r="X65" s="61" t="str">
        <f aca="false">IFERROR(INDEX('Master Data'!$L$2:$L$2436,MATCH($B$3&amp;"|4|"&amp;F$59&amp;"|"&amp;$A65,'Master Data'!$A$2:$A$2436,0)),"")</f>
        <v>Tutup</v>
      </c>
      <c r="Y65" s="61" t="str">
        <f aca="false">IFERROR(INDEX('Master Data'!$L$2:$L$2436,MATCH($B$3&amp;"|4|"&amp;G$59&amp;"|"&amp;$A65,'Master Data'!$A$2:$A$2436,0)),"")</f>
        <v>Penuh</v>
      </c>
      <c r="Z65" s="61" t="str">
        <f aca="false">IFERROR(INDEX('Master Data'!$L$2:$L$2436,MATCH($B$3&amp;"|4|"&amp;H$59&amp;"|"&amp;$A65,'Master Data'!$A$2:$A$2436,0)),"")</f>
        <v>Penuh</v>
      </c>
    </row>
    <row r="66" customFormat="false" ht="30" hidden="false" customHeight="true" outlineLevel="0" collapsed="false">
      <c r="A66" s="59" t="s">
        <v>102</v>
      </c>
      <c r="B66" s="60" t="str">
        <f aca="false">IFERROR(INDEX('Master Data'!$M$2:$M$2436,MATCH($B$3&amp;"|4|"&amp;B$59&amp;"|"&amp;$A66,'Master Data'!$A$2:$A$2436,0)),"")</f>
        <v>Kids  2/4
coach: Sri</v>
      </c>
      <c r="C66" s="60" t="str">
        <f aca="false">IFERROR(INDEX('Master Data'!$M$2:$M$2436,MATCH($B$3&amp;"|4|"&amp;C$59&amp;"|"&amp;$A66,'Master Data'!$A$2:$A$2436,0)),"")</f>
        <v>Kids  4/4
coach: Deyon</v>
      </c>
      <c r="D66" s="60" t="str">
        <f aca="false">IFERROR(INDEX('Master Data'!$M$2:$M$2436,MATCH($B$3&amp;"|4|"&amp;D$59&amp;"|"&amp;$A66,'Master Data'!$A$2:$A$2436,0)),"")</f>
        <v>Kids  2/4
coach: Sri</v>
      </c>
      <c r="E66" s="60" t="str">
        <f aca="false">IFERROR(INDEX('Master Data'!$M$2:$M$2436,MATCH($B$3&amp;"|4|"&amp;E$59&amp;"|"&amp;$A66,'Master Data'!$A$2:$A$2436,0)),"")</f>
        <v>Kids  0/4
coach: –</v>
      </c>
      <c r="F66" s="60" t="str">
        <f aca="false">IFERROR(INDEX('Master Data'!$M$2:$M$2436,MATCH($B$3&amp;"|4|"&amp;F$59&amp;"|"&amp;$A66,'Master Data'!$A$2:$A$2436,0)),"")</f>
        <v>Kids  4/4
coach: Ziran</v>
      </c>
      <c r="G66" s="60" t="str">
        <f aca="false">IFERROR(INDEX('Master Data'!$M$2:$M$2436,MATCH($B$3&amp;"|4|"&amp;G$59&amp;"|"&amp;$A66,'Master Data'!$A$2:$A$2436,0)),"")</f>
        <v>Kids  4/4
coach: Nabila</v>
      </c>
      <c r="H66" s="60" t="str">
        <f aca="false">IFERROR(INDEX('Master Data'!$M$2:$M$2436,MATCH($B$3&amp;"|4|"&amp;H$59&amp;"|"&amp;$A66,'Master Data'!$A$2:$A$2436,0)),"")</f>
        <v>Kids  4/4
coach: Sri</v>
      </c>
      <c r="T66" s="61" t="str">
        <f aca="false">IFERROR(INDEX('Master Data'!$L$2:$L$2436,MATCH($B$3&amp;"|4|"&amp;B$59&amp;"|"&amp;$A66,'Master Data'!$A$2:$A$2436,0)),"")</f>
        <v>Sebagian</v>
      </c>
      <c r="U66" s="61" t="str">
        <f aca="false">IFERROR(INDEX('Master Data'!$L$2:$L$2436,MATCH($B$3&amp;"|4|"&amp;C$59&amp;"|"&amp;$A66,'Master Data'!$A$2:$A$2436,0)),"")</f>
        <v>Penuh</v>
      </c>
      <c r="V66" s="61" t="str">
        <f aca="false">IFERROR(INDEX('Master Data'!$L$2:$L$2436,MATCH($B$3&amp;"|4|"&amp;D$59&amp;"|"&amp;$A66,'Master Data'!$A$2:$A$2436,0)),"")</f>
        <v>Sebagian</v>
      </c>
      <c r="W66" s="61" t="str">
        <f aca="false">IFERROR(INDEX('Master Data'!$L$2:$L$2436,MATCH($B$3&amp;"|4|"&amp;E$59&amp;"|"&amp;$A66,'Master Data'!$A$2:$A$2436,0)),"")</f>
        <v>Belum terisi</v>
      </c>
      <c r="X66" s="61" t="str">
        <f aca="false">IFERROR(INDEX('Master Data'!$L$2:$L$2436,MATCH($B$3&amp;"|4|"&amp;F$59&amp;"|"&amp;$A66,'Master Data'!$A$2:$A$2436,0)),"")</f>
        <v>Penuh</v>
      </c>
      <c r="Y66" s="61" t="str">
        <f aca="false">IFERROR(INDEX('Master Data'!$L$2:$L$2436,MATCH($B$3&amp;"|4|"&amp;G$59&amp;"|"&amp;$A66,'Master Data'!$A$2:$A$2436,0)),"")</f>
        <v>Penuh</v>
      </c>
      <c r="Z66" s="61" t="str">
        <f aca="false">IFERROR(INDEX('Master Data'!$L$2:$L$2436,MATCH($B$3&amp;"|4|"&amp;H$59&amp;"|"&amp;$A66,'Master Data'!$A$2:$A$2436,0)),"")</f>
        <v>Penuh</v>
      </c>
    </row>
    <row r="67" customFormat="false" ht="30" hidden="false" customHeight="true" outlineLevel="0" collapsed="false">
      <c r="A67" s="59" t="s">
        <v>103</v>
      </c>
      <c r="B67" s="60" t="str">
        <f aca="false">IFERROR(INDEX('Master Data'!$M$2:$M$2436,MATCH($B$3&amp;"|4|"&amp;B$59&amp;"|"&amp;$A67,'Master Data'!$A$2:$A$2436,0)),"")</f>
        <v>Kids  3/4
coach: Ziran</v>
      </c>
      <c r="C67" s="60" t="str">
        <f aca="false">IFERROR(INDEX('Master Data'!$M$2:$M$2436,MATCH($B$3&amp;"|4|"&amp;C$59&amp;"|"&amp;$A67,'Master Data'!$A$2:$A$2436,0)),"")</f>
        <v>Kids  2/4
coach: Sri</v>
      </c>
      <c r="D67" s="60" t="str">
        <f aca="false">IFERROR(INDEX('Master Data'!$M$2:$M$2436,MATCH($B$3&amp;"|4|"&amp;D$59&amp;"|"&amp;$A67,'Master Data'!$A$2:$A$2436,0)),"")</f>
        <v>Kids  2/4
coach: Nabila</v>
      </c>
      <c r="E67" s="60" t="str">
        <f aca="false">IFERROR(INDEX('Master Data'!$M$2:$M$2436,MATCH($B$3&amp;"|4|"&amp;E$59&amp;"|"&amp;$A67,'Master Data'!$A$2:$A$2436,0)),"")</f>
        <v>Kids  4/4
coach: Nabila</v>
      </c>
      <c r="F67" s="60" t="str">
        <f aca="false">IFERROR(INDEX('Master Data'!$M$2:$M$2436,MATCH($B$3&amp;"|4|"&amp;F$59&amp;"|"&amp;$A67,'Master Data'!$A$2:$A$2436,0)),"")</f>
        <v>Kids  4/4
coach: Icis</v>
      </c>
      <c r="G67" s="60" t="str">
        <f aca="false">IFERROR(INDEX('Master Data'!$M$2:$M$2436,MATCH($B$3&amp;"|4|"&amp;G$59&amp;"|"&amp;$A67,'Master Data'!$A$2:$A$2436,0)),"")</f>
        <v>Kids  3/4
coach: Eriek</v>
      </c>
      <c r="H67" s="60" t="str">
        <f aca="false">IFERROR(INDEX('Master Data'!$M$2:$M$2436,MATCH($B$3&amp;"|4|"&amp;H$59&amp;"|"&amp;$A67,'Master Data'!$A$2:$A$2436,0)),"")</f>
        <v>Kids  4/4
coach: Icis</v>
      </c>
      <c r="T67" s="61" t="str">
        <f aca="false">IFERROR(INDEX('Master Data'!$L$2:$L$2436,MATCH($B$3&amp;"|4|"&amp;B$59&amp;"|"&amp;$A67,'Master Data'!$A$2:$A$2436,0)),"")</f>
        <v>Sebagian</v>
      </c>
      <c r="U67" s="61" t="str">
        <f aca="false">IFERROR(INDEX('Master Data'!$L$2:$L$2436,MATCH($B$3&amp;"|4|"&amp;C$59&amp;"|"&amp;$A67,'Master Data'!$A$2:$A$2436,0)),"")</f>
        <v>Sebagian</v>
      </c>
      <c r="V67" s="61" t="str">
        <f aca="false">IFERROR(INDEX('Master Data'!$L$2:$L$2436,MATCH($B$3&amp;"|4|"&amp;D$59&amp;"|"&amp;$A67,'Master Data'!$A$2:$A$2436,0)),"")</f>
        <v>Sebagian</v>
      </c>
      <c r="W67" s="61" t="str">
        <f aca="false">IFERROR(INDEX('Master Data'!$L$2:$L$2436,MATCH($B$3&amp;"|4|"&amp;E$59&amp;"|"&amp;$A67,'Master Data'!$A$2:$A$2436,0)),"")</f>
        <v>Penuh</v>
      </c>
      <c r="X67" s="61" t="str">
        <f aca="false">IFERROR(INDEX('Master Data'!$L$2:$L$2436,MATCH($B$3&amp;"|4|"&amp;F$59&amp;"|"&amp;$A67,'Master Data'!$A$2:$A$2436,0)),"")</f>
        <v>Penuh</v>
      </c>
      <c r="Y67" s="61" t="str">
        <f aca="false">IFERROR(INDEX('Master Data'!$L$2:$L$2436,MATCH($B$3&amp;"|4|"&amp;G$59&amp;"|"&amp;$A67,'Master Data'!$A$2:$A$2436,0)),"")</f>
        <v>Sebagian</v>
      </c>
      <c r="Z67" s="61" t="str">
        <f aca="false">IFERROR(INDEX('Master Data'!$L$2:$L$2436,MATCH($B$3&amp;"|4|"&amp;H$59&amp;"|"&amp;$A67,'Master Data'!$A$2:$A$2436,0)),"")</f>
        <v>Penuh</v>
      </c>
    </row>
    <row r="68" customFormat="false" ht="30" hidden="false" customHeight="true" outlineLevel="0" collapsed="false">
      <c r="A68" s="59" t="s">
        <v>104</v>
      </c>
      <c r="B68" s="60" t="str">
        <f aca="false">IFERROR(INDEX('Master Data'!$M$2:$M$2436,MATCH($B$3&amp;"|4|"&amp;B$59&amp;"|"&amp;$A68,'Master Data'!$A$2:$A$2436,0)),"")</f>
        <v>Kids  3/4
coach: Sri</v>
      </c>
      <c r="C68" s="60" t="str">
        <f aca="false">IFERROR(INDEX('Master Data'!$M$2:$M$2436,MATCH($B$3&amp;"|4|"&amp;C$59&amp;"|"&amp;$A68,'Master Data'!$A$2:$A$2436,0)),"")</f>
        <v>Kids  2/4
coach: Sri</v>
      </c>
      <c r="D68" s="60" t="str">
        <f aca="false">IFERROR(INDEX('Master Data'!$M$2:$M$2436,MATCH($B$3&amp;"|4|"&amp;D$59&amp;"|"&amp;$A68,'Master Data'!$A$2:$A$2436,0)),"")</f>
        <v>Kids  4/4
coach: Sri</v>
      </c>
      <c r="E68" s="60" t="str">
        <f aca="false">IFERROR(INDEX('Master Data'!$M$2:$M$2436,MATCH($B$3&amp;"|4|"&amp;E$59&amp;"|"&amp;$A68,'Master Data'!$A$2:$A$2436,0)),"")</f>
        <v>Kids  1/4
coach: Andreas</v>
      </c>
      <c r="F68" s="60" t="str">
        <f aca="false">IFERROR(INDEX('Master Data'!$M$2:$M$2436,MATCH($B$3&amp;"|4|"&amp;F$59&amp;"|"&amp;$A68,'Master Data'!$A$2:$A$2436,0)),"")</f>
        <v>Kids  3/4
coach: Deyon</v>
      </c>
      <c r="G68" s="60" t="str">
        <f aca="false">IFERROR(INDEX('Master Data'!$M$2:$M$2436,MATCH($B$3&amp;"|4|"&amp;G$59&amp;"|"&amp;$A68,'Master Data'!$A$2:$A$2436,0)),"")</f>
        <v>Kids  4/4
coach: Frido</v>
      </c>
      <c r="H68" s="60" t="str">
        <f aca="false">IFERROR(INDEX('Master Data'!$M$2:$M$2436,MATCH($B$3&amp;"|4|"&amp;H$59&amp;"|"&amp;$A68,'Master Data'!$A$2:$A$2436,0)),"")</f>
        <v>Kids  3/4
coach: Nabila</v>
      </c>
      <c r="T68" s="61" t="str">
        <f aca="false">IFERROR(INDEX('Master Data'!$L$2:$L$2436,MATCH($B$3&amp;"|4|"&amp;B$59&amp;"|"&amp;$A68,'Master Data'!$A$2:$A$2436,0)),"")</f>
        <v>Sebagian</v>
      </c>
      <c r="U68" s="61" t="str">
        <f aca="false">IFERROR(INDEX('Master Data'!$L$2:$L$2436,MATCH($B$3&amp;"|4|"&amp;C$59&amp;"|"&amp;$A68,'Master Data'!$A$2:$A$2436,0)),"")</f>
        <v>Sebagian</v>
      </c>
      <c r="V68" s="61" t="str">
        <f aca="false">IFERROR(INDEX('Master Data'!$L$2:$L$2436,MATCH($B$3&amp;"|4|"&amp;D$59&amp;"|"&amp;$A68,'Master Data'!$A$2:$A$2436,0)),"")</f>
        <v>Penuh</v>
      </c>
      <c r="W68" s="61" t="str">
        <f aca="false">IFERROR(INDEX('Master Data'!$L$2:$L$2436,MATCH($B$3&amp;"|4|"&amp;E$59&amp;"|"&amp;$A68,'Master Data'!$A$2:$A$2436,0)),"")</f>
        <v>Sebagian</v>
      </c>
      <c r="X68" s="61" t="str">
        <f aca="false">IFERROR(INDEX('Master Data'!$L$2:$L$2436,MATCH($B$3&amp;"|4|"&amp;F$59&amp;"|"&amp;$A68,'Master Data'!$A$2:$A$2436,0)),"")</f>
        <v>Sebagian</v>
      </c>
      <c r="Y68" s="61" t="str">
        <f aca="false">IFERROR(INDEX('Master Data'!$L$2:$L$2436,MATCH($B$3&amp;"|4|"&amp;G$59&amp;"|"&amp;$A68,'Master Data'!$A$2:$A$2436,0)),"")</f>
        <v>Penuh</v>
      </c>
      <c r="Z68" s="61" t="str">
        <f aca="false">IFERROR(INDEX('Master Data'!$L$2:$L$2436,MATCH($B$3&amp;"|4|"&amp;H$59&amp;"|"&amp;$A68,'Master Data'!$A$2:$A$2436,0)),"")</f>
        <v>Sebagian</v>
      </c>
    </row>
    <row r="69" customFormat="false" ht="30" hidden="false" customHeight="true" outlineLevel="0" collapsed="false">
      <c r="A69" s="59" t="s">
        <v>105</v>
      </c>
      <c r="B69" s="60" t="str">
        <f aca="false">IFERROR(INDEX('Master Data'!$M$2:$M$2436,MATCH($B$3&amp;"|4|"&amp;B$59&amp;"|"&amp;$A69,'Master Data'!$A$2:$A$2436,0)),"")</f>
        <v>Kids  5/4
coach: Deyon</v>
      </c>
      <c r="C69" s="60" t="str">
        <f aca="false">IFERROR(INDEX('Master Data'!$M$2:$M$2436,MATCH($B$3&amp;"|4|"&amp;C$59&amp;"|"&amp;$A69,'Master Data'!$A$2:$A$2436,0)),"")</f>
        <v>Kids  4/4
coach: Eriek</v>
      </c>
      <c r="D69" s="60" t="str">
        <f aca="false">IFERROR(INDEX('Master Data'!$M$2:$M$2436,MATCH($B$3&amp;"|4|"&amp;D$59&amp;"|"&amp;$A69,'Master Data'!$A$2:$A$2436,0)),"")</f>
        <v>Kids  4/4
coach: Andreas</v>
      </c>
      <c r="E69" s="60" t="str">
        <f aca="false">IFERROR(INDEX('Master Data'!$M$2:$M$2436,MATCH($B$3&amp;"|4|"&amp;E$59&amp;"|"&amp;$A69,'Master Data'!$A$2:$A$2436,0)),"")</f>
        <v>Kids  1/4
coach: Andreas</v>
      </c>
      <c r="F69" s="60" t="str">
        <f aca="false">IFERROR(INDEX('Master Data'!$M$2:$M$2436,MATCH($B$3&amp;"|4|"&amp;F$59&amp;"|"&amp;$A69,'Master Data'!$A$2:$A$2436,0)),"")</f>
        <v>Kids  4/4
coach: Ziran</v>
      </c>
      <c r="G69" s="60" t="str">
        <f aca="false">IFERROR(INDEX('Master Data'!$M$2:$M$2436,MATCH($B$3&amp;"|4|"&amp;G$59&amp;"|"&amp;$A69,'Master Data'!$A$2:$A$2436,0)),"")</f>
        <v>Kids  4/4
coach: Deyon</v>
      </c>
      <c r="H69" s="60" t="str">
        <f aca="false">IFERROR(INDEX('Master Data'!$M$2:$M$2436,MATCH($B$3&amp;"|4|"&amp;H$59&amp;"|"&amp;$A69,'Master Data'!$A$2:$A$2436,0)),"")</f>
        <v>Kids  4/4
coach: Icis</v>
      </c>
      <c r="T69" s="61" t="str">
        <f aca="false">IFERROR(INDEX('Master Data'!$L$2:$L$2436,MATCH($B$3&amp;"|4|"&amp;B$59&amp;"|"&amp;$A69,'Master Data'!$A$2:$A$2436,0)),"")</f>
        <v>Lebih kapasitas</v>
      </c>
      <c r="U69" s="61" t="str">
        <f aca="false">IFERROR(INDEX('Master Data'!$L$2:$L$2436,MATCH($B$3&amp;"|4|"&amp;C$59&amp;"|"&amp;$A69,'Master Data'!$A$2:$A$2436,0)),"")</f>
        <v>Penuh</v>
      </c>
      <c r="V69" s="61" t="str">
        <f aca="false">IFERROR(INDEX('Master Data'!$L$2:$L$2436,MATCH($B$3&amp;"|4|"&amp;D$59&amp;"|"&amp;$A69,'Master Data'!$A$2:$A$2436,0)),"")</f>
        <v>Penuh</v>
      </c>
      <c r="W69" s="61" t="str">
        <f aca="false">IFERROR(INDEX('Master Data'!$L$2:$L$2436,MATCH($B$3&amp;"|4|"&amp;E$59&amp;"|"&amp;$A69,'Master Data'!$A$2:$A$2436,0)),"")</f>
        <v>Sebagian</v>
      </c>
      <c r="X69" s="61" t="str">
        <f aca="false">IFERROR(INDEX('Master Data'!$L$2:$L$2436,MATCH($B$3&amp;"|4|"&amp;F$59&amp;"|"&amp;$A69,'Master Data'!$A$2:$A$2436,0)),"")</f>
        <v>Penuh</v>
      </c>
      <c r="Y69" s="61" t="str">
        <f aca="false">IFERROR(INDEX('Master Data'!$L$2:$L$2436,MATCH($B$3&amp;"|4|"&amp;G$59&amp;"|"&amp;$A69,'Master Data'!$A$2:$A$2436,0)),"")</f>
        <v>Penuh</v>
      </c>
      <c r="Z69" s="61" t="str">
        <f aca="false">IFERROR(INDEX('Master Data'!$L$2:$L$2436,MATCH($B$3&amp;"|4|"&amp;H$59&amp;"|"&amp;$A69,'Master Data'!$A$2:$A$2436,0)),"")</f>
        <v>Penuh</v>
      </c>
    </row>
    <row r="70" customFormat="false" ht="30" hidden="false" customHeight="true" outlineLevel="0" collapsed="false">
      <c r="A70" s="59" t="s">
        <v>106</v>
      </c>
      <c r="B70" s="60" t="str">
        <f aca="false">IFERROR(INDEX('Master Data'!$M$2:$M$2436,MATCH($B$3&amp;"|4|"&amp;B$59&amp;"|"&amp;$A70,'Master Data'!$A$2:$A$2436,0)),"")</f>
        <v>Kids  4/4
coach: Eriek</v>
      </c>
      <c r="C70" s="60" t="str">
        <f aca="false">IFERROR(INDEX('Master Data'!$M$2:$M$2436,MATCH($B$3&amp;"|4|"&amp;C$59&amp;"|"&amp;$A70,'Master Data'!$A$2:$A$2436,0)),"")</f>
        <v>Kids  4/4
coach: Deyon</v>
      </c>
      <c r="D70" s="60" t="str">
        <f aca="false">IFERROR(INDEX('Master Data'!$M$2:$M$2436,MATCH($B$3&amp;"|4|"&amp;D$59&amp;"|"&amp;$A70,'Master Data'!$A$2:$A$2436,0)),"")</f>
        <v>Kids  4/4
coach: Icis</v>
      </c>
      <c r="E70" s="60" t="str">
        <f aca="false">IFERROR(INDEX('Master Data'!$M$2:$M$2436,MATCH($B$3&amp;"|4|"&amp;E$59&amp;"|"&amp;$A70,'Master Data'!$A$2:$A$2436,0)),"")</f>
        <v>Kids  4/4
coach: Nabila</v>
      </c>
      <c r="F70" s="60" t="str">
        <f aca="false">IFERROR(INDEX('Master Data'!$M$2:$M$2436,MATCH($B$3&amp;"|4|"&amp;F$59&amp;"|"&amp;$A70,'Master Data'!$A$2:$A$2436,0)),"")</f>
        <v>Kids  4/4
coach: Icis</v>
      </c>
      <c r="G70" s="60" t="str">
        <f aca="false">IFERROR(INDEX('Master Data'!$M$2:$M$2436,MATCH($B$3&amp;"|4|"&amp;G$59&amp;"|"&amp;$A70,'Master Data'!$A$2:$A$2436,0)),"")</f>
        <v>Kids  1/4
coach: Ziran</v>
      </c>
      <c r="H70" s="60" t="str">
        <f aca="false">IFERROR(INDEX('Master Data'!$M$2:$M$2436,MATCH($B$3&amp;"|4|"&amp;H$59&amp;"|"&amp;$A70,'Master Data'!$A$2:$A$2436,0)),"")</f>
        <v>Kids  4/4
coach: Sri</v>
      </c>
      <c r="T70" s="61" t="str">
        <f aca="false">IFERROR(INDEX('Master Data'!$L$2:$L$2436,MATCH($B$3&amp;"|4|"&amp;B$59&amp;"|"&amp;$A70,'Master Data'!$A$2:$A$2436,0)),"")</f>
        <v>Penuh</v>
      </c>
      <c r="U70" s="61" t="str">
        <f aca="false">IFERROR(INDEX('Master Data'!$L$2:$L$2436,MATCH($B$3&amp;"|4|"&amp;C$59&amp;"|"&amp;$A70,'Master Data'!$A$2:$A$2436,0)),"")</f>
        <v>Penuh</v>
      </c>
      <c r="V70" s="61" t="str">
        <f aca="false">IFERROR(INDEX('Master Data'!$L$2:$L$2436,MATCH($B$3&amp;"|4|"&amp;D$59&amp;"|"&amp;$A70,'Master Data'!$A$2:$A$2436,0)),"")</f>
        <v>Penuh</v>
      </c>
      <c r="W70" s="61" t="str">
        <f aca="false">IFERROR(INDEX('Master Data'!$L$2:$L$2436,MATCH($B$3&amp;"|4|"&amp;E$59&amp;"|"&amp;$A70,'Master Data'!$A$2:$A$2436,0)),"")</f>
        <v>Penuh</v>
      </c>
      <c r="X70" s="61" t="str">
        <f aca="false">IFERROR(INDEX('Master Data'!$L$2:$L$2436,MATCH($B$3&amp;"|4|"&amp;F$59&amp;"|"&amp;$A70,'Master Data'!$A$2:$A$2436,0)),"")</f>
        <v>Penuh</v>
      </c>
      <c r="Y70" s="61" t="str">
        <f aca="false">IFERROR(INDEX('Master Data'!$L$2:$L$2436,MATCH($B$3&amp;"|4|"&amp;G$59&amp;"|"&amp;$A70,'Master Data'!$A$2:$A$2436,0)),"")</f>
        <v>Sebagian</v>
      </c>
      <c r="Z70" s="61" t="str">
        <f aca="false">IFERROR(INDEX('Master Data'!$L$2:$L$2436,MATCH($B$3&amp;"|4|"&amp;H$59&amp;"|"&amp;$A70,'Master Data'!$A$2:$A$2436,0)),"")</f>
        <v>Penuh</v>
      </c>
    </row>
    <row r="71" customFormat="false" ht="30" hidden="false" customHeight="true" outlineLevel="0" collapsed="false">
      <c r="A71" s="59" t="s">
        <v>107</v>
      </c>
      <c r="B71" s="60" t="str">
        <f aca="false">IFERROR(INDEX('Master Data'!$M$2:$M$2436,MATCH($B$3&amp;"|4|"&amp;B$59&amp;"|"&amp;$A71,'Master Data'!$A$2:$A$2436,0)),"")</f>
        <v>Kids  4/4
coach: Eriek</v>
      </c>
      <c r="C71" s="60" t="str">
        <f aca="false">IFERROR(INDEX('Master Data'!$M$2:$M$2436,MATCH($B$3&amp;"|4|"&amp;C$59&amp;"|"&amp;$A71,'Master Data'!$A$2:$A$2436,0)),"")</f>
        <v>Kids  1/4
coach: Deyon</v>
      </c>
      <c r="D71" s="60" t="str">
        <f aca="false">IFERROR(INDEX('Master Data'!$M$2:$M$2436,MATCH($B$3&amp;"|4|"&amp;D$59&amp;"|"&amp;$A71,'Master Data'!$A$2:$A$2436,0)),"")</f>
        <v>Kids  4/4
coach: Eriek</v>
      </c>
      <c r="E71" s="60" t="str">
        <f aca="false">IFERROR(INDEX('Master Data'!$M$2:$M$2436,MATCH($B$3&amp;"|4|"&amp;E$59&amp;"|"&amp;$A71,'Master Data'!$A$2:$A$2436,0)),"")</f>
        <v>Kids  4/4
coach: Icis</v>
      </c>
      <c r="F71" s="60" t="str">
        <f aca="false">IFERROR(INDEX('Master Data'!$M$2:$M$2436,MATCH($B$3&amp;"|4|"&amp;F$59&amp;"|"&amp;$A71,'Master Data'!$A$2:$A$2436,0)),"")</f>
        <v>Kids  4/4
coach: Deyon</v>
      </c>
      <c r="G71" s="60" t="str">
        <f aca="false">IFERROR(INDEX('Master Data'!$M$2:$M$2436,MATCH($B$3&amp;"|4|"&amp;G$59&amp;"|"&amp;$A71,'Master Data'!$A$2:$A$2436,0)),"")</f>
        <v>Kids  2/4
coach: Ziran</v>
      </c>
      <c r="H71" s="60" t="str">
        <f aca="false">IFERROR(INDEX('Master Data'!$M$2:$M$2436,MATCH($B$3&amp;"|4|"&amp;H$59&amp;"|"&amp;$A71,'Master Data'!$A$2:$A$2436,0)),"")</f>
        <v>Kids  4/4
coach: Eriek</v>
      </c>
      <c r="T71" s="61" t="str">
        <f aca="false">IFERROR(INDEX('Master Data'!$L$2:$L$2436,MATCH($B$3&amp;"|4|"&amp;B$59&amp;"|"&amp;$A71,'Master Data'!$A$2:$A$2436,0)),"")</f>
        <v>Penuh</v>
      </c>
      <c r="U71" s="61" t="str">
        <f aca="false">IFERROR(INDEX('Master Data'!$L$2:$L$2436,MATCH($B$3&amp;"|4|"&amp;C$59&amp;"|"&amp;$A71,'Master Data'!$A$2:$A$2436,0)),"")</f>
        <v>Sebagian</v>
      </c>
      <c r="V71" s="61" t="str">
        <f aca="false">IFERROR(INDEX('Master Data'!$L$2:$L$2436,MATCH($B$3&amp;"|4|"&amp;D$59&amp;"|"&amp;$A71,'Master Data'!$A$2:$A$2436,0)),"")</f>
        <v>Penuh</v>
      </c>
      <c r="W71" s="61" t="str">
        <f aca="false">IFERROR(INDEX('Master Data'!$L$2:$L$2436,MATCH($B$3&amp;"|4|"&amp;E$59&amp;"|"&amp;$A71,'Master Data'!$A$2:$A$2436,0)),"")</f>
        <v>Penuh</v>
      </c>
      <c r="X71" s="61" t="str">
        <f aca="false">IFERROR(INDEX('Master Data'!$L$2:$L$2436,MATCH($B$3&amp;"|4|"&amp;F$59&amp;"|"&amp;$A71,'Master Data'!$A$2:$A$2436,0)),"")</f>
        <v>Penuh</v>
      </c>
      <c r="Y71" s="61" t="str">
        <f aca="false">IFERROR(INDEX('Master Data'!$L$2:$L$2436,MATCH($B$3&amp;"|4|"&amp;G$59&amp;"|"&amp;$A71,'Master Data'!$A$2:$A$2436,0)),"")</f>
        <v>Sebagian</v>
      </c>
      <c r="Z71" s="61" t="str">
        <f aca="false">IFERROR(INDEX('Master Data'!$L$2:$L$2436,MATCH($B$3&amp;"|4|"&amp;H$59&amp;"|"&amp;$A71,'Master Data'!$A$2:$A$2436,0)),"")</f>
        <v>Penuh</v>
      </c>
    </row>
    <row r="73" customFormat="false" ht="16.15" hidden="false" customHeight="false" outlineLevel="0" collapsed="false">
      <c r="A73" s="54" t="s">
        <v>123</v>
      </c>
      <c r="B73" s="55"/>
      <c r="C73" s="56" t="str">
        <f aca="false">"Utilisasi lane: "&amp;IFERROR(TEXT(SUMIFS('Master Data'!$H$2:$H$2436,'Master Data'!$B$2:$B$2436,$B$3,'Master Data'!$C$2:$C$2436,5,'Master Data'!$G$2:$G$2436,"&gt;0")/SUMIFS('Master Data'!$G$2:$G$2436,'Master Data'!$B$2:$B$2436,$B$3,'Master Data'!$C$2:$C$2436,5,'Master Data'!$G$2:$G$2436,"&gt;0"),"0%"),"–")&amp;"   ·   Belum terisi: "&amp;COUNTIFS('Master Data'!$B$2:$B$2436,$B$3,'Master Data'!$C$2:$C$2436,5,'Master Data'!$L$2:$L$2436,"Belum terisi")&amp;"   ·   Slot kosong: "&amp;COUNTIFS('Master Data'!$B$2:$B$2436,$B$3,'Master Data'!$C$2:$C$2436,5,'Master Data'!$L$2:$L$2436,"Slot kosong")</f>
        <v>Utilisasi lane: 30%   ·   Belum terisi: 3   ·   Slot kosong: 35</v>
      </c>
      <c r="D73" s="55"/>
      <c r="E73" s="55"/>
      <c r="F73" s="55"/>
      <c r="G73" s="55"/>
      <c r="H73" s="55"/>
    </row>
    <row r="74" customFormat="false" ht="15" hidden="false" customHeight="false" outlineLevel="0" collapsed="false">
      <c r="A74" s="57" t="s">
        <v>89</v>
      </c>
      <c r="B74" s="58" t="s">
        <v>90</v>
      </c>
      <c r="C74" s="58" t="s">
        <v>91</v>
      </c>
      <c r="D74" s="58" t="s">
        <v>92</v>
      </c>
      <c r="E74" s="58" t="s">
        <v>93</v>
      </c>
      <c r="F74" s="58" t="s">
        <v>94</v>
      </c>
      <c r="G74" s="58" t="s">
        <v>95</v>
      </c>
      <c r="H74" s="58" t="s">
        <v>78</v>
      </c>
    </row>
    <row r="75" customFormat="false" ht="30" hidden="false" customHeight="true" outlineLevel="0" collapsed="false">
      <c r="A75" s="59" t="s">
        <v>110</v>
      </c>
      <c r="B75" s="60" t="str">
        <f aca="false">IFERROR(INDEX('Master Data'!$M$2:$M$2436,MATCH($B$3&amp;"|5|"&amp;B$74&amp;"|"&amp;$A75,'Master Data'!$A$2:$A$2436,0)),"")</f>
        <v>–</v>
      </c>
      <c r="C75" s="60" t="str">
        <f aca="false">IFERROR(INDEX('Master Data'!$M$2:$M$2436,MATCH($B$3&amp;"|5|"&amp;C$74&amp;"|"&amp;$A75,'Master Data'!$A$2:$A$2436,0)),"")</f>
        <v>–</v>
      </c>
      <c r="D75" s="60" t="str">
        <f aca="false">IFERROR(INDEX('Master Data'!$M$2:$M$2436,MATCH($B$3&amp;"|5|"&amp;D$74&amp;"|"&amp;$A75,'Master Data'!$A$2:$A$2436,0)),"")</f>
        <v>–</v>
      </c>
      <c r="E75" s="60" t="str">
        <f aca="false">IFERROR(INDEX('Master Data'!$M$2:$M$2436,MATCH($B$3&amp;"|5|"&amp;E$74&amp;"|"&amp;$A75,'Master Data'!$A$2:$A$2436,0)),"")</f>
        <v>–</v>
      </c>
      <c r="F75" s="60" t="str">
        <f aca="false">IFERROR(INDEX('Master Data'!$M$2:$M$2436,MATCH($B$3&amp;"|5|"&amp;F$74&amp;"|"&amp;$A75,'Master Data'!$A$2:$A$2436,0)),"")</f>
        <v>–</v>
      </c>
      <c r="G75" s="60" t="str">
        <f aca="false">IFERROR(INDEX('Master Data'!$M$2:$M$2436,MATCH($B$3&amp;"|5|"&amp;G$74&amp;"|"&amp;$A75,'Master Data'!$A$2:$A$2436,0)),"")</f>
        <v>–</v>
      </c>
      <c r="H75" s="60" t="str">
        <f aca="false">IFERROR(INDEX('Master Data'!$M$2:$M$2436,MATCH($B$3&amp;"|5|"&amp;H$74&amp;"|"&amp;$A75,'Master Data'!$A$2:$A$2436,0)),"")</f>
        <v>–</v>
      </c>
      <c r="T75" s="61" t="str">
        <f aca="false">IFERROR(INDEX('Master Data'!$L$2:$L$2436,MATCH($B$3&amp;"|5|"&amp;B$74&amp;"|"&amp;$A75,'Master Data'!$A$2:$A$2436,0)),"")</f>
        <v>Tidak dibuka</v>
      </c>
      <c r="U75" s="61" t="str">
        <f aca="false">IFERROR(INDEX('Master Data'!$L$2:$L$2436,MATCH($B$3&amp;"|5|"&amp;C$74&amp;"|"&amp;$A75,'Master Data'!$A$2:$A$2436,0)),"")</f>
        <v>Tidak dibuka</v>
      </c>
      <c r="V75" s="61" t="str">
        <f aca="false">IFERROR(INDEX('Master Data'!$L$2:$L$2436,MATCH($B$3&amp;"|5|"&amp;D$74&amp;"|"&amp;$A75,'Master Data'!$A$2:$A$2436,0)),"")</f>
        <v>Tidak dibuka</v>
      </c>
      <c r="W75" s="61" t="str">
        <f aca="false">IFERROR(INDEX('Master Data'!$L$2:$L$2436,MATCH($B$3&amp;"|5|"&amp;E$74&amp;"|"&amp;$A75,'Master Data'!$A$2:$A$2436,0)),"")</f>
        <v>Tidak dibuka</v>
      </c>
      <c r="X75" s="61" t="str">
        <f aca="false">IFERROR(INDEX('Master Data'!$L$2:$L$2436,MATCH($B$3&amp;"|5|"&amp;F$74&amp;"|"&amp;$A75,'Master Data'!$A$2:$A$2436,0)),"")</f>
        <v>Tidak dibuka</v>
      </c>
      <c r="Y75" s="61" t="str">
        <f aca="false">IFERROR(INDEX('Master Data'!$L$2:$L$2436,MATCH($B$3&amp;"|5|"&amp;G$74&amp;"|"&amp;$A75,'Master Data'!$A$2:$A$2436,0)),"")</f>
        <v>Tidak dibuka</v>
      </c>
      <c r="Z75" s="61" t="str">
        <f aca="false">IFERROR(INDEX('Master Data'!$L$2:$L$2436,MATCH($B$3&amp;"|5|"&amp;H$74&amp;"|"&amp;$A75,'Master Data'!$A$2:$A$2436,0)),"")</f>
        <v>Tidak dibuka</v>
      </c>
    </row>
    <row r="76" customFormat="false" ht="30" hidden="false" customHeight="true" outlineLevel="0" collapsed="false">
      <c r="A76" s="59" t="s">
        <v>111</v>
      </c>
      <c r="B76" s="60" t="str">
        <f aca="false">IFERROR(INDEX('Master Data'!$M$2:$M$2436,MATCH($B$3&amp;"|5|"&amp;B$74&amp;"|"&amp;$A76,'Master Data'!$A$2:$A$2436,0)),"")</f>
        <v>(tanpa age group)  0/5
coach: –</v>
      </c>
      <c r="C76" s="60" t="str">
        <f aca="false">IFERROR(INDEX('Master Data'!$M$2:$M$2436,MATCH($B$3&amp;"|5|"&amp;C$74&amp;"|"&amp;$A76,'Master Data'!$A$2:$A$2436,0)),"")</f>
        <v>(tanpa age group)  0/5
coach: –</v>
      </c>
      <c r="D76" s="60" t="str">
        <f aca="false">IFERROR(INDEX('Master Data'!$M$2:$M$2436,MATCH($B$3&amp;"|5|"&amp;D$74&amp;"|"&amp;$A76,'Master Data'!$A$2:$A$2436,0)),"")</f>
        <v>(tanpa age group)  0/5
coach: –</v>
      </c>
      <c r="E76" s="60" t="str">
        <f aca="false">IFERROR(INDEX('Master Data'!$M$2:$M$2436,MATCH($B$3&amp;"|5|"&amp;E$74&amp;"|"&amp;$A76,'Master Data'!$A$2:$A$2436,0)),"")</f>
        <v>(tanpa age group)  0/5
coach: –</v>
      </c>
      <c r="F76" s="60" t="str">
        <f aca="false">IFERROR(INDEX('Master Data'!$M$2:$M$2436,MATCH($B$3&amp;"|5|"&amp;F$74&amp;"|"&amp;$A76,'Master Data'!$A$2:$A$2436,0)),"")</f>
        <v>(tanpa age group)  0/5
coach: –</v>
      </c>
      <c r="G76" s="60" t="str">
        <f aca="false">IFERROR(INDEX('Master Data'!$M$2:$M$2436,MATCH($B$3&amp;"|5|"&amp;G$74&amp;"|"&amp;$A76,'Master Data'!$A$2:$A$2436,0)),"")</f>
        <v>Kids  4/4
coach: Eriek</v>
      </c>
      <c r="H76" s="60" t="str">
        <f aca="false">IFERROR(INDEX('Master Data'!$M$2:$M$2436,MATCH($B$3&amp;"|5|"&amp;H$74&amp;"|"&amp;$A76,'Master Data'!$A$2:$A$2436,0)),"")</f>
        <v>Kids  4/3
coach: Ziran</v>
      </c>
      <c r="T76" s="61" t="str">
        <f aca="false">IFERROR(INDEX('Master Data'!$L$2:$L$2436,MATCH($B$3&amp;"|5|"&amp;B$74&amp;"|"&amp;$A76,'Master Data'!$A$2:$A$2436,0)),"")</f>
        <v>Slot kosong</v>
      </c>
      <c r="U76" s="61" t="str">
        <f aca="false">IFERROR(INDEX('Master Data'!$L$2:$L$2436,MATCH($B$3&amp;"|5|"&amp;C$74&amp;"|"&amp;$A76,'Master Data'!$A$2:$A$2436,0)),"")</f>
        <v>Slot kosong</v>
      </c>
      <c r="V76" s="61" t="str">
        <f aca="false">IFERROR(INDEX('Master Data'!$L$2:$L$2436,MATCH($B$3&amp;"|5|"&amp;D$74&amp;"|"&amp;$A76,'Master Data'!$A$2:$A$2436,0)),"")</f>
        <v>Slot kosong</v>
      </c>
      <c r="W76" s="61" t="str">
        <f aca="false">IFERROR(INDEX('Master Data'!$L$2:$L$2436,MATCH($B$3&amp;"|5|"&amp;E$74&amp;"|"&amp;$A76,'Master Data'!$A$2:$A$2436,0)),"")</f>
        <v>Slot kosong</v>
      </c>
      <c r="X76" s="61" t="str">
        <f aca="false">IFERROR(INDEX('Master Data'!$L$2:$L$2436,MATCH($B$3&amp;"|5|"&amp;F$74&amp;"|"&amp;$A76,'Master Data'!$A$2:$A$2436,0)),"")</f>
        <v>Slot kosong</v>
      </c>
      <c r="Y76" s="61" t="str">
        <f aca="false">IFERROR(INDEX('Master Data'!$L$2:$L$2436,MATCH($B$3&amp;"|5|"&amp;G$74&amp;"|"&amp;$A76,'Master Data'!$A$2:$A$2436,0)),"")</f>
        <v>Penuh</v>
      </c>
      <c r="Z76" s="61" t="str">
        <f aca="false">IFERROR(INDEX('Master Data'!$L$2:$L$2436,MATCH($B$3&amp;"|5|"&amp;H$74&amp;"|"&amp;$A76,'Master Data'!$A$2:$A$2436,0)),"")</f>
        <v>Lebih kapasitas</v>
      </c>
    </row>
    <row r="77" customFormat="false" ht="30" hidden="false" customHeight="true" outlineLevel="0" collapsed="false">
      <c r="A77" s="59" t="s">
        <v>112</v>
      </c>
      <c r="B77" s="60" t="str">
        <f aca="false">IFERROR(INDEX('Master Data'!$M$2:$M$2436,MATCH($B$3&amp;"|5|"&amp;B$74&amp;"|"&amp;$A77,'Master Data'!$A$2:$A$2436,0)),"")</f>
        <v>(tanpa age group)  0/5
coach: –</v>
      </c>
      <c r="C77" s="60" t="str">
        <f aca="false">IFERROR(INDEX('Master Data'!$M$2:$M$2436,MATCH($B$3&amp;"|5|"&amp;C$74&amp;"|"&amp;$A77,'Master Data'!$A$2:$A$2436,0)),"")</f>
        <v>(tanpa age group)  0/5
coach: –</v>
      </c>
      <c r="D77" s="60" t="str">
        <f aca="false">IFERROR(INDEX('Master Data'!$M$2:$M$2436,MATCH($B$3&amp;"|5|"&amp;D$74&amp;"|"&amp;$A77,'Master Data'!$A$2:$A$2436,0)),"")</f>
        <v>(tanpa age group)  0/5
coach: –</v>
      </c>
      <c r="E77" s="60" t="str">
        <f aca="false">IFERROR(INDEX('Master Data'!$M$2:$M$2436,MATCH($B$3&amp;"|5|"&amp;E$74&amp;"|"&amp;$A77,'Master Data'!$A$2:$A$2436,0)),"")</f>
        <v>(tanpa age group)  0/5
coach: –</v>
      </c>
      <c r="F77" s="60" t="str">
        <f aca="false">IFERROR(INDEX('Master Data'!$M$2:$M$2436,MATCH($B$3&amp;"|5|"&amp;F$74&amp;"|"&amp;$A77,'Master Data'!$A$2:$A$2436,0)),"")</f>
        <v>(tanpa age group)  0/5
coach: –</v>
      </c>
      <c r="G77" s="60" t="str">
        <f aca="false">IFERROR(INDEX('Master Data'!$M$2:$M$2436,MATCH($B$3&amp;"|5|"&amp;G$74&amp;"|"&amp;$A77,'Master Data'!$A$2:$A$2436,0)),"")</f>
        <v>Little  4/4
coach: Ziran</v>
      </c>
      <c r="H77" s="60" t="str">
        <f aca="false">IFERROR(INDEX('Master Data'!$M$2:$M$2436,MATCH($B$3&amp;"|5|"&amp;H$74&amp;"|"&amp;$A77,'Master Data'!$A$2:$A$2436,0)),"")</f>
        <v>Little  3/4
coach: Frido</v>
      </c>
      <c r="T77" s="61" t="str">
        <f aca="false">IFERROR(INDEX('Master Data'!$L$2:$L$2436,MATCH($B$3&amp;"|5|"&amp;B$74&amp;"|"&amp;$A77,'Master Data'!$A$2:$A$2436,0)),"")</f>
        <v>Slot kosong</v>
      </c>
      <c r="U77" s="61" t="str">
        <f aca="false">IFERROR(INDEX('Master Data'!$L$2:$L$2436,MATCH($B$3&amp;"|5|"&amp;C$74&amp;"|"&amp;$A77,'Master Data'!$A$2:$A$2436,0)),"")</f>
        <v>Slot kosong</v>
      </c>
      <c r="V77" s="61" t="str">
        <f aca="false">IFERROR(INDEX('Master Data'!$L$2:$L$2436,MATCH($B$3&amp;"|5|"&amp;D$74&amp;"|"&amp;$A77,'Master Data'!$A$2:$A$2436,0)),"")</f>
        <v>Slot kosong</v>
      </c>
      <c r="W77" s="61" t="str">
        <f aca="false">IFERROR(INDEX('Master Data'!$L$2:$L$2436,MATCH($B$3&amp;"|5|"&amp;E$74&amp;"|"&amp;$A77,'Master Data'!$A$2:$A$2436,0)),"")</f>
        <v>Slot kosong</v>
      </c>
      <c r="X77" s="61" t="str">
        <f aca="false">IFERROR(INDEX('Master Data'!$L$2:$L$2436,MATCH($B$3&amp;"|5|"&amp;F$74&amp;"|"&amp;$A77,'Master Data'!$A$2:$A$2436,0)),"")</f>
        <v>Slot kosong</v>
      </c>
      <c r="Y77" s="61" t="str">
        <f aca="false">IFERROR(INDEX('Master Data'!$L$2:$L$2436,MATCH($B$3&amp;"|5|"&amp;G$74&amp;"|"&amp;$A77,'Master Data'!$A$2:$A$2436,0)),"")</f>
        <v>Penuh</v>
      </c>
      <c r="Z77" s="61" t="str">
        <f aca="false">IFERROR(INDEX('Master Data'!$L$2:$L$2436,MATCH($B$3&amp;"|5|"&amp;H$74&amp;"|"&amp;$A77,'Master Data'!$A$2:$A$2436,0)),"")</f>
        <v>Sebagian</v>
      </c>
    </row>
    <row r="78" customFormat="false" ht="30" hidden="false" customHeight="true" outlineLevel="0" collapsed="false">
      <c r="A78" s="59" t="s">
        <v>113</v>
      </c>
      <c r="B78" s="60" t="str">
        <f aca="false">IFERROR(INDEX('Master Data'!$M$2:$M$2436,MATCH($B$3&amp;"|5|"&amp;B$74&amp;"|"&amp;$A78,'Master Data'!$A$2:$A$2436,0)),"")</f>
        <v>(tanpa age group)  0/5
coach: –</v>
      </c>
      <c r="C78" s="60" t="str">
        <f aca="false">IFERROR(INDEX('Master Data'!$M$2:$M$2436,MATCH($B$3&amp;"|5|"&amp;C$74&amp;"|"&amp;$A78,'Master Data'!$A$2:$A$2436,0)),"")</f>
        <v>(tanpa age group)  0/5
coach: –</v>
      </c>
      <c r="D78" s="60" t="str">
        <f aca="false">IFERROR(INDEX('Master Data'!$M$2:$M$2436,MATCH($B$3&amp;"|5|"&amp;D$74&amp;"|"&amp;$A78,'Master Data'!$A$2:$A$2436,0)),"")</f>
        <v>(tanpa age group)  0/5
coach: –</v>
      </c>
      <c r="E78" s="60" t="str">
        <f aca="false">IFERROR(INDEX('Master Data'!$M$2:$M$2436,MATCH($B$3&amp;"|5|"&amp;E$74&amp;"|"&amp;$A78,'Master Data'!$A$2:$A$2436,0)),"")</f>
        <v>(tanpa age group)  0/5
coach: –</v>
      </c>
      <c r="F78" s="60" t="str">
        <f aca="false">IFERROR(INDEX('Master Data'!$M$2:$M$2436,MATCH($B$3&amp;"|5|"&amp;F$74&amp;"|"&amp;$A78,'Master Data'!$A$2:$A$2436,0)),"")</f>
        <v>(tanpa age group)  0/5
coach: –</v>
      </c>
      <c r="G78" s="60" t="str">
        <f aca="false">IFERROR(INDEX('Master Data'!$M$2:$M$2436,MATCH($B$3&amp;"|5|"&amp;G$74&amp;"|"&amp;$A78,'Master Data'!$A$2:$A$2436,0)),"")</f>
        <v>Tiny  3/5
coach: Andreas</v>
      </c>
      <c r="H78" s="60" t="str">
        <f aca="false">IFERROR(INDEX('Master Data'!$M$2:$M$2436,MATCH($B$3&amp;"|5|"&amp;H$74&amp;"|"&amp;$A78,'Master Data'!$A$2:$A$2436,0)),"")</f>
        <v>Kids  4/4
coach: Andreas</v>
      </c>
      <c r="T78" s="61" t="str">
        <f aca="false">IFERROR(INDEX('Master Data'!$L$2:$L$2436,MATCH($B$3&amp;"|5|"&amp;B$74&amp;"|"&amp;$A78,'Master Data'!$A$2:$A$2436,0)),"")</f>
        <v>Slot kosong</v>
      </c>
      <c r="U78" s="61" t="str">
        <f aca="false">IFERROR(INDEX('Master Data'!$L$2:$L$2436,MATCH($B$3&amp;"|5|"&amp;C$74&amp;"|"&amp;$A78,'Master Data'!$A$2:$A$2436,0)),"")</f>
        <v>Slot kosong</v>
      </c>
      <c r="V78" s="61" t="str">
        <f aca="false">IFERROR(INDEX('Master Data'!$L$2:$L$2436,MATCH($B$3&amp;"|5|"&amp;D$74&amp;"|"&amp;$A78,'Master Data'!$A$2:$A$2436,0)),"")</f>
        <v>Slot kosong</v>
      </c>
      <c r="W78" s="61" t="str">
        <f aca="false">IFERROR(INDEX('Master Data'!$L$2:$L$2436,MATCH($B$3&amp;"|5|"&amp;E$74&amp;"|"&amp;$A78,'Master Data'!$A$2:$A$2436,0)),"")</f>
        <v>Slot kosong</v>
      </c>
      <c r="X78" s="61" t="str">
        <f aca="false">IFERROR(INDEX('Master Data'!$L$2:$L$2436,MATCH($B$3&amp;"|5|"&amp;F$74&amp;"|"&amp;$A78,'Master Data'!$A$2:$A$2436,0)),"")</f>
        <v>Slot kosong</v>
      </c>
      <c r="Y78" s="61" t="str">
        <f aca="false">IFERROR(INDEX('Master Data'!$L$2:$L$2436,MATCH($B$3&amp;"|5|"&amp;G$74&amp;"|"&amp;$A78,'Master Data'!$A$2:$A$2436,0)),"")</f>
        <v>Sebagian</v>
      </c>
      <c r="Z78" s="61" t="str">
        <f aca="false">IFERROR(INDEX('Master Data'!$L$2:$L$2436,MATCH($B$3&amp;"|5|"&amp;H$74&amp;"|"&amp;$A78,'Master Data'!$A$2:$A$2436,0)),"")</f>
        <v>Penuh</v>
      </c>
    </row>
    <row r="79" customFormat="false" ht="30" hidden="false" customHeight="true" outlineLevel="0" collapsed="false">
      <c r="A79" s="59" t="s">
        <v>114</v>
      </c>
      <c r="B79" s="60" t="str">
        <f aca="false">IFERROR(INDEX('Master Data'!$M$2:$M$2436,MATCH($B$3&amp;"|5|"&amp;B$74&amp;"|"&amp;$A79,'Master Data'!$A$2:$A$2436,0)),"")</f>
        <v>(tanpa age group)  0/5
coach: –</v>
      </c>
      <c r="C79" s="60" t="str">
        <f aca="false">IFERROR(INDEX('Master Data'!$M$2:$M$2436,MATCH($B$3&amp;"|5|"&amp;C$74&amp;"|"&amp;$A79,'Master Data'!$A$2:$A$2436,0)),"")</f>
        <v>(tanpa age group)  0/5
coach: –</v>
      </c>
      <c r="D79" s="60" t="str">
        <f aca="false">IFERROR(INDEX('Master Data'!$M$2:$M$2436,MATCH($B$3&amp;"|5|"&amp;D$74&amp;"|"&amp;$A79,'Master Data'!$A$2:$A$2436,0)),"")</f>
        <v>(tanpa age group)  0/5
coach: –</v>
      </c>
      <c r="E79" s="60" t="str">
        <f aca="false">IFERROR(INDEX('Master Data'!$M$2:$M$2436,MATCH($B$3&amp;"|5|"&amp;E$74&amp;"|"&amp;$A79,'Master Data'!$A$2:$A$2436,0)),"")</f>
        <v>(tanpa age group)  0/5
coach: –</v>
      </c>
      <c r="F79" s="60" t="str">
        <f aca="false">IFERROR(INDEX('Master Data'!$M$2:$M$2436,MATCH($B$3&amp;"|5|"&amp;F$74&amp;"|"&amp;$A79,'Master Data'!$A$2:$A$2436,0)),"")</f>
        <v>(tanpa age group)  0/5
coach: –</v>
      </c>
      <c r="G79" s="60" t="str">
        <f aca="false">IFERROR(INDEX('Master Data'!$M$2:$M$2436,MATCH($B$3&amp;"|5|"&amp;G$74&amp;"|"&amp;$A79,'Master Data'!$A$2:$A$2436,0)),"")</f>
        <v>Kids  4/4
coach: Frido</v>
      </c>
      <c r="H79" s="60" t="str">
        <f aca="false">IFERROR(INDEX('Master Data'!$M$2:$M$2436,MATCH($B$3&amp;"|5|"&amp;H$74&amp;"|"&amp;$A79,'Master Data'!$A$2:$A$2436,0)),"")</f>
        <v>Kids  4/5
coach: Andreas</v>
      </c>
      <c r="T79" s="61" t="str">
        <f aca="false">IFERROR(INDEX('Master Data'!$L$2:$L$2436,MATCH($B$3&amp;"|5|"&amp;B$74&amp;"|"&amp;$A79,'Master Data'!$A$2:$A$2436,0)),"")</f>
        <v>Slot kosong</v>
      </c>
      <c r="U79" s="61" t="str">
        <f aca="false">IFERROR(INDEX('Master Data'!$L$2:$L$2436,MATCH($B$3&amp;"|5|"&amp;C$74&amp;"|"&amp;$A79,'Master Data'!$A$2:$A$2436,0)),"")</f>
        <v>Slot kosong</v>
      </c>
      <c r="V79" s="61" t="str">
        <f aca="false">IFERROR(INDEX('Master Data'!$L$2:$L$2436,MATCH($B$3&amp;"|5|"&amp;D$74&amp;"|"&amp;$A79,'Master Data'!$A$2:$A$2436,0)),"")</f>
        <v>Slot kosong</v>
      </c>
      <c r="W79" s="61" t="str">
        <f aca="false">IFERROR(INDEX('Master Data'!$L$2:$L$2436,MATCH($B$3&amp;"|5|"&amp;E$74&amp;"|"&amp;$A79,'Master Data'!$A$2:$A$2436,0)),"")</f>
        <v>Slot kosong</v>
      </c>
      <c r="X79" s="61" t="str">
        <f aca="false">IFERROR(INDEX('Master Data'!$L$2:$L$2436,MATCH($B$3&amp;"|5|"&amp;F$74&amp;"|"&amp;$A79,'Master Data'!$A$2:$A$2436,0)),"")</f>
        <v>Slot kosong</v>
      </c>
      <c r="Y79" s="61" t="str">
        <f aca="false">IFERROR(INDEX('Master Data'!$L$2:$L$2436,MATCH($B$3&amp;"|5|"&amp;G$74&amp;"|"&amp;$A79,'Master Data'!$A$2:$A$2436,0)),"")</f>
        <v>Penuh</v>
      </c>
      <c r="Z79" s="61" t="str">
        <f aca="false">IFERROR(INDEX('Master Data'!$L$2:$L$2436,MATCH($B$3&amp;"|5|"&amp;H$74&amp;"|"&amp;$A79,'Master Data'!$A$2:$A$2436,0)),"")</f>
        <v>Sebagian</v>
      </c>
    </row>
    <row r="80" customFormat="false" ht="30" hidden="false" customHeight="true" outlineLevel="0" collapsed="false">
      <c r="A80" s="59" t="s">
        <v>115</v>
      </c>
      <c r="B80" s="60" t="str">
        <f aca="false">IFERROR(INDEX('Master Data'!$M$2:$M$2436,MATCH($B$3&amp;"|5|"&amp;B$74&amp;"|"&amp;$A80,'Master Data'!$A$2:$A$2436,0)),"")</f>
        <v>–</v>
      </c>
      <c r="C80" s="60" t="str">
        <f aca="false">IFERROR(INDEX('Master Data'!$M$2:$M$2436,MATCH($B$3&amp;"|5|"&amp;C$74&amp;"|"&amp;$A80,'Master Data'!$A$2:$A$2436,0)),"")</f>
        <v>–</v>
      </c>
      <c r="D80" s="60" t="str">
        <f aca="false">IFERROR(INDEX('Master Data'!$M$2:$M$2436,MATCH($B$3&amp;"|5|"&amp;D$74&amp;"|"&amp;$A80,'Master Data'!$A$2:$A$2436,0)),"")</f>
        <v>–</v>
      </c>
      <c r="E80" s="60" t="str">
        <f aca="false">IFERROR(INDEX('Master Data'!$M$2:$M$2436,MATCH($B$3&amp;"|5|"&amp;E$74&amp;"|"&amp;$A80,'Master Data'!$A$2:$A$2436,0)),"")</f>
        <v>–</v>
      </c>
      <c r="F80" s="60" t="str">
        <f aca="false">IFERROR(INDEX('Master Data'!$M$2:$M$2436,MATCH($B$3&amp;"|5|"&amp;F$74&amp;"|"&amp;$A80,'Master Data'!$A$2:$A$2436,0)),"")</f>
        <v>–</v>
      </c>
      <c r="G80" s="60" t="str">
        <f aca="false">IFERROR(INDEX('Master Data'!$M$2:$M$2436,MATCH($B$3&amp;"|5|"&amp;G$74&amp;"|"&amp;$A80,'Master Data'!$A$2:$A$2436,0)),"")</f>
        <v>Little  2/4
coach: Ziran</v>
      </c>
      <c r="H80" s="60" t="str">
        <f aca="false">IFERROR(INDEX('Master Data'!$M$2:$M$2436,MATCH($B$3&amp;"|5|"&amp;H$74&amp;"|"&amp;$A80,'Master Data'!$A$2:$A$2436,0)),"")</f>
        <v>Little  0/5
coach: –</v>
      </c>
      <c r="T80" s="61" t="str">
        <f aca="false">IFERROR(INDEX('Master Data'!$L$2:$L$2436,MATCH($B$3&amp;"|5|"&amp;B$74&amp;"|"&amp;$A80,'Master Data'!$A$2:$A$2436,0)),"")</f>
        <v>Tidak dibuka</v>
      </c>
      <c r="U80" s="61" t="str">
        <f aca="false">IFERROR(INDEX('Master Data'!$L$2:$L$2436,MATCH($B$3&amp;"|5|"&amp;C$74&amp;"|"&amp;$A80,'Master Data'!$A$2:$A$2436,0)),"")</f>
        <v>Tidak dibuka</v>
      </c>
      <c r="V80" s="61" t="str">
        <f aca="false">IFERROR(INDEX('Master Data'!$L$2:$L$2436,MATCH($B$3&amp;"|5|"&amp;D$74&amp;"|"&amp;$A80,'Master Data'!$A$2:$A$2436,0)),"")</f>
        <v>Tidak dibuka</v>
      </c>
      <c r="W80" s="61" t="str">
        <f aca="false">IFERROR(INDEX('Master Data'!$L$2:$L$2436,MATCH($B$3&amp;"|5|"&amp;E$74&amp;"|"&amp;$A80,'Master Data'!$A$2:$A$2436,0)),"")</f>
        <v>Tidak dibuka</v>
      </c>
      <c r="X80" s="61" t="str">
        <f aca="false">IFERROR(INDEX('Master Data'!$L$2:$L$2436,MATCH($B$3&amp;"|5|"&amp;F$74&amp;"|"&amp;$A80,'Master Data'!$A$2:$A$2436,0)),"")</f>
        <v>Tidak dibuka</v>
      </c>
      <c r="Y80" s="61" t="str">
        <f aca="false">IFERROR(INDEX('Master Data'!$L$2:$L$2436,MATCH($B$3&amp;"|5|"&amp;G$74&amp;"|"&amp;$A80,'Master Data'!$A$2:$A$2436,0)),"")</f>
        <v>Sebagian</v>
      </c>
      <c r="Z80" s="61" t="str">
        <f aca="false">IFERROR(INDEX('Master Data'!$L$2:$L$2436,MATCH($B$3&amp;"|5|"&amp;H$74&amp;"|"&amp;$A80,'Master Data'!$A$2:$A$2436,0)),"")</f>
        <v>Belum terisi</v>
      </c>
    </row>
    <row r="81" customFormat="false" ht="30" hidden="false" customHeight="true" outlineLevel="0" collapsed="false">
      <c r="A81" s="59" t="s">
        <v>116</v>
      </c>
      <c r="B81" s="60" t="str">
        <f aca="false">IFERROR(INDEX('Master Data'!$M$2:$M$2436,MATCH($B$3&amp;"|5|"&amp;B$74&amp;"|"&amp;$A81,'Master Data'!$A$2:$A$2436,0)),"")</f>
        <v>(tanpa age group)  0/5
coach: –</v>
      </c>
      <c r="C81" s="60" t="str">
        <f aca="false">IFERROR(INDEX('Master Data'!$M$2:$M$2436,MATCH($B$3&amp;"|5|"&amp;C$74&amp;"|"&amp;$A81,'Master Data'!$A$2:$A$2436,0)),"")</f>
        <v>(tanpa age group)  0/5
coach: –</v>
      </c>
      <c r="D81" s="60" t="str">
        <f aca="false">IFERROR(INDEX('Master Data'!$M$2:$M$2436,MATCH($B$3&amp;"|5|"&amp;D$74&amp;"|"&amp;$A81,'Master Data'!$A$2:$A$2436,0)),"")</f>
        <v>(tanpa age group)  0/5
coach: –</v>
      </c>
      <c r="E81" s="60" t="str">
        <f aca="false">IFERROR(INDEX('Master Data'!$M$2:$M$2436,MATCH($B$3&amp;"|5|"&amp;E$74&amp;"|"&amp;$A81,'Master Data'!$A$2:$A$2436,0)),"")</f>
        <v>Little  1/5
coach: Andreas</v>
      </c>
      <c r="F81" s="60" t="str">
        <f aca="false">IFERROR(INDEX('Master Data'!$M$2:$M$2436,MATCH($B$3&amp;"|5|"&amp;F$74&amp;"|"&amp;$A81,'Master Data'!$A$2:$A$2436,0)),"")</f>
        <v>Little  1/4
coach: Nabila</v>
      </c>
      <c r="G81" s="60" t="str">
        <f aca="false">IFERROR(INDEX('Master Data'!$M$2:$M$2436,MATCH($B$3&amp;"|5|"&amp;G$74&amp;"|"&amp;$A81,'Master Data'!$A$2:$A$2436,0)),"")</f>
        <v>Kids  4/5
coach: Eriek</v>
      </c>
      <c r="H81" s="60" t="str">
        <f aca="false">IFERROR(INDEX('Master Data'!$M$2:$M$2436,MATCH($B$3&amp;"|5|"&amp;H$74&amp;"|"&amp;$A81,'Master Data'!$A$2:$A$2436,0)),"")</f>
        <v>Kids  3/4
coach: Deyon</v>
      </c>
      <c r="T81" s="61" t="str">
        <f aca="false">IFERROR(INDEX('Master Data'!$L$2:$L$2436,MATCH($B$3&amp;"|5|"&amp;B$74&amp;"|"&amp;$A81,'Master Data'!$A$2:$A$2436,0)),"")</f>
        <v>Slot kosong</v>
      </c>
      <c r="U81" s="61" t="str">
        <f aca="false">IFERROR(INDEX('Master Data'!$L$2:$L$2436,MATCH($B$3&amp;"|5|"&amp;C$74&amp;"|"&amp;$A81,'Master Data'!$A$2:$A$2436,0)),"")</f>
        <v>Slot kosong</v>
      </c>
      <c r="V81" s="61" t="str">
        <f aca="false">IFERROR(INDEX('Master Data'!$L$2:$L$2436,MATCH($B$3&amp;"|5|"&amp;D$74&amp;"|"&amp;$A81,'Master Data'!$A$2:$A$2436,0)),"")</f>
        <v>Slot kosong</v>
      </c>
      <c r="W81" s="61" t="str">
        <f aca="false">IFERROR(INDEX('Master Data'!$L$2:$L$2436,MATCH($B$3&amp;"|5|"&amp;E$74&amp;"|"&amp;$A81,'Master Data'!$A$2:$A$2436,0)),"")</f>
        <v>Sebagian</v>
      </c>
      <c r="X81" s="61" t="str">
        <f aca="false">IFERROR(INDEX('Master Data'!$L$2:$L$2436,MATCH($B$3&amp;"|5|"&amp;F$74&amp;"|"&amp;$A81,'Master Data'!$A$2:$A$2436,0)),"")</f>
        <v>Sebagian</v>
      </c>
      <c r="Y81" s="61" t="str">
        <f aca="false">IFERROR(INDEX('Master Data'!$L$2:$L$2436,MATCH($B$3&amp;"|5|"&amp;G$74&amp;"|"&amp;$A81,'Master Data'!$A$2:$A$2436,0)),"")</f>
        <v>Sebagian</v>
      </c>
      <c r="Z81" s="61" t="str">
        <f aca="false">IFERROR(INDEX('Master Data'!$L$2:$L$2436,MATCH($B$3&amp;"|5|"&amp;H$74&amp;"|"&amp;$A81,'Master Data'!$A$2:$A$2436,0)),"")</f>
        <v>Sebagian</v>
      </c>
    </row>
    <row r="82" customFormat="false" ht="30" hidden="false" customHeight="true" outlineLevel="0" collapsed="false">
      <c r="A82" s="59" t="s">
        <v>117</v>
      </c>
      <c r="B82" s="60" t="str">
        <f aca="false">IFERROR(INDEX('Master Data'!$M$2:$M$2436,MATCH($B$3&amp;"|5|"&amp;B$74&amp;"|"&amp;$A82,'Master Data'!$A$2:$A$2436,0)),"")</f>
        <v>(tanpa age group)  0/5
coach: –</v>
      </c>
      <c r="C82" s="60" t="str">
        <f aca="false">IFERROR(INDEX('Master Data'!$M$2:$M$2436,MATCH($B$3&amp;"|5|"&amp;C$74&amp;"|"&amp;$A82,'Master Data'!$A$2:$A$2436,0)),"")</f>
        <v>(tanpa age group)  0/5
coach: –</v>
      </c>
      <c r="D82" s="60" t="str">
        <f aca="false">IFERROR(INDEX('Master Data'!$M$2:$M$2436,MATCH($B$3&amp;"|5|"&amp;D$74&amp;"|"&amp;$A82,'Master Data'!$A$2:$A$2436,0)),"")</f>
        <v>(tanpa age group)  0/5
coach: –</v>
      </c>
      <c r="E82" s="60" t="str">
        <f aca="false">IFERROR(INDEX('Master Data'!$M$2:$M$2436,MATCH($B$3&amp;"|5|"&amp;E$74&amp;"|"&amp;$A82,'Master Data'!$A$2:$A$2436,0)),"")</f>
        <v>(tanpa age group)  0/5
coach: –</v>
      </c>
      <c r="F82" s="60" t="str">
        <f aca="false">IFERROR(INDEX('Master Data'!$M$2:$M$2436,MATCH($B$3&amp;"|5|"&amp;F$74&amp;"|"&amp;$A82,'Master Data'!$A$2:$A$2436,0)),"")</f>
        <v>Kids  1/1
coach: Frido</v>
      </c>
      <c r="G82" s="60" t="str">
        <f aca="false">IFERROR(INDEX('Master Data'!$M$2:$M$2436,MATCH($B$3&amp;"|5|"&amp;G$74&amp;"|"&amp;$A82,'Master Data'!$A$2:$A$2436,0)),"")</f>
        <v>Little  3/4
coach: Andreas</v>
      </c>
      <c r="H82" s="60" t="str">
        <f aca="false">IFERROR(INDEX('Master Data'!$M$2:$M$2436,MATCH($B$3&amp;"|5|"&amp;H$74&amp;"|"&amp;$A82,'Master Data'!$A$2:$A$2436,0)),"")</f>
        <v>Kids  4/5
coach: Eriek</v>
      </c>
      <c r="T82" s="61" t="str">
        <f aca="false">IFERROR(INDEX('Master Data'!$L$2:$L$2436,MATCH($B$3&amp;"|5|"&amp;B$74&amp;"|"&amp;$A82,'Master Data'!$A$2:$A$2436,0)),"")</f>
        <v>Slot kosong</v>
      </c>
      <c r="U82" s="61" t="str">
        <f aca="false">IFERROR(INDEX('Master Data'!$L$2:$L$2436,MATCH($B$3&amp;"|5|"&amp;C$74&amp;"|"&amp;$A82,'Master Data'!$A$2:$A$2436,0)),"")</f>
        <v>Slot kosong</v>
      </c>
      <c r="V82" s="61" t="str">
        <f aca="false">IFERROR(INDEX('Master Data'!$L$2:$L$2436,MATCH($B$3&amp;"|5|"&amp;D$74&amp;"|"&amp;$A82,'Master Data'!$A$2:$A$2436,0)),"")</f>
        <v>Slot kosong</v>
      </c>
      <c r="W82" s="61" t="str">
        <f aca="false">IFERROR(INDEX('Master Data'!$L$2:$L$2436,MATCH($B$3&amp;"|5|"&amp;E$74&amp;"|"&amp;$A82,'Master Data'!$A$2:$A$2436,0)),"")</f>
        <v>Slot kosong</v>
      </c>
      <c r="X82" s="61" t="str">
        <f aca="false">IFERROR(INDEX('Master Data'!$L$2:$L$2436,MATCH($B$3&amp;"|5|"&amp;F$74&amp;"|"&amp;$A82,'Master Data'!$A$2:$A$2436,0)),"")</f>
        <v>Penuh</v>
      </c>
      <c r="Y82" s="61" t="str">
        <f aca="false">IFERROR(INDEX('Master Data'!$L$2:$L$2436,MATCH($B$3&amp;"|5|"&amp;G$74&amp;"|"&amp;$A82,'Master Data'!$A$2:$A$2436,0)),"")</f>
        <v>Sebagian</v>
      </c>
      <c r="Z82" s="61" t="str">
        <f aca="false">IFERROR(INDEX('Master Data'!$L$2:$L$2436,MATCH($B$3&amp;"|5|"&amp;H$74&amp;"|"&amp;$A82,'Master Data'!$A$2:$A$2436,0)),"")</f>
        <v>Sebagian</v>
      </c>
    </row>
    <row r="83" customFormat="false" ht="30" hidden="false" customHeight="true" outlineLevel="0" collapsed="false">
      <c r="A83" s="59" t="s">
        <v>118</v>
      </c>
      <c r="B83" s="60" t="str">
        <f aca="false">IFERROR(INDEX('Master Data'!$M$2:$M$2436,MATCH($B$3&amp;"|5|"&amp;B$74&amp;"|"&amp;$A83,'Master Data'!$A$2:$A$2436,0)),"")</f>
        <v>(tanpa age group)  0/5
coach: –</v>
      </c>
      <c r="C83" s="60" t="str">
        <f aca="false">IFERROR(INDEX('Master Data'!$M$2:$M$2436,MATCH($B$3&amp;"|5|"&amp;C$74&amp;"|"&amp;$A83,'Master Data'!$A$2:$A$2436,0)),"")</f>
        <v>Kids  1/5
coach: Eriek</v>
      </c>
      <c r="D83" s="60" t="str">
        <f aca="false">IFERROR(INDEX('Master Data'!$M$2:$M$2436,MATCH($B$3&amp;"|5|"&amp;D$74&amp;"|"&amp;$A83,'Master Data'!$A$2:$A$2436,0)),"")</f>
        <v>Little  1/1
coach: Andreas</v>
      </c>
      <c r="E83" s="60" t="str">
        <f aca="false">IFERROR(INDEX('Master Data'!$M$2:$M$2436,MATCH($B$3&amp;"|5|"&amp;E$74&amp;"|"&amp;$A83,'Master Data'!$A$2:$A$2436,0)),"")</f>
        <v>(tanpa age group)  0/5
coach: –</v>
      </c>
      <c r="F83" s="60" t="str">
        <f aca="false">IFERROR(INDEX('Master Data'!$M$2:$M$2436,MATCH($B$3&amp;"|5|"&amp;F$74&amp;"|"&amp;$A83,'Master Data'!$A$2:$A$2436,0)),"")</f>
        <v>Kids  4/4
coach: Andreas</v>
      </c>
      <c r="G83" s="60" t="str">
        <f aca="false">IFERROR(INDEX('Master Data'!$M$2:$M$2436,MATCH($B$3&amp;"|5|"&amp;G$74&amp;"|"&amp;$A83,'Master Data'!$A$2:$A$2436,0)),"")</f>
        <v>Tiny  3/5
coach: Andreas</v>
      </c>
      <c r="H83" s="60" t="str">
        <f aca="false">IFERROR(INDEX('Master Data'!$M$2:$M$2436,MATCH($B$3&amp;"|5|"&amp;H$74&amp;"|"&amp;$A83,'Master Data'!$A$2:$A$2436,0)),"")</f>
        <v>Little  0/4
coach: Eriek</v>
      </c>
      <c r="T83" s="61" t="str">
        <f aca="false">IFERROR(INDEX('Master Data'!$L$2:$L$2436,MATCH($B$3&amp;"|5|"&amp;B$74&amp;"|"&amp;$A83,'Master Data'!$A$2:$A$2436,0)),"")</f>
        <v>Slot kosong</v>
      </c>
      <c r="U83" s="61" t="str">
        <f aca="false">IFERROR(INDEX('Master Data'!$L$2:$L$2436,MATCH($B$3&amp;"|5|"&amp;C$74&amp;"|"&amp;$A83,'Master Data'!$A$2:$A$2436,0)),"")</f>
        <v>Sebagian</v>
      </c>
      <c r="V83" s="61" t="str">
        <f aca="false">IFERROR(INDEX('Master Data'!$L$2:$L$2436,MATCH($B$3&amp;"|5|"&amp;D$74&amp;"|"&amp;$A83,'Master Data'!$A$2:$A$2436,0)),"")</f>
        <v>Penuh</v>
      </c>
      <c r="W83" s="61" t="str">
        <f aca="false">IFERROR(INDEX('Master Data'!$L$2:$L$2436,MATCH($B$3&amp;"|5|"&amp;E$74&amp;"|"&amp;$A83,'Master Data'!$A$2:$A$2436,0)),"")</f>
        <v>Slot kosong</v>
      </c>
      <c r="X83" s="61" t="str">
        <f aca="false">IFERROR(INDEX('Master Data'!$L$2:$L$2436,MATCH($B$3&amp;"|5|"&amp;F$74&amp;"|"&amp;$A83,'Master Data'!$A$2:$A$2436,0)),"")</f>
        <v>Penuh</v>
      </c>
      <c r="Y83" s="61" t="str">
        <f aca="false">IFERROR(INDEX('Master Data'!$L$2:$L$2436,MATCH($B$3&amp;"|5|"&amp;G$74&amp;"|"&amp;$A83,'Master Data'!$A$2:$A$2436,0)),"")</f>
        <v>Sebagian</v>
      </c>
      <c r="Z83" s="61" t="str">
        <f aca="false">IFERROR(INDEX('Master Data'!$L$2:$L$2436,MATCH($B$3&amp;"|5|"&amp;H$74&amp;"|"&amp;$A83,'Master Data'!$A$2:$A$2436,0)),"")</f>
        <v>Belum terisi</v>
      </c>
    </row>
    <row r="84" customFormat="false" ht="30" hidden="false" customHeight="true" outlineLevel="0" collapsed="false">
      <c r="A84" s="59" t="s">
        <v>119</v>
      </c>
      <c r="B84" s="60" t="str">
        <f aca="false">IFERROR(INDEX('Master Data'!$M$2:$M$2436,MATCH($B$3&amp;"|5|"&amp;B$74&amp;"|"&amp;$A84,'Master Data'!$A$2:$A$2436,0)),"")</f>
        <v>Kids  2/5
coach: Frido</v>
      </c>
      <c r="C84" s="60" t="str">
        <f aca="false">IFERROR(INDEX('Master Data'!$M$2:$M$2436,MATCH($B$3&amp;"|5|"&amp;C$74&amp;"|"&amp;$A84,'Master Data'!$A$2:$A$2436,0)),"")</f>
        <v>(tanpa age group)  0/5
coach: –</v>
      </c>
      <c r="D84" s="60" t="str">
        <f aca="false">IFERROR(INDEX('Master Data'!$M$2:$M$2436,MATCH($B$3&amp;"|5|"&amp;D$74&amp;"|"&amp;$A84,'Master Data'!$A$2:$A$2436,0)),"")</f>
        <v>Kids  4/5
coach: Eve</v>
      </c>
      <c r="E84" s="60" t="str">
        <f aca="false">IFERROR(INDEX('Master Data'!$M$2:$M$2436,MATCH($B$3&amp;"|5|"&amp;E$74&amp;"|"&amp;$A84,'Master Data'!$A$2:$A$2436,0)),"")</f>
        <v>(tanpa age group)  0/5
coach: –</v>
      </c>
      <c r="F84" s="60" t="str">
        <f aca="false">IFERROR(INDEX('Master Data'!$M$2:$M$2436,MATCH($B$3&amp;"|5|"&amp;F$74&amp;"|"&amp;$A84,'Master Data'!$A$2:$A$2436,0)),"")</f>
        <v>Kids  4/4
coach: Nabila</v>
      </c>
      <c r="G84" s="60" t="str">
        <f aca="false">IFERROR(INDEX('Master Data'!$M$2:$M$2436,MATCH($B$3&amp;"|5|"&amp;G$74&amp;"|"&amp;$A84,'Master Data'!$A$2:$A$2436,0)),"")</f>
        <v>Kids  4/5
coach: Ziran</v>
      </c>
      <c r="H84" s="60" t="str">
        <f aca="false">IFERROR(INDEX('Master Data'!$M$2:$M$2436,MATCH($B$3&amp;"|5|"&amp;H$74&amp;"|"&amp;$A84,'Master Data'!$A$2:$A$2436,0)),"")</f>
        <v>Kids  2/5
coach: Andreas</v>
      </c>
      <c r="T84" s="61" t="str">
        <f aca="false">IFERROR(INDEX('Master Data'!$L$2:$L$2436,MATCH($B$3&amp;"|5|"&amp;B$74&amp;"|"&amp;$A84,'Master Data'!$A$2:$A$2436,0)),"")</f>
        <v>Sebagian</v>
      </c>
      <c r="U84" s="61" t="str">
        <f aca="false">IFERROR(INDEX('Master Data'!$L$2:$L$2436,MATCH($B$3&amp;"|5|"&amp;C$74&amp;"|"&amp;$A84,'Master Data'!$A$2:$A$2436,0)),"")</f>
        <v>Slot kosong</v>
      </c>
      <c r="V84" s="61" t="str">
        <f aca="false">IFERROR(INDEX('Master Data'!$L$2:$L$2436,MATCH($B$3&amp;"|5|"&amp;D$74&amp;"|"&amp;$A84,'Master Data'!$A$2:$A$2436,0)),"")</f>
        <v>Sebagian</v>
      </c>
      <c r="W84" s="61" t="str">
        <f aca="false">IFERROR(INDEX('Master Data'!$L$2:$L$2436,MATCH($B$3&amp;"|5|"&amp;E$74&amp;"|"&amp;$A84,'Master Data'!$A$2:$A$2436,0)),"")</f>
        <v>Slot kosong</v>
      </c>
      <c r="X84" s="61" t="str">
        <f aca="false">IFERROR(INDEX('Master Data'!$L$2:$L$2436,MATCH($B$3&amp;"|5|"&amp;F$74&amp;"|"&amp;$A84,'Master Data'!$A$2:$A$2436,0)),"")</f>
        <v>Penuh</v>
      </c>
      <c r="Y84" s="61" t="str">
        <f aca="false">IFERROR(INDEX('Master Data'!$L$2:$L$2436,MATCH($B$3&amp;"|5|"&amp;G$74&amp;"|"&amp;$A84,'Master Data'!$A$2:$A$2436,0)),"")</f>
        <v>Sebagian</v>
      </c>
      <c r="Z84" s="61" t="str">
        <f aca="false">IFERROR(INDEX('Master Data'!$L$2:$L$2436,MATCH($B$3&amp;"|5|"&amp;H$74&amp;"|"&amp;$A84,'Master Data'!$A$2:$A$2436,0)),"")</f>
        <v>Sebagian</v>
      </c>
    </row>
    <row r="85" customFormat="false" ht="30" hidden="false" customHeight="true" outlineLevel="0" collapsed="false">
      <c r="A85" s="59" t="s">
        <v>120</v>
      </c>
      <c r="B85" s="60" t="str">
        <f aca="false">IFERROR(INDEX('Master Data'!$M$2:$M$2436,MATCH($B$3&amp;"|5|"&amp;B$74&amp;"|"&amp;$A85,'Master Data'!$A$2:$A$2436,0)),"")</f>
        <v>Little  1/5
coach: Eve</v>
      </c>
      <c r="C85" s="60" t="str">
        <f aca="false">IFERROR(INDEX('Master Data'!$M$2:$M$2436,MATCH($B$3&amp;"|5|"&amp;C$74&amp;"|"&amp;$A85,'Master Data'!$A$2:$A$2436,0)),"")</f>
        <v>Kids  4/5
coach: Frido</v>
      </c>
      <c r="D85" s="60" t="str">
        <f aca="false">IFERROR(INDEX('Master Data'!$M$2:$M$2436,MATCH($B$3&amp;"|5|"&amp;D$74&amp;"|"&amp;$A85,'Master Data'!$A$2:$A$2436,0)),"")</f>
        <v>(tanpa age group)  0/5
coach: –</v>
      </c>
      <c r="E85" s="60" t="str">
        <f aca="false">IFERROR(INDEX('Master Data'!$M$2:$M$2436,MATCH($B$3&amp;"|5|"&amp;E$74&amp;"|"&amp;$A85,'Master Data'!$A$2:$A$2436,0)),"")</f>
        <v>(tanpa age group)  0/5
coach: –</v>
      </c>
      <c r="F85" s="60" t="str">
        <f aca="false">IFERROR(INDEX('Master Data'!$M$2:$M$2436,MATCH($B$3&amp;"|5|"&amp;F$74&amp;"|"&amp;$A85,'Master Data'!$A$2:$A$2436,0)),"")</f>
        <v>Little  3/4
coach: Frido</v>
      </c>
      <c r="G85" s="60" t="str">
        <f aca="false">IFERROR(INDEX('Master Data'!$M$2:$M$2436,MATCH($B$3&amp;"|5|"&amp;G$74&amp;"|"&amp;$A85,'Master Data'!$A$2:$A$2436,0)),"")</f>
        <v>Kids  4/4
coach: Eriek</v>
      </c>
      <c r="H85" s="60" t="str">
        <f aca="false">IFERROR(INDEX('Master Data'!$M$2:$M$2436,MATCH($B$3&amp;"|5|"&amp;H$74&amp;"|"&amp;$A85,'Master Data'!$A$2:$A$2436,0)),"")</f>
        <v>Kids  2/5
coach: Frido</v>
      </c>
      <c r="T85" s="61" t="str">
        <f aca="false">IFERROR(INDEX('Master Data'!$L$2:$L$2436,MATCH($B$3&amp;"|5|"&amp;B$74&amp;"|"&amp;$A85,'Master Data'!$A$2:$A$2436,0)),"")</f>
        <v>Sebagian</v>
      </c>
      <c r="U85" s="61" t="str">
        <f aca="false">IFERROR(INDEX('Master Data'!$L$2:$L$2436,MATCH($B$3&amp;"|5|"&amp;C$74&amp;"|"&amp;$A85,'Master Data'!$A$2:$A$2436,0)),"")</f>
        <v>Sebagian</v>
      </c>
      <c r="V85" s="61" t="str">
        <f aca="false">IFERROR(INDEX('Master Data'!$L$2:$L$2436,MATCH($B$3&amp;"|5|"&amp;D$74&amp;"|"&amp;$A85,'Master Data'!$A$2:$A$2436,0)),"")</f>
        <v>Slot kosong</v>
      </c>
      <c r="W85" s="61" t="str">
        <f aca="false">IFERROR(INDEX('Master Data'!$L$2:$L$2436,MATCH($B$3&amp;"|5|"&amp;E$74&amp;"|"&amp;$A85,'Master Data'!$A$2:$A$2436,0)),"")</f>
        <v>Slot kosong</v>
      </c>
      <c r="X85" s="61" t="str">
        <f aca="false">IFERROR(INDEX('Master Data'!$L$2:$L$2436,MATCH($B$3&amp;"|5|"&amp;F$74&amp;"|"&amp;$A85,'Master Data'!$A$2:$A$2436,0)),"")</f>
        <v>Sebagian</v>
      </c>
      <c r="Y85" s="61" t="str">
        <f aca="false">IFERROR(INDEX('Master Data'!$L$2:$L$2436,MATCH($B$3&amp;"|5|"&amp;G$74&amp;"|"&amp;$A85,'Master Data'!$A$2:$A$2436,0)),"")</f>
        <v>Penuh</v>
      </c>
      <c r="Z85" s="61" t="str">
        <f aca="false">IFERROR(INDEX('Master Data'!$L$2:$L$2436,MATCH($B$3&amp;"|5|"&amp;H$74&amp;"|"&amp;$A85,'Master Data'!$A$2:$A$2436,0)),"")</f>
        <v>Sebagian</v>
      </c>
    </row>
    <row r="86" customFormat="false" ht="30" hidden="false" customHeight="true" outlineLevel="0" collapsed="false">
      <c r="A86" s="59" t="s">
        <v>121</v>
      </c>
      <c r="B86" s="60" t="str">
        <f aca="false">IFERROR(INDEX('Master Data'!$M$2:$M$2436,MATCH($B$3&amp;"|5|"&amp;B$74&amp;"|"&amp;$A86,'Master Data'!$A$2:$A$2436,0)),"")</f>
        <v>(tanpa age group)  0/5
coach: –</v>
      </c>
      <c r="C86" s="60" t="str">
        <f aca="false">IFERROR(INDEX('Master Data'!$M$2:$M$2436,MATCH($B$3&amp;"|5|"&amp;C$74&amp;"|"&amp;$A86,'Master Data'!$A$2:$A$2436,0)),"")</f>
        <v>Little  2/5
coach: Eriek</v>
      </c>
      <c r="D86" s="60" t="str">
        <f aca="false">IFERROR(INDEX('Master Data'!$M$2:$M$2436,MATCH($B$3&amp;"|5|"&amp;D$74&amp;"|"&amp;$A86,'Master Data'!$A$2:$A$2436,0)),"")</f>
        <v>Kids  4/5
coach: Andreas</v>
      </c>
      <c r="E86" s="60" t="str">
        <f aca="false">IFERROR(INDEX('Master Data'!$M$2:$M$2436,MATCH($B$3&amp;"|5|"&amp;E$74&amp;"|"&amp;$A86,'Master Data'!$A$2:$A$2436,0)),"")</f>
        <v>(tanpa age group)  0/5
coach: –</v>
      </c>
      <c r="F86" s="60" t="str">
        <f aca="false">IFERROR(INDEX('Master Data'!$M$2:$M$2436,MATCH($B$3&amp;"|5|"&amp;F$74&amp;"|"&amp;$A86,'Master Data'!$A$2:$A$2436,0)),"")</f>
        <v>Kids  4/5
coach: Ziran</v>
      </c>
      <c r="G86" s="60" t="str">
        <f aca="false">IFERROR(INDEX('Master Data'!$M$2:$M$2436,MATCH($B$3&amp;"|5|"&amp;G$74&amp;"|"&amp;$A86,'Master Data'!$A$2:$A$2436,0)),"")</f>
        <v>Kids  3/5
coach: Eve</v>
      </c>
      <c r="H86" s="60" t="str">
        <f aca="false">IFERROR(INDEX('Master Data'!$M$2:$M$2436,MATCH($B$3&amp;"|5|"&amp;H$74&amp;"|"&amp;$A86,'Master Data'!$A$2:$A$2436,0)),"")</f>
        <v>Little  0/5
coach: –</v>
      </c>
      <c r="T86" s="61" t="str">
        <f aca="false">IFERROR(INDEX('Master Data'!$L$2:$L$2436,MATCH($B$3&amp;"|5|"&amp;B$74&amp;"|"&amp;$A86,'Master Data'!$A$2:$A$2436,0)),"")</f>
        <v>Slot kosong</v>
      </c>
      <c r="U86" s="61" t="str">
        <f aca="false">IFERROR(INDEX('Master Data'!$L$2:$L$2436,MATCH($B$3&amp;"|5|"&amp;C$74&amp;"|"&amp;$A86,'Master Data'!$A$2:$A$2436,0)),"")</f>
        <v>Sebagian</v>
      </c>
      <c r="V86" s="61" t="str">
        <f aca="false">IFERROR(INDEX('Master Data'!$L$2:$L$2436,MATCH($B$3&amp;"|5|"&amp;D$74&amp;"|"&amp;$A86,'Master Data'!$A$2:$A$2436,0)),"")</f>
        <v>Sebagian</v>
      </c>
      <c r="W86" s="61" t="str">
        <f aca="false">IFERROR(INDEX('Master Data'!$L$2:$L$2436,MATCH($B$3&amp;"|5|"&amp;E$74&amp;"|"&amp;$A86,'Master Data'!$A$2:$A$2436,0)),"")</f>
        <v>Slot kosong</v>
      </c>
      <c r="X86" s="61" t="str">
        <f aca="false">IFERROR(INDEX('Master Data'!$L$2:$L$2436,MATCH($B$3&amp;"|5|"&amp;F$74&amp;"|"&amp;$A86,'Master Data'!$A$2:$A$2436,0)),"")</f>
        <v>Sebagian</v>
      </c>
      <c r="Y86" s="61" t="str">
        <f aca="false">IFERROR(INDEX('Master Data'!$L$2:$L$2436,MATCH($B$3&amp;"|5|"&amp;G$74&amp;"|"&amp;$A86,'Master Data'!$A$2:$A$2436,0)),"")</f>
        <v>Sebagian</v>
      </c>
      <c r="Z86" s="61" t="str">
        <f aca="false">IFERROR(INDEX('Master Data'!$L$2:$L$2436,MATCH($B$3&amp;"|5|"&amp;H$74&amp;"|"&amp;$A86,'Master Data'!$A$2:$A$2436,0)),"")</f>
        <v>Belum terisi</v>
      </c>
    </row>
    <row r="89" customFormat="false" ht="16.15" hidden="false" customHeight="false" outlineLevel="0" collapsed="false">
      <c r="A89" s="62" t="s">
        <v>124</v>
      </c>
      <c r="B89" s="63"/>
      <c r="C89" s="63"/>
      <c r="D89" s="63"/>
      <c r="E89" s="63"/>
      <c r="F89" s="63"/>
      <c r="G89" s="63"/>
      <c r="H89" s="63"/>
      <c r="I89" s="63"/>
      <c r="J89" s="63"/>
      <c r="K89" s="63"/>
      <c r="L89" s="63"/>
      <c r="M89" s="63"/>
      <c r="N89" s="63"/>
    </row>
    <row r="90" customFormat="false" ht="15" hidden="false" customHeight="false" outlineLevel="0" collapsed="false">
      <c r="A90" s="52" t="s">
        <v>125</v>
      </c>
    </row>
    <row r="91" customFormat="false" ht="31.5" hidden="false" customHeight="true" outlineLevel="0" collapsed="false">
      <c r="A91" s="64" t="s">
        <v>126</v>
      </c>
      <c r="B91" s="64" t="s">
        <v>127</v>
      </c>
      <c r="C91" s="64" t="s">
        <v>89</v>
      </c>
      <c r="D91" s="64" t="s">
        <v>128</v>
      </c>
      <c r="E91" s="64" t="s">
        <v>36</v>
      </c>
      <c r="F91" s="64" t="s">
        <v>129</v>
      </c>
      <c r="G91" s="64" t="s">
        <v>57</v>
      </c>
      <c r="H91" s="64" t="s">
        <v>130</v>
      </c>
      <c r="I91" s="64" t="s">
        <v>131</v>
      </c>
      <c r="J91" s="64" t="s">
        <v>132</v>
      </c>
      <c r="K91" s="65" t="s">
        <v>39</v>
      </c>
      <c r="L91" s="65" t="s">
        <v>41</v>
      </c>
      <c r="M91" s="65" t="s">
        <v>43</v>
      </c>
      <c r="N91" s="65" t="s">
        <v>45</v>
      </c>
      <c r="O91" s="65" t="s">
        <v>46</v>
      </c>
    </row>
    <row r="92" customFormat="false" ht="40.5" hidden="false" customHeight="true" outlineLevel="0" collapsed="false">
      <c r="A92" s="66" t="n">
        <v>1</v>
      </c>
      <c r="B92" s="67" t="s">
        <v>90</v>
      </c>
      <c r="C92" s="66" t="s">
        <v>111</v>
      </c>
      <c r="D92" s="66" t="n">
        <v>5</v>
      </c>
      <c r="E92" s="67" t="str">
        <f aca="false">IFERROR(INDEX('Master Data'!$L$2:$L$2436,MATCH($B$3&amp;"|"&amp;D92&amp;"|"&amp;B92&amp;"|"&amp;C92,'Master Data'!$A$2:$A$2436,0)),"")</f>
        <v>Slot kosong</v>
      </c>
      <c r="F92" s="67" t="str">
        <f aca="false">IFERROR(INDEX('Master Data'!$F$2:$F$2436,MATCH($B$3&amp;"|"&amp;D92&amp;"|"&amp;B92&amp;"|"&amp;C92,'Master Data'!$A$2:$A$2436,0))&amp;"","")</f>
        <v/>
      </c>
      <c r="G92" s="66" t="n">
        <f aca="false">IFERROR(INDEX('Master Data'!$G$2:$G$2436,MATCH($B$3&amp;"|"&amp;D92&amp;"|"&amp;B92&amp;"|"&amp;C92,'Master Data'!$A$2:$A$2436,0)),"")</f>
        <v>5</v>
      </c>
      <c r="H92" s="67" t="str">
        <f aca="false">IFERROR(INDEX('Master Data'!$K$2:$K$2436,MATCH($B$3&amp;"|"&amp;D92&amp;"|"&amp;B92&amp;"|"&amp;C92,'Master Data'!$A$2:$A$2436,0))&amp;"","")</f>
        <v/>
      </c>
      <c r="I92" s="67" t="s">
        <v>213</v>
      </c>
      <c r="J92" s="67" t="s">
        <v>134</v>
      </c>
      <c r="K92" s="68"/>
      <c r="L92" s="68"/>
      <c r="M92" s="68"/>
      <c r="N92" s="69"/>
      <c r="O92" s="68"/>
    </row>
    <row r="93" customFormat="false" ht="40.5" hidden="false" customHeight="true" outlineLevel="0" collapsed="false">
      <c r="A93" s="66" t="n">
        <v>2</v>
      </c>
      <c r="B93" s="67" t="s">
        <v>90</v>
      </c>
      <c r="C93" s="66" t="s">
        <v>97</v>
      </c>
      <c r="D93" s="66" t="n">
        <v>3</v>
      </c>
      <c r="E93" s="67" t="str">
        <f aca="false">IFERROR(INDEX('Master Data'!$L$2:$L$2436,MATCH($B$3&amp;"|"&amp;D93&amp;"|"&amp;B93&amp;"|"&amp;C93,'Master Data'!$A$2:$A$2436,0)),"")</f>
        <v>Belum terisi</v>
      </c>
      <c r="F93" s="67" t="str">
        <f aca="false">IFERROR(INDEX('Master Data'!$F$2:$F$2436,MATCH($B$3&amp;"|"&amp;D93&amp;"|"&amp;B93&amp;"|"&amp;C93,'Master Data'!$A$2:$A$2436,0))&amp;"","")</f>
        <v>Little</v>
      </c>
      <c r="G93" s="66" t="n">
        <f aca="false">IFERROR(INDEX('Master Data'!$G$2:$G$2436,MATCH($B$3&amp;"|"&amp;D93&amp;"|"&amp;B93&amp;"|"&amp;C93,'Master Data'!$A$2:$A$2436,0)),"")</f>
        <v>4</v>
      </c>
      <c r="H93" s="67" t="str">
        <f aca="false">IFERROR(INDEX('Master Data'!$K$2:$K$2436,MATCH($B$3&amp;"|"&amp;D93&amp;"|"&amp;B93&amp;"|"&amp;C93,'Master Data'!$A$2:$A$2436,0))&amp;"","")</f>
        <v/>
      </c>
      <c r="I93" s="67" t="s">
        <v>213</v>
      </c>
      <c r="J93" s="67" t="s">
        <v>134</v>
      </c>
      <c r="K93" s="68"/>
      <c r="L93" s="68"/>
      <c r="M93" s="68"/>
      <c r="N93" s="69"/>
      <c r="O93" s="68"/>
    </row>
    <row r="94" customFormat="false" ht="40.5" hidden="false" customHeight="true" outlineLevel="0" collapsed="false">
      <c r="A94" s="66" t="n">
        <v>3</v>
      </c>
      <c r="B94" s="67" t="s">
        <v>90</v>
      </c>
      <c r="C94" s="66" t="s">
        <v>97</v>
      </c>
      <c r="D94" s="66" t="n">
        <v>4</v>
      </c>
      <c r="E94" s="67" t="str">
        <f aca="false">IFERROR(INDEX('Master Data'!$L$2:$L$2436,MATCH($B$3&amp;"|"&amp;D94&amp;"|"&amp;B94&amp;"|"&amp;C94,'Master Data'!$A$2:$A$2436,0)),"")</f>
        <v>Belum terisi</v>
      </c>
      <c r="F94" s="67" t="str">
        <f aca="false">IFERROR(INDEX('Master Data'!$F$2:$F$2436,MATCH($B$3&amp;"|"&amp;D94&amp;"|"&amp;B94&amp;"|"&amp;C94,'Master Data'!$A$2:$A$2436,0))&amp;"","")</f>
        <v>Kids</v>
      </c>
      <c r="G94" s="66" t="n">
        <f aca="false">IFERROR(INDEX('Master Data'!$G$2:$G$2436,MATCH($B$3&amp;"|"&amp;D94&amp;"|"&amp;B94&amp;"|"&amp;C94,'Master Data'!$A$2:$A$2436,0)),"")</f>
        <v>4</v>
      </c>
      <c r="H94" s="67" t="str">
        <f aca="false">IFERROR(INDEX('Master Data'!$K$2:$K$2436,MATCH($B$3&amp;"|"&amp;D94&amp;"|"&amp;B94&amp;"|"&amp;C94,'Master Data'!$A$2:$A$2436,0))&amp;"","")</f>
        <v/>
      </c>
      <c r="I94" s="67" t="s">
        <v>213</v>
      </c>
      <c r="J94" s="67" t="s">
        <v>134</v>
      </c>
      <c r="K94" s="68"/>
      <c r="L94" s="68"/>
      <c r="M94" s="68"/>
      <c r="N94" s="69"/>
      <c r="O94" s="68"/>
    </row>
    <row r="95" customFormat="false" ht="52.5" hidden="false" customHeight="true" outlineLevel="0" collapsed="false">
      <c r="A95" s="66" t="n">
        <v>4</v>
      </c>
      <c r="B95" s="67" t="s">
        <v>90</v>
      </c>
      <c r="C95" s="66" t="s">
        <v>112</v>
      </c>
      <c r="D95" s="66" t="n">
        <v>1</v>
      </c>
      <c r="E95" s="67" t="str">
        <f aca="false">IFERROR(INDEX('Master Data'!$L$2:$L$2436,MATCH($B$3&amp;"|"&amp;D95&amp;"|"&amp;B95&amp;"|"&amp;C95,'Master Data'!$A$2:$A$2436,0)),"")</f>
        <v>Belum terisi</v>
      </c>
      <c r="F95" s="67" t="str">
        <f aca="false">IFERROR(INDEX('Master Data'!$F$2:$F$2436,MATCH($B$3&amp;"|"&amp;D95&amp;"|"&amp;B95&amp;"|"&amp;C95,'Master Data'!$A$2:$A$2436,0))&amp;"","")</f>
        <v>Baby</v>
      </c>
      <c r="G95" s="66" t="n">
        <f aca="false">IFERROR(INDEX('Master Data'!$G$2:$G$2436,MATCH($B$3&amp;"|"&amp;D95&amp;"|"&amp;B95&amp;"|"&amp;C95,'Master Data'!$A$2:$A$2436,0)),"")</f>
        <v>5</v>
      </c>
      <c r="H95" s="67" t="str">
        <f aca="false">IFERROR(INDEX('Master Data'!$K$2:$K$2436,MATCH($B$3&amp;"|"&amp;D95&amp;"|"&amp;B95&amp;"|"&amp;C95,'Master Data'!$A$2:$A$2436,0))&amp;"","")</f>
        <v/>
      </c>
      <c r="I95" s="67" t="s">
        <v>214</v>
      </c>
      <c r="J95" s="67" t="s">
        <v>134</v>
      </c>
      <c r="K95" s="68"/>
      <c r="L95" s="68"/>
      <c r="M95" s="68"/>
      <c r="N95" s="69"/>
      <c r="O95" s="68"/>
    </row>
    <row r="96" customFormat="false" ht="52.5" hidden="false" customHeight="true" outlineLevel="0" collapsed="false">
      <c r="A96" s="66" t="n">
        <v>5</v>
      </c>
      <c r="B96" s="67" t="s">
        <v>90</v>
      </c>
      <c r="C96" s="66" t="s">
        <v>112</v>
      </c>
      <c r="D96" s="66" t="n">
        <v>2</v>
      </c>
      <c r="E96" s="67" t="str">
        <f aca="false">IFERROR(INDEX('Master Data'!$L$2:$L$2436,MATCH($B$3&amp;"|"&amp;D96&amp;"|"&amp;B96&amp;"|"&amp;C96,'Master Data'!$A$2:$A$2436,0)),"")</f>
        <v>Belum terisi</v>
      </c>
      <c r="F96" s="67" t="str">
        <f aca="false">IFERROR(INDEX('Master Data'!$F$2:$F$2436,MATCH($B$3&amp;"|"&amp;D96&amp;"|"&amp;B96&amp;"|"&amp;C96,'Master Data'!$A$2:$A$2436,0))&amp;"","")</f>
        <v>Tiny</v>
      </c>
      <c r="G96" s="66" t="n">
        <f aca="false">IFERROR(INDEX('Master Data'!$G$2:$G$2436,MATCH($B$3&amp;"|"&amp;D96&amp;"|"&amp;B96&amp;"|"&amp;C96,'Master Data'!$A$2:$A$2436,0)),"")</f>
        <v>5</v>
      </c>
      <c r="H96" s="67" t="str">
        <f aca="false">IFERROR(INDEX('Master Data'!$K$2:$K$2436,MATCH($B$3&amp;"|"&amp;D96&amp;"|"&amp;B96&amp;"|"&amp;C96,'Master Data'!$A$2:$A$2436,0))&amp;"","")</f>
        <v/>
      </c>
      <c r="I96" s="67" t="s">
        <v>214</v>
      </c>
      <c r="J96" s="67" t="s">
        <v>134</v>
      </c>
      <c r="K96" s="68"/>
      <c r="L96" s="68"/>
      <c r="M96" s="68"/>
      <c r="N96" s="69"/>
      <c r="O96" s="68"/>
    </row>
    <row r="97" customFormat="false" ht="52.5" hidden="false" customHeight="true" outlineLevel="0" collapsed="false">
      <c r="A97" s="66" t="n">
        <v>6</v>
      </c>
      <c r="B97" s="67" t="s">
        <v>90</v>
      </c>
      <c r="C97" s="66" t="s">
        <v>112</v>
      </c>
      <c r="D97" s="66" t="n">
        <v>5</v>
      </c>
      <c r="E97" s="67" t="str">
        <f aca="false">IFERROR(INDEX('Master Data'!$L$2:$L$2436,MATCH($B$3&amp;"|"&amp;D97&amp;"|"&amp;B97&amp;"|"&amp;C97,'Master Data'!$A$2:$A$2436,0)),"")</f>
        <v>Slot kosong</v>
      </c>
      <c r="F97" s="67" t="str">
        <f aca="false">IFERROR(INDEX('Master Data'!$F$2:$F$2436,MATCH($B$3&amp;"|"&amp;D97&amp;"|"&amp;B97&amp;"|"&amp;C97,'Master Data'!$A$2:$A$2436,0))&amp;"","")</f>
        <v/>
      </c>
      <c r="G97" s="66" t="n">
        <f aca="false">IFERROR(INDEX('Master Data'!$G$2:$G$2436,MATCH($B$3&amp;"|"&amp;D97&amp;"|"&amp;B97&amp;"|"&amp;C97,'Master Data'!$A$2:$A$2436,0)),"")</f>
        <v>5</v>
      </c>
      <c r="H97" s="67" t="str">
        <f aca="false">IFERROR(INDEX('Master Data'!$K$2:$K$2436,MATCH($B$3&amp;"|"&amp;D97&amp;"|"&amp;B97&amp;"|"&amp;C97,'Master Data'!$A$2:$A$2436,0))&amp;"","")</f>
        <v/>
      </c>
      <c r="I97" s="67" t="s">
        <v>214</v>
      </c>
      <c r="J97" s="67" t="s">
        <v>134</v>
      </c>
      <c r="K97" s="68"/>
      <c r="L97" s="68"/>
      <c r="M97" s="68"/>
      <c r="N97" s="69"/>
      <c r="O97" s="68"/>
    </row>
    <row r="98" customFormat="false" ht="52.5" hidden="false" customHeight="true" outlineLevel="0" collapsed="false">
      <c r="A98" s="66" t="n">
        <v>7</v>
      </c>
      <c r="B98" s="67" t="s">
        <v>90</v>
      </c>
      <c r="C98" s="66" t="s">
        <v>98</v>
      </c>
      <c r="D98" s="66" t="n">
        <v>3</v>
      </c>
      <c r="E98" s="67" t="str">
        <f aca="false">IFERROR(INDEX('Master Data'!$L$2:$L$2436,MATCH($B$3&amp;"|"&amp;D98&amp;"|"&amp;B98&amp;"|"&amp;C98,'Master Data'!$A$2:$A$2436,0)),"")</f>
        <v>Belum terisi</v>
      </c>
      <c r="F98" s="67" t="str">
        <f aca="false">IFERROR(INDEX('Master Data'!$F$2:$F$2436,MATCH($B$3&amp;"|"&amp;D98&amp;"|"&amp;B98&amp;"|"&amp;C98,'Master Data'!$A$2:$A$2436,0))&amp;"","")</f>
        <v>Little</v>
      </c>
      <c r="G98" s="66" t="n">
        <f aca="false">IFERROR(INDEX('Master Data'!$G$2:$G$2436,MATCH($B$3&amp;"|"&amp;D98&amp;"|"&amp;B98&amp;"|"&amp;C98,'Master Data'!$A$2:$A$2436,0)),"")</f>
        <v>4</v>
      </c>
      <c r="H98" s="67" t="str">
        <f aca="false">IFERROR(INDEX('Master Data'!$K$2:$K$2436,MATCH($B$3&amp;"|"&amp;D98&amp;"|"&amp;B98&amp;"|"&amp;C98,'Master Data'!$A$2:$A$2436,0))&amp;"","")</f>
        <v/>
      </c>
      <c r="I98" s="67" t="s">
        <v>214</v>
      </c>
      <c r="J98" s="67" t="s">
        <v>134</v>
      </c>
      <c r="K98" s="68"/>
      <c r="L98" s="68"/>
      <c r="M98" s="68"/>
      <c r="N98" s="69"/>
      <c r="O98" s="68"/>
    </row>
    <row r="99" customFormat="false" ht="52.5" hidden="false" customHeight="true" outlineLevel="0" collapsed="false">
      <c r="A99" s="66" t="n">
        <v>8</v>
      </c>
      <c r="B99" s="67" t="s">
        <v>90</v>
      </c>
      <c r="C99" s="66" t="s">
        <v>113</v>
      </c>
      <c r="D99" s="66" t="n">
        <v>1</v>
      </c>
      <c r="E99" s="67" t="str">
        <f aca="false">IFERROR(INDEX('Master Data'!$L$2:$L$2436,MATCH($B$3&amp;"|"&amp;D99&amp;"|"&amp;B99&amp;"|"&amp;C99,'Master Data'!$A$2:$A$2436,0)),"")</f>
        <v>Belum terisi</v>
      </c>
      <c r="F99" s="67" t="str">
        <f aca="false">IFERROR(INDEX('Master Data'!$F$2:$F$2436,MATCH($B$3&amp;"|"&amp;D99&amp;"|"&amp;B99&amp;"|"&amp;C99,'Master Data'!$A$2:$A$2436,0))&amp;"","")</f>
        <v>Baby</v>
      </c>
      <c r="G99" s="66" t="n">
        <f aca="false">IFERROR(INDEX('Master Data'!$G$2:$G$2436,MATCH($B$3&amp;"|"&amp;D99&amp;"|"&amp;B99&amp;"|"&amp;C99,'Master Data'!$A$2:$A$2436,0)),"")</f>
        <v>5</v>
      </c>
      <c r="H99" s="67" t="str">
        <f aca="false">IFERROR(INDEX('Master Data'!$K$2:$K$2436,MATCH($B$3&amp;"|"&amp;D99&amp;"|"&amp;B99&amp;"|"&amp;C99,'Master Data'!$A$2:$A$2436,0))&amp;"","")</f>
        <v/>
      </c>
      <c r="I99" s="67" t="s">
        <v>214</v>
      </c>
      <c r="J99" s="67" t="s">
        <v>134</v>
      </c>
      <c r="K99" s="68"/>
      <c r="L99" s="68"/>
      <c r="M99" s="68"/>
      <c r="N99" s="69"/>
      <c r="O99" s="68"/>
    </row>
    <row r="100" customFormat="false" ht="52.5" hidden="false" customHeight="true" outlineLevel="0" collapsed="false">
      <c r="A100" s="66" t="n">
        <v>9</v>
      </c>
      <c r="B100" s="67" t="s">
        <v>90</v>
      </c>
      <c r="C100" s="66" t="s">
        <v>113</v>
      </c>
      <c r="D100" s="66" t="n">
        <v>2</v>
      </c>
      <c r="E100" s="67" t="str">
        <f aca="false">IFERROR(INDEX('Master Data'!$L$2:$L$2436,MATCH($B$3&amp;"|"&amp;D100&amp;"|"&amp;B100&amp;"|"&amp;C100,'Master Data'!$A$2:$A$2436,0)),"")</f>
        <v>Belum terisi</v>
      </c>
      <c r="F100" s="67" t="str">
        <f aca="false">IFERROR(INDEX('Master Data'!$F$2:$F$2436,MATCH($B$3&amp;"|"&amp;D100&amp;"|"&amp;B100&amp;"|"&amp;C100,'Master Data'!$A$2:$A$2436,0))&amp;"","")</f>
        <v>Tiny</v>
      </c>
      <c r="G100" s="66" t="n">
        <f aca="false">IFERROR(INDEX('Master Data'!$G$2:$G$2436,MATCH($B$3&amp;"|"&amp;D100&amp;"|"&amp;B100&amp;"|"&amp;C100,'Master Data'!$A$2:$A$2436,0)),"")</f>
        <v>5</v>
      </c>
      <c r="H100" s="67" t="str">
        <f aca="false">IFERROR(INDEX('Master Data'!$K$2:$K$2436,MATCH($B$3&amp;"|"&amp;D100&amp;"|"&amp;B100&amp;"|"&amp;C100,'Master Data'!$A$2:$A$2436,0))&amp;"","")</f>
        <v/>
      </c>
      <c r="I100" s="67" t="s">
        <v>214</v>
      </c>
      <c r="J100" s="67" t="s">
        <v>134</v>
      </c>
      <c r="K100" s="68"/>
      <c r="L100" s="68"/>
      <c r="M100" s="68"/>
      <c r="N100" s="69"/>
      <c r="O100" s="68"/>
    </row>
    <row r="101" customFormat="false" ht="52.5" hidden="false" customHeight="true" outlineLevel="0" collapsed="false">
      <c r="A101" s="66" t="n">
        <v>10</v>
      </c>
      <c r="B101" s="67" t="s">
        <v>90</v>
      </c>
      <c r="C101" s="66" t="s">
        <v>113</v>
      </c>
      <c r="D101" s="66" t="n">
        <v>5</v>
      </c>
      <c r="E101" s="67" t="str">
        <f aca="false">IFERROR(INDEX('Master Data'!$L$2:$L$2436,MATCH($B$3&amp;"|"&amp;D101&amp;"|"&amp;B101&amp;"|"&amp;C101,'Master Data'!$A$2:$A$2436,0)),"")</f>
        <v>Slot kosong</v>
      </c>
      <c r="F101" s="67" t="str">
        <f aca="false">IFERROR(INDEX('Master Data'!$F$2:$F$2436,MATCH($B$3&amp;"|"&amp;D101&amp;"|"&amp;B101&amp;"|"&amp;C101,'Master Data'!$A$2:$A$2436,0))&amp;"","")</f>
        <v/>
      </c>
      <c r="G101" s="66" t="n">
        <f aca="false">IFERROR(INDEX('Master Data'!$G$2:$G$2436,MATCH($B$3&amp;"|"&amp;D101&amp;"|"&amp;B101&amp;"|"&amp;C101,'Master Data'!$A$2:$A$2436,0)),"")</f>
        <v>5</v>
      </c>
      <c r="H101" s="67" t="str">
        <f aca="false">IFERROR(INDEX('Master Data'!$K$2:$K$2436,MATCH($B$3&amp;"|"&amp;D101&amp;"|"&amp;B101&amp;"|"&amp;C101,'Master Data'!$A$2:$A$2436,0))&amp;"","")</f>
        <v/>
      </c>
      <c r="I101" s="67" t="s">
        <v>214</v>
      </c>
      <c r="J101" s="67" t="s">
        <v>134</v>
      </c>
      <c r="K101" s="68"/>
      <c r="L101" s="68"/>
      <c r="M101" s="68"/>
      <c r="N101" s="69"/>
      <c r="O101" s="68"/>
    </row>
    <row r="102" customFormat="false" ht="40.5" hidden="false" customHeight="true" outlineLevel="0" collapsed="false">
      <c r="A102" s="66" t="n">
        <v>11</v>
      </c>
      <c r="B102" s="67" t="s">
        <v>90</v>
      </c>
      <c r="C102" s="66" t="s">
        <v>99</v>
      </c>
      <c r="D102" s="66" t="n">
        <v>3</v>
      </c>
      <c r="E102" s="67" t="str">
        <f aca="false">IFERROR(INDEX('Master Data'!$L$2:$L$2436,MATCH($B$3&amp;"|"&amp;D102&amp;"|"&amp;B102&amp;"|"&amp;C102,'Master Data'!$A$2:$A$2436,0)),"")</f>
        <v>Belum terisi</v>
      </c>
      <c r="F102" s="67" t="str">
        <f aca="false">IFERROR(INDEX('Master Data'!$F$2:$F$2436,MATCH($B$3&amp;"|"&amp;D102&amp;"|"&amp;B102&amp;"|"&amp;C102,'Master Data'!$A$2:$A$2436,0))&amp;"","")</f>
        <v>Little</v>
      </c>
      <c r="G102" s="66" t="n">
        <f aca="false">IFERROR(INDEX('Master Data'!$G$2:$G$2436,MATCH($B$3&amp;"|"&amp;D102&amp;"|"&amp;B102&amp;"|"&amp;C102,'Master Data'!$A$2:$A$2436,0)),"")</f>
        <v>4</v>
      </c>
      <c r="H102" s="67" t="str">
        <f aca="false">IFERROR(INDEX('Master Data'!$K$2:$K$2436,MATCH($B$3&amp;"|"&amp;D102&amp;"|"&amp;B102&amp;"|"&amp;C102,'Master Data'!$A$2:$A$2436,0))&amp;"","")</f>
        <v/>
      </c>
      <c r="I102" s="67" t="s">
        <v>215</v>
      </c>
      <c r="J102" s="67" t="s">
        <v>134</v>
      </c>
      <c r="K102" s="68"/>
      <c r="L102" s="68"/>
      <c r="M102" s="68"/>
      <c r="N102" s="69"/>
      <c r="O102" s="68"/>
    </row>
    <row r="103" customFormat="false" ht="40.5" hidden="false" customHeight="true" outlineLevel="0" collapsed="false">
      <c r="A103" s="66" t="n">
        <v>12</v>
      </c>
      <c r="B103" s="67" t="s">
        <v>90</v>
      </c>
      <c r="C103" s="66" t="s">
        <v>99</v>
      </c>
      <c r="D103" s="66" t="n">
        <v>4</v>
      </c>
      <c r="E103" s="67" t="str">
        <f aca="false">IFERROR(INDEX('Master Data'!$L$2:$L$2436,MATCH($B$3&amp;"|"&amp;D103&amp;"|"&amp;B103&amp;"|"&amp;C103,'Master Data'!$A$2:$A$2436,0)),"")</f>
        <v>Belum terisi</v>
      </c>
      <c r="F103" s="67" t="str">
        <f aca="false">IFERROR(INDEX('Master Data'!$F$2:$F$2436,MATCH($B$3&amp;"|"&amp;D103&amp;"|"&amp;B103&amp;"|"&amp;C103,'Master Data'!$A$2:$A$2436,0))&amp;"","")</f>
        <v>Kids</v>
      </c>
      <c r="G103" s="66" t="n">
        <f aca="false">IFERROR(INDEX('Master Data'!$G$2:$G$2436,MATCH($B$3&amp;"|"&amp;D103&amp;"|"&amp;B103&amp;"|"&amp;C103,'Master Data'!$A$2:$A$2436,0)),"")</f>
        <v>4</v>
      </c>
      <c r="H103" s="67" t="str">
        <f aca="false">IFERROR(INDEX('Master Data'!$K$2:$K$2436,MATCH($B$3&amp;"|"&amp;D103&amp;"|"&amp;B103&amp;"|"&amp;C103,'Master Data'!$A$2:$A$2436,0))&amp;"","")</f>
        <v/>
      </c>
      <c r="I103" s="67" t="s">
        <v>215</v>
      </c>
      <c r="J103" s="67" t="s">
        <v>134</v>
      </c>
      <c r="K103" s="68"/>
      <c r="L103" s="68"/>
      <c r="M103" s="68"/>
      <c r="N103" s="69"/>
      <c r="O103" s="68"/>
    </row>
    <row r="104" customFormat="false" ht="40.5" hidden="false" customHeight="true" outlineLevel="0" collapsed="false">
      <c r="A104" s="66" t="n">
        <v>13</v>
      </c>
      <c r="B104" s="67" t="s">
        <v>90</v>
      </c>
      <c r="C104" s="66" t="s">
        <v>114</v>
      </c>
      <c r="D104" s="66" t="n">
        <v>1</v>
      </c>
      <c r="E104" s="67" t="str">
        <f aca="false">IFERROR(INDEX('Master Data'!$L$2:$L$2436,MATCH($B$3&amp;"|"&amp;D104&amp;"|"&amp;B104&amp;"|"&amp;C104,'Master Data'!$A$2:$A$2436,0)),"")</f>
        <v>Belum terisi</v>
      </c>
      <c r="F104" s="67" t="str">
        <f aca="false">IFERROR(INDEX('Master Data'!$F$2:$F$2436,MATCH($B$3&amp;"|"&amp;D104&amp;"|"&amp;B104&amp;"|"&amp;C104,'Master Data'!$A$2:$A$2436,0))&amp;"","")</f>
        <v>Baby</v>
      </c>
      <c r="G104" s="66" t="n">
        <f aca="false">IFERROR(INDEX('Master Data'!$G$2:$G$2436,MATCH($B$3&amp;"|"&amp;D104&amp;"|"&amp;B104&amp;"|"&amp;C104,'Master Data'!$A$2:$A$2436,0)),"")</f>
        <v>5</v>
      </c>
      <c r="H104" s="67" t="str">
        <f aca="false">IFERROR(INDEX('Master Data'!$K$2:$K$2436,MATCH($B$3&amp;"|"&amp;D104&amp;"|"&amp;B104&amp;"|"&amp;C104,'Master Data'!$A$2:$A$2436,0))&amp;"","")</f>
        <v/>
      </c>
      <c r="I104" s="67" t="s">
        <v>216</v>
      </c>
      <c r="J104" s="67" t="s">
        <v>134</v>
      </c>
      <c r="K104" s="68"/>
      <c r="L104" s="68"/>
      <c r="M104" s="68"/>
      <c r="N104" s="69"/>
      <c r="O104" s="68"/>
    </row>
    <row r="105" customFormat="false" ht="40.5" hidden="false" customHeight="true" outlineLevel="0" collapsed="false">
      <c r="A105" s="66" t="n">
        <v>14</v>
      </c>
      <c r="B105" s="67" t="s">
        <v>90</v>
      </c>
      <c r="C105" s="66" t="s">
        <v>114</v>
      </c>
      <c r="D105" s="66" t="n">
        <v>5</v>
      </c>
      <c r="E105" s="67" t="str">
        <f aca="false">IFERROR(INDEX('Master Data'!$L$2:$L$2436,MATCH($B$3&amp;"|"&amp;D105&amp;"|"&amp;B105&amp;"|"&amp;C105,'Master Data'!$A$2:$A$2436,0)),"")</f>
        <v>Slot kosong</v>
      </c>
      <c r="F105" s="67" t="str">
        <f aca="false">IFERROR(INDEX('Master Data'!$F$2:$F$2436,MATCH($B$3&amp;"|"&amp;D105&amp;"|"&amp;B105&amp;"|"&amp;C105,'Master Data'!$A$2:$A$2436,0))&amp;"","")</f>
        <v/>
      </c>
      <c r="G105" s="66" t="n">
        <f aca="false">IFERROR(INDEX('Master Data'!$G$2:$G$2436,MATCH($B$3&amp;"|"&amp;D105&amp;"|"&amp;B105&amp;"|"&amp;C105,'Master Data'!$A$2:$A$2436,0)),"")</f>
        <v>5</v>
      </c>
      <c r="H105" s="67" t="str">
        <f aca="false">IFERROR(INDEX('Master Data'!$K$2:$K$2436,MATCH($B$3&amp;"|"&amp;D105&amp;"|"&amp;B105&amp;"|"&amp;C105,'Master Data'!$A$2:$A$2436,0))&amp;"","")</f>
        <v/>
      </c>
      <c r="I105" s="67" t="s">
        <v>216</v>
      </c>
      <c r="J105" s="67" t="s">
        <v>134</v>
      </c>
      <c r="K105" s="68"/>
      <c r="L105" s="68"/>
      <c r="M105" s="68"/>
      <c r="N105" s="69"/>
      <c r="O105" s="68"/>
    </row>
    <row r="106" customFormat="false" ht="40.5" hidden="false" customHeight="true" outlineLevel="0" collapsed="false">
      <c r="A106" s="66" t="n">
        <v>15</v>
      </c>
      <c r="B106" s="67" t="s">
        <v>90</v>
      </c>
      <c r="C106" s="66" t="s">
        <v>100</v>
      </c>
      <c r="D106" s="66" t="n">
        <v>4</v>
      </c>
      <c r="E106" s="67" t="str">
        <f aca="false">IFERROR(INDEX('Master Data'!$L$2:$L$2436,MATCH($B$3&amp;"|"&amp;D106&amp;"|"&amp;B106&amp;"|"&amp;C106,'Master Data'!$A$2:$A$2436,0)),"")</f>
        <v>Belum terisi</v>
      </c>
      <c r="F106" s="67" t="str">
        <f aca="false">IFERROR(INDEX('Master Data'!$F$2:$F$2436,MATCH($B$3&amp;"|"&amp;D106&amp;"|"&amp;B106&amp;"|"&amp;C106,'Master Data'!$A$2:$A$2436,0))&amp;"","")</f>
        <v>Kids</v>
      </c>
      <c r="G106" s="66" t="n">
        <f aca="false">IFERROR(INDEX('Master Data'!$G$2:$G$2436,MATCH($B$3&amp;"|"&amp;D106&amp;"|"&amp;B106&amp;"|"&amp;C106,'Master Data'!$A$2:$A$2436,0)),"")</f>
        <v>4</v>
      </c>
      <c r="H106" s="67" t="str">
        <f aca="false">IFERROR(INDEX('Master Data'!$K$2:$K$2436,MATCH($B$3&amp;"|"&amp;D106&amp;"|"&amp;B106&amp;"|"&amp;C106,'Master Data'!$A$2:$A$2436,0))&amp;"","")</f>
        <v/>
      </c>
      <c r="I106" s="67" t="s">
        <v>216</v>
      </c>
      <c r="J106" s="67" t="s">
        <v>134</v>
      </c>
      <c r="K106" s="68"/>
      <c r="L106" s="68"/>
      <c r="M106" s="68"/>
      <c r="N106" s="69"/>
      <c r="O106" s="68"/>
    </row>
    <row r="107" customFormat="false" ht="40.5" hidden="false" customHeight="true" outlineLevel="0" collapsed="false">
      <c r="A107" s="66" t="n">
        <v>16</v>
      </c>
      <c r="B107" s="67" t="s">
        <v>90</v>
      </c>
      <c r="C107" s="66" t="s">
        <v>115</v>
      </c>
      <c r="D107" s="66" t="n">
        <v>1</v>
      </c>
      <c r="E107" s="67" t="str">
        <f aca="false">IFERROR(INDEX('Master Data'!$L$2:$L$2436,MATCH($B$3&amp;"|"&amp;D107&amp;"|"&amp;B107&amp;"|"&amp;C107,'Master Data'!$A$2:$A$2436,0)),"")</f>
        <v>Belum terisi</v>
      </c>
      <c r="F107" s="67" t="str">
        <f aca="false">IFERROR(INDEX('Master Data'!$F$2:$F$2436,MATCH($B$3&amp;"|"&amp;D107&amp;"|"&amp;B107&amp;"|"&amp;C107,'Master Data'!$A$2:$A$2436,0))&amp;"","")</f>
        <v>Baby</v>
      </c>
      <c r="G107" s="66" t="n">
        <f aca="false">IFERROR(INDEX('Master Data'!$G$2:$G$2436,MATCH($B$3&amp;"|"&amp;D107&amp;"|"&amp;B107&amp;"|"&amp;C107,'Master Data'!$A$2:$A$2436,0)),"")</f>
        <v>5</v>
      </c>
      <c r="H107" s="67" t="str">
        <f aca="false">IFERROR(INDEX('Master Data'!$K$2:$K$2436,MATCH($B$3&amp;"|"&amp;D107&amp;"|"&amp;B107&amp;"|"&amp;C107,'Master Data'!$A$2:$A$2436,0))&amp;"","")</f>
        <v/>
      </c>
      <c r="I107" s="67" t="s">
        <v>217</v>
      </c>
      <c r="J107" s="67" t="s">
        <v>134</v>
      </c>
      <c r="K107" s="68"/>
      <c r="L107" s="68"/>
      <c r="M107" s="68"/>
      <c r="N107" s="69"/>
      <c r="O107" s="68"/>
    </row>
    <row r="108" customFormat="false" ht="40.5" hidden="false" customHeight="true" outlineLevel="0" collapsed="false">
      <c r="A108" s="66" t="n">
        <v>17</v>
      </c>
      <c r="B108" s="67" t="s">
        <v>90</v>
      </c>
      <c r="C108" s="66" t="s">
        <v>116</v>
      </c>
      <c r="D108" s="66" t="n">
        <v>1</v>
      </c>
      <c r="E108" s="67" t="str">
        <f aca="false">IFERROR(INDEX('Master Data'!$L$2:$L$2436,MATCH($B$3&amp;"|"&amp;D108&amp;"|"&amp;B108&amp;"|"&amp;C108,'Master Data'!$A$2:$A$2436,0)),"")</f>
        <v>Belum terisi</v>
      </c>
      <c r="F108" s="67" t="str">
        <f aca="false">IFERROR(INDEX('Master Data'!$F$2:$F$2436,MATCH($B$3&amp;"|"&amp;D108&amp;"|"&amp;B108&amp;"|"&amp;C108,'Master Data'!$A$2:$A$2436,0))&amp;"","")</f>
        <v>Baby</v>
      </c>
      <c r="G108" s="66" t="n">
        <f aca="false">IFERROR(INDEX('Master Data'!$G$2:$G$2436,MATCH($B$3&amp;"|"&amp;D108&amp;"|"&amp;B108&amp;"|"&amp;C108,'Master Data'!$A$2:$A$2436,0)),"")</f>
        <v>5</v>
      </c>
      <c r="H108" s="67" t="str">
        <f aca="false">IFERROR(INDEX('Master Data'!$K$2:$K$2436,MATCH($B$3&amp;"|"&amp;D108&amp;"|"&amp;B108&amp;"|"&amp;C108,'Master Data'!$A$2:$A$2436,0))&amp;"","")</f>
        <v/>
      </c>
      <c r="I108" s="67" t="s">
        <v>217</v>
      </c>
      <c r="J108" s="67" t="s">
        <v>134</v>
      </c>
      <c r="K108" s="68"/>
      <c r="L108" s="68"/>
      <c r="M108" s="68"/>
      <c r="N108" s="69"/>
      <c r="O108" s="68"/>
    </row>
    <row r="109" customFormat="false" ht="40.5" hidden="false" customHeight="true" outlineLevel="0" collapsed="false">
      <c r="A109" s="66" t="n">
        <v>18</v>
      </c>
      <c r="B109" s="67" t="s">
        <v>90</v>
      </c>
      <c r="C109" s="66" t="s">
        <v>116</v>
      </c>
      <c r="D109" s="66" t="n">
        <v>2</v>
      </c>
      <c r="E109" s="67" t="str">
        <f aca="false">IFERROR(INDEX('Master Data'!$L$2:$L$2436,MATCH($B$3&amp;"|"&amp;D109&amp;"|"&amp;B109&amp;"|"&amp;C109,'Master Data'!$A$2:$A$2436,0)),"")</f>
        <v>Belum terisi</v>
      </c>
      <c r="F109" s="67" t="str">
        <f aca="false">IFERROR(INDEX('Master Data'!$F$2:$F$2436,MATCH($B$3&amp;"|"&amp;D109&amp;"|"&amp;B109&amp;"|"&amp;C109,'Master Data'!$A$2:$A$2436,0))&amp;"","")</f>
        <v>Tiny</v>
      </c>
      <c r="G109" s="66" t="n">
        <f aca="false">IFERROR(INDEX('Master Data'!$G$2:$G$2436,MATCH($B$3&amp;"|"&amp;D109&amp;"|"&amp;B109&amp;"|"&amp;C109,'Master Data'!$A$2:$A$2436,0)),"")</f>
        <v>5</v>
      </c>
      <c r="H109" s="67" t="str">
        <f aca="false">IFERROR(INDEX('Master Data'!$K$2:$K$2436,MATCH($B$3&amp;"|"&amp;D109&amp;"|"&amp;B109&amp;"|"&amp;C109,'Master Data'!$A$2:$A$2436,0))&amp;"","")</f>
        <v/>
      </c>
      <c r="I109" s="67" t="s">
        <v>217</v>
      </c>
      <c r="J109" s="67" t="s">
        <v>134</v>
      </c>
      <c r="K109" s="68"/>
      <c r="L109" s="68"/>
      <c r="M109" s="68"/>
      <c r="N109" s="69"/>
      <c r="O109" s="68"/>
    </row>
    <row r="110" customFormat="false" ht="40.5" hidden="false" customHeight="true" outlineLevel="0" collapsed="false">
      <c r="A110" s="66" t="n">
        <v>19</v>
      </c>
      <c r="B110" s="67" t="s">
        <v>90</v>
      </c>
      <c r="C110" s="66" t="s">
        <v>116</v>
      </c>
      <c r="D110" s="66" t="n">
        <v>5</v>
      </c>
      <c r="E110" s="67" t="str">
        <f aca="false">IFERROR(INDEX('Master Data'!$L$2:$L$2436,MATCH($B$3&amp;"|"&amp;D110&amp;"|"&amp;B110&amp;"|"&amp;C110,'Master Data'!$A$2:$A$2436,0)),"")</f>
        <v>Slot kosong</v>
      </c>
      <c r="F110" s="67" t="str">
        <f aca="false">IFERROR(INDEX('Master Data'!$F$2:$F$2436,MATCH($B$3&amp;"|"&amp;D110&amp;"|"&amp;B110&amp;"|"&amp;C110,'Master Data'!$A$2:$A$2436,0))&amp;"","")</f>
        <v/>
      </c>
      <c r="G110" s="66" t="n">
        <f aca="false">IFERROR(INDEX('Master Data'!$G$2:$G$2436,MATCH($B$3&amp;"|"&amp;D110&amp;"|"&amp;B110&amp;"|"&amp;C110,'Master Data'!$A$2:$A$2436,0)),"")</f>
        <v>5</v>
      </c>
      <c r="H110" s="67" t="str">
        <f aca="false">IFERROR(INDEX('Master Data'!$K$2:$K$2436,MATCH($B$3&amp;"|"&amp;D110&amp;"|"&amp;B110&amp;"|"&amp;C110,'Master Data'!$A$2:$A$2436,0))&amp;"","")</f>
        <v/>
      </c>
      <c r="I110" s="67" t="s">
        <v>217</v>
      </c>
      <c r="J110" s="67" t="s">
        <v>134</v>
      </c>
      <c r="K110" s="68"/>
      <c r="L110" s="68"/>
      <c r="M110" s="68"/>
      <c r="N110" s="69"/>
      <c r="O110" s="68"/>
    </row>
    <row r="111" customFormat="false" ht="40.5" hidden="false" customHeight="true" outlineLevel="0" collapsed="false">
      <c r="A111" s="66" t="n">
        <v>20</v>
      </c>
      <c r="B111" s="67" t="s">
        <v>90</v>
      </c>
      <c r="C111" s="66" t="s">
        <v>102</v>
      </c>
      <c r="D111" s="66" t="n">
        <v>3</v>
      </c>
      <c r="E111" s="67" t="str">
        <f aca="false">IFERROR(INDEX('Master Data'!$L$2:$L$2436,MATCH($B$3&amp;"|"&amp;D111&amp;"|"&amp;B111&amp;"|"&amp;C111,'Master Data'!$A$2:$A$2436,0)),"")</f>
        <v>Belum terisi</v>
      </c>
      <c r="F111" s="67" t="str">
        <f aca="false">IFERROR(INDEX('Master Data'!$F$2:$F$2436,MATCH($B$3&amp;"|"&amp;D111&amp;"|"&amp;B111&amp;"|"&amp;C111,'Master Data'!$A$2:$A$2436,0))&amp;"","")</f>
        <v>Little</v>
      </c>
      <c r="G111" s="66" t="n">
        <f aca="false">IFERROR(INDEX('Master Data'!$G$2:$G$2436,MATCH($B$3&amp;"|"&amp;D111&amp;"|"&amp;B111&amp;"|"&amp;C111,'Master Data'!$A$2:$A$2436,0)),"")</f>
        <v>4</v>
      </c>
      <c r="H111" s="67" t="str">
        <f aca="false">IFERROR(INDEX('Master Data'!$K$2:$K$2436,MATCH($B$3&amp;"|"&amp;D111&amp;"|"&amp;B111&amp;"|"&amp;C111,'Master Data'!$A$2:$A$2436,0))&amp;"","")</f>
        <v/>
      </c>
      <c r="I111" s="67" t="s">
        <v>217</v>
      </c>
      <c r="J111" s="67" t="s">
        <v>134</v>
      </c>
      <c r="K111" s="68"/>
      <c r="L111" s="68"/>
      <c r="M111" s="68"/>
      <c r="N111" s="69"/>
      <c r="O111" s="68"/>
    </row>
    <row r="112" customFormat="false" ht="27.75" hidden="false" customHeight="true" outlineLevel="0" collapsed="false">
      <c r="A112" s="66" t="n">
        <v>21</v>
      </c>
      <c r="B112" s="67" t="s">
        <v>90</v>
      </c>
      <c r="C112" s="66" t="s">
        <v>117</v>
      </c>
      <c r="D112" s="66" t="n">
        <v>1</v>
      </c>
      <c r="E112" s="67" t="str">
        <f aca="false">IFERROR(INDEX('Master Data'!$L$2:$L$2436,MATCH($B$3&amp;"|"&amp;D112&amp;"|"&amp;B112&amp;"|"&amp;C112,'Master Data'!$A$2:$A$2436,0)),"")</f>
        <v>Belum terisi</v>
      </c>
      <c r="F112" s="67" t="str">
        <f aca="false">IFERROR(INDEX('Master Data'!$F$2:$F$2436,MATCH($B$3&amp;"|"&amp;D112&amp;"|"&amp;B112&amp;"|"&amp;C112,'Master Data'!$A$2:$A$2436,0))&amp;"","")</f>
        <v>Baby</v>
      </c>
      <c r="G112" s="66" t="n">
        <f aca="false">IFERROR(INDEX('Master Data'!$G$2:$G$2436,MATCH($B$3&amp;"|"&amp;D112&amp;"|"&amp;B112&amp;"|"&amp;C112,'Master Data'!$A$2:$A$2436,0)),"")</f>
        <v>5</v>
      </c>
      <c r="H112" s="67" t="str">
        <f aca="false">IFERROR(INDEX('Master Data'!$K$2:$K$2436,MATCH($B$3&amp;"|"&amp;D112&amp;"|"&amp;B112&amp;"|"&amp;C112,'Master Data'!$A$2:$A$2436,0))&amp;"","")</f>
        <v/>
      </c>
      <c r="I112" s="67" t="s">
        <v>218</v>
      </c>
      <c r="J112" s="67" t="s">
        <v>134</v>
      </c>
      <c r="K112" s="68"/>
      <c r="L112" s="68"/>
      <c r="M112" s="68"/>
      <c r="N112" s="69"/>
      <c r="O112" s="68"/>
    </row>
    <row r="113" customFormat="false" ht="27.75" hidden="false" customHeight="true" outlineLevel="0" collapsed="false">
      <c r="A113" s="66" t="n">
        <v>22</v>
      </c>
      <c r="B113" s="67" t="s">
        <v>90</v>
      </c>
      <c r="C113" s="66" t="s">
        <v>117</v>
      </c>
      <c r="D113" s="66" t="n">
        <v>2</v>
      </c>
      <c r="E113" s="67" t="str">
        <f aca="false">IFERROR(INDEX('Master Data'!$L$2:$L$2436,MATCH($B$3&amp;"|"&amp;D113&amp;"|"&amp;B113&amp;"|"&amp;C113,'Master Data'!$A$2:$A$2436,0)),"")</f>
        <v>Belum terisi</v>
      </c>
      <c r="F113" s="67" t="str">
        <f aca="false">IFERROR(INDEX('Master Data'!$F$2:$F$2436,MATCH($B$3&amp;"|"&amp;D113&amp;"|"&amp;B113&amp;"|"&amp;C113,'Master Data'!$A$2:$A$2436,0))&amp;"","")</f>
        <v>Tiny</v>
      </c>
      <c r="G113" s="66" t="n">
        <f aca="false">IFERROR(INDEX('Master Data'!$G$2:$G$2436,MATCH($B$3&amp;"|"&amp;D113&amp;"|"&amp;B113&amp;"|"&amp;C113,'Master Data'!$A$2:$A$2436,0)),"")</f>
        <v>5</v>
      </c>
      <c r="H113" s="67" t="str">
        <f aca="false">IFERROR(INDEX('Master Data'!$K$2:$K$2436,MATCH($B$3&amp;"|"&amp;D113&amp;"|"&amp;B113&amp;"|"&amp;C113,'Master Data'!$A$2:$A$2436,0))&amp;"","")</f>
        <v/>
      </c>
      <c r="I113" s="67" t="s">
        <v>218</v>
      </c>
      <c r="J113" s="67" t="s">
        <v>134</v>
      </c>
      <c r="K113" s="68"/>
      <c r="L113" s="68"/>
      <c r="M113" s="68"/>
      <c r="N113" s="69"/>
      <c r="O113" s="68"/>
    </row>
    <row r="114" customFormat="false" ht="27.75" hidden="false" customHeight="true" outlineLevel="0" collapsed="false">
      <c r="A114" s="66" t="n">
        <v>23</v>
      </c>
      <c r="B114" s="67" t="s">
        <v>90</v>
      </c>
      <c r="C114" s="66" t="s">
        <v>117</v>
      </c>
      <c r="D114" s="66" t="n">
        <v>5</v>
      </c>
      <c r="E114" s="67" t="str">
        <f aca="false">IFERROR(INDEX('Master Data'!$L$2:$L$2436,MATCH($B$3&amp;"|"&amp;D114&amp;"|"&amp;B114&amp;"|"&amp;C114,'Master Data'!$A$2:$A$2436,0)),"")</f>
        <v>Slot kosong</v>
      </c>
      <c r="F114" s="67" t="str">
        <f aca="false">IFERROR(INDEX('Master Data'!$F$2:$F$2436,MATCH($B$3&amp;"|"&amp;D114&amp;"|"&amp;B114&amp;"|"&amp;C114,'Master Data'!$A$2:$A$2436,0))&amp;"","")</f>
        <v/>
      </c>
      <c r="G114" s="66" t="n">
        <f aca="false">IFERROR(INDEX('Master Data'!$G$2:$G$2436,MATCH($B$3&amp;"|"&amp;D114&amp;"|"&amp;B114&amp;"|"&amp;C114,'Master Data'!$A$2:$A$2436,0)),"")</f>
        <v>5</v>
      </c>
      <c r="H114" s="67" t="str">
        <f aca="false">IFERROR(INDEX('Master Data'!$K$2:$K$2436,MATCH($B$3&amp;"|"&amp;D114&amp;"|"&amp;B114&amp;"|"&amp;C114,'Master Data'!$A$2:$A$2436,0))&amp;"","")</f>
        <v/>
      </c>
      <c r="I114" s="67" t="s">
        <v>218</v>
      </c>
      <c r="J114" s="67" t="s">
        <v>134</v>
      </c>
      <c r="K114" s="68"/>
      <c r="L114" s="68"/>
      <c r="M114" s="68"/>
      <c r="N114" s="69"/>
      <c r="O114" s="68"/>
    </row>
    <row r="115" customFormat="false" ht="27.75" hidden="false" customHeight="true" outlineLevel="0" collapsed="false">
      <c r="A115" s="66" t="n">
        <v>24</v>
      </c>
      <c r="B115" s="67" t="s">
        <v>90</v>
      </c>
      <c r="C115" s="66" t="s">
        <v>118</v>
      </c>
      <c r="D115" s="66" t="n">
        <v>5</v>
      </c>
      <c r="E115" s="67" t="str">
        <f aca="false">IFERROR(INDEX('Master Data'!$L$2:$L$2436,MATCH($B$3&amp;"|"&amp;D115&amp;"|"&amp;B115&amp;"|"&amp;C115,'Master Data'!$A$2:$A$2436,0)),"")</f>
        <v>Slot kosong</v>
      </c>
      <c r="F115" s="67" t="str">
        <f aca="false">IFERROR(INDEX('Master Data'!$F$2:$F$2436,MATCH($B$3&amp;"|"&amp;D115&amp;"|"&amp;B115&amp;"|"&amp;C115,'Master Data'!$A$2:$A$2436,0))&amp;"","")</f>
        <v/>
      </c>
      <c r="G115" s="66" t="n">
        <f aca="false">IFERROR(INDEX('Master Data'!$G$2:$G$2436,MATCH($B$3&amp;"|"&amp;D115&amp;"|"&amp;B115&amp;"|"&amp;C115,'Master Data'!$A$2:$A$2436,0)),"")</f>
        <v>5</v>
      </c>
      <c r="H115" s="67" t="str">
        <f aca="false">IFERROR(INDEX('Master Data'!$K$2:$K$2436,MATCH($B$3&amp;"|"&amp;D115&amp;"|"&amp;B115&amp;"|"&amp;C115,'Master Data'!$A$2:$A$2436,0))&amp;"","")</f>
        <v/>
      </c>
      <c r="I115" s="67" t="s">
        <v>219</v>
      </c>
      <c r="J115" s="67" t="s">
        <v>134</v>
      </c>
      <c r="K115" s="68"/>
      <c r="L115" s="68"/>
      <c r="M115" s="68"/>
      <c r="N115" s="69"/>
      <c r="O115" s="68"/>
    </row>
    <row r="116" customFormat="false" ht="15.75" hidden="false" customHeight="true" outlineLevel="0" collapsed="false">
      <c r="A116" s="66" t="n">
        <v>25</v>
      </c>
      <c r="B116" s="67" t="s">
        <v>90</v>
      </c>
      <c r="C116" s="66" t="s">
        <v>120</v>
      </c>
      <c r="D116" s="66" t="n">
        <v>1</v>
      </c>
      <c r="E116" s="67" t="str">
        <f aca="false">IFERROR(INDEX('Master Data'!$L$2:$L$2436,MATCH($B$3&amp;"|"&amp;D116&amp;"|"&amp;B116&amp;"|"&amp;C116,'Master Data'!$A$2:$A$2436,0)),"")</f>
        <v>Belum terisi</v>
      </c>
      <c r="F116" s="67" t="str">
        <f aca="false">IFERROR(INDEX('Master Data'!$F$2:$F$2436,MATCH($B$3&amp;"|"&amp;D116&amp;"|"&amp;B116&amp;"|"&amp;C116,'Master Data'!$A$2:$A$2436,0))&amp;"","")</f>
        <v>Baby</v>
      </c>
      <c r="G116" s="66" t="n">
        <f aca="false">IFERROR(INDEX('Master Data'!$G$2:$G$2436,MATCH($B$3&amp;"|"&amp;D116&amp;"|"&amp;B116&amp;"|"&amp;C116,'Master Data'!$A$2:$A$2436,0)),"")</f>
        <v>5</v>
      </c>
      <c r="H116" s="67" t="str">
        <f aca="false">IFERROR(INDEX('Master Data'!$K$2:$K$2436,MATCH($B$3&amp;"|"&amp;D116&amp;"|"&amp;B116&amp;"|"&amp;C116,'Master Data'!$A$2:$A$2436,0))&amp;"","")</f>
        <v/>
      </c>
      <c r="I116" s="67" t="s">
        <v>220</v>
      </c>
      <c r="J116" s="67" t="s">
        <v>221</v>
      </c>
      <c r="K116" s="68"/>
      <c r="L116" s="68"/>
      <c r="M116" s="68"/>
      <c r="N116" s="69"/>
      <c r="O116" s="68"/>
    </row>
    <row r="117" customFormat="false" ht="15.75" hidden="false" customHeight="true" outlineLevel="0" collapsed="false">
      <c r="A117" s="66" t="n">
        <v>26</v>
      </c>
      <c r="B117" s="67" t="s">
        <v>90</v>
      </c>
      <c r="C117" s="66" t="s">
        <v>120</v>
      </c>
      <c r="D117" s="66" t="n">
        <v>2</v>
      </c>
      <c r="E117" s="67" t="str">
        <f aca="false">IFERROR(INDEX('Master Data'!$L$2:$L$2436,MATCH($B$3&amp;"|"&amp;D117&amp;"|"&amp;B117&amp;"|"&amp;C117,'Master Data'!$A$2:$A$2436,0)),"")</f>
        <v>Belum terisi</v>
      </c>
      <c r="F117" s="67" t="str">
        <f aca="false">IFERROR(INDEX('Master Data'!$F$2:$F$2436,MATCH($B$3&amp;"|"&amp;D117&amp;"|"&amp;B117&amp;"|"&amp;C117,'Master Data'!$A$2:$A$2436,0))&amp;"","")</f>
        <v>Tiny</v>
      </c>
      <c r="G117" s="66" t="n">
        <f aca="false">IFERROR(INDEX('Master Data'!$G$2:$G$2436,MATCH($B$3&amp;"|"&amp;D117&amp;"|"&amp;B117&amp;"|"&amp;C117,'Master Data'!$A$2:$A$2436,0)),"")</f>
        <v>5</v>
      </c>
      <c r="H117" s="67" t="str">
        <f aca="false">IFERROR(INDEX('Master Data'!$K$2:$K$2436,MATCH($B$3&amp;"|"&amp;D117&amp;"|"&amp;B117&amp;"|"&amp;C117,'Master Data'!$A$2:$A$2436,0))&amp;"","")</f>
        <v/>
      </c>
      <c r="I117" s="67" t="s">
        <v>220</v>
      </c>
      <c r="J117" s="67" t="s">
        <v>144</v>
      </c>
      <c r="K117" s="68"/>
      <c r="L117" s="68"/>
      <c r="M117" s="68"/>
      <c r="N117" s="69"/>
      <c r="O117" s="68"/>
    </row>
    <row r="118" customFormat="false" ht="40.5" hidden="false" customHeight="true" outlineLevel="0" collapsed="false">
      <c r="A118" s="66" t="n">
        <v>27</v>
      </c>
      <c r="B118" s="67" t="s">
        <v>90</v>
      </c>
      <c r="C118" s="66" t="s">
        <v>121</v>
      </c>
      <c r="D118" s="66" t="n">
        <v>1</v>
      </c>
      <c r="E118" s="67" t="str">
        <f aca="false">IFERROR(INDEX('Master Data'!$L$2:$L$2436,MATCH($B$3&amp;"|"&amp;D118&amp;"|"&amp;B118&amp;"|"&amp;C118,'Master Data'!$A$2:$A$2436,0)),"")</f>
        <v>Belum terisi</v>
      </c>
      <c r="F118" s="67" t="str">
        <f aca="false">IFERROR(INDEX('Master Data'!$F$2:$F$2436,MATCH($B$3&amp;"|"&amp;D118&amp;"|"&amp;B118&amp;"|"&amp;C118,'Master Data'!$A$2:$A$2436,0))&amp;"","")</f>
        <v>Baby</v>
      </c>
      <c r="G118" s="66" t="n">
        <f aca="false">IFERROR(INDEX('Master Data'!$G$2:$G$2436,MATCH($B$3&amp;"|"&amp;D118&amp;"|"&amp;B118&amp;"|"&amp;C118,'Master Data'!$A$2:$A$2436,0)),"")</f>
        <v>5</v>
      </c>
      <c r="H118" s="67" t="str">
        <f aca="false">IFERROR(INDEX('Master Data'!$K$2:$K$2436,MATCH($B$3&amp;"|"&amp;D118&amp;"|"&amp;B118&amp;"|"&amp;C118,'Master Data'!$A$2:$A$2436,0))&amp;"","")</f>
        <v/>
      </c>
      <c r="I118" s="67" t="s">
        <v>222</v>
      </c>
      <c r="J118" s="67" t="s">
        <v>134</v>
      </c>
      <c r="K118" s="68"/>
      <c r="L118" s="68"/>
      <c r="M118" s="68"/>
      <c r="N118" s="69"/>
      <c r="O118" s="68"/>
    </row>
    <row r="119" customFormat="false" ht="40.5" hidden="false" customHeight="true" outlineLevel="0" collapsed="false">
      <c r="A119" s="66" t="n">
        <v>28</v>
      </c>
      <c r="B119" s="67" t="s">
        <v>90</v>
      </c>
      <c r="C119" s="66" t="s">
        <v>121</v>
      </c>
      <c r="D119" s="66" t="n">
        <v>2</v>
      </c>
      <c r="E119" s="67" t="str">
        <f aca="false">IFERROR(INDEX('Master Data'!$L$2:$L$2436,MATCH($B$3&amp;"|"&amp;D119&amp;"|"&amp;B119&amp;"|"&amp;C119,'Master Data'!$A$2:$A$2436,0)),"")</f>
        <v>Belum terisi</v>
      </c>
      <c r="F119" s="67" t="str">
        <f aca="false">IFERROR(INDEX('Master Data'!$F$2:$F$2436,MATCH($B$3&amp;"|"&amp;D119&amp;"|"&amp;B119&amp;"|"&amp;C119,'Master Data'!$A$2:$A$2436,0))&amp;"","")</f>
        <v>Tiny</v>
      </c>
      <c r="G119" s="66" t="n">
        <f aca="false">IFERROR(INDEX('Master Data'!$G$2:$G$2436,MATCH($B$3&amp;"|"&amp;D119&amp;"|"&amp;B119&amp;"|"&amp;C119,'Master Data'!$A$2:$A$2436,0)),"")</f>
        <v>5</v>
      </c>
      <c r="H119" s="67" t="str">
        <f aca="false">IFERROR(INDEX('Master Data'!$K$2:$K$2436,MATCH($B$3&amp;"|"&amp;D119&amp;"|"&amp;B119&amp;"|"&amp;C119,'Master Data'!$A$2:$A$2436,0))&amp;"","")</f>
        <v/>
      </c>
      <c r="I119" s="67" t="s">
        <v>222</v>
      </c>
      <c r="J119" s="67" t="s">
        <v>134</v>
      </c>
      <c r="K119" s="68"/>
      <c r="L119" s="68"/>
      <c r="M119" s="68"/>
      <c r="N119" s="69"/>
      <c r="O119" s="68"/>
    </row>
    <row r="120" customFormat="false" ht="40.5" hidden="false" customHeight="true" outlineLevel="0" collapsed="false">
      <c r="A120" s="66" t="n">
        <v>29</v>
      </c>
      <c r="B120" s="67" t="s">
        <v>90</v>
      </c>
      <c r="C120" s="66" t="s">
        <v>121</v>
      </c>
      <c r="D120" s="66" t="n">
        <v>5</v>
      </c>
      <c r="E120" s="67" t="str">
        <f aca="false">IFERROR(INDEX('Master Data'!$L$2:$L$2436,MATCH($B$3&amp;"|"&amp;D120&amp;"|"&amp;B120&amp;"|"&amp;C120,'Master Data'!$A$2:$A$2436,0)),"")</f>
        <v>Slot kosong</v>
      </c>
      <c r="F120" s="67" t="str">
        <f aca="false">IFERROR(INDEX('Master Data'!$F$2:$F$2436,MATCH($B$3&amp;"|"&amp;D120&amp;"|"&amp;B120&amp;"|"&amp;C120,'Master Data'!$A$2:$A$2436,0))&amp;"","")</f>
        <v/>
      </c>
      <c r="G120" s="66" t="n">
        <f aca="false">IFERROR(INDEX('Master Data'!$G$2:$G$2436,MATCH($B$3&amp;"|"&amp;D120&amp;"|"&amp;B120&amp;"|"&amp;C120,'Master Data'!$A$2:$A$2436,0)),"")</f>
        <v>5</v>
      </c>
      <c r="H120" s="67" t="str">
        <f aca="false">IFERROR(INDEX('Master Data'!$K$2:$K$2436,MATCH($B$3&amp;"|"&amp;D120&amp;"|"&amp;B120&amp;"|"&amp;C120,'Master Data'!$A$2:$A$2436,0))&amp;"","")</f>
        <v/>
      </c>
      <c r="I120" s="67" t="s">
        <v>222</v>
      </c>
      <c r="J120" s="67" t="s">
        <v>134</v>
      </c>
      <c r="K120" s="68"/>
      <c r="L120" s="68"/>
      <c r="M120" s="68"/>
      <c r="N120" s="69"/>
      <c r="O120" s="68"/>
    </row>
    <row r="121" customFormat="false" ht="52.5" hidden="false" customHeight="true" outlineLevel="0" collapsed="false">
      <c r="A121" s="66" t="n">
        <v>30</v>
      </c>
      <c r="B121" s="67" t="s">
        <v>91</v>
      </c>
      <c r="C121" s="66" t="s">
        <v>111</v>
      </c>
      <c r="D121" s="66" t="n">
        <v>1</v>
      </c>
      <c r="E121" s="67" t="str">
        <f aca="false">IFERROR(INDEX('Master Data'!$L$2:$L$2436,MATCH($B$3&amp;"|"&amp;D121&amp;"|"&amp;B121&amp;"|"&amp;C121,'Master Data'!$A$2:$A$2436,0)),"")</f>
        <v>Belum terisi</v>
      </c>
      <c r="F121" s="67" t="str">
        <f aca="false">IFERROR(INDEX('Master Data'!$F$2:$F$2436,MATCH($B$3&amp;"|"&amp;D121&amp;"|"&amp;B121&amp;"|"&amp;C121,'Master Data'!$A$2:$A$2436,0))&amp;"","")</f>
        <v>Baby</v>
      </c>
      <c r="G121" s="66" t="n">
        <f aca="false">IFERROR(INDEX('Master Data'!$G$2:$G$2436,MATCH($B$3&amp;"|"&amp;D121&amp;"|"&amp;B121&amp;"|"&amp;C121,'Master Data'!$A$2:$A$2436,0)),"")</f>
        <v>5</v>
      </c>
      <c r="H121" s="67" t="str">
        <f aca="false">IFERROR(INDEX('Master Data'!$K$2:$K$2436,MATCH($B$3&amp;"|"&amp;D121&amp;"|"&amp;B121&amp;"|"&amp;C121,'Master Data'!$A$2:$A$2436,0))&amp;"","")</f>
        <v/>
      </c>
      <c r="I121" s="67" t="s">
        <v>223</v>
      </c>
      <c r="J121" s="67" t="s">
        <v>134</v>
      </c>
      <c r="K121" s="68"/>
      <c r="L121" s="68"/>
      <c r="M121" s="68"/>
      <c r="N121" s="69"/>
      <c r="O121" s="68"/>
    </row>
    <row r="122" customFormat="false" ht="52.5" hidden="false" customHeight="true" outlineLevel="0" collapsed="false">
      <c r="A122" s="66" t="n">
        <v>31</v>
      </c>
      <c r="B122" s="67" t="s">
        <v>91</v>
      </c>
      <c r="C122" s="66" t="s">
        <v>111</v>
      </c>
      <c r="D122" s="66" t="n">
        <v>2</v>
      </c>
      <c r="E122" s="67" t="str">
        <f aca="false">IFERROR(INDEX('Master Data'!$L$2:$L$2436,MATCH($B$3&amp;"|"&amp;D122&amp;"|"&amp;B122&amp;"|"&amp;C122,'Master Data'!$A$2:$A$2436,0)),"")</f>
        <v>Belum terisi</v>
      </c>
      <c r="F122" s="67" t="str">
        <f aca="false">IFERROR(INDEX('Master Data'!$F$2:$F$2436,MATCH($B$3&amp;"|"&amp;D122&amp;"|"&amp;B122&amp;"|"&amp;C122,'Master Data'!$A$2:$A$2436,0))&amp;"","")</f>
        <v>Tiny</v>
      </c>
      <c r="G122" s="66" t="n">
        <f aca="false">IFERROR(INDEX('Master Data'!$G$2:$G$2436,MATCH($B$3&amp;"|"&amp;D122&amp;"|"&amp;B122&amp;"|"&amp;C122,'Master Data'!$A$2:$A$2436,0)),"")</f>
        <v>5</v>
      </c>
      <c r="H122" s="67" t="str">
        <f aca="false">IFERROR(INDEX('Master Data'!$K$2:$K$2436,MATCH($B$3&amp;"|"&amp;D122&amp;"|"&amp;B122&amp;"|"&amp;C122,'Master Data'!$A$2:$A$2436,0))&amp;"","")</f>
        <v/>
      </c>
      <c r="I122" s="67" t="s">
        <v>223</v>
      </c>
      <c r="J122" s="67" t="s">
        <v>134</v>
      </c>
      <c r="K122" s="68"/>
      <c r="L122" s="68"/>
      <c r="M122" s="68"/>
      <c r="N122" s="69"/>
      <c r="O122" s="68"/>
    </row>
    <row r="123" customFormat="false" ht="52.5" hidden="false" customHeight="true" outlineLevel="0" collapsed="false">
      <c r="A123" s="66" t="n">
        <v>32</v>
      </c>
      <c r="B123" s="67" t="s">
        <v>91</v>
      </c>
      <c r="C123" s="66" t="s">
        <v>111</v>
      </c>
      <c r="D123" s="66" t="n">
        <v>5</v>
      </c>
      <c r="E123" s="67" t="str">
        <f aca="false">IFERROR(INDEX('Master Data'!$L$2:$L$2436,MATCH($B$3&amp;"|"&amp;D123&amp;"|"&amp;B123&amp;"|"&amp;C123,'Master Data'!$A$2:$A$2436,0)),"")</f>
        <v>Slot kosong</v>
      </c>
      <c r="F123" s="67" t="str">
        <f aca="false">IFERROR(INDEX('Master Data'!$F$2:$F$2436,MATCH($B$3&amp;"|"&amp;D123&amp;"|"&amp;B123&amp;"|"&amp;C123,'Master Data'!$A$2:$A$2436,0))&amp;"","")</f>
        <v/>
      </c>
      <c r="G123" s="66" t="n">
        <f aca="false">IFERROR(INDEX('Master Data'!$G$2:$G$2436,MATCH($B$3&amp;"|"&amp;D123&amp;"|"&amp;B123&amp;"|"&amp;C123,'Master Data'!$A$2:$A$2436,0)),"")</f>
        <v>5</v>
      </c>
      <c r="H123" s="67" t="str">
        <f aca="false">IFERROR(INDEX('Master Data'!$K$2:$K$2436,MATCH($B$3&amp;"|"&amp;D123&amp;"|"&amp;B123&amp;"|"&amp;C123,'Master Data'!$A$2:$A$2436,0))&amp;"","")</f>
        <v/>
      </c>
      <c r="I123" s="67" t="s">
        <v>223</v>
      </c>
      <c r="J123" s="67" t="s">
        <v>134</v>
      </c>
      <c r="K123" s="68"/>
      <c r="L123" s="68"/>
      <c r="M123" s="68"/>
      <c r="N123" s="69"/>
      <c r="O123" s="68"/>
    </row>
    <row r="124" customFormat="false" ht="27.75" hidden="false" customHeight="true" outlineLevel="0" collapsed="false">
      <c r="A124" s="66" t="n">
        <v>33</v>
      </c>
      <c r="B124" s="67" t="s">
        <v>91</v>
      </c>
      <c r="C124" s="66" t="s">
        <v>97</v>
      </c>
      <c r="D124" s="66" t="n">
        <v>3</v>
      </c>
      <c r="E124" s="67" t="str">
        <f aca="false">IFERROR(INDEX('Master Data'!$L$2:$L$2436,MATCH($B$3&amp;"|"&amp;D124&amp;"|"&amp;B124&amp;"|"&amp;C124,'Master Data'!$A$2:$A$2436,0)),"")</f>
        <v>Belum terisi</v>
      </c>
      <c r="F124" s="67" t="str">
        <f aca="false">IFERROR(INDEX('Master Data'!$F$2:$F$2436,MATCH($B$3&amp;"|"&amp;D124&amp;"|"&amp;B124&amp;"|"&amp;C124,'Master Data'!$A$2:$A$2436,0))&amp;"","")</f>
        <v>Little</v>
      </c>
      <c r="G124" s="66" t="n">
        <f aca="false">IFERROR(INDEX('Master Data'!$G$2:$G$2436,MATCH($B$3&amp;"|"&amp;D124&amp;"|"&amp;B124&amp;"|"&amp;C124,'Master Data'!$A$2:$A$2436,0)),"")</f>
        <v>4</v>
      </c>
      <c r="H124" s="67" t="str">
        <f aca="false">IFERROR(INDEX('Master Data'!$K$2:$K$2436,MATCH($B$3&amp;"|"&amp;D124&amp;"|"&amp;B124&amp;"|"&amp;C124,'Master Data'!$A$2:$A$2436,0))&amp;"","")</f>
        <v/>
      </c>
      <c r="I124" s="67" t="s">
        <v>224</v>
      </c>
      <c r="J124" s="67" t="s">
        <v>134</v>
      </c>
      <c r="K124" s="68"/>
      <c r="L124" s="68"/>
      <c r="M124" s="68"/>
      <c r="N124" s="69"/>
      <c r="O124" s="68"/>
    </row>
    <row r="125" customFormat="false" ht="27.75" hidden="false" customHeight="true" outlineLevel="0" collapsed="false">
      <c r="A125" s="66" t="n">
        <v>34</v>
      </c>
      <c r="B125" s="67" t="s">
        <v>91</v>
      </c>
      <c r="C125" s="66" t="s">
        <v>97</v>
      </c>
      <c r="D125" s="66" t="n">
        <v>4</v>
      </c>
      <c r="E125" s="67" t="str">
        <f aca="false">IFERROR(INDEX('Master Data'!$L$2:$L$2436,MATCH($B$3&amp;"|"&amp;D125&amp;"|"&amp;B125&amp;"|"&amp;C125,'Master Data'!$A$2:$A$2436,0)),"")</f>
        <v>Belum terisi</v>
      </c>
      <c r="F125" s="67" t="str">
        <f aca="false">IFERROR(INDEX('Master Data'!$F$2:$F$2436,MATCH($B$3&amp;"|"&amp;D125&amp;"|"&amp;B125&amp;"|"&amp;C125,'Master Data'!$A$2:$A$2436,0))&amp;"","")</f>
        <v>Kids</v>
      </c>
      <c r="G125" s="66" t="n">
        <f aca="false">IFERROR(INDEX('Master Data'!$G$2:$G$2436,MATCH($B$3&amp;"|"&amp;D125&amp;"|"&amp;B125&amp;"|"&amp;C125,'Master Data'!$A$2:$A$2436,0)),"")</f>
        <v>4</v>
      </c>
      <c r="H125" s="67" t="str">
        <f aca="false">IFERROR(INDEX('Master Data'!$K$2:$K$2436,MATCH($B$3&amp;"|"&amp;D125&amp;"|"&amp;B125&amp;"|"&amp;C125,'Master Data'!$A$2:$A$2436,0))&amp;"","")</f>
        <v/>
      </c>
      <c r="I125" s="67" t="s">
        <v>224</v>
      </c>
      <c r="J125" s="67" t="s">
        <v>134</v>
      </c>
      <c r="K125" s="68"/>
      <c r="L125" s="68"/>
      <c r="M125" s="68"/>
      <c r="N125" s="69"/>
      <c r="O125" s="68"/>
    </row>
    <row r="126" customFormat="false" ht="15.75" hidden="false" customHeight="true" outlineLevel="0" collapsed="false">
      <c r="A126" s="66" t="n">
        <v>35</v>
      </c>
      <c r="B126" s="67" t="s">
        <v>91</v>
      </c>
      <c r="C126" s="66" t="s">
        <v>112</v>
      </c>
      <c r="D126" s="66" t="n">
        <v>5</v>
      </c>
      <c r="E126" s="67" t="str">
        <f aca="false">IFERROR(INDEX('Master Data'!$L$2:$L$2436,MATCH($B$3&amp;"|"&amp;D126&amp;"|"&amp;B126&amp;"|"&amp;C126,'Master Data'!$A$2:$A$2436,0)),"")</f>
        <v>Slot kosong</v>
      </c>
      <c r="F126" s="67" t="str">
        <f aca="false">IFERROR(INDEX('Master Data'!$F$2:$F$2436,MATCH($B$3&amp;"|"&amp;D126&amp;"|"&amp;B126&amp;"|"&amp;C126,'Master Data'!$A$2:$A$2436,0))&amp;"","")</f>
        <v/>
      </c>
      <c r="G126" s="66" t="n">
        <f aca="false">IFERROR(INDEX('Master Data'!$G$2:$G$2436,MATCH($B$3&amp;"|"&amp;D126&amp;"|"&amp;B126&amp;"|"&amp;C126,'Master Data'!$A$2:$A$2436,0)),"")</f>
        <v>5</v>
      </c>
      <c r="H126" s="67" t="str">
        <f aca="false">IFERROR(INDEX('Master Data'!$K$2:$K$2436,MATCH($B$3&amp;"|"&amp;D126&amp;"|"&amp;B126&amp;"|"&amp;C126,'Master Data'!$A$2:$A$2436,0))&amp;"","")</f>
        <v/>
      </c>
      <c r="I126" s="67" t="s">
        <v>225</v>
      </c>
      <c r="J126" s="67" t="s">
        <v>203</v>
      </c>
      <c r="K126" s="68"/>
      <c r="L126" s="68"/>
      <c r="M126" s="68"/>
      <c r="N126" s="69"/>
      <c r="O126" s="68"/>
    </row>
    <row r="127" customFormat="false" ht="15.75" hidden="false" customHeight="true" outlineLevel="0" collapsed="false">
      <c r="A127" s="66" t="n">
        <v>36</v>
      </c>
      <c r="B127" s="67" t="s">
        <v>91</v>
      </c>
      <c r="C127" s="66" t="s">
        <v>98</v>
      </c>
      <c r="D127" s="66" t="n">
        <v>4</v>
      </c>
      <c r="E127" s="67" t="str">
        <f aca="false">IFERROR(INDEX('Master Data'!$L$2:$L$2436,MATCH($B$3&amp;"|"&amp;D127&amp;"|"&amp;B127&amp;"|"&amp;C127,'Master Data'!$A$2:$A$2436,0)),"")</f>
        <v>Belum terisi</v>
      </c>
      <c r="F127" s="67" t="str">
        <f aca="false">IFERROR(INDEX('Master Data'!$F$2:$F$2436,MATCH($B$3&amp;"|"&amp;D127&amp;"|"&amp;B127&amp;"|"&amp;C127,'Master Data'!$A$2:$A$2436,0))&amp;"","")</f>
        <v>Kids</v>
      </c>
      <c r="G127" s="66" t="n">
        <f aca="false">IFERROR(INDEX('Master Data'!$G$2:$G$2436,MATCH($B$3&amp;"|"&amp;D127&amp;"|"&amp;B127&amp;"|"&amp;C127,'Master Data'!$A$2:$A$2436,0)),"")</f>
        <v>4</v>
      </c>
      <c r="H127" s="67" t="str">
        <f aca="false">IFERROR(INDEX('Master Data'!$K$2:$K$2436,MATCH($B$3&amp;"|"&amp;D127&amp;"|"&amp;B127&amp;"|"&amp;C127,'Master Data'!$A$2:$A$2436,0))&amp;"","")</f>
        <v/>
      </c>
      <c r="I127" s="67" t="s">
        <v>225</v>
      </c>
      <c r="J127" s="67" t="s">
        <v>203</v>
      </c>
      <c r="K127" s="68"/>
      <c r="L127" s="68"/>
      <c r="M127" s="68"/>
      <c r="N127" s="69"/>
      <c r="O127" s="68"/>
    </row>
    <row r="128" customFormat="false" ht="40.5" hidden="false" customHeight="true" outlineLevel="0" collapsed="false">
      <c r="A128" s="66" t="n">
        <v>37</v>
      </c>
      <c r="B128" s="67" t="s">
        <v>91</v>
      </c>
      <c r="C128" s="66" t="s">
        <v>113</v>
      </c>
      <c r="D128" s="66" t="n">
        <v>1</v>
      </c>
      <c r="E128" s="67" t="str">
        <f aca="false">IFERROR(INDEX('Master Data'!$L$2:$L$2436,MATCH($B$3&amp;"|"&amp;D128&amp;"|"&amp;B128&amp;"|"&amp;C128,'Master Data'!$A$2:$A$2436,0)),"")</f>
        <v>Belum terisi</v>
      </c>
      <c r="F128" s="67" t="str">
        <f aca="false">IFERROR(INDEX('Master Data'!$F$2:$F$2436,MATCH($B$3&amp;"|"&amp;D128&amp;"|"&amp;B128&amp;"|"&amp;C128,'Master Data'!$A$2:$A$2436,0))&amp;"","")</f>
        <v>Baby</v>
      </c>
      <c r="G128" s="66" t="n">
        <f aca="false">IFERROR(INDEX('Master Data'!$G$2:$G$2436,MATCH($B$3&amp;"|"&amp;D128&amp;"|"&amp;B128&amp;"|"&amp;C128,'Master Data'!$A$2:$A$2436,0)),"")</f>
        <v>5</v>
      </c>
      <c r="H128" s="67" t="str">
        <f aca="false">IFERROR(INDEX('Master Data'!$K$2:$K$2436,MATCH($B$3&amp;"|"&amp;D128&amp;"|"&amp;B128&amp;"|"&amp;C128,'Master Data'!$A$2:$A$2436,0))&amp;"","")</f>
        <v/>
      </c>
      <c r="I128" s="67" t="s">
        <v>226</v>
      </c>
      <c r="J128" s="67" t="s">
        <v>134</v>
      </c>
      <c r="K128" s="68"/>
      <c r="L128" s="68"/>
      <c r="M128" s="68"/>
      <c r="N128" s="69"/>
      <c r="O128" s="68"/>
    </row>
    <row r="129" customFormat="false" ht="40.5" hidden="false" customHeight="true" outlineLevel="0" collapsed="false">
      <c r="A129" s="66" t="n">
        <v>38</v>
      </c>
      <c r="B129" s="67" t="s">
        <v>91</v>
      </c>
      <c r="C129" s="66" t="s">
        <v>113</v>
      </c>
      <c r="D129" s="66" t="n">
        <v>2</v>
      </c>
      <c r="E129" s="67" t="str">
        <f aca="false">IFERROR(INDEX('Master Data'!$L$2:$L$2436,MATCH($B$3&amp;"|"&amp;D129&amp;"|"&amp;B129&amp;"|"&amp;C129,'Master Data'!$A$2:$A$2436,0)),"")</f>
        <v>Belum terisi</v>
      </c>
      <c r="F129" s="67" t="str">
        <f aca="false">IFERROR(INDEX('Master Data'!$F$2:$F$2436,MATCH($B$3&amp;"|"&amp;D129&amp;"|"&amp;B129&amp;"|"&amp;C129,'Master Data'!$A$2:$A$2436,0))&amp;"","")</f>
        <v>Tiny</v>
      </c>
      <c r="G129" s="66" t="n">
        <f aca="false">IFERROR(INDEX('Master Data'!$G$2:$G$2436,MATCH($B$3&amp;"|"&amp;D129&amp;"|"&amp;B129&amp;"|"&amp;C129,'Master Data'!$A$2:$A$2436,0)),"")</f>
        <v>5</v>
      </c>
      <c r="H129" s="67" t="str">
        <f aca="false">IFERROR(INDEX('Master Data'!$K$2:$K$2436,MATCH($B$3&amp;"|"&amp;D129&amp;"|"&amp;B129&amp;"|"&amp;C129,'Master Data'!$A$2:$A$2436,0))&amp;"","")</f>
        <v/>
      </c>
      <c r="I129" s="67" t="s">
        <v>226</v>
      </c>
      <c r="J129" s="67" t="s">
        <v>134</v>
      </c>
      <c r="K129" s="68"/>
      <c r="L129" s="68"/>
      <c r="M129" s="68"/>
      <c r="N129" s="69"/>
      <c r="O129" s="68"/>
    </row>
    <row r="130" customFormat="false" ht="40.5" hidden="false" customHeight="true" outlineLevel="0" collapsed="false">
      <c r="A130" s="66" t="n">
        <v>39</v>
      </c>
      <c r="B130" s="67" t="s">
        <v>91</v>
      </c>
      <c r="C130" s="66" t="s">
        <v>113</v>
      </c>
      <c r="D130" s="66" t="n">
        <v>5</v>
      </c>
      <c r="E130" s="67" t="str">
        <f aca="false">IFERROR(INDEX('Master Data'!$L$2:$L$2436,MATCH($B$3&amp;"|"&amp;D130&amp;"|"&amp;B130&amp;"|"&amp;C130,'Master Data'!$A$2:$A$2436,0)),"")</f>
        <v>Slot kosong</v>
      </c>
      <c r="F130" s="67" t="str">
        <f aca="false">IFERROR(INDEX('Master Data'!$F$2:$F$2436,MATCH($B$3&amp;"|"&amp;D130&amp;"|"&amp;B130&amp;"|"&amp;C130,'Master Data'!$A$2:$A$2436,0))&amp;"","")</f>
        <v/>
      </c>
      <c r="G130" s="66" t="n">
        <f aca="false">IFERROR(INDEX('Master Data'!$G$2:$G$2436,MATCH($B$3&amp;"|"&amp;D130&amp;"|"&amp;B130&amp;"|"&amp;C130,'Master Data'!$A$2:$A$2436,0)),"")</f>
        <v>5</v>
      </c>
      <c r="H130" s="67" t="str">
        <f aca="false">IFERROR(INDEX('Master Data'!$K$2:$K$2436,MATCH($B$3&amp;"|"&amp;D130&amp;"|"&amp;B130&amp;"|"&amp;C130,'Master Data'!$A$2:$A$2436,0))&amp;"","")</f>
        <v/>
      </c>
      <c r="I130" s="67" t="s">
        <v>226</v>
      </c>
      <c r="J130" s="67" t="s">
        <v>134</v>
      </c>
      <c r="K130" s="68"/>
      <c r="L130" s="68"/>
      <c r="M130" s="68"/>
      <c r="N130" s="69"/>
      <c r="O130" s="68"/>
    </row>
    <row r="131" customFormat="false" ht="27.75" hidden="false" customHeight="true" outlineLevel="0" collapsed="false">
      <c r="A131" s="66" t="n">
        <v>40</v>
      </c>
      <c r="B131" s="67" t="s">
        <v>91</v>
      </c>
      <c r="C131" s="66" t="s">
        <v>99</v>
      </c>
      <c r="D131" s="66" t="n">
        <v>4</v>
      </c>
      <c r="E131" s="67" t="str">
        <f aca="false">IFERROR(INDEX('Master Data'!$L$2:$L$2436,MATCH($B$3&amp;"|"&amp;D131&amp;"|"&amp;B131&amp;"|"&amp;C131,'Master Data'!$A$2:$A$2436,0)),"")</f>
        <v>Belum terisi</v>
      </c>
      <c r="F131" s="67" t="str">
        <f aca="false">IFERROR(INDEX('Master Data'!$F$2:$F$2436,MATCH($B$3&amp;"|"&amp;D131&amp;"|"&amp;B131&amp;"|"&amp;C131,'Master Data'!$A$2:$A$2436,0))&amp;"","")</f>
        <v>Kids</v>
      </c>
      <c r="G131" s="66" t="n">
        <f aca="false">IFERROR(INDEX('Master Data'!$G$2:$G$2436,MATCH($B$3&amp;"|"&amp;D131&amp;"|"&amp;B131&amp;"|"&amp;C131,'Master Data'!$A$2:$A$2436,0)),"")</f>
        <v>4</v>
      </c>
      <c r="H131" s="67" t="str">
        <f aca="false">IFERROR(INDEX('Master Data'!$K$2:$K$2436,MATCH($B$3&amp;"|"&amp;D131&amp;"|"&amp;B131&amp;"|"&amp;C131,'Master Data'!$A$2:$A$2436,0))&amp;"","")</f>
        <v/>
      </c>
      <c r="I131" s="67" t="s">
        <v>227</v>
      </c>
      <c r="J131" s="67" t="s">
        <v>134</v>
      </c>
      <c r="K131" s="68"/>
      <c r="L131" s="68"/>
      <c r="M131" s="68"/>
      <c r="N131" s="69"/>
      <c r="O131" s="68"/>
    </row>
    <row r="132" customFormat="false" ht="15.75" hidden="false" customHeight="true" outlineLevel="0" collapsed="false">
      <c r="A132" s="66" t="n">
        <v>41</v>
      </c>
      <c r="B132" s="67" t="s">
        <v>91</v>
      </c>
      <c r="C132" s="66" t="s">
        <v>114</v>
      </c>
      <c r="D132" s="66" t="n">
        <v>1</v>
      </c>
      <c r="E132" s="67" t="str">
        <f aca="false">IFERROR(INDEX('Master Data'!$L$2:$L$2436,MATCH($B$3&amp;"|"&amp;D132&amp;"|"&amp;B132&amp;"|"&amp;C132,'Master Data'!$A$2:$A$2436,0)),"")</f>
        <v>Belum terisi</v>
      </c>
      <c r="F132" s="67" t="str">
        <f aca="false">IFERROR(INDEX('Master Data'!$F$2:$F$2436,MATCH($B$3&amp;"|"&amp;D132&amp;"|"&amp;B132&amp;"|"&amp;C132,'Master Data'!$A$2:$A$2436,0))&amp;"","")</f>
        <v>Baby</v>
      </c>
      <c r="G132" s="66" t="n">
        <f aca="false">IFERROR(INDEX('Master Data'!$G$2:$G$2436,MATCH($B$3&amp;"|"&amp;D132&amp;"|"&amp;B132&amp;"|"&amp;C132,'Master Data'!$A$2:$A$2436,0)),"")</f>
        <v>5</v>
      </c>
      <c r="H132" s="67" t="str">
        <f aca="false">IFERROR(INDEX('Master Data'!$K$2:$K$2436,MATCH($B$3&amp;"|"&amp;D132&amp;"|"&amp;B132&amp;"|"&amp;C132,'Master Data'!$A$2:$A$2436,0))&amp;"","")</f>
        <v/>
      </c>
      <c r="I132" s="67" t="s">
        <v>228</v>
      </c>
      <c r="J132" s="67" t="s">
        <v>221</v>
      </c>
      <c r="K132" s="68"/>
      <c r="L132" s="68"/>
      <c r="M132" s="68"/>
      <c r="N132" s="69"/>
      <c r="O132" s="68"/>
    </row>
    <row r="133" customFormat="false" ht="15.75" hidden="false" customHeight="true" outlineLevel="0" collapsed="false">
      <c r="A133" s="66" t="n">
        <v>42</v>
      </c>
      <c r="B133" s="67" t="s">
        <v>91</v>
      </c>
      <c r="C133" s="66" t="s">
        <v>114</v>
      </c>
      <c r="D133" s="66" t="n">
        <v>5</v>
      </c>
      <c r="E133" s="67" t="str">
        <f aca="false">IFERROR(INDEX('Master Data'!$L$2:$L$2436,MATCH($B$3&amp;"|"&amp;D133&amp;"|"&amp;B133&amp;"|"&amp;C133,'Master Data'!$A$2:$A$2436,0)),"")</f>
        <v>Slot kosong</v>
      </c>
      <c r="F133" s="67" t="str">
        <f aca="false">IFERROR(INDEX('Master Data'!$F$2:$F$2436,MATCH($B$3&amp;"|"&amp;D133&amp;"|"&amp;B133&amp;"|"&amp;C133,'Master Data'!$A$2:$A$2436,0))&amp;"","")</f>
        <v/>
      </c>
      <c r="G133" s="66" t="n">
        <f aca="false">IFERROR(INDEX('Master Data'!$G$2:$G$2436,MATCH($B$3&amp;"|"&amp;D133&amp;"|"&amp;B133&amp;"|"&amp;C133,'Master Data'!$A$2:$A$2436,0)),"")</f>
        <v>5</v>
      </c>
      <c r="H133" s="67" t="str">
        <f aca="false">IFERROR(INDEX('Master Data'!$K$2:$K$2436,MATCH($B$3&amp;"|"&amp;D133&amp;"|"&amp;B133&amp;"|"&amp;C133,'Master Data'!$A$2:$A$2436,0))&amp;"","")</f>
        <v/>
      </c>
      <c r="I133" s="67" t="s">
        <v>228</v>
      </c>
      <c r="J133" s="67" t="s">
        <v>203</v>
      </c>
      <c r="K133" s="68"/>
      <c r="L133" s="68"/>
      <c r="M133" s="68"/>
      <c r="N133" s="69"/>
      <c r="O133" s="68"/>
    </row>
    <row r="134" customFormat="false" ht="27.75" hidden="false" customHeight="true" outlineLevel="0" collapsed="false">
      <c r="A134" s="66" t="n">
        <v>43</v>
      </c>
      <c r="B134" s="67" t="s">
        <v>91</v>
      </c>
      <c r="C134" s="66" t="s">
        <v>116</v>
      </c>
      <c r="D134" s="66" t="n">
        <v>1</v>
      </c>
      <c r="E134" s="67" t="str">
        <f aca="false">IFERROR(INDEX('Master Data'!$L$2:$L$2436,MATCH($B$3&amp;"|"&amp;D134&amp;"|"&amp;B134&amp;"|"&amp;C134,'Master Data'!$A$2:$A$2436,0)),"")</f>
        <v>Belum terisi</v>
      </c>
      <c r="F134" s="67" t="str">
        <f aca="false">IFERROR(INDEX('Master Data'!$F$2:$F$2436,MATCH($B$3&amp;"|"&amp;D134&amp;"|"&amp;B134&amp;"|"&amp;C134,'Master Data'!$A$2:$A$2436,0))&amp;"","")</f>
        <v>Baby</v>
      </c>
      <c r="G134" s="66" t="n">
        <f aca="false">IFERROR(INDEX('Master Data'!$G$2:$G$2436,MATCH($B$3&amp;"|"&amp;D134&amp;"|"&amp;B134&amp;"|"&amp;C134,'Master Data'!$A$2:$A$2436,0)),"")</f>
        <v>5</v>
      </c>
      <c r="H134" s="67" t="str">
        <f aca="false">IFERROR(INDEX('Master Data'!$K$2:$K$2436,MATCH($B$3&amp;"|"&amp;D134&amp;"|"&amp;B134&amp;"|"&amp;C134,'Master Data'!$A$2:$A$2436,0))&amp;"","")</f>
        <v/>
      </c>
      <c r="I134" s="67" t="s">
        <v>229</v>
      </c>
      <c r="J134" s="67" t="s">
        <v>134</v>
      </c>
      <c r="K134" s="68"/>
      <c r="L134" s="68"/>
      <c r="M134" s="68"/>
      <c r="N134" s="69"/>
      <c r="O134" s="68"/>
    </row>
    <row r="135" customFormat="false" ht="27.75" hidden="false" customHeight="true" outlineLevel="0" collapsed="false">
      <c r="A135" s="66" t="n">
        <v>44</v>
      </c>
      <c r="B135" s="67" t="s">
        <v>91</v>
      </c>
      <c r="C135" s="66" t="s">
        <v>116</v>
      </c>
      <c r="D135" s="66" t="n">
        <v>2</v>
      </c>
      <c r="E135" s="67" t="str">
        <f aca="false">IFERROR(INDEX('Master Data'!$L$2:$L$2436,MATCH($B$3&amp;"|"&amp;D135&amp;"|"&amp;B135&amp;"|"&amp;C135,'Master Data'!$A$2:$A$2436,0)),"")</f>
        <v>Belum terisi</v>
      </c>
      <c r="F135" s="67" t="str">
        <f aca="false">IFERROR(INDEX('Master Data'!$F$2:$F$2436,MATCH($B$3&amp;"|"&amp;D135&amp;"|"&amp;B135&amp;"|"&amp;C135,'Master Data'!$A$2:$A$2436,0))&amp;"","")</f>
        <v>Tiny</v>
      </c>
      <c r="G135" s="66" t="n">
        <f aca="false">IFERROR(INDEX('Master Data'!$G$2:$G$2436,MATCH($B$3&amp;"|"&amp;D135&amp;"|"&amp;B135&amp;"|"&amp;C135,'Master Data'!$A$2:$A$2436,0)),"")</f>
        <v>5</v>
      </c>
      <c r="H135" s="67" t="str">
        <f aca="false">IFERROR(INDEX('Master Data'!$K$2:$K$2436,MATCH($B$3&amp;"|"&amp;D135&amp;"|"&amp;B135&amp;"|"&amp;C135,'Master Data'!$A$2:$A$2436,0))&amp;"","")</f>
        <v/>
      </c>
      <c r="I135" s="67" t="s">
        <v>229</v>
      </c>
      <c r="J135" s="67" t="s">
        <v>134</v>
      </c>
      <c r="K135" s="68"/>
      <c r="L135" s="68"/>
      <c r="M135" s="68"/>
      <c r="N135" s="69"/>
      <c r="O135" s="68"/>
    </row>
    <row r="136" customFormat="false" ht="27.75" hidden="false" customHeight="true" outlineLevel="0" collapsed="false">
      <c r="A136" s="66" t="n">
        <v>45</v>
      </c>
      <c r="B136" s="67" t="s">
        <v>91</v>
      </c>
      <c r="C136" s="66" t="s">
        <v>116</v>
      </c>
      <c r="D136" s="66" t="n">
        <v>5</v>
      </c>
      <c r="E136" s="67" t="str">
        <f aca="false">IFERROR(INDEX('Master Data'!$L$2:$L$2436,MATCH($B$3&amp;"|"&amp;D136&amp;"|"&amp;B136&amp;"|"&amp;C136,'Master Data'!$A$2:$A$2436,0)),"")</f>
        <v>Slot kosong</v>
      </c>
      <c r="F136" s="67" t="str">
        <f aca="false">IFERROR(INDEX('Master Data'!$F$2:$F$2436,MATCH($B$3&amp;"|"&amp;D136&amp;"|"&amp;B136&amp;"|"&amp;C136,'Master Data'!$A$2:$A$2436,0))&amp;"","")</f>
        <v/>
      </c>
      <c r="G136" s="66" t="n">
        <f aca="false">IFERROR(INDEX('Master Data'!$G$2:$G$2436,MATCH($B$3&amp;"|"&amp;D136&amp;"|"&amp;B136&amp;"|"&amp;C136,'Master Data'!$A$2:$A$2436,0)),"")</f>
        <v>5</v>
      </c>
      <c r="H136" s="67" t="str">
        <f aca="false">IFERROR(INDEX('Master Data'!$K$2:$K$2436,MATCH($B$3&amp;"|"&amp;D136&amp;"|"&amp;B136&amp;"|"&amp;C136,'Master Data'!$A$2:$A$2436,0))&amp;"","")</f>
        <v/>
      </c>
      <c r="I136" s="67" t="s">
        <v>229</v>
      </c>
      <c r="J136" s="67" t="s">
        <v>134</v>
      </c>
      <c r="K136" s="68"/>
      <c r="L136" s="68"/>
      <c r="M136" s="68"/>
      <c r="N136" s="69"/>
      <c r="O136" s="68"/>
    </row>
    <row r="137" customFormat="false" ht="27.75" hidden="false" customHeight="true" outlineLevel="0" collapsed="false">
      <c r="A137" s="66" t="n">
        <v>46</v>
      </c>
      <c r="B137" s="67" t="s">
        <v>91</v>
      </c>
      <c r="C137" s="66" t="s">
        <v>117</v>
      </c>
      <c r="D137" s="66" t="n">
        <v>1</v>
      </c>
      <c r="E137" s="67" t="str">
        <f aca="false">IFERROR(INDEX('Master Data'!$L$2:$L$2436,MATCH($B$3&amp;"|"&amp;D137&amp;"|"&amp;B137&amp;"|"&amp;C137,'Master Data'!$A$2:$A$2436,0)),"")</f>
        <v>Belum terisi</v>
      </c>
      <c r="F137" s="67" t="str">
        <f aca="false">IFERROR(INDEX('Master Data'!$F$2:$F$2436,MATCH($B$3&amp;"|"&amp;D137&amp;"|"&amp;B137&amp;"|"&amp;C137,'Master Data'!$A$2:$A$2436,0))&amp;"","")</f>
        <v>Baby</v>
      </c>
      <c r="G137" s="66" t="n">
        <f aca="false">IFERROR(INDEX('Master Data'!$G$2:$G$2436,MATCH($B$3&amp;"|"&amp;D137&amp;"|"&amp;B137&amp;"|"&amp;C137,'Master Data'!$A$2:$A$2436,0)),"")</f>
        <v>5</v>
      </c>
      <c r="H137" s="67" t="str">
        <f aca="false">IFERROR(INDEX('Master Data'!$K$2:$K$2436,MATCH($B$3&amp;"|"&amp;D137&amp;"|"&amp;B137&amp;"|"&amp;C137,'Master Data'!$A$2:$A$2436,0))&amp;"","")</f>
        <v/>
      </c>
      <c r="I137" s="67" t="s">
        <v>230</v>
      </c>
      <c r="J137" s="67" t="s">
        <v>134</v>
      </c>
      <c r="K137" s="68"/>
      <c r="L137" s="68"/>
      <c r="M137" s="68"/>
      <c r="N137" s="69"/>
      <c r="O137" s="68"/>
    </row>
    <row r="138" customFormat="false" ht="27.75" hidden="false" customHeight="true" outlineLevel="0" collapsed="false">
      <c r="A138" s="66" t="n">
        <v>47</v>
      </c>
      <c r="B138" s="67" t="s">
        <v>91</v>
      </c>
      <c r="C138" s="66" t="s">
        <v>117</v>
      </c>
      <c r="D138" s="66" t="n">
        <v>2</v>
      </c>
      <c r="E138" s="67" t="str">
        <f aca="false">IFERROR(INDEX('Master Data'!$L$2:$L$2436,MATCH($B$3&amp;"|"&amp;D138&amp;"|"&amp;B138&amp;"|"&amp;C138,'Master Data'!$A$2:$A$2436,0)),"")</f>
        <v>Belum terisi</v>
      </c>
      <c r="F138" s="67" t="str">
        <f aca="false">IFERROR(INDEX('Master Data'!$F$2:$F$2436,MATCH($B$3&amp;"|"&amp;D138&amp;"|"&amp;B138&amp;"|"&amp;C138,'Master Data'!$A$2:$A$2436,0))&amp;"","")</f>
        <v>Tiny</v>
      </c>
      <c r="G138" s="66" t="n">
        <f aca="false">IFERROR(INDEX('Master Data'!$G$2:$G$2436,MATCH($B$3&amp;"|"&amp;D138&amp;"|"&amp;B138&amp;"|"&amp;C138,'Master Data'!$A$2:$A$2436,0)),"")</f>
        <v>5</v>
      </c>
      <c r="H138" s="67" t="str">
        <f aca="false">IFERROR(INDEX('Master Data'!$K$2:$K$2436,MATCH($B$3&amp;"|"&amp;D138&amp;"|"&amp;B138&amp;"|"&amp;C138,'Master Data'!$A$2:$A$2436,0))&amp;"","")</f>
        <v/>
      </c>
      <c r="I138" s="67" t="s">
        <v>230</v>
      </c>
      <c r="J138" s="67" t="s">
        <v>134</v>
      </c>
      <c r="K138" s="68"/>
      <c r="L138" s="68"/>
      <c r="M138" s="68"/>
      <c r="N138" s="69"/>
      <c r="O138" s="68"/>
    </row>
    <row r="139" customFormat="false" ht="27.75" hidden="false" customHeight="true" outlineLevel="0" collapsed="false">
      <c r="A139" s="66" t="n">
        <v>48</v>
      </c>
      <c r="B139" s="67" t="s">
        <v>91</v>
      </c>
      <c r="C139" s="66" t="s">
        <v>117</v>
      </c>
      <c r="D139" s="66" t="n">
        <v>5</v>
      </c>
      <c r="E139" s="67" t="str">
        <f aca="false">IFERROR(INDEX('Master Data'!$L$2:$L$2436,MATCH($B$3&amp;"|"&amp;D139&amp;"|"&amp;B139&amp;"|"&amp;C139,'Master Data'!$A$2:$A$2436,0)),"")</f>
        <v>Slot kosong</v>
      </c>
      <c r="F139" s="67" t="str">
        <f aca="false">IFERROR(INDEX('Master Data'!$F$2:$F$2436,MATCH($B$3&amp;"|"&amp;D139&amp;"|"&amp;B139&amp;"|"&amp;C139,'Master Data'!$A$2:$A$2436,0))&amp;"","")</f>
        <v/>
      </c>
      <c r="G139" s="66" t="n">
        <f aca="false">IFERROR(INDEX('Master Data'!$G$2:$G$2436,MATCH($B$3&amp;"|"&amp;D139&amp;"|"&amp;B139&amp;"|"&amp;C139,'Master Data'!$A$2:$A$2436,0)),"")</f>
        <v>5</v>
      </c>
      <c r="H139" s="67" t="str">
        <f aca="false">IFERROR(INDEX('Master Data'!$K$2:$K$2436,MATCH($B$3&amp;"|"&amp;D139&amp;"|"&amp;B139&amp;"|"&amp;C139,'Master Data'!$A$2:$A$2436,0))&amp;"","")</f>
        <v/>
      </c>
      <c r="I139" s="67" t="s">
        <v>230</v>
      </c>
      <c r="J139" s="67" t="s">
        <v>134</v>
      </c>
      <c r="K139" s="68"/>
      <c r="L139" s="68"/>
      <c r="M139" s="68"/>
      <c r="N139" s="69"/>
      <c r="O139" s="68"/>
    </row>
    <row r="140" customFormat="false" ht="27.75" hidden="false" customHeight="true" outlineLevel="0" collapsed="false">
      <c r="A140" s="66" t="n">
        <v>49</v>
      </c>
      <c r="B140" s="67" t="s">
        <v>91</v>
      </c>
      <c r="C140" s="66" t="s">
        <v>119</v>
      </c>
      <c r="D140" s="66" t="n">
        <v>5</v>
      </c>
      <c r="E140" s="67" t="str">
        <f aca="false">IFERROR(INDEX('Master Data'!$L$2:$L$2436,MATCH($B$3&amp;"|"&amp;D140&amp;"|"&amp;B140&amp;"|"&amp;C140,'Master Data'!$A$2:$A$2436,0)),"")</f>
        <v>Slot kosong</v>
      </c>
      <c r="F140" s="67" t="str">
        <f aca="false">IFERROR(INDEX('Master Data'!$F$2:$F$2436,MATCH($B$3&amp;"|"&amp;D140&amp;"|"&amp;B140&amp;"|"&amp;C140,'Master Data'!$A$2:$A$2436,0))&amp;"","")</f>
        <v/>
      </c>
      <c r="G140" s="66" t="n">
        <f aca="false">IFERROR(INDEX('Master Data'!$G$2:$G$2436,MATCH($B$3&amp;"|"&amp;D140&amp;"|"&amp;B140&amp;"|"&amp;C140,'Master Data'!$A$2:$A$2436,0)),"")</f>
        <v>5</v>
      </c>
      <c r="H140" s="67" t="str">
        <f aca="false">IFERROR(INDEX('Master Data'!$K$2:$K$2436,MATCH($B$3&amp;"|"&amp;D140&amp;"|"&amp;B140&amp;"|"&amp;C140,'Master Data'!$A$2:$A$2436,0))&amp;"","")</f>
        <v/>
      </c>
      <c r="I140" s="67" t="s">
        <v>230</v>
      </c>
      <c r="J140" s="67" t="s">
        <v>134</v>
      </c>
      <c r="K140" s="68"/>
      <c r="L140" s="68"/>
      <c r="M140" s="68"/>
      <c r="N140" s="69"/>
      <c r="O140" s="68"/>
    </row>
    <row r="141" customFormat="false" ht="15.75" hidden="false" customHeight="true" outlineLevel="0" collapsed="false">
      <c r="A141" s="66" t="n">
        <v>50</v>
      </c>
      <c r="B141" s="67" t="s">
        <v>91</v>
      </c>
      <c r="C141" s="66" t="s">
        <v>120</v>
      </c>
      <c r="D141" s="66" t="n">
        <v>1</v>
      </c>
      <c r="E141" s="67" t="str">
        <f aca="false">IFERROR(INDEX('Master Data'!$L$2:$L$2436,MATCH($B$3&amp;"|"&amp;D141&amp;"|"&amp;B141&amp;"|"&amp;C141,'Master Data'!$A$2:$A$2436,0)),"")</f>
        <v>Belum terisi</v>
      </c>
      <c r="F141" s="67" t="str">
        <f aca="false">IFERROR(INDEX('Master Data'!$F$2:$F$2436,MATCH($B$3&amp;"|"&amp;D141&amp;"|"&amp;B141&amp;"|"&amp;C141,'Master Data'!$A$2:$A$2436,0))&amp;"","")</f>
        <v>Baby</v>
      </c>
      <c r="G141" s="66" t="n">
        <f aca="false">IFERROR(INDEX('Master Data'!$G$2:$G$2436,MATCH($B$3&amp;"|"&amp;D141&amp;"|"&amp;B141&amp;"|"&amp;C141,'Master Data'!$A$2:$A$2436,0)),"")</f>
        <v>5</v>
      </c>
      <c r="H141" s="67" t="str">
        <f aca="false">IFERROR(INDEX('Master Data'!$K$2:$K$2436,MATCH($B$3&amp;"|"&amp;D141&amp;"|"&amp;B141&amp;"|"&amp;C141,'Master Data'!$A$2:$A$2436,0))&amp;"","")</f>
        <v/>
      </c>
      <c r="I141" s="67" t="s">
        <v>231</v>
      </c>
      <c r="J141" s="67" t="s">
        <v>134</v>
      </c>
      <c r="K141" s="68"/>
      <c r="L141" s="68"/>
      <c r="M141" s="68"/>
      <c r="N141" s="69"/>
      <c r="O141" s="68"/>
    </row>
    <row r="142" customFormat="false" ht="15.75" hidden="false" customHeight="true" outlineLevel="0" collapsed="false">
      <c r="A142" s="66" t="n">
        <v>51</v>
      </c>
      <c r="B142" s="67" t="s">
        <v>91</v>
      </c>
      <c r="C142" s="66" t="s">
        <v>120</v>
      </c>
      <c r="D142" s="66" t="n">
        <v>2</v>
      </c>
      <c r="E142" s="67" t="str">
        <f aca="false">IFERROR(INDEX('Master Data'!$L$2:$L$2436,MATCH($B$3&amp;"|"&amp;D142&amp;"|"&amp;B142&amp;"|"&amp;C142,'Master Data'!$A$2:$A$2436,0)),"")</f>
        <v>Belum terisi</v>
      </c>
      <c r="F142" s="67" t="str">
        <f aca="false">IFERROR(INDEX('Master Data'!$F$2:$F$2436,MATCH($B$3&amp;"|"&amp;D142&amp;"|"&amp;B142&amp;"|"&amp;C142,'Master Data'!$A$2:$A$2436,0))&amp;"","")</f>
        <v>Tiny</v>
      </c>
      <c r="G142" s="66" t="n">
        <f aca="false">IFERROR(INDEX('Master Data'!$G$2:$G$2436,MATCH($B$3&amp;"|"&amp;D142&amp;"|"&amp;B142&amp;"|"&amp;C142,'Master Data'!$A$2:$A$2436,0)),"")</f>
        <v>5</v>
      </c>
      <c r="H142" s="67" t="str">
        <f aca="false">IFERROR(INDEX('Master Data'!$K$2:$K$2436,MATCH($B$3&amp;"|"&amp;D142&amp;"|"&amp;B142&amp;"|"&amp;C142,'Master Data'!$A$2:$A$2436,0))&amp;"","")</f>
        <v/>
      </c>
      <c r="I142" s="67" t="s">
        <v>231</v>
      </c>
      <c r="J142" s="67" t="s">
        <v>134</v>
      </c>
      <c r="K142" s="68"/>
      <c r="L142" s="68"/>
      <c r="M142" s="68"/>
      <c r="N142" s="69"/>
      <c r="O142" s="68"/>
    </row>
    <row r="143" customFormat="false" ht="27.75" hidden="false" customHeight="true" outlineLevel="0" collapsed="false">
      <c r="A143" s="66" t="n">
        <v>52</v>
      </c>
      <c r="B143" s="67" t="s">
        <v>91</v>
      </c>
      <c r="C143" s="66" t="s">
        <v>121</v>
      </c>
      <c r="D143" s="66" t="n">
        <v>1</v>
      </c>
      <c r="E143" s="67" t="str">
        <f aca="false">IFERROR(INDEX('Master Data'!$L$2:$L$2436,MATCH($B$3&amp;"|"&amp;D143&amp;"|"&amp;B143&amp;"|"&amp;C143,'Master Data'!$A$2:$A$2436,0)),"")</f>
        <v>Belum terisi</v>
      </c>
      <c r="F143" s="67" t="str">
        <f aca="false">IFERROR(INDEX('Master Data'!$F$2:$F$2436,MATCH($B$3&amp;"|"&amp;D143&amp;"|"&amp;B143&amp;"|"&amp;C143,'Master Data'!$A$2:$A$2436,0))&amp;"","")</f>
        <v>Baby</v>
      </c>
      <c r="G143" s="66" t="n">
        <f aca="false">IFERROR(INDEX('Master Data'!$G$2:$G$2436,MATCH($B$3&amp;"|"&amp;D143&amp;"|"&amp;B143&amp;"|"&amp;C143,'Master Data'!$A$2:$A$2436,0)),"")</f>
        <v>5</v>
      </c>
      <c r="H143" s="67" t="str">
        <f aca="false">IFERROR(INDEX('Master Data'!$K$2:$K$2436,MATCH($B$3&amp;"|"&amp;D143&amp;"|"&amp;B143&amp;"|"&amp;C143,'Master Data'!$A$2:$A$2436,0))&amp;"","")</f>
        <v/>
      </c>
      <c r="I143" s="67" t="s">
        <v>230</v>
      </c>
      <c r="J143" s="67" t="s">
        <v>134</v>
      </c>
      <c r="K143" s="68"/>
      <c r="L143" s="68"/>
      <c r="M143" s="68"/>
      <c r="N143" s="69"/>
      <c r="O143" s="68"/>
    </row>
    <row r="144" customFormat="false" ht="27.75" hidden="false" customHeight="true" outlineLevel="0" collapsed="false">
      <c r="A144" s="66" t="n">
        <v>53</v>
      </c>
      <c r="B144" s="67" t="s">
        <v>91</v>
      </c>
      <c r="C144" s="66" t="s">
        <v>121</v>
      </c>
      <c r="D144" s="66" t="n">
        <v>2</v>
      </c>
      <c r="E144" s="67" t="str">
        <f aca="false">IFERROR(INDEX('Master Data'!$L$2:$L$2436,MATCH($B$3&amp;"|"&amp;D144&amp;"|"&amp;B144&amp;"|"&amp;C144,'Master Data'!$A$2:$A$2436,0)),"")</f>
        <v>Belum terisi</v>
      </c>
      <c r="F144" s="67" t="str">
        <f aca="false">IFERROR(INDEX('Master Data'!$F$2:$F$2436,MATCH($B$3&amp;"|"&amp;D144&amp;"|"&amp;B144&amp;"|"&amp;C144,'Master Data'!$A$2:$A$2436,0))&amp;"","")</f>
        <v>Tiny</v>
      </c>
      <c r="G144" s="66" t="n">
        <f aca="false">IFERROR(INDEX('Master Data'!$G$2:$G$2436,MATCH($B$3&amp;"|"&amp;D144&amp;"|"&amp;B144&amp;"|"&amp;C144,'Master Data'!$A$2:$A$2436,0)),"")</f>
        <v>5</v>
      </c>
      <c r="H144" s="67" t="str">
        <f aca="false">IFERROR(INDEX('Master Data'!$K$2:$K$2436,MATCH($B$3&amp;"|"&amp;D144&amp;"|"&amp;B144&amp;"|"&amp;C144,'Master Data'!$A$2:$A$2436,0))&amp;"","")</f>
        <v/>
      </c>
      <c r="I144" s="67" t="s">
        <v>230</v>
      </c>
      <c r="J144" s="67" t="s">
        <v>134</v>
      </c>
      <c r="K144" s="68"/>
      <c r="L144" s="68"/>
      <c r="M144" s="68"/>
      <c r="N144" s="69"/>
      <c r="O144" s="68"/>
    </row>
    <row r="145" customFormat="false" ht="27.75" hidden="false" customHeight="true" outlineLevel="0" collapsed="false">
      <c r="A145" s="66" t="n">
        <v>54</v>
      </c>
      <c r="B145" s="67" t="s">
        <v>91</v>
      </c>
      <c r="C145" s="66" t="s">
        <v>107</v>
      </c>
      <c r="D145" s="66" t="n">
        <v>3</v>
      </c>
      <c r="E145" s="67" t="str">
        <f aca="false">IFERROR(INDEX('Master Data'!$L$2:$L$2436,MATCH($B$3&amp;"|"&amp;D145&amp;"|"&amp;B145&amp;"|"&amp;C145,'Master Data'!$A$2:$A$2436,0)),"")</f>
        <v>Belum terisi</v>
      </c>
      <c r="F145" s="67" t="str">
        <f aca="false">IFERROR(INDEX('Master Data'!$F$2:$F$2436,MATCH($B$3&amp;"|"&amp;D145&amp;"|"&amp;B145&amp;"|"&amp;C145,'Master Data'!$A$2:$A$2436,0))&amp;"","")</f>
        <v>Little</v>
      </c>
      <c r="G145" s="66" t="n">
        <f aca="false">IFERROR(INDEX('Master Data'!$G$2:$G$2436,MATCH($B$3&amp;"|"&amp;D145&amp;"|"&amp;B145&amp;"|"&amp;C145,'Master Data'!$A$2:$A$2436,0)),"")</f>
        <v>4</v>
      </c>
      <c r="H145" s="67" t="str">
        <f aca="false">IFERROR(INDEX('Master Data'!$K$2:$K$2436,MATCH($B$3&amp;"|"&amp;D145&amp;"|"&amp;B145&amp;"|"&amp;C145,'Master Data'!$A$2:$A$2436,0))&amp;"","")</f>
        <v/>
      </c>
      <c r="I145" s="67" t="s">
        <v>232</v>
      </c>
      <c r="J145" s="67" t="s">
        <v>134</v>
      </c>
      <c r="K145" s="68"/>
      <c r="L145" s="68"/>
      <c r="M145" s="68"/>
      <c r="N145" s="69"/>
      <c r="O145" s="68"/>
    </row>
    <row r="146" customFormat="false" ht="52.5" hidden="false" customHeight="true" outlineLevel="0" collapsed="false">
      <c r="A146" s="66" t="n">
        <v>55</v>
      </c>
      <c r="B146" s="67" t="s">
        <v>92</v>
      </c>
      <c r="C146" s="66" t="s">
        <v>111</v>
      </c>
      <c r="D146" s="66" t="n">
        <v>1</v>
      </c>
      <c r="E146" s="67" t="str">
        <f aca="false">IFERROR(INDEX('Master Data'!$L$2:$L$2436,MATCH($B$3&amp;"|"&amp;D146&amp;"|"&amp;B146&amp;"|"&amp;C146,'Master Data'!$A$2:$A$2436,0)),"")</f>
        <v>Belum terisi</v>
      </c>
      <c r="F146" s="67" t="str">
        <f aca="false">IFERROR(INDEX('Master Data'!$F$2:$F$2436,MATCH($B$3&amp;"|"&amp;D146&amp;"|"&amp;B146&amp;"|"&amp;C146,'Master Data'!$A$2:$A$2436,0))&amp;"","")</f>
        <v>Baby</v>
      </c>
      <c r="G146" s="66" t="n">
        <f aca="false">IFERROR(INDEX('Master Data'!$G$2:$G$2436,MATCH($B$3&amp;"|"&amp;D146&amp;"|"&amp;B146&amp;"|"&amp;C146,'Master Data'!$A$2:$A$2436,0)),"")</f>
        <v>5</v>
      </c>
      <c r="H146" s="67" t="str">
        <f aca="false">IFERROR(INDEX('Master Data'!$K$2:$K$2436,MATCH($B$3&amp;"|"&amp;D146&amp;"|"&amp;B146&amp;"|"&amp;C146,'Master Data'!$A$2:$A$2436,0))&amp;"","")</f>
        <v/>
      </c>
      <c r="I146" s="67" t="s">
        <v>233</v>
      </c>
      <c r="J146" s="67" t="s">
        <v>134</v>
      </c>
      <c r="K146" s="68"/>
      <c r="L146" s="68"/>
      <c r="M146" s="68"/>
      <c r="N146" s="69"/>
      <c r="O146" s="68"/>
    </row>
    <row r="147" customFormat="false" ht="52.5" hidden="false" customHeight="true" outlineLevel="0" collapsed="false">
      <c r="A147" s="66" t="n">
        <v>56</v>
      </c>
      <c r="B147" s="67" t="s">
        <v>92</v>
      </c>
      <c r="C147" s="66" t="s">
        <v>111</v>
      </c>
      <c r="D147" s="66" t="n">
        <v>2</v>
      </c>
      <c r="E147" s="67" t="str">
        <f aca="false">IFERROR(INDEX('Master Data'!$L$2:$L$2436,MATCH($B$3&amp;"|"&amp;D147&amp;"|"&amp;B147&amp;"|"&amp;C147,'Master Data'!$A$2:$A$2436,0)),"")</f>
        <v>Belum terisi</v>
      </c>
      <c r="F147" s="67" t="str">
        <f aca="false">IFERROR(INDEX('Master Data'!$F$2:$F$2436,MATCH($B$3&amp;"|"&amp;D147&amp;"|"&amp;B147&amp;"|"&amp;C147,'Master Data'!$A$2:$A$2436,0))&amp;"","")</f>
        <v>Tiny</v>
      </c>
      <c r="G147" s="66" t="n">
        <f aca="false">IFERROR(INDEX('Master Data'!$G$2:$G$2436,MATCH($B$3&amp;"|"&amp;D147&amp;"|"&amp;B147&amp;"|"&amp;C147,'Master Data'!$A$2:$A$2436,0)),"")</f>
        <v>5</v>
      </c>
      <c r="H147" s="67" t="str">
        <f aca="false">IFERROR(INDEX('Master Data'!$K$2:$K$2436,MATCH($B$3&amp;"|"&amp;D147&amp;"|"&amp;B147&amp;"|"&amp;C147,'Master Data'!$A$2:$A$2436,0))&amp;"","")</f>
        <v/>
      </c>
      <c r="I147" s="67" t="s">
        <v>233</v>
      </c>
      <c r="J147" s="67" t="s">
        <v>134</v>
      </c>
      <c r="K147" s="68"/>
      <c r="L147" s="68"/>
      <c r="M147" s="68"/>
      <c r="N147" s="69"/>
      <c r="O147" s="68"/>
    </row>
    <row r="148" customFormat="false" ht="52.5" hidden="false" customHeight="true" outlineLevel="0" collapsed="false">
      <c r="A148" s="66" t="n">
        <v>57</v>
      </c>
      <c r="B148" s="67" t="s">
        <v>92</v>
      </c>
      <c r="C148" s="66" t="s">
        <v>111</v>
      </c>
      <c r="D148" s="66" t="n">
        <v>5</v>
      </c>
      <c r="E148" s="67" t="str">
        <f aca="false">IFERROR(INDEX('Master Data'!$L$2:$L$2436,MATCH($B$3&amp;"|"&amp;D148&amp;"|"&amp;B148&amp;"|"&amp;C148,'Master Data'!$A$2:$A$2436,0)),"")</f>
        <v>Slot kosong</v>
      </c>
      <c r="F148" s="67" t="str">
        <f aca="false">IFERROR(INDEX('Master Data'!$F$2:$F$2436,MATCH($B$3&amp;"|"&amp;D148&amp;"|"&amp;B148&amp;"|"&amp;C148,'Master Data'!$A$2:$A$2436,0))&amp;"","")</f>
        <v/>
      </c>
      <c r="G148" s="66" t="n">
        <f aca="false">IFERROR(INDEX('Master Data'!$G$2:$G$2436,MATCH($B$3&amp;"|"&amp;D148&amp;"|"&amp;B148&amp;"|"&amp;C148,'Master Data'!$A$2:$A$2436,0)),"")</f>
        <v>5</v>
      </c>
      <c r="H148" s="67" t="str">
        <f aca="false">IFERROR(INDEX('Master Data'!$K$2:$K$2436,MATCH($B$3&amp;"|"&amp;D148&amp;"|"&amp;B148&amp;"|"&amp;C148,'Master Data'!$A$2:$A$2436,0))&amp;"","")</f>
        <v/>
      </c>
      <c r="I148" s="67" t="s">
        <v>233</v>
      </c>
      <c r="J148" s="67" t="s">
        <v>134</v>
      </c>
      <c r="K148" s="68"/>
      <c r="L148" s="68"/>
      <c r="M148" s="68"/>
      <c r="N148" s="69"/>
      <c r="O148" s="68"/>
    </row>
    <row r="149" customFormat="false" ht="40.5" hidden="false" customHeight="true" outlineLevel="0" collapsed="false">
      <c r="A149" s="66" t="n">
        <v>58</v>
      </c>
      <c r="B149" s="67" t="s">
        <v>92</v>
      </c>
      <c r="C149" s="66" t="s">
        <v>97</v>
      </c>
      <c r="D149" s="66" t="n">
        <v>4</v>
      </c>
      <c r="E149" s="67" t="str">
        <f aca="false">IFERROR(INDEX('Master Data'!$L$2:$L$2436,MATCH($B$3&amp;"|"&amp;D149&amp;"|"&amp;B149&amp;"|"&amp;C149,'Master Data'!$A$2:$A$2436,0)),"")</f>
        <v>Belum terisi</v>
      </c>
      <c r="F149" s="67" t="str">
        <f aca="false">IFERROR(INDEX('Master Data'!$F$2:$F$2436,MATCH($B$3&amp;"|"&amp;D149&amp;"|"&amp;B149&amp;"|"&amp;C149,'Master Data'!$A$2:$A$2436,0))&amp;"","")</f>
        <v>Kids</v>
      </c>
      <c r="G149" s="66" t="n">
        <f aca="false">IFERROR(INDEX('Master Data'!$G$2:$G$2436,MATCH($B$3&amp;"|"&amp;D149&amp;"|"&amp;B149&amp;"|"&amp;C149,'Master Data'!$A$2:$A$2436,0)),"")</f>
        <v>4</v>
      </c>
      <c r="H149" s="67" t="str">
        <f aca="false">IFERROR(INDEX('Master Data'!$K$2:$K$2436,MATCH($B$3&amp;"|"&amp;D149&amp;"|"&amp;B149&amp;"|"&amp;C149,'Master Data'!$A$2:$A$2436,0))&amp;"","")</f>
        <v/>
      </c>
      <c r="I149" s="67" t="s">
        <v>234</v>
      </c>
      <c r="J149" s="67" t="s">
        <v>134</v>
      </c>
      <c r="K149" s="68"/>
      <c r="L149" s="68"/>
      <c r="M149" s="68"/>
      <c r="N149" s="69"/>
      <c r="O149" s="68"/>
    </row>
    <row r="150" customFormat="false" ht="40.5" hidden="false" customHeight="true" outlineLevel="0" collapsed="false">
      <c r="A150" s="66" t="n">
        <v>59</v>
      </c>
      <c r="B150" s="67" t="s">
        <v>92</v>
      </c>
      <c r="C150" s="66" t="s">
        <v>112</v>
      </c>
      <c r="D150" s="66" t="n">
        <v>5</v>
      </c>
      <c r="E150" s="67" t="str">
        <f aca="false">IFERROR(INDEX('Master Data'!$L$2:$L$2436,MATCH($B$3&amp;"|"&amp;D150&amp;"|"&amp;B150&amp;"|"&amp;C150,'Master Data'!$A$2:$A$2436,0)),"")</f>
        <v>Slot kosong</v>
      </c>
      <c r="F150" s="67" t="str">
        <f aca="false">IFERROR(INDEX('Master Data'!$F$2:$F$2436,MATCH($B$3&amp;"|"&amp;D150&amp;"|"&amp;B150&amp;"|"&amp;C150,'Master Data'!$A$2:$A$2436,0))&amp;"","")</f>
        <v/>
      </c>
      <c r="G150" s="66" t="n">
        <f aca="false">IFERROR(INDEX('Master Data'!$G$2:$G$2436,MATCH($B$3&amp;"|"&amp;D150&amp;"|"&amp;B150&amp;"|"&amp;C150,'Master Data'!$A$2:$A$2436,0)),"")</f>
        <v>5</v>
      </c>
      <c r="H150" s="67" t="str">
        <f aca="false">IFERROR(INDEX('Master Data'!$K$2:$K$2436,MATCH($B$3&amp;"|"&amp;D150&amp;"|"&amp;B150&amp;"|"&amp;C150,'Master Data'!$A$2:$A$2436,0))&amp;"","")</f>
        <v/>
      </c>
      <c r="I150" s="67" t="s">
        <v>234</v>
      </c>
      <c r="J150" s="67" t="s">
        <v>134</v>
      </c>
      <c r="K150" s="68"/>
      <c r="L150" s="68"/>
      <c r="M150" s="68"/>
      <c r="N150" s="69"/>
      <c r="O150" s="68"/>
    </row>
    <row r="151" customFormat="false" ht="27.75" hidden="false" customHeight="true" outlineLevel="0" collapsed="false">
      <c r="A151" s="66" t="n">
        <v>60</v>
      </c>
      <c r="B151" s="67" t="s">
        <v>92</v>
      </c>
      <c r="C151" s="66" t="s">
        <v>98</v>
      </c>
      <c r="D151" s="66" t="n">
        <v>3</v>
      </c>
      <c r="E151" s="67" t="str">
        <f aca="false">IFERROR(INDEX('Master Data'!$L$2:$L$2436,MATCH($B$3&amp;"|"&amp;D151&amp;"|"&amp;B151&amp;"|"&amp;C151,'Master Data'!$A$2:$A$2436,0)),"")</f>
        <v>Belum terisi</v>
      </c>
      <c r="F151" s="67" t="str">
        <f aca="false">IFERROR(INDEX('Master Data'!$F$2:$F$2436,MATCH($B$3&amp;"|"&amp;D151&amp;"|"&amp;B151&amp;"|"&amp;C151,'Master Data'!$A$2:$A$2436,0))&amp;"","")</f>
        <v>Little</v>
      </c>
      <c r="G151" s="66" t="n">
        <f aca="false">IFERROR(INDEX('Master Data'!$G$2:$G$2436,MATCH($B$3&amp;"|"&amp;D151&amp;"|"&amp;B151&amp;"|"&amp;C151,'Master Data'!$A$2:$A$2436,0)),"")</f>
        <v>4</v>
      </c>
      <c r="H151" s="67" t="str">
        <f aca="false">IFERROR(INDEX('Master Data'!$K$2:$K$2436,MATCH($B$3&amp;"|"&amp;D151&amp;"|"&amp;B151&amp;"|"&amp;C151,'Master Data'!$A$2:$A$2436,0))&amp;"","")</f>
        <v/>
      </c>
      <c r="I151" s="67" t="s">
        <v>235</v>
      </c>
      <c r="J151" s="67" t="s">
        <v>134</v>
      </c>
      <c r="K151" s="68"/>
      <c r="L151" s="68"/>
      <c r="M151" s="68"/>
      <c r="N151" s="69"/>
      <c r="O151" s="68"/>
    </row>
    <row r="152" customFormat="false" ht="27.75" hidden="false" customHeight="true" outlineLevel="0" collapsed="false">
      <c r="A152" s="66" t="n">
        <v>61</v>
      </c>
      <c r="B152" s="67" t="s">
        <v>92</v>
      </c>
      <c r="C152" s="66" t="s">
        <v>98</v>
      </c>
      <c r="D152" s="66" t="n">
        <v>4</v>
      </c>
      <c r="E152" s="67" t="str">
        <f aca="false">IFERROR(INDEX('Master Data'!$L$2:$L$2436,MATCH($B$3&amp;"|"&amp;D152&amp;"|"&amp;B152&amp;"|"&amp;C152,'Master Data'!$A$2:$A$2436,0)),"")</f>
        <v>Belum terisi</v>
      </c>
      <c r="F152" s="67" t="str">
        <f aca="false">IFERROR(INDEX('Master Data'!$F$2:$F$2436,MATCH($B$3&amp;"|"&amp;D152&amp;"|"&amp;B152&amp;"|"&amp;C152,'Master Data'!$A$2:$A$2436,0))&amp;"","")</f>
        <v>Kids</v>
      </c>
      <c r="G152" s="66" t="n">
        <f aca="false">IFERROR(INDEX('Master Data'!$G$2:$G$2436,MATCH($B$3&amp;"|"&amp;D152&amp;"|"&amp;B152&amp;"|"&amp;C152,'Master Data'!$A$2:$A$2436,0)),"")</f>
        <v>4</v>
      </c>
      <c r="H152" s="67" t="str">
        <f aca="false">IFERROR(INDEX('Master Data'!$K$2:$K$2436,MATCH($B$3&amp;"|"&amp;D152&amp;"|"&amp;B152&amp;"|"&amp;C152,'Master Data'!$A$2:$A$2436,0))&amp;"","")</f>
        <v/>
      </c>
      <c r="I152" s="67" t="s">
        <v>235</v>
      </c>
      <c r="J152" s="67" t="s">
        <v>134</v>
      </c>
      <c r="K152" s="68"/>
      <c r="L152" s="68"/>
      <c r="M152" s="68"/>
      <c r="N152" s="69"/>
      <c r="O152" s="68"/>
    </row>
    <row r="153" customFormat="false" ht="52.5" hidden="false" customHeight="true" outlineLevel="0" collapsed="false">
      <c r="A153" s="66" t="n">
        <v>62</v>
      </c>
      <c r="B153" s="67" t="s">
        <v>92</v>
      </c>
      <c r="C153" s="66" t="s">
        <v>113</v>
      </c>
      <c r="D153" s="66" t="n">
        <v>1</v>
      </c>
      <c r="E153" s="67" t="str">
        <f aca="false">IFERROR(INDEX('Master Data'!$L$2:$L$2436,MATCH($B$3&amp;"|"&amp;D153&amp;"|"&amp;B153&amp;"|"&amp;C153,'Master Data'!$A$2:$A$2436,0)),"")</f>
        <v>Belum terisi</v>
      </c>
      <c r="F153" s="67" t="str">
        <f aca="false">IFERROR(INDEX('Master Data'!$F$2:$F$2436,MATCH($B$3&amp;"|"&amp;D153&amp;"|"&amp;B153&amp;"|"&amp;C153,'Master Data'!$A$2:$A$2436,0))&amp;"","")</f>
        <v>Baby</v>
      </c>
      <c r="G153" s="66" t="n">
        <f aca="false">IFERROR(INDEX('Master Data'!$G$2:$G$2436,MATCH($B$3&amp;"|"&amp;D153&amp;"|"&amp;B153&amp;"|"&amp;C153,'Master Data'!$A$2:$A$2436,0)),"")</f>
        <v>5</v>
      </c>
      <c r="H153" s="67" t="str">
        <f aca="false">IFERROR(INDEX('Master Data'!$K$2:$K$2436,MATCH($B$3&amp;"|"&amp;D153&amp;"|"&amp;B153&amp;"|"&amp;C153,'Master Data'!$A$2:$A$2436,0))&amp;"","")</f>
        <v/>
      </c>
      <c r="I153" s="67" t="s">
        <v>236</v>
      </c>
      <c r="J153" s="67" t="s">
        <v>134</v>
      </c>
      <c r="K153" s="68"/>
      <c r="L153" s="68"/>
      <c r="M153" s="68"/>
      <c r="N153" s="69"/>
      <c r="O153" s="68"/>
    </row>
    <row r="154" customFormat="false" ht="52.5" hidden="false" customHeight="true" outlineLevel="0" collapsed="false">
      <c r="A154" s="66" t="n">
        <v>63</v>
      </c>
      <c r="B154" s="67" t="s">
        <v>92</v>
      </c>
      <c r="C154" s="66" t="s">
        <v>113</v>
      </c>
      <c r="D154" s="66" t="n">
        <v>5</v>
      </c>
      <c r="E154" s="67" t="str">
        <f aca="false">IFERROR(INDEX('Master Data'!$L$2:$L$2436,MATCH($B$3&amp;"|"&amp;D154&amp;"|"&amp;B154&amp;"|"&amp;C154,'Master Data'!$A$2:$A$2436,0)),"")</f>
        <v>Slot kosong</v>
      </c>
      <c r="F154" s="67" t="str">
        <f aca="false">IFERROR(INDEX('Master Data'!$F$2:$F$2436,MATCH($B$3&amp;"|"&amp;D154&amp;"|"&amp;B154&amp;"|"&amp;C154,'Master Data'!$A$2:$A$2436,0))&amp;"","")</f>
        <v/>
      </c>
      <c r="G154" s="66" t="n">
        <f aca="false">IFERROR(INDEX('Master Data'!$G$2:$G$2436,MATCH($B$3&amp;"|"&amp;D154&amp;"|"&amp;B154&amp;"|"&amp;C154,'Master Data'!$A$2:$A$2436,0)),"")</f>
        <v>5</v>
      </c>
      <c r="H154" s="67" t="str">
        <f aca="false">IFERROR(INDEX('Master Data'!$K$2:$K$2436,MATCH($B$3&amp;"|"&amp;D154&amp;"|"&amp;B154&amp;"|"&amp;C154,'Master Data'!$A$2:$A$2436,0))&amp;"","")</f>
        <v/>
      </c>
      <c r="I154" s="67" t="s">
        <v>236</v>
      </c>
      <c r="J154" s="67" t="s">
        <v>134</v>
      </c>
      <c r="K154" s="68"/>
      <c r="L154" s="68"/>
      <c r="M154" s="68"/>
      <c r="N154" s="69"/>
      <c r="O154" s="68"/>
    </row>
    <row r="155" customFormat="false" ht="40.5" hidden="false" customHeight="true" outlineLevel="0" collapsed="false">
      <c r="A155" s="66" t="n">
        <v>64</v>
      </c>
      <c r="B155" s="67" t="s">
        <v>92</v>
      </c>
      <c r="C155" s="66" t="s">
        <v>99</v>
      </c>
      <c r="D155" s="66" t="n">
        <v>3</v>
      </c>
      <c r="E155" s="67" t="str">
        <f aca="false">IFERROR(INDEX('Master Data'!$L$2:$L$2436,MATCH($B$3&amp;"|"&amp;D155&amp;"|"&amp;B155&amp;"|"&amp;C155,'Master Data'!$A$2:$A$2436,0)),"")</f>
        <v>Belum terisi</v>
      </c>
      <c r="F155" s="67" t="str">
        <f aca="false">IFERROR(INDEX('Master Data'!$F$2:$F$2436,MATCH($B$3&amp;"|"&amp;D155&amp;"|"&amp;B155&amp;"|"&amp;C155,'Master Data'!$A$2:$A$2436,0))&amp;"","")</f>
        <v>Little</v>
      </c>
      <c r="G155" s="66" t="n">
        <f aca="false">IFERROR(INDEX('Master Data'!$G$2:$G$2436,MATCH($B$3&amp;"|"&amp;D155&amp;"|"&amp;B155&amp;"|"&amp;C155,'Master Data'!$A$2:$A$2436,0)),"")</f>
        <v>4</v>
      </c>
      <c r="H155" s="67" t="str">
        <f aca="false">IFERROR(INDEX('Master Data'!$K$2:$K$2436,MATCH($B$3&amp;"|"&amp;D155&amp;"|"&amp;B155&amp;"|"&amp;C155,'Master Data'!$A$2:$A$2436,0))&amp;"","")</f>
        <v/>
      </c>
      <c r="I155" s="67" t="s">
        <v>237</v>
      </c>
      <c r="J155" s="67" t="s">
        <v>134</v>
      </c>
      <c r="K155" s="68"/>
      <c r="L155" s="68"/>
      <c r="M155" s="68"/>
      <c r="N155" s="69"/>
      <c r="O155" s="68"/>
    </row>
    <row r="156" customFormat="false" ht="40.5" hidden="false" customHeight="true" outlineLevel="0" collapsed="false">
      <c r="A156" s="66" t="n">
        <v>65</v>
      </c>
      <c r="B156" s="67" t="s">
        <v>92</v>
      </c>
      <c r="C156" s="66" t="s">
        <v>99</v>
      </c>
      <c r="D156" s="66" t="n">
        <v>4</v>
      </c>
      <c r="E156" s="67" t="str">
        <f aca="false">IFERROR(INDEX('Master Data'!$L$2:$L$2436,MATCH($B$3&amp;"|"&amp;D156&amp;"|"&amp;B156&amp;"|"&amp;C156,'Master Data'!$A$2:$A$2436,0)),"")</f>
        <v>Belum terisi</v>
      </c>
      <c r="F156" s="67" t="str">
        <f aca="false">IFERROR(INDEX('Master Data'!$F$2:$F$2436,MATCH($B$3&amp;"|"&amp;D156&amp;"|"&amp;B156&amp;"|"&amp;C156,'Master Data'!$A$2:$A$2436,0))&amp;"","")</f>
        <v>Kids</v>
      </c>
      <c r="G156" s="66" t="n">
        <f aca="false">IFERROR(INDEX('Master Data'!$G$2:$G$2436,MATCH($B$3&amp;"|"&amp;D156&amp;"|"&amp;B156&amp;"|"&amp;C156,'Master Data'!$A$2:$A$2436,0)),"")</f>
        <v>4</v>
      </c>
      <c r="H156" s="67" t="str">
        <f aca="false">IFERROR(INDEX('Master Data'!$K$2:$K$2436,MATCH($B$3&amp;"|"&amp;D156&amp;"|"&amp;B156&amp;"|"&amp;C156,'Master Data'!$A$2:$A$2436,0))&amp;"","")</f>
        <v/>
      </c>
      <c r="I156" s="67" t="s">
        <v>237</v>
      </c>
      <c r="J156" s="67" t="s">
        <v>134</v>
      </c>
      <c r="K156" s="68"/>
      <c r="L156" s="68"/>
      <c r="M156" s="68"/>
      <c r="N156" s="69"/>
      <c r="O156" s="68"/>
    </row>
    <row r="157" customFormat="false" ht="27.75" hidden="false" customHeight="true" outlineLevel="0" collapsed="false">
      <c r="A157" s="66" t="n">
        <v>66</v>
      </c>
      <c r="B157" s="67" t="s">
        <v>92</v>
      </c>
      <c r="C157" s="66" t="s">
        <v>114</v>
      </c>
      <c r="D157" s="66" t="n">
        <v>2</v>
      </c>
      <c r="E157" s="67" t="str">
        <f aca="false">IFERROR(INDEX('Master Data'!$L$2:$L$2436,MATCH($B$3&amp;"|"&amp;D157&amp;"|"&amp;B157&amp;"|"&amp;C157,'Master Data'!$A$2:$A$2436,0)),"")</f>
        <v>Belum terisi</v>
      </c>
      <c r="F157" s="67" t="str">
        <f aca="false">IFERROR(INDEX('Master Data'!$F$2:$F$2436,MATCH($B$3&amp;"|"&amp;D157&amp;"|"&amp;B157&amp;"|"&amp;C157,'Master Data'!$A$2:$A$2436,0))&amp;"","")</f>
        <v>Tiny</v>
      </c>
      <c r="G157" s="66" t="n">
        <f aca="false">IFERROR(INDEX('Master Data'!$G$2:$G$2436,MATCH($B$3&amp;"|"&amp;D157&amp;"|"&amp;B157&amp;"|"&amp;C157,'Master Data'!$A$2:$A$2436,0)),"")</f>
        <v>5</v>
      </c>
      <c r="H157" s="67" t="str">
        <f aca="false">IFERROR(INDEX('Master Data'!$K$2:$K$2436,MATCH($B$3&amp;"|"&amp;D157&amp;"|"&amp;B157&amp;"|"&amp;C157,'Master Data'!$A$2:$A$2436,0))&amp;"","")</f>
        <v/>
      </c>
      <c r="I157" s="67" t="s">
        <v>238</v>
      </c>
      <c r="J157" s="67" t="s">
        <v>134</v>
      </c>
      <c r="K157" s="68"/>
      <c r="L157" s="68"/>
      <c r="M157" s="68"/>
      <c r="N157" s="69"/>
      <c r="O157" s="68"/>
    </row>
    <row r="158" customFormat="false" ht="27.75" hidden="false" customHeight="true" outlineLevel="0" collapsed="false">
      <c r="A158" s="66" t="n">
        <v>67</v>
      </c>
      <c r="B158" s="67" t="s">
        <v>92</v>
      </c>
      <c r="C158" s="66" t="s">
        <v>114</v>
      </c>
      <c r="D158" s="66" t="n">
        <v>5</v>
      </c>
      <c r="E158" s="67" t="str">
        <f aca="false">IFERROR(INDEX('Master Data'!$L$2:$L$2436,MATCH($B$3&amp;"|"&amp;D158&amp;"|"&amp;B158&amp;"|"&amp;C158,'Master Data'!$A$2:$A$2436,0)),"")</f>
        <v>Slot kosong</v>
      </c>
      <c r="F158" s="67" t="str">
        <f aca="false">IFERROR(INDEX('Master Data'!$F$2:$F$2436,MATCH($B$3&amp;"|"&amp;D158&amp;"|"&amp;B158&amp;"|"&amp;C158,'Master Data'!$A$2:$A$2436,0))&amp;"","")</f>
        <v/>
      </c>
      <c r="G158" s="66" t="n">
        <f aca="false">IFERROR(INDEX('Master Data'!$G$2:$G$2436,MATCH($B$3&amp;"|"&amp;D158&amp;"|"&amp;B158&amp;"|"&amp;C158,'Master Data'!$A$2:$A$2436,0)),"")</f>
        <v>5</v>
      </c>
      <c r="H158" s="67" t="str">
        <f aca="false">IFERROR(INDEX('Master Data'!$K$2:$K$2436,MATCH($B$3&amp;"|"&amp;D158&amp;"|"&amp;B158&amp;"|"&amp;C158,'Master Data'!$A$2:$A$2436,0))&amp;"","")</f>
        <v/>
      </c>
      <c r="I158" s="67" t="s">
        <v>238</v>
      </c>
      <c r="J158" s="67" t="s">
        <v>134</v>
      </c>
      <c r="K158" s="68"/>
      <c r="L158" s="68"/>
      <c r="M158" s="68"/>
      <c r="N158" s="69"/>
      <c r="O158" s="68"/>
    </row>
    <row r="159" customFormat="false" ht="40.5" hidden="false" customHeight="true" outlineLevel="0" collapsed="false">
      <c r="A159" s="66" t="n">
        <v>68</v>
      </c>
      <c r="B159" s="67" t="s">
        <v>92</v>
      </c>
      <c r="C159" s="66" t="s">
        <v>116</v>
      </c>
      <c r="D159" s="66" t="n">
        <v>1</v>
      </c>
      <c r="E159" s="67" t="str">
        <f aca="false">IFERROR(INDEX('Master Data'!$L$2:$L$2436,MATCH($B$3&amp;"|"&amp;D159&amp;"|"&amp;B159&amp;"|"&amp;C159,'Master Data'!$A$2:$A$2436,0)),"")</f>
        <v>Belum terisi</v>
      </c>
      <c r="F159" s="67" t="str">
        <f aca="false">IFERROR(INDEX('Master Data'!$F$2:$F$2436,MATCH($B$3&amp;"|"&amp;D159&amp;"|"&amp;B159&amp;"|"&amp;C159,'Master Data'!$A$2:$A$2436,0))&amp;"","")</f>
        <v>Baby</v>
      </c>
      <c r="G159" s="66" t="n">
        <f aca="false">IFERROR(INDEX('Master Data'!$G$2:$G$2436,MATCH($B$3&amp;"|"&amp;D159&amp;"|"&amp;B159&amp;"|"&amp;C159,'Master Data'!$A$2:$A$2436,0)),"")</f>
        <v>5</v>
      </c>
      <c r="H159" s="67" t="str">
        <f aca="false">IFERROR(INDEX('Master Data'!$K$2:$K$2436,MATCH($B$3&amp;"|"&amp;D159&amp;"|"&amp;B159&amp;"|"&amp;C159,'Master Data'!$A$2:$A$2436,0))&amp;"","")</f>
        <v/>
      </c>
      <c r="I159" s="67" t="s">
        <v>239</v>
      </c>
      <c r="J159" s="67" t="s">
        <v>134</v>
      </c>
      <c r="K159" s="68"/>
      <c r="L159" s="68"/>
      <c r="M159" s="68"/>
      <c r="N159" s="69"/>
      <c r="O159" s="68"/>
    </row>
    <row r="160" customFormat="false" ht="40.5" hidden="false" customHeight="true" outlineLevel="0" collapsed="false">
      <c r="A160" s="66" t="n">
        <v>69</v>
      </c>
      <c r="B160" s="67" t="s">
        <v>92</v>
      </c>
      <c r="C160" s="66" t="s">
        <v>116</v>
      </c>
      <c r="D160" s="66" t="n">
        <v>2</v>
      </c>
      <c r="E160" s="67" t="str">
        <f aca="false">IFERROR(INDEX('Master Data'!$L$2:$L$2436,MATCH($B$3&amp;"|"&amp;D160&amp;"|"&amp;B160&amp;"|"&amp;C160,'Master Data'!$A$2:$A$2436,0)),"")</f>
        <v>Belum terisi</v>
      </c>
      <c r="F160" s="67" t="str">
        <f aca="false">IFERROR(INDEX('Master Data'!$F$2:$F$2436,MATCH($B$3&amp;"|"&amp;D160&amp;"|"&amp;B160&amp;"|"&amp;C160,'Master Data'!$A$2:$A$2436,0))&amp;"","")</f>
        <v>Tiny</v>
      </c>
      <c r="G160" s="66" t="n">
        <f aca="false">IFERROR(INDEX('Master Data'!$G$2:$G$2436,MATCH($B$3&amp;"|"&amp;D160&amp;"|"&amp;B160&amp;"|"&amp;C160,'Master Data'!$A$2:$A$2436,0)),"")</f>
        <v>5</v>
      </c>
      <c r="H160" s="67" t="str">
        <f aca="false">IFERROR(INDEX('Master Data'!$K$2:$K$2436,MATCH($B$3&amp;"|"&amp;D160&amp;"|"&amp;B160&amp;"|"&amp;C160,'Master Data'!$A$2:$A$2436,0))&amp;"","")</f>
        <v/>
      </c>
      <c r="I160" s="67" t="s">
        <v>239</v>
      </c>
      <c r="J160" s="67" t="s">
        <v>134</v>
      </c>
      <c r="K160" s="68"/>
      <c r="L160" s="68"/>
      <c r="M160" s="68"/>
      <c r="N160" s="69"/>
      <c r="O160" s="68"/>
    </row>
    <row r="161" customFormat="false" ht="40.5" hidden="false" customHeight="true" outlineLevel="0" collapsed="false">
      <c r="A161" s="66" t="n">
        <v>70</v>
      </c>
      <c r="B161" s="67" t="s">
        <v>92</v>
      </c>
      <c r="C161" s="66" t="s">
        <v>116</v>
      </c>
      <c r="D161" s="66" t="n">
        <v>5</v>
      </c>
      <c r="E161" s="67" t="str">
        <f aca="false">IFERROR(INDEX('Master Data'!$L$2:$L$2436,MATCH($B$3&amp;"|"&amp;D161&amp;"|"&amp;B161&amp;"|"&amp;C161,'Master Data'!$A$2:$A$2436,0)),"")</f>
        <v>Slot kosong</v>
      </c>
      <c r="F161" s="67" t="str">
        <f aca="false">IFERROR(INDEX('Master Data'!$F$2:$F$2436,MATCH($B$3&amp;"|"&amp;D161&amp;"|"&amp;B161&amp;"|"&amp;C161,'Master Data'!$A$2:$A$2436,0))&amp;"","")</f>
        <v/>
      </c>
      <c r="G161" s="66" t="n">
        <f aca="false">IFERROR(INDEX('Master Data'!$G$2:$G$2436,MATCH($B$3&amp;"|"&amp;D161&amp;"|"&amp;B161&amp;"|"&amp;C161,'Master Data'!$A$2:$A$2436,0)),"")</f>
        <v>5</v>
      </c>
      <c r="H161" s="67" t="str">
        <f aca="false">IFERROR(INDEX('Master Data'!$K$2:$K$2436,MATCH($B$3&amp;"|"&amp;D161&amp;"|"&amp;B161&amp;"|"&amp;C161,'Master Data'!$A$2:$A$2436,0))&amp;"","")</f>
        <v/>
      </c>
      <c r="I161" s="67" t="s">
        <v>239</v>
      </c>
      <c r="J161" s="67" t="s">
        <v>134</v>
      </c>
      <c r="K161" s="68"/>
      <c r="L161" s="68"/>
      <c r="M161" s="68"/>
      <c r="N161" s="69"/>
      <c r="O161" s="68"/>
    </row>
    <row r="162" customFormat="false" ht="27.75" hidden="false" customHeight="true" outlineLevel="0" collapsed="false">
      <c r="A162" s="66" t="n">
        <v>71</v>
      </c>
      <c r="B162" s="67" t="s">
        <v>92</v>
      </c>
      <c r="C162" s="66" t="s">
        <v>117</v>
      </c>
      <c r="D162" s="66" t="n">
        <v>1</v>
      </c>
      <c r="E162" s="67" t="str">
        <f aca="false">IFERROR(INDEX('Master Data'!$L$2:$L$2436,MATCH($B$3&amp;"|"&amp;D162&amp;"|"&amp;B162&amp;"|"&amp;C162,'Master Data'!$A$2:$A$2436,0)),"")</f>
        <v>Belum terisi</v>
      </c>
      <c r="F162" s="67" t="str">
        <f aca="false">IFERROR(INDEX('Master Data'!$F$2:$F$2436,MATCH($B$3&amp;"|"&amp;D162&amp;"|"&amp;B162&amp;"|"&amp;C162,'Master Data'!$A$2:$A$2436,0))&amp;"","")</f>
        <v>Baby</v>
      </c>
      <c r="G162" s="66" t="n">
        <f aca="false">IFERROR(INDEX('Master Data'!$G$2:$G$2436,MATCH($B$3&amp;"|"&amp;D162&amp;"|"&amp;B162&amp;"|"&amp;C162,'Master Data'!$A$2:$A$2436,0)),"")</f>
        <v>5</v>
      </c>
      <c r="H162" s="67" t="str">
        <f aca="false">IFERROR(INDEX('Master Data'!$K$2:$K$2436,MATCH($B$3&amp;"|"&amp;D162&amp;"|"&amp;B162&amp;"|"&amp;C162,'Master Data'!$A$2:$A$2436,0))&amp;"","")</f>
        <v/>
      </c>
      <c r="I162" s="67" t="s">
        <v>240</v>
      </c>
      <c r="J162" s="67" t="s">
        <v>134</v>
      </c>
      <c r="K162" s="68"/>
      <c r="L162" s="68"/>
      <c r="M162" s="68"/>
      <c r="N162" s="69"/>
      <c r="O162" s="68"/>
    </row>
    <row r="163" customFormat="false" ht="27.75" hidden="false" customHeight="true" outlineLevel="0" collapsed="false">
      <c r="A163" s="66" t="n">
        <v>72</v>
      </c>
      <c r="B163" s="67" t="s">
        <v>92</v>
      </c>
      <c r="C163" s="66" t="s">
        <v>117</v>
      </c>
      <c r="D163" s="66" t="n">
        <v>2</v>
      </c>
      <c r="E163" s="67" t="str">
        <f aca="false">IFERROR(INDEX('Master Data'!$L$2:$L$2436,MATCH($B$3&amp;"|"&amp;D163&amp;"|"&amp;B163&amp;"|"&amp;C163,'Master Data'!$A$2:$A$2436,0)),"")</f>
        <v>Belum terisi</v>
      </c>
      <c r="F163" s="67" t="str">
        <f aca="false">IFERROR(INDEX('Master Data'!$F$2:$F$2436,MATCH($B$3&amp;"|"&amp;D163&amp;"|"&amp;B163&amp;"|"&amp;C163,'Master Data'!$A$2:$A$2436,0))&amp;"","")</f>
        <v>Tiny</v>
      </c>
      <c r="G163" s="66" t="n">
        <f aca="false">IFERROR(INDEX('Master Data'!$G$2:$G$2436,MATCH($B$3&amp;"|"&amp;D163&amp;"|"&amp;B163&amp;"|"&amp;C163,'Master Data'!$A$2:$A$2436,0)),"")</f>
        <v>5</v>
      </c>
      <c r="H163" s="67" t="str">
        <f aca="false">IFERROR(INDEX('Master Data'!$K$2:$K$2436,MATCH($B$3&amp;"|"&amp;D163&amp;"|"&amp;B163&amp;"|"&amp;C163,'Master Data'!$A$2:$A$2436,0))&amp;"","")</f>
        <v/>
      </c>
      <c r="I163" s="67" t="s">
        <v>240</v>
      </c>
      <c r="J163" s="67" t="s">
        <v>134</v>
      </c>
      <c r="K163" s="68"/>
      <c r="L163" s="68"/>
      <c r="M163" s="68"/>
      <c r="N163" s="69"/>
      <c r="O163" s="68"/>
    </row>
    <row r="164" customFormat="false" ht="27.75" hidden="false" customHeight="true" outlineLevel="0" collapsed="false">
      <c r="A164" s="66" t="n">
        <v>73</v>
      </c>
      <c r="B164" s="67" t="s">
        <v>92</v>
      </c>
      <c r="C164" s="66" t="s">
        <v>117</v>
      </c>
      <c r="D164" s="66" t="n">
        <v>5</v>
      </c>
      <c r="E164" s="67" t="str">
        <f aca="false">IFERROR(INDEX('Master Data'!$L$2:$L$2436,MATCH($B$3&amp;"|"&amp;D164&amp;"|"&amp;B164&amp;"|"&amp;C164,'Master Data'!$A$2:$A$2436,0)),"")</f>
        <v>Slot kosong</v>
      </c>
      <c r="F164" s="67" t="str">
        <f aca="false">IFERROR(INDEX('Master Data'!$F$2:$F$2436,MATCH($B$3&amp;"|"&amp;D164&amp;"|"&amp;B164&amp;"|"&amp;C164,'Master Data'!$A$2:$A$2436,0))&amp;"","")</f>
        <v/>
      </c>
      <c r="G164" s="66" t="n">
        <f aca="false">IFERROR(INDEX('Master Data'!$G$2:$G$2436,MATCH($B$3&amp;"|"&amp;D164&amp;"|"&amp;B164&amp;"|"&amp;C164,'Master Data'!$A$2:$A$2436,0)),"")</f>
        <v>5</v>
      </c>
      <c r="H164" s="67" t="str">
        <f aca="false">IFERROR(INDEX('Master Data'!$K$2:$K$2436,MATCH($B$3&amp;"|"&amp;D164&amp;"|"&amp;B164&amp;"|"&amp;C164,'Master Data'!$A$2:$A$2436,0))&amp;"","")</f>
        <v/>
      </c>
      <c r="I164" s="67" t="s">
        <v>240</v>
      </c>
      <c r="J164" s="67" t="s">
        <v>134</v>
      </c>
      <c r="K164" s="68"/>
      <c r="L164" s="68"/>
      <c r="M164" s="68"/>
      <c r="N164" s="69"/>
      <c r="O164" s="68"/>
    </row>
    <row r="165" customFormat="false" ht="27.75" hidden="false" customHeight="true" outlineLevel="0" collapsed="false">
      <c r="A165" s="66" t="n">
        <v>74</v>
      </c>
      <c r="B165" s="67" t="s">
        <v>92</v>
      </c>
      <c r="C165" s="66" t="s">
        <v>118</v>
      </c>
      <c r="D165" s="66" t="n">
        <v>1</v>
      </c>
      <c r="E165" s="67" t="str">
        <f aca="false">IFERROR(INDEX('Master Data'!$L$2:$L$2436,MATCH($B$3&amp;"|"&amp;D165&amp;"|"&amp;B165&amp;"|"&amp;C165,'Master Data'!$A$2:$A$2436,0)),"")</f>
        <v>Belum terisi</v>
      </c>
      <c r="F165" s="67" t="str">
        <f aca="false">IFERROR(INDEX('Master Data'!$F$2:$F$2436,MATCH($B$3&amp;"|"&amp;D165&amp;"|"&amp;B165&amp;"|"&amp;C165,'Master Data'!$A$2:$A$2436,0))&amp;"","")</f>
        <v>Baby</v>
      </c>
      <c r="G165" s="66" t="n">
        <f aca="false">IFERROR(INDEX('Master Data'!$G$2:$G$2436,MATCH($B$3&amp;"|"&amp;D165&amp;"|"&amp;B165&amp;"|"&amp;C165,'Master Data'!$A$2:$A$2436,0)),"")</f>
        <v>5</v>
      </c>
      <c r="H165" s="67" t="str">
        <f aca="false">IFERROR(INDEX('Master Data'!$K$2:$K$2436,MATCH($B$3&amp;"|"&amp;D165&amp;"|"&amp;B165&amp;"|"&amp;C165,'Master Data'!$A$2:$A$2436,0))&amp;"","")</f>
        <v/>
      </c>
      <c r="I165" s="67" t="s">
        <v>241</v>
      </c>
      <c r="J165" s="67" t="s">
        <v>134</v>
      </c>
      <c r="K165" s="68"/>
      <c r="L165" s="68"/>
      <c r="M165" s="68"/>
      <c r="N165" s="69"/>
      <c r="O165" s="68"/>
    </row>
    <row r="166" customFormat="false" ht="15.75" hidden="false" customHeight="true" outlineLevel="0" collapsed="false">
      <c r="A166" s="66" t="n">
        <v>75</v>
      </c>
      <c r="B166" s="67" t="s">
        <v>92</v>
      </c>
      <c r="C166" s="66" t="s">
        <v>119</v>
      </c>
      <c r="D166" s="66" t="n">
        <v>1</v>
      </c>
      <c r="E166" s="67" t="str">
        <f aca="false">IFERROR(INDEX('Master Data'!$L$2:$L$2436,MATCH($B$3&amp;"|"&amp;D166&amp;"|"&amp;B166&amp;"|"&amp;C166,'Master Data'!$A$2:$A$2436,0)),"")</f>
        <v>Belum terisi</v>
      </c>
      <c r="F166" s="67" t="str">
        <f aca="false">IFERROR(INDEX('Master Data'!$F$2:$F$2436,MATCH($B$3&amp;"|"&amp;D166&amp;"|"&amp;B166&amp;"|"&amp;C166,'Master Data'!$A$2:$A$2436,0))&amp;"","")</f>
        <v>Baby</v>
      </c>
      <c r="G166" s="66" t="n">
        <f aca="false">IFERROR(INDEX('Master Data'!$G$2:$G$2436,MATCH($B$3&amp;"|"&amp;D166&amp;"|"&amp;B166&amp;"|"&amp;C166,'Master Data'!$A$2:$A$2436,0)),"")</f>
        <v>5</v>
      </c>
      <c r="H166" s="67" t="str">
        <f aca="false">IFERROR(INDEX('Master Data'!$K$2:$K$2436,MATCH($B$3&amp;"|"&amp;D166&amp;"|"&amp;B166&amp;"|"&amp;C166,'Master Data'!$A$2:$A$2436,0))&amp;"","")</f>
        <v/>
      </c>
      <c r="I166" s="70" t="s">
        <v>154</v>
      </c>
      <c r="J166" s="67" t="s">
        <v>242</v>
      </c>
      <c r="K166" s="68"/>
      <c r="L166" s="68"/>
      <c r="M166" s="68"/>
      <c r="N166" s="69"/>
      <c r="O166" s="68"/>
    </row>
    <row r="167" customFormat="false" ht="27.75" hidden="false" customHeight="true" outlineLevel="0" collapsed="false">
      <c r="A167" s="66" t="n">
        <v>76</v>
      </c>
      <c r="B167" s="67" t="s">
        <v>92</v>
      </c>
      <c r="C167" s="66" t="s">
        <v>120</v>
      </c>
      <c r="D167" s="66" t="n">
        <v>2</v>
      </c>
      <c r="E167" s="67" t="str">
        <f aca="false">IFERROR(INDEX('Master Data'!$L$2:$L$2436,MATCH($B$3&amp;"|"&amp;D167&amp;"|"&amp;B167&amp;"|"&amp;C167,'Master Data'!$A$2:$A$2436,0)),"")</f>
        <v>Belum terisi</v>
      </c>
      <c r="F167" s="67" t="str">
        <f aca="false">IFERROR(INDEX('Master Data'!$F$2:$F$2436,MATCH($B$3&amp;"|"&amp;D167&amp;"|"&amp;B167&amp;"|"&amp;C167,'Master Data'!$A$2:$A$2436,0))&amp;"","")</f>
        <v>Tiny</v>
      </c>
      <c r="G167" s="66" t="n">
        <f aca="false">IFERROR(INDEX('Master Data'!$G$2:$G$2436,MATCH($B$3&amp;"|"&amp;D167&amp;"|"&amp;B167&amp;"|"&amp;C167,'Master Data'!$A$2:$A$2436,0)),"")</f>
        <v>5</v>
      </c>
      <c r="H167" s="67" t="str">
        <f aca="false">IFERROR(INDEX('Master Data'!$K$2:$K$2436,MATCH($B$3&amp;"|"&amp;D167&amp;"|"&amp;B167&amp;"|"&amp;C167,'Master Data'!$A$2:$A$2436,0))&amp;"","")</f>
        <v/>
      </c>
      <c r="I167" s="67" t="s">
        <v>243</v>
      </c>
      <c r="J167" s="67" t="s">
        <v>134</v>
      </c>
      <c r="K167" s="68"/>
      <c r="L167" s="68"/>
      <c r="M167" s="68"/>
      <c r="N167" s="69"/>
      <c r="O167" s="68"/>
    </row>
    <row r="168" customFormat="false" ht="27.75" hidden="false" customHeight="true" outlineLevel="0" collapsed="false">
      <c r="A168" s="66" t="n">
        <v>77</v>
      </c>
      <c r="B168" s="67" t="s">
        <v>92</v>
      </c>
      <c r="C168" s="66" t="s">
        <v>120</v>
      </c>
      <c r="D168" s="66" t="n">
        <v>5</v>
      </c>
      <c r="E168" s="67" t="str">
        <f aca="false">IFERROR(INDEX('Master Data'!$L$2:$L$2436,MATCH($B$3&amp;"|"&amp;D168&amp;"|"&amp;B168&amp;"|"&amp;C168,'Master Data'!$A$2:$A$2436,0)),"")</f>
        <v>Slot kosong</v>
      </c>
      <c r="F168" s="67" t="str">
        <f aca="false">IFERROR(INDEX('Master Data'!$F$2:$F$2436,MATCH($B$3&amp;"|"&amp;D168&amp;"|"&amp;B168&amp;"|"&amp;C168,'Master Data'!$A$2:$A$2436,0))&amp;"","")</f>
        <v/>
      </c>
      <c r="G168" s="66" t="n">
        <f aca="false">IFERROR(INDEX('Master Data'!$G$2:$G$2436,MATCH($B$3&amp;"|"&amp;D168&amp;"|"&amp;B168&amp;"|"&amp;C168,'Master Data'!$A$2:$A$2436,0)),"")</f>
        <v>5</v>
      </c>
      <c r="H168" s="67" t="str">
        <f aca="false">IFERROR(INDEX('Master Data'!$K$2:$K$2436,MATCH($B$3&amp;"|"&amp;D168&amp;"|"&amp;B168&amp;"|"&amp;C168,'Master Data'!$A$2:$A$2436,0))&amp;"","")</f>
        <v/>
      </c>
      <c r="I168" s="67" t="s">
        <v>243</v>
      </c>
      <c r="J168" s="67" t="s">
        <v>134</v>
      </c>
      <c r="K168" s="68"/>
      <c r="L168" s="68"/>
      <c r="M168" s="68"/>
      <c r="N168" s="69"/>
      <c r="O168" s="68"/>
    </row>
    <row r="169" customFormat="false" ht="15.75" hidden="false" customHeight="true" outlineLevel="0" collapsed="false">
      <c r="A169" s="66" t="n">
        <v>78</v>
      </c>
      <c r="B169" s="67" t="s">
        <v>92</v>
      </c>
      <c r="C169" s="66" t="s">
        <v>121</v>
      </c>
      <c r="D169" s="66" t="n">
        <v>1</v>
      </c>
      <c r="E169" s="67" t="str">
        <f aca="false">IFERROR(INDEX('Master Data'!$L$2:$L$2436,MATCH($B$3&amp;"|"&amp;D169&amp;"|"&amp;B169&amp;"|"&amp;C169,'Master Data'!$A$2:$A$2436,0)),"")</f>
        <v>Belum terisi</v>
      </c>
      <c r="F169" s="67" t="str">
        <f aca="false">IFERROR(INDEX('Master Data'!$F$2:$F$2436,MATCH($B$3&amp;"|"&amp;D169&amp;"|"&amp;B169&amp;"|"&amp;C169,'Master Data'!$A$2:$A$2436,0))&amp;"","")</f>
        <v>Baby</v>
      </c>
      <c r="G169" s="66" t="n">
        <f aca="false">IFERROR(INDEX('Master Data'!$G$2:$G$2436,MATCH($B$3&amp;"|"&amp;D169&amp;"|"&amp;B169&amp;"|"&amp;C169,'Master Data'!$A$2:$A$2436,0)),"")</f>
        <v>5</v>
      </c>
      <c r="H169" s="67" t="str">
        <f aca="false">IFERROR(INDEX('Master Data'!$K$2:$K$2436,MATCH($B$3&amp;"|"&amp;D169&amp;"|"&amp;B169&amp;"|"&amp;C169,'Master Data'!$A$2:$A$2436,0))&amp;"","")</f>
        <v/>
      </c>
      <c r="I169" s="67" t="s">
        <v>231</v>
      </c>
      <c r="J169" s="67" t="s">
        <v>134</v>
      </c>
      <c r="K169" s="68"/>
      <c r="L169" s="68"/>
      <c r="M169" s="68"/>
      <c r="N169" s="69"/>
      <c r="O169" s="68"/>
    </row>
    <row r="170" customFormat="false" ht="40.5" hidden="false" customHeight="true" outlineLevel="0" collapsed="false">
      <c r="A170" s="66" t="n">
        <v>79</v>
      </c>
      <c r="B170" s="67" t="s">
        <v>93</v>
      </c>
      <c r="C170" s="66" t="s">
        <v>111</v>
      </c>
      <c r="D170" s="66" t="n">
        <v>1</v>
      </c>
      <c r="E170" s="67" t="str">
        <f aca="false">IFERROR(INDEX('Master Data'!$L$2:$L$2436,MATCH($B$3&amp;"|"&amp;D170&amp;"|"&amp;B170&amp;"|"&amp;C170,'Master Data'!$A$2:$A$2436,0)),"")</f>
        <v>Belum terisi</v>
      </c>
      <c r="F170" s="67" t="str">
        <f aca="false">IFERROR(INDEX('Master Data'!$F$2:$F$2436,MATCH($B$3&amp;"|"&amp;D170&amp;"|"&amp;B170&amp;"|"&amp;C170,'Master Data'!$A$2:$A$2436,0))&amp;"","")</f>
        <v>Baby</v>
      </c>
      <c r="G170" s="66" t="n">
        <f aca="false">IFERROR(INDEX('Master Data'!$G$2:$G$2436,MATCH($B$3&amp;"|"&amp;D170&amp;"|"&amp;B170&amp;"|"&amp;C170,'Master Data'!$A$2:$A$2436,0)),"")</f>
        <v>5</v>
      </c>
      <c r="H170" s="67" t="str">
        <f aca="false">IFERROR(INDEX('Master Data'!$K$2:$K$2436,MATCH($B$3&amp;"|"&amp;D170&amp;"|"&amp;B170&amp;"|"&amp;C170,'Master Data'!$A$2:$A$2436,0))&amp;"","")</f>
        <v/>
      </c>
      <c r="I170" s="67" t="s">
        <v>244</v>
      </c>
      <c r="J170" s="67" t="s">
        <v>134</v>
      </c>
      <c r="K170" s="68"/>
      <c r="L170" s="68"/>
      <c r="M170" s="68"/>
      <c r="N170" s="69"/>
      <c r="O170" s="68"/>
    </row>
    <row r="171" customFormat="false" ht="40.5" hidden="false" customHeight="true" outlineLevel="0" collapsed="false">
      <c r="A171" s="66" t="n">
        <v>80</v>
      </c>
      <c r="B171" s="67" t="s">
        <v>93</v>
      </c>
      <c r="C171" s="66" t="s">
        <v>111</v>
      </c>
      <c r="D171" s="66" t="n">
        <v>2</v>
      </c>
      <c r="E171" s="67" t="str">
        <f aca="false">IFERROR(INDEX('Master Data'!$L$2:$L$2436,MATCH($B$3&amp;"|"&amp;D171&amp;"|"&amp;B171&amp;"|"&amp;C171,'Master Data'!$A$2:$A$2436,0)),"")</f>
        <v>Belum terisi</v>
      </c>
      <c r="F171" s="67" t="str">
        <f aca="false">IFERROR(INDEX('Master Data'!$F$2:$F$2436,MATCH($B$3&amp;"|"&amp;D171&amp;"|"&amp;B171&amp;"|"&amp;C171,'Master Data'!$A$2:$A$2436,0))&amp;"","")</f>
        <v>Tiny</v>
      </c>
      <c r="G171" s="66" t="n">
        <f aca="false">IFERROR(INDEX('Master Data'!$G$2:$G$2436,MATCH($B$3&amp;"|"&amp;D171&amp;"|"&amp;B171&amp;"|"&amp;C171,'Master Data'!$A$2:$A$2436,0)),"")</f>
        <v>5</v>
      </c>
      <c r="H171" s="67" t="str">
        <f aca="false">IFERROR(INDEX('Master Data'!$K$2:$K$2436,MATCH($B$3&amp;"|"&amp;D171&amp;"|"&amp;B171&amp;"|"&amp;C171,'Master Data'!$A$2:$A$2436,0))&amp;"","")</f>
        <v/>
      </c>
      <c r="I171" s="67" t="s">
        <v>244</v>
      </c>
      <c r="J171" s="67" t="s">
        <v>134</v>
      </c>
      <c r="K171" s="68"/>
      <c r="L171" s="68"/>
      <c r="M171" s="68"/>
      <c r="N171" s="69"/>
      <c r="O171" s="68"/>
    </row>
    <row r="172" customFormat="false" ht="40.5" hidden="false" customHeight="true" outlineLevel="0" collapsed="false">
      <c r="A172" s="66" t="n">
        <v>81</v>
      </c>
      <c r="B172" s="67" t="s">
        <v>93</v>
      </c>
      <c r="C172" s="66" t="s">
        <v>111</v>
      </c>
      <c r="D172" s="66" t="n">
        <v>5</v>
      </c>
      <c r="E172" s="67" t="str">
        <f aca="false">IFERROR(INDEX('Master Data'!$L$2:$L$2436,MATCH($B$3&amp;"|"&amp;D172&amp;"|"&amp;B172&amp;"|"&amp;C172,'Master Data'!$A$2:$A$2436,0)),"")</f>
        <v>Slot kosong</v>
      </c>
      <c r="F172" s="67" t="str">
        <f aca="false">IFERROR(INDEX('Master Data'!$F$2:$F$2436,MATCH($B$3&amp;"|"&amp;D172&amp;"|"&amp;B172&amp;"|"&amp;C172,'Master Data'!$A$2:$A$2436,0))&amp;"","")</f>
        <v/>
      </c>
      <c r="G172" s="66" t="n">
        <f aca="false">IFERROR(INDEX('Master Data'!$G$2:$G$2436,MATCH($B$3&amp;"|"&amp;D172&amp;"|"&amp;B172&amp;"|"&amp;C172,'Master Data'!$A$2:$A$2436,0)),"")</f>
        <v>5</v>
      </c>
      <c r="H172" s="67" t="str">
        <f aca="false">IFERROR(INDEX('Master Data'!$K$2:$K$2436,MATCH($B$3&amp;"|"&amp;D172&amp;"|"&amp;B172&amp;"|"&amp;C172,'Master Data'!$A$2:$A$2436,0))&amp;"","")</f>
        <v/>
      </c>
      <c r="I172" s="67" t="s">
        <v>244</v>
      </c>
      <c r="J172" s="67" t="s">
        <v>134</v>
      </c>
      <c r="K172" s="68"/>
      <c r="L172" s="68"/>
      <c r="M172" s="68"/>
      <c r="N172" s="69"/>
      <c r="O172" s="68"/>
    </row>
    <row r="173" customFormat="false" ht="27.75" hidden="false" customHeight="true" outlineLevel="0" collapsed="false">
      <c r="A173" s="66" t="n">
        <v>82</v>
      </c>
      <c r="B173" s="67" t="s">
        <v>93</v>
      </c>
      <c r="C173" s="66" t="s">
        <v>97</v>
      </c>
      <c r="D173" s="66" t="n">
        <v>3</v>
      </c>
      <c r="E173" s="67" t="str">
        <f aca="false">IFERROR(INDEX('Master Data'!$L$2:$L$2436,MATCH($B$3&amp;"|"&amp;D173&amp;"|"&amp;B173&amp;"|"&amp;C173,'Master Data'!$A$2:$A$2436,0)),"")</f>
        <v>Belum terisi</v>
      </c>
      <c r="F173" s="67" t="str">
        <f aca="false">IFERROR(INDEX('Master Data'!$F$2:$F$2436,MATCH($B$3&amp;"|"&amp;D173&amp;"|"&amp;B173&amp;"|"&amp;C173,'Master Data'!$A$2:$A$2436,0))&amp;"","")</f>
        <v>Little</v>
      </c>
      <c r="G173" s="66" t="n">
        <f aca="false">IFERROR(INDEX('Master Data'!$G$2:$G$2436,MATCH($B$3&amp;"|"&amp;D173&amp;"|"&amp;B173&amp;"|"&amp;C173,'Master Data'!$A$2:$A$2436,0)),"")</f>
        <v>4</v>
      </c>
      <c r="H173" s="67" t="str">
        <f aca="false">IFERROR(INDEX('Master Data'!$K$2:$K$2436,MATCH($B$3&amp;"|"&amp;D173&amp;"|"&amp;B173&amp;"|"&amp;C173,'Master Data'!$A$2:$A$2436,0))&amp;"","")</f>
        <v/>
      </c>
      <c r="I173" s="67" t="s">
        <v>245</v>
      </c>
      <c r="J173" s="67" t="s">
        <v>134</v>
      </c>
      <c r="K173" s="68"/>
      <c r="L173" s="68"/>
      <c r="M173" s="68"/>
      <c r="N173" s="69"/>
      <c r="O173" s="68"/>
    </row>
    <row r="174" customFormat="false" ht="27.75" hidden="false" customHeight="true" outlineLevel="0" collapsed="false">
      <c r="A174" s="66" t="n">
        <v>83</v>
      </c>
      <c r="B174" s="67" t="s">
        <v>93</v>
      </c>
      <c r="C174" s="66" t="s">
        <v>97</v>
      </c>
      <c r="D174" s="66" t="n">
        <v>4</v>
      </c>
      <c r="E174" s="67" t="str">
        <f aca="false">IFERROR(INDEX('Master Data'!$L$2:$L$2436,MATCH($B$3&amp;"|"&amp;D174&amp;"|"&amp;B174&amp;"|"&amp;C174,'Master Data'!$A$2:$A$2436,0)),"")</f>
        <v>Belum terisi</v>
      </c>
      <c r="F174" s="67" t="str">
        <f aca="false">IFERROR(INDEX('Master Data'!$F$2:$F$2436,MATCH($B$3&amp;"|"&amp;D174&amp;"|"&amp;B174&amp;"|"&amp;C174,'Master Data'!$A$2:$A$2436,0))&amp;"","")</f>
        <v>Kids</v>
      </c>
      <c r="G174" s="66" t="n">
        <f aca="false">IFERROR(INDEX('Master Data'!$G$2:$G$2436,MATCH($B$3&amp;"|"&amp;D174&amp;"|"&amp;B174&amp;"|"&amp;C174,'Master Data'!$A$2:$A$2436,0)),"")</f>
        <v>4</v>
      </c>
      <c r="H174" s="67" t="str">
        <f aca="false">IFERROR(INDEX('Master Data'!$K$2:$K$2436,MATCH($B$3&amp;"|"&amp;D174&amp;"|"&amp;B174&amp;"|"&amp;C174,'Master Data'!$A$2:$A$2436,0))&amp;"","")</f>
        <v/>
      </c>
      <c r="I174" s="67" t="s">
        <v>245</v>
      </c>
      <c r="J174" s="67" t="s">
        <v>134</v>
      </c>
      <c r="K174" s="68"/>
      <c r="L174" s="68"/>
      <c r="M174" s="68"/>
      <c r="N174" s="69"/>
      <c r="O174" s="68"/>
    </row>
    <row r="175" customFormat="false" ht="27.75" hidden="false" customHeight="true" outlineLevel="0" collapsed="false">
      <c r="A175" s="66" t="n">
        <v>84</v>
      </c>
      <c r="B175" s="67" t="s">
        <v>93</v>
      </c>
      <c r="C175" s="66" t="s">
        <v>112</v>
      </c>
      <c r="D175" s="66" t="n">
        <v>1</v>
      </c>
      <c r="E175" s="67" t="str">
        <f aca="false">IFERROR(INDEX('Master Data'!$L$2:$L$2436,MATCH($B$3&amp;"|"&amp;D175&amp;"|"&amp;B175&amp;"|"&amp;C175,'Master Data'!$A$2:$A$2436,0)),"")</f>
        <v>Belum terisi</v>
      </c>
      <c r="F175" s="67" t="str">
        <f aca="false">IFERROR(INDEX('Master Data'!$F$2:$F$2436,MATCH($B$3&amp;"|"&amp;D175&amp;"|"&amp;B175&amp;"|"&amp;C175,'Master Data'!$A$2:$A$2436,0))&amp;"","")</f>
        <v>Baby</v>
      </c>
      <c r="G175" s="66" t="n">
        <f aca="false">IFERROR(INDEX('Master Data'!$G$2:$G$2436,MATCH($B$3&amp;"|"&amp;D175&amp;"|"&amp;B175&amp;"|"&amp;C175,'Master Data'!$A$2:$A$2436,0)),"")</f>
        <v>5</v>
      </c>
      <c r="H175" s="67" t="str">
        <f aca="false">IFERROR(INDEX('Master Data'!$K$2:$K$2436,MATCH($B$3&amp;"|"&amp;D175&amp;"|"&amp;B175&amp;"|"&amp;C175,'Master Data'!$A$2:$A$2436,0))&amp;"","")</f>
        <v/>
      </c>
      <c r="I175" s="67" t="s">
        <v>246</v>
      </c>
      <c r="J175" s="67" t="s">
        <v>134</v>
      </c>
      <c r="K175" s="68"/>
      <c r="L175" s="68"/>
      <c r="M175" s="68"/>
      <c r="N175" s="69"/>
      <c r="O175" s="68"/>
    </row>
    <row r="176" customFormat="false" ht="27.75" hidden="false" customHeight="true" outlineLevel="0" collapsed="false">
      <c r="A176" s="66" t="n">
        <v>85</v>
      </c>
      <c r="B176" s="67" t="s">
        <v>93</v>
      </c>
      <c r="C176" s="66" t="s">
        <v>112</v>
      </c>
      <c r="D176" s="66" t="n">
        <v>5</v>
      </c>
      <c r="E176" s="67" t="str">
        <f aca="false">IFERROR(INDEX('Master Data'!$L$2:$L$2436,MATCH($B$3&amp;"|"&amp;D176&amp;"|"&amp;B176&amp;"|"&amp;C176,'Master Data'!$A$2:$A$2436,0)),"")</f>
        <v>Slot kosong</v>
      </c>
      <c r="F176" s="67" t="str">
        <f aca="false">IFERROR(INDEX('Master Data'!$F$2:$F$2436,MATCH($B$3&amp;"|"&amp;D176&amp;"|"&amp;B176&amp;"|"&amp;C176,'Master Data'!$A$2:$A$2436,0))&amp;"","")</f>
        <v/>
      </c>
      <c r="G176" s="66" t="n">
        <f aca="false">IFERROR(INDEX('Master Data'!$G$2:$G$2436,MATCH($B$3&amp;"|"&amp;D176&amp;"|"&amp;B176&amp;"|"&amp;C176,'Master Data'!$A$2:$A$2436,0)),"")</f>
        <v>5</v>
      </c>
      <c r="H176" s="67" t="str">
        <f aca="false">IFERROR(INDEX('Master Data'!$K$2:$K$2436,MATCH($B$3&amp;"|"&amp;D176&amp;"|"&amp;B176&amp;"|"&amp;C176,'Master Data'!$A$2:$A$2436,0))&amp;"","")</f>
        <v/>
      </c>
      <c r="I176" s="67" t="s">
        <v>246</v>
      </c>
      <c r="J176" s="67" t="s">
        <v>134</v>
      </c>
      <c r="K176" s="68"/>
      <c r="L176" s="68"/>
      <c r="M176" s="68"/>
      <c r="N176" s="69"/>
      <c r="O176" s="68"/>
    </row>
    <row r="177" customFormat="false" ht="27.75" hidden="false" customHeight="true" outlineLevel="0" collapsed="false">
      <c r="A177" s="66" t="n">
        <v>86</v>
      </c>
      <c r="B177" s="67" t="s">
        <v>93</v>
      </c>
      <c r="C177" s="66" t="s">
        <v>98</v>
      </c>
      <c r="D177" s="66" t="n">
        <v>4</v>
      </c>
      <c r="E177" s="67" t="str">
        <f aca="false">IFERROR(INDEX('Master Data'!$L$2:$L$2436,MATCH($B$3&amp;"|"&amp;D177&amp;"|"&amp;B177&amp;"|"&amp;C177,'Master Data'!$A$2:$A$2436,0)),"")</f>
        <v>Belum terisi</v>
      </c>
      <c r="F177" s="67" t="str">
        <f aca="false">IFERROR(INDEX('Master Data'!$F$2:$F$2436,MATCH($B$3&amp;"|"&amp;D177&amp;"|"&amp;B177&amp;"|"&amp;C177,'Master Data'!$A$2:$A$2436,0))&amp;"","")</f>
        <v>Kids</v>
      </c>
      <c r="G177" s="66" t="n">
        <f aca="false">IFERROR(INDEX('Master Data'!$G$2:$G$2436,MATCH($B$3&amp;"|"&amp;D177&amp;"|"&amp;B177&amp;"|"&amp;C177,'Master Data'!$A$2:$A$2436,0)),"")</f>
        <v>4</v>
      </c>
      <c r="H177" s="67" t="str">
        <f aca="false">IFERROR(INDEX('Master Data'!$K$2:$K$2436,MATCH($B$3&amp;"|"&amp;D177&amp;"|"&amp;B177&amp;"|"&amp;C177,'Master Data'!$A$2:$A$2436,0))&amp;"","")</f>
        <v/>
      </c>
      <c r="I177" s="67" t="s">
        <v>246</v>
      </c>
      <c r="J177" s="67" t="s">
        <v>134</v>
      </c>
      <c r="K177" s="68"/>
      <c r="L177" s="68"/>
      <c r="M177" s="68"/>
      <c r="N177" s="69"/>
      <c r="O177" s="68"/>
    </row>
    <row r="178" customFormat="false" ht="27.75" hidden="false" customHeight="true" outlineLevel="0" collapsed="false">
      <c r="A178" s="66" t="n">
        <v>87</v>
      </c>
      <c r="B178" s="67" t="s">
        <v>93</v>
      </c>
      <c r="C178" s="66" t="s">
        <v>113</v>
      </c>
      <c r="D178" s="66" t="n">
        <v>2</v>
      </c>
      <c r="E178" s="67" t="str">
        <f aca="false">IFERROR(INDEX('Master Data'!$L$2:$L$2436,MATCH($B$3&amp;"|"&amp;D178&amp;"|"&amp;B178&amp;"|"&amp;C178,'Master Data'!$A$2:$A$2436,0)),"")</f>
        <v>Belum terisi</v>
      </c>
      <c r="F178" s="67" t="str">
        <f aca="false">IFERROR(INDEX('Master Data'!$F$2:$F$2436,MATCH($B$3&amp;"|"&amp;D178&amp;"|"&amp;B178&amp;"|"&amp;C178,'Master Data'!$A$2:$A$2436,0))&amp;"","")</f>
        <v>Tiny</v>
      </c>
      <c r="G178" s="66" t="n">
        <f aca="false">IFERROR(INDEX('Master Data'!$G$2:$G$2436,MATCH($B$3&amp;"|"&amp;D178&amp;"|"&amp;B178&amp;"|"&amp;C178,'Master Data'!$A$2:$A$2436,0)),"")</f>
        <v>5</v>
      </c>
      <c r="H178" s="67" t="str">
        <f aca="false">IFERROR(INDEX('Master Data'!$K$2:$K$2436,MATCH($B$3&amp;"|"&amp;D178&amp;"|"&amp;B178&amp;"|"&amp;C178,'Master Data'!$A$2:$A$2436,0))&amp;"","")</f>
        <v/>
      </c>
      <c r="I178" s="67" t="s">
        <v>246</v>
      </c>
      <c r="J178" s="67" t="s">
        <v>134</v>
      </c>
      <c r="K178" s="68"/>
      <c r="L178" s="68"/>
      <c r="M178" s="68"/>
      <c r="N178" s="69"/>
      <c r="O178" s="68"/>
    </row>
    <row r="179" customFormat="false" ht="27.75" hidden="false" customHeight="true" outlineLevel="0" collapsed="false">
      <c r="A179" s="66" t="n">
        <v>88</v>
      </c>
      <c r="B179" s="67" t="s">
        <v>93</v>
      </c>
      <c r="C179" s="66" t="s">
        <v>113</v>
      </c>
      <c r="D179" s="66" t="n">
        <v>5</v>
      </c>
      <c r="E179" s="67" t="str">
        <f aca="false">IFERROR(INDEX('Master Data'!$L$2:$L$2436,MATCH($B$3&amp;"|"&amp;D179&amp;"|"&amp;B179&amp;"|"&amp;C179,'Master Data'!$A$2:$A$2436,0)),"")</f>
        <v>Slot kosong</v>
      </c>
      <c r="F179" s="67" t="str">
        <f aca="false">IFERROR(INDEX('Master Data'!$F$2:$F$2436,MATCH($B$3&amp;"|"&amp;D179&amp;"|"&amp;B179&amp;"|"&amp;C179,'Master Data'!$A$2:$A$2436,0))&amp;"","")</f>
        <v/>
      </c>
      <c r="G179" s="66" t="n">
        <f aca="false">IFERROR(INDEX('Master Data'!$G$2:$G$2436,MATCH($B$3&amp;"|"&amp;D179&amp;"|"&amp;B179&amp;"|"&amp;C179,'Master Data'!$A$2:$A$2436,0)),"")</f>
        <v>5</v>
      </c>
      <c r="H179" s="67" t="str">
        <f aca="false">IFERROR(INDEX('Master Data'!$K$2:$K$2436,MATCH($B$3&amp;"|"&amp;D179&amp;"|"&amp;B179&amp;"|"&amp;C179,'Master Data'!$A$2:$A$2436,0))&amp;"","")</f>
        <v/>
      </c>
      <c r="I179" s="67" t="s">
        <v>246</v>
      </c>
      <c r="J179" s="67" t="s">
        <v>134</v>
      </c>
      <c r="K179" s="68"/>
      <c r="L179" s="68"/>
      <c r="M179" s="68"/>
      <c r="N179" s="69"/>
      <c r="O179" s="68"/>
    </row>
    <row r="180" customFormat="false" ht="27.75" hidden="false" customHeight="true" outlineLevel="0" collapsed="false">
      <c r="A180" s="66" t="n">
        <v>89</v>
      </c>
      <c r="B180" s="67" t="s">
        <v>93</v>
      </c>
      <c r="C180" s="66" t="s">
        <v>99</v>
      </c>
      <c r="D180" s="66" t="n">
        <v>3</v>
      </c>
      <c r="E180" s="67" t="str">
        <f aca="false">IFERROR(INDEX('Master Data'!$L$2:$L$2436,MATCH($B$3&amp;"|"&amp;D180&amp;"|"&amp;B180&amp;"|"&amp;C180,'Master Data'!$A$2:$A$2436,0)),"")</f>
        <v>Belum terisi</v>
      </c>
      <c r="F180" s="67" t="str">
        <f aca="false">IFERROR(INDEX('Master Data'!$F$2:$F$2436,MATCH($B$3&amp;"|"&amp;D180&amp;"|"&amp;B180&amp;"|"&amp;C180,'Master Data'!$A$2:$A$2436,0))&amp;"","")</f>
        <v>Little</v>
      </c>
      <c r="G180" s="66" t="n">
        <f aca="false">IFERROR(INDEX('Master Data'!$G$2:$G$2436,MATCH($B$3&amp;"|"&amp;D180&amp;"|"&amp;B180&amp;"|"&amp;C180,'Master Data'!$A$2:$A$2436,0)),"")</f>
        <v>4</v>
      </c>
      <c r="H180" s="67" t="str">
        <f aca="false">IFERROR(INDEX('Master Data'!$K$2:$K$2436,MATCH($B$3&amp;"|"&amp;D180&amp;"|"&amp;B180&amp;"|"&amp;C180,'Master Data'!$A$2:$A$2436,0))&amp;"","")</f>
        <v/>
      </c>
      <c r="I180" s="67" t="s">
        <v>246</v>
      </c>
      <c r="J180" s="67" t="s">
        <v>134</v>
      </c>
      <c r="K180" s="68"/>
      <c r="L180" s="68"/>
      <c r="M180" s="68"/>
      <c r="N180" s="69"/>
      <c r="O180" s="68"/>
    </row>
    <row r="181" customFormat="false" ht="27.75" hidden="false" customHeight="true" outlineLevel="0" collapsed="false">
      <c r="A181" s="66" t="n">
        <v>90</v>
      </c>
      <c r="B181" s="67" t="s">
        <v>93</v>
      </c>
      <c r="C181" s="66" t="s">
        <v>99</v>
      </c>
      <c r="D181" s="66" t="n">
        <v>4</v>
      </c>
      <c r="E181" s="67" t="str">
        <f aca="false">IFERROR(INDEX('Master Data'!$L$2:$L$2436,MATCH($B$3&amp;"|"&amp;D181&amp;"|"&amp;B181&amp;"|"&amp;C181,'Master Data'!$A$2:$A$2436,0)),"")</f>
        <v>Belum terisi</v>
      </c>
      <c r="F181" s="67" t="str">
        <f aca="false">IFERROR(INDEX('Master Data'!$F$2:$F$2436,MATCH($B$3&amp;"|"&amp;D181&amp;"|"&amp;B181&amp;"|"&amp;C181,'Master Data'!$A$2:$A$2436,0))&amp;"","")</f>
        <v>Kids</v>
      </c>
      <c r="G181" s="66" t="n">
        <f aca="false">IFERROR(INDEX('Master Data'!$G$2:$G$2436,MATCH($B$3&amp;"|"&amp;D181&amp;"|"&amp;B181&amp;"|"&amp;C181,'Master Data'!$A$2:$A$2436,0)),"")</f>
        <v>4</v>
      </c>
      <c r="H181" s="67" t="str">
        <f aca="false">IFERROR(INDEX('Master Data'!$K$2:$K$2436,MATCH($B$3&amp;"|"&amp;D181&amp;"|"&amp;B181&amp;"|"&amp;C181,'Master Data'!$A$2:$A$2436,0))&amp;"","")</f>
        <v/>
      </c>
      <c r="I181" s="67" t="s">
        <v>246</v>
      </c>
      <c r="J181" s="67" t="s">
        <v>134</v>
      </c>
      <c r="K181" s="68"/>
      <c r="L181" s="68"/>
      <c r="M181" s="68"/>
      <c r="N181" s="69"/>
      <c r="O181" s="68"/>
    </row>
    <row r="182" customFormat="false" ht="15.75" hidden="false" customHeight="true" outlineLevel="0" collapsed="false">
      <c r="A182" s="66" t="n">
        <v>91</v>
      </c>
      <c r="B182" s="67" t="s">
        <v>93</v>
      </c>
      <c r="C182" s="66" t="s">
        <v>114</v>
      </c>
      <c r="D182" s="66" t="n">
        <v>1</v>
      </c>
      <c r="E182" s="67" t="str">
        <f aca="false">IFERROR(INDEX('Master Data'!$L$2:$L$2436,MATCH($B$3&amp;"|"&amp;D182&amp;"|"&amp;B182&amp;"|"&amp;C182,'Master Data'!$A$2:$A$2436,0)),"")</f>
        <v>Belum terisi</v>
      </c>
      <c r="F182" s="67" t="str">
        <f aca="false">IFERROR(INDEX('Master Data'!$F$2:$F$2436,MATCH($B$3&amp;"|"&amp;D182&amp;"|"&amp;B182&amp;"|"&amp;C182,'Master Data'!$A$2:$A$2436,0))&amp;"","")</f>
        <v>Baby</v>
      </c>
      <c r="G182" s="66" t="n">
        <f aca="false">IFERROR(INDEX('Master Data'!$G$2:$G$2436,MATCH($B$3&amp;"|"&amp;D182&amp;"|"&amp;B182&amp;"|"&amp;C182,'Master Data'!$A$2:$A$2436,0)),"")</f>
        <v>5</v>
      </c>
      <c r="H182" s="67" t="str">
        <f aca="false">IFERROR(INDEX('Master Data'!$K$2:$K$2436,MATCH($B$3&amp;"|"&amp;D182&amp;"|"&amp;B182&amp;"|"&amp;C182,'Master Data'!$A$2:$A$2436,0))&amp;"","")</f>
        <v/>
      </c>
      <c r="I182" s="67" t="s">
        <v>247</v>
      </c>
      <c r="J182" s="67" t="s">
        <v>221</v>
      </c>
      <c r="K182" s="68"/>
      <c r="L182" s="68"/>
      <c r="M182" s="68"/>
      <c r="N182" s="69"/>
      <c r="O182" s="68"/>
    </row>
    <row r="183" customFormat="false" ht="15.75" hidden="false" customHeight="true" outlineLevel="0" collapsed="false">
      <c r="A183" s="66" t="n">
        <v>92</v>
      </c>
      <c r="B183" s="67" t="s">
        <v>93</v>
      </c>
      <c r="C183" s="66" t="s">
        <v>114</v>
      </c>
      <c r="D183" s="66" t="n">
        <v>5</v>
      </c>
      <c r="E183" s="67" t="str">
        <f aca="false">IFERROR(INDEX('Master Data'!$L$2:$L$2436,MATCH($B$3&amp;"|"&amp;D183&amp;"|"&amp;B183&amp;"|"&amp;C183,'Master Data'!$A$2:$A$2436,0)),"")</f>
        <v>Slot kosong</v>
      </c>
      <c r="F183" s="67" t="str">
        <f aca="false">IFERROR(INDEX('Master Data'!$F$2:$F$2436,MATCH($B$3&amp;"|"&amp;D183&amp;"|"&amp;B183&amp;"|"&amp;C183,'Master Data'!$A$2:$A$2436,0))&amp;"","")</f>
        <v/>
      </c>
      <c r="G183" s="66" t="n">
        <f aca="false">IFERROR(INDEX('Master Data'!$G$2:$G$2436,MATCH($B$3&amp;"|"&amp;D183&amp;"|"&amp;B183&amp;"|"&amp;C183,'Master Data'!$A$2:$A$2436,0)),"")</f>
        <v>5</v>
      </c>
      <c r="H183" s="67" t="str">
        <f aca="false">IFERROR(INDEX('Master Data'!$K$2:$K$2436,MATCH($B$3&amp;"|"&amp;D183&amp;"|"&amp;B183&amp;"|"&amp;C183,'Master Data'!$A$2:$A$2436,0))&amp;"","")</f>
        <v/>
      </c>
      <c r="I183" s="67" t="s">
        <v>247</v>
      </c>
      <c r="J183" s="67" t="s">
        <v>203</v>
      </c>
      <c r="K183" s="68"/>
      <c r="L183" s="68"/>
      <c r="M183" s="68"/>
      <c r="N183" s="69"/>
      <c r="O183" s="68"/>
    </row>
    <row r="184" customFormat="false" ht="27.75" hidden="false" customHeight="true" outlineLevel="0" collapsed="false">
      <c r="A184" s="66" t="n">
        <v>93</v>
      </c>
      <c r="B184" s="67" t="s">
        <v>93</v>
      </c>
      <c r="C184" s="66" t="s">
        <v>116</v>
      </c>
      <c r="D184" s="66" t="n">
        <v>1</v>
      </c>
      <c r="E184" s="67" t="str">
        <f aca="false">IFERROR(INDEX('Master Data'!$L$2:$L$2436,MATCH($B$3&amp;"|"&amp;D184&amp;"|"&amp;B184&amp;"|"&amp;C184,'Master Data'!$A$2:$A$2436,0)),"")</f>
        <v>Belum terisi</v>
      </c>
      <c r="F184" s="67" t="str">
        <f aca="false">IFERROR(INDEX('Master Data'!$F$2:$F$2436,MATCH($B$3&amp;"|"&amp;D184&amp;"|"&amp;B184&amp;"|"&amp;C184,'Master Data'!$A$2:$A$2436,0))&amp;"","")</f>
        <v>Baby</v>
      </c>
      <c r="G184" s="66" t="n">
        <f aca="false">IFERROR(INDEX('Master Data'!$G$2:$G$2436,MATCH($B$3&amp;"|"&amp;D184&amp;"|"&amp;B184&amp;"|"&amp;C184,'Master Data'!$A$2:$A$2436,0)),"")</f>
        <v>5</v>
      </c>
      <c r="H184" s="67" t="str">
        <f aca="false">IFERROR(INDEX('Master Data'!$K$2:$K$2436,MATCH($B$3&amp;"|"&amp;D184&amp;"|"&amp;B184&amp;"|"&amp;C184,'Master Data'!$A$2:$A$2436,0))&amp;"","")</f>
        <v/>
      </c>
      <c r="I184" s="67" t="s">
        <v>245</v>
      </c>
      <c r="J184" s="67" t="s">
        <v>134</v>
      </c>
      <c r="K184" s="68"/>
      <c r="L184" s="68"/>
      <c r="M184" s="68"/>
      <c r="N184" s="69"/>
      <c r="O184" s="68"/>
    </row>
    <row r="185" customFormat="false" ht="27.75" hidden="false" customHeight="true" outlineLevel="0" collapsed="false">
      <c r="A185" s="66" t="n">
        <v>94</v>
      </c>
      <c r="B185" s="67" t="s">
        <v>93</v>
      </c>
      <c r="C185" s="66" t="s">
        <v>116</v>
      </c>
      <c r="D185" s="66" t="n">
        <v>2</v>
      </c>
      <c r="E185" s="67" t="str">
        <f aca="false">IFERROR(INDEX('Master Data'!$L$2:$L$2436,MATCH($B$3&amp;"|"&amp;D185&amp;"|"&amp;B185&amp;"|"&amp;C185,'Master Data'!$A$2:$A$2436,0)),"")</f>
        <v>Belum terisi</v>
      </c>
      <c r="F185" s="67" t="str">
        <f aca="false">IFERROR(INDEX('Master Data'!$F$2:$F$2436,MATCH($B$3&amp;"|"&amp;D185&amp;"|"&amp;B185&amp;"|"&amp;C185,'Master Data'!$A$2:$A$2436,0))&amp;"","")</f>
        <v>Tiny</v>
      </c>
      <c r="G185" s="66" t="n">
        <f aca="false">IFERROR(INDEX('Master Data'!$G$2:$G$2436,MATCH($B$3&amp;"|"&amp;D185&amp;"|"&amp;B185&amp;"|"&amp;C185,'Master Data'!$A$2:$A$2436,0)),"")</f>
        <v>5</v>
      </c>
      <c r="H185" s="67" t="str">
        <f aca="false">IFERROR(INDEX('Master Data'!$K$2:$K$2436,MATCH($B$3&amp;"|"&amp;D185&amp;"|"&amp;B185&amp;"|"&amp;C185,'Master Data'!$A$2:$A$2436,0))&amp;"","")</f>
        <v/>
      </c>
      <c r="I185" s="67" t="s">
        <v>245</v>
      </c>
      <c r="J185" s="67" t="s">
        <v>134</v>
      </c>
      <c r="K185" s="68"/>
      <c r="L185" s="68"/>
      <c r="M185" s="68"/>
      <c r="N185" s="69"/>
      <c r="O185" s="68"/>
    </row>
    <row r="186" customFormat="false" ht="27.75" hidden="false" customHeight="true" outlineLevel="0" collapsed="false">
      <c r="A186" s="66" t="n">
        <v>95</v>
      </c>
      <c r="B186" s="67" t="s">
        <v>93</v>
      </c>
      <c r="C186" s="66" t="s">
        <v>102</v>
      </c>
      <c r="D186" s="66" t="n">
        <v>3</v>
      </c>
      <c r="E186" s="67" t="str">
        <f aca="false">IFERROR(INDEX('Master Data'!$L$2:$L$2436,MATCH($B$3&amp;"|"&amp;D186&amp;"|"&amp;B186&amp;"|"&amp;C186,'Master Data'!$A$2:$A$2436,0)),"")</f>
        <v>Belum terisi</v>
      </c>
      <c r="F186" s="67" t="str">
        <f aca="false">IFERROR(INDEX('Master Data'!$F$2:$F$2436,MATCH($B$3&amp;"|"&amp;D186&amp;"|"&amp;B186&amp;"|"&amp;C186,'Master Data'!$A$2:$A$2436,0))&amp;"","")</f>
        <v>Little</v>
      </c>
      <c r="G186" s="66" t="n">
        <f aca="false">IFERROR(INDEX('Master Data'!$G$2:$G$2436,MATCH($B$3&amp;"|"&amp;D186&amp;"|"&amp;B186&amp;"|"&amp;C186,'Master Data'!$A$2:$A$2436,0)),"")</f>
        <v>4</v>
      </c>
      <c r="H186" s="67" t="str">
        <f aca="false">IFERROR(INDEX('Master Data'!$K$2:$K$2436,MATCH($B$3&amp;"|"&amp;D186&amp;"|"&amp;B186&amp;"|"&amp;C186,'Master Data'!$A$2:$A$2436,0))&amp;"","")</f>
        <v/>
      </c>
      <c r="I186" s="67" t="s">
        <v>245</v>
      </c>
      <c r="J186" s="67" t="s">
        <v>134</v>
      </c>
      <c r="K186" s="68"/>
      <c r="L186" s="68"/>
      <c r="M186" s="68"/>
      <c r="N186" s="69"/>
      <c r="O186" s="68"/>
    </row>
    <row r="187" customFormat="false" ht="27.75" hidden="false" customHeight="true" outlineLevel="0" collapsed="false">
      <c r="A187" s="66" t="n">
        <v>96</v>
      </c>
      <c r="B187" s="67" t="s">
        <v>93</v>
      </c>
      <c r="C187" s="66" t="s">
        <v>102</v>
      </c>
      <c r="D187" s="66" t="n">
        <v>4</v>
      </c>
      <c r="E187" s="67" t="str">
        <f aca="false">IFERROR(INDEX('Master Data'!$L$2:$L$2436,MATCH($B$3&amp;"|"&amp;D187&amp;"|"&amp;B187&amp;"|"&amp;C187,'Master Data'!$A$2:$A$2436,0)),"")</f>
        <v>Belum terisi</v>
      </c>
      <c r="F187" s="67" t="str">
        <f aca="false">IFERROR(INDEX('Master Data'!$F$2:$F$2436,MATCH($B$3&amp;"|"&amp;D187&amp;"|"&amp;B187&amp;"|"&amp;C187,'Master Data'!$A$2:$A$2436,0))&amp;"","")</f>
        <v>Kids</v>
      </c>
      <c r="G187" s="66" t="n">
        <f aca="false">IFERROR(INDEX('Master Data'!$G$2:$G$2436,MATCH($B$3&amp;"|"&amp;D187&amp;"|"&amp;B187&amp;"|"&amp;C187,'Master Data'!$A$2:$A$2436,0)),"")</f>
        <v>4</v>
      </c>
      <c r="H187" s="67" t="str">
        <f aca="false">IFERROR(INDEX('Master Data'!$K$2:$K$2436,MATCH($B$3&amp;"|"&amp;D187&amp;"|"&amp;B187&amp;"|"&amp;C187,'Master Data'!$A$2:$A$2436,0))&amp;"","")</f>
        <v/>
      </c>
      <c r="I187" s="67" t="s">
        <v>245</v>
      </c>
      <c r="J187" s="67" t="s">
        <v>134</v>
      </c>
      <c r="K187" s="68"/>
      <c r="L187" s="68"/>
      <c r="M187" s="68"/>
      <c r="N187" s="69"/>
      <c r="O187" s="68"/>
    </row>
    <row r="188" customFormat="false" ht="15.75" hidden="false" customHeight="true" outlineLevel="0" collapsed="false">
      <c r="A188" s="66" t="n">
        <v>97</v>
      </c>
      <c r="B188" s="67" t="s">
        <v>93</v>
      </c>
      <c r="C188" s="66" t="s">
        <v>117</v>
      </c>
      <c r="D188" s="66" t="n">
        <v>1</v>
      </c>
      <c r="E188" s="67" t="str">
        <f aca="false">IFERROR(INDEX('Master Data'!$L$2:$L$2436,MATCH($B$3&amp;"|"&amp;D188&amp;"|"&amp;B188&amp;"|"&amp;C188,'Master Data'!$A$2:$A$2436,0)),"")</f>
        <v>Belum terisi</v>
      </c>
      <c r="F188" s="67" t="str">
        <f aca="false">IFERROR(INDEX('Master Data'!$F$2:$F$2436,MATCH($B$3&amp;"|"&amp;D188&amp;"|"&amp;B188&amp;"|"&amp;C188,'Master Data'!$A$2:$A$2436,0))&amp;"","")</f>
        <v>Baby</v>
      </c>
      <c r="G188" s="66" t="n">
        <f aca="false">IFERROR(INDEX('Master Data'!$G$2:$G$2436,MATCH($B$3&amp;"|"&amp;D188&amp;"|"&amp;B188&amp;"|"&amp;C188,'Master Data'!$A$2:$A$2436,0)),"")</f>
        <v>5</v>
      </c>
      <c r="H188" s="67" t="str">
        <f aca="false">IFERROR(INDEX('Master Data'!$K$2:$K$2436,MATCH($B$3&amp;"|"&amp;D188&amp;"|"&amp;B188&amp;"|"&amp;C188,'Master Data'!$A$2:$A$2436,0))&amp;"","")</f>
        <v/>
      </c>
      <c r="I188" s="67" t="s">
        <v>247</v>
      </c>
      <c r="J188" s="67" t="s">
        <v>221</v>
      </c>
      <c r="K188" s="68"/>
      <c r="L188" s="68"/>
      <c r="M188" s="68"/>
      <c r="N188" s="69"/>
      <c r="O188" s="68"/>
    </row>
    <row r="189" customFormat="false" ht="15.75" hidden="false" customHeight="true" outlineLevel="0" collapsed="false">
      <c r="A189" s="66" t="n">
        <v>98</v>
      </c>
      <c r="B189" s="67" t="s">
        <v>93</v>
      </c>
      <c r="C189" s="66" t="s">
        <v>117</v>
      </c>
      <c r="D189" s="66" t="n">
        <v>5</v>
      </c>
      <c r="E189" s="67" t="str">
        <f aca="false">IFERROR(INDEX('Master Data'!$L$2:$L$2436,MATCH($B$3&amp;"|"&amp;D189&amp;"|"&amp;B189&amp;"|"&amp;C189,'Master Data'!$A$2:$A$2436,0)),"")</f>
        <v>Slot kosong</v>
      </c>
      <c r="F189" s="67" t="str">
        <f aca="false">IFERROR(INDEX('Master Data'!$F$2:$F$2436,MATCH($B$3&amp;"|"&amp;D189&amp;"|"&amp;B189&amp;"|"&amp;C189,'Master Data'!$A$2:$A$2436,0))&amp;"","")</f>
        <v/>
      </c>
      <c r="G189" s="66" t="n">
        <f aca="false">IFERROR(INDEX('Master Data'!$G$2:$G$2436,MATCH($B$3&amp;"|"&amp;D189&amp;"|"&amp;B189&amp;"|"&amp;C189,'Master Data'!$A$2:$A$2436,0)),"")</f>
        <v>5</v>
      </c>
      <c r="H189" s="67" t="str">
        <f aca="false">IFERROR(INDEX('Master Data'!$K$2:$K$2436,MATCH($B$3&amp;"|"&amp;D189&amp;"|"&amp;B189&amp;"|"&amp;C189,'Master Data'!$A$2:$A$2436,0))&amp;"","")</f>
        <v/>
      </c>
      <c r="I189" s="67" t="s">
        <v>247</v>
      </c>
      <c r="J189" s="67" t="s">
        <v>203</v>
      </c>
      <c r="K189" s="68"/>
      <c r="L189" s="68"/>
      <c r="M189" s="68"/>
      <c r="N189" s="69"/>
      <c r="O189" s="68"/>
    </row>
    <row r="190" customFormat="false" ht="15.75" hidden="false" customHeight="true" outlineLevel="0" collapsed="false">
      <c r="A190" s="66" t="n">
        <v>99</v>
      </c>
      <c r="B190" s="67" t="s">
        <v>93</v>
      </c>
      <c r="C190" s="66" t="s">
        <v>118</v>
      </c>
      <c r="D190" s="66" t="n">
        <v>1</v>
      </c>
      <c r="E190" s="67" t="str">
        <f aca="false">IFERROR(INDEX('Master Data'!$L$2:$L$2436,MATCH($B$3&amp;"|"&amp;D190&amp;"|"&amp;B190&amp;"|"&amp;C190,'Master Data'!$A$2:$A$2436,0)),"")</f>
        <v>Belum terisi</v>
      </c>
      <c r="F190" s="67" t="str">
        <f aca="false">IFERROR(INDEX('Master Data'!$F$2:$F$2436,MATCH($B$3&amp;"|"&amp;D190&amp;"|"&amp;B190&amp;"|"&amp;C190,'Master Data'!$A$2:$A$2436,0))&amp;"","")</f>
        <v>Baby</v>
      </c>
      <c r="G190" s="66" t="n">
        <f aca="false">IFERROR(INDEX('Master Data'!$G$2:$G$2436,MATCH($B$3&amp;"|"&amp;D190&amp;"|"&amp;B190&amp;"|"&amp;C190,'Master Data'!$A$2:$A$2436,0)),"")</f>
        <v>5</v>
      </c>
      <c r="H190" s="67" t="str">
        <f aca="false">IFERROR(INDEX('Master Data'!$K$2:$K$2436,MATCH($B$3&amp;"|"&amp;D190&amp;"|"&amp;B190&amp;"|"&amp;C190,'Master Data'!$A$2:$A$2436,0))&amp;"","")</f>
        <v/>
      </c>
      <c r="I190" s="70" t="s">
        <v>154</v>
      </c>
      <c r="J190" s="67" t="s">
        <v>242</v>
      </c>
      <c r="K190" s="68"/>
      <c r="L190" s="68"/>
      <c r="M190" s="68"/>
      <c r="N190" s="69"/>
      <c r="O190" s="68"/>
    </row>
    <row r="191" customFormat="false" ht="15.75" hidden="false" customHeight="true" outlineLevel="0" collapsed="false">
      <c r="A191" s="66" t="n">
        <v>100</v>
      </c>
      <c r="B191" s="67" t="s">
        <v>93</v>
      </c>
      <c r="C191" s="66" t="s">
        <v>118</v>
      </c>
      <c r="D191" s="66" t="n">
        <v>2</v>
      </c>
      <c r="E191" s="67" t="str">
        <f aca="false">IFERROR(INDEX('Master Data'!$L$2:$L$2436,MATCH($B$3&amp;"|"&amp;D191&amp;"|"&amp;B191&amp;"|"&amp;C191,'Master Data'!$A$2:$A$2436,0)),"")</f>
        <v>Belum terisi</v>
      </c>
      <c r="F191" s="67" t="str">
        <f aca="false">IFERROR(INDEX('Master Data'!$F$2:$F$2436,MATCH($B$3&amp;"|"&amp;D191&amp;"|"&amp;B191&amp;"|"&amp;C191,'Master Data'!$A$2:$A$2436,0))&amp;"","")</f>
        <v>Tiny</v>
      </c>
      <c r="G191" s="66" t="n">
        <f aca="false">IFERROR(INDEX('Master Data'!$G$2:$G$2436,MATCH($B$3&amp;"|"&amp;D191&amp;"|"&amp;B191&amp;"|"&amp;C191,'Master Data'!$A$2:$A$2436,0)),"")</f>
        <v>5</v>
      </c>
      <c r="H191" s="67" t="str">
        <f aca="false">IFERROR(INDEX('Master Data'!$K$2:$K$2436,MATCH($B$3&amp;"|"&amp;D191&amp;"|"&amp;B191&amp;"|"&amp;C191,'Master Data'!$A$2:$A$2436,0))&amp;"","")</f>
        <v/>
      </c>
      <c r="I191" s="70" t="s">
        <v>154</v>
      </c>
      <c r="J191" s="67" t="s">
        <v>42</v>
      </c>
      <c r="K191" s="68"/>
      <c r="L191" s="68"/>
      <c r="M191" s="68"/>
      <c r="N191" s="69"/>
      <c r="O191" s="68"/>
    </row>
    <row r="192" customFormat="false" ht="15.75" hidden="false" customHeight="true" outlineLevel="0" collapsed="false">
      <c r="A192" s="66" t="n">
        <v>101</v>
      </c>
      <c r="B192" s="67" t="s">
        <v>93</v>
      </c>
      <c r="C192" s="66" t="s">
        <v>118</v>
      </c>
      <c r="D192" s="66" t="n">
        <v>5</v>
      </c>
      <c r="E192" s="67" t="str">
        <f aca="false">IFERROR(INDEX('Master Data'!$L$2:$L$2436,MATCH($B$3&amp;"|"&amp;D192&amp;"|"&amp;B192&amp;"|"&amp;C192,'Master Data'!$A$2:$A$2436,0)),"")</f>
        <v>Slot kosong</v>
      </c>
      <c r="F192" s="67" t="str">
        <f aca="false">IFERROR(INDEX('Master Data'!$F$2:$F$2436,MATCH($B$3&amp;"|"&amp;D192&amp;"|"&amp;B192&amp;"|"&amp;C192,'Master Data'!$A$2:$A$2436,0))&amp;"","")</f>
        <v/>
      </c>
      <c r="G192" s="66" t="n">
        <f aca="false">IFERROR(INDEX('Master Data'!$G$2:$G$2436,MATCH($B$3&amp;"|"&amp;D192&amp;"|"&amp;B192&amp;"|"&amp;C192,'Master Data'!$A$2:$A$2436,0)),"")</f>
        <v>5</v>
      </c>
      <c r="H192" s="67" t="str">
        <f aca="false">IFERROR(INDEX('Master Data'!$K$2:$K$2436,MATCH($B$3&amp;"|"&amp;D192&amp;"|"&amp;B192&amp;"|"&amp;C192,'Master Data'!$A$2:$A$2436,0))&amp;"","")</f>
        <v/>
      </c>
      <c r="I192" s="70" t="s">
        <v>154</v>
      </c>
      <c r="J192" s="67" t="s">
        <v>155</v>
      </c>
      <c r="K192" s="68"/>
      <c r="L192" s="68"/>
      <c r="M192" s="68"/>
      <c r="N192" s="69"/>
      <c r="O192" s="68"/>
    </row>
    <row r="193" customFormat="false" ht="15.75" hidden="false" customHeight="true" outlineLevel="0" collapsed="false">
      <c r="A193" s="66" t="n">
        <v>102</v>
      </c>
      <c r="B193" s="67" t="s">
        <v>93</v>
      </c>
      <c r="C193" s="66" t="s">
        <v>119</v>
      </c>
      <c r="D193" s="66" t="n">
        <v>1</v>
      </c>
      <c r="E193" s="67" t="str">
        <f aca="false">IFERROR(INDEX('Master Data'!$L$2:$L$2436,MATCH($B$3&amp;"|"&amp;D193&amp;"|"&amp;B193&amp;"|"&amp;C193,'Master Data'!$A$2:$A$2436,0)),"")</f>
        <v>Belum terisi</v>
      </c>
      <c r="F193" s="67" t="str">
        <f aca="false">IFERROR(INDEX('Master Data'!$F$2:$F$2436,MATCH($B$3&amp;"|"&amp;D193&amp;"|"&amp;B193&amp;"|"&amp;C193,'Master Data'!$A$2:$A$2436,0))&amp;"","")</f>
        <v>Baby</v>
      </c>
      <c r="G193" s="66" t="n">
        <f aca="false">IFERROR(INDEX('Master Data'!$G$2:$G$2436,MATCH($B$3&amp;"|"&amp;D193&amp;"|"&amp;B193&amp;"|"&amp;C193,'Master Data'!$A$2:$A$2436,0)),"")</f>
        <v>5</v>
      </c>
      <c r="H193" s="67" t="str">
        <f aca="false">IFERROR(INDEX('Master Data'!$K$2:$K$2436,MATCH($B$3&amp;"|"&amp;D193&amp;"|"&amp;B193&amp;"|"&amp;C193,'Master Data'!$A$2:$A$2436,0))&amp;"","")</f>
        <v/>
      </c>
      <c r="I193" s="67" t="s">
        <v>248</v>
      </c>
      <c r="J193" s="67" t="s">
        <v>134</v>
      </c>
      <c r="K193" s="68"/>
      <c r="L193" s="68"/>
      <c r="M193" s="68"/>
      <c r="N193" s="69"/>
      <c r="O193" s="68"/>
    </row>
    <row r="194" customFormat="false" ht="15.75" hidden="false" customHeight="true" outlineLevel="0" collapsed="false">
      <c r="A194" s="66" t="n">
        <v>103</v>
      </c>
      <c r="B194" s="67" t="s">
        <v>93</v>
      </c>
      <c r="C194" s="66" t="s">
        <v>119</v>
      </c>
      <c r="D194" s="66" t="n">
        <v>2</v>
      </c>
      <c r="E194" s="67" t="str">
        <f aca="false">IFERROR(INDEX('Master Data'!$L$2:$L$2436,MATCH($B$3&amp;"|"&amp;D194&amp;"|"&amp;B194&amp;"|"&amp;C194,'Master Data'!$A$2:$A$2436,0)),"")</f>
        <v>Belum terisi</v>
      </c>
      <c r="F194" s="67" t="str">
        <f aca="false">IFERROR(INDEX('Master Data'!$F$2:$F$2436,MATCH($B$3&amp;"|"&amp;D194&amp;"|"&amp;B194&amp;"|"&amp;C194,'Master Data'!$A$2:$A$2436,0))&amp;"","")</f>
        <v>Tiny</v>
      </c>
      <c r="G194" s="66" t="n">
        <f aca="false">IFERROR(INDEX('Master Data'!$G$2:$G$2436,MATCH($B$3&amp;"|"&amp;D194&amp;"|"&amp;B194&amp;"|"&amp;C194,'Master Data'!$A$2:$A$2436,0)),"")</f>
        <v>5</v>
      </c>
      <c r="H194" s="67" t="str">
        <f aca="false">IFERROR(INDEX('Master Data'!$K$2:$K$2436,MATCH($B$3&amp;"|"&amp;D194&amp;"|"&amp;B194&amp;"|"&amp;C194,'Master Data'!$A$2:$A$2436,0))&amp;"","")</f>
        <v/>
      </c>
      <c r="I194" s="67" t="s">
        <v>248</v>
      </c>
      <c r="J194" s="67" t="s">
        <v>134</v>
      </c>
      <c r="K194" s="68"/>
      <c r="L194" s="68"/>
      <c r="M194" s="68"/>
      <c r="N194" s="69"/>
      <c r="O194" s="68"/>
    </row>
    <row r="195" customFormat="false" ht="15.75" hidden="false" customHeight="true" outlineLevel="0" collapsed="false">
      <c r="A195" s="66" t="n">
        <v>104</v>
      </c>
      <c r="B195" s="67" t="s">
        <v>93</v>
      </c>
      <c r="C195" s="66" t="s">
        <v>119</v>
      </c>
      <c r="D195" s="66" t="n">
        <v>5</v>
      </c>
      <c r="E195" s="67" t="str">
        <f aca="false">IFERROR(INDEX('Master Data'!$L$2:$L$2436,MATCH($B$3&amp;"|"&amp;D195&amp;"|"&amp;B195&amp;"|"&amp;C195,'Master Data'!$A$2:$A$2436,0)),"")</f>
        <v>Slot kosong</v>
      </c>
      <c r="F195" s="67" t="str">
        <f aca="false">IFERROR(INDEX('Master Data'!$F$2:$F$2436,MATCH($B$3&amp;"|"&amp;D195&amp;"|"&amp;B195&amp;"|"&amp;C195,'Master Data'!$A$2:$A$2436,0))&amp;"","")</f>
        <v/>
      </c>
      <c r="G195" s="66" t="n">
        <f aca="false">IFERROR(INDEX('Master Data'!$G$2:$G$2436,MATCH($B$3&amp;"|"&amp;D195&amp;"|"&amp;B195&amp;"|"&amp;C195,'Master Data'!$A$2:$A$2436,0)),"")</f>
        <v>5</v>
      </c>
      <c r="H195" s="67" t="str">
        <f aca="false">IFERROR(INDEX('Master Data'!$K$2:$K$2436,MATCH($B$3&amp;"|"&amp;D195&amp;"|"&amp;B195&amp;"|"&amp;C195,'Master Data'!$A$2:$A$2436,0))&amp;"","")</f>
        <v/>
      </c>
      <c r="I195" s="67" t="s">
        <v>248</v>
      </c>
      <c r="J195" s="67" t="s">
        <v>134</v>
      </c>
      <c r="K195" s="68"/>
      <c r="L195" s="68"/>
      <c r="M195" s="68"/>
      <c r="N195" s="69"/>
      <c r="O195" s="68"/>
    </row>
    <row r="196" customFormat="false" ht="15.75" hidden="false" customHeight="true" outlineLevel="0" collapsed="false">
      <c r="A196" s="66" t="n">
        <v>105</v>
      </c>
      <c r="B196" s="67" t="s">
        <v>93</v>
      </c>
      <c r="C196" s="66" t="s">
        <v>120</v>
      </c>
      <c r="D196" s="66" t="n">
        <v>2</v>
      </c>
      <c r="E196" s="67" t="str">
        <f aca="false">IFERROR(INDEX('Master Data'!$L$2:$L$2436,MATCH($B$3&amp;"|"&amp;D196&amp;"|"&amp;B196&amp;"|"&amp;C196,'Master Data'!$A$2:$A$2436,0)),"")</f>
        <v>Belum terisi</v>
      </c>
      <c r="F196" s="67" t="str">
        <f aca="false">IFERROR(INDEX('Master Data'!$F$2:$F$2436,MATCH($B$3&amp;"|"&amp;D196&amp;"|"&amp;B196&amp;"|"&amp;C196,'Master Data'!$A$2:$A$2436,0))&amp;"","")</f>
        <v>Tiny</v>
      </c>
      <c r="G196" s="66" t="n">
        <f aca="false">IFERROR(INDEX('Master Data'!$G$2:$G$2436,MATCH($B$3&amp;"|"&amp;D196&amp;"|"&amp;B196&amp;"|"&amp;C196,'Master Data'!$A$2:$A$2436,0)),"")</f>
        <v>5</v>
      </c>
      <c r="H196" s="67" t="str">
        <f aca="false">IFERROR(INDEX('Master Data'!$K$2:$K$2436,MATCH($B$3&amp;"|"&amp;D196&amp;"|"&amp;B196&amp;"|"&amp;C196,'Master Data'!$A$2:$A$2436,0))&amp;"","")</f>
        <v/>
      </c>
      <c r="I196" s="67" t="s">
        <v>247</v>
      </c>
      <c r="J196" s="67" t="s">
        <v>144</v>
      </c>
      <c r="K196" s="68"/>
      <c r="L196" s="68"/>
      <c r="M196" s="68"/>
      <c r="N196" s="69"/>
      <c r="O196" s="68"/>
    </row>
    <row r="197" customFormat="false" ht="15.75" hidden="false" customHeight="true" outlineLevel="0" collapsed="false">
      <c r="A197" s="66" t="n">
        <v>106</v>
      </c>
      <c r="B197" s="67" t="s">
        <v>93</v>
      </c>
      <c r="C197" s="66" t="s">
        <v>120</v>
      </c>
      <c r="D197" s="66" t="n">
        <v>5</v>
      </c>
      <c r="E197" s="67" t="str">
        <f aca="false">IFERROR(INDEX('Master Data'!$L$2:$L$2436,MATCH($B$3&amp;"|"&amp;D197&amp;"|"&amp;B197&amp;"|"&amp;C197,'Master Data'!$A$2:$A$2436,0)),"")</f>
        <v>Slot kosong</v>
      </c>
      <c r="F197" s="67" t="str">
        <f aca="false">IFERROR(INDEX('Master Data'!$F$2:$F$2436,MATCH($B$3&amp;"|"&amp;D197&amp;"|"&amp;B197&amp;"|"&amp;C197,'Master Data'!$A$2:$A$2436,0))&amp;"","")</f>
        <v/>
      </c>
      <c r="G197" s="66" t="n">
        <f aca="false">IFERROR(INDEX('Master Data'!$G$2:$G$2436,MATCH($B$3&amp;"|"&amp;D197&amp;"|"&amp;B197&amp;"|"&amp;C197,'Master Data'!$A$2:$A$2436,0)),"")</f>
        <v>5</v>
      </c>
      <c r="H197" s="67" t="str">
        <f aca="false">IFERROR(INDEX('Master Data'!$K$2:$K$2436,MATCH($B$3&amp;"|"&amp;D197&amp;"|"&amp;B197&amp;"|"&amp;C197,'Master Data'!$A$2:$A$2436,0))&amp;"","")</f>
        <v/>
      </c>
      <c r="I197" s="67" t="s">
        <v>247</v>
      </c>
      <c r="J197" s="67" t="s">
        <v>203</v>
      </c>
      <c r="K197" s="68"/>
      <c r="L197" s="68"/>
      <c r="M197" s="68"/>
      <c r="N197" s="69"/>
      <c r="O197" s="68"/>
    </row>
    <row r="198" customFormat="false" ht="15.75" hidden="false" customHeight="true" outlineLevel="0" collapsed="false">
      <c r="A198" s="66" t="n">
        <v>107</v>
      </c>
      <c r="B198" s="67" t="s">
        <v>93</v>
      </c>
      <c r="C198" s="66" t="s">
        <v>106</v>
      </c>
      <c r="D198" s="66" t="n">
        <v>3</v>
      </c>
      <c r="E198" s="67" t="str">
        <f aca="false">IFERROR(INDEX('Master Data'!$L$2:$L$2436,MATCH($B$3&amp;"|"&amp;D198&amp;"|"&amp;B198&amp;"|"&amp;C198,'Master Data'!$A$2:$A$2436,0)),"")</f>
        <v>Belum terisi</v>
      </c>
      <c r="F198" s="67" t="str">
        <f aca="false">IFERROR(INDEX('Master Data'!$F$2:$F$2436,MATCH($B$3&amp;"|"&amp;D198&amp;"|"&amp;B198&amp;"|"&amp;C198,'Master Data'!$A$2:$A$2436,0))&amp;"","")</f>
        <v>Little</v>
      </c>
      <c r="G198" s="66" t="n">
        <f aca="false">IFERROR(INDEX('Master Data'!$G$2:$G$2436,MATCH($B$3&amp;"|"&amp;D198&amp;"|"&amp;B198&amp;"|"&amp;C198,'Master Data'!$A$2:$A$2436,0)),"")</f>
        <v>4</v>
      </c>
      <c r="H198" s="67" t="str">
        <f aca="false">IFERROR(INDEX('Master Data'!$K$2:$K$2436,MATCH($B$3&amp;"|"&amp;D198&amp;"|"&amp;B198&amp;"|"&amp;C198,'Master Data'!$A$2:$A$2436,0))&amp;"","")</f>
        <v/>
      </c>
      <c r="I198" s="67" t="s">
        <v>247</v>
      </c>
      <c r="J198" s="67" t="s">
        <v>203</v>
      </c>
      <c r="K198" s="68"/>
      <c r="L198" s="68"/>
      <c r="M198" s="68"/>
      <c r="N198" s="69"/>
      <c r="O198" s="68"/>
    </row>
    <row r="199" customFormat="false" ht="15.75" hidden="false" customHeight="true" outlineLevel="0" collapsed="false">
      <c r="A199" s="66" t="n">
        <v>108</v>
      </c>
      <c r="B199" s="67" t="s">
        <v>93</v>
      </c>
      <c r="C199" s="66" t="s">
        <v>121</v>
      </c>
      <c r="D199" s="66" t="n">
        <v>1</v>
      </c>
      <c r="E199" s="67" t="str">
        <f aca="false">IFERROR(INDEX('Master Data'!$L$2:$L$2436,MATCH($B$3&amp;"|"&amp;D199&amp;"|"&amp;B199&amp;"|"&amp;C199,'Master Data'!$A$2:$A$2436,0)),"")</f>
        <v>Belum terisi</v>
      </c>
      <c r="F199" s="67" t="str">
        <f aca="false">IFERROR(INDEX('Master Data'!$F$2:$F$2436,MATCH($B$3&amp;"|"&amp;D199&amp;"|"&amp;B199&amp;"|"&amp;C199,'Master Data'!$A$2:$A$2436,0))&amp;"","")</f>
        <v>Baby</v>
      </c>
      <c r="G199" s="66" t="n">
        <f aca="false">IFERROR(INDEX('Master Data'!$G$2:$G$2436,MATCH($B$3&amp;"|"&amp;D199&amp;"|"&amp;B199&amp;"|"&amp;C199,'Master Data'!$A$2:$A$2436,0)),"")</f>
        <v>5</v>
      </c>
      <c r="H199" s="67" t="str">
        <f aca="false">IFERROR(INDEX('Master Data'!$K$2:$K$2436,MATCH($B$3&amp;"|"&amp;D199&amp;"|"&amp;B199&amp;"|"&amp;C199,'Master Data'!$A$2:$A$2436,0))&amp;"","")</f>
        <v/>
      </c>
      <c r="I199" s="67" t="s">
        <v>247</v>
      </c>
      <c r="J199" s="67" t="s">
        <v>221</v>
      </c>
      <c r="K199" s="68"/>
      <c r="L199" s="68"/>
      <c r="M199" s="68"/>
      <c r="N199" s="69"/>
      <c r="O199" s="68"/>
    </row>
    <row r="200" customFormat="false" ht="15.75" hidden="false" customHeight="true" outlineLevel="0" collapsed="false">
      <c r="A200" s="66" t="n">
        <v>109</v>
      </c>
      <c r="B200" s="67" t="s">
        <v>93</v>
      </c>
      <c r="C200" s="66" t="s">
        <v>121</v>
      </c>
      <c r="D200" s="66" t="n">
        <v>5</v>
      </c>
      <c r="E200" s="67" t="str">
        <f aca="false">IFERROR(INDEX('Master Data'!$L$2:$L$2436,MATCH($B$3&amp;"|"&amp;D200&amp;"|"&amp;B200&amp;"|"&amp;C200,'Master Data'!$A$2:$A$2436,0)),"")</f>
        <v>Slot kosong</v>
      </c>
      <c r="F200" s="67" t="str">
        <f aca="false">IFERROR(INDEX('Master Data'!$F$2:$F$2436,MATCH($B$3&amp;"|"&amp;D200&amp;"|"&amp;B200&amp;"|"&amp;C200,'Master Data'!$A$2:$A$2436,0))&amp;"","")</f>
        <v/>
      </c>
      <c r="G200" s="66" t="n">
        <f aca="false">IFERROR(INDEX('Master Data'!$G$2:$G$2436,MATCH($B$3&amp;"|"&amp;D200&amp;"|"&amp;B200&amp;"|"&amp;C200,'Master Data'!$A$2:$A$2436,0)),"")</f>
        <v>5</v>
      </c>
      <c r="H200" s="67" t="str">
        <f aca="false">IFERROR(INDEX('Master Data'!$K$2:$K$2436,MATCH($B$3&amp;"|"&amp;D200&amp;"|"&amp;B200&amp;"|"&amp;C200,'Master Data'!$A$2:$A$2436,0))&amp;"","")</f>
        <v/>
      </c>
      <c r="I200" s="67" t="s">
        <v>247</v>
      </c>
      <c r="J200" s="67" t="s">
        <v>203</v>
      </c>
      <c r="K200" s="68"/>
      <c r="L200" s="68"/>
      <c r="M200" s="68"/>
      <c r="N200" s="69"/>
      <c r="O200" s="68"/>
    </row>
    <row r="201" customFormat="false" ht="52.5" hidden="false" customHeight="true" outlineLevel="0" collapsed="false">
      <c r="A201" s="66" t="n">
        <v>110</v>
      </c>
      <c r="B201" s="67" t="s">
        <v>94</v>
      </c>
      <c r="C201" s="66" t="s">
        <v>111</v>
      </c>
      <c r="D201" s="66" t="n">
        <v>2</v>
      </c>
      <c r="E201" s="67" t="str">
        <f aca="false">IFERROR(INDEX('Master Data'!$L$2:$L$2436,MATCH($B$3&amp;"|"&amp;D201&amp;"|"&amp;B201&amp;"|"&amp;C201,'Master Data'!$A$2:$A$2436,0)),"")</f>
        <v>Belum terisi</v>
      </c>
      <c r="F201" s="67" t="str">
        <f aca="false">IFERROR(INDEX('Master Data'!$F$2:$F$2436,MATCH($B$3&amp;"|"&amp;D201&amp;"|"&amp;B201&amp;"|"&amp;C201,'Master Data'!$A$2:$A$2436,0))&amp;"","")</f>
        <v>Tiny</v>
      </c>
      <c r="G201" s="66" t="n">
        <f aca="false">IFERROR(INDEX('Master Data'!$G$2:$G$2436,MATCH($B$3&amp;"|"&amp;D201&amp;"|"&amp;B201&amp;"|"&amp;C201,'Master Data'!$A$2:$A$2436,0)),"")</f>
        <v>5</v>
      </c>
      <c r="H201" s="67" t="str">
        <f aca="false">IFERROR(INDEX('Master Data'!$K$2:$K$2436,MATCH($B$3&amp;"|"&amp;D201&amp;"|"&amp;B201&amp;"|"&amp;C201,'Master Data'!$A$2:$A$2436,0))&amp;"","")</f>
        <v/>
      </c>
      <c r="I201" s="67" t="s">
        <v>249</v>
      </c>
      <c r="J201" s="67" t="s">
        <v>134</v>
      </c>
      <c r="K201" s="68"/>
      <c r="L201" s="68"/>
      <c r="M201" s="68"/>
      <c r="N201" s="69"/>
      <c r="O201" s="68"/>
    </row>
    <row r="202" customFormat="false" ht="52.5" hidden="false" customHeight="true" outlineLevel="0" collapsed="false">
      <c r="A202" s="66" t="n">
        <v>111</v>
      </c>
      <c r="B202" s="67" t="s">
        <v>94</v>
      </c>
      <c r="C202" s="66" t="s">
        <v>111</v>
      </c>
      <c r="D202" s="66" t="n">
        <v>5</v>
      </c>
      <c r="E202" s="67" t="str">
        <f aca="false">IFERROR(INDEX('Master Data'!$L$2:$L$2436,MATCH($B$3&amp;"|"&amp;D202&amp;"|"&amp;B202&amp;"|"&amp;C202,'Master Data'!$A$2:$A$2436,0)),"")</f>
        <v>Slot kosong</v>
      </c>
      <c r="F202" s="67" t="str">
        <f aca="false">IFERROR(INDEX('Master Data'!$F$2:$F$2436,MATCH($B$3&amp;"|"&amp;D202&amp;"|"&amp;B202&amp;"|"&amp;C202,'Master Data'!$A$2:$A$2436,0))&amp;"","")</f>
        <v/>
      </c>
      <c r="G202" s="66" t="n">
        <f aca="false">IFERROR(INDEX('Master Data'!$G$2:$G$2436,MATCH($B$3&amp;"|"&amp;D202&amp;"|"&amp;B202&amp;"|"&amp;C202,'Master Data'!$A$2:$A$2436,0)),"")</f>
        <v>5</v>
      </c>
      <c r="H202" s="67" t="str">
        <f aca="false">IFERROR(INDEX('Master Data'!$K$2:$K$2436,MATCH($B$3&amp;"|"&amp;D202&amp;"|"&amp;B202&amp;"|"&amp;C202,'Master Data'!$A$2:$A$2436,0))&amp;"","")</f>
        <v/>
      </c>
      <c r="I202" s="67" t="s">
        <v>249</v>
      </c>
      <c r="J202" s="67" t="s">
        <v>134</v>
      </c>
      <c r="K202" s="68"/>
      <c r="L202" s="68"/>
      <c r="M202" s="68"/>
      <c r="N202" s="69"/>
      <c r="O202" s="68"/>
    </row>
    <row r="203" customFormat="false" ht="40.5" hidden="false" customHeight="true" outlineLevel="0" collapsed="false">
      <c r="A203" s="66" t="n">
        <v>112</v>
      </c>
      <c r="B203" s="67" t="s">
        <v>94</v>
      </c>
      <c r="C203" s="66" t="s">
        <v>97</v>
      </c>
      <c r="D203" s="66" t="n">
        <v>3</v>
      </c>
      <c r="E203" s="67" t="str">
        <f aca="false">IFERROR(INDEX('Master Data'!$L$2:$L$2436,MATCH($B$3&amp;"|"&amp;D203&amp;"|"&amp;B203&amp;"|"&amp;C203,'Master Data'!$A$2:$A$2436,0)),"")</f>
        <v>Belum terisi</v>
      </c>
      <c r="F203" s="67" t="str">
        <f aca="false">IFERROR(INDEX('Master Data'!$F$2:$F$2436,MATCH($B$3&amp;"|"&amp;D203&amp;"|"&amp;B203&amp;"|"&amp;C203,'Master Data'!$A$2:$A$2436,0))&amp;"","")</f>
        <v>Little</v>
      </c>
      <c r="G203" s="66" t="n">
        <f aca="false">IFERROR(INDEX('Master Data'!$G$2:$G$2436,MATCH($B$3&amp;"|"&amp;D203&amp;"|"&amp;B203&amp;"|"&amp;C203,'Master Data'!$A$2:$A$2436,0)),"")</f>
        <v>4</v>
      </c>
      <c r="H203" s="67" t="str">
        <f aca="false">IFERROR(INDEX('Master Data'!$K$2:$K$2436,MATCH($B$3&amp;"|"&amp;D203&amp;"|"&amp;B203&amp;"|"&amp;C203,'Master Data'!$A$2:$A$2436,0))&amp;"","")</f>
        <v/>
      </c>
      <c r="I203" s="67" t="s">
        <v>250</v>
      </c>
      <c r="J203" s="67" t="s">
        <v>134</v>
      </c>
      <c r="K203" s="68"/>
      <c r="L203" s="68"/>
      <c r="M203" s="68"/>
      <c r="N203" s="69"/>
      <c r="O203" s="68"/>
    </row>
    <row r="204" customFormat="false" ht="40.5" hidden="false" customHeight="true" outlineLevel="0" collapsed="false">
      <c r="A204" s="66" t="n">
        <v>113</v>
      </c>
      <c r="B204" s="67" t="s">
        <v>94</v>
      </c>
      <c r="C204" s="66" t="s">
        <v>97</v>
      </c>
      <c r="D204" s="66" t="n">
        <v>4</v>
      </c>
      <c r="E204" s="67" t="str">
        <f aca="false">IFERROR(INDEX('Master Data'!$L$2:$L$2436,MATCH($B$3&amp;"|"&amp;D204&amp;"|"&amp;B204&amp;"|"&amp;C204,'Master Data'!$A$2:$A$2436,0)),"")</f>
        <v>Belum terisi</v>
      </c>
      <c r="F204" s="67" t="str">
        <f aca="false">IFERROR(INDEX('Master Data'!$F$2:$F$2436,MATCH($B$3&amp;"|"&amp;D204&amp;"|"&amp;B204&amp;"|"&amp;C204,'Master Data'!$A$2:$A$2436,0))&amp;"","")</f>
        <v>Kids</v>
      </c>
      <c r="G204" s="66" t="n">
        <f aca="false">IFERROR(INDEX('Master Data'!$G$2:$G$2436,MATCH($B$3&amp;"|"&amp;D204&amp;"|"&amp;B204&amp;"|"&amp;C204,'Master Data'!$A$2:$A$2436,0)),"")</f>
        <v>4</v>
      </c>
      <c r="H204" s="67" t="str">
        <f aca="false">IFERROR(INDEX('Master Data'!$K$2:$K$2436,MATCH($B$3&amp;"|"&amp;D204&amp;"|"&amp;B204&amp;"|"&amp;C204,'Master Data'!$A$2:$A$2436,0))&amp;"","")</f>
        <v/>
      </c>
      <c r="I204" s="67" t="s">
        <v>250</v>
      </c>
      <c r="J204" s="67" t="s">
        <v>134</v>
      </c>
      <c r="K204" s="68"/>
      <c r="L204" s="68"/>
      <c r="M204" s="68"/>
      <c r="N204" s="69"/>
      <c r="O204" s="68"/>
    </row>
    <row r="205" customFormat="false" ht="40.5" hidden="false" customHeight="true" outlineLevel="0" collapsed="false">
      <c r="A205" s="66" t="n">
        <v>114</v>
      </c>
      <c r="B205" s="67" t="s">
        <v>94</v>
      </c>
      <c r="C205" s="66" t="s">
        <v>112</v>
      </c>
      <c r="D205" s="66" t="n">
        <v>1</v>
      </c>
      <c r="E205" s="67" t="str">
        <f aca="false">IFERROR(INDEX('Master Data'!$L$2:$L$2436,MATCH($B$3&amp;"|"&amp;D205&amp;"|"&amp;B205&amp;"|"&amp;C205,'Master Data'!$A$2:$A$2436,0)),"")</f>
        <v>Belum terisi</v>
      </c>
      <c r="F205" s="67" t="str">
        <f aca="false">IFERROR(INDEX('Master Data'!$F$2:$F$2436,MATCH($B$3&amp;"|"&amp;D205&amp;"|"&amp;B205&amp;"|"&amp;C205,'Master Data'!$A$2:$A$2436,0))&amp;"","")</f>
        <v>Baby</v>
      </c>
      <c r="G205" s="66" t="n">
        <f aca="false">IFERROR(INDEX('Master Data'!$G$2:$G$2436,MATCH($B$3&amp;"|"&amp;D205&amp;"|"&amp;B205&amp;"|"&amp;C205,'Master Data'!$A$2:$A$2436,0)),"")</f>
        <v>5</v>
      </c>
      <c r="H205" s="67" t="str">
        <f aca="false">IFERROR(INDEX('Master Data'!$K$2:$K$2436,MATCH($B$3&amp;"|"&amp;D205&amp;"|"&amp;B205&amp;"|"&amp;C205,'Master Data'!$A$2:$A$2436,0))&amp;"","")</f>
        <v/>
      </c>
      <c r="I205" s="67" t="s">
        <v>251</v>
      </c>
      <c r="J205" s="67" t="s">
        <v>134</v>
      </c>
      <c r="K205" s="68"/>
      <c r="L205" s="68"/>
      <c r="M205" s="68"/>
      <c r="N205" s="69"/>
      <c r="O205" s="68"/>
    </row>
    <row r="206" customFormat="false" ht="40.5" hidden="false" customHeight="true" outlineLevel="0" collapsed="false">
      <c r="A206" s="66" t="n">
        <v>115</v>
      </c>
      <c r="B206" s="67" t="s">
        <v>94</v>
      </c>
      <c r="C206" s="66" t="s">
        <v>112</v>
      </c>
      <c r="D206" s="66" t="n">
        <v>5</v>
      </c>
      <c r="E206" s="67" t="str">
        <f aca="false">IFERROR(INDEX('Master Data'!$L$2:$L$2436,MATCH($B$3&amp;"|"&amp;D206&amp;"|"&amp;B206&amp;"|"&amp;C206,'Master Data'!$A$2:$A$2436,0)),"")</f>
        <v>Slot kosong</v>
      </c>
      <c r="F206" s="67" t="str">
        <f aca="false">IFERROR(INDEX('Master Data'!$F$2:$F$2436,MATCH($B$3&amp;"|"&amp;D206&amp;"|"&amp;B206&amp;"|"&amp;C206,'Master Data'!$A$2:$A$2436,0))&amp;"","")</f>
        <v/>
      </c>
      <c r="G206" s="66" t="n">
        <f aca="false">IFERROR(INDEX('Master Data'!$G$2:$G$2436,MATCH($B$3&amp;"|"&amp;D206&amp;"|"&amp;B206&amp;"|"&amp;C206,'Master Data'!$A$2:$A$2436,0)),"")</f>
        <v>5</v>
      </c>
      <c r="H206" s="67" t="str">
        <f aca="false">IFERROR(INDEX('Master Data'!$K$2:$K$2436,MATCH($B$3&amp;"|"&amp;D206&amp;"|"&amp;B206&amp;"|"&amp;C206,'Master Data'!$A$2:$A$2436,0))&amp;"","")</f>
        <v/>
      </c>
      <c r="I206" s="67" t="s">
        <v>251</v>
      </c>
      <c r="J206" s="67" t="s">
        <v>134</v>
      </c>
      <c r="K206" s="68"/>
      <c r="L206" s="68"/>
      <c r="M206" s="68"/>
      <c r="N206" s="69"/>
      <c r="O206" s="68"/>
    </row>
    <row r="207" customFormat="false" ht="40.5" hidden="false" customHeight="true" outlineLevel="0" collapsed="false">
      <c r="A207" s="66" t="n">
        <v>116</v>
      </c>
      <c r="B207" s="67" t="s">
        <v>94</v>
      </c>
      <c r="C207" s="66" t="s">
        <v>113</v>
      </c>
      <c r="D207" s="66" t="n">
        <v>1</v>
      </c>
      <c r="E207" s="67" t="str">
        <f aca="false">IFERROR(INDEX('Master Data'!$L$2:$L$2436,MATCH($B$3&amp;"|"&amp;D207&amp;"|"&amp;B207&amp;"|"&amp;C207,'Master Data'!$A$2:$A$2436,0)),"")</f>
        <v>Belum terisi</v>
      </c>
      <c r="F207" s="67" t="str">
        <f aca="false">IFERROR(INDEX('Master Data'!$F$2:$F$2436,MATCH($B$3&amp;"|"&amp;D207&amp;"|"&amp;B207&amp;"|"&amp;C207,'Master Data'!$A$2:$A$2436,0))&amp;"","")</f>
        <v>Baby</v>
      </c>
      <c r="G207" s="66" t="n">
        <f aca="false">IFERROR(INDEX('Master Data'!$G$2:$G$2436,MATCH($B$3&amp;"|"&amp;D207&amp;"|"&amp;B207&amp;"|"&amp;C207,'Master Data'!$A$2:$A$2436,0)),"")</f>
        <v>5</v>
      </c>
      <c r="H207" s="67" t="str">
        <f aca="false">IFERROR(INDEX('Master Data'!$K$2:$K$2436,MATCH($B$3&amp;"|"&amp;D207&amp;"|"&amp;B207&amp;"|"&amp;C207,'Master Data'!$A$2:$A$2436,0))&amp;"","")</f>
        <v/>
      </c>
      <c r="I207" s="67" t="s">
        <v>251</v>
      </c>
      <c r="J207" s="67" t="s">
        <v>134</v>
      </c>
      <c r="K207" s="68"/>
      <c r="L207" s="68"/>
      <c r="M207" s="68"/>
      <c r="N207" s="69"/>
      <c r="O207" s="68"/>
    </row>
    <row r="208" customFormat="false" ht="40.5" hidden="false" customHeight="true" outlineLevel="0" collapsed="false">
      <c r="A208" s="66" t="n">
        <v>117</v>
      </c>
      <c r="B208" s="67" t="s">
        <v>94</v>
      </c>
      <c r="C208" s="66" t="s">
        <v>113</v>
      </c>
      <c r="D208" s="66" t="n">
        <v>5</v>
      </c>
      <c r="E208" s="67" t="str">
        <f aca="false">IFERROR(INDEX('Master Data'!$L$2:$L$2436,MATCH($B$3&amp;"|"&amp;D208&amp;"|"&amp;B208&amp;"|"&amp;C208,'Master Data'!$A$2:$A$2436,0)),"")</f>
        <v>Slot kosong</v>
      </c>
      <c r="F208" s="67" t="str">
        <f aca="false">IFERROR(INDEX('Master Data'!$F$2:$F$2436,MATCH($B$3&amp;"|"&amp;D208&amp;"|"&amp;B208&amp;"|"&amp;C208,'Master Data'!$A$2:$A$2436,0))&amp;"","")</f>
        <v/>
      </c>
      <c r="G208" s="66" t="n">
        <f aca="false">IFERROR(INDEX('Master Data'!$G$2:$G$2436,MATCH($B$3&amp;"|"&amp;D208&amp;"|"&amp;B208&amp;"|"&amp;C208,'Master Data'!$A$2:$A$2436,0)),"")</f>
        <v>5</v>
      </c>
      <c r="H208" s="67" t="str">
        <f aca="false">IFERROR(INDEX('Master Data'!$K$2:$K$2436,MATCH($B$3&amp;"|"&amp;D208&amp;"|"&amp;B208&amp;"|"&amp;C208,'Master Data'!$A$2:$A$2436,0))&amp;"","")</f>
        <v/>
      </c>
      <c r="I208" s="67" t="s">
        <v>251</v>
      </c>
      <c r="J208" s="67" t="s">
        <v>134</v>
      </c>
      <c r="K208" s="68"/>
      <c r="L208" s="68"/>
      <c r="M208" s="68"/>
      <c r="N208" s="69"/>
      <c r="O208" s="68"/>
    </row>
    <row r="209" customFormat="false" ht="40.5" hidden="false" customHeight="true" outlineLevel="0" collapsed="false">
      <c r="A209" s="66" t="n">
        <v>118</v>
      </c>
      <c r="B209" s="67" t="s">
        <v>94</v>
      </c>
      <c r="C209" s="66" t="s">
        <v>99</v>
      </c>
      <c r="D209" s="66" t="n">
        <v>3</v>
      </c>
      <c r="E209" s="67" t="str">
        <f aca="false">IFERROR(INDEX('Master Data'!$L$2:$L$2436,MATCH($B$3&amp;"|"&amp;D209&amp;"|"&amp;B209&amp;"|"&amp;C209,'Master Data'!$A$2:$A$2436,0)),"")</f>
        <v>Belum terisi</v>
      </c>
      <c r="F209" s="67" t="str">
        <f aca="false">IFERROR(INDEX('Master Data'!$F$2:$F$2436,MATCH($B$3&amp;"|"&amp;D209&amp;"|"&amp;B209&amp;"|"&amp;C209,'Master Data'!$A$2:$A$2436,0))&amp;"","")</f>
        <v>Little</v>
      </c>
      <c r="G209" s="66" t="n">
        <f aca="false">IFERROR(INDEX('Master Data'!$G$2:$G$2436,MATCH($B$3&amp;"|"&amp;D209&amp;"|"&amp;B209&amp;"|"&amp;C209,'Master Data'!$A$2:$A$2436,0)),"")</f>
        <v>4</v>
      </c>
      <c r="H209" s="67" t="str">
        <f aca="false">IFERROR(INDEX('Master Data'!$K$2:$K$2436,MATCH($B$3&amp;"|"&amp;D209&amp;"|"&amp;B209&amp;"|"&amp;C209,'Master Data'!$A$2:$A$2436,0))&amp;"","")</f>
        <v/>
      </c>
      <c r="I209" s="67" t="s">
        <v>252</v>
      </c>
      <c r="J209" s="67" t="s">
        <v>134</v>
      </c>
      <c r="K209" s="68"/>
      <c r="L209" s="68"/>
      <c r="M209" s="68"/>
      <c r="N209" s="69"/>
      <c r="O209" s="68"/>
    </row>
    <row r="210" customFormat="false" ht="40.5" hidden="false" customHeight="true" outlineLevel="0" collapsed="false">
      <c r="A210" s="66" t="n">
        <v>119</v>
      </c>
      <c r="B210" s="67" t="s">
        <v>94</v>
      </c>
      <c r="C210" s="66" t="s">
        <v>99</v>
      </c>
      <c r="D210" s="66" t="n">
        <v>4</v>
      </c>
      <c r="E210" s="67" t="str">
        <f aca="false">IFERROR(INDEX('Master Data'!$L$2:$L$2436,MATCH($B$3&amp;"|"&amp;D210&amp;"|"&amp;B210&amp;"|"&amp;C210,'Master Data'!$A$2:$A$2436,0)),"")</f>
        <v>Belum terisi</v>
      </c>
      <c r="F210" s="67" t="str">
        <f aca="false">IFERROR(INDEX('Master Data'!$F$2:$F$2436,MATCH($B$3&amp;"|"&amp;D210&amp;"|"&amp;B210&amp;"|"&amp;C210,'Master Data'!$A$2:$A$2436,0))&amp;"","")</f>
        <v>Kids</v>
      </c>
      <c r="G210" s="66" t="n">
        <f aca="false">IFERROR(INDEX('Master Data'!$G$2:$G$2436,MATCH($B$3&amp;"|"&amp;D210&amp;"|"&amp;B210&amp;"|"&amp;C210,'Master Data'!$A$2:$A$2436,0)),"")</f>
        <v>4</v>
      </c>
      <c r="H210" s="67" t="str">
        <f aca="false">IFERROR(INDEX('Master Data'!$K$2:$K$2436,MATCH($B$3&amp;"|"&amp;D210&amp;"|"&amp;B210&amp;"|"&amp;C210,'Master Data'!$A$2:$A$2436,0))&amp;"","")</f>
        <v/>
      </c>
      <c r="I210" s="67" t="s">
        <v>252</v>
      </c>
      <c r="J210" s="67" t="s">
        <v>134</v>
      </c>
      <c r="K210" s="68"/>
      <c r="L210" s="68"/>
      <c r="M210" s="68"/>
      <c r="N210" s="69"/>
      <c r="O210" s="68"/>
    </row>
    <row r="211" customFormat="false" ht="52.5" hidden="false" customHeight="true" outlineLevel="0" collapsed="false">
      <c r="A211" s="66" t="n">
        <v>120</v>
      </c>
      <c r="B211" s="67" t="s">
        <v>94</v>
      </c>
      <c r="C211" s="66" t="s">
        <v>114</v>
      </c>
      <c r="D211" s="66" t="n">
        <v>1</v>
      </c>
      <c r="E211" s="67" t="str">
        <f aca="false">IFERROR(INDEX('Master Data'!$L$2:$L$2436,MATCH($B$3&amp;"|"&amp;D211&amp;"|"&amp;B211&amp;"|"&amp;C211,'Master Data'!$A$2:$A$2436,0)),"")</f>
        <v>Belum terisi</v>
      </c>
      <c r="F211" s="67" t="str">
        <f aca="false">IFERROR(INDEX('Master Data'!$F$2:$F$2436,MATCH($B$3&amp;"|"&amp;D211&amp;"|"&amp;B211&amp;"|"&amp;C211,'Master Data'!$A$2:$A$2436,0))&amp;"","")</f>
        <v>Baby</v>
      </c>
      <c r="G211" s="66" t="n">
        <f aca="false">IFERROR(INDEX('Master Data'!$G$2:$G$2436,MATCH($B$3&amp;"|"&amp;D211&amp;"|"&amp;B211&amp;"|"&amp;C211,'Master Data'!$A$2:$A$2436,0)),"")</f>
        <v>5</v>
      </c>
      <c r="H211" s="67" t="str">
        <f aca="false">IFERROR(INDEX('Master Data'!$K$2:$K$2436,MATCH($B$3&amp;"|"&amp;D211&amp;"|"&amp;B211&amp;"|"&amp;C211,'Master Data'!$A$2:$A$2436,0))&amp;"","")</f>
        <v/>
      </c>
      <c r="I211" s="67" t="s">
        <v>253</v>
      </c>
      <c r="J211" s="67" t="s">
        <v>134</v>
      </c>
      <c r="K211" s="68"/>
      <c r="L211" s="68"/>
      <c r="M211" s="68"/>
      <c r="N211" s="69"/>
      <c r="O211" s="68"/>
    </row>
    <row r="212" customFormat="false" ht="52.5" hidden="false" customHeight="true" outlineLevel="0" collapsed="false">
      <c r="A212" s="66" t="n">
        <v>121</v>
      </c>
      <c r="B212" s="67" t="s">
        <v>94</v>
      </c>
      <c r="C212" s="66" t="s">
        <v>114</v>
      </c>
      <c r="D212" s="66" t="n">
        <v>5</v>
      </c>
      <c r="E212" s="67" t="str">
        <f aca="false">IFERROR(INDEX('Master Data'!$L$2:$L$2436,MATCH($B$3&amp;"|"&amp;D212&amp;"|"&amp;B212&amp;"|"&amp;C212,'Master Data'!$A$2:$A$2436,0)),"")</f>
        <v>Slot kosong</v>
      </c>
      <c r="F212" s="67" t="str">
        <f aca="false">IFERROR(INDEX('Master Data'!$F$2:$F$2436,MATCH($B$3&amp;"|"&amp;D212&amp;"|"&amp;B212&amp;"|"&amp;C212,'Master Data'!$A$2:$A$2436,0))&amp;"","")</f>
        <v/>
      </c>
      <c r="G212" s="66" t="n">
        <f aca="false">IFERROR(INDEX('Master Data'!$G$2:$G$2436,MATCH($B$3&amp;"|"&amp;D212&amp;"|"&amp;B212&amp;"|"&amp;C212,'Master Data'!$A$2:$A$2436,0)),"")</f>
        <v>5</v>
      </c>
      <c r="H212" s="67" t="str">
        <f aca="false">IFERROR(INDEX('Master Data'!$K$2:$K$2436,MATCH($B$3&amp;"|"&amp;D212&amp;"|"&amp;B212&amp;"|"&amp;C212,'Master Data'!$A$2:$A$2436,0))&amp;"","")</f>
        <v/>
      </c>
      <c r="I212" s="67" t="s">
        <v>253</v>
      </c>
      <c r="J212" s="67" t="s">
        <v>134</v>
      </c>
      <c r="K212" s="68"/>
      <c r="L212" s="68"/>
      <c r="M212" s="68"/>
      <c r="N212" s="69"/>
      <c r="O212" s="68"/>
    </row>
    <row r="213" customFormat="false" ht="52.5" hidden="false" customHeight="true" outlineLevel="0" collapsed="false">
      <c r="A213" s="66" t="n">
        <v>122</v>
      </c>
      <c r="B213" s="67" t="s">
        <v>94</v>
      </c>
      <c r="C213" s="66" t="s">
        <v>100</v>
      </c>
      <c r="D213" s="66" t="n">
        <v>3</v>
      </c>
      <c r="E213" s="67" t="str">
        <f aca="false">IFERROR(INDEX('Master Data'!$L$2:$L$2436,MATCH($B$3&amp;"|"&amp;D213&amp;"|"&amp;B213&amp;"|"&amp;C213,'Master Data'!$A$2:$A$2436,0)),"")</f>
        <v>Belum terisi</v>
      </c>
      <c r="F213" s="67" t="str">
        <f aca="false">IFERROR(INDEX('Master Data'!$F$2:$F$2436,MATCH($B$3&amp;"|"&amp;D213&amp;"|"&amp;B213&amp;"|"&amp;C213,'Master Data'!$A$2:$A$2436,0))&amp;"","")</f>
        <v>Little</v>
      </c>
      <c r="G213" s="66" t="n">
        <f aca="false">IFERROR(INDEX('Master Data'!$G$2:$G$2436,MATCH($B$3&amp;"|"&amp;D213&amp;"|"&amp;B213&amp;"|"&amp;C213,'Master Data'!$A$2:$A$2436,0)),"")</f>
        <v>4</v>
      </c>
      <c r="H213" s="67" t="str">
        <f aca="false">IFERROR(INDEX('Master Data'!$K$2:$K$2436,MATCH($B$3&amp;"|"&amp;D213&amp;"|"&amp;B213&amp;"|"&amp;C213,'Master Data'!$A$2:$A$2436,0))&amp;"","")</f>
        <v/>
      </c>
      <c r="I213" s="67" t="s">
        <v>253</v>
      </c>
      <c r="J213" s="67" t="s">
        <v>134</v>
      </c>
      <c r="K213" s="68"/>
      <c r="L213" s="68"/>
      <c r="M213" s="68"/>
      <c r="N213" s="69"/>
      <c r="O213" s="68"/>
    </row>
    <row r="214" customFormat="false" ht="52.5" hidden="false" customHeight="true" outlineLevel="0" collapsed="false">
      <c r="A214" s="66" t="n">
        <v>123</v>
      </c>
      <c r="B214" s="67" t="s">
        <v>94</v>
      </c>
      <c r="C214" s="66" t="s">
        <v>100</v>
      </c>
      <c r="D214" s="66" t="n">
        <v>4</v>
      </c>
      <c r="E214" s="67" t="str">
        <f aca="false">IFERROR(INDEX('Master Data'!$L$2:$L$2436,MATCH($B$3&amp;"|"&amp;D214&amp;"|"&amp;B214&amp;"|"&amp;C214,'Master Data'!$A$2:$A$2436,0)),"")</f>
        <v>Belum terisi</v>
      </c>
      <c r="F214" s="67" t="str">
        <f aca="false">IFERROR(INDEX('Master Data'!$F$2:$F$2436,MATCH($B$3&amp;"|"&amp;D214&amp;"|"&amp;B214&amp;"|"&amp;C214,'Master Data'!$A$2:$A$2436,0))&amp;"","")</f>
        <v>Kids</v>
      </c>
      <c r="G214" s="66" t="n">
        <f aca="false">IFERROR(INDEX('Master Data'!$G$2:$G$2436,MATCH($B$3&amp;"|"&amp;D214&amp;"|"&amp;B214&amp;"|"&amp;C214,'Master Data'!$A$2:$A$2436,0)),"")</f>
        <v>4</v>
      </c>
      <c r="H214" s="67" t="str">
        <f aca="false">IFERROR(INDEX('Master Data'!$K$2:$K$2436,MATCH($B$3&amp;"|"&amp;D214&amp;"|"&amp;B214&amp;"|"&amp;C214,'Master Data'!$A$2:$A$2436,0))&amp;"","")</f>
        <v/>
      </c>
      <c r="I214" s="67" t="s">
        <v>253</v>
      </c>
      <c r="J214" s="67" t="s">
        <v>134</v>
      </c>
      <c r="K214" s="68"/>
      <c r="L214" s="68"/>
      <c r="M214" s="68"/>
      <c r="N214" s="69"/>
      <c r="O214" s="68"/>
    </row>
    <row r="215" customFormat="false" ht="27.75" hidden="false" customHeight="true" outlineLevel="0" collapsed="false">
      <c r="A215" s="66" t="n">
        <v>124</v>
      </c>
      <c r="B215" s="67" t="s">
        <v>94</v>
      </c>
      <c r="C215" s="66" t="s">
        <v>116</v>
      </c>
      <c r="D215" s="66" t="n">
        <v>1</v>
      </c>
      <c r="E215" s="67" t="str">
        <f aca="false">IFERROR(INDEX('Master Data'!$L$2:$L$2436,MATCH($B$3&amp;"|"&amp;D215&amp;"|"&amp;B215&amp;"|"&amp;C215,'Master Data'!$A$2:$A$2436,0)),"")</f>
        <v>Belum terisi</v>
      </c>
      <c r="F215" s="67" t="str">
        <f aca="false">IFERROR(INDEX('Master Data'!$F$2:$F$2436,MATCH($B$3&amp;"|"&amp;D215&amp;"|"&amp;B215&amp;"|"&amp;C215,'Master Data'!$A$2:$A$2436,0))&amp;"","")</f>
        <v>Baby</v>
      </c>
      <c r="G215" s="66" t="n">
        <f aca="false">IFERROR(INDEX('Master Data'!$G$2:$G$2436,MATCH($B$3&amp;"|"&amp;D215&amp;"|"&amp;B215&amp;"|"&amp;C215,'Master Data'!$A$2:$A$2436,0)),"")</f>
        <v>5</v>
      </c>
      <c r="H215" s="67" t="str">
        <f aca="false">IFERROR(INDEX('Master Data'!$K$2:$K$2436,MATCH($B$3&amp;"|"&amp;D215&amp;"|"&amp;B215&amp;"|"&amp;C215,'Master Data'!$A$2:$A$2436,0))&amp;"","")</f>
        <v/>
      </c>
      <c r="I215" s="67" t="s">
        <v>254</v>
      </c>
      <c r="J215" s="67" t="s">
        <v>134</v>
      </c>
      <c r="K215" s="68"/>
      <c r="L215" s="68"/>
      <c r="M215" s="68"/>
      <c r="N215" s="69"/>
      <c r="O215" s="68"/>
    </row>
    <row r="216" customFormat="false" ht="27.75" hidden="false" customHeight="true" outlineLevel="0" collapsed="false">
      <c r="A216" s="66" t="n">
        <v>125</v>
      </c>
      <c r="B216" s="67" t="s">
        <v>94</v>
      </c>
      <c r="C216" s="66" t="s">
        <v>117</v>
      </c>
      <c r="D216" s="66" t="n">
        <v>1</v>
      </c>
      <c r="E216" s="67" t="str">
        <f aca="false">IFERROR(INDEX('Master Data'!$L$2:$L$2436,MATCH($B$3&amp;"|"&amp;D216&amp;"|"&amp;B216&amp;"|"&amp;C216,'Master Data'!$A$2:$A$2436,0)),"")</f>
        <v>Belum terisi</v>
      </c>
      <c r="F216" s="67" t="str">
        <f aca="false">IFERROR(INDEX('Master Data'!$F$2:$F$2436,MATCH($B$3&amp;"|"&amp;D216&amp;"|"&amp;B216&amp;"|"&amp;C216,'Master Data'!$A$2:$A$2436,0))&amp;"","")</f>
        <v>Baby</v>
      </c>
      <c r="G216" s="66" t="n">
        <f aca="false">IFERROR(INDEX('Master Data'!$G$2:$G$2436,MATCH($B$3&amp;"|"&amp;D216&amp;"|"&amp;B216&amp;"|"&amp;C216,'Master Data'!$A$2:$A$2436,0)),"")</f>
        <v>5</v>
      </c>
      <c r="H216" s="67" t="str">
        <f aca="false">IFERROR(INDEX('Master Data'!$K$2:$K$2436,MATCH($B$3&amp;"|"&amp;D216&amp;"|"&amp;B216&amp;"|"&amp;C216,'Master Data'!$A$2:$A$2436,0))&amp;"","")</f>
        <v/>
      </c>
      <c r="I216" s="67" t="s">
        <v>255</v>
      </c>
      <c r="J216" s="67" t="s">
        <v>134</v>
      </c>
      <c r="K216" s="68"/>
      <c r="L216" s="68"/>
      <c r="M216" s="68"/>
      <c r="N216" s="69"/>
      <c r="O216" s="68"/>
    </row>
    <row r="217" customFormat="false" ht="27.75" hidden="false" customHeight="true" outlineLevel="0" collapsed="false">
      <c r="A217" s="66" t="n">
        <v>126</v>
      </c>
      <c r="B217" s="67" t="s">
        <v>94</v>
      </c>
      <c r="C217" s="66" t="s">
        <v>117</v>
      </c>
      <c r="D217" s="66" t="n">
        <v>2</v>
      </c>
      <c r="E217" s="67" t="str">
        <f aca="false">IFERROR(INDEX('Master Data'!$L$2:$L$2436,MATCH($B$3&amp;"|"&amp;D217&amp;"|"&amp;B217&amp;"|"&amp;C217,'Master Data'!$A$2:$A$2436,0)),"")</f>
        <v>Belum terisi</v>
      </c>
      <c r="F217" s="67" t="str">
        <f aca="false">IFERROR(INDEX('Master Data'!$F$2:$F$2436,MATCH($B$3&amp;"|"&amp;D217&amp;"|"&amp;B217&amp;"|"&amp;C217,'Master Data'!$A$2:$A$2436,0))&amp;"","")</f>
        <v>Tiny</v>
      </c>
      <c r="G217" s="66" t="n">
        <f aca="false">IFERROR(INDEX('Master Data'!$G$2:$G$2436,MATCH($B$3&amp;"|"&amp;D217&amp;"|"&amp;B217&amp;"|"&amp;C217,'Master Data'!$A$2:$A$2436,0)),"")</f>
        <v>5</v>
      </c>
      <c r="H217" s="67" t="str">
        <f aca="false">IFERROR(INDEX('Master Data'!$K$2:$K$2436,MATCH($B$3&amp;"|"&amp;D217&amp;"|"&amp;B217&amp;"|"&amp;C217,'Master Data'!$A$2:$A$2436,0))&amp;"","")</f>
        <v/>
      </c>
      <c r="I217" s="67" t="s">
        <v>255</v>
      </c>
      <c r="J217" s="67" t="s">
        <v>134</v>
      </c>
      <c r="K217" s="68"/>
      <c r="L217" s="68"/>
      <c r="M217" s="68"/>
      <c r="N217" s="69"/>
      <c r="O217" s="68"/>
    </row>
    <row r="218" customFormat="false" ht="15.75" hidden="false" customHeight="true" outlineLevel="0" collapsed="false">
      <c r="A218" s="66" t="n">
        <v>127</v>
      </c>
      <c r="B218" s="67" t="s">
        <v>94</v>
      </c>
      <c r="C218" s="66" t="s">
        <v>121</v>
      </c>
      <c r="D218" s="66" t="n">
        <v>1</v>
      </c>
      <c r="E218" s="67" t="str">
        <f aca="false">IFERROR(INDEX('Master Data'!$L$2:$L$2436,MATCH($B$3&amp;"|"&amp;D218&amp;"|"&amp;B218&amp;"|"&amp;C218,'Master Data'!$A$2:$A$2436,0)),"")</f>
        <v>Belum terisi</v>
      </c>
      <c r="F218" s="67" t="str">
        <f aca="false">IFERROR(INDEX('Master Data'!$F$2:$F$2436,MATCH($B$3&amp;"|"&amp;D218&amp;"|"&amp;B218&amp;"|"&amp;C218,'Master Data'!$A$2:$A$2436,0))&amp;"","")</f>
        <v>Baby</v>
      </c>
      <c r="G218" s="66" t="n">
        <f aca="false">IFERROR(INDEX('Master Data'!$G$2:$G$2436,MATCH($B$3&amp;"|"&amp;D218&amp;"|"&amp;B218&amp;"|"&amp;C218,'Master Data'!$A$2:$A$2436,0)),"")</f>
        <v>5</v>
      </c>
      <c r="H218" s="67" t="str">
        <f aca="false">IFERROR(INDEX('Master Data'!$K$2:$K$2436,MATCH($B$3&amp;"|"&amp;D218&amp;"|"&amp;B218&amp;"|"&amp;C218,'Master Data'!$A$2:$A$2436,0))&amp;"","")</f>
        <v/>
      </c>
      <c r="I218" s="67" t="s">
        <v>256</v>
      </c>
      <c r="J218" s="67" t="s">
        <v>221</v>
      </c>
      <c r="K218" s="68"/>
      <c r="L218" s="68"/>
      <c r="M218" s="68"/>
      <c r="N218" s="69"/>
      <c r="O218" s="68"/>
    </row>
    <row r="219" customFormat="false" ht="52.5" hidden="false" customHeight="true" outlineLevel="0" collapsed="false">
      <c r="A219" s="66" t="n">
        <v>128</v>
      </c>
      <c r="B219" s="67" t="s">
        <v>95</v>
      </c>
      <c r="C219" s="66" t="s">
        <v>115</v>
      </c>
      <c r="D219" s="66" t="n">
        <v>1</v>
      </c>
      <c r="E219" s="67" t="str">
        <f aca="false">IFERROR(INDEX('Master Data'!$L$2:$L$2436,MATCH($B$3&amp;"|"&amp;D219&amp;"|"&amp;B219&amp;"|"&amp;C219,'Master Data'!$A$2:$A$2436,0)),"")</f>
        <v>Belum terisi</v>
      </c>
      <c r="F219" s="67" t="str">
        <f aca="false">IFERROR(INDEX('Master Data'!$F$2:$F$2436,MATCH($B$3&amp;"|"&amp;D219&amp;"|"&amp;B219&amp;"|"&amp;C219,'Master Data'!$A$2:$A$2436,0))&amp;"","")</f>
        <v>Baby</v>
      </c>
      <c r="G219" s="66" t="n">
        <f aca="false">IFERROR(INDEX('Master Data'!$G$2:$G$2436,MATCH($B$3&amp;"|"&amp;D219&amp;"|"&amp;B219&amp;"|"&amp;C219,'Master Data'!$A$2:$A$2436,0)),"")</f>
        <v>5</v>
      </c>
      <c r="H219" s="67" t="str">
        <f aca="false">IFERROR(INDEX('Master Data'!$K$2:$K$2436,MATCH($B$3&amp;"|"&amp;D219&amp;"|"&amp;B219&amp;"|"&amp;C219,'Master Data'!$A$2:$A$2436,0))&amp;"","")</f>
        <v/>
      </c>
      <c r="I219" s="67" t="s">
        <v>257</v>
      </c>
      <c r="J219" s="67" t="s">
        <v>134</v>
      </c>
      <c r="K219" s="68"/>
      <c r="L219" s="68"/>
      <c r="M219" s="68"/>
      <c r="N219" s="69"/>
      <c r="O219" s="68"/>
    </row>
    <row r="220" customFormat="false" ht="65.25" hidden="false" customHeight="true" outlineLevel="0" collapsed="false">
      <c r="A220" s="66" t="n">
        <v>129</v>
      </c>
      <c r="B220" s="67" t="s">
        <v>95</v>
      </c>
      <c r="C220" s="66" t="s">
        <v>116</v>
      </c>
      <c r="D220" s="66" t="n">
        <v>1</v>
      </c>
      <c r="E220" s="67" t="str">
        <f aca="false">IFERROR(INDEX('Master Data'!$L$2:$L$2436,MATCH($B$3&amp;"|"&amp;D220&amp;"|"&amp;B220&amp;"|"&amp;C220,'Master Data'!$A$2:$A$2436,0)),"")</f>
        <v>Belum terisi</v>
      </c>
      <c r="F220" s="67" t="str">
        <f aca="false">IFERROR(INDEX('Master Data'!$F$2:$F$2436,MATCH($B$3&amp;"|"&amp;D220&amp;"|"&amp;B220&amp;"|"&amp;C220,'Master Data'!$A$2:$A$2436,0))&amp;"","")</f>
        <v>Baby</v>
      </c>
      <c r="G220" s="66" t="n">
        <f aca="false">IFERROR(INDEX('Master Data'!$G$2:$G$2436,MATCH($B$3&amp;"|"&amp;D220&amp;"|"&amp;B220&amp;"|"&amp;C220,'Master Data'!$A$2:$A$2436,0)),"")</f>
        <v>5</v>
      </c>
      <c r="H220" s="67" t="str">
        <f aca="false">IFERROR(INDEX('Master Data'!$K$2:$K$2436,MATCH($B$3&amp;"|"&amp;D220&amp;"|"&amp;B220&amp;"|"&amp;C220,'Master Data'!$A$2:$A$2436,0))&amp;"","")</f>
        <v/>
      </c>
      <c r="I220" s="67" t="s">
        <v>258</v>
      </c>
      <c r="J220" s="67" t="s">
        <v>134</v>
      </c>
      <c r="K220" s="68"/>
      <c r="L220" s="68"/>
      <c r="M220" s="68"/>
      <c r="N220" s="69"/>
      <c r="O220" s="68"/>
    </row>
    <row r="221" customFormat="false" ht="65.25" hidden="false" customHeight="true" outlineLevel="0" collapsed="false">
      <c r="A221" s="66" t="n">
        <v>130</v>
      </c>
      <c r="B221" s="67" t="s">
        <v>95</v>
      </c>
      <c r="C221" s="66" t="s">
        <v>116</v>
      </c>
      <c r="D221" s="66" t="n">
        <v>2</v>
      </c>
      <c r="E221" s="67" t="str">
        <f aca="false">IFERROR(INDEX('Master Data'!$L$2:$L$2436,MATCH($B$3&amp;"|"&amp;D221&amp;"|"&amp;B221&amp;"|"&amp;C221,'Master Data'!$A$2:$A$2436,0)),"")</f>
        <v>Belum terisi</v>
      </c>
      <c r="F221" s="67" t="str">
        <f aca="false">IFERROR(INDEX('Master Data'!$F$2:$F$2436,MATCH($B$3&amp;"|"&amp;D221&amp;"|"&amp;B221&amp;"|"&amp;C221,'Master Data'!$A$2:$A$2436,0))&amp;"","")</f>
        <v>Tiny</v>
      </c>
      <c r="G221" s="66" t="n">
        <f aca="false">IFERROR(INDEX('Master Data'!$G$2:$G$2436,MATCH($B$3&amp;"|"&amp;D221&amp;"|"&amp;B221&amp;"|"&amp;C221,'Master Data'!$A$2:$A$2436,0)),"")</f>
        <v>5</v>
      </c>
      <c r="H221" s="67" t="str">
        <f aca="false">IFERROR(INDEX('Master Data'!$K$2:$K$2436,MATCH($B$3&amp;"|"&amp;D221&amp;"|"&amp;B221&amp;"|"&amp;C221,'Master Data'!$A$2:$A$2436,0))&amp;"","")</f>
        <v/>
      </c>
      <c r="I221" s="67" t="s">
        <v>258</v>
      </c>
      <c r="J221" s="67" t="s">
        <v>134</v>
      </c>
      <c r="K221" s="68"/>
      <c r="L221" s="68"/>
      <c r="M221" s="68"/>
      <c r="N221" s="69"/>
      <c r="O221" s="68"/>
    </row>
    <row r="222" customFormat="false" ht="40.5" hidden="false" customHeight="true" outlineLevel="0" collapsed="false">
      <c r="A222" s="66" t="n">
        <v>131</v>
      </c>
      <c r="B222" s="67" t="s">
        <v>95</v>
      </c>
      <c r="C222" s="66" t="s">
        <v>117</v>
      </c>
      <c r="D222" s="66" t="n">
        <v>1</v>
      </c>
      <c r="E222" s="67" t="str">
        <f aca="false">IFERROR(INDEX('Master Data'!$L$2:$L$2436,MATCH($B$3&amp;"|"&amp;D222&amp;"|"&amp;B222&amp;"|"&amp;C222,'Master Data'!$A$2:$A$2436,0)),"")</f>
        <v>Belum terisi</v>
      </c>
      <c r="F222" s="67" t="str">
        <f aca="false">IFERROR(INDEX('Master Data'!$F$2:$F$2436,MATCH($B$3&amp;"|"&amp;D222&amp;"|"&amp;B222&amp;"|"&amp;C222,'Master Data'!$A$2:$A$2436,0))&amp;"","")</f>
        <v>Baby</v>
      </c>
      <c r="G222" s="66" t="n">
        <f aca="false">IFERROR(INDEX('Master Data'!$G$2:$G$2436,MATCH($B$3&amp;"|"&amp;D222&amp;"|"&amp;B222&amp;"|"&amp;C222,'Master Data'!$A$2:$A$2436,0)),"")</f>
        <v>5</v>
      </c>
      <c r="H222" s="67" t="str">
        <f aca="false">IFERROR(INDEX('Master Data'!$K$2:$K$2436,MATCH($B$3&amp;"|"&amp;D222&amp;"|"&amp;B222&amp;"|"&amp;C222,'Master Data'!$A$2:$A$2436,0))&amp;"","")</f>
        <v/>
      </c>
      <c r="I222" s="67" t="s">
        <v>259</v>
      </c>
      <c r="J222" s="67" t="s">
        <v>134</v>
      </c>
      <c r="K222" s="68"/>
      <c r="L222" s="68"/>
      <c r="M222" s="68"/>
      <c r="N222" s="69"/>
      <c r="O222" s="68"/>
    </row>
    <row r="223" customFormat="false" ht="40.5" hidden="false" customHeight="true" outlineLevel="0" collapsed="false">
      <c r="A223" s="66" t="n">
        <v>132</v>
      </c>
      <c r="B223" s="67" t="s">
        <v>95</v>
      </c>
      <c r="C223" s="66" t="s">
        <v>117</v>
      </c>
      <c r="D223" s="66" t="n">
        <v>2</v>
      </c>
      <c r="E223" s="67" t="str">
        <f aca="false">IFERROR(INDEX('Master Data'!$L$2:$L$2436,MATCH($B$3&amp;"|"&amp;D223&amp;"|"&amp;B223&amp;"|"&amp;C223,'Master Data'!$A$2:$A$2436,0)),"")</f>
        <v>Belum terisi</v>
      </c>
      <c r="F223" s="67" t="str">
        <f aca="false">IFERROR(INDEX('Master Data'!$F$2:$F$2436,MATCH($B$3&amp;"|"&amp;D223&amp;"|"&amp;B223&amp;"|"&amp;C223,'Master Data'!$A$2:$A$2436,0))&amp;"","")</f>
        <v>Tiny</v>
      </c>
      <c r="G223" s="66" t="n">
        <f aca="false">IFERROR(INDEX('Master Data'!$G$2:$G$2436,MATCH($B$3&amp;"|"&amp;D223&amp;"|"&amp;B223&amp;"|"&amp;C223,'Master Data'!$A$2:$A$2436,0)),"")</f>
        <v>5</v>
      </c>
      <c r="H223" s="67" t="str">
        <f aca="false">IFERROR(INDEX('Master Data'!$K$2:$K$2436,MATCH($B$3&amp;"|"&amp;D223&amp;"|"&amp;B223&amp;"|"&amp;C223,'Master Data'!$A$2:$A$2436,0))&amp;"","")</f>
        <v>Eve</v>
      </c>
      <c r="I223" s="67" t="s">
        <v>259</v>
      </c>
      <c r="J223" s="67" t="s">
        <v>134</v>
      </c>
      <c r="K223" s="68"/>
      <c r="L223" s="68"/>
      <c r="M223" s="68"/>
      <c r="N223" s="69"/>
      <c r="O223" s="68"/>
    </row>
    <row r="224" customFormat="false" ht="40.5" hidden="false" customHeight="true" outlineLevel="0" collapsed="false">
      <c r="A224" s="66" t="n">
        <v>133</v>
      </c>
      <c r="B224" s="67" t="s">
        <v>95</v>
      </c>
      <c r="C224" s="66" t="s">
        <v>118</v>
      </c>
      <c r="D224" s="66" t="n">
        <v>1</v>
      </c>
      <c r="E224" s="67" t="str">
        <f aca="false">IFERROR(INDEX('Master Data'!$L$2:$L$2436,MATCH($B$3&amp;"|"&amp;D224&amp;"|"&amp;B224&amp;"|"&amp;C224,'Master Data'!$A$2:$A$2436,0)),"")</f>
        <v>Belum terisi</v>
      </c>
      <c r="F224" s="67" t="str">
        <f aca="false">IFERROR(INDEX('Master Data'!$F$2:$F$2436,MATCH($B$3&amp;"|"&amp;D224&amp;"|"&amp;B224&amp;"|"&amp;C224,'Master Data'!$A$2:$A$2436,0))&amp;"","")</f>
        <v>Baby</v>
      </c>
      <c r="G224" s="66" t="n">
        <f aca="false">IFERROR(INDEX('Master Data'!$G$2:$G$2436,MATCH($B$3&amp;"|"&amp;D224&amp;"|"&amp;B224&amp;"|"&amp;C224,'Master Data'!$A$2:$A$2436,0)),"")</f>
        <v>5</v>
      </c>
      <c r="H224" s="67" t="str">
        <f aca="false">IFERROR(INDEX('Master Data'!$K$2:$K$2436,MATCH($B$3&amp;"|"&amp;D224&amp;"|"&amp;B224&amp;"|"&amp;C224,'Master Data'!$A$2:$A$2436,0))&amp;"","")</f>
        <v/>
      </c>
      <c r="I224" s="67" t="s">
        <v>260</v>
      </c>
      <c r="J224" s="67" t="s">
        <v>134</v>
      </c>
      <c r="K224" s="68"/>
      <c r="L224" s="68"/>
      <c r="M224" s="68"/>
      <c r="N224" s="69"/>
      <c r="O224" s="68"/>
    </row>
    <row r="225" customFormat="false" ht="52.5" hidden="false" customHeight="true" outlineLevel="0" collapsed="false">
      <c r="A225" s="66" t="n">
        <v>134</v>
      </c>
      <c r="B225" s="67" t="s">
        <v>95</v>
      </c>
      <c r="C225" s="66" t="s">
        <v>121</v>
      </c>
      <c r="D225" s="66" t="n">
        <v>1</v>
      </c>
      <c r="E225" s="67" t="str">
        <f aca="false">IFERROR(INDEX('Master Data'!$L$2:$L$2436,MATCH($B$3&amp;"|"&amp;D225&amp;"|"&amp;B225&amp;"|"&amp;C225,'Master Data'!$A$2:$A$2436,0)),"")</f>
        <v>Belum terisi</v>
      </c>
      <c r="F225" s="67" t="str">
        <f aca="false">IFERROR(INDEX('Master Data'!$F$2:$F$2436,MATCH($B$3&amp;"|"&amp;D225&amp;"|"&amp;B225&amp;"|"&amp;C225,'Master Data'!$A$2:$A$2436,0))&amp;"","")</f>
        <v>Baby</v>
      </c>
      <c r="G225" s="66" t="n">
        <f aca="false">IFERROR(INDEX('Master Data'!$G$2:$G$2436,MATCH($B$3&amp;"|"&amp;D225&amp;"|"&amp;B225&amp;"|"&amp;C225,'Master Data'!$A$2:$A$2436,0)),"")</f>
        <v>5</v>
      </c>
      <c r="H225" s="67" t="str">
        <f aca="false">IFERROR(INDEX('Master Data'!$K$2:$K$2436,MATCH($B$3&amp;"|"&amp;D225&amp;"|"&amp;B225&amp;"|"&amp;C225,'Master Data'!$A$2:$A$2436,0))&amp;"","")</f>
        <v/>
      </c>
      <c r="I225" s="67" t="s">
        <v>261</v>
      </c>
      <c r="J225" s="67" t="s">
        <v>134</v>
      </c>
      <c r="K225" s="68"/>
      <c r="L225" s="68"/>
      <c r="M225" s="68"/>
      <c r="N225" s="69"/>
      <c r="O225" s="68"/>
    </row>
    <row r="226" customFormat="false" ht="52.5" hidden="false" customHeight="true" outlineLevel="0" collapsed="false">
      <c r="A226" s="66" t="n">
        <v>135</v>
      </c>
      <c r="B226" s="67" t="s">
        <v>78</v>
      </c>
      <c r="C226" s="66" t="s">
        <v>115</v>
      </c>
      <c r="D226" s="66" t="n">
        <v>1</v>
      </c>
      <c r="E226" s="67" t="str">
        <f aca="false">IFERROR(INDEX('Master Data'!$L$2:$L$2436,MATCH($B$3&amp;"|"&amp;D226&amp;"|"&amp;B226&amp;"|"&amp;C226,'Master Data'!$A$2:$A$2436,0)),"")</f>
        <v>Belum terisi</v>
      </c>
      <c r="F226" s="67" t="str">
        <f aca="false">IFERROR(INDEX('Master Data'!$F$2:$F$2436,MATCH($B$3&amp;"|"&amp;D226&amp;"|"&amp;B226&amp;"|"&amp;C226,'Master Data'!$A$2:$A$2436,0))&amp;"","")</f>
        <v>Baby</v>
      </c>
      <c r="G226" s="66" t="n">
        <f aca="false">IFERROR(INDEX('Master Data'!$G$2:$G$2436,MATCH($B$3&amp;"|"&amp;D226&amp;"|"&amp;B226&amp;"|"&amp;C226,'Master Data'!$A$2:$A$2436,0)),"")</f>
        <v>5</v>
      </c>
      <c r="H226" s="67" t="str">
        <f aca="false">IFERROR(INDEX('Master Data'!$K$2:$K$2436,MATCH($B$3&amp;"|"&amp;D226&amp;"|"&amp;B226&amp;"|"&amp;C226,'Master Data'!$A$2:$A$2436,0))&amp;"","")</f>
        <v/>
      </c>
      <c r="I226" s="67" t="s">
        <v>262</v>
      </c>
      <c r="J226" s="67" t="s">
        <v>134</v>
      </c>
      <c r="K226" s="68"/>
      <c r="L226" s="68"/>
      <c r="M226" s="68"/>
      <c r="N226" s="69"/>
      <c r="O226" s="68"/>
    </row>
    <row r="227" customFormat="false" ht="52.5" hidden="false" customHeight="true" outlineLevel="0" collapsed="false">
      <c r="A227" s="66" t="n">
        <v>136</v>
      </c>
      <c r="B227" s="67" t="s">
        <v>78</v>
      </c>
      <c r="C227" s="66" t="s">
        <v>115</v>
      </c>
      <c r="D227" s="66" t="n">
        <v>2</v>
      </c>
      <c r="E227" s="67" t="str">
        <f aca="false">IFERROR(INDEX('Master Data'!$L$2:$L$2436,MATCH($B$3&amp;"|"&amp;D227&amp;"|"&amp;B227&amp;"|"&amp;C227,'Master Data'!$A$2:$A$2436,0)),"")</f>
        <v>Belum terisi</v>
      </c>
      <c r="F227" s="67" t="str">
        <f aca="false">IFERROR(INDEX('Master Data'!$F$2:$F$2436,MATCH($B$3&amp;"|"&amp;D227&amp;"|"&amp;B227&amp;"|"&amp;C227,'Master Data'!$A$2:$A$2436,0))&amp;"","")</f>
        <v>Tiny</v>
      </c>
      <c r="G227" s="66" t="n">
        <f aca="false">IFERROR(INDEX('Master Data'!$G$2:$G$2436,MATCH($B$3&amp;"|"&amp;D227&amp;"|"&amp;B227&amp;"|"&amp;C227,'Master Data'!$A$2:$A$2436,0)),"")</f>
        <v>5</v>
      </c>
      <c r="H227" s="67" t="str">
        <f aca="false">IFERROR(INDEX('Master Data'!$K$2:$K$2436,MATCH($B$3&amp;"|"&amp;D227&amp;"|"&amp;B227&amp;"|"&amp;C227,'Master Data'!$A$2:$A$2436,0))&amp;"","")</f>
        <v/>
      </c>
      <c r="I227" s="67" t="s">
        <v>262</v>
      </c>
      <c r="J227" s="67" t="s">
        <v>134</v>
      </c>
      <c r="K227" s="68"/>
      <c r="L227" s="68"/>
      <c r="M227" s="68"/>
      <c r="N227" s="69"/>
      <c r="O227" s="68"/>
    </row>
    <row r="228" customFormat="false" ht="52.5" hidden="false" customHeight="true" outlineLevel="0" collapsed="false">
      <c r="A228" s="66" t="n">
        <v>137</v>
      </c>
      <c r="B228" s="67" t="s">
        <v>78</v>
      </c>
      <c r="C228" s="66" t="s">
        <v>115</v>
      </c>
      <c r="D228" s="66" t="n">
        <v>5</v>
      </c>
      <c r="E228" s="67" t="str">
        <f aca="false">IFERROR(INDEX('Master Data'!$L$2:$L$2436,MATCH($B$3&amp;"|"&amp;D228&amp;"|"&amp;B228&amp;"|"&amp;C228,'Master Data'!$A$2:$A$2436,0)),"")</f>
        <v>Belum terisi</v>
      </c>
      <c r="F228" s="67" t="str">
        <f aca="false">IFERROR(INDEX('Master Data'!$F$2:$F$2436,MATCH($B$3&amp;"|"&amp;D228&amp;"|"&amp;B228&amp;"|"&amp;C228,'Master Data'!$A$2:$A$2436,0))&amp;"","")</f>
        <v>Little</v>
      </c>
      <c r="G228" s="66" t="n">
        <f aca="false">IFERROR(INDEX('Master Data'!$G$2:$G$2436,MATCH($B$3&amp;"|"&amp;D228&amp;"|"&amp;B228&amp;"|"&amp;C228,'Master Data'!$A$2:$A$2436,0)),"")</f>
        <v>5</v>
      </c>
      <c r="H228" s="67" t="str">
        <f aca="false">IFERROR(INDEX('Master Data'!$K$2:$K$2436,MATCH($B$3&amp;"|"&amp;D228&amp;"|"&amp;B228&amp;"|"&amp;C228,'Master Data'!$A$2:$A$2436,0))&amp;"","")</f>
        <v/>
      </c>
      <c r="I228" s="67" t="s">
        <v>262</v>
      </c>
      <c r="J228" s="67" t="s">
        <v>134</v>
      </c>
      <c r="K228" s="68"/>
      <c r="L228" s="68"/>
      <c r="M228" s="68"/>
      <c r="N228" s="69"/>
      <c r="O228" s="68"/>
    </row>
    <row r="229" customFormat="false" ht="52.5" hidden="false" customHeight="true" outlineLevel="0" collapsed="false">
      <c r="A229" s="66" t="n">
        <v>138</v>
      </c>
      <c r="B229" s="67" t="s">
        <v>78</v>
      </c>
      <c r="C229" s="66" t="s">
        <v>116</v>
      </c>
      <c r="D229" s="66" t="n">
        <v>2</v>
      </c>
      <c r="E229" s="67" t="str">
        <f aca="false">IFERROR(INDEX('Master Data'!$L$2:$L$2436,MATCH($B$3&amp;"|"&amp;D229&amp;"|"&amp;B229&amp;"|"&amp;C229,'Master Data'!$A$2:$A$2436,0)),"")</f>
        <v>Belum terisi</v>
      </c>
      <c r="F229" s="67" t="str">
        <f aca="false">IFERROR(INDEX('Master Data'!$F$2:$F$2436,MATCH($B$3&amp;"|"&amp;D229&amp;"|"&amp;B229&amp;"|"&amp;C229,'Master Data'!$A$2:$A$2436,0))&amp;"","")</f>
        <v>Tiny</v>
      </c>
      <c r="G229" s="66" t="n">
        <f aca="false">IFERROR(INDEX('Master Data'!$G$2:$G$2436,MATCH($B$3&amp;"|"&amp;D229&amp;"|"&amp;B229&amp;"|"&amp;C229,'Master Data'!$A$2:$A$2436,0)),"")</f>
        <v>5</v>
      </c>
      <c r="H229" s="67" t="str">
        <f aca="false">IFERROR(INDEX('Master Data'!$K$2:$K$2436,MATCH($B$3&amp;"|"&amp;D229&amp;"|"&amp;B229&amp;"|"&amp;C229,'Master Data'!$A$2:$A$2436,0))&amp;"","")</f>
        <v/>
      </c>
      <c r="I229" s="67" t="s">
        <v>263</v>
      </c>
      <c r="J229" s="67" t="s">
        <v>134</v>
      </c>
      <c r="K229" s="68"/>
      <c r="L229" s="68"/>
      <c r="M229" s="68"/>
      <c r="N229" s="69"/>
      <c r="O229" s="68"/>
    </row>
    <row r="230" customFormat="false" ht="40.5" hidden="false" customHeight="true" outlineLevel="0" collapsed="false">
      <c r="A230" s="66" t="n">
        <v>139</v>
      </c>
      <c r="B230" s="67" t="s">
        <v>78</v>
      </c>
      <c r="C230" s="66" t="s">
        <v>117</v>
      </c>
      <c r="D230" s="66" t="n">
        <v>1</v>
      </c>
      <c r="E230" s="67" t="str">
        <f aca="false">IFERROR(INDEX('Master Data'!$L$2:$L$2436,MATCH($B$3&amp;"|"&amp;D230&amp;"|"&amp;B230&amp;"|"&amp;C230,'Master Data'!$A$2:$A$2436,0)),"")</f>
        <v>Belum terisi</v>
      </c>
      <c r="F230" s="67" t="str">
        <f aca="false">IFERROR(INDEX('Master Data'!$F$2:$F$2436,MATCH($B$3&amp;"|"&amp;D230&amp;"|"&amp;B230&amp;"|"&amp;C230,'Master Data'!$A$2:$A$2436,0))&amp;"","")</f>
        <v>Baby</v>
      </c>
      <c r="G230" s="66" t="n">
        <f aca="false">IFERROR(INDEX('Master Data'!$G$2:$G$2436,MATCH($B$3&amp;"|"&amp;D230&amp;"|"&amp;B230&amp;"|"&amp;C230,'Master Data'!$A$2:$A$2436,0)),"")</f>
        <v>5</v>
      </c>
      <c r="H230" s="67" t="str">
        <f aca="false">IFERROR(INDEX('Master Data'!$K$2:$K$2436,MATCH($B$3&amp;"|"&amp;D230&amp;"|"&amp;B230&amp;"|"&amp;C230,'Master Data'!$A$2:$A$2436,0))&amp;"","")</f>
        <v/>
      </c>
      <c r="I230" s="67" t="s">
        <v>264</v>
      </c>
      <c r="J230" s="67" t="s">
        <v>134</v>
      </c>
      <c r="K230" s="68"/>
      <c r="L230" s="68"/>
      <c r="M230" s="68"/>
      <c r="N230" s="69"/>
      <c r="O230" s="68"/>
    </row>
    <row r="231" customFormat="false" ht="40.5" hidden="false" customHeight="true" outlineLevel="0" collapsed="false">
      <c r="A231" s="66" t="n">
        <v>140</v>
      </c>
      <c r="B231" s="67" t="s">
        <v>78</v>
      </c>
      <c r="C231" s="66" t="s">
        <v>117</v>
      </c>
      <c r="D231" s="66" t="n">
        <v>2</v>
      </c>
      <c r="E231" s="67" t="str">
        <f aca="false">IFERROR(INDEX('Master Data'!$L$2:$L$2436,MATCH($B$3&amp;"|"&amp;D231&amp;"|"&amp;B231&amp;"|"&amp;C231,'Master Data'!$A$2:$A$2436,0)),"")</f>
        <v>Belum terisi</v>
      </c>
      <c r="F231" s="67" t="str">
        <f aca="false">IFERROR(INDEX('Master Data'!$F$2:$F$2436,MATCH($B$3&amp;"|"&amp;D231&amp;"|"&amp;B231&amp;"|"&amp;C231,'Master Data'!$A$2:$A$2436,0))&amp;"","")</f>
        <v>Tiny</v>
      </c>
      <c r="G231" s="66" t="n">
        <f aca="false">IFERROR(INDEX('Master Data'!$G$2:$G$2436,MATCH($B$3&amp;"|"&amp;D231&amp;"|"&amp;B231&amp;"|"&amp;C231,'Master Data'!$A$2:$A$2436,0)),"")</f>
        <v>5</v>
      </c>
      <c r="H231" s="67" t="str">
        <f aca="false">IFERROR(INDEX('Master Data'!$K$2:$K$2436,MATCH($B$3&amp;"|"&amp;D231&amp;"|"&amp;B231&amp;"|"&amp;C231,'Master Data'!$A$2:$A$2436,0))&amp;"","")</f>
        <v/>
      </c>
      <c r="I231" s="67" t="s">
        <v>264</v>
      </c>
      <c r="J231" s="67" t="s">
        <v>134</v>
      </c>
      <c r="K231" s="68"/>
      <c r="L231" s="68"/>
      <c r="M231" s="68"/>
      <c r="N231" s="69"/>
      <c r="O231" s="68"/>
    </row>
    <row r="232" customFormat="false" ht="27.75" hidden="false" customHeight="true" outlineLevel="0" collapsed="false">
      <c r="A232" s="66" t="n">
        <v>141</v>
      </c>
      <c r="B232" s="67" t="s">
        <v>78</v>
      </c>
      <c r="C232" s="66" t="s">
        <v>118</v>
      </c>
      <c r="D232" s="66" t="n">
        <v>2</v>
      </c>
      <c r="E232" s="67" t="str">
        <f aca="false">IFERROR(INDEX('Master Data'!$L$2:$L$2436,MATCH($B$3&amp;"|"&amp;D232&amp;"|"&amp;B232&amp;"|"&amp;C232,'Master Data'!$A$2:$A$2436,0)),"")</f>
        <v>Belum terisi</v>
      </c>
      <c r="F232" s="67" t="str">
        <f aca="false">IFERROR(INDEX('Master Data'!$F$2:$F$2436,MATCH($B$3&amp;"|"&amp;D232&amp;"|"&amp;B232&amp;"|"&amp;C232,'Master Data'!$A$2:$A$2436,0))&amp;"","")</f>
        <v>Tiny</v>
      </c>
      <c r="G232" s="66" t="n">
        <f aca="false">IFERROR(INDEX('Master Data'!$G$2:$G$2436,MATCH($B$3&amp;"|"&amp;D232&amp;"|"&amp;B232&amp;"|"&amp;C232,'Master Data'!$A$2:$A$2436,0)),"")</f>
        <v>5</v>
      </c>
      <c r="H232" s="67" t="str">
        <f aca="false">IFERROR(INDEX('Master Data'!$K$2:$K$2436,MATCH($B$3&amp;"|"&amp;D232&amp;"|"&amp;B232&amp;"|"&amp;C232,'Master Data'!$A$2:$A$2436,0))&amp;"","")</f>
        <v/>
      </c>
      <c r="I232" s="67" t="s">
        <v>265</v>
      </c>
      <c r="J232" s="67" t="s">
        <v>134</v>
      </c>
      <c r="K232" s="68"/>
      <c r="L232" s="68"/>
      <c r="M232" s="68"/>
      <c r="N232" s="69"/>
      <c r="O232" s="68"/>
    </row>
    <row r="233" customFormat="false" ht="27.75" hidden="false" customHeight="true" outlineLevel="0" collapsed="false">
      <c r="A233" s="66" t="n">
        <v>142</v>
      </c>
      <c r="B233" s="67" t="s">
        <v>78</v>
      </c>
      <c r="C233" s="66" t="s">
        <v>118</v>
      </c>
      <c r="D233" s="66" t="n">
        <v>5</v>
      </c>
      <c r="E233" s="67" t="str">
        <f aca="false">IFERROR(INDEX('Master Data'!$L$2:$L$2436,MATCH($B$3&amp;"|"&amp;D233&amp;"|"&amp;B233&amp;"|"&amp;C233,'Master Data'!$A$2:$A$2436,0)),"")</f>
        <v>Belum terisi</v>
      </c>
      <c r="F233" s="67" t="str">
        <f aca="false">IFERROR(INDEX('Master Data'!$F$2:$F$2436,MATCH($B$3&amp;"|"&amp;D233&amp;"|"&amp;B233&amp;"|"&amp;C233,'Master Data'!$A$2:$A$2436,0))&amp;"","")</f>
        <v>Little</v>
      </c>
      <c r="G233" s="66" t="n">
        <f aca="false">IFERROR(INDEX('Master Data'!$G$2:$G$2436,MATCH($B$3&amp;"|"&amp;D233&amp;"|"&amp;B233&amp;"|"&amp;C233,'Master Data'!$A$2:$A$2436,0)),"")</f>
        <v>4</v>
      </c>
      <c r="H233" s="67" t="str">
        <f aca="false">IFERROR(INDEX('Master Data'!$K$2:$K$2436,MATCH($B$3&amp;"|"&amp;D233&amp;"|"&amp;B233&amp;"|"&amp;C233,'Master Data'!$A$2:$A$2436,0))&amp;"","")</f>
        <v>Eriek</v>
      </c>
      <c r="I233" s="67" t="s">
        <v>265</v>
      </c>
      <c r="J233" s="67" t="s">
        <v>134</v>
      </c>
      <c r="K233" s="68"/>
      <c r="L233" s="68"/>
      <c r="M233" s="68"/>
      <c r="N233" s="69"/>
      <c r="O233" s="68"/>
    </row>
    <row r="234" customFormat="false" ht="52.5" hidden="false" customHeight="true" outlineLevel="0" collapsed="false">
      <c r="A234" s="66" t="n">
        <v>143</v>
      </c>
      <c r="B234" s="67" t="s">
        <v>78</v>
      </c>
      <c r="C234" s="66" t="s">
        <v>121</v>
      </c>
      <c r="D234" s="66" t="n">
        <v>1</v>
      </c>
      <c r="E234" s="67" t="str">
        <f aca="false">IFERROR(INDEX('Master Data'!$L$2:$L$2436,MATCH($B$3&amp;"|"&amp;D234&amp;"|"&amp;B234&amp;"|"&amp;C234,'Master Data'!$A$2:$A$2436,0)),"")</f>
        <v>Belum terisi</v>
      </c>
      <c r="F234" s="67" t="str">
        <f aca="false">IFERROR(INDEX('Master Data'!$F$2:$F$2436,MATCH($B$3&amp;"|"&amp;D234&amp;"|"&amp;B234&amp;"|"&amp;C234,'Master Data'!$A$2:$A$2436,0))&amp;"","")</f>
        <v>Baby</v>
      </c>
      <c r="G234" s="66" t="n">
        <f aca="false">IFERROR(INDEX('Master Data'!$G$2:$G$2436,MATCH($B$3&amp;"|"&amp;D234&amp;"|"&amp;B234&amp;"|"&amp;C234,'Master Data'!$A$2:$A$2436,0)),"")</f>
        <v>5</v>
      </c>
      <c r="H234" s="67" t="str">
        <f aca="false">IFERROR(INDEX('Master Data'!$K$2:$K$2436,MATCH($B$3&amp;"|"&amp;D234&amp;"|"&amp;B234&amp;"|"&amp;C234,'Master Data'!$A$2:$A$2436,0))&amp;"","")</f>
        <v/>
      </c>
      <c r="I234" s="67" t="s">
        <v>266</v>
      </c>
      <c r="J234" s="67" t="s">
        <v>134</v>
      </c>
      <c r="K234" s="68"/>
      <c r="L234" s="68"/>
      <c r="M234" s="68"/>
      <c r="N234" s="69"/>
      <c r="O234" s="68"/>
    </row>
    <row r="235" customFormat="false" ht="52.5" hidden="false" customHeight="true" outlineLevel="0" collapsed="false">
      <c r="A235" s="66" t="n">
        <v>144</v>
      </c>
      <c r="B235" s="67" t="s">
        <v>78</v>
      </c>
      <c r="C235" s="66" t="s">
        <v>121</v>
      </c>
      <c r="D235" s="66" t="n">
        <v>2</v>
      </c>
      <c r="E235" s="67" t="str">
        <f aca="false">IFERROR(INDEX('Master Data'!$L$2:$L$2436,MATCH($B$3&amp;"|"&amp;D235&amp;"|"&amp;B235&amp;"|"&amp;C235,'Master Data'!$A$2:$A$2436,0)),"")</f>
        <v>Belum terisi</v>
      </c>
      <c r="F235" s="67" t="str">
        <f aca="false">IFERROR(INDEX('Master Data'!$F$2:$F$2436,MATCH($B$3&amp;"|"&amp;D235&amp;"|"&amp;B235&amp;"|"&amp;C235,'Master Data'!$A$2:$A$2436,0))&amp;"","")</f>
        <v>Tiny</v>
      </c>
      <c r="G235" s="66" t="n">
        <f aca="false">IFERROR(INDEX('Master Data'!$G$2:$G$2436,MATCH($B$3&amp;"|"&amp;D235&amp;"|"&amp;B235&amp;"|"&amp;C235,'Master Data'!$A$2:$A$2436,0)),"")</f>
        <v>5</v>
      </c>
      <c r="H235" s="67" t="str">
        <f aca="false">IFERROR(INDEX('Master Data'!$K$2:$K$2436,MATCH($B$3&amp;"|"&amp;D235&amp;"|"&amp;B235&amp;"|"&amp;C235,'Master Data'!$A$2:$A$2436,0))&amp;"","")</f>
        <v/>
      </c>
      <c r="I235" s="67" t="s">
        <v>266</v>
      </c>
      <c r="J235" s="67" t="s">
        <v>134</v>
      </c>
      <c r="K235" s="68"/>
      <c r="L235" s="68"/>
      <c r="M235" s="68"/>
      <c r="N235" s="69"/>
      <c r="O235" s="68"/>
    </row>
    <row r="236" customFormat="false" ht="52.5" hidden="false" customHeight="true" outlineLevel="0" collapsed="false">
      <c r="A236" s="66" t="n">
        <v>145</v>
      </c>
      <c r="B236" s="67" t="s">
        <v>78</v>
      </c>
      <c r="C236" s="66" t="s">
        <v>121</v>
      </c>
      <c r="D236" s="66" t="n">
        <v>5</v>
      </c>
      <c r="E236" s="67" t="str">
        <f aca="false">IFERROR(INDEX('Master Data'!$L$2:$L$2436,MATCH($B$3&amp;"|"&amp;D236&amp;"|"&amp;B236&amp;"|"&amp;C236,'Master Data'!$A$2:$A$2436,0)),"")</f>
        <v>Belum terisi</v>
      </c>
      <c r="F236" s="67" t="str">
        <f aca="false">IFERROR(INDEX('Master Data'!$F$2:$F$2436,MATCH($B$3&amp;"|"&amp;D236&amp;"|"&amp;B236&amp;"|"&amp;C236,'Master Data'!$A$2:$A$2436,0))&amp;"","")</f>
        <v>Little</v>
      </c>
      <c r="G236" s="66" t="n">
        <f aca="false">IFERROR(INDEX('Master Data'!$G$2:$G$2436,MATCH($B$3&amp;"|"&amp;D236&amp;"|"&amp;B236&amp;"|"&amp;C236,'Master Data'!$A$2:$A$2436,0)),"")</f>
        <v>5</v>
      </c>
      <c r="H236" s="67" t="str">
        <f aca="false">IFERROR(INDEX('Master Data'!$K$2:$K$2436,MATCH($B$3&amp;"|"&amp;D236&amp;"|"&amp;B236&amp;"|"&amp;C236,'Master Data'!$A$2:$A$2436,0))&amp;"","")</f>
        <v/>
      </c>
      <c r="I236" s="67" t="s">
        <v>266</v>
      </c>
      <c r="J236" s="67" t="s">
        <v>134</v>
      </c>
      <c r="K236" s="68"/>
      <c r="L236" s="68"/>
      <c r="M236" s="68"/>
      <c r="N236" s="69"/>
      <c r="O236" s="68"/>
    </row>
    <row r="239" customFormat="false" ht="16.15" hidden="false" customHeight="false" outlineLevel="0" collapsed="false">
      <c r="A239" s="54" t="s">
        <v>188</v>
      </c>
      <c r="B239" s="55"/>
      <c r="C239" s="55"/>
      <c r="D239" s="55"/>
      <c r="E239" s="55"/>
      <c r="F239" s="55"/>
      <c r="G239" s="55"/>
      <c r="H239" s="55"/>
      <c r="I239" s="55"/>
      <c r="J239" s="55"/>
      <c r="K239" s="55"/>
      <c r="L239" s="55"/>
      <c r="M239" s="55"/>
      <c r="N239" s="55"/>
    </row>
    <row r="240" customFormat="false" ht="15" hidden="false" customHeight="false" outlineLevel="0" collapsed="false">
      <c r="A240" s="52" t="s">
        <v>189</v>
      </c>
    </row>
    <row r="241" customFormat="false" ht="22.35" hidden="false" customHeight="false" outlineLevel="0" collapsed="false">
      <c r="A241" s="64" t="s">
        <v>126</v>
      </c>
      <c r="B241" s="64" t="s">
        <v>190</v>
      </c>
      <c r="C241" s="64" t="s">
        <v>191</v>
      </c>
      <c r="D241" s="64" t="s">
        <v>90</v>
      </c>
      <c r="E241" s="64" t="s">
        <v>91</v>
      </c>
      <c r="F241" s="64" t="s">
        <v>92</v>
      </c>
      <c r="G241" s="64" t="s">
        <v>93</v>
      </c>
      <c r="H241" s="64" t="s">
        <v>94</v>
      </c>
      <c r="I241" s="64" t="s">
        <v>95</v>
      </c>
      <c r="J241" s="64" t="s">
        <v>78</v>
      </c>
      <c r="K241" s="64" t="s">
        <v>192</v>
      </c>
      <c r="L241" s="64" t="s">
        <v>193</v>
      </c>
    </row>
    <row r="242" customFormat="false" ht="15" hidden="false" customHeight="false" outlineLevel="0" collapsed="false">
      <c r="A242" s="71" t="n">
        <v>1</v>
      </c>
      <c r="B242" s="72" t="s">
        <v>267</v>
      </c>
      <c r="C242" s="73" t="s">
        <v>134</v>
      </c>
      <c r="D242" s="74" t="n">
        <f aca="false">COUNTIFS('Master Data'!$B$2:$B$2436,$B$3,'Master Data'!$K$2:$K$2436,$B242,'Master Data'!$D$2:$D$2436,D$241)</f>
        <v>4</v>
      </c>
      <c r="E242" s="74" t="n">
        <f aca="false">COUNTIFS('Master Data'!$B$2:$B$2436,$B$3,'Master Data'!$K$2:$K$2436,$B242,'Master Data'!$D$2:$D$2436,E$241)</f>
        <v>7</v>
      </c>
      <c r="F242" s="74" t="n">
        <f aca="false">COUNTIFS('Master Data'!$B$2:$B$2436,$B$3,'Master Data'!$K$2:$K$2436,$B242,'Master Data'!$D$2:$D$2436,F$241)</f>
        <v>0</v>
      </c>
      <c r="G242" s="74" t="n">
        <f aca="false">COUNTIFS('Master Data'!$B$2:$B$2436,$B$3,'Master Data'!$K$2:$K$2436,$B242,'Master Data'!$D$2:$D$2436,G$241)</f>
        <v>0</v>
      </c>
      <c r="H242" s="74" t="n">
        <f aca="false">COUNTIFS('Master Data'!$B$2:$B$2436,$B$3,'Master Data'!$K$2:$K$2436,$B242,'Master Data'!$D$2:$D$2436,H$241)</f>
        <v>5</v>
      </c>
      <c r="I242" s="74" t="n">
        <f aca="false">COUNTIFS('Master Data'!$B$2:$B$2436,$B$3,'Master Data'!$K$2:$K$2436,$B242,'Master Data'!$D$2:$D$2436,I$241)</f>
        <v>7</v>
      </c>
      <c r="J242" s="74" t="n">
        <f aca="false">COUNTIFS('Master Data'!$B$2:$B$2436,$B$3,'Master Data'!$K$2:$K$2436,$B242,'Master Data'!$D$2:$D$2436,J$241)</f>
        <v>8</v>
      </c>
      <c r="K242" s="71" t="n">
        <f aca="false">SUM(D242:J242)</f>
        <v>31</v>
      </c>
      <c r="L242" s="71" t="s">
        <v>196</v>
      </c>
    </row>
    <row r="243" customFormat="false" ht="15" hidden="false" customHeight="false" outlineLevel="0" collapsed="false">
      <c r="A243" s="71" t="n">
        <v>2</v>
      </c>
      <c r="B243" s="72" t="s">
        <v>268</v>
      </c>
      <c r="C243" s="73" t="s">
        <v>134</v>
      </c>
      <c r="D243" s="74" t="n">
        <f aca="false">COUNTIFS('Master Data'!$B$2:$B$2436,$B$3,'Master Data'!$K$2:$K$2436,$B243,'Master Data'!$D$2:$D$2436,D$241)</f>
        <v>0</v>
      </c>
      <c r="E243" s="74" t="n">
        <f aca="false">COUNTIFS('Master Data'!$B$2:$B$2436,$B$3,'Master Data'!$K$2:$K$2436,$B243,'Master Data'!$D$2:$D$2436,E$241)</f>
        <v>0</v>
      </c>
      <c r="F243" s="74" t="n">
        <f aca="false">COUNTIFS('Master Data'!$B$2:$B$2436,$B$3,'Master Data'!$K$2:$K$2436,$B243,'Master Data'!$D$2:$D$2436,F$241)</f>
        <v>6</v>
      </c>
      <c r="G243" s="74" t="n">
        <f aca="false">COUNTIFS('Master Data'!$B$2:$B$2436,$B$3,'Master Data'!$K$2:$K$2436,$B243,'Master Data'!$D$2:$D$2436,G$241)</f>
        <v>8</v>
      </c>
      <c r="H243" s="74" t="n">
        <f aca="false">COUNTIFS('Master Data'!$B$2:$B$2436,$B$3,'Master Data'!$K$2:$K$2436,$B243,'Master Data'!$D$2:$D$2436,H$241)</f>
        <v>4</v>
      </c>
      <c r="I243" s="74" t="n">
        <f aca="false">COUNTIFS('Master Data'!$B$2:$B$2436,$B$3,'Master Data'!$K$2:$K$2436,$B243,'Master Data'!$D$2:$D$2436,I$241)</f>
        <v>6</v>
      </c>
      <c r="J243" s="74" t="n">
        <f aca="false">COUNTIFS('Master Data'!$B$2:$B$2436,$B$3,'Master Data'!$K$2:$K$2436,$B243,'Master Data'!$D$2:$D$2436,J$241)</f>
        <v>6</v>
      </c>
      <c r="K243" s="71" t="n">
        <f aca="false">SUM(D243:J243)</f>
        <v>30</v>
      </c>
      <c r="L243" s="71" t="s">
        <v>199</v>
      </c>
    </row>
    <row r="244" customFormat="false" ht="15" hidden="false" customHeight="false" outlineLevel="0" collapsed="false">
      <c r="A244" s="71" t="n">
        <v>3</v>
      </c>
      <c r="B244" s="72" t="s">
        <v>269</v>
      </c>
      <c r="C244" s="73" t="s">
        <v>134</v>
      </c>
      <c r="D244" s="74" t="n">
        <f aca="false">COUNTIFS('Master Data'!$B$2:$B$2436,$B$3,'Master Data'!$K$2:$K$2436,$B244,'Master Data'!$D$2:$D$2436,D$241)</f>
        <v>0</v>
      </c>
      <c r="E244" s="74" t="n">
        <f aca="false">COUNTIFS('Master Data'!$B$2:$B$2436,$B$3,'Master Data'!$K$2:$K$2436,$B244,'Master Data'!$D$2:$D$2436,E$241)</f>
        <v>0</v>
      </c>
      <c r="F244" s="74" t="n">
        <f aca="false">COUNTIFS('Master Data'!$B$2:$B$2436,$B$3,'Master Data'!$K$2:$K$2436,$B244,'Master Data'!$D$2:$D$2436,F$241)</f>
        <v>5</v>
      </c>
      <c r="G244" s="74" t="n">
        <f aca="false">COUNTIFS('Master Data'!$B$2:$B$2436,$B$3,'Master Data'!$K$2:$K$2436,$B244,'Master Data'!$D$2:$D$2436,G$241)</f>
        <v>6</v>
      </c>
      <c r="H244" s="74" t="n">
        <f aca="false">COUNTIFS('Master Data'!$B$2:$B$2436,$B$3,'Master Data'!$K$2:$K$2436,$B244,'Master Data'!$D$2:$D$2436,H$241)</f>
        <v>6</v>
      </c>
      <c r="I244" s="74" t="n">
        <f aca="false">COUNTIFS('Master Data'!$B$2:$B$2436,$B$3,'Master Data'!$K$2:$K$2436,$B244,'Master Data'!$D$2:$D$2436,I$241)</f>
        <v>6</v>
      </c>
      <c r="J244" s="74" t="n">
        <f aca="false">COUNTIFS('Master Data'!$B$2:$B$2436,$B$3,'Master Data'!$K$2:$K$2436,$B244,'Master Data'!$D$2:$D$2436,J$241)</f>
        <v>7</v>
      </c>
      <c r="K244" s="71" t="n">
        <f aca="false">SUM(D244:J244)</f>
        <v>30</v>
      </c>
      <c r="L244" s="71" t="s">
        <v>194</v>
      </c>
    </row>
    <row r="245" customFormat="false" ht="15" hidden="false" customHeight="false" outlineLevel="0" collapsed="false">
      <c r="A245" s="71" t="n">
        <v>4</v>
      </c>
      <c r="B245" s="72" t="s">
        <v>270</v>
      </c>
      <c r="C245" s="73" t="s">
        <v>134</v>
      </c>
      <c r="D245" s="74" t="n">
        <f aca="false">COUNTIFS('Master Data'!$B$2:$B$2436,$B$3,'Master Data'!$K$2:$K$2436,$B245,'Master Data'!$D$2:$D$2436,D$241)</f>
        <v>5</v>
      </c>
      <c r="E245" s="74" t="n">
        <f aca="false">COUNTIFS('Master Data'!$B$2:$B$2436,$B$3,'Master Data'!$K$2:$K$2436,$B245,'Master Data'!$D$2:$D$2436,E$241)</f>
        <v>6</v>
      </c>
      <c r="F245" s="74" t="n">
        <f aca="false">COUNTIFS('Master Data'!$B$2:$B$2436,$B$3,'Master Data'!$K$2:$K$2436,$B245,'Master Data'!$D$2:$D$2436,F$241)</f>
        <v>5</v>
      </c>
      <c r="G245" s="74" t="n">
        <f aca="false">COUNTIFS('Master Data'!$B$2:$B$2436,$B$3,'Master Data'!$K$2:$K$2436,$B245,'Master Data'!$D$2:$D$2436,G$241)</f>
        <v>0</v>
      </c>
      <c r="H245" s="74" t="n">
        <f aca="false">COUNTIFS('Master Data'!$B$2:$B$2436,$B$3,'Master Data'!$K$2:$K$2436,$B245,'Master Data'!$D$2:$D$2436,H$241)</f>
        <v>0</v>
      </c>
      <c r="I245" s="74" t="n">
        <f aca="false">COUNTIFS('Master Data'!$B$2:$B$2436,$B$3,'Master Data'!$K$2:$K$2436,$B245,'Master Data'!$D$2:$D$2436,I$241)</f>
        <v>6</v>
      </c>
      <c r="J245" s="74" t="n">
        <f aca="false">COUNTIFS('Master Data'!$B$2:$B$2436,$B$3,'Master Data'!$K$2:$K$2436,$B245,'Master Data'!$D$2:$D$2436,J$241)</f>
        <v>6</v>
      </c>
      <c r="K245" s="71" t="n">
        <f aca="false">SUM(D245:J245)</f>
        <v>28</v>
      </c>
      <c r="L245" s="71" t="s">
        <v>199</v>
      </c>
    </row>
    <row r="246" customFormat="false" ht="15" hidden="false" customHeight="false" outlineLevel="0" collapsed="false">
      <c r="A246" s="71" t="n">
        <v>5</v>
      </c>
      <c r="B246" s="72" t="s">
        <v>271</v>
      </c>
      <c r="C246" s="73" t="s">
        <v>134</v>
      </c>
      <c r="D246" s="74" t="n">
        <f aca="false">COUNTIFS('Master Data'!$B$2:$B$2436,$B$3,'Master Data'!$K$2:$K$2436,$B246,'Master Data'!$D$2:$D$2436,D$241)</f>
        <v>0</v>
      </c>
      <c r="E246" s="74" t="n">
        <f aca="false">COUNTIFS('Master Data'!$B$2:$B$2436,$B$3,'Master Data'!$K$2:$K$2436,$B246,'Master Data'!$D$2:$D$2436,E$241)</f>
        <v>0</v>
      </c>
      <c r="F246" s="74" t="n">
        <f aca="false">COUNTIFS('Master Data'!$B$2:$B$2436,$B$3,'Master Data'!$K$2:$K$2436,$B246,'Master Data'!$D$2:$D$2436,F$241)</f>
        <v>4</v>
      </c>
      <c r="G246" s="74" t="n">
        <f aca="false">COUNTIFS('Master Data'!$B$2:$B$2436,$B$3,'Master Data'!$K$2:$K$2436,$B246,'Master Data'!$D$2:$D$2436,G$241)</f>
        <v>4</v>
      </c>
      <c r="H246" s="74" t="n">
        <f aca="false">COUNTIFS('Master Data'!$B$2:$B$2436,$B$3,'Master Data'!$K$2:$K$2436,$B246,'Master Data'!$D$2:$D$2436,H$241)</f>
        <v>6</v>
      </c>
      <c r="I246" s="74" t="n">
        <f aca="false">COUNTIFS('Master Data'!$B$2:$B$2436,$B$3,'Master Data'!$K$2:$K$2436,$B246,'Master Data'!$D$2:$D$2436,I$241)</f>
        <v>7</v>
      </c>
      <c r="J246" s="74" t="n">
        <f aca="false">COUNTIFS('Master Data'!$B$2:$B$2436,$B$3,'Master Data'!$K$2:$K$2436,$B246,'Master Data'!$D$2:$D$2436,J$241)</f>
        <v>6</v>
      </c>
      <c r="K246" s="71" t="n">
        <f aca="false">SUM(D246:J246)</f>
        <v>27</v>
      </c>
      <c r="L246" s="71" t="s">
        <v>194</v>
      </c>
    </row>
    <row r="247" customFormat="false" ht="15" hidden="false" customHeight="false" outlineLevel="0" collapsed="false">
      <c r="A247" s="71" t="n">
        <v>6</v>
      </c>
      <c r="B247" s="72" t="s">
        <v>272</v>
      </c>
      <c r="C247" s="73" t="s">
        <v>203</v>
      </c>
      <c r="D247" s="74" t="n">
        <f aca="false">COUNTIFS('Master Data'!$B$2:$B$2436,$B$3,'Master Data'!$K$2:$K$2436,$B247,'Master Data'!$D$2:$D$2436,D$241)</f>
        <v>2</v>
      </c>
      <c r="E247" s="74" t="n">
        <f aca="false">COUNTIFS('Master Data'!$B$2:$B$2436,$B$3,'Master Data'!$K$2:$K$2436,$B247,'Master Data'!$D$2:$D$2436,E$241)</f>
        <v>4</v>
      </c>
      <c r="F247" s="74" t="n">
        <f aca="false">COUNTIFS('Master Data'!$B$2:$B$2436,$B$3,'Master Data'!$K$2:$K$2436,$B247,'Master Data'!$D$2:$D$2436,F$241)</f>
        <v>4</v>
      </c>
      <c r="G247" s="74" t="n">
        <f aca="false">COUNTIFS('Master Data'!$B$2:$B$2436,$B$3,'Master Data'!$K$2:$K$2436,$B247,'Master Data'!$D$2:$D$2436,G$241)</f>
        <v>0</v>
      </c>
      <c r="H247" s="74" t="n">
        <f aca="false">COUNTIFS('Master Data'!$B$2:$B$2436,$B$3,'Master Data'!$K$2:$K$2436,$B247,'Master Data'!$D$2:$D$2436,H$241)</f>
        <v>0</v>
      </c>
      <c r="I247" s="74" t="n">
        <f aca="false">COUNTIFS('Master Data'!$B$2:$B$2436,$B$3,'Master Data'!$K$2:$K$2436,$B247,'Master Data'!$D$2:$D$2436,I$241)</f>
        <v>4</v>
      </c>
      <c r="J247" s="74" t="n">
        <f aca="false">COUNTIFS('Master Data'!$B$2:$B$2436,$B$3,'Master Data'!$K$2:$K$2436,$B247,'Master Data'!$D$2:$D$2436,J$241)</f>
        <v>3</v>
      </c>
      <c r="K247" s="71" t="n">
        <f aca="false">SUM(D247:J247)</f>
        <v>17</v>
      </c>
      <c r="L247" s="71" t="s">
        <v>194</v>
      </c>
    </row>
    <row r="248" customFormat="false" ht="15" hidden="false" customHeight="false" outlineLevel="0" collapsed="false">
      <c r="A248" s="71" t="n">
        <v>7</v>
      </c>
      <c r="B248" s="72" t="s">
        <v>273</v>
      </c>
      <c r="C248" s="73" t="s">
        <v>203</v>
      </c>
      <c r="D248" s="74" t="n">
        <f aca="false">COUNTIFS('Master Data'!$B$2:$B$2436,$B$3,'Master Data'!$K$2:$K$2436,$B248,'Master Data'!$D$2:$D$2436,D$241)</f>
        <v>3</v>
      </c>
      <c r="E248" s="74" t="n">
        <f aca="false">COUNTIFS('Master Data'!$B$2:$B$2436,$B$3,'Master Data'!$K$2:$K$2436,$B248,'Master Data'!$D$2:$D$2436,E$241)</f>
        <v>2</v>
      </c>
      <c r="F248" s="74" t="n">
        <f aca="false">COUNTIFS('Master Data'!$B$2:$B$2436,$B$3,'Master Data'!$K$2:$K$2436,$B248,'Master Data'!$D$2:$D$2436,F$241)</f>
        <v>0</v>
      </c>
      <c r="G248" s="74" t="n">
        <f aca="false">COUNTIFS('Master Data'!$B$2:$B$2436,$B$3,'Master Data'!$K$2:$K$2436,$B248,'Master Data'!$D$2:$D$2436,G$241)</f>
        <v>0</v>
      </c>
      <c r="H248" s="74" t="n">
        <f aca="false">COUNTIFS('Master Data'!$B$2:$B$2436,$B$3,'Master Data'!$K$2:$K$2436,$B248,'Master Data'!$D$2:$D$2436,H$241)</f>
        <v>3</v>
      </c>
      <c r="I248" s="74" t="n">
        <f aca="false">COUNTIFS('Master Data'!$B$2:$B$2436,$B$3,'Master Data'!$K$2:$K$2436,$B248,'Master Data'!$D$2:$D$2436,I$241)</f>
        <v>4</v>
      </c>
      <c r="J248" s="74" t="n">
        <f aca="false">COUNTIFS('Master Data'!$B$2:$B$2436,$B$3,'Master Data'!$K$2:$K$2436,$B248,'Master Data'!$D$2:$D$2436,J$241)</f>
        <v>3</v>
      </c>
      <c r="K248" s="71" t="n">
        <f aca="false">SUM(D248:J248)</f>
        <v>15</v>
      </c>
      <c r="L248" s="71" t="s">
        <v>196</v>
      </c>
    </row>
    <row r="249" customFormat="false" ht="15" hidden="false" customHeight="false" outlineLevel="0" collapsed="false">
      <c r="A249" s="71" t="n">
        <v>8</v>
      </c>
      <c r="B249" s="72" t="s">
        <v>274</v>
      </c>
      <c r="C249" s="73" t="s">
        <v>134</v>
      </c>
      <c r="D249" s="74" t="n">
        <f aca="false">COUNTIFS('Master Data'!$B$2:$B$2436,$B$3,'Master Data'!$K$2:$K$2436,$B249,'Master Data'!$D$2:$D$2436,D$241)</f>
        <v>3</v>
      </c>
      <c r="E249" s="74" t="n">
        <f aca="false">COUNTIFS('Master Data'!$B$2:$B$2436,$B$3,'Master Data'!$K$2:$K$2436,$B249,'Master Data'!$D$2:$D$2436,E$241)</f>
        <v>3</v>
      </c>
      <c r="F249" s="74" t="n">
        <f aca="false">COUNTIFS('Master Data'!$B$2:$B$2436,$B$3,'Master Data'!$K$2:$K$2436,$B249,'Master Data'!$D$2:$D$2436,F$241)</f>
        <v>1</v>
      </c>
      <c r="G249" s="74" t="n">
        <f aca="false">COUNTIFS('Master Data'!$B$2:$B$2436,$B$3,'Master Data'!$K$2:$K$2436,$B249,'Master Data'!$D$2:$D$2436,G$241)</f>
        <v>0</v>
      </c>
      <c r="H249" s="74" t="n">
        <f aca="false">COUNTIFS('Master Data'!$B$2:$B$2436,$B$3,'Master Data'!$K$2:$K$2436,$B249,'Master Data'!$D$2:$D$2436,H$241)</f>
        <v>0</v>
      </c>
      <c r="I249" s="74" t="n">
        <f aca="false">COUNTIFS('Master Data'!$B$2:$B$2436,$B$3,'Master Data'!$K$2:$K$2436,$B249,'Master Data'!$D$2:$D$2436,I$241)</f>
        <v>3</v>
      </c>
      <c r="J249" s="74" t="n">
        <f aca="false">COUNTIFS('Master Data'!$B$2:$B$2436,$B$3,'Master Data'!$K$2:$K$2436,$B249,'Master Data'!$D$2:$D$2436,J$241)</f>
        <v>4</v>
      </c>
      <c r="K249" s="71" t="n">
        <f aca="false">SUM(D249:J249)</f>
        <v>14</v>
      </c>
      <c r="L249" s="71" t="s">
        <v>199</v>
      </c>
    </row>
    <row r="250" customFormat="false" ht="15" hidden="false" customHeight="false" outlineLevel="0" collapsed="false">
      <c r="A250" s="71" t="n">
        <v>9</v>
      </c>
      <c r="B250" s="72" t="s">
        <v>275</v>
      </c>
      <c r="C250" s="73" t="s">
        <v>203</v>
      </c>
      <c r="D250" s="74" t="n">
        <f aca="false">COUNTIFS('Master Data'!$B$2:$B$2436,$B$3,'Master Data'!$K$2:$K$2436,$B250,'Master Data'!$D$2:$D$2436,D$241)</f>
        <v>1</v>
      </c>
      <c r="E250" s="74" t="n">
        <f aca="false">COUNTIFS('Master Data'!$B$2:$B$2436,$B$3,'Master Data'!$K$2:$K$2436,$B250,'Master Data'!$D$2:$D$2436,E$241)</f>
        <v>0</v>
      </c>
      <c r="F250" s="74" t="n">
        <f aca="false">COUNTIFS('Master Data'!$B$2:$B$2436,$B$3,'Master Data'!$K$2:$K$2436,$B250,'Master Data'!$D$2:$D$2436,F$241)</f>
        <v>0</v>
      </c>
      <c r="G250" s="74" t="n">
        <f aca="false">COUNTIFS('Master Data'!$B$2:$B$2436,$B$3,'Master Data'!$K$2:$K$2436,$B250,'Master Data'!$D$2:$D$2436,G$241)</f>
        <v>1</v>
      </c>
      <c r="H250" s="74" t="n">
        <f aca="false">COUNTIFS('Master Data'!$B$2:$B$2436,$B$3,'Master Data'!$K$2:$K$2436,$B250,'Master Data'!$D$2:$D$2436,H$241)</f>
        <v>4</v>
      </c>
      <c r="I250" s="74" t="n">
        <f aca="false">COUNTIFS('Master Data'!$B$2:$B$2436,$B$3,'Master Data'!$K$2:$K$2436,$B250,'Master Data'!$D$2:$D$2436,I$241)</f>
        <v>5</v>
      </c>
      <c r="J250" s="74" t="n">
        <f aca="false">COUNTIFS('Master Data'!$B$2:$B$2436,$B$3,'Master Data'!$K$2:$K$2436,$B250,'Master Data'!$D$2:$D$2436,J$241)</f>
        <v>2</v>
      </c>
      <c r="K250" s="71" t="n">
        <f aca="false">SUM(D250:J250)</f>
        <v>13</v>
      </c>
      <c r="L250" s="71" t="s">
        <v>194</v>
      </c>
    </row>
    <row r="251" customFormat="false" ht="15" hidden="false" customHeight="false" outlineLevel="0" collapsed="false">
      <c r="A251" s="71" t="n">
        <v>10</v>
      </c>
      <c r="B251" s="72" t="s">
        <v>276</v>
      </c>
      <c r="C251" s="73" t="s">
        <v>277</v>
      </c>
      <c r="D251" s="74" t="n">
        <f aca="false">COUNTIFS('Master Data'!$B$2:$B$2436,$B$3,'Master Data'!$K$2:$K$2436,$B251,'Master Data'!$D$2:$D$2436,D$241)</f>
        <v>0</v>
      </c>
      <c r="E251" s="74" t="n">
        <f aca="false">COUNTIFS('Master Data'!$B$2:$B$2436,$B$3,'Master Data'!$K$2:$K$2436,$B251,'Master Data'!$D$2:$D$2436,E$241)</f>
        <v>0</v>
      </c>
      <c r="F251" s="74" t="n">
        <f aca="false">COUNTIFS('Master Data'!$B$2:$B$2436,$B$3,'Master Data'!$K$2:$K$2436,$B251,'Master Data'!$D$2:$D$2436,F$241)</f>
        <v>0</v>
      </c>
      <c r="G251" s="74" t="n">
        <f aca="false">COUNTIFS('Master Data'!$B$2:$B$2436,$B$3,'Master Data'!$K$2:$K$2436,$B251,'Master Data'!$D$2:$D$2436,G$241)</f>
        <v>0</v>
      </c>
      <c r="H251" s="74" t="n">
        <f aca="false">COUNTIFS('Master Data'!$B$2:$B$2436,$B$3,'Master Data'!$K$2:$K$2436,$B251,'Master Data'!$D$2:$D$2436,H$241)</f>
        <v>0</v>
      </c>
      <c r="I251" s="74" t="n">
        <f aca="false">COUNTIFS('Master Data'!$B$2:$B$2436,$B$3,'Master Data'!$K$2:$K$2436,$B251,'Master Data'!$D$2:$D$2436,I$241)</f>
        <v>1</v>
      </c>
      <c r="J251" s="74" t="n">
        <f aca="false">COUNTIFS('Master Data'!$B$2:$B$2436,$B$3,'Master Data'!$K$2:$K$2436,$B251,'Master Data'!$D$2:$D$2436,J$241)</f>
        <v>0</v>
      </c>
      <c r="K251" s="71" t="n">
        <f aca="false">SUM(D251:J251)</f>
        <v>1</v>
      </c>
      <c r="L251" s="71" t="s">
        <v>278</v>
      </c>
    </row>
  </sheetData>
  <autoFilter ref="A91:O236"/>
  <mergeCells count="4">
    <mergeCell ref="A1:F1"/>
    <mergeCell ref="A2:F2"/>
    <mergeCell ref="D3:E3"/>
    <mergeCell ref="D4:E4"/>
  </mergeCells>
  <conditionalFormatting sqref="B15:H26">
    <cfRule type="expression" priority="2" aboveAverage="0" equalAverage="0" bottom="0" percent="0" rank="0" text="" dxfId="8">
      <formula>T15="Belum terisi"</formula>
    </cfRule>
    <cfRule type="expression" priority="3" aboveAverage="0" equalAverage="0" bottom="0" percent="0" rank="0" text="" dxfId="9">
      <formula>T15="Slot kosong"</formula>
    </cfRule>
    <cfRule type="expression" priority="4" aboveAverage="0" equalAverage="0" bottom="0" percent="0" rank="0" text="" dxfId="10">
      <formula>T15="Sebagian"</formula>
    </cfRule>
    <cfRule type="expression" priority="5" aboveAverage="0" equalAverage="0" bottom="0" percent="0" rank="0" text="" dxfId="11">
      <formula>T15="Penuh"</formula>
    </cfRule>
    <cfRule type="expression" priority="6" aboveAverage="0" equalAverage="0" bottom="0" percent="0" rank="0" text="" dxfId="12">
      <formula>T15="Lebih kapasitas"</formula>
    </cfRule>
    <cfRule type="expression" priority="7" aboveAverage="0" equalAverage="0" bottom="0" percent="0" rank="0" text="" dxfId="13">
      <formula>T15="Tutup"</formula>
    </cfRule>
    <cfRule type="expression" priority="8" aboveAverage="0" equalAverage="0" bottom="0" percent="0" rank="0" text="" dxfId="14">
      <formula>T15="Tidak dibuka"</formula>
    </cfRule>
  </conditionalFormatting>
  <conditionalFormatting sqref="B30:H41">
    <cfRule type="expression" priority="9" aboveAverage="0" equalAverage="0" bottom="0" percent="0" rank="0" text="" dxfId="8">
      <formula>T30="Belum terisi"</formula>
    </cfRule>
    <cfRule type="expression" priority="10" aboveAverage="0" equalAverage="0" bottom="0" percent="0" rank="0" text="" dxfId="9">
      <formula>T30="Slot kosong"</formula>
    </cfRule>
    <cfRule type="expression" priority="11" aboveAverage="0" equalAverage="0" bottom="0" percent="0" rank="0" text="" dxfId="10">
      <formula>T30="Sebagian"</formula>
    </cfRule>
    <cfRule type="expression" priority="12" aboveAverage="0" equalAverage="0" bottom="0" percent="0" rank="0" text="" dxfId="11">
      <formula>T30="Penuh"</formula>
    </cfRule>
    <cfRule type="expression" priority="13" aboveAverage="0" equalAverage="0" bottom="0" percent="0" rank="0" text="" dxfId="12">
      <formula>T30="Lebih kapasitas"</formula>
    </cfRule>
    <cfRule type="expression" priority="14" aboveAverage="0" equalAverage="0" bottom="0" percent="0" rank="0" text="" dxfId="13">
      <formula>T30="Tutup"</formula>
    </cfRule>
    <cfRule type="expression" priority="15" aboveAverage="0" equalAverage="0" bottom="0" percent="0" rank="0" text="" dxfId="14">
      <formula>T30="Tidak dibuka"</formula>
    </cfRule>
  </conditionalFormatting>
  <conditionalFormatting sqref="B45:H56">
    <cfRule type="expression" priority="16" aboveAverage="0" equalAverage="0" bottom="0" percent="0" rank="0" text="" dxfId="8">
      <formula>T45="Belum terisi"</formula>
    </cfRule>
    <cfRule type="expression" priority="17" aboveAverage="0" equalAverage="0" bottom="0" percent="0" rank="0" text="" dxfId="9">
      <formula>T45="Slot kosong"</formula>
    </cfRule>
    <cfRule type="expression" priority="18" aboveAverage="0" equalAverage="0" bottom="0" percent="0" rank="0" text="" dxfId="10">
      <formula>T45="Sebagian"</formula>
    </cfRule>
    <cfRule type="expression" priority="19" aboveAverage="0" equalAverage="0" bottom="0" percent="0" rank="0" text="" dxfId="11">
      <formula>T45="Penuh"</formula>
    </cfRule>
    <cfRule type="expression" priority="20" aboveAverage="0" equalAverage="0" bottom="0" percent="0" rank="0" text="" dxfId="12">
      <formula>T45="Lebih kapasitas"</formula>
    </cfRule>
    <cfRule type="expression" priority="21" aboveAverage="0" equalAverage="0" bottom="0" percent="0" rank="0" text="" dxfId="13">
      <formula>T45="Tutup"</formula>
    </cfRule>
    <cfRule type="expression" priority="22" aboveAverage="0" equalAverage="0" bottom="0" percent="0" rank="0" text="" dxfId="14">
      <formula>T45="Tidak dibuka"</formula>
    </cfRule>
  </conditionalFormatting>
  <conditionalFormatting sqref="B60:H71">
    <cfRule type="expression" priority="23" aboveAverage="0" equalAverage="0" bottom="0" percent="0" rank="0" text="" dxfId="8">
      <formula>T60="Belum terisi"</formula>
    </cfRule>
    <cfRule type="expression" priority="24" aboveAverage="0" equalAverage="0" bottom="0" percent="0" rank="0" text="" dxfId="9">
      <formula>T60="Slot kosong"</formula>
    </cfRule>
    <cfRule type="expression" priority="25" aboveAverage="0" equalAverage="0" bottom="0" percent="0" rank="0" text="" dxfId="10">
      <formula>T60="Sebagian"</formula>
    </cfRule>
    <cfRule type="expression" priority="26" aboveAverage="0" equalAverage="0" bottom="0" percent="0" rank="0" text="" dxfId="11">
      <formula>T60="Penuh"</formula>
    </cfRule>
    <cfRule type="expression" priority="27" aboveAverage="0" equalAverage="0" bottom="0" percent="0" rank="0" text="" dxfId="12">
      <formula>T60="Lebih kapasitas"</formula>
    </cfRule>
    <cfRule type="expression" priority="28" aboveAverage="0" equalAverage="0" bottom="0" percent="0" rank="0" text="" dxfId="13">
      <formula>T60="Tutup"</formula>
    </cfRule>
    <cfRule type="expression" priority="29" aboveAverage="0" equalAverage="0" bottom="0" percent="0" rank="0" text="" dxfId="14">
      <formula>T60="Tidak dibuka"</formula>
    </cfRule>
  </conditionalFormatting>
  <conditionalFormatting sqref="B75:H86">
    <cfRule type="expression" priority="30" aboveAverage="0" equalAverage="0" bottom="0" percent="0" rank="0" text="" dxfId="8">
      <formula>T75="Belum terisi"</formula>
    </cfRule>
    <cfRule type="expression" priority="31" aboveAverage="0" equalAverage="0" bottom="0" percent="0" rank="0" text="" dxfId="9">
      <formula>T75="Slot kosong"</formula>
    </cfRule>
    <cfRule type="expression" priority="32" aboveAverage="0" equalAverage="0" bottom="0" percent="0" rank="0" text="" dxfId="10">
      <formula>T75="Sebagian"</formula>
    </cfRule>
    <cfRule type="expression" priority="33" aboveAverage="0" equalAverage="0" bottom="0" percent="0" rank="0" text="" dxfId="11">
      <formula>T75="Penuh"</formula>
    </cfRule>
    <cfRule type="expression" priority="34" aboveAverage="0" equalAverage="0" bottom="0" percent="0" rank="0" text="" dxfId="12">
      <formula>T75="Lebih kapasitas"</formula>
    </cfRule>
    <cfRule type="expression" priority="35" aboveAverage="0" equalAverage="0" bottom="0" percent="0" rank="0" text="" dxfId="13">
      <formula>T75="Tutup"</formula>
    </cfRule>
    <cfRule type="expression" priority="36" aboveAverage="0" equalAverage="0" bottom="0" percent="0" rank="0" text="" dxfId="14">
      <formula>T75="Tidak dibuka"</formula>
    </cfRule>
  </conditionalFormatting>
  <conditionalFormatting sqref="E92:E236">
    <cfRule type="expression" priority="37" aboveAverage="0" equalAverage="0" bottom="0" percent="0" rank="0" text="" dxfId="8">
      <formula>E92="Belum terisi"</formula>
    </cfRule>
    <cfRule type="expression" priority="38" aboveAverage="0" equalAverage="0" bottom="0" percent="0" rank="0" text="" dxfId="9">
      <formula>E92="Slot kosong"</formula>
    </cfRule>
  </conditionalFormatting>
  <conditionalFormatting sqref="A92:O236">
    <cfRule type="expression" priority="39" aboveAverage="0" equalAverage="0" bottom="0" percent="0" rank="0" text="" dxfId="15">
      <formula>$K92="Jual minggu ini"</formula>
    </cfRule>
  </conditionalFormatting>
  <conditionalFormatting sqref="D242:J251">
    <cfRule type="colorScale" priority="40">
      <colorScale>
        <cfvo type="num" val="0"/>
        <cfvo type="max" val="0"/>
        <color rgb="FFFFFFFF"/>
        <color rgb="FF8EC6D0"/>
      </colorScale>
    </cfRule>
  </conditionalFormatting>
  <dataValidations count="4">
    <dataValidation allowBlank="true" errorStyle="stop" operator="between" showDropDown="false" showErrorMessage="false" showInputMessage="false" sqref="K92:K236" type="list">
      <formula1>"Jual minggu ini,Buka kelas baru,Ganti age group,Tahan,Tutup slot"</formula1>
      <formula2>0</formula2>
    </dataValidation>
    <dataValidation allowBlank="true" errorStyle="stop" operator="between" showDropDown="false" showErrorMessage="false" showInputMessage="false" sqref="L92:L236" type="list">
      <formula1>"Baby,Tiny,Little,Kids"</formula1>
      <formula2>0</formula2>
    </dataValidation>
    <dataValidation allowBlank="true" error="Isi angka 0–20" errorStyle="stop" errorTitle="Target murid" operator="between" showDropDown="false" showErrorMessage="false" showInputMessage="false" sqref="N92:N236" type="whole">
      <formula1>0</formula1>
      <formula2>20</formula2>
    </dataValidation>
    <dataValidation allowBlank="true" errorStyle="stop" operator="between" showDropDown="false" showErrorMessage="false" showInputMessage="false" sqref="M92:M236" type="list">
      <formula1>$B$242:$B$251</formula1>
      <formula2>0</formula2>
    </dataValidation>
  </dataValidations>
  <hyperlinks>
    <hyperlink ref="B11" r:id="rId1" location="'KWC'!A13" display="→ Slot Map"/>
    <hyperlink ref="C11" r:id="rId2" location="'KWC'!A89" display="→ Daftar Diskusi"/>
    <hyperlink ref="D11" r:id="rId3" location="'KWC'!A239" display="→ Coach"/>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24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0" topLeftCell="B1" activePane="topRight" state="frozen"/>
      <selection pane="topLeft" activeCell="A1" activeCellId="0" sqref="A1"/>
      <selection pane="top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8" min="2" style="0" width="19"/>
    <col collapsed="false" customWidth="true" hidden="false" outlineLevel="0" max="9" min="9" style="0" width="40"/>
    <col collapsed="false" customWidth="true" hidden="false" outlineLevel="0" max="10" min="10" style="0" width="18"/>
    <col collapsed="false" customWidth="true" hidden="false" outlineLevel="0" max="11" min="11" style="0" width="16"/>
    <col collapsed="false" customWidth="true" hidden="false" outlineLevel="0" max="13" min="12" style="0" width="14"/>
    <col collapsed="false" customWidth="true" hidden="false" outlineLevel="0" max="14" min="14" style="0" width="11"/>
    <col collapsed="false" customWidth="true" hidden="false" outlineLevel="0" max="15" min="15" style="0" width="34"/>
    <col collapsed="false" customWidth="true" hidden="true" outlineLevel="0" max="26" min="20" style="0" width="13"/>
  </cols>
  <sheetData>
    <row r="1" customFormat="false" ht="19.7" hidden="false" customHeight="false" outlineLevel="0" collapsed="false">
      <c r="A1" s="29" t="s">
        <v>279</v>
      </c>
      <c r="B1" s="29"/>
      <c r="C1" s="29"/>
      <c r="D1" s="29"/>
      <c r="E1" s="29"/>
      <c r="F1" s="29"/>
    </row>
    <row r="2" customFormat="false" ht="15" hidden="false" customHeight="false" outlineLevel="0" collapsed="false">
      <c r="A2" s="30" t="s">
        <v>76</v>
      </c>
      <c r="B2" s="30"/>
      <c r="C2" s="30"/>
      <c r="D2" s="30"/>
      <c r="E2" s="30"/>
      <c r="F2" s="30"/>
    </row>
    <row r="3" customFormat="false" ht="15" hidden="false" customHeight="false" outlineLevel="0" collapsed="false">
      <c r="A3" s="13" t="s">
        <v>54</v>
      </c>
      <c r="B3" s="3" t="s">
        <v>65</v>
      </c>
      <c r="C3" s="13" t="s">
        <v>77</v>
      </c>
      <c r="D3" s="31"/>
      <c r="E3" s="31"/>
    </row>
    <row r="4" customFormat="false" ht="15" hidden="false" customHeight="false" outlineLevel="0" collapsed="false">
      <c r="A4" s="13" t="s">
        <v>78</v>
      </c>
      <c r="B4" s="31" t="s">
        <v>79</v>
      </c>
      <c r="C4" s="13" t="s">
        <v>80</v>
      </c>
      <c r="D4" s="31"/>
      <c r="E4" s="31"/>
    </row>
    <row r="6" customFormat="false" ht="15" hidden="false" customHeight="false" outlineLevel="0" collapsed="false">
      <c r="A6" s="32" t="s">
        <v>81</v>
      </c>
      <c r="B6" s="33" t="s">
        <v>55</v>
      </c>
      <c r="C6" s="33" t="s">
        <v>56</v>
      </c>
      <c r="D6" s="34" t="s">
        <v>14</v>
      </c>
      <c r="E6" s="35" t="s">
        <v>16</v>
      </c>
      <c r="F6" s="36" t="s">
        <v>18</v>
      </c>
      <c r="G6" s="37" t="s">
        <v>20</v>
      </c>
      <c r="H6" s="38" t="s">
        <v>22</v>
      </c>
    </row>
    <row r="7" customFormat="false" ht="19.7" hidden="false" customHeight="false" outlineLevel="0" collapsed="false">
      <c r="B7" s="39" t="n">
        <f aca="false">IFERROR(SUMIFS('Master Data'!$H$2:$H$2436,'Master Data'!$B$2:$B$2436,$B$3,'Master Data'!$G$2:$G$2436,"&gt;0")/SUMIFS('Master Data'!$G$2:$G$2436,'Master Data'!$B$2:$B$2436,$B$3,'Master Data'!$G$2:$G$2436,"&gt;0"),"")</f>
        <v>0.392571012381646</v>
      </c>
      <c r="C7" s="40" t="str">
        <f aca="false">SUMIFS('Master Data'!$H$2:$H$2436,'Master Data'!$B$2:$B$2436,$B$3,'Master Data'!$G$2:$G$2436,"&gt;0")&amp;" / "&amp;SUMIFS('Master Data'!$G$2:$G$2436,'Master Data'!$B$2:$B$2436,$B$3,'Master Data'!$G$2:$G$2436,"&gt;0")</f>
        <v>539 / 1373</v>
      </c>
      <c r="D7" s="41" t="n">
        <f aca="false">COUNTIFS('Master Data'!$B$2:$B$2436,$B$3,'Master Data'!$L$2:$L$2436,"Belum terisi")</f>
        <v>107</v>
      </c>
      <c r="E7" s="42" t="n">
        <f aca="false">COUNTIFS('Master Data'!$B$2:$B$2436,$B$3,'Master Data'!$L$2:$L$2436,"Slot kosong")</f>
        <v>33</v>
      </c>
      <c r="F7" s="43" t="n">
        <f aca="false">COUNTIFS('Master Data'!$B$2:$B$2436,$B$3,'Master Data'!$L$2:$L$2436,"Sebagian")</f>
        <v>99</v>
      </c>
      <c r="G7" s="44" t="n">
        <f aca="false">COUNTIFS('Master Data'!$B$2:$B$2436,$B$3,'Master Data'!$L$2:$L$2436,"Penuh")</f>
        <v>71</v>
      </c>
      <c r="H7" s="45" t="n">
        <f aca="false">COUNTIFS('Master Data'!$B$2:$B$2436,$B$3,'Master Data'!$L$2:$L$2436,"Lebih kapasitas")</f>
        <v>9</v>
      </c>
    </row>
    <row r="9" customFormat="false" ht="15" hidden="false" customHeight="false" outlineLevel="0" collapsed="false">
      <c r="A9" s="32" t="s">
        <v>82</v>
      </c>
      <c r="B9" s="46" t="s">
        <v>14</v>
      </c>
      <c r="C9" s="47" t="s">
        <v>16</v>
      </c>
      <c r="D9" s="48" t="s">
        <v>18</v>
      </c>
      <c r="E9" s="49" t="s">
        <v>20</v>
      </c>
      <c r="F9" s="50" t="s">
        <v>22</v>
      </c>
      <c r="G9" s="51" t="s">
        <v>24</v>
      </c>
    </row>
    <row r="10" customFormat="false" ht="15" hidden="false" customHeight="false" outlineLevel="0" collapsed="false">
      <c r="B10" s="52" t="s">
        <v>83</v>
      </c>
    </row>
    <row r="11" customFormat="false" ht="15" hidden="false" customHeight="false" outlineLevel="0" collapsed="false">
      <c r="A11" s="32" t="s">
        <v>84</v>
      </c>
      <c r="B11" s="53" t="s">
        <v>85</v>
      </c>
      <c r="C11" s="53" t="s">
        <v>86</v>
      </c>
      <c r="D11" s="53" t="s">
        <v>87</v>
      </c>
    </row>
    <row r="13" customFormat="false" ht="16.15" hidden="false" customHeight="false" outlineLevel="0" collapsed="false">
      <c r="A13" s="54" t="s">
        <v>88</v>
      </c>
      <c r="B13" s="55"/>
      <c r="C13" s="56" t="str">
        <f aca="false">"Utilisasi lane: "&amp;IFERROR(TEXT(SUMIFS('Master Data'!$H$2:$H$2436,'Master Data'!$B$2:$B$2436,$B$3,'Master Data'!$C$2:$C$2436,1,'Master Data'!$G$2:$G$2436,"&gt;0")/SUMIFS('Master Data'!$G$2:$G$2436,'Master Data'!$B$2:$B$2436,$B$3,'Master Data'!$C$2:$C$2436,1,'Master Data'!$G$2:$G$2436,"&gt;0"),"0%"),"–")&amp;"   ·   Belum terisi: "&amp;COUNTIFS('Master Data'!$B$2:$B$2436,$B$3,'Master Data'!$C$2:$C$2436,1,'Master Data'!$L$2:$L$2436,"Belum terisi")&amp;"   ·   Slot kosong: "&amp;COUNTIFS('Master Data'!$B$2:$B$2436,$B$3,'Master Data'!$C$2:$C$2436,1,'Master Data'!$L$2:$L$2436,"Slot kosong")</f>
        <v>Utilisasi lane: 19%   ·   Belum terisi: 38   ·   Slot kosong: 11</v>
      </c>
      <c r="D13" s="55"/>
      <c r="E13" s="55"/>
      <c r="F13" s="55"/>
      <c r="G13" s="55"/>
      <c r="H13" s="55"/>
    </row>
    <row r="14" customFormat="false" ht="15" hidden="false" customHeight="false" outlineLevel="0" collapsed="false">
      <c r="A14" s="57" t="s">
        <v>89</v>
      </c>
      <c r="B14" s="58" t="s">
        <v>90</v>
      </c>
      <c r="C14" s="58" t="s">
        <v>91</v>
      </c>
      <c r="D14" s="58" t="s">
        <v>92</v>
      </c>
      <c r="E14" s="58" t="s">
        <v>93</v>
      </c>
      <c r="F14" s="58" t="s">
        <v>94</v>
      </c>
      <c r="G14" s="58" t="s">
        <v>95</v>
      </c>
      <c r="H14" s="58" t="s">
        <v>78</v>
      </c>
    </row>
    <row r="15" customFormat="false" ht="30" hidden="false" customHeight="true" outlineLevel="0" collapsed="false">
      <c r="A15" s="59" t="s">
        <v>96</v>
      </c>
      <c r="B15" s="60" t="str">
        <f aca="false">IFERROR(INDEX('Master Data'!$M$2:$M$2436,MATCH($B$3&amp;"|1|"&amp;B$14&amp;"|"&amp;$A15,'Master Data'!$A$2:$A$2436,0)),"")</f>
        <v>Baby  0/0
coach: –</v>
      </c>
      <c r="C15" s="60" t="str">
        <f aca="false">IFERROR(INDEX('Master Data'!$M$2:$M$2436,MATCH($B$3&amp;"|1|"&amp;C$14&amp;"|"&amp;$A15,'Master Data'!$A$2:$A$2436,0)),"")</f>
        <v>Baby  0/0
coach: –</v>
      </c>
      <c r="D15" s="60" t="str">
        <f aca="false">IFERROR(INDEX('Master Data'!$M$2:$M$2436,MATCH($B$3&amp;"|1|"&amp;D$14&amp;"|"&amp;$A15,'Master Data'!$A$2:$A$2436,0)),"")</f>
        <v>Baby  0/0
coach: –</v>
      </c>
      <c r="E15" s="60" t="str">
        <f aca="false">IFERROR(INDEX('Master Data'!$M$2:$M$2436,MATCH($B$3&amp;"|1|"&amp;E$14&amp;"|"&amp;$A15,'Master Data'!$A$2:$A$2436,0)),"")</f>
        <v>Baby  0/0
coach: –</v>
      </c>
      <c r="F15" s="60" t="str">
        <f aca="false">IFERROR(INDEX('Master Data'!$M$2:$M$2436,MATCH($B$3&amp;"|1|"&amp;F$14&amp;"|"&amp;$A15,'Master Data'!$A$2:$A$2436,0)),"")</f>
        <v>Baby  0/0
coach: –</v>
      </c>
      <c r="G15" s="60" t="str">
        <f aca="false">IFERROR(INDEX('Master Data'!$M$2:$M$2436,MATCH($B$3&amp;"|1|"&amp;G$14&amp;"|"&amp;$A15,'Master Data'!$A$2:$A$2436,0)),"")</f>
        <v>–</v>
      </c>
      <c r="H15" s="60" t="str">
        <f aca="false">IFERROR(INDEX('Master Data'!$M$2:$M$2436,MATCH($B$3&amp;"|1|"&amp;H$14&amp;"|"&amp;$A15,'Master Data'!$A$2:$A$2436,0)),"")</f>
        <v>Baby  0/0
coach: –</v>
      </c>
      <c r="T15" s="61" t="str">
        <f aca="false">IFERROR(INDEX('Master Data'!$L$2:$L$2436,MATCH($B$3&amp;"|1|"&amp;B$14&amp;"|"&amp;$A15,'Master Data'!$A$2:$A$2436,0)),"")</f>
        <v>Tutup</v>
      </c>
      <c r="U15" s="61" t="str">
        <f aca="false">IFERROR(INDEX('Master Data'!$L$2:$L$2436,MATCH($B$3&amp;"|1|"&amp;C$14&amp;"|"&amp;$A15,'Master Data'!$A$2:$A$2436,0)),"")</f>
        <v>Tutup</v>
      </c>
      <c r="V15" s="61" t="str">
        <f aca="false">IFERROR(INDEX('Master Data'!$L$2:$L$2436,MATCH($B$3&amp;"|1|"&amp;D$14&amp;"|"&amp;$A15,'Master Data'!$A$2:$A$2436,0)),"")</f>
        <v>Tutup</v>
      </c>
      <c r="W15" s="61" t="str">
        <f aca="false">IFERROR(INDEX('Master Data'!$L$2:$L$2436,MATCH($B$3&amp;"|1|"&amp;E$14&amp;"|"&amp;$A15,'Master Data'!$A$2:$A$2436,0)),"")</f>
        <v>Tutup</v>
      </c>
      <c r="X15" s="61" t="str">
        <f aca="false">IFERROR(INDEX('Master Data'!$L$2:$L$2436,MATCH($B$3&amp;"|1|"&amp;F$14&amp;"|"&amp;$A15,'Master Data'!$A$2:$A$2436,0)),"")</f>
        <v>Tutup</v>
      </c>
      <c r="Y15" s="61" t="str">
        <f aca="false">IFERROR(INDEX('Master Data'!$L$2:$L$2436,MATCH($B$3&amp;"|1|"&amp;G$14&amp;"|"&amp;$A15,'Master Data'!$A$2:$A$2436,0)),"")</f>
        <v>Tidak dibuka</v>
      </c>
      <c r="Z15" s="61" t="str">
        <f aca="false">IFERROR(INDEX('Master Data'!$L$2:$L$2436,MATCH($B$3&amp;"|1|"&amp;H$14&amp;"|"&amp;$A15,'Master Data'!$A$2:$A$2436,0)),"")</f>
        <v>Tutup</v>
      </c>
    </row>
    <row r="16" customFormat="false" ht="30" hidden="false" customHeight="true" outlineLevel="0" collapsed="false">
      <c r="A16" s="59" t="s">
        <v>97</v>
      </c>
      <c r="B16" s="60" t="str">
        <f aca="false">IFERROR(INDEX('Master Data'!$M$2:$M$2436,MATCH($B$3&amp;"|1|"&amp;B$14&amp;"|"&amp;$A16,'Master Data'!$A$2:$A$2436,0)),"")</f>
        <v>Baby  2/5
coach: Kamal</v>
      </c>
      <c r="C16" s="60" t="str">
        <f aca="false">IFERROR(INDEX('Master Data'!$M$2:$M$2436,MATCH($B$3&amp;"|1|"&amp;C$14&amp;"|"&amp;$A16,'Master Data'!$A$2:$A$2436,0)),"")</f>
        <v>Baby  0/5
coach: –</v>
      </c>
      <c r="D16" s="60" t="str">
        <f aca="false">IFERROR(INDEX('Master Data'!$M$2:$M$2436,MATCH($B$3&amp;"|1|"&amp;D$14&amp;"|"&amp;$A16,'Master Data'!$A$2:$A$2436,0)),"")</f>
        <v>Baby  0/5
coach: –</v>
      </c>
      <c r="E16" s="60" t="str">
        <f aca="false">IFERROR(INDEX('Master Data'!$M$2:$M$2436,MATCH($B$3&amp;"|1|"&amp;E$14&amp;"|"&amp;$A16,'Master Data'!$A$2:$A$2436,0)),"")</f>
        <v>Baby  0/5
coach: –</v>
      </c>
      <c r="F16" s="60" t="str">
        <f aca="false">IFERROR(INDEX('Master Data'!$M$2:$M$2436,MATCH($B$3&amp;"|1|"&amp;F$14&amp;"|"&amp;$A16,'Master Data'!$A$2:$A$2436,0)),"")</f>
        <v>Baby  5/5
coach: Damai</v>
      </c>
      <c r="G16" s="60" t="str">
        <f aca="false">IFERROR(INDEX('Master Data'!$M$2:$M$2436,MATCH($B$3&amp;"|1|"&amp;G$14&amp;"|"&amp;$A16,'Master Data'!$A$2:$A$2436,0)),"")</f>
        <v>Baby  4/5
coach: Shofwan</v>
      </c>
      <c r="H16" s="60" t="str">
        <f aca="false">IFERROR(INDEX('Master Data'!$M$2:$M$2436,MATCH($B$3&amp;"|1|"&amp;H$14&amp;"|"&amp;$A16,'Master Data'!$A$2:$A$2436,0)),"")</f>
        <v>Baby  3/5
coach: Laksamana</v>
      </c>
      <c r="T16" s="61" t="str">
        <f aca="false">IFERROR(INDEX('Master Data'!$L$2:$L$2436,MATCH($B$3&amp;"|1|"&amp;B$14&amp;"|"&amp;$A16,'Master Data'!$A$2:$A$2436,0)),"")</f>
        <v>Sebagian</v>
      </c>
      <c r="U16" s="61" t="str">
        <f aca="false">IFERROR(INDEX('Master Data'!$L$2:$L$2436,MATCH($B$3&amp;"|1|"&amp;C$14&amp;"|"&amp;$A16,'Master Data'!$A$2:$A$2436,0)),"")</f>
        <v>Belum terisi</v>
      </c>
      <c r="V16" s="61" t="str">
        <f aca="false">IFERROR(INDEX('Master Data'!$L$2:$L$2436,MATCH($B$3&amp;"|1|"&amp;D$14&amp;"|"&amp;$A16,'Master Data'!$A$2:$A$2436,0)),"")</f>
        <v>Belum terisi</v>
      </c>
      <c r="W16" s="61" t="str">
        <f aca="false">IFERROR(INDEX('Master Data'!$L$2:$L$2436,MATCH($B$3&amp;"|1|"&amp;E$14&amp;"|"&amp;$A16,'Master Data'!$A$2:$A$2436,0)),"")</f>
        <v>Belum terisi</v>
      </c>
      <c r="X16" s="61" t="str">
        <f aca="false">IFERROR(INDEX('Master Data'!$L$2:$L$2436,MATCH($B$3&amp;"|1|"&amp;F$14&amp;"|"&amp;$A16,'Master Data'!$A$2:$A$2436,0)),"")</f>
        <v>Penuh</v>
      </c>
      <c r="Y16" s="61" t="str">
        <f aca="false">IFERROR(INDEX('Master Data'!$L$2:$L$2436,MATCH($B$3&amp;"|1|"&amp;G$14&amp;"|"&amp;$A16,'Master Data'!$A$2:$A$2436,0)),"")</f>
        <v>Sebagian</v>
      </c>
      <c r="Z16" s="61" t="str">
        <f aca="false">IFERROR(INDEX('Master Data'!$L$2:$L$2436,MATCH($B$3&amp;"|1|"&amp;H$14&amp;"|"&amp;$A16,'Master Data'!$A$2:$A$2436,0)),"")</f>
        <v>Sebagian</v>
      </c>
    </row>
    <row r="17" customFormat="false" ht="30" hidden="false" customHeight="true" outlineLevel="0" collapsed="false">
      <c r="A17" s="59" t="s">
        <v>98</v>
      </c>
      <c r="B17" s="60" t="str">
        <f aca="false">IFERROR(INDEX('Master Data'!$M$2:$M$2436,MATCH($B$3&amp;"|1|"&amp;B$14&amp;"|"&amp;$A17,'Master Data'!$A$2:$A$2436,0)),"")</f>
        <v>Baby  3/5
coach: Kamal</v>
      </c>
      <c r="C17" s="60" t="str">
        <f aca="false">IFERROR(INDEX('Master Data'!$M$2:$M$2436,MATCH($B$3&amp;"|1|"&amp;C$14&amp;"|"&amp;$A17,'Master Data'!$A$2:$A$2436,0)),"")</f>
        <v>Baby  0/5
coach: –</v>
      </c>
      <c r="D17" s="60" t="str">
        <f aca="false">IFERROR(INDEX('Master Data'!$M$2:$M$2436,MATCH($B$3&amp;"|1|"&amp;D$14&amp;"|"&amp;$A17,'Master Data'!$A$2:$A$2436,0)),"")</f>
        <v>Baby  2/5
coach: Laksamana</v>
      </c>
      <c r="E17" s="60" t="str">
        <f aca="false">IFERROR(INDEX('Master Data'!$M$2:$M$2436,MATCH($B$3&amp;"|1|"&amp;E$14&amp;"|"&amp;$A17,'Master Data'!$A$2:$A$2436,0)),"")</f>
        <v>Baby  0/5
coach: –</v>
      </c>
      <c r="F17" s="60" t="str">
        <f aca="false">IFERROR(INDEX('Master Data'!$M$2:$M$2436,MATCH($B$3&amp;"|1|"&amp;F$14&amp;"|"&amp;$A17,'Master Data'!$A$2:$A$2436,0)),"")</f>
        <v>Baby  0/5
coach: –</v>
      </c>
      <c r="G17" s="60" t="str">
        <f aca="false">IFERROR(INDEX('Master Data'!$M$2:$M$2436,MATCH($B$3&amp;"|1|"&amp;G$14&amp;"|"&amp;$A17,'Master Data'!$A$2:$A$2436,0)),"")</f>
        <v>Baby  5/5
coach: Kamal</v>
      </c>
      <c r="H17" s="60" t="str">
        <f aca="false">IFERROR(INDEX('Master Data'!$M$2:$M$2436,MATCH($B$3&amp;"|1|"&amp;H$14&amp;"|"&amp;$A17,'Master Data'!$A$2:$A$2436,0)),"")</f>
        <v>Baby  2/5
coach: Shofwan</v>
      </c>
      <c r="T17" s="61" t="str">
        <f aca="false">IFERROR(INDEX('Master Data'!$L$2:$L$2436,MATCH($B$3&amp;"|1|"&amp;B$14&amp;"|"&amp;$A17,'Master Data'!$A$2:$A$2436,0)),"")</f>
        <v>Sebagian</v>
      </c>
      <c r="U17" s="61" t="str">
        <f aca="false">IFERROR(INDEX('Master Data'!$L$2:$L$2436,MATCH($B$3&amp;"|1|"&amp;C$14&amp;"|"&amp;$A17,'Master Data'!$A$2:$A$2436,0)),"")</f>
        <v>Belum terisi</v>
      </c>
      <c r="V17" s="61" t="str">
        <f aca="false">IFERROR(INDEX('Master Data'!$L$2:$L$2436,MATCH($B$3&amp;"|1|"&amp;D$14&amp;"|"&amp;$A17,'Master Data'!$A$2:$A$2436,0)),"")</f>
        <v>Sebagian</v>
      </c>
      <c r="W17" s="61" t="str">
        <f aca="false">IFERROR(INDEX('Master Data'!$L$2:$L$2436,MATCH($B$3&amp;"|1|"&amp;E$14&amp;"|"&amp;$A17,'Master Data'!$A$2:$A$2436,0)),"")</f>
        <v>Belum terisi</v>
      </c>
      <c r="X17" s="61" t="str">
        <f aca="false">IFERROR(INDEX('Master Data'!$L$2:$L$2436,MATCH($B$3&amp;"|1|"&amp;F$14&amp;"|"&amp;$A17,'Master Data'!$A$2:$A$2436,0)),"")</f>
        <v>Belum terisi</v>
      </c>
      <c r="Y17" s="61" t="str">
        <f aca="false">IFERROR(INDEX('Master Data'!$L$2:$L$2436,MATCH($B$3&amp;"|1|"&amp;G$14&amp;"|"&amp;$A17,'Master Data'!$A$2:$A$2436,0)),"")</f>
        <v>Penuh</v>
      </c>
      <c r="Z17" s="61" t="str">
        <f aca="false">IFERROR(INDEX('Master Data'!$L$2:$L$2436,MATCH($B$3&amp;"|1|"&amp;H$14&amp;"|"&amp;$A17,'Master Data'!$A$2:$A$2436,0)),"")</f>
        <v>Sebagian</v>
      </c>
    </row>
    <row r="18" customFormat="false" ht="30" hidden="false" customHeight="true" outlineLevel="0" collapsed="false">
      <c r="A18" s="59" t="s">
        <v>99</v>
      </c>
      <c r="B18" s="60" t="str">
        <f aca="false">IFERROR(INDEX('Master Data'!$M$2:$M$2436,MATCH($B$3&amp;"|1|"&amp;B$14&amp;"|"&amp;$A18,'Master Data'!$A$2:$A$2436,0)),"")</f>
        <v>Baby  2/5
coach: Kamal</v>
      </c>
      <c r="C18" s="60" t="str">
        <f aca="false">IFERROR(INDEX('Master Data'!$M$2:$M$2436,MATCH($B$3&amp;"|1|"&amp;C$14&amp;"|"&amp;$A18,'Master Data'!$A$2:$A$2436,0)),"")</f>
        <v>Baby  0/5
coach: –</v>
      </c>
      <c r="D18" s="60" t="str">
        <f aca="false">IFERROR(INDEX('Master Data'!$M$2:$M$2436,MATCH($B$3&amp;"|1|"&amp;D$14&amp;"|"&amp;$A18,'Master Data'!$A$2:$A$2436,0)),"")</f>
        <v>Baby  0/5
coach: –</v>
      </c>
      <c r="E18" s="60" t="str">
        <f aca="false">IFERROR(INDEX('Master Data'!$M$2:$M$2436,MATCH($B$3&amp;"|1|"&amp;E$14&amp;"|"&amp;$A18,'Master Data'!$A$2:$A$2436,0)),"")</f>
        <v>Baby  0/5
coach: –</v>
      </c>
      <c r="F18" s="60" t="str">
        <f aca="false">IFERROR(INDEX('Master Data'!$M$2:$M$2436,MATCH($B$3&amp;"|1|"&amp;F$14&amp;"|"&amp;$A18,'Master Data'!$A$2:$A$2436,0)),"")</f>
        <v>Baby  4/5
coach: Laksamana</v>
      </c>
      <c r="G18" s="60" t="str">
        <f aca="false">IFERROR(INDEX('Master Data'!$M$2:$M$2436,MATCH($B$3&amp;"|1|"&amp;G$14&amp;"|"&amp;$A18,'Master Data'!$A$2:$A$2436,0)),"")</f>
        <v>Baby  0/5
coach: –</v>
      </c>
      <c r="H18" s="60" t="str">
        <f aca="false">IFERROR(INDEX('Master Data'!$M$2:$M$2436,MATCH($B$3&amp;"|1|"&amp;H$14&amp;"|"&amp;$A18,'Master Data'!$A$2:$A$2436,0)),"")</f>
        <v>Baby  5/5
coach: Kamal</v>
      </c>
      <c r="T18" s="61" t="str">
        <f aca="false">IFERROR(INDEX('Master Data'!$L$2:$L$2436,MATCH($B$3&amp;"|1|"&amp;B$14&amp;"|"&amp;$A18,'Master Data'!$A$2:$A$2436,0)),"")</f>
        <v>Sebagian</v>
      </c>
      <c r="U18" s="61" t="str">
        <f aca="false">IFERROR(INDEX('Master Data'!$L$2:$L$2436,MATCH($B$3&amp;"|1|"&amp;C$14&amp;"|"&amp;$A18,'Master Data'!$A$2:$A$2436,0)),"")</f>
        <v>Belum terisi</v>
      </c>
      <c r="V18" s="61" t="str">
        <f aca="false">IFERROR(INDEX('Master Data'!$L$2:$L$2436,MATCH($B$3&amp;"|1|"&amp;D$14&amp;"|"&amp;$A18,'Master Data'!$A$2:$A$2436,0)),"")</f>
        <v>Belum terisi</v>
      </c>
      <c r="W18" s="61" t="str">
        <f aca="false">IFERROR(INDEX('Master Data'!$L$2:$L$2436,MATCH($B$3&amp;"|1|"&amp;E$14&amp;"|"&amp;$A18,'Master Data'!$A$2:$A$2436,0)),"")</f>
        <v>Belum terisi</v>
      </c>
      <c r="X18" s="61" t="str">
        <f aca="false">IFERROR(INDEX('Master Data'!$L$2:$L$2436,MATCH($B$3&amp;"|1|"&amp;F$14&amp;"|"&amp;$A18,'Master Data'!$A$2:$A$2436,0)),"")</f>
        <v>Sebagian</v>
      </c>
      <c r="Y18" s="61" t="str">
        <f aca="false">IFERROR(INDEX('Master Data'!$L$2:$L$2436,MATCH($B$3&amp;"|1|"&amp;G$14&amp;"|"&amp;$A18,'Master Data'!$A$2:$A$2436,0)),"")</f>
        <v>Belum terisi</v>
      </c>
      <c r="Z18" s="61" t="str">
        <f aca="false">IFERROR(INDEX('Master Data'!$L$2:$L$2436,MATCH($B$3&amp;"|1|"&amp;H$14&amp;"|"&amp;$A18,'Master Data'!$A$2:$A$2436,0)),"")</f>
        <v>Penuh</v>
      </c>
    </row>
    <row r="19" customFormat="false" ht="30" hidden="false" customHeight="true" outlineLevel="0" collapsed="false">
      <c r="A19" s="59" t="s">
        <v>100</v>
      </c>
      <c r="B19" s="60" t="str">
        <f aca="false">IFERROR(INDEX('Master Data'!$M$2:$M$2436,MATCH($B$3&amp;"|1|"&amp;B$14&amp;"|"&amp;$A19,'Master Data'!$A$2:$A$2436,0)),"")</f>
        <v>Baby  0/5
coach: –</v>
      </c>
      <c r="C19" s="60" t="str">
        <f aca="false">IFERROR(INDEX('Master Data'!$M$2:$M$2436,MATCH($B$3&amp;"|1|"&amp;C$14&amp;"|"&amp;$A19,'Master Data'!$A$2:$A$2436,0)),"")</f>
        <v>Baby  0/5
coach: –</v>
      </c>
      <c r="D19" s="60" t="str">
        <f aca="false">IFERROR(INDEX('Master Data'!$M$2:$M$2436,MATCH($B$3&amp;"|1|"&amp;D$14&amp;"|"&amp;$A19,'Master Data'!$A$2:$A$2436,0)),"")</f>
        <v>Baby  0/5
coach: –</v>
      </c>
      <c r="E19" s="60" t="str">
        <f aca="false">IFERROR(INDEX('Master Data'!$M$2:$M$2436,MATCH($B$3&amp;"|1|"&amp;E$14&amp;"|"&amp;$A19,'Master Data'!$A$2:$A$2436,0)),"")</f>
        <v>Baby  0/5
coach: –</v>
      </c>
      <c r="F19" s="60" t="str">
        <f aca="false">IFERROR(INDEX('Master Data'!$M$2:$M$2436,MATCH($B$3&amp;"|1|"&amp;F$14&amp;"|"&amp;$A19,'Master Data'!$A$2:$A$2436,0)),"")</f>
        <v>Baby  0/0
coach: –</v>
      </c>
      <c r="G19" s="60" t="str">
        <f aca="false">IFERROR(INDEX('Master Data'!$M$2:$M$2436,MATCH($B$3&amp;"|1|"&amp;G$14&amp;"|"&amp;$A19,'Master Data'!$A$2:$A$2436,0)),"")</f>
        <v>Baby  5/5
coach: Damai</v>
      </c>
      <c r="H19" s="60" t="str">
        <f aca="false">IFERROR(INDEX('Master Data'!$M$2:$M$2436,MATCH($B$3&amp;"|1|"&amp;H$14&amp;"|"&amp;$A19,'Master Data'!$A$2:$A$2436,0)),"")</f>
        <v>Baby  0/5
coach: –</v>
      </c>
      <c r="T19" s="61" t="str">
        <f aca="false">IFERROR(INDEX('Master Data'!$L$2:$L$2436,MATCH($B$3&amp;"|1|"&amp;B$14&amp;"|"&amp;$A19,'Master Data'!$A$2:$A$2436,0)),"")</f>
        <v>Belum terisi</v>
      </c>
      <c r="U19" s="61" t="str">
        <f aca="false">IFERROR(INDEX('Master Data'!$L$2:$L$2436,MATCH($B$3&amp;"|1|"&amp;C$14&amp;"|"&amp;$A19,'Master Data'!$A$2:$A$2436,0)),"")</f>
        <v>Belum terisi</v>
      </c>
      <c r="V19" s="61" t="str">
        <f aca="false">IFERROR(INDEX('Master Data'!$L$2:$L$2436,MATCH($B$3&amp;"|1|"&amp;D$14&amp;"|"&amp;$A19,'Master Data'!$A$2:$A$2436,0)),"")</f>
        <v>Belum terisi</v>
      </c>
      <c r="W19" s="61" t="str">
        <f aca="false">IFERROR(INDEX('Master Data'!$L$2:$L$2436,MATCH($B$3&amp;"|1|"&amp;E$14&amp;"|"&amp;$A19,'Master Data'!$A$2:$A$2436,0)),"")</f>
        <v>Belum terisi</v>
      </c>
      <c r="X19" s="61" t="str">
        <f aca="false">IFERROR(INDEX('Master Data'!$L$2:$L$2436,MATCH($B$3&amp;"|1|"&amp;F$14&amp;"|"&amp;$A19,'Master Data'!$A$2:$A$2436,0)),"")</f>
        <v>Tutup</v>
      </c>
      <c r="Y19" s="61" t="str">
        <f aca="false">IFERROR(INDEX('Master Data'!$L$2:$L$2436,MATCH($B$3&amp;"|1|"&amp;G$14&amp;"|"&amp;$A19,'Master Data'!$A$2:$A$2436,0)),"")</f>
        <v>Penuh</v>
      </c>
      <c r="Z19" s="61" t="str">
        <f aca="false">IFERROR(INDEX('Master Data'!$L$2:$L$2436,MATCH($B$3&amp;"|1|"&amp;H$14&amp;"|"&amp;$A19,'Master Data'!$A$2:$A$2436,0)),"")</f>
        <v>Belum terisi</v>
      </c>
    </row>
    <row r="20" customFormat="false" ht="30" hidden="false" customHeight="true" outlineLevel="0" collapsed="false">
      <c r="A20" s="59" t="s">
        <v>101</v>
      </c>
      <c r="B20" s="60" t="str">
        <f aca="false">IFERROR(INDEX('Master Data'!$M$2:$M$2436,MATCH($B$3&amp;"|1|"&amp;B$14&amp;"|"&amp;$A20,'Master Data'!$A$2:$A$2436,0)),"")</f>
        <v>Baby  0/0
coach: –</v>
      </c>
      <c r="C20" s="60" t="str">
        <f aca="false">IFERROR(INDEX('Master Data'!$M$2:$M$2436,MATCH($B$3&amp;"|1|"&amp;C$14&amp;"|"&amp;$A20,'Master Data'!$A$2:$A$2436,0)),"")</f>
        <v>Baby  0/0
coach: –</v>
      </c>
      <c r="D20" s="60" t="str">
        <f aca="false">IFERROR(INDEX('Master Data'!$M$2:$M$2436,MATCH($B$3&amp;"|1|"&amp;D$14&amp;"|"&amp;$A20,'Master Data'!$A$2:$A$2436,0)),"")</f>
        <v>Baby  0/0
coach: –</v>
      </c>
      <c r="E20" s="60" t="str">
        <f aca="false">IFERROR(INDEX('Master Data'!$M$2:$M$2436,MATCH($B$3&amp;"|1|"&amp;E$14&amp;"|"&amp;$A20,'Master Data'!$A$2:$A$2436,0)),"")</f>
        <v>Baby  0/0
coach: –</v>
      </c>
      <c r="F20" s="60" t="str">
        <f aca="false">IFERROR(INDEX('Master Data'!$M$2:$M$2436,MATCH($B$3&amp;"|1|"&amp;F$14&amp;"|"&amp;$A20,'Master Data'!$A$2:$A$2436,0)),"")</f>
        <v>Baby  0/0
coach: –</v>
      </c>
      <c r="G20" s="60" t="str">
        <f aca="false">IFERROR(INDEX('Master Data'!$M$2:$M$2436,MATCH($B$3&amp;"|1|"&amp;G$14&amp;"|"&amp;$A20,'Master Data'!$A$2:$A$2436,0)),"")</f>
        <v>Baby  0/5
coach: –</v>
      </c>
      <c r="H20" s="60" t="str">
        <f aca="false">IFERROR(INDEX('Master Data'!$M$2:$M$2436,MATCH($B$3&amp;"|1|"&amp;H$14&amp;"|"&amp;$A20,'Master Data'!$A$2:$A$2436,0)),"")</f>
        <v>Baby  0/5
coach: –</v>
      </c>
      <c r="T20" s="61" t="str">
        <f aca="false">IFERROR(INDEX('Master Data'!$L$2:$L$2436,MATCH($B$3&amp;"|1|"&amp;B$14&amp;"|"&amp;$A20,'Master Data'!$A$2:$A$2436,0)),"")</f>
        <v>Tutup</v>
      </c>
      <c r="U20" s="61" t="str">
        <f aca="false">IFERROR(INDEX('Master Data'!$L$2:$L$2436,MATCH($B$3&amp;"|1|"&amp;C$14&amp;"|"&amp;$A20,'Master Data'!$A$2:$A$2436,0)),"")</f>
        <v>Tutup</v>
      </c>
      <c r="V20" s="61" t="str">
        <f aca="false">IFERROR(INDEX('Master Data'!$L$2:$L$2436,MATCH($B$3&amp;"|1|"&amp;D$14&amp;"|"&amp;$A20,'Master Data'!$A$2:$A$2436,0)),"")</f>
        <v>Tutup</v>
      </c>
      <c r="W20" s="61" t="str">
        <f aca="false">IFERROR(INDEX('Master Data'!$L$2:$L$2436,MATCH($B$3&amp;"|1|"&amp;E$14&amp;"|"&amp;$A20,'Master Data'!$A$2:$A$2436,0)),"")</f>
        <v>Tutup</v>
      </c>
      <c r="X20" s="61" t="str">
        <f aca="false">IFERROR(INDEX('Master Data'!$L$2:$L$2436,MATCH($B$3&amp;"|1|"&amp;F$14&amp;"|"&amp;$A20,'Master Data'!$A$2:$A$2436,0)),"")</f>
        <v>Tutup</v>
      </c>
      <c r="Y20" s="61" t="str">
        <f aca="false">IFERROR(INDEX('Master Data'!$L$2:$L$2436,MATCH($B$3&amp;"|1|"&amp;G$14&amp;"|"&amp;$A20,'Master Data'!$A$2:$A$2436,0)),"")</f>
        <v>Belum terisi</v>
      </c>
      <c r="Z20" s="61" t="str">
        <f aca="false">IFERROR(INDEX('Master Data'!$L$2:$L$2436,MATCH($B$3&amp;"|1|"&amp;H$14&amp;"|"&amp;$A20,'Master Data'!$A$2:$A$2436,0)),"")</f>
        <v>Belum terisi</v>
      </c>
    </row>
    <row r="21" customFormat="false" ht="30" hidden="false" customHeight="true" outlineLevel="0" collapsed="false">
      <c r="A21" s="59" t="s">
        <v>102</v>
      </c>
      <c r="B21" s="60" t="str">
        <f aca="false">IFERROR(INDEX('Master Data'!$M$2:$M$2436,MATCH($B$3&amp;"|1|"&amp;B$14&amp;"|"&amp;$A21,'Master Data'!$A$2:$A$2436,0)),"")</f>
        <v>Baby  0/5
coach: –</v>
      </c>
      <c r="C21" s="60" t="str">
        <f aca="false">IFERROR(INDEX('Master Data'!$M$2:$M$2436,MATCH($B$3&amp;"|1|"&amp;C$14&amp;"|"&amp;$A21,'Master Data'!$A$2:$A$2436,0)),"")</f>
        <v>Baby  0/5
coach: –</v>
      </c>
      <c r="D21" s="60" t="str">
        <f aca="false">IFERROR(INDEX('Master Data'!$M$2:$M$2436,MATCH($B$3&amp;"|1|"&amp;D$14&amp;"|"&amp;$A21,'Master Data'!$A$2:$A$2436,0)),"")</f>
        <v>Little  2/4
coach: Laksamana</v>
      </c>
      <c r="E21" s="60" t="str">
        <f aca="false">IFERROR(INDEX('Master Data'!$M$2:$M$2436,MATCH($B$3&amp;"|1|"&amp;E$14&amp;"|"&amp;$A21,'Master Data'!$A$2:$A$2436,0)),"")</f>
        <v>Baby  0/5
coach: –</v>
      </c>
      <c r="F21" s="60" t="str">
        <f aca="false">IFERROR(INDEX('Master Data'!$M$2:$M$2436,MATCH($B$3&amp;"|1|"&amp;F$14&amp;"|"&amp;$A21,'Master Data'!$A$2:$A$2436,0)),"")</f>
        <v>Kids  4/5
coach: Damai</v>
      </c>
      <c r="G21" s="60" t="str">
        <f aca="false">IFERROR(INDEX('Master Data'!$M$2:$M$2436,MATCH($B$3&amp;"|1|"&amp;G$14&amp;"|"&amp;$A21,'Master Data'!$A$2:$A$2436,0)),"")</f>
        <v>Baby  0/5
coach: –</v>
      </c>
      <c r="H21" s="60" t="str">
        <f aca="false">IFERROR(INDEX('Master Data'!$M$2:$M$2436,MATCH($B$3&amp;"|1|"&amp;H$14&amp;"|"&amp;$A21,'Master Data'!$A$2:$A$2436,0)),"")</f>
        <v>Baby  1/5
coach: Damai</v>
      </c>
      <c r="T21" s="61" t="str">
        <f aca="false">IFERROR(INDEX('Master Data'!$L$2:$L$2436,MATCH($B$3&amp;"|1|"&amp;B$14&amp;"|"&amp;$A21,'Master Data'!$A$2:$A$2436,0)),"")</f>
        <v>Belum terisi</v>
      </c>
      <c r="U21" s="61" t="str">
        <f aca="false">IFERROR(INDEX('Master Data'!$L$2:$L$2436,MATCH($B$3&amp;"|1|"&amp;C$14&amp;"|"&amp;$A21,'Master Data'!$A$2:$A$2436,0)),"")</f>
        <v>Belum terisi</v>
      </c>
      <c r="V21" s="61" t="str">
        <f aca="false">IFERROR(INDEX('Master Data'!$L$2:$L$2436,MATCH($B$3&amp;"|1|"&amp;D$14&amp;"|"&amp;$A21,'Master Data'!$A$2:$A$2436,0)),"")</f>
        <v>Sebagian</v>
      </c>
      <c r="W21" s="61" t="str">
        <f aca="false">IFERROR(INDEX('Master Data'!$L$2:$L$2436,MATCH($B$3&amp;"|1|"&amp;E$14&amp;"|"&amp;$A21,'Master Data'!$A$2:$A$2436,0)),"")</f>
        <v>Belum terisi</v>
      </c>
      <c r="X21" s="61" t="str">
        <f aca="false">IFERROR(INDEX('Master Data'!$L$2:$L$2436,MATCH($B$3&amp;"|1|"&amp;F$14&amp;"|"&amp;$A21,'Master Data'!$A$2:$A$2436,0)),"")</f>
        <v>Sebagian</v>
      </c>
      <c r="Y21" s="61" t="str">
        <f aca="false">IFERROR(INDEX('Master Data'!$L$2:$L$2436,MATCH($B$3&amp;"|1|"&amp;G$14&amp;"|"&amp;$A21,'Master Data'!$A$2:$A$2436,0)),"")</f>
        <v>Belum terisi</v>
      </c>
      <c r="Z21" s="61" t="str">
        <f aca="false">IFERROR(INDEX('Master Data'!$L$2:$L$2436,MATCH($B$3&amp;"|1|"&amp;H$14&amp;"|"&amp;$A21,'Master Data'!$A$2:$A$2436,0)),"")</f>
        <v>Sebagian</v>
      </c>
    </row>
    <row r="22" customFormat="false" ht="30" hidden="false" customHeight="true" outlineLevel="0" collapsed="false">
      <c r="A22" s="59" t="s">
        <v>103</v>
      </c>
      <c r="B22" s="60" t="str">
        <f aca="false">IFERROR(INDEX('Master Data'!$M$2:$M$2436,MATCH($B$3&amp;"|1|"&amp;B$14&amp;"|"&amp;$A22,'Master Data'!$A$2:$A$2436,0)),"")</f>
        <v>Baby  0/5
coach: –</v>
      </c>
      <c r="C22" s="60" t="str">
        <f aca="false">IFERROR(INDEX('Master Data'!$M$2:$M$2436,MATCH($B$3&amp;"|1|"&amp;C$14&amp;"|"&amp;$A22,'Master Data'!$A$2:$A$2436,0)),"")</f>
        <v>Baby  0/5
coach: –</v>
      </c>
      <c r="D22" s="60" t="str">
        <f aca="false">IFERROR(INDEX('Master Data'!$M$2:$M$2436,MATCH($B$3&amp;"|1|"&amp;D$14&amp;"|"&amp;$A22,'Master Data'!$A$2:$A$2436,0)),"")</f>
        <v>Baby  0/5
coach: –</v>
      </c>
      <c r="E22" s="60" t="str">
        <f aca="false">IFERROR(INDEX('Master Data'!$M$2:$M$2436,MATCH($B$3&amp;"|1|"&amp;E$14&amp;"|"&amp;$A22,'Master Data'!$A$2:$A$2436,0)),"")</f>
        <v>Baby  0/5
coach: –</v>
      </c>
      <c r="F22" s="60" t="str">
        <f aca="false">IFERROR(INDEX('Master Data'!$M$2:$M$2436,MATCH($B$3&amp;"|1|"&amp;F$14&amp;"|"&amp;$A22,'Master Data'!$A$2:$A$2436,0)),"")</f>
        <v>Baby  0/5
coach: –</v>
      </c>
      <c r="G22" s="60" t="str">
        <f aca="false">IFERROR(INDEX('Master Data'!$M$2:$M$2436,MATCH($B$3&amp;"|1|"&amp;G$14&amp;"|"&amp;$A22,'Master Data'!$A$2:$A$2436,0)),"")</f>
        <v>Baby  0/5
coach: –</v>
      </c>
      <c r="H22" s="60" t="str">
        <f aca="false">IFERROR(INDEX('Master Data'!$M$2:$M$2436,MATCH($B$3&amp;"|1|"&amp;H$14&amp;"|"&amp;$A22,'Master Data'!$A$2:$A$2436,0)),"")</f>
        <v>Baby  0/5
coach: –</v>
      </c>
      <c r="T22" s="61" t="str">
        <f aca="false">IFERROR(INDEX('Master Data'!$L$2:$L$2436,MATCH($B$3&amp;"|1|"&amp;B$14&amp;"|"&amp;$A22,'Master Data'!$A$2:$A$2436,0)),"")</f>
        <v>Belum terisi</v>
      </c>
      <c r="U22" s="61" t="str">
        <f aca="false">IFERROR(INDEX('Master Data'!$L$2:$L$2436,MATCH($B$3&amp;"|1|"&amp;C$14&amp;"|"&amp;$A22,'Master Data'!$A$2:$A$2436,0)),"")</f>
        <v>Belum terisi</v>
      </c>
      <c r="V22" s="61" t="str">
        <f aca="false">IFERROR(INDEX('Master Data'!$L$2:$L$2436,MATCH($B$3&amp;"|1|"&amp;D$14&amp;"|"&amp;$A22,'Master Data'!$A$2:$A$2436,0)),"")</f>
        <v>Belum terisi</v>
      </c>
      <c r="W22" s="61" t="str">
        <f aca="false">IFERROR(INDEX('Master Data'!$L$2:$L$2436,MATCH($B$3&amp;"|1|"&amp;E$14&amp;"|"&amp;$A22,'Master Data'!$A$2:$A$2436,0)),"")</f>
        <v>Belum terisi</v>
      </c>
      <c r="X22" s="61" t="str">
        <f aca="false">IFERROR(INDEX('Master Data'!$L$2:$L$2436,MATCH($B$3&amp;"|1|"&amp;F$14&amp;"|"&amp;$A22,'Master Data'!$A$2:$A$2436,0)),"")</f>
        <v>Belum terisi</v>
      </c>
      <c r="Y22" s="61" t="str">
        <f aca="false">IFERROR(INDEX('Master Data'!$L$2:$L$2436,MATCH($B$3&amp;"|1|"&amp;G$14&amp;"|"&amp;$A22,'Master Data'!$A$2:$A$2436,0)),"")</f>
        <v>Belum terisi</v>
      </c>
      <c r="Z22" s="61" t="str">
        <f aca="false">IFERROR(INDEX('Master Data'!$L$2:$L$2436,MATCH($B$3&amp;"|1|"&amp;H$14&amp;"|"&amp;$A22,'Master Data'!$A$2:$A$2436,0)),"")</f>
        <v>Belum terisi</v>
      </c>
    </row>
    <row r="23" customFormat="false" ht="30" hidden="false" customHeight="true" outlineLevel="0" collapsed="false">
      <c r="A23" s="59" t="s">
        <v>104</v>
      </c>
      <c r="B23" s="60" t="str">
        <f aca="false">IFERROR(INDEX('Master Data'!$M$2:$M$2436,MATCH($B$3&amp;"|1|"&amp;B$14&amp;"|"&amp;$A23,'Master Data'!$A$2:$A$2436,0)),"")</f>
        <v>(tanpa age group)  0/5
coach: –</v>
      </c>
      <c r="C23" s="60" t="str">
        <f aca="false">IFERROR(INDEX('Master Data'!$M$2:$M$2436,MATCH($B$3&amp;"|1|"&amp;C$14&amp;"|"&amp;$A23,'Master Data'!$A$2:$A$2436,0)),"")</f>
        <v>–</v>
      </c>
      <c r="D23" s="60" t="str">
        <f aca="false">IFERROR(INDEX('Master Data'!$M$2:$M$2436,MATCH($B$3&amp;"|1|"&amp;D$14&amp;"|"&amp;$A23,'Master Data'!$A$2:$A$2436,0)),"")</f>
        <v>(tanpa age group)  0/5
coach: –</v>
      </c>
      <c r="E23" s="60" t="str">
        <f aca="false">IFERROR(INDEX('Master Data'!$M$2:$M$2436,MATCH($B$3&amp;"|1|"&amp;E$14&amp;"|"&amp;$A23,'Master Data'!$A$2:$A$2436,0)),"")</f>
        <v>Baby  0/5
coach: Laksamana</v>
      </c>
      <c r="F23" s="60" t="str">
        <f aca="false">IFERROR(INDEX('Master Data'!$M$2:$M$2436,MATCH($B$3&amp;"|1|"&amp;F$14&amp;"|"&amp;$A23,'Master Data'!$A$2:$A$2436,0)),"")</f>
        <v>(tanpa age group)  0/5
coach: –</v>
      </c>
      <c r="G23" s="60" t="str">
        <f aca="false">IFERROR(INDEX('Master Data'!$M$2:$M$2436,MATCH($B$3&amp;"|1|"&amp;G$14&amp;"|"&amp;$A23,'Master Data'!$A$2:$A$2436,0)),"")</f>
        <v>Baby  0/5
coach: –</v>
      </c>
      <c r="H23" s="60" t="str">
        <f aca="false">IFERROR(INDEX('Master Data'!$M$2:$M$2436,MATCH($B$3&amp;"|1|"&amp;H$14&amp;"|"&amp;$A23,'Master Data'!$A$2:$A$2436,0)),"")</f>
        <v>Baby  0/5
coach: –</v>
      </c>
      <c r="T23" s="61" t="str">
        <f aca="false">IFERROR(INDEX('Master Data'!$L$2:$L$2436,MATCH($B$3&amp;"|1|"&amp;B$14&amp;"|"&amp;$A23,'Master Data'!$A$2:$A$2436,0)),"")</f>
        <v>Slot kosong</v>
      </c>
      <c r="U23" s="61" t="str">
        <f aca="false">IFERROR(INDEX('Master Data'!$L$2:$L$2436,MATCH($B$3&amp;"|1|"&amp;C$14&amp;"|"&amp;$A23,'Master Data'!$A$2:$A$2436,0)),"")</f>
        <v>Tidak dibuka</v>
      </c>
      <c r="V23" s="61" t="str">
        <f aca="false">IFERROR(INDEX('Master Data'!$L$2:$L$2436,MATCH($B$3&amp;"|1|"&amp;D$14&amp;"|"&amp;$A23,'Master Data'!$A$2:$A$2436,0)),"")</f>
        <v>Slot kosong</v>
      </c>
      <c r="W23" s="61" t="str">
        <f aca="false">IFERROR(INDEX('Master Data'!$L$2:$L$2436,MATCH($B$3&amp;"|1|"&amp;E$14&amp;"|"&amp;$A23,'Master Data'!$A$2:$A$2436,0)),"")</f>
        <v>Belum terisi</v>
      </c>
      <c r="X23" s="61" t="str">
        <f aca="false">IFERROR(INDEX('Master Data'!$L$2:$L$2436,MATCH($B$3&amp;"|1|"&amp;F$14&amp;"|"&amp;$A23,'Master Data'!$A$2:$A$2436,0)),"")</f>
        <v>Slot kosong</v>
      </c>
      <c r="Y23" s="61" t="str">
        <f aca="false">IFERROR(INDEX('Master Data'!$L$2:$L$2436,MATCH($B$3&amp;"|1|"&amp;G$14&amp;"|"&amp;$A23,'Master Data'!$A$2:$A$2436,0)),"")</f>
        <v>Belum terisi</v>
      </c>
      <c r="Z23" s="61" t="str">
        <f aca="false">IFERROR(INDEX('Master Data'!$L$2:$L$2436,MATCH($B$3&amp;"|1|"&amp;H$14&amp;"|"&amp;$A23,'Master Data'!$A$2:$A$2436,0)),"")</f>
        <v>Belum terisi</v>
      </c>
    </row>
    <row r="24" customFormat="false" ht="30" hidden="false" customHeight="true" outlineLevel="0" collapsed="false">
      <c r="A24" s="59" t="s">
        <v>105</v>
      </c>
      <c r="B24" s="60" t="str">
        <f aca="false">IFERROR(INDEX('Master Data'!$M$2:$M$2436,MATCH($B$3&amp;"|1|"&amp;B$14&amp;"|"&amp;$A24,'Master Data'!$A$2:$A$2436,0)),"")</f>
        <v>(tanpa age group)  0/5
coach: –</v>
      </c>
      <c r="C24" s="60" t="str">
        <f aca="false">IFERROR(INDEX('Master Data'!$M$2:$M$2436,MATCH($B$3&amp;"|1|"&amp;C$14&amp;"|"&amp;$A24,'Master Data'!$A$2:$A$2436,0)),"")</f>
        <v>–</v>
      </c>
      <c r="D24" s="60" t="str">
        <f aca="false">IFERROR(INDEX('Master Data'!$M$2:$M$2436,MATCH($B$3&amp;"|1|"&amp;D$14&amp;"|"&amp;$A24,'Master Data'!$A$2:$A$2436,0)),"")</f>
        <v>(tanpa age group)  0/5
coach: –</v>
      </c>
      <c r="E24" s="60" t="str">
        <f aca="false">IFERROR(INDEX('Master Data'!$M$2:$M$2436,MATCH($B$3&amp;"|1|"&amp;E$14&amp;"|"&amp;$A24,'Master Data'!$A$2:$A$2436,0)),"")</f>
        <v>(tanpa age group)  0/5
coach: –</v>
      </c>
      <c r="F24" s="60" t="str">
        <f aca="false">IFERROR(INDEX('Master Data'!$M$2:$M$2436,MATCH($B$3&amp;"|1|"&amp;F$14&amp;"|"&amp;$A24,'Master Data'!$A$2:$A$2436,0)),"")</f>
        <v>Kids  3/5
coach: Shofwan</v>
      </c>
      <c r="G24" s="60" t="str">
        <f aca="false">IFERROR(INDEX('Master Data'!$M$2:$M$2436,MATCH($B$3&amp;"|1|"&amp;G$14&amp;"|"&amp;$A24,'Master Data'!$A$2:$A$2436,0)),"")</f>
        <v>Baby  0/5
coach: –</v>
      </c>
      <c r="H24" s="60" t="str">
        <f aca="false">IFERROR(INDEX('Master Data'!$M$2:$M$2436,MATCH($B$3&amp;"|1|"&amp;H$14&amp;"|"&amp;$A24,'Master Data'!$A$2:$A$2436,0)),"")</f>
        <v>Kids  4/5
coach: Damai</v>
      </c>
      <c r="T24" s="61" t="str">
        <f aca="false">IFERROR(INDEX('Master Data'!$L$2:$L$2436,MATCH($B$3&amp;"|1|"&amp;B$14&amp;"|"&amp;$A24,'Master Data'!$A$2:$A$2436,0)),"")</f>
        <v>Slot kosong</v>
      </c>
      <c r="U24" s="61" t="str">
        <f aca="false">IFERROR(INDEX('Master Data'!$L$2:$L$2436,MATCH($B$3&amp;"|1|"&amp;C$14&amp;"|"&amp;$A24,'Master Data'!$A$2:$A$2436,0)),"")</f>
        <v>Tidak dibuka</v>
      </c>
      <c r="V24" s="61" t="str">
        <f aca="false">IFERROR(INDEX('Master Data'!$L$2:$L$2436,MATCH($B$3&amp;"|1|"&amp;D$14&amp;"|"&amp;$A24,'Master Data'!$A$2:$A$2436,0)),"")</f>
        <v>Slot kosong</v>
      </c>
      <c r="W24" s="61" t="str">
        <f aca="false">IFERROR(INDEX('Master Data'!$L$2:$L$2436,MATCH($B$3&amp;"|1|"&amp;E$14&amp;"|"&amp;$A24,'Master Data'!$A$2:$A$2436,0)),"")</f>
        <v>Slot kosong</v>
      </c>
      <c r="X24" s="61" t="str">
        <f aca="false">IFERROR(INDEX('Master Data'!$L$2:$L$2436,MATCH($B$3&amp;"|1|"&amp;F$14&amp;"|"&amp;$A24,'Master Data'!$A$2:$A$2436,0)),"")</f>
        <v>Sebagian</v>
      </c>
      <c r="Y24" s="61" t="str">
        <f aca="false">IFERROR(INDEX('Master Data'!$L$2:$L$2436,MATCH($B$3&amp;"|1|"&amp;G$14&amp;"|"&amp;$A24,'Master Data'!$A$2:$A$2436,0)),"")</f>
        <v>Belum terisi</v>
      </c>
      <c r="Z24" s="61" t="str">
        <f aca="false">IFERROR(INDEX('Master Data'!$L$2:$L$2436,MATCH($B$3&amp;"|1|"&amp;H$14&amp;"|"&amp;$A24,'Master Data'!$A$2:$A$2436,0)),"")</f>
        <v>Sebagian</v>
      </c>
    </row>
    <row r="25" customFormat="false" ht="30" hidden="false" customHeight="true" outlineLevel="0" collapsed="false">
      <c r="A25" s="59" t="s">
        <v>106</v>
      </c>
      <c r="B25" s="60" t="str">
        <f aca="false">IFERROR(INDEX('Master Data'!$M$2:$M$2436,MATCH($B$3&amp;"|1|"&amp;B$14&amp;"|"&amp;$A25,'Master Data'!$A$2:$A$2436,0)),"")</f>
        <v>(tanpa age group)  0/5
coach: –</v>
      </c>
      <c r="C25" s="60" t="str">
        <f aca="false">IFERROR(INDEX('Master Data'!$M$2:$M$2436,MATCH($B$3&amp;"|1|"&amp;C$14&amp;"|"&amp;$A25,'Master Data'!$A$2:$A$2436,0)),"")</f>
        <v>(tanpa age group)  0/5
coach: –</v>
      </c>
      <c r="D25" s="60" t="str">
        <f aca="false">IFERROR(INDEX('Master Data'!$M$2:$M$2436,MATCH($B$3&amp;"|1|"&amp;D$14&amp;"|"&amp;$A25,'Master Data'!$A$2:$A$2436,0)),"")</f>
        <v>Baby  0/5
coach: –</v>
      </c>
      <c r="E25" s="60" t="str">
        <f aca="false">IFERROR(INDEX('Master Data'!$M$2:$M$2436,MATCH($B$3&amp;"|1|"&amp;E$14&amp;"|"&amp;$A25,'Master Data'!$A$2:$A$2436,0)),"")</f>
        <v>Kids  3/5
coach: Shofwan</v>
      </c>
      <c r="F25" s="60" t="str">
        <f aca="false">IFERROR(INDEX('Master Data'!$M$2:$M$2436,MATCH($B$3&amp;"|1|"&amp;F$14&amp;"|"&amp;$A25,'Master Data'!$A$2:$A$2436,0)),"")</f>
        <v>Baby  2/5
coach: Damai</v>
      </c>
      <c r="G25" s="60" t="str">
        <f aca="false">IFERROR(INDEX('Master Data'!$M$2:$M$2436,MATCH($B$3&amp;"|1|"&amp;G$14&amp;"|"&amp;$A25,'Master Data'!$A$2:$A$2436,0)),"")</f>
        <v>Baby  4/5
coach: Indah</v>
      </c>
      <c r="H25" s="60" t="str">
        <f aca="false">IFERROR(INDEX('Master Data'!$M$2:$M$2436,MATCH($B$3&amp;"|1|"&amp;H$14&amp;"|"&amp;$A25,'Master Data'!$A$2:$A$2436,0)),"")</f>
        <v>Baby  0/5
coach: –</v>
      </c>
      <c r="T25" s="61" t="str">
        <f aca="false">IFERROR(INDEX('Master Data'!$L$2:$L$2436,MATCH($B$3&amp;"|1|"&amp;B$14&amp;"|"&amp;$A25,'Master Data'!$A$2:$A$2436,0)),"")</f>
        <v>Slot kosong</v>
      </c>
      <c r="U25" s="61" t="str">
        <f aca="false">IFERROR(INDEX('Master Data'!$L$2:$L$2436,MATCH($B$3&amp;"|1|"&amp;C$14&amp;"|"&amp;$A25,'Master Data'!$A$2:$A$2436,0)),"")</f>
        <v>Slot kosong</v>
      </c>
      <c r="V25" s="61" t="str">
        <f aca="false">IFERROR(INDEX('Master Data'!$L$2:$L$2436,MATCH($B$3&amp;"|1|"&amp;D$14&amp;"|"&amp;$A25,'Master Data'!$A$2:$A$2436,0)),"")</f>
        <v>Belum terisi</v>
      </c>
      <c r="W25" s="61" t="str">
        <f aca="false">IFERROR(INDEX('Master Data'!$L$2:$L$2436,MATCH($B$3&amp;"|1|"&amp;E$14&amp;"|"&amp;$A25,'Master Data'!$A$2:$A$2436,0)),"")</f>
        <v>Sebagian</v>
      </c>
      <c r="X25" s="61" t="str">
        <f aca="false">IFERROR(INDEX('Master Data'!$L$2:$L$2436,MATCH($B$3&amp;"|1|"&amp;F$14&amp;"|"&amp;$A25,'Master Data'!$A$2:$A$2436,0)),"")</f>
        <v>Sebagian</v>
      </c>
      <c r="Y25" s="61" t="str">
        <f aca="false">IFERROR(INDEX('Master Data'!$L$2:$L$2436,MATCH($B$3&amp;"|1|"&amp;G$14&amp;"|"&amp;$A25,'Master Data'!$A$2:$A$2436,0)),"")</f>
        <v>Sebagian</v>
      </c>
      <c r="Z25" s="61" t="str">
        <f aca="false">IFERROR(INDEX('Master Data'!$L$2:$L$2436,MATCH($B$3&amp;"|1|"&amp;H$14&amp;"|"&amp;$A25,'Master Data'!$A$2:$A$2436,0)),"")</f>
        <v>Belum terisi</v>
      </c>
    </row>
    <row r="26" customFormat="false" ht="30" hidden="false" customHeight="true" outlineLevel="0" collapsed="false">
      <c r="A26" s="59" t="s">
        <v>107</v>
      </c>
      <c r="B26" s="60" t="str">
        <f aca="false">IFERROR(INDEX('Master Data'!$M$2:$M$2436,MATCH($B$3&amp;"|1|"&amp;B$14&amp;"|"&amp;$A26,'Master Data'!$A$2:$A$2436,0)),"")</f>
        <v>Baby  0/5
coach: –</v>
      </c>
      <c r="C26" s="60" t="str">
        <f aca="false">IFERROR(INDEX('Master Data'!$M$2:$M$2436,MATCH($B$3&amp;"|1|"&amp;C$14&amp;"|"&amp;$A26,'Master Data'!$A$2:$A$2436,0)),"")</f>
        <v>(tanpa age group)  0/5
coach: –</v>
      </c>
      <c r="D26" s="60" t="str">
        <f aca="false">IFERROR(INDEX('Master Data'!$M$2:$M$2436,MATCH($B$3&amp;"|1|"&amp;D$14&amp;"|"&amp;$A26,'Master Data'!$A$2:$A$2436,0)),"")</f>
        <v>(tanpa age group)  0/5
coach: –</v>
      </c>
      <c r="E26" s="60" t="str">
        <f aca="false">IFERROR(INDEX('Master Data'!$M$2:$M$2436,MATCH($B$3&amp;"|1|"&amp;E$14&amp;"|"&amp;$A26,'Master Data'!$A$2:$A$2436,0)),"")</f>
        <v>(tanpa age group)  0/5
coach: –</v>
      </c>
      <c r="F26" s="60" t="str">
        <f aca="false">IFERROR(INDEX('Master Data'!$M$2:$M$2436,MATCH($B$3&amp;"|1|"&amp;F$14&amp;"|"&amp;$A26,'Master Data'!$A$2:$A$2436,0)),"")</f>
        <v>Baby  0/5
coach: –</v>
      </c>
      <c r="G26" s="60" t="str">
        <f aca="false">IFERROR(INDEX('Master Data'!$M$2:$M$2436,MATCH($B$3&amp;"|1|"&amp;G$14&amp;"|"&amp;$A26,'Master Data'!$A$2:$A$2436,0)),"")</f>
        <v>Baby  0/5
coach: –</v>
      </c>
      <c r="H26" s="60" t="str">
        <f aca="false">IFERROR(INDEX('Master Data'!$M$2:$M$2436,MATCH($B$3&amp;"|1|"&amp;H$14&amp;"|"&amp;$A26,'Master Data'!$A$2:$A$2436,0)),"")</f>
        <v>Baby  0/5
coach: –</v>
      </c>
      <c r="T26" s="61" t="str">
        <f aca="false">IFERROR(INDEX('Master Data'!$L$2:$L$2436,MATCH($B$3&amp;"|1|"&amp;B$14&amp;"|"&amp;$A26,'Master Data'!$A$2:$A$2436,0)),"")</f>
        <v>Belum terisi</v>
      </c>
      <c r="U26" s="61" t="str">
        <f aca="false">IFERROR(INDEX('Master Data'!$L$2:$L$2436,MATCH($B$3&amp;"|1|"&amp;C$14&amp;"|"&amp;$A26,'Master Data'!$A$2:$A$2436,0)),"")</f>
        <v>Slot kosong</v>
      </c>
      <c r="V26" s="61" t="str">
        <f aca="false">IFERROR(INDEX('Master Data'!$L$2:$L$2436,MATCH($B$3&amp;"|1|"&amp;D$14&amp;"|"&amp;$A26,'Master Data'!$A$2:$A$2436,0)),"")</f>
        <v>Slot kosong</v>
      </c>
      <c r="W26" s="61" t="str">
        <f aca="false">IFERROR(INDEX('Master Data'!$L$2:$L$2436,MATCH($B$3&amp;"|1|"&amp;E$14&amp;"|"&amp;$A26,'Master Data'!$A$2:$A$2436,0)),"")</f>
        <v>Slot kosong</v>
      </c>
      <c r="X26" s="61" t="str">
        <f aca="false">IFERROR(INDEX('Master Data'!$L$2:$L$2436,MATCH($B$3&amp;"|1|"&amp;F$14&amp;"|"&amp;$A26,'Master Data'!$A$2:$A$2436,0)),"")</f>
        <v>Belum terisi</v>
      </c>
      <c r="Y26" s="61" t="str">
        <f aca="false">IFERROR(INDEX('Master Data'!$L$2:$L$2436,MATCH($B$3&amp;"|1|"&amp;G$14&amp;"|"&amp;$A26,'Master Data'!$A$2:$A$2436,0)),"")</f>
        <v>Belum terisi</v>
      </c>
      <c r="Z26" s="61" t="str">
        <f aca="false">IFERROR(INDEX('Master Data'!$L$2:$L$2436,MATCH($B$3&amp;"|1|"&amp;H$14&amp;"|"&amp;$A26,'Master Data'!$A$2:$A$2436,0)),"")</f>
        <v>Belum terisi</v>
      </c>
    </row>
    <row r="28" customFormat="false" ht="16.15" hidden="false" customHeight="false" outlineLevel="0" collapsed="false">
      <c r="A28" s="54" t="s">
        <v>108</v>
      </c>
      <c r="B28" s="55"/>
      <c r="C28" s="56" t="str">
        <f aca="false">"Utilisasi lane: "&amp;IFERROR(TEXT(SUMIFS('Master Data'!$H$2:$H$2436,'Master Data'!$B$2:$B$2436,$B$3,'Master Data'!$C$2:$C$2436,2,'Master Data'!$G$2:$G$2436,"&gt;0")/SUMIFS('Master Data'!$G$2:$G$2436,'Master Data'!$B$2:$B$2436,$B$3,'Master Data'!$C$2:$C$2436,2,'Master Data'!$G$2:$G$2436,"&gt;0"),"0%"),"–")&amp;"   ·   Belum terisi: "&amp;COUNTIFS('Master Data'!$B$2:$B$2436,$B$3,'Master Data'!$C$2:$C$2436,2,'Master Data'!$L$2:$L$2436,"Belum terisi")&amp;"   ·   Slot kosong: "&amp;COUNTIFS('Master Data'!$B$2:$B$2436,$B$3,'Master Data'!$C$2:$C$2436,2,'Master Data'!$L$2:$L$2436,"Slot kosong")</f>
        <v>Utilisasi lane: 23%   ·   Belum terisi: 32   ·   Slot kosong: 6</v>
      </c>
      <c r="D28" s="55"/>
      <c r="E28" s="55"/>
      <c r="F28" s="55"/>
      <c r="G28" s="55"/>
      <c r="H28" s="55"/>
    </row>
    <row r="29" customFormat="false" ht="15" hidden="false" customHeight="false" outlineLevel="0" collapsed="false">
      <c r="A29" s="57" t="s">
        <v>89</v>
      </c>
      <c r="B29" s="58" t="s">
        <v>90</v>
      </c>
      <c r="C29" s="58" t="s">
        <v>91</v>
      </c>
      <c r="D29" s="58" t="s">
        <v>92</v>
      </c>
      <c r="E29" s="58" t="s">
        <v>93</v>
      </c>
      <c r="F29" s="58" t="s">
        <v>94</v>
      </c>
      <c r="G29" s="58" t="s">
        <v>95</v>
      </c>
      <c r="H29" s="58" t="s">
        <v>78</v>
      </c>
    </row>
    <row r="30" customFormat="false" ht="30" hidden="false" customHeight="true" outlineLevel="0" collapsed="false">
      <c r="A30" s="59" t="s">
        <v>96</v>
      </c>
      <c r="B30" s="60" t="str">
        <f aca="false">IFERROR(INDEX('Master Data'!$M$2:$M$2436,MATCH($B$3&amp;"|2|"&amp;B$29&amp;"|"&amp;$A30,'Master Data'!$A$2:$A$2436,0)),"")</f>
        <v>Tiny  0/0
coach: –</v>
      </c>
      <c r="C30" s="60" t="str">
        <f aca="false">IFERROR(INDEX('Master Data'!$M$2:$M$2436,MATCH($B$3&amp;"|2|"&amp;C$29&amp;"|"&amp;$A30,'Master Data'!$A$2:$A$2436,0)),"")</f>
        <v>Tiny  0/0
coach: –</v>
      </c>
      <c r="D30" s="60" t="str">
        <f aca="false">IFERROR(INDEX('Master Data'!$M$2:$M$2436,MATCH($B$3&amp;"|2|"&amp;D$29&amp;"|"&amp;$A30,'Master Data'!$A$2:$A$2436,0)),"")</f>
        <v>Tiny  0/0
coach: –</v>
      </c>
      <c r="E30" s="60" t="str">
        <f aca="false">IFERROR(INDEX('Master Data'!$M$2:$M$2436,MATCH($B$3&amp;"|2|"&amp;E$29&amp;"|"&amp;$A30,'Master Data'!$A$2:$A$2436,0)),"")</f>
        <v>Tiny  0/0
coach: –</v>
      </c>
      <c r="F30" s="60" t="str">
        <f aca="false">IFERROR(INDEX('Master Data'!$M$2:$M$2436,MATCH($B$3&amp;"|2|"&amp;F$29&amp;"|"&amp;$A30,'Master Data'!$A$2:$A$2436,0)),"")</f>
        <v>Tiny  0/0
coach: –</v>
      </c>
      <c r="G30" s="60" t="str">
        <f aca="false">IFERROR(INDEX('Master Data'!$M$2:$M$2436,MATCH($B$3&amp;"|2|"&amp;G$29&amp;"|"&amp;$A30,'Master Data'!$A$2:$A$2436,0)),"")</f>
        <v>Tiny  0/0
coach: –</v>
      </c>
      <c r="H30" s="60" t="str">
        <f aca="false">IFERROR(INDEX('Master Data'!$M$2:$M$2436,MATCH($B$3&amp;"|2|"&amp;H$29&amp;"|"&amp;$A30,'Master Data'!$A$2:$A$2436,0)),"")</f>
        <v>Tiny  0/0
coach: –</v>
      </c>
      <c r="T30" s="61" t="str">
        <f aca="false">IFERROR(INDEX('Master Data'!$L$2:$L$2436,MATCH($B$3&amp;"|2|"&amp;B$29&amp;"|"&amp;$A30,'Master Data'!$A$2:$A$2436,0)),"")</f>
        <v>Tutup</v>
      </c>
      <c r="U30" s="61" t="str">
        <f aca="false">IFERROR(INDEX('Master Data'!$L$2:$L$2436,MATCH($B$3&amp;"|2|"&amp;C$29&amp;"|"&amp;$A30,'Master Data'!$A$2:$A$2436,0)),"")</f>
        <v>Tutup</v>
      </c>
      <c r="V30" s="61" t="str">
        <f aca="false">IFERROR(INDEX('Master Data'!$L$2:$L$2436,MATCH($B$3&amp;"|2|"&amp;D$29&amp;"|"&amp;$A30,'Master Data'!$A$2:$A$2436,0)),"")</f>
        <v>Tutup</v>
      </c>
      <c r="W30" s="61" t="str">
        <f aca="false">IFERROR(INDEX('Master Data'!$L$2:$L$2436,MATCH($B$3&amp;"|2|"&amp;E$29&amp;"|"&amp;$A30,'Master Data'!$A$2:$A$2436,0)),"")</f>
        <v>Tutup</v>
      </c>
      <c r="X30" s="61" t="str">
        <f aca="false">IFERROR(INDEX('Master Data'!$L$2:$L$2436,MATCH($B$3&amp;"|2|"&amp;F$29&amp;"|"&amp;$A30,'Master Data'!$A$2:$A$2436,0)),"")</f>
        <v>Tutup</v>
      </c>
      <c r="Y30" s="61" t="str">
        <f aca="false">IFERROR(INDEX('Master Data'!$L$2:$L$2436,MATCH($B$3&amp;"|2|"&amp;G$29&amp;"|"&amp;$A30,'Master Data'!$A$2:$A$2436,0)),"")</f>
        <v>Tutup</v>
      </c>
      <c r="Z30" s="61" t="str">
        <f aca="false">IFERROR(INDEX('Master Data'!$L$2:$L$2436,MATCH($B$3&amp;"|2|"&amp;H$29&amp;"|"&amp;$A30,'Master Data'!$A$2:$A$2436,0)),"")</f>
        <v>Tutup</v>
      </c>
    </row>
    <row r="31" customFormat="false" ht="30" hidden="false" customHeight="true" outlineLevel="0" collapsed="false">
      <c r="A31" s="59" t="s">
        <v>97</v>
      </c>
      <c r="B31" s="60" t="str">
        <f aca="false">IFERROR(INDEX('Master Data'!$M$2:$M$2436,MATCH($B$3&amp;"|2|"&amp;B$29&amp;"|"&amp;$A31,'Master Data'!$A$2:$A$2436,0)),"")</f>
        <v>Tiny  0/5
coach: –</v>
      </c>
      <c r="C31" s="60" t="str">
        <f aca="false">IFERROR(INDEX('Master Data'!$M$2:$M$2436,MATCH($B$3&amp;"|2|"&amp;C$29&amp;"|"&amp;$A31,'Master Data'!$A$2:$A$2436,0)),"")</f>
        <v>Tiny  3/5
coach: Shofwan</v>
      </c>
      <c r="D31" s="60" t="str">
        <f aca="false">IFERROR(INDEX('Master Data'!$M$2:$M$2436,MATCH($B$3&amp;"|2|"&amp;D$29&amp;"|"&amp;$A31,'Master Data'!$A$2:$A$2436,0)),"")</f>
        <v>Tiny  0/5
coach: –</v>
      </c>
      <c r="E31" s="60" t="str">
        <f aca="false">IFERROR(INDEX('Master Data'!$M$2:$M$2436,MATCH($B$3&amp;"|2|"&amp;E$29&amp;"|"&amp;$A31,'Master Data'!$A$2:$A$2436,0)),"")</f>
        <v>Tiny  0/5
coach: –</v>
      </c>
      <c r="F31" s="60" t="str">
        <f aca="false">IFERROR(INDEX('Master Data'!$M$2:$M$2436,MATCH($B$3&amp;"|2|"&amp;F$29&amp;"|"&amp;$A31,'Master Data'!$A$2:$A$2436,0)),"")</f>
        <v>Tiny  2/5
coach: Indah</v>
      </c>
      <c r="G31" s="60" t="str">
        <f aca="false">IFERROR(INDEX('Master Data'!$M$2:$M$2436,MATCH($B$3&amp;"|2|"&amp;G$29&amp;"|"&amp;$A31,'Master Data'!$A$2:$A$2436,0)),"")</f>
        <v>Tiny  4/5
coach: Damai</v>
      </c>
      <c r="H31" s="60" t="str">
        <f aca="false">IFERROR(INDEX('Master Data'!$M$2:$M$2436,MATCH($B$3&amp;"|2|"&amp;H$29&amp;"|"&amp;$A31,'Master Data'!$A$2:$A$2436,0)),"")</f>
        <v>Tiny  0/5
coach: –</v>
      </c>
      <c r="T31" s="61" t="str">
        <f aca="false">IFERROR(INDEX('Master Data'!$L$2:$L$2436,MATCH($B$3&amp;"|2|"&amp;B$29&amp;"|"&amp;$A31,'Master Data'!$A$2:$A$2436,0)),"")</f>
        <v>Belum terisi</v>
      </c>
      <c r="U31" s="61" t="str">
        <f aca="false">IFERROR(INDEX('Master Data'!$L$2:$L$2436,MATCH($B$3&amp;"|2|"&amp;C$29&amp;"|"&amp;$A31,'Master Data'!$A$2:$A$2436,0)),"")</f>
        <v>Sebagian</v>
      </c>
      <c r="V31" s="61" t="str">
        <f aca="false">IFERROR(INDEX('Master Data'!$L$2:$L$2436,MATCH($B$3&amp;"|2|"&amp;D$29&amp;"|"&amp;$A31,'Master Data'!$A$2:$A$2436,0)),"")</f>
        <v>Belum terisi</v>
      </c>
      <c r="W31" s="61" t="str">
        <f aca="false">IFERROR(INDEX('Master Data'!$L$2:$L$2436,MATCH($B$3&amp;"|2|"&amp;E$29&amp;"|"&amp;$A31,'Master Data'!$A$2:$A$2436,0)),"")</f>
        <v>Belum terisi</v>
      </c>
      <c r="X31" s="61" t="str">
        <f aca="false">IFERROR(INDEX('Master Data'!$L$2:$L$2436,MATCH($B$3&amp;"|2|"&amp;F$29&amp;"|"&amp;$A31,'Master Data'!$A$2:$A$2436,0)),"")</f>
        <v>Sebagian</v>
      </c>
      <c r="Y31" s="61" t="str">
        <f aca="false">IFERROR(INDEX('Master Data'!$L$2:$L$2436,MATCH($B$3&amp;"|2|"&amp;G$29&amp;"|"&amp;$A31,'Master Data'!$A$2:$A$2436,0)),"")</f>
        <v>Sebagian</v>
      </c>
      <c r="Z31" s="61" t="str">
        <f aca="false">IFERROR(INDEX('Master Data'!$L$2:$L$2436,MATCH($B$3&amp;"|2|"&amp;H$29&amp;"|"&amp;$A31,'Master Data'!$A$2:$A$2436,0)),"")</f>
        <v>Belum terisi</v>
      </c>
    </row>
    <row r="32" customFormat="false" ht="30" hidden="false" customHeight="true" outlineLevel="0" collapsed="false">
      <c r="A32" s="59" t="s">
        <v>98</v>
      </c>
      <c r="B32" s="60" t="str">
        <f aca="false">IFERROR(INDEX('Master Data'!$M$2:$M$2436,MATCH($B$3&amp;"|2|"&amp;B$29&amp;"|"&amp;$A32,'Master Data'!$A$2:$A$2436,0)),"")</f>
        <v>Tiny  3/5
coach: Damai</v>
      </c>
      <c r="C32" s="60" t="str">
        <f aca="false">IFERROR(INDEX('Master Data'!$M$2:$M$2436,MATCH($B$3&amp;"|2|"&amp;C$29&amp;"|"&amp;$A32,'Master Data'!$A$2:$A$2436,0)),"")</f>
        <v>Tiny  1/5
coach: Shofwan</v>
      </c>
      <c r="D32" s="60" t="str">
        <f aca="false">IFERROR(INDEX('Master Data'!$M$2:$M$2436,MATCH($B$3&amp;"|2|"&amp;D$29&amp;"|"&amp;$A32,'Master Data'!$A$2:$A$2436,0)),"")</f>
        <v>Tiny  3/5
coach: Indah</v>
      </c>
      <c r="E32" s="60" t="str">
        <f aca="false">IFERROR(INDEX('Master Data'!$M$2:$M$2436,MATCH($B$3&amp;"|2|"&amp;E$29&amp;"|"&amp;$A32,'Master Data'!$A$2:$A$2436,0)),"")</f>
        <v>Tiny  3/5
coach: Kamal</v>
      </c>
      <c r="F32" s="60" t="str">
        <f aca="false">IFERROR(INDEX('Master Data'!$M$2:$M$2436,MATCH($B$3&amp;"|2|"&amp;F$29&amp;"|"&amp;$A32,'Master Data'!$A$2:$A$2436,0)),"")</f>
        <v>Tiny  2/5
coach: Kamal</v>
      </c>
      <c r="G32" s="60" t="str">
        <f aca="false">IFERROR(INDEX('Master Data'!$M$2:$M$2436,MATCH($B$3&amp;"|2|"&amp;G$29&amp;"|"&amp;$A32,'Master Data'!$A$2:$A$2436,0)),"")</f>
        <v>Tiny  4/5
coach: Laksamana</v>
      </c>
      <c r="H32" s="60" t="str">
        <f aca="false">IFERROR(INDEX('Master Data'!$M$2:$M$2436,MATCH($B$3&amp;"|2|"&amp;H$29&amp;"|"&amp;$A32,'Master Data'!$A$2:$A$2436,0)),"")</f>
        <v>Tiny  5/5
coach: Damai</v>
      </c>
      <c r="T32" s="61" t="str">
        <f aca="false">IFERROR(INDEX('Master Data'!$L$2:$L$2436,MATCH($B$3&amp;"|2|"&amp;B$29&amp;"|"&amp;$A32,'Master Data'!$A$2:$A$2436,0)),"")</f>
        <v>Sebagian</v>
      </c>
      <c r="U32" s="61" t="str">
        <f aca="false">IFERROR(INDEX('Master Data'!$L$2:$L$2436,MATCH($B$3&amp;"|2|"&amp;C$29&amp;"|"&amp;$A32,'Master Data'!$A$2:$A$2436,0)),"")</f>
        <v>Sebagian</v>
      </c>
      <c r="V32" s="61" t="str">
        <f aca="false">IFERROR(INDEX('Master Data'!$L$2:$L$2436,MATCH($B$3&amp;"|2|"&amp;D$29&amp;"|"&amp;$A32,'Master Data'!$A$2:$A$2436,0)),"")</f>
        <v>Sebagian</v>
      </c>
      <c r="W32" s="61" t="str">
        <f aca="false">IFERROR(INDEX('Master Data'!$L$2:$L$2436,MATCH($B$3&amp;"|2|"&amp;E$29&amp;"|"&amp;$A32,'Master Data'!$A$2:$A$2436,0)),"")</f>
        <v>Sebagian</v>
      </c>
      <c r="X32" s="61" t="str">
        <f aca="false">IFERROR(INDEX('Master Data'!$L$2:$L$2436,MATCH($B$3&amp;"|2|"&amp;F$29&amp;"|"&amp;$A32,'Master Data'!$A$2:$A$2436,0)),"")</f>
        <v>Sebagian</v>
      </c>
      <c r="Y32" s="61" t="str">
        <f aca="false">IFERROR(INDEX('Master Data'!$L$2:$L$2436,MATCH($B$3&amp;"|2|"&amp;G$29&amp;"|"&amp;$A32,'Master Data'!$A$2:$A$2436,0)),"")</f>
        <v>Sebagian</v>
      </c>
      <c r="Z32" s="61" t="str">
        <f aca="false">IFERROR(INDEX('Master Data'!$L$2:$L$2436,MATCH($B$3&amp;"|2|"&amp;H$29&amp;"|"&amp;$A32,'Master Data'!$A$2:$A$2436,0)),"")</f>
        <v>Penuh</v>
      </c>
    </row>
    <row r="33" customFormat="false" ht="30" hidden="false" customHeight="true" outlineLevel="0" collapsed="false">
      <c r="A33" s="59" t="s">
        <v>99</v>
      </c>
      <c r="B33" s="60" t="str">
        <f aca="false">IFERROR(INDEX('Master Data'!$M$2:$M$2436,MATCH($B$3&amp;"|2|"&amp;B$29&amp;"|"&amp;$A33,'Master Data'!$A$2:$A$2436,0)),"")</f>
        <v>Tiny  0/5
coach: –</v>
      </c>
      <c r="C33" s="60" t="str">
        <f aca="false">IFERROR(INDEX('Master Data'!$M$2:$M$2436,MATCH($B$3&amp;"|2|"&amp;C$29&amp;"|"&amp;$A33,'Master Data'!$A$2:$A$2436,0)),"")</f>
        <v>Tiny  0/5
coach: –</v>
      </c>
      <c r="D33" s="60" t="str">
        <f aca="false">IFERROR(INDEX('Master Data'!$M$2:$M$2436,MATCH($B$3&amp;"|2|"&amp;D$29&amp;"|"&amp;$A33,'Master Data'!$A$2:$A$2436,0)),"")</f>
        <v>Tiny  2/5
coach: Indah</v>
      </c>
      <c r="E33" s="60" t="str">
        <f aca="false">IFERROR(INDEX('Master Data'!$M$2:$M$2436,MATCH($B$3&amp;"|2|"&amp;E$29&amp;"|"&amp;$A33,'Master Data'!$A$2:$A$2436,0)),"")</f>
        <v>Tiny  0/5
coach: –</v>
      </c>
      <c r="F33" s="60" t="str">
        <f aca="false">IFERROR(INDEX('Master Data'!$M$2:$M$2436,MATCH($B$3&amp;"|2|"&amp;F$29&amp;"|"&amp;$A33,'Master Data'!$A$2:$A$2436,0)),"")</f>
        <v>Tiny  0/5
coach: –</v>
      </c>
      <c r="G33" s="60" t="str">
        <f aca="false">IFERROR(INDEX('Master Data'!$M$2:$M$2436,MATCH($B$3&amp;"|2|"&amp;G$29&amp;"|"&amp;$A33,'Master Data'!$A$2:$A$2436,0)),"")</f>
        <v>Tiny  3/5
coach: Indah</v>
      </c>
      <c r="H33" s="60" t="str">
        <f aca="false">IFERROR(INDEX('Master Data'!$M$2:$M$2436,MATCH($B$3&amp;"|2|"&amp;H$29&amp;"|"&amp;$A33,'Master Data'!$A$2:$A$2436,0)),"")</f>
        <v>Tiny  0/5
coach: –</v>
      </c>
      <c r="T33" s="61" t="str">
        <f aca="false">IFERROR(INDEX('Master Data'!$L$2:$L$2436,MATCH($B$3&amp;"|2|"&amp;B$29&amp;"|"&amp;$A33,'Master Data'!$A$2:$A$2436,0)),"")</f>
        <v>Belum terisi</v>
      </c>
      <c r="U33" s="61" t="str">
        <f aca="false">IFERROR(INDEX('Master Data'!$L$2:$L$2436,MATCH($B$3&amp;"|2|"&amp;C$29&amp;"|"&amp;$A33,'Master Data'!$A$2:$A$2436,0)),"")</f>
        <v>Belum terisi</v>
      </c>
      <c r="V33" s="61" t="str">
        <f aca="false">IFERROR(INDEX('Master Data'!$L$2:$L$2436,MATCH($B$3&amp;"|2|"&amp;D$29&amp;"|"&amp;$A33,'Master Data'!$A$2:$A$2436,0)),"")</f>
        <v>Sebagian</v>
      </c>
      <c r="W33" s="61" t="str">
        <f aca="false">IFERROR(INDEX('Master Data'!$L$2:$L$2436,MATCH($B$3&amp;"|2|"&amp;E$29&amp;"|"&amp;$A33,'Master Data'!$A$2:$A$2436,0)),"")</f>
        <v>Belum terisi</v>
      </c>
      <c r="X33" s="61" t="str">
        <f aca="false">IFERROR(INDEX('Master Data'!$L$2:$L$2436,MATCH($B$3&amp;"|2|"&amp;F$29&amp;"|"&amp;$A33,'Master Data'!$A$2:$A$2436,0)),"")</f>
        <v>Belum terisi</v>
      </c>
      <c r="Y33" s="61" t="str">
        <f aca="false">IFERROR(INDEX('Master Data'!$L$2:$L$2436,MATCH($B$3&amp;"|2|"&amp;G$29&amp;"|"&amp;$A33,'Master Data'!$A$2:$A$2436,0)),"")</f>
        <v>Sebagian</v>
      </c>
      <c r="Z33" s="61" t="str">
        <f aca="false">IFERROR(INDEX('Master Data'!$L$2:$L$2436,MATCH($B$3&amp;"|2|"&amp;H$29&amp;"|"&amp;$A33,'Master Data'!$A$2:$A$2436,0)),"")</f>
        <v>Belum terisi</v>
      </c>
    </row>
    <row r="34" customFormat="false" ht="30" hidden="false" customHeight="true" outlineLevel="0" collapsed="false">
      <c r="A34" s="59" t="s">
        <v>100</v>
      </c>
      <c r="B34" s="60" t="str">
        <f aca="false">IFERROR(INDEX('Master Data'!$M$2:$M$2436,MATCH($B$3&amp;"|2|"&amp;B$29&amp;"|"&amp;$A34,'Master Data'!$A$2:$A$2436,0)),"")</f>
        <v>Tiny  0/5
coach: –</v>
      </c>
      <c r="C34" s="60" t="str">
        <f aca="false">IFERROR(INDEX('Master Data'!$M$2:$M$2436,MATCH($B$3&amp;"|2|"&amp;C$29&amp;"|"&amp;$A34,'Master Data'!$A$2:$A$2436,0)),"")</f>
        <v>Tiny  3/5
coach: Shofwan</v>
      </c>
      <c r="D34" s="60" t="str">
        <f aca="false">IFERROR(INDEX('Master Data'!$M$2:$M$2436,MATCH($B$3&amp;"|2|"&amp;D$29&amp;"|"&amp;$A34,'Master Data'!$A$2:$A$2436,0)),"")</f>
        <v>Tiny  0/5
coach: –</v>
      </c>
      <c r="E34" s="60" t="str">
        <f aca="false">IFERROR(INDEX('Master Data'!$M$2:$M$2436,MATCH($B$3&amp;"|2|"&amp;E$29&amp;"|"&amp;$A34,'Master Data'!$A$2:$A$2436,0)),"")</f>
        <v>Tiny  1/5
coach: Laksamana</v>
      </c>
      <c r="F34" s="60" t="str">
        <f aca="false">IFERROR(INDEX('Master Data'!$M$2:$M$2436,MATCH($B$3&amp;"|2|"&amp;F$29&amp;"|"&amp;$A34,'Master Data'!$A$2:$A$2436,0)),"")</f>
        <v>Tiny  0/5
coach: –</v>
      </c>
      <c r="G34" s="60" t="str">
        <f aca="false">IFERROR(INDEX('Master Data'!$M$2:$M$2436,MATCH($B$3&amp;"|2|"&amp;G$29&amp;"|"&amp;$A34,'Master Data'!$A$2:$A$2436,0)),"")</f>
        <v>Tiny  4/5
coach: Laksamana</v>
      </c>
      <c r="H34" s="60" t="str">
        <f aca="false">IFERROR(INDEX('Master Data'!$M$2:$M$2436,MATCH($B$3&amp;"|2|"&amp;H$29&amp;"|"&amp;$A34,'Master Data'!$A$2:$A$2436,0)),"")</f>
        <v>Tiny  4/5
coach: Damai</v>
      </c>
      <c r="T34" s="61" t="str">
        <f aca="false">IFERROR(INDEX('Master Data'!$L$2:$L$2436,MATCH($B$3&amp;"|2|"&amp;B$29&amp;"|"&amp;$A34,'Master Data'!$A$2:$A$2436,0)),"")</f>
        <v>Belum terisi</v>
      </c>
      <c r="U34" s="61" t="str">
        <f aca="false">IFERROR(INDEX('Master Data'!$L$2:$L$2436,MATCH($B$3&amp;"|2|"&amp;C$29&amp;"|"&amp;$A34,'Master Data'!$A$2:$A$2436,0)),"")</f>
        <v>Sebagian</v>
      </c>
      <c r="V34" s="61" t="str">
        <f aca="false">IFERROR(INDEX('Master Data'!$L$2:$L$2436,MATCH($B$3&amp;"|2|"&amp;D$29&amp;"|"&amp;$A34,'Master Data'!$A$2:$A$2436,0)),"")</f>
        <v>Belum terisi</v>
      </c>
      <c r="W34" s="61" t="str">
        <f aca="false">IFERROR(INDEX('Master Data'!$L$2:$L$2436,MATCH($B$3&amp;"|2|"&amp;E$29&amp;"|"&amp;$A34,'Master Data'!$A$2:$A$2436,0)),"")</f>
        <v>Sebagian</v>
      </c>
      <c r="X34" s="61" t="str">
        <f aca="false">IFERROR(INDEX('Master Data'!$L$2:$L$2436,MATCH($B$3&amp;"|2|"&amp;F$29&amp;"|"&amp;$A34,'Master Data'!$A$2:$A$2436,0)),"")</f>
        <v>Belum terisi</v>
      </c>
      <c r="Y34" s="61" t="str">
        <f aca="false">IFERROR(INDEX('Master Data'!$L$2:$L$2436,MATCH($B$3&amp;"|2|"&amp;G$29&amp;"|"&amp;$A34,'Master Data'!$A$2:$A$2436,0)),"")</f>
        <v>Sebagian</v>
      </c>
      <c r="Z34" s="61" t="str">
        <f aca="false">IFERROR(INDEX('Master Data'!$L$2:$L$2436,MATCH($B$3&amp;"|2|"&amp;H$29&amp;"|"&amp;$A34,'Master Data'!$A$2:$A$2436,0)),"")</f>
        <v>Sebagian</v>
      </c>
    </row>
    <row r="35" customFormat="false" ht="30" hidden="false" customHeight="true" outlineLevel="0" collapsed="false">
      <c r="A35" s="59" t="s">
        <v>101</v>
      </c>
      <c r="B35" s="60" t="str">
        <f aca="false">IFERROR(INDEX('Master Data'!$M$2:$M$2436,MATCH($B$3&amp;"|2|"&amp;B$29&amp;"|"&amp;$A35,'Master Data'!$A$2:$A$2436,0)),"")</f>
        <v>Tiny  0/0
coach: –</v>
      </c>
      <c r="C35" s="60" t="str">
        <f aca="false">IFERROR(INDEX('Master Data'!$M$2:$M$2436,MATCH($B$3&amp;"|2|"&amp;C$29&amp;"|"&amp;$A35,'Master Data'!$A$2:$A$2436,0)),"")</f>
        <v>Tiny  0/0
coach: –</v>
      </c>
      <c r="D35" s="60" t="str">
        <f aca="false">IFERROR(INDEX('Master Data'!$M$2:$M$2436,MATCH($B$3&amp;"|2|"&amp;D$29&amp;"|"&amp;$A35,'Master Data'!$A$2:$A$2436,0)),"")</f>
        <v>Tiny  0/0
coach: –</v>
      </c>
      <c r="E35" s="60" t="str">
        <f aca="false">IFERROR(INDEX('Master Data'!$M$2:$M$2436,MATCH($B$3&amp;"|2|"&amp;E$29&amp;"|"&amp;$A35,'Master Data'!$A$2:$A$2436,0)),"")</f>
        <v>Tiny  0/0
coach: –</v>
      </c>
      <c r="F35" s="60" t="str">
        <f aca="false">IFERROR(INDEX('Master Data'!$M$2:$M$2436,MATCH($B$3&amp;"|2|"&amp;F$29&amp;"|"&amp;$A35,'Master Data'!$A$2:$A$2436,0)),"")</f>
        <v>Tiny  0/0
coach: –</v>
      </c>
      <c r="G35" s="60" t="str">
        <f aca="false">IFERROR(INDEX('Master Data'!$M$2:$M$2436,MATCH($B$3&amp;"|2|"&amp;G$29&amp;"|"&amp;$A35,'Master Data'!$A$2:$A$2436,0)),"")</f>
        <v>Tiny  0/5
coach: –</v>
      </c>
      <c r="H35" s="60" t="str">
        <f aca="false">IFERROR(INDEX('Master Data'!$M$2:$M$2436,MATCH($B$3&amp;"|2|"&amp;H$29&amp;"|"&amp;$A35,'Master Data'!$A$2:$A$2436,0)),"")</f>
        <v>Tiny  0/5
coach: –</v>
      </c>
      <c r="T35" s="61" t="str">
        <f aca="false">IFERROR(INDEX('Master Data'!$L$2:$L$2436,MATCH($B$3&amp;"|2|"&amp;B$29&amp;"|"&amp;$A35,'Master Data'!$A$2:$A$2436,0)),"")</f>
        <v>Tutup</v>
      </c>
      <c r="U35" s="61" t="str">
        <f aca="false">IFERROR(INDEX('Master Data'!$L$2:$L$2436,MATCH($B$3&amp;"|2|"&amp;C$29&amp;"|"&amp;$A35,'Master Data'!$A$2:$A$2436,0)),"")</f>
        <v>Tutup</v>
      </c>
      <c r="V35" s="61" t="str">
        <f aca="false">IFERROR(INDEX('Master Data'!$L$2:$L$2436,MATCH($B$3&amp;"|2|"&amp;D$29&amp;"|"&amp;$A35,'Master Data'!$A$2:$A$2436,0)),"")</f>
        <v>Tutup</v>
      </c>
      <c r="W35" s="61" t="str">
        <f aca="false">IFERROR(INDEX('Master Data'!$L$2:$L$2436,MATCH($B$3&amp;"|2|"&amp;E$29&amp;"|"&amp;$A35,'Master Data'!$A$2:$A$2436,0)),"")</f>
        <v>Tutup</v>
      </c>
      <c r="X35" s="61" t="str">
        <f aca="false">IFERROR(INDEX('Master Data'!$L$2:$L$2436,MATCH($B$3&amp;"|2|"&amp;F$29&amp;"|"&amp;$A35,'Master Data'!$A$2:$A$2436,0)),"")</f>
        <v>Tutup</v>
      </c>
      <c r="Y35" s="61" t="str">
        <f aca="false">IFERROR(INDEX('Master Data'!$L$2:$L$2436,MATCH($B$3&amp;"|2|"&amp;G$29&amp;"|"&amp;$A35,'Master Data'!$A$2:$A$2436,0)),"")</f>
        <v>Belum terisi</v>
      </c>
      <c r="Z35" s="61" t="str">
        <f aca="false">IFERROR(INDEX('Master Data'!$L$2:$L$2436,MATCH($B$3&amp;"|2|"&amp;H$29&amp;"|"&amp;$A35,'Master Data'!$A$2:$A$2436,0)),"")</f>
        <v>Belum terisi</v>
      </c>
    </row>
    <row r="36" customFormat="false" ht="30" hidden="false" customHeight="true" outlineLevel="0" collapsed="false">
      <c r="A36" s="59" t="s">
        <v>102</v>
      </c>
      <c r="B36" s="60" t="str">
        <f aca="false">IFERROR(INDEX('Master Data'!$M$2:$M$2436,MATCH($B$3&amp;"|2|"&amp;B$29&amp;"|"&amp;$A36,'Master Data'!$A$2:$A$2436,0)),"")</f>
        <v>Tiny  0/5
coach: –</v>
      </c>
      <c r="C36" s="60" t="str">
        <f aca="false">IFERROR(INDEX('Master Data'!$M$2:$M$2436,MATCH($B$3&amp;"|2|"&amp;C$29&amp;"|"&amp;$A36,'Master Data'!$A$2:$A$2436,0)),"")</f>
        <v>Tiny  0/5
coach: –</v>
      </c>
      <c r="D36" s="60" t="str">
        <f aca="false">IFERROR(INDEX('Master Data'!$M$2:$M$2436,MATCH($B$3&amp;"|2|"&amp;D$29&amp;"|"&amp;$A36,'Master Data'!$A$2:$A$2436,0)),"")</f>
        <v>Tiny  0/5
coach: –</v>
      </c>
      <c r="E36" s="60" t="str">
        <f aca="false">IFERROR(INDEX('Master Data'!$M$2:$M$2436,MATCH($B$3&amp;"|2|"&amp;E$29&amp;"|"&amp;$A36,'Master Data'!$A$2:$A$2436,0)),"")</f>
        <v>Tiny  0/5
coach: –</v>
      </c>
      <c r="F36" s="60" t="str">
        <f aca="false">IFERROR(INDEX('Master Data'!$M$2:$M$2436,MATCH($B$3&amp;"|2|"&amp;F$29&amp;"|"&amp;$A36,'Master Data'!$A$2:$A$2436,0)),"")</f>
        <v>Tiny  0/5
coach: –</v>
      </c>
      <c r="G36" s="60" t="str">
        <f aca="false">IFERROR(INDEX('Master Data'!$M$2:$M$2436,MATCH($B$3&amp;"|2|"&amp;G$29&amp;"|"&amp;$A36,'Master Data'!$A$2:$A$2436,0)),"")</f>
        <v>Tiny  0/5
coach: –</v>
      </c>
      <c r="H36" s="60" t="str">
        <f aca="false">IFERROR(INDEX('Master Data'!$M$2:$M$2436,MATCH($B$3&amp;"|2|"&amp;H$29&amp;"|"&amp;$A36,'Master Data'!$A$2:$A$2436,0)),"")</f>
        <v>Tiny  0/5
coach: –</v>
      </c>
      <c r="T36" s="61" t="str">
        <f aca="false">IFERROR(INDEX('Master Data'!$L$2:$L$2436,MATCH($B$3&amp;"|2|"&amp;B$29&amp;"|"&amp;$A36,'Master Data'!$A$2:$A$2436,0)),"")</f>
        <v>Belum terisi</v>
      </c>
      <c r="U36" s="61" t="str">
        <f aca="false">IFERROR(INDEX('Master Data'!$L$2:$L$2436,MATCH($B$3&amp;"|2|"&amp;C$29&amp;"|"&amp;$A36,'Master Data'!$A$2:$A$2436,0)),"")</f>
        <v>Belum terisi</v>
      </c>
      <c r="V36" s="61" t="str">
        <f aca="false">IFERROR(INDEX('Master Data'!$L$2:$L$2436,MATCH($B$3&amp;"|2|"&amp;D$29&amp;"|"&amp;$A36,'Master Data'!$A$2:$A$2436,0)),"")</f>
        <v>Belum terisi</v>
      </c>
      <c r="W36" s="61" t="str">
        <f aca="false">IFERROR(INDEX('Master Data'!$L$2:$L$2436,MATCH($B$3&amp;"|2|"&amp;E$29&amp;"|"&amp;$A36,'Master Data'!$A$2:$A$2436,0)),"")</f>
        <v>Belum terisi</v>
      </c>
      <c r="X36" s="61" t="str">
        <f aca="false">IFERROR(INDEX('Master Data'!$L$2:$L$2436,MATCH($B$3&amp;"|2|"&amp;F$29&amp;"|"&amp;$A36,'Master Data'!$A$2:$A$2436,0)),"")</f>
        <v>Belum terisi</v>
      </c>
      <c r="Y36" s="61" t="str">
        <f aca="false">IFERROR(INDEX('Master Data'!$L$2:$L$2436,MATCH($B$3&amp;"|2|"&amp;G$29&amp;"|"&amp;$A36,'Master Data'!$A$2:$A$2436,0)),"")</f>
        <v>Belum terisi</v>
      </c>
      <c r="Z36" s="61" t="str">
        <f aca="false">IFERROR(INDEX('Master Data'!$L$2:$L$2436,MATCH($B$3&amp;"|2|"&amp;H$29&amp;"|"&amp;$A36,'Master Data'!$A$2:$A$2436,0)),"")</f>
        <v>Belum terisi</v>
      </c>
    </row>
    <row r="37" customFormat="false" ht="30" hidden="false" customHeight="true" outlineLevel="0" collapsed="false">
      <c r="A37" s="59" t="s">
        <v>103</v>
      </c>
      <c r="B37" s="60" t="str">
        <f aca="false">IFERROR(INDEX('Master Data'!$M$2:$M$2436,MATCH($B$3&amp;"|2|"&amp;B$29&amp;"|"&amp;$A37,'Master Data'!$A$2:$A$2436,0)),"")</f>
        <v>Tiny  0/5
coach: –</v>
      </c>
      <c r="C37" s="60" t="str">
        <f aca="false">IFERROR(INDEX('Master Data'!$M$2:$M$2436,MATCH($B$3&amp;"|2|"&amp;C$29&amp;"|"&amp;$A37,'Master Data'!$A$2:$A$2436,0)),"")</f>
        <v>Tiny  0/5
coach: –</v>
      </c>
      <c r="D37" s="60" t="str">
        <f aca="false">IFERROR(INDEX('Master Data'!$M$2:$M$2436,MATCH($B$3&amp;"|2|"&amp;D$29&amp;"|"&amp;$A37,'Master Data'!$A$2:$A$2436,0)),"")</f>
        <v>Tiny  0/5
coach: –</v>
      </c>
      <c r="E37" s="60" t="str">
        <f aca="false">IFERROR(INDEX('Master Data'!$M$2:$M$2436,MATCH($B$3&amp;"|2|"&amp;E$29&amp;"|"&amp;$A37,'Master Data'!$A$2:$A$2436,0)),"")</f>
        <v>Tiny  0/5
coach: –</v>
      </c>
      <c r="F37" s="60" t="str">
        <f aca="false">IFERROR(INDEX('Master Data'!$M$2:$M$2436,MATCH($B$3&amp;"|2|"&amp;F$29&amp;"|"&amp;$A37,'Master Data'!$A$2:$A$2436,0)),"")</f>
        <v>Tiny  0/5
coach: –</v>
      </c>
      <c r="G37" s="60" t="str">
        <f aca="false">IFERROR(INDEX('Master Data'!$M$2:$M$2436,MATCH($B$3&amp;"|2|"&amp;G$29&amp;"|"&amp;$A37,'Master Data'!$A$2:$A$2436,0)),"")</f>
        <v>Tiny  0/5
coach: –</v>
      </c>
      <c r="H37" s="60" t="str">
        <f aca="false">IFERROR(INDEX('Master Data'!$M$2:$M$2436,MATCH($B$3&amp;"|2|"&amp;H$29&amp;"|"&amp;$A37,'Master Data'!$A$2:$A$2436,0)),"")</f>
        <v>Tiny  0/5
coach: –</v>
      </c>
      <c r="T37" s="61" t="str">
        <f aca="false">IFERROR(INDEX('Master Data'!$L$2:$L$2436,MATCH($B$3&amp;"|2|"&amp;B$29&amp;"|"&amp;$A37,'Master Data'!$A$2:$A$2436,0)),"")</f>
        <v>Belum terisi</v>
      </c>
      <c r="U37" s="61" t="str">
        <f aca="false">IFERROR(INDEX('Master Data'!$L$2:$L$2436,MATCH($B$3&amp;"|2|"&amp;C$29&amp;"|"&amp;$A37,'Master Data'!$A$2:$A$2436,0)),"")</f>
        <v>Belum terisi</v>
      </c>
      <c r="V37" s="61" t="str">
        <f aca="false">IFERROR(INDEX('Master Data'!$L$2:$L$2436,MATCH($B$3&amp;"|2|"&amp;D$29&amp;"|"&amp;$A37,'Master Data'!$A$2:$A$2436,0)),"")</f>
        <v>Belum terisi</v>
      </c>
      <c r="W37" s="61" t="str">
        <f aca="false">IFERROR(INDEX('Master Data'!$L$2:$L$2436,MATCH($B$3&amp;"|2|"&amp;E$29&amp;"|"&amp;$A37,'Master Data'!$A$2:$A$2436,0)),"")</f>
        <v>Belum terisi</v>
      </c>
      <c r="X37" s="61" t="str">
        <f aca="false">IFERROR(INDEX('Master Data'!$L$2:$L$2436,MATCH($B$3&amp;"|2|"&amp;F$29&amp;"|"&amp;$A37,'Master Data'!$A$2:$A$2436,0)),"")</f>
        <v>Belum terisi</v>
      </c>
      <c r="Y37" s="61" t="str">
        <f aca="false">IFERROR(INDEX('Master Data'!$L$2:$L$2436,MATCH($B$3&amp;"|2|"&amp;G$29&amp;"|"&amp;$A37,'Master Data'!$A$2:$A$2436,0)),"")</f>
        <v>Belum terisi</v>
      </c>
      <c r="Z37" s="61" t="str">
        <f aca="false">IFERROR(INDEX('Master Data'!$L$2:$L$2436,MATCH($B$3&amp;"|2|"&amp;H$29&amp;"|"&amp;$A37,'Master Data'!$A$2:$A$2436,0)),"")</f>
        <v>Belum terisi</v>
      </c>
    </row>
    <row r="38" customFormat="false" ht="30" hidden="false" customHeight="true" outlineLevel="0" collapsed="false">
      <c r="A38" s="59" t="s">
        <v>104</v>
      </c>
      <c r="B38" s="60" t="str">
        <f aca="false">IFERROR(INDEX('Master Data'!$M$2:$M$2436,MATCH($B$3&amp;"|2|"&amp;B$29&amp;"|"&amp;$A38,'Master Data'!$A$2:$A$2436,0)),"")</f>
        <v>–</v>
      </c>
      <c r="C38" s="60" t="str">
        <f aca="false">IFERROR(INDEX('Master Data'!$M$2:$M$2436,MATCH($B$3&amp;"|2|"&amp;C$29&amp;"|"&amp;$A38,'Master Data'!$A$2:$A$2436,0)),"")</f>
        <v>–</v>
      </c>
      <c r="D38" s="60" t="str">
        <f aca="false">IFERROR(INDEX('Master Data'!$M$2:$M$2436,MATCH($B$3&amp;"|2|"&amp;D$29&amp;"|"&amp;$A38,'Master Data'!$A$2:$A$2436,0)),"")</f>
        <v>–</v>
      </c>
      <c r="E38" s="60" t="str">
        <f aca="false">IFERROR(INDEX('Master Data'!$M$2:$M$2436,MATCH($B$3&amp;"|2|"&amp;E$29&amp;"|"&amp;$A38,'Master Data'!$A$2:$A$2436,0)),"")</f>
        <v>–</v>
      </c>
      <c r="F38" s="60" t="str">
        <f aca="false">IFERROR(INDEX('Master Data'!$M$2:$M$2436,MATCH($B$3&amp;"|2|"&amp;F$29&amp;"|"&amp;$A38,'Master Data'!$A$2:$A$2436,0)),"")</f>
        <v>Tiny  0/5
coach: –</v>
      </c>
      <c r="G38" s="60" t="str">
        <f aca="false">IFERROR(INDEX('Master Data'!$M$2:$M$2436,MATCH($B$3&amp;"|2|"&amp;G$29&amp;"|"&amp;$A38,'Master Data'!$A$2:$A$2436,0)),"")</f>
        <v>Tiny  2/5
coach: Shofwan</v>
      </c>
      <c r="H38" s="60" t="str">
        <f aca="false">IFERROR(INDEX('Master Data'!$M$2:$M$2436,MATCH($B$3&amp;"|2|"&amp;H$29&amp;"|"&amp;$A38,'Master Data'!$A$2:$A$2436,0)),"")</f>
        <v>Tiny  3/5
coach: Indah</v>
      </c>
      <c r="T38" s="61" t="str">
        <f aca="false">IFERROR(INDEX('Master Data'!$L$2:$L$2436,MATCH($B$3&amp;"|2|"&amp;B$29&amp;"|"&amp;$A38,'Master Data'!$A$2:$A$2436,0)),"")</f>
        <v>Tidak dibuka</v>
      </c>
      <c r="U38" s="61" t="str">
        <f aca="false">IFERROR(INDEX('Master Data'!$L$2:$L$2436,MATCH($B$3&amp;"|2|"&amp;C$29&amp;"|"&amp;$A38,'Master Data'!$A$2:$A$2436,0)),"")</f>
        <v>Tidak dibuka</v>
      </c>
      <c r="V38" s="61" t="str">
        <f aca="false">IFERROR(INDEX('Master Data'!$L$2:$L$2436,MATCH($B$3&amp;"|2|"&amp;D$29&amp;"|"&amp;$A38,'Master Data'!$A$2:$A$2436,0)),"")</f>
        <v>Tidak dibuka</v>
      </c>
      <c r="W38" s="61" t="str">
        <f aca="false">IFERROR(INDEX('Master Data'!$L$2:$L$2436,MATCH($B$3&amp;"|2|"&amp;E$29&amp;"|"&amp;$A38,'Master Data'!$A$2:$A$2436,0)),"")</f>
        <v>Tidak dibuka</v>
      </c>
      <c r="X38" s="61" t="str">
        <f aca="false">IFERROR(INDEX('Master Data'!$L$2:$L$2436,MATCH($B$3&amp;"|2|"&amp;F$29&amp;"|"&amp;$A38,'Master Data'!$A$2:$A$2436,0)),"")</f>
        <v>Belum terisi</v>
      </c>
      <c r="Y38" s="61" t="str">
        <f aca="false">IFERROR(INDEX('Master Data'!$L$2:$L$2436,MATCH($B$3&amp;"|2|"&amp;G$29&amp;"|"&amp;$A38,'Master Data'!$A$2:$A$2436,0)),"")</f>
        <v>Sebagian</v>
      </c>
      <c r="Z38" s="61" t="str">
        <f aca="false">IFERROR(INDEX('Master Data'!$L$2:$L$2436,MATCH($B$3&amp;"|2|"&amp;H$29&amp;"|"&amp;$A38,'Master Data'!$A$2:$A$2436,0)),"")</f>
        <v>Sebagian</v>
      </c>
    </row>
    <row r="39" customFormat="false" ht="30" hidden="false" customHeight="true" outlineLevel="0" collapsed="false">
      <c r="A39" s="59" t="s">
        <v>105</v>
      </c>
      <c r="B39" s="60" t="str">
        <f aca="false">IFERROR(INDEX('Master Data'!$M$2:$M$2436,MATCH($B$3&amp;"|2|"&amp;B$29&amp;"|"&amp;$A39,'Master Data'!$A$2:$A$2436,0)),"")</f>
        <v>–</v>
      </c>
      <c r="C39" s="60" t="str">
        <f aca="false">IFERROR(INDEX('Master Data'!$M$2:$M$2436,MATCH($B$3&amp;"|2|"&amp;C$29&amp;"|"&amp;$A39,'Master Data'!$A$2:$A$2436,0)),"")</f>
        <v>–</v>
      </c>
      <c r="D39" s="60" t="str">
        <f aca="false">IFERROR(INDEX('Master Data'!$M$2:$M$2436,MATCH($B$3&amp;"|2|"&amp;D$29&amp;"|"&amp;$A39,'Master Data'!$A$2:$A$2436,0)),"")</f>
        <v>(tanpa age group)  0/5
coach: –</v>
      </c>
      <c r="E39" s="60" t="str">
        <f aca="false">IFERROR(INDEX('Master Data'!$M$2:$M$2436,MATCH($B$3&amp;"|2|"&amp;E$29&amp;"|"&amp;$A39,'Master Data'!$A$2:$A$2436,0)),"")</f>
        <v>–</v>
      </c>
      <c r="F39" s="60" t="str">
        <f aca="false">IFERROR(INDEX('Master Data'!$M$2:$M$2436,MATCH($B$3&amp;"|2|"&amp;F$29&amp;"|"&amp;$A39,'Master Data'!$A$2:$A$2436,0)),"")</f>
        <v>Tiny  2/5
coach: Kamal</v>
      </c>
      <c r="G39" s="60" t="str">
        <f aca="false">IFERROR(INDEX('Master Data'!$M$2:$M$2436,MATCH($B$3&amp;"|2|"&amp;G$29&amp;"|"&amp;$A39,'Master Data'!$A$2:$A$2436,0)),"")</f>
        <v>Tiny  3/5
coach: Indah</v>
      </c>
      <c r="H39" s="60" t="str">
        <f aca="false">IFERROR(INDEX('Master Data'!$M$2:$M$2436,MATCH($B$3&amp;"|2|"&amp;H$29&amp;"|"&amp;$A39,'Master Data'!$A$2:$A$2436,0)),"")</f>
        <v>Tiny  0/5
coach: –</v>
      </c>
      <c r="T39" s="61" t="str">
        <f aca="false">IFERROR(INDEX('Master Data'!$L$2:$L$2436,MATCH($B$3&amp;"|2|"&amp;B$29&amp;"|"&amp;$A39,'Master Data'!$A$2:$A$2436,0)),"")</f>
        <v>Tidak dibuka</v>
      </c>
      <c r="U39" s="61" t="str">
        <f aca="false">IFERROR(INDEX('Master Data'!$L$2:$L$2436,MATCH($B$3&amp;"|2|"&amp;C$29&amp;"|"&amp;$A39,'Master Data'!$A$2:$A$2436,0)),"")</f>
        <v>Tidak dibuka</v>
      </c>
      <c r="V39" s="61" t="str">
        <f aca="false">IFERROR(INDEX('Master Data'!$L$2:$L$2436,MATCH($B$3&amp;"|2|"&amp;D$29&amp;"|"&amp;$A39,'Master Data'!$A$2:$A$2436,0)),"")</f>
        <v>Slot kosong</v>
      </c>
      <c r="W39" s="61" t="str">
        <f aca="false">IFERROR(INDEX('Master Data'!$L$2:$L$2436,MATCH($B$3&amp;"|2|"&amp;E$29&amp;"|"&amp;$A39,'Master Data'!$A$2:$A$2436,0)),"")</f>
        <v>Tidak dibuka</v>
      </c>
      <c r="X39" s="61" t="str">
        <f aca="false">IFERROR(INDEX('Master Data'!$L$2:$L$2436,MATCH($B$3&amp;"|2|"&amp;F$29&amp;"|"&amp;$A39,'Master Data'!$A$2:$A$2436,0)),"")</f>
        <v>Sebagian</v>
      </c>
      <c r="Y39" s="61" t="str">
        <f aca="false">IFERROR(INDEX('Master Data'!$L$2:$L$2436,MATCH($B$3&amp;"|2|"&amp;G$29&amp;"|"&amp;$A39,'Master Data'!$A$2:$A$2436,0)),"")</f>
        <v>Sebagian</v>
      </c>
      <c r="Z39" s="61" t="str">
        <f aca="false">IFERROR(INDEX('Master Data'!$L$2:$L$2436,MATCH($B$3&amp;"|2|"&amp;H$29&amp;"|"&amp;$A39,'Master Data'!$A$2:$A$2436,0)),"")</f>
        <v>Belum terisi</v>
      </c>
    </row>
    <row r="40" customFormat="false" ht="30" hidden="false" customHeight="true" outlineLevel="0" collapsed="false">
      <c r="A40" s="59" t="s">
        <v>106</v>
      </c>
      <c r="B40" s="60" t="str">
        <f aca="false">IFERROR(INDEX('Master Data'!$M$2:$M$2436,MATCH($B$3&amp;"|2|"&amp;B$29&amp;"|"&amp;$A40,'Master Data'!$A$2:$A$2436,0)),"")</f>
        <v>(tanpa age group)  0/5
coach: –</v>
      </c>
      <c r="C40" s="60" t="str">
        <f aca="false">IFERROR(INDEX('Master Data'!$M$2:$M$2436,MATCH($B$3&amp;"|2|"&amp;C$29&amp;"|"&amp;$A40,'Master Data'!$A$2:$A$2436,0)),"")</f>
        <v>Tiny  2/5
coach: Damai</v>
      </c>
      <c r="D40" s="60" t="str">
        <f aca="false">IFERROR(INDEX('Master Data'!$M$2:$M$2436,MATCH($B$3&amp;"|2|"&amp;D$29&amp;"|"&amp;$A40,'Master Data'!$A$2:$A$2436,0)),"")</f>
        <v>Tiny  1/5
coach: Laksamana</v>
      </c>
      <c r="E40" s="60" t="str">
        <f aca="false">IFERROR(INDEX('Master Data'!$M$2:$M$2436,MATCH($B$3&amp;"|2|"&amp;E$29&amp;"|"&amp;$A40,'Master Data'!$A$2:$A$2436,0)),"")</f>
        <v>Tiny  1/5
coach: Laksamana</v>
      </c>
      <c r="F40" s="60" t="str">
        <f aca="false">IFERROR(INDEX('Master Data'!$M$2:$M$2436,MATCH($B$3&amp;"|2|"&amp;F$29&amp;"|"&amp;$A40,'Master Data'!$A$2:$A$2436,0)),"")</f>
        <v>Tiny  4/5
coach: Shofwan</v>
      </c>
      <c r="G40" s="60" t="str">
        <f aca="false">IFERROR(INDEX('Master Data'!$M$2:$M$2436,MATCH($B$3&amp;"|2|"&amp;G$29&amp;"|"&amp;$A40,'Master Data'!$A$2:$A$2436,0)),"")</f>
        <v>Tiny  2/5
coach: Shofwan</v>
      </c>
      <c r="H40" s="60" t="str">
        <f aca="false">IFERROR(INDEX('Master Data'!$M$2:$M$2436,MATCH($B$3&amp;"|2|"&amp;H$29&amp;"|"&amp;$A40,'Master Data'!$A$2:$A$2436,0)),"")</f>
        <v>Tiny  2/5
coach: Laksamana</v>
      </c>
      <c r="T40" s="61" t="str">
        <f aca="false">IFERROR(INDEX('Master Data'!$L$2:$L$2436,MATCH($B$3&amp;"|2|"&amp;B$29&amp;"|"&amp;$A40,'Master Data'!$A$2:$A$2436,0)),"")</f>
        <v>Slot kosong</v>
      </c>
      <c r="U40" s="61" t="str">
        <f aca="false">IFERROR(INDEX('Master Data'!$L$2:$L$2436,MATCH($B$3&amp;"|2|"&amp;C$29&amp;"|"&amp;$A40,'Master Data'!$A$2:$A$2436,0)),"")</f>
        <v>Sebagian</v>
      </c>
      <c r="V40" s="61" t="str">
        <f aca="false">IFERROR(INDEX('Master Data'!$L$2:$L$2436,MATCH($B$3&amp;"|2|"&amp;D$29&amp;"|"&amp;$A40,'Master Data'!$A$2:$A$2436,0)),"")</f>
        <v>Sebagian</v>
      </c>
      <c r="W40" s="61" t="str">
        <f aca="false">IFERROR(INDEX('Master Data'!$L$2:$L$2436,MATCH($B$3&amp;"|2|"&amp;E$29&amp;"|"&amp;$A40,'Master Data'!$A$2:$A$2436,0)),"")</f>
        <v>Sebagian</v>
      </c>
      <c r="X40" s="61" t="str">
        <f aca="false">IFERROR(INDEX('Master Data'!$L$2:$L$2436,MATCH($B$3&amp;"|2|"&amp;F$29&amp;"|"&amp;$A40,'Master Data'!$A$2:$A$2436,0)),"")</f>
        <v>Sebagian</v>
      </c>
      <c r="Y40" s="61" t="str">
        <f aca="false">IFERROR(INDEX('Master Data'!$L$2:$L$2436,MATCH($B$3&amp;"|2|"&amp;G$29&amp;"|"&amp;$A40,'Master Data'!$A$2:$A$2436,0)),"")</f>
        <v>Sebagian</v>
      </c>
      <c r="Z40" s="61" t="str">
        <f aca="false">IFERROR(INDEX('Master Data'!$L$2:$L$2436,MATCH($B$3&amp;"|2|"&amp;H$29&amp;"|"&amp;$A40,'Master Data'!$A$2:$A$2436,0)),"")</f>
        <v>Sebagian</v>
      </c>
    </row>
    <row r="41" customFormat="false" ht="30" hidden="false" customHeight="true" outlineLevel="0" collapsed="false">
      <c r="A41" s="59" t="s">
        <v>107</v>
      </c>
      <c r="B41" s="60" t="str">
        <f aca="false">IFERROR(INDEX('Master Data'!$M$2:$M$2436,MATCH($B$3&amp;"|2|"&amp;B$29&amp;"|"&amp;$A41,'Master Data'!$A$2:$A$2436,0)),"")</f>
        <v>(tanpa age group)  0/5
coach: –</v>
      </c>
      <c r="C41" s="60" t="str">
        <f aca="false">IFERROR(INDEX('Master Data'!$M$2:$M$2436,MATCH($B$3&amp;"|2|"&amp;C$29&amp;"|"&amp;$A41,'Master Data'!$A$2:$A$2436,0)),"")</f>
        <v>(tanpa age group)  0/5
coach: –</v>
      </c>
      <c r="D41" s="60" t="str">
        <f aca="false">IFERROR(INDEX('Master Data'!$M$2:$M$2436,MATCH($B$3&amp;"|2|"&amp;D$29&amp;"|"&amp;$A41,'Master Data'!$A$2:$A$2436,0)),"")</f>
        <v>(tanpa age group)  0/5
coach: –</v>
      </c>
      <c r="E41" s="60" t="str">
        <f aca="false">IFERROR(INDEX('Master Data'!$M$2:$M$2436,MATCH($B$3&amp;"|2|"&amp;E$29&amp;"|"&amp;$A41,'Master Data'!$A$2:$A$2436,0)),"")</f>
        <v>(tanpa age group)  0/5
coach: –</v>
      </c>
      <c r="F41" s="60" t="str">
        <f aca="false">IFERROR(INDEX('Master Data'!$M$2:$M$2436,MATCH($B$3&amp;"|2|"&amp;F$29&amp;"|"&amp;$A41,'Master Data'!$A$2:$A$2436,0)),"")</f>
        <v>Tiny  5/5
coach: Indah</v>
      </c>
      <c r="G41" s="60" t="str">
        <f aca="false">IFERROR(INDEX('Master Data'!$M$2:$M$2436,MATCH($B$3&amp;"|2|"&amp;G$29&amp;"|"&amp;$A41,'Master Data'!$A$2:$A$2436,0)),"")</f>
        <v>Tiny  0/5
coach: –</v>
      </c>
      <c r="H41" s="60" t="str">
        <f aca="false">IFERROR(INDEX('Master Data'!$M$2:$M$2436,MATCH($B$3&amp;"|2|"&amp;H$29&amp;"|"&amp;$A41,'Master Data'!$A$2:$A$2436,0)),"")</f>
        <v>Tiny  0/5
coach: –</v>
      </c>
      <c r="T41" s="61" t="str">
        <f aca="false">IFERROR(INDEX('Master Data'!$L$2:$L$2436,MATCH($B$3&amp;"|2|"&amp;B$29&amp;"|"&amp;$A41,'Master Data'!$A$2:$A$2436,0)),"")</f>
        <v>Slot kosong</v>
      </c>
      <c r="U41" s="61" t="str">
        <f aca="false">IFERROR(INDEX('Master Data'!$L$2:$L$2436,MATCH($B$3&amp;"|2|"&amp;C$29&amp;"|"&amp;$A41,'Master Data'!$A$2:$A$2436,0)),"")</f>
        <v>Slot kosong</v>
      </c>
      <c r="V41" s="61" t="str">
        <f aca="false">IFERROR(INDEX('Master Data'!$L$2:$L$2436,MATCH($B$3&amp;"|2|"&amp;D$29&amp;"|"&amp;$A41,'Master Data'!$A$2:$A$2436,0)),"")</f>
        <v>Slot kosong</v>
      </c>
      <c r="W41" s="61" t="str">
        <f aca="false">IFERROR(INDEX('Master Data'!$L$2:$L$2436,MATCH($B$3&amp;"|2|"&amp;E$29&amp;"|"&amp;$A41,'Master Data'!$A$2:$A$2436,0)),"")</f>
        <v>Slot kosong</v>
      </c>
      <c r="X41" s="61" t="str">
        <f aca="false">IFERROR(INDEX('Master Data'!$L$2:$L$2436,MATCH($B$3&amp;"|2|"&amp;F$29&amp;"|"&amp;$A41,'Master Data'!$A$2:$A$2436,0)),"")</f>
        <v>Penuh</v>
      </c>
      <c r="Y41" s="61" t="str">
        <f aca="false">IFERROR(INDEX('Master Data'!$L$2:$L$2436,MATCH($B$3&amp;"|2|"&amp;G$29&amp;"|"&amp;$A41,'Master Data'!$A$2:$A$2436,0)),"")</f>
        <v>Belum terisi</v>
      </c>
      <c r="Z41" s="61" t="str">
        <f aca="false">IFERROR(INDEX('Master Data'!$L$2:$L$2436,MATCH($B$3&amp;"|2|"&amp;H$29&amp;"|"&amp;$A41,'Master Data'!$A$2:$A$2436,0)),"")</f>
        <v>Belum terisi</v>
      </c>
    </row>
    <row r="43" customFormat="false" ht="16.15" hidden="false" customHeight="false" outlineLevel="0" collapsed="false">
      <c r="A43" s="54" t="s">
        <v>109</v>
      </c>
      <c r="B43" s="55"/>
      <c r="C43" s="56" t="str">
        <f aca="false">"Utilisasi lane: "&amp;IFERROR(TEXT(SUMIFS('Master Data'!$H$2:$H$2436,'Master Data'!$B$2:$B$2436,$B$3,'Master Data'!$C$2:$C$2436,3,'Master Data'!$G$2:$G$2436,"&gt;0")/SUMIFS('Master Data'!$G$2:$G$2436,'Master Data'!$B$2:$B$2436,$B$3,'Master Data'!$C$2:$C$2436,3,'Master Data'!$G$2:$G$2436,"&gt;0"),"0%"),"–")&amp;"   ·   Belum terisi: "&amp;COUNTIFS('Master Data'!$B$2:$B$2436,$B$3,'Master Data'!$C$2:$C$2436,3,'Master Data'!$L$2:$L$2436,"Belum terisi")&amp;"   ·   Slot kosong: "&amp;COUNTIFS('Master Data'!$B$2:$B$2436,$B$3,'Master Data'!$C$2:$C$2436,3,'Master Data'!$L$2:$L$2436,"Slot kosong")</f>
        <v>Utilisasi lane: 55%   ·   Belum terisi: 18   ·   Slot kosong: 0</v>
      </c>
      <c r="D43" s="55"/>
      <c r="E43" s="55"/>
      <c r="F43" s="55"/>
      <c r="G43" s="55"/>
      <c r="H43" s="55"/>
    </row>
    <row r="44" customFormat="false" ht="15" hidden="false" customHeight="false" outlineLevel="0" collapsed="false">
      <c r="A44" s="57" t="s">
        <v>89</v>
      </c>
      <c r="B44" s="58" t="s">
        <v>90</v>
      </c>
      <c r="C44" s="58" t="s">
        <v>91</v>
      </c>
      <c r="D44" s="58" t="s">
        <v>92</v>
      </c>
      <c r="E44" s="58" t="s">
        <v>93</v>
      </c>
      <c r="F44" s="58" t="s">
        <v>94</v>
      </c>
      <c r="G44" s="58" t="s">
        <v>95</v>
      </c>
      <c r="H44" s="58" t="s">
        <v>78</v>
      </c>
    </row>
    <row r="45" customFormat="false" ht="30" hidden="false" customHeight="true" outlineLevel="0" collapsed="false">
      <c r="A45" s="59" t="s">
        <v>110</v>
      </c>
      <c r="B45" s="60" t="str">
        <f aca="false">IFERROR(INDEX('Master Data'!$M$2:$M$2436,MATCH($B$3&amp;"|3|"&amp;B$44&amp;"|"&amp;$A45,'Master Data'!$A$2:$A$2436,0)),"")</f>
        <v>Little  0/0
coach: –</v>
      </c>
      <c r="C45" s="60" t="str">
        <f aca="false">IFERROR(INDEX('Master Data'!$M$2:$M$2436,MATCH($B$3&amp;"|3|"&amp;C$44&amp;"|"&amp;$A45,'Master Data'!$A$2:$A$2436,0)),"")</f>
        <v>Little  0/0
coach: –</v>
      </c>
      <c r="D45" s="60" t="str">
        <f aca="false">IFERROR(INDEX('Master Data'!$M$2:$M$2436,MATCH($B$3&amp;"|3|"&amp;D$44&amp;"|"&amp;$A45,'Master Data'!$A$2:$A$2436,0)),"")</f>
        <v>Little  0/0
coach: –</v>
      </c>
      <c r="E45" s="60" t="str">
        <f aca="false">IFERROR(INDEX('Master Data'!$M$2:$M$2436,MATCH($B$3&amp;"|3|"&amp;E$44&amp;"|"&amp;$A45,'Master Data'!$A$2:$A$2436,0)),"")</f>
        <v>Little  0/0
coach: –</v>
      </c>
      <c r="F45" s="60" t="str">
        <f aca="false">IFERROR(INDEX('Master Data'!$M$2:$M$2436,MATCH($B$3&amp;"|3|"&amp;F$44&amp;"|"&amp;$A45,'Master Data'!$A$2:$A$2436,0)),"")</f>
        <v>Little  0/0
coach: –</v>
      </c>
      <c r="G45" s="60" t="str">
        <f aca="false">IFERROR(INDEX('Master Data'!$M$2:$M$2436,MATCH($B$3&amp;"|3|"&amp;G$44&amp;"|"&amp;$A45,'Master Data'!$A$2:$A$2436,0)),"")</f>
        <v>Little  0/0
coach: –</v>
      </c>
      <c r="H45" s="60" t="str">
        <f aca="false">IFERROR(INDEX('Master Data'!$M$2:$M$2436,MATCH($B$3&amp;"|3|"&amp;H$44&amp;"|"&amp;$A45,'Master Data'!$A$2:$A$2436,0)),"")</f>
        <v>Little  0/0
coach: –</v>
      </c>
      <c r="T45" s="61" t="str">
        <f aca="false">IFERROR(INDEX('Master Data'!$L$2:$L$2436,MATCH($B$3&amp;"|3|"&amp;B$44&amp;"|"&amp;$A45,'Master Data'!$A$2:$A$2436,0)),"")</f>
        <v>Tutup</v>
      </c>
      <c r="U45" s="61" t="str">
        <f aca="false">IFERROR(INDEX('Master Data'!$L$2:$L$2436,MATCH($B$3&amp;"|3|"&amp;C$44&amp;"|"&amp;$A45,'Master Data'!$A$2:$A$2436,0)),"")</f>
        <v>Tutup</v>
      </c>
      <c r="V45" s="61" t="str">
        <f aca="false">IFERROR(INDEX('Master Data'!$L$2:$L$2436,MATCH($B$3&amp;"|3|"&amp;D$44&amp;"|"&amp;$A45,'Master Data'!$A$2:$A$2436,0)),"")</f>
        <v>Tutup</v>
      </c>
      <c r="W45" s="61" t="str">
        <f aca="false">IFERROR(INDEX('Master Data'!$L$2:$L$2436,MATCH($B$3&amp;"|3|"&amp;E$44&amp;"|"&amp;$A45,'Master Data'!$A$2:$A$2436,0)),"")</f>
        <v>Tutup</v>
      </c>
      <c r="X45" s="61" t="str">
        <f aca="false">IFERROR(INDEX('Master Data'!$L$2:$L$2436,MATCH($B$3&amp;"|3|"&amp;F$44&amp;"|"&amp;$A45,'Master Data'!$A$2:$A$2436,0)),"")</f>
        <v>Tutup</v>
      </c>
      <c r="Y45" s="61" t="str">
        <f aca="false">IFERROR(INDEX('Master Data'!$L$2:$L$2436,MATCH($B$3&amp;"|3|"&amp;G$44&amp;"|"&amp;$A45,'Master Data'!$A$2:$A$2436,0)),"")</f>
        <v>Tutup</v>
      </c>
      <c r="Z45" s="61" t="str">
        <f aca="false">IFERROR(INDEX('Master Data'!$L$2:$L$2436,MATCH($B$3&amp;"|3|"&amp;H$44&amp;"|"&amp;$A45,'Master Data'!$A$2:$A$2436,0)),"")</f>
        <v>Tutup</v>
      </c>
    </row>
    <row r="46" customFormat="false" ht="30" hidden="false" customHeight="true" outlineLevel="0" collapsed="false">
      <c r="A46" s="59" t="s">
        <v>111</v>
      </c>
      <c r="B46" s="60" t="str">
        <f aca="false">IFERROR(INDEX('Master Data'!$M$2:$M$2436,MATCH($B$3&amp;"|3|"&amp;B$44&amp;"|"&amp;$A46,'Master Data'!$A$2:$A$2436,0)),"")</f>
        <v>Little  0/4
coach: –</v>
      </c>
      <c r="C46" s="60" t="str">
        <f aca="false">IFERROR(INDEX('Master Data'!$M$2:$M$2436,MATCH($B$3&amp;"|3|"&amp;C$44&amp;"|"&amp;$A46,'Master Data'!$A$2:$A$2436,0)),"")</f>
        <v>Little  0/4
coach: –</v>
      </c>
      <c r="D46" s="60" t="str">
        <f aca="false">IFERROR(INDEX('Master Data'!$M$2:$M$2436,MATCH($B$3&amp;"|3|"&amp;D$44&amp;"|"&amp;$A46,'Master Data'!$A$2:$A$2436,0)),"")</f>
        <v>Little  0/4
coach: –</v>
      </c>
      <c r="E46" s="60" t="str">
        <f aca="false">IFERROR(INDEX('Master Data'!$M$2:$M$2436,MATCH($B$3&amp;"|3|"&amp;E$44&amp;"|"&amp;$A46,'Master Data'!$A$2:$A$2436,0)),"")</f>
        <v>Little  0/4
coach: –</v>
      </c>
      <c r="F46" s="60" t="str">
        <f aca="false">IFERROR(INDEX('Master Data'!$M$2:$M$2436,MATCH($B$3&amp;"|3|"&amp;F$44&amp;"|"&amp;$A46,'Master Data'!$A$2:$A$2436,0)),"")</f>
        <v>Little  2/4
coach: Laksamana</v>
      </c>
      <c r="G46" s="60" t="str">
        <f aca="false">IFERROR(INDEX('Master Data'!$M$2:$M$2436,MATCH($B$3&amp;"|3|"&amp;G$44&amp;"|"&amp;$A46,'Master Data'!$A$2:$A$2436,0)),"")</f>
        <v>Little  3/4
coach: Laksamana</v>
      </c>
      <c r="H46" s="60" t="str">
        <f aca="false">IFERROR(INDEX('Master Data'!$M$2:$M$2436,MATCH($B$3&amp;"|3|"&amp;H$44&amp;"|"&amp;$A46,'Master Data'!$A$2:$A$2436,0)),"")</f>
        <v>Little  4/4
coach: Shofwan</v>
      </c>
      <c r="T46" s="61" t="str">
        <f aca="false">IFERROR(INDEX('Master Data'!$L$2:$L$2436,MATCH($B$3&amp;"|3|"&amp;B$44&amp;"|"&amp;$A46,'Master Data'!$A$2:$A$2436,0)),"")</f>
        <v>Belum terisi</v>
      </c>
      <c r="U46" s="61" t="str">
        <f aca="false">IFERROR(INDEX('Master Data'!$L$2:$L$2436,MATCH($B$3&amp;"|3|"&amp;C$44&amp;"|"&amp;$A46,'Master Data'!$A$2:$A$2436,0)),"")</f>
        <v>Belum terisi</v>
      </c>
      <c r="V46" s="61" t="str">
        <f aca="false">IFERROR(INDEX('Master Data'!$L$2:$L$2436,MATCH($B$3&amp;"|3|"&amp;D$44&amp;"|"&amp;$A46,'Master Data'!$A$2:$A$2436,0)),"")</f>
        <v>Belum terisi</v>
      </c>
      <c r="W46" s="61" t="str">
        <f aca="false">IFERROR(INDEX('Master Data'!$L$2:$L$2436,MATCH($B$3&amp;"|3|"&amp;E$44&amp;"|"&amp;$A46,'Master Data'!$A$2:$A$2436,0)),"")</f>
        <v>Belum terisi</v>
      </c>
      <c r="X46" s="61" t="str">
        <f aca="false">IFERROR(INDEX('Master Data'!$L$2:$L$2436,MATCH($B$3&amp;"|3|"&amp;F$44&amp;"|"&amp;$A46,'Master Data'!$A$2:$A$2436,0)),"")</f>
        <v>Sebagian</v>
      </c>
      <c r="Y46" s="61" t="str">
        <f aca="false">IFERROR(INDEX('Master Data'!$L$2:$L$2436,MATCH($B$3&amp;"|3|"&amp;G$44&amp;"|"&amp;$A46,'Master Data'!$A$2:$A$2436,0)),"")</f>
        <v>Sebagian</v>
      </c>
      <c r="Z46" s="61" t="str">
        <f aca="false">IFERROR(INDEX('Master Data'!$L$2:$L$2436,MATCH($B$3&amp;"|3|"&amp;H$44&amp;"|"&amp;$A46,'Master Data'!$A$2:$A$2436,0)),"")</f>
        <v>Penuh</v>
      </c>
    </row>
    <row r="47" customFormat="false" ht="30" hidden="false" customHeight="true" outlineLevel="0" collapsed="false">
      <c r="A47" s="59" t="s">
        <v>112</v>
      </c>
      <c r="B47" s="60" t="str">
        <f aca="false">IFERROR(INDEX('Master Data'!$M$2:$M$2436,MATCH($B$3&amp;"|3|"&amp;B$44&amp;"|"&amp;$A47,'Master Data'!$A$2:$A$2436,0)),"")</f>
        <v>Little  2/4
coach: Dadi</v>
      </c>
      <c r="C47" s="60" t="str">
        <f aca="false">IFERROR(INDEX('Master Data'!$M$2:$M$2436,MATCH($B$3&amp;"|3|"&amp;C$44&amp;"|"&amp;$A47,'Master Data'!$A$2:$A$2436,0)),"")</f>
        <v>Little  2/4
coach: Damai</v>
      </c>
      <c r="D47" s="60" t="str">
        <f aca="false">IFERROR(INDEX('Master Data'!$M$2:$M$2436,MATCH($B$3&amp;"|3|"&amp;D$44&amp;"|"&amp;$A47,'Master Data'!$A$2:$A$2436,0)),"")</f>
        <v>Little  0/4
coach: –</v>
      </c>
      <c r="E47" s="60" t="str">
        <f aca="false">IFERROR(INDEX('Master Data'!$M$2:$M$2436,MATCH($B$3&amp;"|3|"&amp;E$44&amp;"|"&amp;$A47,'Master Data'!$A$2:$A$2436,0)),"")</f>
        <v>Little  3/4
coach: Zidan</v>
      </c>
      <c r="F47" s="60" t="str">
        <f aca="false">IFERROR(INDEX('Master Data'!$M$2:$M$2436,MATCH($B$3&amp;"|3|"&amp;F$44&amp;"|"&amp;$A47,'Master Data'!$A$2:$A$2436,0)),"")</f>
        <v>Little  4/4
coach: Indah</v>
      </c>
      <c r="G47" s="60" t="str">
        <f aca="false">IFERROR(INDEX('Master Data'!$M$2:$M$2436,MATCH($B$3&amp;"|3|"&amp;G$44&amp;"|"&amp;$A47,'Master Data'!$A$2:$A$2436,0)),"")</f>
        <v>Little  4/4
coach: Indah</v>
      </c>
      <c r="H47" s="60" t="str">
        <f aca="false">IFERROR(INDEX('Master Data'!$M$2:$M$2436,MATCH($B$3&amp;"|3|"&amp;H$44&amp;"|"&amp;$A47,'Master Data'!$A$2:$A$2436,0)),"")</f>
        <v>Little  4/4
coach: Indah</v>
      </c>
      <c r="T47" s="61" t="str">
        <f aca="false">IFERROR(INDEX('Master Data'!$L$2:$L$2436,MATCH($B$3&amp;"|3|"&amp;B$44&amp;"|"&amp;$A47,'Master Data'!$A$2:$A$2436,0)),"")</f>
        <v>Sebagian</v>
      </c>
      <c r="U47" s="61" t="str">
        <f aca="false">IFERROR(INDEX('Master Data'!$L$2:$L$2436,MATCH($B$3&amp;"|3|"&amp;C$44&amp;"|"&amp;$A47,'Master Data'!$A$2:$A$2436,0)),"")</f>
        <v>Sebagian</v>
      </c>
      <c r="V47" s="61" t="str">
        <f aca="false">IFERROR(INDEX('Master Data'!$L$2:$L$2436,MATCH($B$3&amp;"|3|"&amp;D$44&amp;"|"&amp;$A47,'Master Data'!$A$2:$A$2436,0)),"")</f>
        <v>Belum terisi</v>
      </c>
      <c r="W47" s="61" t="str">
        <f aca="false">IFERROR(INDEX('Master Data'!$L$2:$L$2436,MATCH($B$3&amp;"|3|"&amp;E$44&amp;"|"&amp;$A47,'Master Data'!$A$2:$A$2436,0)),"")</f>
        <v>Sebagian</v>
      </c>
      <c r="X47" s="61" t="str">
        <f aca="false">IFERROR(INDEX('Master Data'!$L$2:$L$2436,MATCH($B$3&amp;"|3|"&amp;F$44&amp;"|"&amp;$A47,'Master Data'!$A$2:$A$2436,0)),"")</f>
        <v>Penuh</v>
      </c>
      <c r="Y47" s="61" t="str">
        <f aca="false">IFERROR(INDEX('Master Data'!$L$2:$L$2436,MATCH($B$3&amp;"|3|"&amp;G$44&amp;"|"&amp;$A47,'Master Data'!$A$2:$A$2436,0)),"")</f>
        <v>Penuh</v>
      </c>
      <c r="Z47" s="61" t="str">
        <f aca="false">IFERROR(INDEX('Master Data'!$L$2:$L$2436,MATCH($B$3&amp;"|3|"&amp;H$44&amp;"|"&amp;$A47,'Master Data'!$A$2:$A$2436,0)),"")</f>
        <v>Penuh</v>
      </c>
    </row>
    <row r="48" customFormat="false" ht="30" hidden="false" customHeight="true" outlineLevel="0" collapsed="false">
      <c r="A48" s="59" t="s">
        <v>113</v>
      </c>
      <c r="B48" s="60" t="str">
        <f aca="false">IFERROR(INDEX('Master Data'!$M$2:$M$2436,MATCH($B$3&amp;"|3|"&amp;B$44&amp;"|"&amp;$A48,'Master Data'!$A$2:$A$2436,0)),"")</f>
        <v>Little  2/4
coach: Damai</v>
      </c>
      <c r="C48" s="60" t="str">
        <f aca="false">IFERROR(INDEX('Master Data'!$M$2:$M$2436,MATCH($B$3&amp;"|3|"&amp;C$44&amp;"|"&amp;$A48,'Master Data'!$A$2:$A$2436,0)),"")</f>
        <v>Little  2/4
coach: Damai</v>
      </c>
      <c r="D48" s="60" t="str">
        <f aca="false">IFERROR(INDEX('Master Data'!$M$2:$M$2436,MATCH($B$3&amp;"|3|"&amp;D$44&amp;"|"&amp;$A48,'Master Data'!$A$2:$A$2436,0)),"")</f>
        <v>Little  0/4
coach: –</v>
      </c>
      <c r="E48" s="60" t="str">
        <f aca="false">IFERROR(INDEX('Master Data'!$M$2:$M$2436,MATCH($B$3&amp;"|3|"&amp;E$44&amp;"|"&amp;$A48,'Master Data'!$A$2:$A$2436,0)),"")</f>
        <v>Little  2/4
coach: Indah</v>
      </c>
      <c r="F48" s="60" t="str">
        <f aca="false">IFERROR(INDEX('Master Data'!$M$2:$M$2436,MATCH($B$3&amp;"|3|"&amp;F$44&amp;"|"&amp;$A48,'Master Data'!$A$2:$A$2436,0)),"")</f>
        <v>Little  3/4
coach: Damai</v>
      </c>
      <c r="G48" s="60" t="str">
        <f aca="false">IFERROR(INDEX('Master Data'!$M$2:$M$2436,MATCH($B$3&amp;"|3|"&amp;G$44&amp;"|"&amp;$A48,'Master Data'!$A$2:$A$2436,0)),"")</f>
        <v>Little  4/4
coach: Shofwan</v>
      </c>
      <c r="H48" s="60" t="str">
        <f aca="false">IFERROR(INDEX('Master Data'!$M$2:$M$2436,MATCH($B$3&amp;"|3|"&amp;H$44&amp;"|"&amp;$A48,'Master Data'!$A$2:$A$2436,0)),"")</f>
        <v>Little  4/4
coach: Zidan</v>
      </c>
      <c r="T48" s="61" t="str">
        <f aca="false">IFERROR(INDEX('Master Data'!$L$2:$L$2436,MATCH($B$3&amp;"|3|"&amp;B$44&amp;"|"&amp;$A48,'Master Data'!$A$2:$A$2436,0)),"")</f>
        <v>Sebagian</v>
      </c>
      <c r="U48" s="61" t="str">
        <f aca="false">IFERROR(INDEX('Master Data'!$L$2:$L$2436,MATCH($B$3&amp;"|3|"&amp;C$44&amp;"|"&amp;$A48,'Master Data'!$A$2:$A$2436,0)),"")</f>
        <v>Sebagian</v>
      </c>
      <c r="V48" s="61" t="str">
        <f aca="false">IFERROR(INDEX('Master Data'!$L$2:$L$2436,MATCH($B$3&amp;"|3|"&amp;D$44&amp;"|"&amp;$A48,'Master Data'!$A$2:$A$2436,0)),"")</f>
        <v>Belum terisi</v>
      </c>
      <c r="W48" s="61" t="str">
        <f aca="false">IFERROR(INDEX('Master Data'!$L$2:$L$2436,MATCH($B$3&amp;"|3|"&amp;E$44&amp;"|"&amp;$A48,'Master Data'!$A$2:$A$2436,0)),"")</f>
        <v>Sebagian</v>
      </c>
      <c r="X48" s="61" t="str">
        <f aca="false">IFERROR(INDEX('Master Data'!$L$2:$L$2436,MATCH($B$3&amp;"|3|"&amp;F$44&amp;"|"&amp;$A48,'Master Data'!$A$2:$A$2436,0)),"")</f>
        <v>Sebagian</v>
      </c>
      <c r="Y48" s="61" t="str">
        <f aca="false">IFERROR(INDEX('Master Data'!$L$2:$L$2436,MATCH($B$3&amp;"|3|"&amp;G$44&amp;"|"&amp;$A48,'Master Data'!$A$2:$A$2436,0)),"")</f>
        <v>Penuh</v>
      </c>
      <c r="Z48" s="61" t="str">
        <f aca="false">IFERROR(INDEX('Master Data'!$L$2:$L$2436,MATCH($B$3&amp;"|3|"&amp;H$44&amp;"|"&amp;$A48,'Master Data'!$A$2:$A$2436,0)),"")</f>
        <v>Penuh</v>
      </c>
    </row>
    <row r="49" customFormat="false" ht="30" hidden="false" customHeight="true" outlineLevel="0" collapsed="false">
      <c r="A49" s="59" t="s">
        <v>114</v>
      </c>
      <c r="B49" s="60" t="str">
        <f aca="false">IFERROR(INDEX('Master Data'!$M$2:$M$2436,MATCH($B$3&amp;"|3|"&amp;B$44&amp;"|"&amp;$A49,'Master Data'!$A$2:$A$2436,0)),"")</f>
        <v>Little  1/4
coach: Kamal</v>
      </c>
      <c r="C49" s="60" t="str">
        <f aca="false">IFERROR(INDEX('Master Data'!$M$2:$M$2436,MATCH($B$3&amp;"|3|"&amp;C$44&amp;"|"&amp;$A49,'Master Data'!$A$2:$A$2436,0)),"")</f>
        <v>Little  0/4
coach: –</v>
      </c>
      <c r="D49" s="60" t="str">
        <f aca="false">IFERROR(INDEX('Master Data'!$M$2:$M$2436,MATCH($B$3&amp;"|3|"&amp;D$44&amp;"|"&amp;$A49,'Master Data'!$A$2:$A$2436,0)),"")</f>
        <v>Little  2/4
coach: Zidan</v>
      </c>
      <c r="E49" s="60" t="str">
        <f aca="false">IFERROR(INDEX('Master Data'!$M$2:$M$2436,MATCH($B$3&amp;"|3|"&amp;E$44&amp;"|"&amp;$A49,'Master Data'!$A$2:$A$2436,0)),"")</f>
        <v>Little  2/4
coach: Indah</v>
      </c>
      <c r="F49" s="60" t="str">
        <f aca="false">IFERROR(INDEX('Master Data'!$M$2:$M$2436,MATCH($B$3&amp;"|3|"&amp;F$44&amp;"|"&amp;$A49,'Master Data'!$A$2:$A$2436,0)),"")</f>
        <v>Little  0/4
coach: –</v>
      </c>
      <c r="G49" s="60" t="str">
        <f aca="false">IFERROR(INDEX('Master Data'!$M$2:$M$2436,MATCH($B$3&amp;"|3|"&amp;G$44&amp;"|"&amp;$A49,'Master Data'!$A$2:$A$2436,0)),"")</f>
        <v>Little  4/4
coach: Indah</v>
      </c>
      <c r="H49" s="60" t="str">
        <f aca="false">IFERROR(INDEX('Master Data'!$M$2:$M$2436,MATCH($B$3&amp;"|3|"&amp;H$44&amp;"|"&amp;$A49,'Master Data'!$A$2:$A$2436,0)),"")</f>
        <v>Little  4/4
coach: Zidan</v>
      </c>
      <c r="T49" s="61" t="str">
        <f aca="false">IFERROR(INDEX('Master Data'!$L$2:$L$2436,MATCH($B$3&amp;"|3|"&amp;B$44&amp;"|"&amp;$A49,'Master Data'!$A$2:$A$2436,0)),"")</f>
        <v>Sebagian</v>
      </c>
      <c r="U49" s="61" t="str">
        <f aca="false">IFERROR(INDEX('Master Data'!$L$2:$L$2436,MATCH($B$3&amp;"|3|"&amp;C$44&amp;"|"&amp;$A49,'Master Data'!$A$2:$A$2436,0)),"")</f>
        <v>Belum terisi</v>
      </c>
      <c r="V49" s="61" t="str">
        <f aca="false">IFERROR(INDEX('Master Data'!$L$2:$L$2436,MATCH($B$3&amp;"|3|"&amp;D$44&amp;"|"&amp;$A49,'Master Data'!$A$2:$A$2436,0)),"")</f>
        <v>Sebagian</v>
      </c>
      <c r="W49" s="61" t="str">
        <f aca="false">IFERROR(INDEX('Master Data'!$L$2:$L$2436,MATCH($B$3&amp;"|3|"&amp;E$44&amp;"|"&amp;$A49,'Master Data'!$A$2:$A$2436,0)),"")</f>
        <v>Sebagian</v>
      </c>
      <c r="X49" s="61" t="str">
        <f aca="false">IFERROR(INDEX('Master Data'!$L$2:$L$2436,MATCH($B$3&amp;"|3|"&amp;F$44&amp;"|"&amp;$A49,'Master Data'!$A$2:$A$2436,0)),"")</f>
        <v>Belum terisi</v>
      </c>
      <c r="Y49" s="61" t="str">
        <f aca="false">IFERROR(INDEX('Master Data'!$L$2:$L$2436,MATCH($B$3&amp;"|3|"&amp;G$44&amp;"|"&amp;$A49,'Master Data'!$A$2:$A$2436,0)),"")</f>
        <v>Penuh</v>
      </c>
      <c r="Z49" s="61" t="str">
        <f aca="false">IFERROR(INDEX('Master Data'!$L$2:$L$2436,MATCH($B$3&amp;"|3|"&amp;H$44&amp;"|"&amp;$A49,'Master Data'!$A$2:$A$2436,0)),"")</f>
        <v>Penuh</v>
      </c>
    </row>
    <row r="50" customFormat="false" ht="30" hidden="false" customHeight="true" outlineLevel="0" collapsed="false">
      <c r="A50" s="59" t="s">
        <v>115</v>
      </c>
      <c r="B50" s="60" t="str">
        <f aca="false">IFERROR(INDEX('Master Data'!$M$2:$M$2436,MATCH($B$3&amp;"|3|"&amp;B$44&amp;"|"&amp;$A50,'Master Data'!$A$2:$A$2436,0)),"")</f>
        <v>Little  0/0
coach: –</v>
      </c>
      <c r="C50" s="60" t="str">
        <f aca="false">IFERROR(INDEX('Master Data'!$M$2:$M$2436,MATCH($B$3&amp;"|3|"&amp;C$44&amp;"|"&amp;$A50,'Master Data'!$A$2:$A$2436,0)),"")</f>
        <v>Little  0/0
coach: –</v>
      </c>
      <c r="D50" s="60" t="str">
        <f aca="false">IFERROR(INDEX('Master Data'!$M$2:$M$2436,MATCH($B$3&amp;"|3|"&amp;D$44&amp;"|"&amp;$A50,'Master Data'!$A$2:$A$2436,0)),"")</f>
        <v>Little  0/0
coach: –</v>
      </c>
      <c r="E50" s="60" t="str">
        <f aca="false">IFERROR(INDEX('Master Data'!$M$2:$M$2436,MATCH($B$3&amp;"|3|"&amp;E$44&amp;"|"&amp;$A50,'Master Data'!$A$2:$A$2436,0)),"")</f>
        <v>Little  0/0
coach: –</v>
      </c>
      <c r="F50" s="60" t="str">
        <f aca="false">IFERROR(INDEX('Master Data'!$M$2:$M$2436,MATCH($B$3&amp;"|3|"&amp;F$44&amp;"|"&amp;$A50,'Master Data'!$A$2:$A$2436,0)),"")</f>
        <v>Little  0/0
coach: –</v>
      </c>
      <c r="G50" s="60" t="str">
        <f aca="false">IFERROR(INDEX('Master Data'!$M$2:$M$2436,MATCH($B$3&amp;"|3|"&amp;G$44&amp;"|"&amp;$A50,'Master Data'!$A$2:$A$2436,0)),"")</f>
        <v>Little  4/4
coach: Zidan</v>
      </c>
      <c r="H50" s="60" t="str">
        <f aca="false">IFERROR(INDEX('Master Data'!$M$2:$M$2436,MATCH($B$3&amp;"|3|"&amp;H$44&amp;"|"&amp;$A50,'Master Data'!$A$2:$A$2436,0)),"")</f>
        <v>Little  3/4
coach: Shofwan</v>
      </c>
      <c r="T50" s="61" t="str">
        <f aca="false">IFERROR(INDEX('Master Data'!$L$2:$L$2436,MATCH($B$3&amp;"|3|"&amp;B$44&amp;"|"&amp;$A50,'Master Data'!$A$2:$A$2436,0)),"")</f>
        <v>Tutup</v>
      </c>
      <c r="U50" s="61" t="str">
        <f aca="false">IFERROR(INDEX('Master Data'!$L$2:$L$2436,MATCH($B$3&amp;"|3|"&amp;C$44&amp;"|"&amp;$A50,'Master Data'!$A$2:$A$2436,0)),"")</f>
        <v>Tutup</v>
      </c>
      <c r="V50" s="61" t="str">
        <f aca="false">IFERROR(INDEX('Master Data'!$L$2:$L$2436,MATCH($B$3&amp;"|3|"&amp;D$44&amp;"|"&amp;$A50,'Master Data'!$A$2:$A$2436,0)),"")</f>
        <v>Tutup</v>
      </c>
      <c r="W50" s="61" t="str">
        <f aca="false">IFERROR(INDEX('Master Data'!$L$2:$L$2436,MATCH($B$3&amp;"|3|"&amp;E$44&amp;"|"&amp;$A50,'Master Data'!$A$2:$A$2436,0)),"")</f>
        <v>Tutup</v>
      </c>
      <c r="X50" s="61" t="str">
        <f aca="false">IFERROR(INDEX('Master Data'!$L$2:$L$2436,MATCH($B$3&amp;"|3|"&amp;F$44&amp;"|"&amp;$A50,'Master Data'!$A$2:$A$2436,0)),"")</f>
        <v>Tutup</v>
      </c>
      <c r="Y50" s="61" t="str">
        <f aca="false">IFERROR(INDEX('Master Data'!$L$2:$L$2436,MATCH($B$3&amp;"|3|"&amp;G$44&amp;"|"&amp;$A50,'Master Data'!$A$2:$A$2436,0)),"")</f>
        <v>Penuh</v>
      </c>
      <c r="Z50" s="61" t="str">
        <f aca="false">IFERROR(INDEX('Master Data'!$L$2:$L$2436,MATCH($B$3&amp;"|3|"&amp;H$44&amp;"|"&amp;$A50,'Master Data'!$A$2:$A$2436,0)),"")</f>
        <v>Sebagian</v>
      </c>
    </row>
    <row r="51" customFormat="false" ht="30" hidden="false" customHeight="true" outlineLevel="0" collapsed="false">
      <c r="A51" s="59" t="s">
        <v>116</v>
      </c>
      <c r="B51" s="60" t="str">
        <f aca="false">IFERROR(INDEX('Master Data'!$M$2:$M$2436,MATCH($B$3&amp;"|3|"&amp;B$44&amp;"|"&amp;$A51,'Master Data'!$A$2:$A$2436,0)),"")</f>
        <v>Little  0/4
coach: –</v>
      </c>
      <c r="C51" s="60" t="str">
        <f aca="false">IFERROR(INDEX('Master Data'!$M$2:$M$2436,MATCH($B$3&amp;"|3|"&amp;C$44&amp;"|"&amp;$A51,'Master Data'!$A$2:$A$2436,0)),"")</f>
        <v>Little  0/4
coach: –</v>
      </c>
      <c r="D51" s="60" t="str">
        <f aca="false">IFERROR(INDEX('Master Data'!$M$2:$M$2436,MATCH($B$3&amp;"|3|"&amp;D$44&amp;"|"&amp;$A51,'Master Data'!$A$2:$A$2436,0)),"")</f>
        <v>Little  0/4
coach: –</v>
      </c>
      <c r="E51" s="60" t="str">
        <f aca="false">IFERROR(INDEX('Master Data'!$M$2:$M$2436,MATCH($B$3&amp;"|3|"&amp;E$44&amp;"|"&amp;$A51,'Master Data'!$A$2:$A$2436,0)),"")</f>
        <v>Little  0/4
coach: –</v>
      </c>
      <c r="F51" s="60" t="str">
        <f aca="false">IFERROR(INDEX('Master Data'!$M$2:$M$2436,MATCH($B$3&amp;"|3|"&amp;F$44&amp;"|"&amp;$A51,'Master Data'!$A$2:$A$2436,0)),"")</f>
        <v>Little  0/0
coach: –</v>
      </c>
      <c r="G51" s="60" t="str">
        <f aca="false">IFERROR(INDEX('Master Data'!$M$2:$M$2436,MATCH($B$3&amp;"|3|"&amp;G$44&amp;"|"&amp;$A51,'Master Data'!$A$2:$A$2436,0)),"")</f>
        <v>Little  0/4
coach: –</v>
      </c>
      <c r="H51" s="60" t="str">
        <f aca="false">IFERROR(INDEX('Master Data'!$M$2:$M$2436,MATCH($B$3&amp;"|3|"&amp;H$44&amp;"|"&amp;$A51,'Master Data'!$A$2:$A$2436,0)),"")</f>
        <v>Little  3/4
coach: Laksamana</v>
      </c>
      <c r="T51" s="61" t="str">
        <f aca="false">IFERROR(INDEX('Master Data'!$L$2:$L$2436,MATCH($B$3&amp;"|3|"&amp;B$44&amp;"|"&amp;$A51,'Master Data'!$A$2:$A$2436,0)),"")</f>
        <v>Belum terisi</v>
      </c>
      <c r="U51" s="61" t="str">
        <f aca="false">IFERROR(INDEX('Master Data'!$L$2:$L$2436,MATCH($B$3&amp;"|3|"&amp;C$44&amp;"|"&amp;$A51,'Master Data'!$A$2:$A$2436,0)),"")</f>
        <v>Belum terisi</v>
      </c>
      <c r="V51" s="61" t="str">
        <f aca="false">IFERROR(INDEX('Master Data'!$L$2:$L$2436,MATCH($B$3&amp;"|3|"&amp;D$44&amp;"|"&amp;$A51,'Master Data'!$A$2:$A$2436,0)),"")</f>
        <v>Belum terisi</v>
      </c>
      <c r="W51" s="61" t="str">
        <f aca="false">IFERROR(INDEX('Master Data'!$L$2:$L$2436,MATCH($B$3&amp;"|3|"&amp;E$44&amp;"|"&amp;$A51,'Master Data'!$A$2:$A$2436,0)),"")</f>
        <v>Belum terisi</v>
      </c>
      <c r="X51" s="61" t="str">
        <f aca="false">IFERROR(INDEX('Master Data'!$L$2:$L$2436,MATCH($B$3&amp;"|3|"&amp;F$44&amp;"|"&amp;$A51,'Master Data'!$A$2:$A$2436,0)),"")</f>
        <v>Tutup</v>
      </c>
      <c r="Y51" s="61" t="str">
        <f aca="false">IFERROR(INDEX('Master Data'!$L$2:$L$2436,MATCH($B$3&amp;"|3|"&amp;G$44&amp;"|"&amp;$A51,'Master Data'!$A$2:$A$2436,0)),"")</f>
        <v>Belum terisi</v>
      </c>
      <c r="Z51" s="61" t="str">
        <f aca="false">IFERROR(INDEX('Master Data'!$L$2:$L$2436,MATCH($B$3&amp;"|3|"&amp;H$44&amp;"|"&amp;$A51,'Master Data'!$A$2:$A$2436,0)),"")</f>
        <v>Sebagian</v>
      </c>
    </row>
    <row r="52" customFormat="false" ht="30" hidden="false" customHeight="true" outlineLevel="0" collapsed="false">
      <c r="A52" s="59" t="s">
        <v>117</v>
      </c>
      <c r="B52" s="60" t="str">
        <f aca="false">IFERROR(INDEX('Master Data'!$M$2:$M$2436,MATCH($B$3&amp;"|3|"&amp;B$44&amp;"|"&amp;$A52,'Master Data'!$A$2:$A$2436,0)),"")</f>
        <v>Little  0/4
coach: –</v>
      </c>
      <c r="C52" s="60" t="str">
        <f aca="false">IFERROR(INDEX('Master Data'!$M$2:$M$2436,MATCH($B$3&amp;"|3|"&amp;C$44&amp;"|"&amp;$A52,'Master Data'!$A$2:$A$2436,0)),"")</f>
        <v>Little  1/4
coach: Dadi</v>
      </c>
      <c r="D52" s="60" t="str">
        <f aca="false">IFERROR(INDEX('Master Data'!$M$2:$M$2436,MATCH($B$3&amp;"|3|"&amp;D$44&amp;"|"&amp;$A52,'Master Data'!$A$2:$A$2436,0)),"")</f>
        <v>Little  4/4
coach: Indah</v>
      </c>
      <c r="E52" s="60" t="str">
        <f aca="false">IFERROR(INDEX('Master Data'!$M$2:$M$2436,MATCH($B$3&amp;"|3|"&amp;E$44&amp;"|"&amp;$A52,'Master Data'!$A$2:$A$2436,0)),"")</f>
        <v>Little  2/4
coach: Zidan</v>
      </c>
      <c r="F52" s="60" t="str">
        <f aca="false">IFERROR(INDEX('Master Data'!$M$2:$M$2436,MATCH($B$3&amp;"|3|"&amp;F$44&amp;"|"&amp;$A52,'Master Data'!$A$2:$A$2436,0)),"")</f>
        <v>Little  3/4
coach: Kamal</v>
      </c>
      <c r="G52" s="60" t="str">
        <f aca="false">IFERROR(INDEX('Master Data'!$M$2:$M$2436,MATCH($B$3&amp;"|3|"&amp;G$44&amp;"|"&amp;$A52,'Master Data'!$A$2:$A$2436,0)),"")</f>
        <v>Little  0/4
coach: –</v>
      </c>
      <c r="H52" s="60" t="str">
        <f aca="false">IFERROR(INDEX('Master Data'!$M$2:$M$2436,MATCH($B$3&amp;"|3|"&amp;H$44&amp;"|"&amp;$A52,'Master Data'!$A$2:$A$2436,0)),"")</f>
        <v>Little  3/4
coach: Indah</v>
      </c>
      <c r="T52" s="61" t="str">
        <f aca="false">IFERROR(INDEX('Master Data'!$L$2:$L$2436,MATCH($B$3&amp;"|3|"&amp;B$44&amp;"|"&amp;$A52,'Master Data'!$A$2:$A$2436,0)),"")</f>
        <v>Belum terisi</v>
      </c>
      <c r="U52" s="61" t="str">
        <f aca="false">IFERROR(INDEX('Master Data'!$L$2:$L$2436,MATCH($B$3&amp;"|3|"&amp;C$44&amp;"|"&amp;$A52,'Master Data'!$A$2:$A$2436,0)),"")</f>
        <v>Sebagian</v>
      </c>
      <c r="V52" s="61" t="str">
        <f aca="false">IFERROR(INDEX('Master Data'!$L$2:$L$2436,MATCH($B$3&amp;"|3|"&amp;D$44&amp;"|"&amp;$A52,'Master Data'!$A$2:$A$2436,0)),"")</f>
        <v>Penuh</v>
      </c>
      <c r="W52" s="61" t="str">
        <f aca="false">IFERROR(INDEX('Master Data'!$L$2:$L$2436,MATCH($B$3&amp;"|3|"&amp;E$44&amp;"|"&amp;$A52,'Master Data'!$A$2:$A$2436,0)),"")</f>
        <v>Sebagian</v>
      </c>
      <c r="X52" s="61" t="str">
        <f aca="false">IFERROR(INDEX('Master Data'!$L$2:$L$2436,MATCH($B$3&amp;"|3|"&amp;F$44&amp;"|"&amp;$A52,'Master Data'!$A$2:$A$2436,0)),"")</f>
        <v>Sebagian</v>
      </c>
      <c r="Y52" s="61" t="str">
        <f aca="false">IFERROR(INDEX('Master Data'!$L$2:$L$2436,MATCH($B$3&amp;"|3|"&amp;G$44&amp;"|"&amp;$A52,'Master Data'!$A$2:$A$2436,0)),"")</f>
        <v>Belum terisi</v>
      </c>
      <c r="Z52" s="61" t="str">
        <f aca="false">IFERROR(INDEX('Master Data'!$L$2:$L$2436,MATCH($B$3&amp;"|3|"&amp;H$44&amp;"|"&amp;$A52,'Master Data'!$A$2:$A$2436,0)),"")</f>
        <v>Sebagian</v>
      </c>
    </row>
    <row r="53" customFormat="false" ht="30" hidden="false" customHeight="true" outlineLevel="0" collapsed="false">
      <c r="A53" s="59" t="s">
        <v>118</v>
      </c>
      <c r="B53" s="60" t="str">
        <f aca="false">IFERROR(INDEX('Master Data'!$M$2:$M$2436,MATCH($B$3&amp;"|3|"&amp;B$44&amp;"|"&amp;$A53,'Master Data'!$A$2:$A$2436,0)),"")</f>
        <v>Little  0/4
coach: –</v>
      </c>
      <c r="C53" s="60" t="str">
        <f aca="false">IFERROR(INDEX('Master Data'!$M$2:$M$2436,MATCH($B$3&amp;"|3|"&amp;C$44&amp;"|"&amp;$A53,'Master Data'!$A$2:$A$2436,0)),"")</f>
        <v>Little  2/4
coach: Dyana</v>
      </c>
      <c r="D53" s="60" t="str">
        <f aca="false">IFERROR(INDEX('Master Data'!$M$2:$M$2436,MATCH($B$3&amp;"|3|"&amp;D$44&amp;"|"&amp;$A53,'Master Data'!$A$2:$A$2436,0)),"")</f>
        <v>Little  3/0
coach: Dadi</v>
      </c>
      <c r="E53" s="60" t="str">
        <f aca="false">IFERROR(INDEX('Master Data'!$M$2:$M$2436,MATCH($B$3&amp;"|3|"&amp;E$44&amp;"|"&amp;$A53,'Master Data'!$A$2:$A$2436,0)),"")</f>
        <v>Little  2/0
coach: Shofwan</v>
      </c>
      <c r="F53" s="60" t="str">
        <f aca="false">IFERROR(INDEX('Master Data'!$M$2:$M$2436,MATCH($B$3&amp;"|3|"&amp;F$44&amp;"|"&amp;$A53,'Master Data'!$A$2:$A$2436,0)),"")</f>
        <v>Little  3/4
coach: Zidan</v>
      </c>
      <c r="G53" s="60" t="str">
        <f aca="false">IFERROR(INDEX('Master Data'!$M$2:$M$2436,MATCH($B$3&amp;"|3|"&amp;G$44&amp;"|"&amp;$A53,'Master Data'!$A$2:$A$2436,0)),"")</f>
        <v>Little  3/4
coach: Damai</v>
      </c>
      <c r="H53" s="60" t="str">
        <f aca="false">IFERROR(INDEX('Master Data'!$M$2:$M$2436,MATCH($B$3&amp;"|3|"&amp;H$44&amp;"|"&amp;$A53,'Master Data'!$A$2:$A$2436,0)),"")</f>
        <v>Little  2/4
coach: Laksamana</v>
      </c>
      <c r="T53" s="61" t="str">
        <f aca="false">IFERROR(INDEX('Master Data'!$L$2:$L$2436,MATCH($B$3&amp;"|3|"&amp;B$44&amp;"|"&amp;$A53,'Master Data'!$A$2:$A$2436,0)),"")</f>
        <v>Belum terisi</v>
      </c>
      <c r="U53" s="61" t="str">
        <f aca="false">IFERROR(INDEX('Master Data'!$L$2:$L$2436,MATCH($B$3&amp;"|3|"&amp;C$44&amp;"|"&amp;$A53,'Master Data'!$A$2:$A$2436,0)),"")</f>
        <v>Sebagian</v>
      </c>
      <c r="V53" s="61" t="str">
        <f aca="false">IFERROR(INDEX('Master Data'!$L$2:$L$2436,MATCH($B$3&amp;"|3|"&amp;D$44&amp;"|"&amp;$A53,'Master Data'!$A$2:$A$2436,0)),"")</f>
        <v>Lebih kapasitas</v>
      </c>
      <c r="W53" s="61" t="str">
        <f aca="false">IFERROR(INDEX('Master Data'!$L$2:$L$2436,MATCH($B$3&amp;"|3|"&amp;E$44&amp;"|"&amp;$A53,'Master Data'!$A$2:$A$2436,0)),"")</f>
        <v>Lebih kapasitas</v>
      </c>
      <c r="X53" s="61" t="str">
        <f aca="false">IFERROR(INDEX('Master Data'!$L$2:$L$2436,MATCH($B$3&amp;"|3|"&amp;F$44&amp;"|"&amp;$A53,'Master Data'!$A$2:$A$2436,0)),"")</f>
        <v>Sebagian</v>
      </c>
      <c r="Y53" s="61" t="str">
        <f aca="false">IFERROR(INDEX('Master Data'!$L$2:$L$2436,MATCH($B$3&amp;"|3|"&amp;G$44&amp;"|"&amp;$A53,'Master Data'!$A$2:$A$2436,0)),"")</f>
        <v>Sebagian</v>
      </c>
      <c r="Z53" s="61" t="str">
        <f aca="false">IFERROR(INDEX('Master Data'!$L$2:$L$2436,MATCH($B$3&amp;"|3|"&amp;H$44&amp;"|"&amp;$A53,'Master Data'!$A$2:$A$2436,0)),"")</f>
        <v>Sebagian</v>
      </c>
    </row>
    <row r="54" customFormat="false" ht="30" hidden="false" customHeight="true" outlineLevel="0" collapsed="false">
      <c r="A54" s="59" t="s">
        <v>119</v>
      </c>
      <c r="B54" s="60" t="str">
        <f aca="false">IFERROR(INDEX('Master Data'!$M$2:$M$2436,MATCH($B$3&amp;"|3|"&amp;B$44&amp;"|"&amp;$A54,'Master Data'!$A$2:$A$2436,0)),"")</f>
        <v>Little  4/4
coach: Damai</v>
      </c>
      <c r="C54" s="60" t="str">
        <f aca="false">IFERROR(INDEX('Master Data'!$M$2:$M$2436,MATCH($B$3&amp;"|3|"&amp;C$44&amp;"|"&amp;$A54,'Master Data'!$A$2:$A$2436,0)),"")</f>
        <v>Little  3/4
coach: Dyana</v>
      </c>
      <c r="D54" s="60" t="str">
        <f aca="false">IFERROR(INDEX('Master Data'!$M$2:$M$2436,MATCH($B$3&amp;"|3|"&amp;D$44&amp;"|"&amp;$A54,'Master Data'!$A$2:$A$2436,0)),"")</f>
        <v>Little  4/4
coach: Indah</v>
      </c>
      <c r="E54" s="60" t="str">
        <f aca="false">IFERROR(INDEX('Master Data'!$M$2:$M$2436,MATCH($B$3&amp;"|3|"&amp;E$44&amp;"|"&amp;$A54,'Master Data'!$A$2:$A$2436,0)),"")</f>
        <v>Little  3/4
coach: Zidan</v>
      </c>
      <c r="F54" s="60" t="str">
        <f aca="false">IFERROR(INDEX('Master Data'!$M$2:$M$2436,MATCH($B$3&amp;"|3|"&amp;F$44&amp;"|"&amp;$A54,'Master Data'!$A$2:$A$2436,0)),"")</f>
        <v>Little  3/4
coach: Indah</v>
      </c>
      <c r="G54" s="60" t="str">
        <f aca="false">IFERROR(INDEX('Master Data'!$M$2:$M$2436,MATCH($B$3&amp;"|3|"&amp;G$44&amp;"|"&amp;$A54,'Master Data'!$A$2:$A$2436,0)),"")</f>
        <v>Little  4/4
coach: Kamal</v>
      </c>
      <c r="H54" s="60" t="str">
        <f aca="false">IFERROR(INDEX('Master Data'!$M$2:$M$2436,MATCH($B$3&amp;"|3|"&amp;H$44&amp;"|"&amp;$A54,'Master Data'!$A$2:$A$2436,0)),"")</f>
        <v>Little  2/4
coach: Dadi</v>
      </c>
      <c r="T54" s="61" t="str">
        <f aca="false">IFERROR(INDEX('Master Data'!$L$2:$L$2436,MATCH($B$3&amp;"|3|"&amp;B$44&amp;"|"&amp;$A54,'Master Data'!$A$2:$A$2436,0)),"")</f>
        <v>Penuh</v>
      </c>
      <c r="U54" s="61" t="str">
        <f aca="false">IFERROR(INDEX('Master Data'!$L$2:$L$2436,MATCH($B$3&amp;"|3|"&amp;C$44&amp;"|"&amp;$A54,'Master Data'!$A$2:$A$2436,0)),"")</f>
        <v>Sebagian</v>
      </c>
      <c r="V54" s="61" t="str">
        <f aca="false">IFERROR(INDEX('Master Data'!$L$2:$L$2436,MATCH($B$3&amp;"|3|"&amp;D$44&amp;"|"&amp;$A54,'Master Data'!$A$2:$A$2436,0)),"")</f>
        <v>Penuh</v>
      </c>
      <c r="W54" s="61" t="str">
        <f aca="false">IFERROR(INDEX('Master Data'!$L$2:$L$2436,MATCH($B$3&amp;"|3|"&amp;E$44&amp;"|"&amp;$A54,'Master Data'!$A$2:$A$2436,0)),"")</f>
        <v>Sebagian</v>
      </c>
      <c r="X54" s="61" t="str">
        <f aca="false">IFERROR(INDEX('Master Data'!$L$2:$L$2436,MATCH($B$3&amp;"|3|"&amp;F$44&amp;"|"&amp;$A54,'Master Data'!$A$2:$A$2436,0)),"")</f>
        <v>Sebagian</v>
      </c>
      <c r="Y54" s="61" t="str">
        <f aca="false">IFERROR(INDEX('Master Data'!$L$2:$L$2436,MATCH($B$3&amp;"|3|"&amp;G$44&amp;"|"&amp;$A54,'Master Data'!$A$2:$A$2436,0)),"")</f>
        <v>Penuh</v>
      </c>
      <c r="Z54" s="61" t="str">
        <f aca="false">IFERROR(INDEX('Master Data'!$L$2:$L$2436,MATCH($B$3&amp;"|3|"&amp;H$44&amp;"|"&amp;$A54,'Master Data'!$A$2:$A$2436,0)),"")</f>
        <v>Sebagian</v>
      </c>
    </row>
    <row r="55" customFormat="false" ht="30" hidden="false" customHeight="true" outlineLevel="0" collapsed="false">
      <c r="A55" s="59" t="s">
        <v>120</v>
      </c>
      <c r="B55" s="60" t="str">
        <f aca="false">IFERROR(INDEX('Master Data'!$M$2:$M$2436,MATCH($B$3&amp;"|3|"&amp;B$44&amp;"|"&amp;$A55,'Master Data'!$A$2:$A$2436,0)),"")</f>
        <v>Little  3/4
coach: Kamal</v>
      </c>
      <c r="C55" s="60" t="str">
        <f aca="false">IFERROR(INDEX('Master Data'!$M$2:$M$2436,MATCH($B$3&amp;"|3|"&amp;C$44&amp;"|"&amp;$A55,'Master Data'!$A$2:$A$2436,0)),"")</f>
        <v>Little  4/4
coach: Dadi</v>
      </c>
      <c r="D55" s="60" t="str">
        <f aca="false">IFERROR(INDEX('Master Data'!$M$2:$M$2436,MATCH($B$3&amp;"|3|"&amp;D$44&amp;"|"&amp;$A55,'Master Data'!$A$2:$A$2436,0)),"")</f>
        <v>Little  3/4
coach: Indah</v>
      </c>
      <c r="E55" s="60" t="str">
        <f aca="false">IFERROR(INDEX('Master Data'!$M$2:$M$2436,MATCH($B$3&amp;"|3|"&amp;E$44&amp;"|"&amp;$A55,'Master Data'!$A$2:$A$2436,0)),"")</f>
        <v>Little  4/4
coach: Zidan</v>
      </c>
      <c r="F55" s="60" t="str">
        <f aca="false">IFERROR(INDEX('Master Data'!$M$2:$M$2436,MATCH($B$3&amp;"|3|"&amp;F$44&amp;"|"&amp;$A55,'Master Data'!$A$2:$A$2436,0)),"")</f>
        <v>Little  4/4
coach: Kamal</v>
      </c>
      <c r="G55" s="60" t="str">
        <f aca="false">IFERROR(INDEX('Master Data'!$M$2:$M$2436,MATCH($B$3&amp;"|3|"&amp;G$44&amp;"|"&amp;$A55,'Master Data'!$A$2:$A$2436,0)),"")</f>
        <v>Little  4/4
coach: Kamal</v>
      </c>
      <c r="H55" s="60" t="str">
        <f aca="false">IFERROR(INDEX('Master Data'!$M$2:$M$2436,MATCH($B$3&amp;"|3|"&amp;H$44&amp;"|"&amp;$A55,'Master Data'!$A$2:$A$2436,0)),"")</f>
        <v>Little  3/4
coach: Zidan</v>
      </c>
      <c r="T55" s="61" t="str">
        <f aca="false">IFERROR(INDEX('Master Data'!$L$2:$L$2436,MATCH($B$3&amp;"|3|"&amp;B$44&amp;"|"&amp;$A55,'Master Data'!$A$2:$A$2436,0)),"")</f>
        <v>Sebagian</v>
      </c>
      <c r="U55" s="61" t="str">
        <f aca="false">IFERROR(INDEX('Master Data'!$L$2:$L$2436,MATCH($B$3&amp;"|3|"&amp;C$44&amp;"|"&amp;$A55,'Master Data'!$A$2:$A$2436,0)),"")</f>
        <v>Penuh</v>
      </c>
      <c r="V55" s="61" t="str">
        <f aca="false">IFERROR(INDEX('Master Data'!$L$2:$L$2436,MATCH($B$3&amp;"|3|"&amp;D$44&amp;"|"&amp;$A55,'Master Data'!$A$2:$A$2436,0)),"")</f>
        <v>Sebagian</v>
      </c>
      <c r="W55" s="61" t="str">
        <f aca="false">IFERROR(INDEX('Master Data'!$L$2:$L$2436,MATCH($B$3&amp;"|3|"&amp;E$44&amp;"|"&amp;$A55,'Master Data'!$A$2:$A$2436,0)),"")</f>
        <v>Penuh</v>
      </c>
      <c r="X55" s="61" t="str">
        <f aca="false">IFERROR(INDEX('Master Data'!$L$2:$L$2436,MATCH($B$3&amp;"|3|"&amp;F$44&amp;"|"&amp;$A55,'Master Data'!$A$2:$A$2436,0)),"")</f>
        <v>Penuh</v>
      </c>
      <c r="Y55" s="61" t="str">
        <f aca="false">IFERROR(INDEX('Master Data'!$L$2:$L$2436,MATCH($B$3&amp;"|3|"&amp;G$44&amp;"|"&amp;$A55,'Master Data'!$A$2:$A$2436,0)),"")</f>
        <v>Penuh</v>
      </c>
      <c r="Z55" s="61" t="str">
        <f aca="false">IFERROR(INDEX('Master Data'!$L$2:$L$2436,MATCH($B$3&amp;"|3|"&amp;H$44&amp;"|"&amp;$A55,'Master Data'!$A$2:$A$2436,0)),"")</f>
        <v>Sebagian</v>
      </c>
    </row>
    <row r="56" customFormat="false" ht="30" hidden="false" customHeight="true" outlineLevel="0" collapsed="false">
      <c r="A56" s="59" t="s">
        <v>121</v>
      </c>
      <c r="B56" s="60" t="str">
        <f aca="false">IFERROR(INDEX('Master Data'!$M$2:$M$2436,MATCH($B$3&amp;"|3|"&amp;B$44&amp;"|"&amp;$A56,'Master Data'!$A$2:$A$2436,0)),"")</f>
        <v>Little  0/4
coach: –</v>
      </c>
      <c r="C56" s="60" t="str">
        <f aca="false">IFERROR(INDEX('Master Data'!$M$2:$M$2436,MATCH($B$3&amp;"|3|"&amp;C$44&amp;"|"&amp;$A56,'Master Data'!$A$2:$A$2436,0)),"")</f>
        <v>Little  1/4
coach: Dadi</v>
      </c>
      <c r="D56" s="60" t="str">
        <f aca="false">IFERROR(INDEX('Master Data'!$M$2:$M$2436,MATCH($B$3&amp;"|3|"&amp;D$44&amp;"|"&amp;$A56,'Master Data'!$A$2:$A$2436,0)),"")</f>
        <v>Little  3/4
coach: Dadi</v>
      </c>
      <c r="E56" s="60" t="str">
        <f aca="false">IFERROR(INDEX('Master Data'!$M$2:$M$2436,MATCH($B$3&amp;"|3|"&amp;E$44&amp;"|"&amp;$A56,'Master Data'!$A$2:$A$2436,0)),"")</f>
        <v>Little  4/4
coach: Zidan</v>
      </c>
      <c r="F56" s="60" t="str">
        <f aca="false">IFERROR(INDEX('Master Data'!$M$2:$M$2436,MATCH($B$3&amp;"|3|"&amp;F$44&amp;"|"&amp;$A56,'Master Data'!$A$2:$A$2436,0)),"")</f>
        <v>Little  3/4
coach: Damai</v>
      </c>
      <c r="G56" s="60" t="str">
        <f aca="false">IFERROR(INDEX('Master Data'!$M$2:$M$2436,MATCH($B$3&amp;"|3|"&amp;G$44&amp;"|"&amp;$A56,'Master Data'!$A$2:$A$2436,0)),"")</f>
        <v>Little  0/4
coach: –</v>
      </c>
      <c r="H56" s="60" t="str">
        <f aca="false">IFERROR(INDEX('Master Data'!$M$2:$M$2436,MATCH($B$3&amp;"|3|"&amp;H$44&amp;"|"&amp;$A56,'Master Data'!$A$2:$A$2436,0)),"")</f>
        <v>Little  3/4
coach: Zidan</v>
      </c>
      <c r="T56" s="61" t="str">
        <f aca="false">IFERROR(INDEX('Master Data'!$L$2:$L$2436,MATCH($B$3&amp;"|3|"&amp;B$44&amp;"|"&amp;$A56,'Master Data'!$A$2:$A$2436,0)),"")</f>
        <v>Belum terisi</v>
      </c>
      <c r="U56" s="61" t="str">
        <f aca="false">IFERROR(INDEX('Master Data'!$L$2:$L$2436,MATCH($B$3&amp;"|3|"&amp;C$44&amp;"|"&amp;$A56,'Master Data'!$A$2:$A$2436,0)),"")</f>
        <v>Sebagian</v>
      </c>
      <c r="V56" s="61" t="str">
        <f aca="false">IFERROR(INDEX('Master Data'!$L$2:$L$2436,MATCH($B$3&amp;"|3|"&amp;D$44&amp;"|"&amp;$A56,'Master Data'!$A$2:$A$2436,0)),"")</f>
        <v>Sebagian</v>
      </c>
      <c r="W56" s="61" t="str">
        <f aca="false">IFERROR(INDEX('Master Data'!$L$2:$L$2436,MATCH($B$3&amp;"|3|"&amp;E$44&amp;"|"&amp;$A56,'Master Data'!$A$2:$A$2436,0)),"")</f>
        <v>Penuh</v>
      </c>
      <c r="X56" s="61" t="str">
        <f aca="false">IFERROR(INDEX('Master Data'!$L$2:$L$2436,MATCH($B$3&amp;"|3|"&amp;F$44&amp;"|"&amp;$A56,'Master Data'!$A$2:$A$2436,0)),"")</f>
        <v>Sebagian</v>
      </c>
      <c r="Y56" s="61" t="str">
        <f aca="false">IFERROR(INDEX('Master Data'!$L$2:$L$2436,MATCH($B$3&amp;"|3|"&amp;G$44&amp;"|"&amp;$A56,'Master Data'!$A$2:$A$2436,0)),"")</f>
        <v>Belum terisi</v>
      </c>
      <c r="Z56" s="61" t="str">
        <f aca="false">IFERROR(INDEX('Master Data'!$L$2:$L$2436,MATCH($B$3&amp;"|3|"&amp;H$44&amp;"|"&amp;$A56,'Master Data'!$A$2:$A$2436,0)),"")</f>
        <v>Sebagian</v>
      </c>
    </row>
    <row r="58" customFormat="false" ht="16.15" hidden="false" customHeight="false" outlineLevel="0" collapsed="false">
      <c r="A58" s="54" t="s">
        <v>122</v>
      </c>
      <c r="B58" s="55"/>
      <c r="C58" s="56" t="str">
        <f aca="false">"Utilisasi lane: "&amp;IFERROR(TEXT(SUMIFS('Master Data'!$H$2:$H$2436,'Master Data'!$B$2:$B$2436,$B$3,'Master Data'!$C$2:$C$2436,4,'Master Data'!$G$2:$G$2436,"&gt;0")/SUMIFS('Master Data'!$G$2:$G$2436,'Master Data'!$B$2:$B$2436,$B$3,'Master Data'!$C$2:$C$2436,4,'Master Data'!$G$2:$G$2436,"&gt;0"),"0%"),"–")&amp;"   ·   Belum terisi: "&amp;COUNTIFS('Master Data'!$B$2:$B$2436,$B$3,'Master Data'!$C$2:$C$2436,4,'Master Data'!$L$2:$L$2436,"Belum terisi")&amp;"   ·   Slot kosong: "&amp;COUNTIFS('Master Data'!$B$2:$B$2436,$B$3,'Master Data'!$C$2:$C$2436,4,'Master Data'!$L$2:$L$2436,"Slot kosong")</f>
        <v>Utilisasi lane: 67%   ·   Belum terisi: 19   ·   Slot kosong: 0</v>
      </c>
      <c r="D58" s="55"/>
      <c r="E58" s="55"/>
      <c r="F58" s="55"/>
      <c r="G58" s="55"/>
      <c r="H58" s="55"/>
    </row>
    <row r="59" customFormat="false" ht="15" hidden="false" customHeight="false" outlineLevel="0" collapsed="false">
      <c r="A59" s="57" t="s">
        <v>89</v>
      </c>
      <c r="B59" s="58" t="s">
        <v>90</v>
      </c>
      <c r="C59" s="58" t="s">
        <v>91</v>
      </c>
      <c r="D59" s="58" t="s">
        <v>92</v>
      </c>
      <c r="E59" s="58" t="s">
        <v>93</v>
      </c>
      <c r="F59" s="58" t="s">
        <v>94</v>
      </c>
      <c r="G59" s="58" t="s">
        <v>95</v>
      </c>
      <c r="H59" s="58" t="s">
        <v>78</v>
      </c>
    </row>
    <row r="60" customFormat="false" ht="30" hidden="false" customHeight="true" outlineLevel="0" collapsed="false">
      <c r="A60" s="59" t="s">
        <v>110</v>
      </c>
      <c r="B60" s="60" t="str">
        <f aca="false">IFERROR(INDEX('Master Data'!$M$2:$M$2436,MATCH($B$3&amp;"|4|"&amp;B$59&amp;"|"&amp;$A60,'Master Data'!$A$2:$A$2436,0)),"")</f>
        <v>Kids  0/0
coach: –</v>
      </c>
      <c r="C60" s="60" t="str">
        <f aca="false">IFERROR(INDEX('Master Data'!$M$2:$M$2436,MATCH($B$3&amp;"|4|"&amp;C$59&amp;"|"&amp;$A60,'Master Data'!$A$2:$A$2436,0)),"")</f>
        <v>Kids  0/0
coach: –</v>
      </c>
      <c r="D60" s="60" t="str">
        <f aca="false">IFERROR(INDEX('Master Data'!$M$2:$M$2436,MATCH($B$3&amp;"|4|"&amp;D$59&amp;"|"&amp;$A60,'Master Data'!$A$2:$A$2436,0)),"")</f>
        <v>Kids  0/0
coach: –</v>
      </c>
      <c r="E60" s="60" t="str">
        <f aca="false">IFERROR(INDEX('Master Data'!$M$2:$M$2436,MATCH($B$3&amp;"|4|"&amp;E$59&amp;"|"&amp;$A60,'Master Data'!$A$2:$A$2436,0)),"")</f>
        <v>Kids  0/0
coach: –</v>
      </c>
      <c r="F60" s="60" t="str">
        <f aca="false">IFERROR(INDEX('Master Data'!$M$2:$M$2436,MATCH($B$3&amp;"|4|"&amp;F$59&amp;"|"&amp;$A60,'Master Data'!$A$2:$A$2436,0)),"")</f>
        <v>Kids  0/0
coach: –</v>
      </c>
      <c r="G60" s="60" t="str">
        <f aca="false">IFERROR(INDEX('Master Data'!$M$2:$M$2436,MATCH($B$3&amp;"|4|"&amp;G$59&amp;"|"&amp;$A60,'Master Data'!$A$2:$A$2436,0)),"")</f>
        <v>Kids  0/0
coach: –</v>
      </c>
      <c r="H60" s="60" t="str">
        <f aca="false">IFERROR(INDEX('Master Data'!$M$2:$M$2436,MATCH($B$3&amp;"|4|"&amp;H$59&amp;"|"&amp;$A60,'Master Data'!$A$2:$A$2436,0)),"")</f>
        <v>Kids  0/0
coach: –</v>
      </c>
      <c r="T60" s="61" t="str">
        <f aca="false">IFERROR(INDEX('Master Data'!$L$2:$L$2436,MATCH($B$3&amp;"|4|"&amp;B$59&amp;"|"&amp;$A60,'Master Data'!$A$2:$A$2436,0)),"")</f>
        <v>Tutup</v>
      </c>
      <c r="U60" s="61" t="str">
        <f aca="false">IFERROR(INDEX('Master Data'!$L$2:$L$2436,MATCH($B$3&amp;"|4|"&amp;C$59&amp;"|"&amp;$A60,'Master Data'!$A$2:$A$2436,0)),"")</f>
        <v>Tutup</v>
      </c>
      <c r="V60" s="61" t="str">
        <f aca="false">IFERROR(INDEX('Master Data'!$L$2:$L$2436,MATCH($B$3&amp;"|4|"&amp;D$59&amp;"|"&amp;$A60,'Master Data'!$A$2:$A$2436,0)),"")</f>
        <v>Tutup</v>
      </c>
      <c r="W60" s="61" t="str">
        <f aca="false">IFERROR(INDEX('Master Data'!$L$2:$L$2436,MATCH($B$3&amp;"|4|"&amp;E$59&amp;"|"&amp;$A60,'Master Data'!$A$2:$A$2436,0)),"")</f>
        <v>Tutup</v>
      </c>
      <c r="X60" s="61" t="str">
        <f aca="false">IFERROR(INDEX('Master Data'!$L$2:$L$2436,MATCH($B$3&amp;"|4|"&amp;F$59&amp;"|"&amp;$A60,'Master Data'!$A$2:$A$2436,0)),"")</f>
        <v>Tutup</v>
      </c>
      <c r="Y60" s="61" t="str">
        <f aca="false">IFERROR(INDEX('Master Data'!$L$2:$L$2436,MATCH($B$3&amp;"|4|"&amp;G$59&amp;"|"&amp;$A60,'Master Data'!$A$2:$A$2436,0)),"")</f>
        <v>Tutup</v>
      </c>
      <c r="Z60" s="61" t="str">
        <f aca="false">IFERROR(INDEX('Master Data'!$L$2:$L$2436,MATCH($B$3&amp;"|4|"&amp;H$59&amp;"|"&amp;$A60,'Master Data'!$A$2:$A$2436,0)),"")</f>
        <v>Tutup</v>
      </c>
    </row>
    <row r="61" customFormat="false" ht="30" hidden="false" customHeight="true" outlineLevel="0" collapsed="false">
      <c r="A61" s="59" t="s">
        <v>111</v>
      </c>
      <c r="B61" s="60" t="str">
        <f aca="false">IFERROR(INDEX('Master Data'!$M$2:$M$2436,MATCH($B$3&amp;"|4|"&amp;B$59&amp;"|"&amp;$A61,'Master Data'!$A$2:$A$2436,0)),"")</f>
        <v>Kids  0/4
coach: –</v>
      </c>
      <c r="C61" s="60" t="str">
        <f aca="false">IFERROR(INDEX('Master Data'!$M$2:$M$2436,MATCH($B$3&amp;"|4|"&amp;C$59&amp;"|"&amp;$A61,'Master Data'!$A$2:$A$2436,0)),"")</f>
        <v>Kids  0/4
coach: –</v>
      </c>
      <c r="D61" s="60" t="str">
        <f aca="false">IFERROR(INDEX('Master Data'!$M$2:$M$2436,MATCH($B$3&amp;"|4|"&amp;D$59&amp;"|"&amp;$A61,'Master Data'!$A$2:$A$2436,0)),"")</f>
        <v>Kids  0/4
coach: –</v>
      </c>
      <c r="E61" s="60" t="str">
        <f aca="false">IFERROR(INDEX('Master Data'!$M$2:$M$2436,MATCH($B$3&amp;"|4|"&amp;E$59&amp;"|"&amp;$A61,'Master Data'!$A$2:$A$2436,0)),"")</f>
        <v>Kids  0/4
coach: –</v>
      </c>
      <c r="F61" s="60" t="str">
        <f aca="false">IFERROR(INDEX('Master Data'!$M$2:$M$2436,MATCH($B$3&amp;"|4|"&amp;F$59&amp;"|"&amp;$A61,'Master Data'!$A$2:$A$2436,0)),"")</f>
        <v>Kids  0/4
coach: –</v>
      </c>
      <c r="G61" s="60" t="str">
        <f aca="false">IFERROR(INDEX('Master Data'!$M$2:$M$2436,MATCH($B$3&amp;"|4|"&amp;G$59&amp;"|"&amp;$A61,'Master Data'!$A$2:$A$2436,0)),"")</f>
        <v>Kids  4/4
coach: Indah</v>
      </c>
      <c r="H61" s="60" t="str">
        <f aca="false">IFERROR(INDEX('Master Data'!$M$2:$M$2436,MATCH($B$3&amp;"|4|"&amp;H$59&amp;"|"&amp;$A61,'Master Data'!$A$2:$A$2436,0)),"")</f>
        <v>Kids  4/4
coach: Kamal</v>
      </c>
      <c r="T61" s="61" t="str">
        <f aca="false">IFERROR(INDEX('Master Data'!$L$2:$L$2436,MATCH($B$3&amp;"|4|"&amp;B$59&amp;"|"&amp;$A61,'Master Data'!$A$2:$A$2436,0)),"")</f>
        <v>Belum terisi</v>
      </c>
      <c r="U61" s="61" t="str">
        <f aca="false">IFERROR(INDEX('Master Data'!$L$2:$L$2436,MATCH($B$3&amp;"|4|"&amp;C$59&amp;"|"&amp;$A61,'Master Data'!$A$2:$A$2436,0)),"")</f>
        <v>Belum terisi</v>
      </c>
      <c r="V61" s="61" t="str">
        <f aca="false">IFERROR(INDEX('Master Data'!$L$2:$L$2436,MATCH($B$3&amp;"|4|"&amp;D$59&amp;"|"&amp;$A61,'Master Data'!$A$2:$A$2436,0)),"")</f>
        <v>Belum terisi</v>
      </c>
      <c r="W61" s="61" t="str">
        <f aca="false">IFERROR(INDEX('Master Data'!$L$2:$L$2436,MATCH($B$3&amp;"|4|"&amp;E$59&amp;"|"&amp;$A61,'Master Data'!$A$2:$A$2436,0)),"")</f>
        <v>Belum terisi</v>
      </c>
      <c r="X61" s="61" t="str">
        <f aca="false">IFERROR(INDEX('Master Data'!$L$2:$L$2436,MATCH($B$3&amp;"|4|"&amp;F$59&amp;"|"&amp;$A61,'Master Data'!$A$2:$A$2436,0)),"")</f>
        <v>Belum terisi</v>
      </c>
      <c r="Y61" s="61" t="str">
        <f aca="false">IFERROR(INDEX('Master Data'!$L$2:$L$2436,MATCH($B$3&amp;"|4|"&amp;G$59&amp;"|"&amp;$A61,'Master Data'!$A$2:$A$2436,0)),"")</f>
        <v>Penuh</v>
      </c>
      <c r="Z61" s="61" t="str">
        <f aca="false">IFERROR(INDEX('Master Data'!$L$2:$L$2436,MATCH($B$3&amp;"|4|"&amp;H$59&amp;"|"&amp;$A61,'Master Data'!$A$2:$A$2436,0)),"")</f>
        <v>Penuh</v>
      </c>
    </row>
    <row r="62" customFormat="false" ht="30" hidden="false" customHeight="true" outlineLevel="0" collapsed="false">
      <c r="A62" s="59" t="s">
        <v>112</v>
      </c>
      <c r="B62" s="60" t="str">
        <f aca="false">IFERROR(INDEX('Master Data'!$M$2:$M$2436,MATCH($B$3&amp;"|4|"&amp;B$59&amp;"|"&amp;$A62,'Master Data'!$A$2:$A$2436,0)),"")</f>
        <v>Kids  1/4
coach: –</v>
      </c>
      <c r="C62" s="60" t="str">
        <f aca="false">IFERROR(INDEX('Master Data'!$M$2:$M$2436,MATCH($B$3&amp;"|4|"&amp;C$59&amp;"|"&amp;$A62,'Master Data'!$A$2:$A$2436,0)),"")</f>
        <v>Kids  0/4
coach: –</v>
      </c>
      <c r="D62" s="60" t="str">
        <f aca="false">IFERROR(INDEX('Master Data'!$M$2:$M$2436,MATCH($B$3&amp;"|4|"&amp;D$59&amp;"|"&amp;$A62,'Master Data'!$A$2:$A$2436,0)),"")</f>
        <v>Kids  0/4
coach: –</v>
      </c>
      <c r="E62" s="60" t="str">
        <f aca="false">IFERROR(INDEX('Master Data'!$M$2:$M$2436,MATCH($B$3&amp;"|4|"&amp;E$59&amp;"|"&amp;$A62,'Master Data'!$A$2:$A$2436,0)),"")</f>
        <v>Kids  0/4
coach: –</v>
      </c>
      <c r="F62" s="60" t="str">
        <f aca="false">IFERROR(INDEX('Master Data'!$M$2:$M$2436,MATCH($B$3&amp;"|4|"&amp;F$59&amp;"|"&amp;$A62,'Master Data'!$A$2:$A$2436,0)),"")</f>
        <v>Kids  2/4
coach: Laksamana</v>
      </c>
      <c r="G62" s="60" t="str">
        <f aca="false">IFERROR(INDEX('Master Data'!$M$2:$M$2436,MATCH($B$3&amp;"|4|"&amp;G$59&amp;"|"&amp;$A62,'Master Data'!$A$2:$A$2436,0)),"")</f>
        <v>Kids  4/4
coach: Zidan</v>
      </c>
      <c r="H62" s="60" t="str">
        <f aca="false">IFERROR(INDEX('Master Data'!$M$2:$M$2436,MATCH($B$3&amp;"|4|"&amp;H$59&amp;"|"&amp;$A62,'Master Data'!$A$2:$A$2436,0)),"")</f>
        <v>Kids  4/4
coach: Kamal</v>
      </c>
      <c r="T62" s="61" t="str">
        <f aca="false">IFERROR(INDEX('Master Data'!$L$2:$L$2436,MATCH($B$3&amp;"|4|"&amp;B$59&amp;"|"&amp;$A62,'Master Data'!$A$2:$A$2436,0)),"")</f>
        <v>Sebagian</v>
      </c>
      <c r="U62" s="61" t="str">
        <f aca="false">IFERROR(INDEX('Master Data'!$L$2:$L$2436,MATCH($B$3&amp;"|4|"&amp;C$59&amp;"|"&amp;$A62,'Master Data'!$A$2:$A$2436,0)),"")</f>
        <v>Belum terisi</v>
      </c>
      <c r="V62" s="61" t="str">
        <f aca="false">IFERROR(INDEX('Master Data'!$L$2:$L$2436,MATCH($B$3&amp;"|4|"&amp;D$59&amp;"|"&amp;$A62,'Master Data'!$A$2:$A$2436,0)),"")</f>
        <v>Belum terisi</v>
      </c>
      <c r="W62" s="61" t="str">
        <f aca="false">IFERROR(INDEX('Master Data'!$L$2:$L$2436,MATCH($B$3&amp;"|4|"&amp;E$59&amp;"|"&amp;$A62,'Master Data'!$A$2:$A$2436,0)),"")</f>
        <v>Belum terisi</v>
      </c>
      <c r="X62" s="61" t="str">
        <f aca="false">IFERROR(INDEX('Master Data'!$L$2:$L$2436,MATCH($B$3&amp;"|4|"&amp;F$59&amp;"|"&amp;$A62,'Master Data'!$A$2:$A$2436,0)),"")</f>
        <v>Sebagian</v>
      </c>
      <c r="Y62" s="61" t="str">
        <f aca="false">IFERROR(INDEX('Master Data'!$L$2:$L$2436,MATCH($B$3&amp;"|4|"&amp;G$59&amp;"|"&amp;$A62,'Master Data'!$A$2:$A$2436,0)),"")</f>
        <v>Penuh</v>
      </c>
      <c r="Z62" s="61" t="str">
        <f aca="false">IFERROR(INDEX('Master Data'!$L$2:$L$2436,MATCH($B$3&amp;"|4|"&amp;H$59&amp;"|"&amp;$A62,'Master Data'!$A$2:$A$2436,0)),"")</f>
        <v>Penuh</v>
      </c>
    </row>
    <row r="63" customFormat="false" ht="30" hidden="false" customHeight="true" outlineLevel="0" collapsed="false">
      <c r="A63" s="59" t="s">
        <v>113</v>
      </c>
      <c r="B63" s="60" t="str">
        <f aca="false">IFERROR(INDEX('Master Data'!$M$2:$M$2436,MATCH($B$3&amp;"|4|"&amp;B$59&amp;"|"&amp;$A63,'Master Data'!$A$2:$A$2436,0)),"")</f>
        <v>Kids  0/4
coach: –</v>
      </c>
      <c r="C63" s="60" t="str">
        <f aca="false">IFERROR(INDEX('Master Data'!$M$2:$M$2436,MATCH($B$3&amp;"|4|"&amp;C$59&amp;"|"&amp;$A63,'Master Data'!$A$2:$A$2436,0)),"")</f>
        <v>Kids  3/4
coach: Dadi</v>
      </c>
      <c r="D63" s="60" t="str">
        <f aca="false">IFERROR(INDEX('Master Data'!$M$2:$M$2436,MATCH($B$3&amp;"|4|"&amp;D$59&amp;"|"&amp;$A63,'Master Data'!$A$2:$A$2436,0)),"")</f>
        <v>Kids  0/4
coach: –</v>
      </c>
      <c r="E63" s="60" t="str">
        <f aca="false">IFERROR(INDEX('Master Data'!$M$2:$M$2436,MATCH($B$3&amp;"|4|"&amp;E$59&amp;"|"&amp;$A63,'Master Data'!$A$2:$A$2436,0)),"")</f>
        <v>Kids  0/4
coach: –</v>
      </c>
      <c r="F63" s="60" t="str">
        <f aca="false">IFERROR(INDEX('Master Data'!$M$2:$M$2436,MATCH($B$3&amp;"|4|"&amp;F$59&amp;"|"&amp;$A63,'Master Data'!$A$2:$A$2436,0)),"")</f>
        <v>Kids  0/4
coach: –</v>
      </c>
      <c r="G63" s="60" t="str">
        <f aca="false">IFERROR(INDEX('Master Data'!$M$2:$M$2436,MATCH($B$3&amp;"|4|"&amp;G$59&amp;"|"&amp;$A63,'Master Data'!$A$2:$A$2436,0)),"")</f>
        <v>Kids  4/4
coach: Zidan</v>
      </c>
      <c r="H63" s="60" t="str">
        <f aca="false">IFERROR(INDEX('Master Data'!$M$2:$M$2436,MATCH($B$3&amp;"|4|"&amp;H$59&amp;"|"&amp;$A63,'Master Data'!$A$2:$A$2436,0)),"")</f>
        <v>Kids  4/4
coach: Shofwan</v>
      </c>
      <c r="T63" s="61" t="str">
        <f aca="false">IFERROR(INDEX('Master Data'!$L$2:$L$2436,MATCH($B$3&amp;"|4|"&amp;B$59&amp;"|"&amp;$A63,'Master Data'!$A$2:$A$2436,0)),"")</f>
        <v>Belum terisi</v>
      </c>
      <c r="U63" s="61" t="str">
        <f aca="false">IFERROR(INDEX('Master Data'!$L$2:$L$2436,MATCH($B$3&amp;"|4|"&amp;C$59&amp;"|"&amp;$A63,'Master Data'!$A$2:$A$2436,0)),"")</f>
        <v>Sebagian</v>
      </c>
      <c r="V63" s="61" t="str">
        <f aca="false">IFERROR(INDEX('Master Data'!$L$2:$L$2436,MATCH($B$3&amp;"|4|"&amp;D$59&amp;"|"&amp;$A63,'Master Data'!$A$2:$A$2436,0)),"")</f>
        <v>Belum terisi</v>
      </c>
      <c r="W63" s="61" t="str">
        <f aca="false">IFERROR(INDEX('Master Data'!$L$2:$L$2436,MATCH($B$3&amp;"|4|"&amp;E$59&amp;"|"&amp;$A63,'Master Data'!$A$2:$A$2436,0)),"")</f>
        <v>Belum terisi</v>
      </c>
      <c r="X63" s="61" t="str">
        <f aca="false">IFERROR(INDEX('Master Data'!$L$2:$L$2436,MATCH($B$3&amp;"|4|"&amp;F$59&amp;"|"&amp;$A63,'Master Data'!$A$2:$A$2436,0)),"")</f>
        <v>Belum terisi</v>
      </c>
      <c r="Y63" s="61" t="str">
        <f aca="false">IFERROR(INDEX('Master Data'!$L$2:$L$2436,MATCH($B$3&amp;"|4|"&amp;G$59&amp;"|"&amp;$A63,'Master Data'!$A$2:$A$2436,0)),"")</f>
        <v>Penuh</v>
      </c>
      <c r="Z63" s="61" t="str">
        <f aca="false">IFERROR(INDEX('Master Data'!$L$2:$L$2436,MATCH($B$3&amp;"|4|"&amp;H$59&amp;"|"&amp;$A63,'Master Data'!$A$2:$A$2436,0)),"")</f>
        <v>Penuh</v>
      </c>
    </row>
    <row r="64" customFormat="false" ht="30" hidden="false" customHeight="true" outlineLevel="0" collapsed="false">
      <c r="A64" s="59" t="s">
        <v>114</v>
      </c>
      <c r="B64" s="60" t="str">
        <f aca="false">IFERROR(INDEX('Master Data'!$M$2:$M$2436,MATCH($B$3&amp;"|4|"&amp;B$59&amp;"|"&amp;$A64,'Master Data'!$A$2:$A$2436,0)),"")</f>
        <v>Kids  0/4
coach: –</v>
      </c>
      <c r="C64" s="60" t="str">
        <f aca="false">IFERROR(INDEX('Master Data'!$M$2:$M$2436,MATCH($B$3&amp;"|4|"&amp;C$59&amp;"|"&amp;$A64,'Master Data'!$A$2:$A$2436,0)),"")</f>
        <v>Kids  0/4
coach: –</v>
      </c>
      <c r="D64" s="60" t="str">
        <f aca="false">IFERROR(INDEX('Master Data'!$M$2:$M$2436,MATCH($B$3&amp;"|4|"&amp;D$59&amp;"|"&amp;$A64,'Master Data'!$A$2:$A$2436,0)),"")</f>
        <v>Kids  3/4
coach: Indah</v>
      </c>
      <c r="E64" s="60" t="str">
        <f aca="false">IFERROR(INDEX('Master Data'!$M$2:$M$2436,MATCH($B$3&amp;"|4|"&amp;E$59&amp;"|"&amp;$A64,'Master Data'!$A$2:$A$2436,0)),"")</f>
        <v>Kids  0/4
coach: –</v>
      </c>
      <c r="F64" s="60" t="str">
        <f aca="false">IFERROR(INDEX('Master Data'!$M$2:$M$2436,MATCH($B$3&amp;"|4|"&amp;F$59&amp;"|"&amp;$A64,'Master Data'!$A$2:$A$2436,0)),"")</f>
        <v>Kids  3/4
coach: Indah</v>
      </c>
      <c r="G64" s="60" t="str">
        <f aca="false">IFERROR(INDEX('Master Data'!$M$2:$M$2436,MATCH($B$3&amp;"|4|"&amp;G$59&amp;"|"&amp;$A64,'Master Data'!$A$2:$A$2436,0)),"")</f>
        <v>Kids  4/4
coach: Kamal</v>
      </c>
      <c r="H64" s="60" t="str">
        <f aca="false">IFERROR(INDEX('Master Data'!$M$2:$M$2436,MATCH($B$3&amp;"|4|"&amp;H$59&amp;"|"&amp;$A64,'Master Data'!$A$2:$A$2436,0)),"")</f>
        <v>Kids  0/4
coach: –</v>
      </c>
      <c r="T64" s="61" t="str">
        <f aca="false">IFERROR(INDEX('Master Data'!$L$2:$L$2436,MATCH($B$3&amp;"|4|"&amp;B$59&amp;"|"&amp;$A64,'Master Data'!$A$2:$A$2436,0)),"")</f>
        <v>Belum terisi</v>
      </c>
      <c r="U64" s="61" t="str">
        <f aca="false">IFERROR(INDEX('Master Data'!$L$2:$L$2436,MATCH($B$3&amp;"|4|"&amp;C$59&amp;"|"&amp;$A64,'Master Data'!$A$2:$A$2436,0)),"")</f>
        <v>Belum terisi</v>
      </c>
      <c r="V64" s="61" t="str">
        <f aca="false">IFERROR(INDEX('Master Data'!$L$2:$L$2436,MATCH($B$3&amp;"|4|"&amp;D$59&amp;"|"&amp;$A64,'Master Data'!$A$2:$A$2436,0)),"")</f>
        <v>Sebagian</v>
      </c>
      <c r="W64" s="61" t="str">
        <f aca="false">IFERROR(INDEX('Master Data'!$L$2:$L$2436,MATCH($B$3&amp;"|4|"&amp;E$59&amp;"|"&amp;$A64,'Master Data'!$A$2:$A$2436,0)),"")</f>
        <v>Belum terisi</v>
      </c>
      <c r="X64" s="61" t="str">
        <f aca="false">IFERROR(INDEX('Master Data'!$L$2:$L$2436,MATCH($B$3&amp;"|4|"&amp;F$59&amp;"|"&amp;$A64,'Master Data'!$A$2:$A$2436,0)),"")</f>
        <v>Sebagian</v>
      </c>
      <c r="Y64" s="61" t="str">
        <f aca="false">IFERROR(INDEX('Master Data'!$L$2:$L$2436,MATCH($B$3&amp;"|4|"&amp;G$59&amp;"|"&amp;$A64,'Master Data'!$A$2:$A$2436,0)),"")</f>
        <v>Penuh</v>
      </c>
      <c r="Z64" s="61" t="str">
        <f aca="false">IFERROR(INDEX('Master Data'!$L$2:$L$2436,MATCH($B$3&amp;"|4|"&amp;H$59&amp;"|"&amp;$A64,'Master Data'!$A$2:$A$2436,0)),"")</f>
        <v>Belum terisi</v>
      </c>
    </row>
    <row r="65" customFormat="false" ht="30" hidden="false" customHeight="true" outlineLevel="0" collapsed="false">
      <c r="A65" s="59" t="s">
        <v>115</v>
      </c>
      <c r="B65" s="60" t="str">
        <f aca="false">IFERROR(INDEX('Master Data'!$M$2:$M$2436,MATCH($B$3&amp;"|4|"&amp;B$59&amp;"|"&amp;$A65,'Master Data'!$A$2:$A$2436,0)),"")</f>
        <v>Kids  0/0
coach: –</v>
      </c>
      <c r="C65" s="60" t="str">
        <f aca="false">IFERROR(INDEX('Master Data'!$M$2:$M$2436,MATCH($B$3&amp;"|4|"&amp;C$59&amp;"|"&amp;$A65,'Master Data'!$A$2:$A$2436,0)),"")</f>
        <v>Kids  0/0
coach: –</v>
      </c>
      <c r="D65" s="60" t="str">
        <f aca="false">IFERROR(INDEX('Master Data'!$M$2:$M$2436,MATCH($B$3&amp;"|4|"&amp;D$59&amp;"|"&amp;$A65,'Master Data'!$A$2:$A$2436,0)),"")</f>
        <v>Kids  0/0
coach: –</v>
      </c>
      <c r="E65" s="60" t="str">
        <f aca="false">IFERROR(INDEX('Master Data'!$M$2:$M$2436,MATCH($B$3&amp;"|4|"&amp;E$59&amp;"|"&amp;$A65,'Master Data'!$A$2:$A$2436,0)),"")</f>
        <v>Kids  0/0
coach: –</v>
      </c>
      <c r="F65" s="60" t="str">
        <f aca="false">IFERROR(INDEX('Master Data'!$M$2:$M$2436,MATCH($B$3&amp;"|4|"&amp;F$59&amp;"|"&amp;$A65,'Master Data'!$A$2:$A$2436,0)),"")</f>
        <v>Kids  0/0
coach: –</v>
      </c>
      <c r="G65" s="60" t="str">
        <f aca="false">IFERROR(INDEX('Master Data'!$M$2:$M$2436,MATCH($B$3&amp;"|4|"&amp;G$59&amp;"|"&amp;$A65,'Master Data'!$A$2:$A$2436,0)),"")</f>
        <v>Kids  3/4
coach: Kamal</v>
      </c>
      <c r="H65" s="60" t="str">
        <f aca="false">IFERROR(INDEX('Master Data'!$M$2:$M$2436,MATCH($B$3&amp;"|4|"&amp;H$59&amp;"|"&amp;$A65,'Master Data'!$A$2:$A$2436,0)),"")</f>
        <v>Kids  3/4
coach: Zidan</v>
      </c>
      <c r="T65" s="61" t="str">
        <f aca="false">IFERROR(INDEX('Master Data'!$L$2:$L$2436,MATCH($B$3&amp;"|4|"&amp;B$59&amp;"|"&amp;$A65,'Master Data'!$A$2:$A$2436,0)),"")</f>
        <v>Tutup</v>
      </c>
      <c r="U65" s="61" t="str">
        <f aca="false">IFERROR(INDEX('Master Data'!$L$2:$L$2436,MATCH($B$3&amp;"|4|"&amp;C$59&amp;"|"&amp;$A65,'Master Data'!$A$2:$A$2436,0)),"")</f>
        <v>Tutup</v>
      </c>
      <c r="V65" s="61" t="str">
        <f aca="false">IFERROR(INDEX('Master Data'!$L$2:$L$2436,MATCH($B$3&amp;"|4|"&amp;D$59&amp;"|"&amp;$A65,'Master Data'!$A$2:$A$2436,0)),"")</f>
        <v>Tutup</v>
      </c>
      <c r="W65" s="61" t="str">
        <f aca="false">IFERROR(INDEX('Master Data'!$L$2:$L$2436,MATCH($B$3&amp;"|4|"&amp;E$59&amp;"|"&amp;$A65,'Master Data'!$A$2:$A$2436,0)),"")</f>
        <v>Tutup</v>
      </c>
      <c r="X65" s="61" t="str">
        <f aca="false">IFERROR(INDEX('Master Data'!$L$2:$L$2436,MATCH($B$3&amp;"|4|"&amp;F$59&amp;"|"&amp;$A65,'Master Data'!$A$2:$A$2436,0)),"")</f>
        <v>Tutup</v>
      </c>
      <c r="Y65" s="61" t="str">
        <f aca="false">IFERROR(INDEX('Master Data'!$L$2:$L$2436,MATCH($B$3&amp;"|4|"&amp;G$59&amp;"|"&amp;$A65,'Master Data'!$A$2:$A$2436,0)),"")</f>
        <v>Sebagian</v>
      </c>
      <c r="Z65" s="61" t="str">
        <f aca="false">IFERROR(INDEX('Master Data'!$L$2:$L$2436,MATCH($B$3&amp;"|4|"&amp;H$59&amp;"|"&amp;$A65,'Master Data'!$A$2:$A$2436,0)),"")</f>
        <v>Sebagian</v>
      </c>
    </row>
    <row r="66" customFormat="false" ht="30" hidden="false" customHeight="true" outlineLevel="0" collapsed="false">
      <c r="A66" s="59" t="s">
        <v>116</v>
      </c>
      <c r="B66" s="60" t="str">
        <f aca="false">IFERROR(INDEX('Master Data'!$M$2:$M$2436,MATCH($B$3&amp;"|4|"&amp;B$59&amp;"|"&amp;$A66,'Master Data'!$A$2:$A$2436,0)),"")</f>
        <v>Kids  4/4
coach: Kamal</v>
      </c>
      <c r="C66" s="60" t="str">
        <f aca="false">IFERROR(INDEX('Master Data'!$M$2:$M$2436,MATCH($B$3&amp;"|4|"&amp;C$59&amp;"|"&amp;$A66,'Master Data'!$A$2:$A$2436,0)),"")</f>
        <v>Kids  2/4
coach: Damai</v>
      </c>
      <c r="D66" s="60" t="str">
        <f aca="false">IFERROR(INDEX('Master Data'!$M$2:$M$2436,MATCH($B$3&amp;"|4|"&amp;D$59&amp;"|"&amp;$A66,'Master Data'!$A$2:$A$2436,0)),"")</f>
        <v>Kids  4/4
coach: Zidan</v>
      </c>
      <c r="E66" s="60" t="str">
        <f aca="false">IFERROR(INDEX('Master Data'!$M$2:$M$2436,MATCH($B$3&amp;"|4|"&amp;E$59&amp;"|"&amp;$A66,'Master Data'!$A$2:$A$2436,0)),"")</f>
        <v>Kids  0/4
coach: –</v>
      </c>
      <c r="F66" s="60" t="str">
        <f aca="false">IFERROR(INDEX('Master Data'!$M$2:$M$2436,MATCH($B$3&amp;"|4|"&amp;F$59&amp;"|"&amp;$A66,'Master Data'!$A$2:$A$2436,0)),"")</f>
        <v>Kids  0/4
coach: –</v>
      </c>
      <c r="G66" s="60" t="str">
        <f aca="false">IFERROR(INDEX('Master Data'!$M$2:$M$2436,MATCH($B$3&amp;"|4|"&amp;G$59&amp;"|"&amp;$A66,'Master Data'!$A$2:$A$2436,0)),"")</f>
        <v>Kids  0/4
coach: –</v>
      </c>
      <c r="H66" s="60" t="str">
        <f aca="false">IFERROR(INDEX('Master Data'!$M$2:$M$2436,MATCH($B$3&amp;"|4|"&amp;H$59&amp;"|"&amp;$A66,'Master Data'!$A$2:$A$2436,0)),"")</f>
        <v>Kids  4/4
coach: Indah</v>
      </c>
      <c r="T66" s="61" t="str">
        <f aca="false">IFERROR(INDEX('Master Data'!$L$2:$L$2436,MATCH($B$3&amp;"|4|"&amp;B$59&amp;"|"&amp;$A66,'Master Data'!$A$2:$A$2436,0)),"")</f>
        <v>Penuh</v>
      </c>
      <c r="U66" s="61" t="str">
        <f aca="false">IFERROR(INDEX('Master Data'!$L$2:$L$2436,MATCH($B$3&amp;"|4|"&amp;C$59&amp;"|"&amp;$A66,'Master Data'!$A$2:$A$2436,0)),"")</f>
        <v>Sebagian</v>
      </c>
      <c r="V66" s="61" t="str">
        <f aca="false">IFERROR(INDEX('Master Data'!$L$2:$L$2436,MATCH($B$3&amp;"|4|"&amp;D$59&amp;"|"&amp;$A66,'Master Data'!$A$2:$A$2436,0)),"")</f>
        <v>Penuh</v>
      </c>
      <c r="W66" s="61" t="str">
        <f aca="false">IFERROR(INDEX('Master Data'!$L$2:$L$2436,MATCH($B$3&amp;"|4|"&amp;E$59&amp;"|"&amp;$A66,'Master Data'!$A$2:$A$2436,0)),"")</f>
        <v>Belum terisi</v>
      </c>
      <c r="X66" s="61" t="str">
        <f aca="false">IFERROR(INDEX('Master Data'!$L$2:$L$2436,MATCH($B$3&amp;"|4|"&amp;F$59&amp;"|"&amp;$A66,'Master Data'!$A$2:$A$2436,0)),"")</f>
        <v>Belum terisi</v>
      </c>
      <c r="Y66" s="61" t="str">
        <f aca="false">IFERROR(INDEX('Master Data'!$L$2:$L$2436,MATCH($B$3&amp;"|4|"&amp;G$59&amp;"|"&amp;$A66,'Master Data'!$A$2:$A$2436,0)),"")</f>
        <v>Belum terisi</v>
      </c>
      <c r="Z66" s="61" t="str">
        <f aca="false">IFERROR(INDEX('Master Data'!$L$2:$L$2436,MATCH($B$3&amp;"|4|"&amp;H$59&amp;"|"&amp;$A66,'Master Data'!$A$2:$A$2436,0)),"")</f>
        <v>Penuh</v>
      </c>
    </row>
    <row r="67" customFormat="false" ht="30" hidden="false" customHeight="true" outlineLevel="0" collapsed="false">
      <c r="A67" s="59" t="s">
        <v>117</v>
      </c>
      <c r="B67" s="60" t="str">
        <f aca="false">IFERROR(INDEX('Master Data'!$M$2:$M$2436,MATCH($B$3&amp;"|4|"&amp;B$59&amp;"|"&amp;$A67,'Master Data'!$A$2:$A$2436,0)),"")</f>
        <v>Kids  4/4
coach: Damai</v>
      </c>
      <c r="C67" s="60" t="str">
        <f aca="false">IFERROR(INDEX('Master Data'!$M$2:$M$2436,MATCH($B$3&amp;"|4|"&amp;C$59&amp;"|"&amp;$A67,'Master Data'!$A$2:$A$2436,0)),"")</f>
        <v>Kids  3/4
coach: Shofwan</v>
      </c>
      <c r="D67" s="60" t="str">
        <f aca="false">IFERROR(INDEX('Master Data'!$M$2:$M$2436,MATCH($B$3&amp;"|4|"&amp;D$59&amp;"|"&amp;$A67,'Master Data'!$A$2:$A$2436,0)),"")</f>
        <v>Kids  4/4
coach: Zidan</v>
      </c>
      <c r="E67" s="60" t="str">
        <f aca="false">IFERROR(INDEX('Master Data'!$M$2:$M$2436,MATCH($B$3&amp;"|4|"&amp;E$59&amp;"|"&amp;$A67,'Master Data'!$A$2:$A$2436,0)),"")</f>
        <v>Kids  4/4
coach: Kamal</v>
      </c>
      <c r="F67" s="60" t="str">
        <f aca="false">IFERROR(INDEX('Master Data'!$M$2:$M$2436,MATCH($B$3&amp;"|4|"&amp;F$59&amp;"|"&amp;$A67,'Master Data'!$A$2:$A$2436,0)),"")</f>
        <v>Kids  4/4
coach: Zidan</v>
      </c>
      <c r="G67" s="60" t="str">
        <f aca="false">IFERROR(INDEX('Master Data'!$M$2:$M$2436,MATCH($B$3&amp;"|4|"&amp;G$59&amp;"|"&amp;$A67,'Master Data'!$A$2:$A$2436,0)),"")</f>
        <v>Kids  4/4
coach: Indah</v>
      </c>
      <c r="H67" s="60" t="str">
        <f aca="false">IFERROR(INDEX('Master Data'!$M$2:$M$2436,MATCH($B$3&amp;"|4|"&amp;H$59&amp;"|"&amp;$A67,'Master Data'!$A$2:$A$2436,0)),"")</f>
        <v>Kids  3/4
coach: Damai</v>
      </c>
      <c r="T67" s="61" t="str">
        <f aca="false">IFERROR(INDEX('Master Data'!$L$2:$L$2436,MATCH($B$3&amp;"|4|"&amp;B$59&amp;"|"&amp;$A67,'Master Data'!$A$2:$A$2436,0)),"")</f>
        <v>Penuh</v>
      </c>
      <c r="U67" s="61" t="str">
        <f aca="false">IFERROR(INDEX('Master Data'!$L$2:$L$2436,MATCH($B$3&amp;"|4|"&amp;C$59&amp;"|"&amp;$A67,'Master Data'!$A$2:$A$2436,0)),"")</f>
        <v>Sebagian</v>
      </c>
      <c r="V67" s="61" t="str">
        <f aca="false">IFERROR(INDEX('Master Data'!$L$2:$L$2436,MATCH($B$3&amp;"|4|"&amp;D$59&amp;"|"&amp;$A67,'Master Data'!$A$2:$A$2436,0)),"")</f>
        <v>Penuh</v>
      </c>
      <c r="W67" s="61" t="str">
        <f aca="false">IFERROR(INDEX('Master Data'!$L$2:$L$2436,MATCH($B$3&amp;"|4|"&amp;E$59&amp;"|"&amp;$A67,'Master Data'!$A$2:$A$2436,0)),"")</f>
        <v>Penuh</v>
      </c>
      <c r="X67" s="61" t="str">
        <f aca="false">IFERROR(INDEX('Master Data'!$L$2:$L$2436,MATCH($B$3&amp;"|4|"&amp;F$59&amp;"|"&amp;$A67,'Master Data'!$A$2:$A$2436,0)),"")</f>
        <v>Penuh</v>
      </c>
      <c r="Y67" s="61" t="str">
        <f aca="false">IFERROR(INDEX('Master Data'!$L$2:$L$2436,MATCH($B$3&amp;"|4|"&amp;G$59&amp;"|"&amp;$A67,'Master Data'!$A$2:$A$2436,0)),"")</f>
        <v>Penuh</v>
      </c>
      <c r="Z67" s="61" t="str">
        <f aca="false">IFERROR(INDEX('Master Data'!$L$2:$L$2436,MATCH($B$3&amp;"|4|"&amp;H$59&amp;"|"&amp;$A67,'Master Data'!$A$2:$A$2436,0)),"")</f>
        <v>Sebagian</v>
      </c>
    </row>
    <row r="68" customFormat="false" ht="30" hidden="false" customHeight="true" outlineLevel="0" collapsed="false">
      <c r="A68" s="59" t="s">
        <v>118</v>
      </c>
      <c r="B68" s="60" t="str">
        <f aca="false">IFERROR(INDEX('Master Data'!$M$2:$M$2436,MATCH($B$3&amp;"|4|"&amp;B$59&amp;"|"&amp;$A68,'Master Data'!$A$2:$A$2436,0)),"")</f>
        <v>Kids  3/4
coach: Kamal</v>
      </c>
      <c r="C68" s="60" t="str">
        <f aca="false">IFERROR(INDEX('Master Data'!$M$2:$M$2436,MATCH($B$3&amp;"|4|"&amp;C$59&amp;"|"&amp;$A68,'Master Data'!$A$2:$A$2436,0)),"")</f>
        <v>Kids  4/4
coach: Dadi</v>
      </c>
      <c r="D68" s="60" t="str">
        <f aca="false">IFERROR(INDEX('Master Data'!$M$2:$M$2436,MATCH($B$3&amp;"|4|"&amp;D$59&amp;"|"&amp;$A68,'Master Data'!$A$2:$A$2436,0)),"")</f>
        <v>Kids  4/4
coach: Indah</v>
      </c>
      <c r="E68" s="60" t="str">
        <f aca="false">IFERROR(INDEX('Master Data'!$M$2:$M$2436,MATCH($B$3&amp;"|4|"&amp;E$59&amp;"|"&amp;$A68,'Master Data'!$A$2:$A$2436,0)),"")</f>
        <v>Kids  4/4
coach: Indah</v>
      </c>
      <c r="F68" s="60" t="str">
        <f aca="false">IFERROR(INDEX('Master Data'!$M$2:$M$2436,MATCH($B$3&amp;"|4|"&amp;F$59&amp;"|"&amp;$A68,'Master Data'!$A$2:$A$2436,0)),"")</f>
        <v>Kids  4/4
coach: Damai</v>
      </c>
      <c r="G68" s="60" t="str">
        <f aca="false">IFERROR(INDEX('Master Data'!$M$2:$M$2436,MATCH($B$3&amp;"|4|"&amp;G$59&amp;"|"&amp;$A68,'Master Data'!$A$2:$A$2436,0)),"")</f>
        <v>Kids  3/4
coach: Zidan</v>
      </c>
      <c r="H68" s="60" t="str">
        <f aca="false">IFERROR(INDEX('Master Data'!$M$2:$M$2436,MATCH($B$3&amp;"|4|"&amp;H$59&amp;"|"&amp;$A68,'Master Data'!$A$2:$A$2436,0)),"")</f>
        <v>Kids  4/4
coach: Kamal</v>
      </c>
      <c r="T68" s="61" t="str">
        <f aca="false">IFERROR(INDEX('Master Data'!$L$2:$L$2436,MATCH($B$3&amp;"|4|"&amp;B$59&amp;"|"&amp;$A68,'Master Data'!$A$2:$A$2436,0)),"")</f>
        <v>Sebagian</v>
      </c>
      <c r="U68" s="61" t="str">
        <f aca="false">IFERROR(INDEX('Master Data'!$L$2:$L$2436,MATCH($B$3&amp;"|4|"&amp;C$59&amp;"|"&amp;$A68,'Master Data'!$A$2:$A$2436,0)),"")</f>
        <v>Penuh</v>
      </c>
      <c r="V68" s="61" t="str">
        <f aca="false">IFERROR(INDEX('Master Data'!$L$2:$L$2436,MATCH($B$3&amp;"|4|"&amp;D$59&amp;"|"&amp;$A68,'Master Data'!$A$2:$A$2436,0)),"")</f>
        <v>Penuh</v>
      </c>
      <c r="W68" s="61" t="str">
        <f aca="false">IFERROR(INDEX('Master Data'!$L$2:$L$2436,MATCH($B$3&amp;"|4|"&amp;E$59&amp;"|"&amp;$A68,'Master Data'!$A$2:$A$2436,0)),"")</f>
        <v>Penuh</v>
      </c>
      <c r="X68" s="61" t="str">
        <f aca="false">IFERROR(INDEX('Master Data'!$L$2:$L$2436,MATCH($B$3&amp;"|4|"&amp;F$59&amp;"|"&amp;$A68,'Master Data'!$A$2:$A$2436,0)),"")</f>
        <v>Penuh</v>
      </c>
      <c r="Y68" s="61" t="str">
        <f aca="false">IFERROR(INDEX('Master Data'!$L$2:$L$2436,MATCH($B$3&amp;"|4|"&amp;G$59&amp;"|"&amp;$A68,'Master Data'!$A$2:$A$2436,0)),"")</f>
        <v>Sebagian</v>
      </c>
      <c r="Z68" s="61" t="str">
        <f aca="false">IFERROR(INDEX('Master Data'!$L$2:$L$2436,MATCH($B$3&amp;"|4|"&amp;H$59&amp;"|"&amp;$A68,'Master Data'!$A$2:$A$2436,0)),"")</f>
        <v>Penuh</v>
      </c>
    </row>
    <row r="69" customFormat="false" ht="30" hidden="false" customHeight="true" outlineLevel="0" collapsed="false">
      <c r="A69" s="59" t="s">
        <v>119</v>
      </c>
      <c r="B69" s="60" t="str">
        <f aca="false">IFERROR(INDEX('Master Data'!$M$2:$M$2436,MATCH($B$3&amp;"|4|"&amp;B$59&amp;"|"&amp;$A69,'Master Data'!$A$2:$A$2436,0)),"")</f>
        <v>Kids  4/4
coach: Dadi</v>
      </c>
      <c r="C69" s="60" t="str">
        <f aca="false">IFERROR(INDEX('Master Data'!$M$2:$M$2436,MATCH($B$3&amp;"|4|"&amp;C$59&amp;"|"&amp;$A69,'Master Data'!$A$2:$A$2436,0)),"")</f>
        <v>Kids  3/4
coach: Damai</v>
      </c>
      <c r="D69" s="60" t="str">
        <f aca="false">IFERROR(INDEX('Master Data'!$M$2:$M$2436,MATCH($B$3&amp;"|4|"&amp;D$59&amp;"|"&amp;$A69,'Master Data'!$A$2:$A$2436,0)),"")</f>
        <v>Kids  4/4
coach: Zidan</v>
      </c>
      <c r="E69" s="60" t="str">
        <f aca="false">IFERROR(INDEX('Master Data'!$M$2:$M$2436,MATCH($B$3&amp;"|4|"&amp;E$59&amp;"|"&amp;$A69,'Master Data'!$A$2:$A$2436,0)),"")</f>
        <v>Kids  4/4
coach: Kamal</v>
      </c>
      <c r="F69" s="60" t="str">
        <f aca="false">IFERROR(INDEX('Master Data'!$M$2:$M$2436,MATCH($B$3&amp;"|4|"&amp;F$59&amp;"|"&amp;$A69,'Master Data'!$A$2:$A$2436,0)),"")</f>
        <v>Kids  4/4
coach: Zidan</v>
      </c>
      <c r="G69" s="60" t="str">
        <f aca="false">IFERROR(INDEX('Master Data'!$M$2:$M$2436,MATCH($B$3&amp;"|4|"&amp;G$59&amp;"|"&amp;$A69,'Master Data'!$A$2:$A$2436,0)),"")</f>
        <v>Kids  4/4
coach: Damai</v>
      </c>
      <c r="H69" s="60" t="str">
        <f aca="false">IFERROR(INDEX('Master Data'!$M$2:$M$2436,MATCH($B$3&amp;"|4|"&amp;H$59&amp;"|"&amp;$A69,'Master Data'!$A$2:$A$2436,0)),"")</f>
        <v>Kids  4/4
coach: Zidan</v>
      </c>
      <c r="T69" s="61" t="str">
        <f aca="false">IFERROR(INDEX('Master Data'!$L$2:$L$2436,MATCH($B$3&amp;"|4|"&amp;B$59&amp;"|"&amp;$A69,'Master Data'!$A$2:$A$2436,0)),"")</f>
        <v>Penuh</v>
      </c>
      <c r="U69" s="61" t="str">
        <f aca="false">IFERROR(INDEX('Master Data'!$L$2:$L$2436,MATCH($B$3&amp;"|4|"&amp;C$59&amp;"|"&amp;$A69,'Master Data'!$A$2:$A$2436,0)),"")</f>
        <v>Sebagian</v>
      </c>
      <c r="V69" s="61" t="str">
        <f aca="false">IFERROR(INDEX('Master Data'!$L$2:$L$2436,MATCH($B$3&amp;"|4|"&amp;D$59&amp;"|"&amp;$A69,'Master Data'!$A$2:$A$2436,0)),"")</f>
        <v>Penuh</v>
      </c>
      <c r="W69" s="61" t="str">
        <f aca="false">IFERROR(INDEX('Master Data'!$L$2:$L$2436,MATCH($B$3&amp;"|4|"&amp;E$59&amp;"|"&amp;$A69,'Master Data'!$A$2:$A$2436,0)),"")</f>
        <v>Penuh</v>
      </c>
      <c r="X69" s="61" t="str">
        <f aca="false">IFERROR(INDEX('Master Data'!$L$2:$L$2436,MATCH($B$3&amp;"|4|"&amp;F$59&amp;"|"&amp;$A69,'Master Data'!$A$2:$A$2436,0)),"")</f>
        <v>Penuh</v>
      </c>
      <c r="Y69" s="61" t="str">
        <f aca="false">IFERROR(INDEX('Master Data'!$L$2:$L$2436,MATCH($B$3&amp;"|4|"&amp;G$59&amp;"|"&amp;$A69,'Master Data'!$A$2:$A$2436,0)),"")</f>
        <v>Penuh</v>
      </c>
      <c r="Z69" s="61" t="str">
        <f aca="false">IFERROR(INDEX('Master Data'!$L$2:$L$2436,MATCH($B$3&amp;"|4|"&amp;H$59&amp;"|"&amp;$A69,'Master Data'!$A$2:$A$2436,0)),"")</f>
        <v>Penuh</v>
      </c>
    </row>
    <row r="70" customFormat="false" ht="30" hidden="false" customHeight="true" outlineLevel="0" collapsed="false">
      <c r="A70" s="59" t="s">
        <v>120</v>
      </c>
      <c r="B70" s="60" t="str">
        <f aca="false">IFERROR(INDEX('Master Data'!$M$2:$M$2436,MATCH($B$3&amp;"|4|"&amp;B$59&amp;"|"&amp;$A70,'Master Data'!$A$2:$A$2436,0)),"")</f>
        <v>Kids  4/4
coach: Damai</v>
      </c>
      <c r="C70" s="60" t="str">
        <f aca="false">IFERROR(INDEX('Master Data'!$M$2:$M$2436,MATCH($B$3&amp;"|4|"&amp;C$59&amp;"|"&amp;$A70,'Master Data'!$A$2:$A$2436,0)),"")</f>
        <v>Kids  4/4
coach: Dyana</v>
      </c>
      <c r="D70" s="60" t="str">
        <f aca="false">IFERROR(INDEX('Master Data'!$M$2:$M$2436,MATCH($B$3&amp;"|4|"&amp;D$59&amp;"|"&amp;$A70,'Master Data'!$A$2:$A$2436,0)),"")</f>
        <v>Kids  4/4
coach: Zidan</v>
      </c>
      <c r="E70" s="60" t="str">
        <f aca="false">IFERROR(INDEX('Master Data'!$M$2:$M$2436,MATCH($B$3&amp;"|4|"&amp;E$59&amp;"|"&amp;$A70,'Master Data'!$A$2:$A$2436,0)),"")</f>
        <v>Kids  4/4
coach: Kamal</v>
      </c>
      <c r="F70" s="60" t="str">
        <f aca="false">IFERROR(INDEX('Master Data'!$M$2:$M$2436,MATCH($B$3&amp;"|4|"&amp;F$59&amp;"|"&amp;$A70,'Master Data'!$A$2:$A$2436,0)),"")</f>
        <v>Kids  4/4
coach: Indah</v>
      </c>
      <c r="G70" s="60" t="str">
        <f aca="false">IFERROR(INDEX('Master Data'!$M$2:$M$2436,MATCH($B$3&amp;"|4|"&amp;G$59&amp;"|"&amp;$A70,'Master Data'!$A$2:$A$2436,0)),"")</f>
        <v>Kids  4/4
coach: Laksamana</v>
      </c>
      <c r="H70" s="60" t="str">
        <f aca="false">IFERROR(INDEX('Master Data'!$M$2:$M$2436,MATCH($B$3&amp;"|4|"&amp;H$59&amp;"|"&amp;$A70,'Master Data'!$A$2:$A$2436,0)),"")</f>
        <v>Kids  3/4
coach: Shofwan</v>
      </c>
      <c r="T70" s="61" t="str">
        <f aca="false">IFERROR(INDEX('Master Data'!$L$2:$L$2436,MATCH($B$3&amp;"|4|"&amp;B$59&amp;"|"&amp;$A70,'Master Data'!$A$2:$A$2436,0)),"")</f>
        <v>Penuh</v>
      </c>
      <c r="U70" s="61" t="str">
        <f aca="false">IFERROR(INDEX('Master Data'!$L$2:$L$2436,MATCH($B$3&amp;"|4|"&amp;C$59&amp;"|"&amp;$A70,'Master Data'!$A$2:$A$2436,0)),"")</f>
        <v>Penuh</v>
      </c>
      <c r="V70" s="61" t="str">
        <f aca="false">IFERROR(INDEX('Master Data'!$L$2:$L$2436,MATCH($B$3&amp;"|4|"&amp;D$59&amp;"|"&amp;$A70,'Master Data'!$A$2:$A$2436,0)),"")</f>
        <v>Penuh</v>
      </c>
      <c r="W70" s="61" t="str">
        <f aca="false">IFERROR(INDEX('Master Data'!$L$2:$L$2436,MATCH($B$3&amp;"|4|"&amp;E$59&amp;"|"&amp;$A70,'Master Data'!$A$2:$A$2436,0)),"")</f>
        <v>Penuh</v>
      </c>
      <c r="X70" s="61" t="str">
        <f aca="false">IFERROR(INDEX('Master Data'!$L$2:$L$2436,MATCH($B$3&amp;"|4|"&amp;F$59&amp;"|"&amp;$A70,'Master Data'!$A$2:$A$2436,0)),"")</f>
        <v>Penuh</v>
      </c>
      <c r="Y70" s="61" t="str">
        <f aca="false">IFERROR(INDEX('Master Data'!$L$2:$L$2436,MATCH($B$3&amp;"|4|"&amp;G$59&amp;"|"&amp;$A70,'Master Data'!$A$2:$A$2436,0)),"")</f>
        <v>Penuh</v>
      </c>
      <c r="Z70" s="61" t="str">
        <f aca="false">IFERROR(INDEX('Master Data'!$L$2:$L$2436,MATCH($B$3&amp;"|4|"&amp;H$59&amp;"|"&amp;$A70,'Master Data'!$A$2:$A$2436,0)),"")</f>
        <v>Sebagian</v>
      </c>
    </row>
    <row r="71" customFormat="false" ht="30" hidden="false" customHeight="true" outlineLevel="0" collapsed="false">
      <c r="A71" s="59" t="s">
        <v>121</v>
      </c>
      <c r="B71" s="60" t="str">
        <f aca="false">IFERROR(INDEX('Master Data'!$M$2:$M$2436,MATCH($B$3&amp;"|4|"&amp;B$59&amp;"|"&amp;$A71,'Master Data'!$A$2:$A$2436,0)),"")</f>
        <v>Kids  4/4
coach: Damai</v>
      </c>
      <c r="C71" s="60" t="str">
        <f aca="false">IFERROR(INDEX('Master Data'!$M$2:$M$2436,MATCH($B$3&amp;"|4|"&amp;C$59&amp;"|"&amp;$A71,'Master Data'!$A$2:$A$2436,0)),"")</f>
        <v>Kids  4/4
coach: Damai</v>
      </c>
      <c r="D71" s="60" t="str">
        <f aca="false">IFERROR(INDEX('Master Data'!$M$2:$M$2436,MATCH($B$3&amp;"|4|"&amp;D$59&amp;"|"&amp;$A71,'Master Data'!$A$2:$A$2436,0)),"")</f>
        <v>Kids  4/4
coach: Laksamana</v>
      </c>
      <c r="E71" s="60" t="str">
        <f aca="false">IFERROR(INDEX('Master Data'!$M$2:$M$2436,MATCH($B$3&amp;"|4|"&amp;E$59&amp;"|"&amp;$A71,'Master Data'!$A$2:$A$2436,0)),"")</f>
        <v>Kids  3/4
coach: Kamal</v>
      </c>
      <c r="F71" s="60" t="str">
        <f aca="false">IFERROR(INDEX('Master Data'!$M$2:$M$2436,MATCH($B$3&amp;"|4|"&amp;F$59&amp;"|"&amp;$A71,'Master Data'!$A$2:$A$2436,0)),"")</f>
        <v>Kids  4/4
coach: Zidan</v>
      </c>
      <c r="G71" s="60" t="str">
        <f aca="false">IFERROR(INDEX('Master Data'!$M$2:$M$2436,MATCH($B$3&amp;"|4|"&amp;G$59&amp;"|"&amp;$A71,'Master Data'!$A$2:$A$2436,0)),"")</f>
        <v>Kids  4/4
coach: Damai</v>
      </c>
      <c r="H71" s="60" t="str">
        <f aca="false">IFERROR(INDEX('Master Data'!$M$2:$M$2436,MATCH($B$3&amp;"|4|"&amp;H$59&amp;"|"&amp;$A71,'Master Data'!$A$2:$A$2436,0)),"")</f>
        <v>–</v>
      </c>
      <c r="T71" s="61" t="str">
        <f aca="false">IFERROR(INDEX('Master Data'!$L$2:$L$2436,MATCH($B$3&amp;"|4|"&amp;B$59&amp;"|"&amp;$A71,'Master Data'!$A$2:$A$2436,0)),"")</f>
        <v>Penuh</v>
      </c>
      <c r="U71" s="61" t="str">
        <f aca="false">IFERROR(INDEX('Master Data'!$L$2:$L$2436,MATCH($B$3&amp;"|4|"&amp;C$59&amp;"|"&amp;$A71,'Master Data'!$A$2:$A$2436,0)),"")</f>
        <v>Penuh</v>
      </c>
      <c r="V71" s="61" t="str">
        <f aca="false">IFERROR(INDEX('Master Data'!$L$2:$L$2436,MATCH($B$3&amp;"|4|"&amp;D$59&amp;"|"&amp;$A71,'Master Data'!$A$2:$A$2436,0)),"")</f>
        <v>Penuh</v>
      </c>
      <c r="W71" s="61" t="str">
        <f aca="false">IFERROR(INDEX('Master Data'!$L$2:$L$2436,MATCH($B$3&amp;"|4|"&amp;E$59&amp;"|"&amp;$A71,'Master Data'!$A$2:$A$2436,0)),"")</f>
        <v>Sebagian</v>
      </c>
      <c r="X71" s="61" t="str">
        <f aca="false">IFERROR(INDEX('Master Data'!$L$2:$L$2436,MATCH($B$3&amp;"|4|"&amp;F$59&amp;"|"&amp;$A71,'Master Data'!$A$2:$A$2436,0)),"")</f>
        <v>Penuh</v>
      </c>
      <c r="Y71" s="61" t="str">
        <f aca="false">IFERROR(INDEX('Master Data'!$L$2:$L$2436,MATCH($B$3&amp;"|4|"&amp;G$59&amp;"|"&amp;$A71,'Master Data'!$A$2:$A$2436,0)),"")</f>
        <v>Penuh</v>
      </c>
      <c r="Z71" s="61" t="str">
        <f aca="false">IFERROR(INDEX('Master Data'!$L$2:$L$2436,MATCH($B$3&amp;"|4|"&amp;H$59&amp;"|"&amp;$A71,'Master Data'!$A$2:$A$2436,0)),"")</f>
        <v>Tidak dibuka</v>
      </c>
    </row>
    <row r="73" customFormat="false" ht="16.15" hidden="false" customHeight="false" outlineLevel="0" collapsed="false">
      <c r="A73" s="54" t="s">
        <v>123</v>
      </c>
      <c r="B73" s="55"/>
      <c r="C73" s="56" t="str">
        <f aca="false">"Utilisasi lane: "&amp;IFERROR(TEXT(SUMIFS('Master Data'!$H$2:$H$2436,'Master Data'!$B$2:$B$2436,$B$3,'Master Data'!$C$2:$C$2436,5,'Master Data'!$G$2:$G$2436,"&gt;0")/SUMIFS('Master Data'!$G$2:$G$2436,'Master Data'!$B$2:$B$2436,$B$3,'Master Data'!$C$2:$C$2436,5,'Master Data'!$G$2:$G$2436,"&gt;0"),"0%"),"–")&amp;"   ·   Belum terisi: "&amp;COUNTIFS('Master Data'!$B$2:$B$2436,$B$3,'Master Data'!$C$2:$C$2436,5,'Master Data'!$L$2:$L$2436,"Belum terisi")&amp;"   ·   Slot kosong: "&amp;COUNTIFS('Master Data'!$B$2:$B$2436,$B$3,'Master Data'!$C$2:$C$2436,5,'Master Data'!$L$2:$L$2436,"Slot kosong")</f>
        <v>Utilisasi lane: 40%   ·   Belum terisi: 0   ·   Slot kosong: 16</v>
      </c>
      <c r="D73" s="55"/>
      <c r="E73" s="55"/>
      <c r="F73" s="55"/>
      <c r="G73" s="55"/>
      <c r="H73" s="55"/>
    </row>
    <row r="74" customFormat="false" ht="15" hidden="false" customHeight="false" outlineLevel="0" collapsed="false">
      <c r="A74" s="57" t="s">
        <v>89</v>
      </c>
      <c r="B74" s="58" t="s">
        <v>90</v>
      </c>
      <c r="C74" s="58" t="s">
        <v>91</v>
      </c>
      <c r="D74" s="58" t="s">
        <v>92</v>
      </c>
      <c r="E74" s="58" t="s">
        <v>93</v>
      </c>
      <c r="F74" s="58" t="s">
        <v>94</v>
      </c>
      <c r="G74" s="58" t="s">
        <v>95</v>
      </c>
      <c r="H74" s="58" t="s">
        <v>78</v>
      </c>
    </row>
    <row r="75" customFormat="false" ht="30" hidden="false" customHeight="true" outlineLevel="0" collapsed="false">
      <c r="A75" s="59" t="s">
        <v>110</v>
      </c>
      <c r="B75" s="60" t="str">
        <f aca="false">IFERROR(INDEX('Master Data'!$M$2:$M$2436,MATCH($B$3&amp;"|5|"&amp;B$74&amp;"|"&amp;$A75,'Master Data'!$A$2:$A$2436,0)),"")</f>
        <v>–</v>
      </c>
      <c r="C75" s="60" t="str">
        <f aca="false">IFERROR(INDEX('Master Data'!$M$2:$M$2436,MATCH($B$3&amp;"|5|"&amp;C$74&amp;"|"&amp;$A75,'Master Data'!$A$2:$A$2436,0)),"")</f>
        <v>–</v>
      </c>
      <c r="D75" s="60" t="str">
        <f aca="false">IFERROR(INDEX('Master Data'!$M$2:$M$2436,MATCH($B$3&amp;"|5|"&amp;D$74&amp;"|"&amp;$A75,'Master Data'!$A$2:$A$2436,0)),"")</f>
        <v>–</v>
      </c>
      <c r="E75" s="60" t="str">
        <f aca="false">IFERROR(INDEX('Master Data'!$M$2:$M$2436,MATCH($B$3&amp;"|5|"&amp;E$74&amp;"|"&amp;$A75,'Master Data'!$A$2:$A$2436,0)),"")</f>
        <v>–</v>
      </c>
      <c r="F75" s="60" t="str">
        <f aca="false">IFERROR(INDEX('Master Data'!$M$2:$M$2436,MATCH($B$3&amp;"|5|"&amp;F$74&amp;"|"&amp;$A75,'Master Data'!$A$2:$A$2436,0)),"")</f>
        <v>–</v>
      </c>
      <c r="G75" s="60" t="str">
        <f aca="false">IFERROR(INDEX('Master Data'!$M$2:$M$2436,MATCH($B$3&amp;"|5|"&amp;G$74&amp;"|"&amp;$A75,'Master Data'!$A$2:$A$2436,0)),"")</f>
        <v>–</v>
      </c>
      <c r="H75" s="60" t="str">
        <f aca="false">IFERROR(INDEX('Master Data'!$M$2:$M$2436,MATCH($B$3&amp;"|5|"&amp;H$74&amp;"|"&amp;$A75,'Master Data'!$A$2:$A$2436,0)),"")</f>
        <v>–</v>
      </c>
      <c r="T75" s="61" t="str">
        <f aca="false">IFERROR(INDEX('Master Data'!$L$2:$L$2436,MATCH($B$3&amp;"|5|"&amp;B$74&amp;"|"&amp;$A75,'Master Data'!$A$2:$A$2436,0)),"")</f>
        <v>Tidak dibuka</v>
      </c>
      <c r="U75" s="61" t="str">
        <f aca="false">IFERROR(INDEX('Master Data'!$L$2:$L$2436,MATCH($B$3&amp;"|5|"&amp;C$74&amp;"|"&amp;$A75,'Master Data'!$A$2:$A$2436,0)),"")</f>
        <v>Tidak dibuka</v>
      </c>
      <c r="V75" s="61" t="str">
        <f aca="false">IFERROR(INDEX('Master Data'!$L$2:$L$2436,MATCH($B$3&amp;"|5|"&amp;D$74&amp;"|"&amp;$A75,'Master Data'!$A$2:$A$2436,0)),"")</f>
        <v>Tidak dibuka</v>
      </c>
      <c r="W75" s="61" t="str">
        <f aca="false">IFERROR(INDEX('Master Data'!$L$2:$L$2436,MATCH($B$3&amp;"|5|"&amp;E$74&amp;"|"&amp;$A75,'Master Data'!$A$2:$A$2436,0)),"")</f>
        <v>Tidak dibuka</v>
      </c>
      <c r="X75" s="61" t="str">
        <f aca="false">IFERROR(INDEX('Master Data'!$L$2:$L$2436,MATCH($B$3&amp;"|5|"&amp;F$74&amp;"|"&amp;$A75,'Master Data'!$A$2:$A$2436,0)),"")</f>
        <v>Tidak dibuka</v>
      </c>
      <c r="Y75" s="61" t="str">
        <f aca="false">IFERROR(INDEX('Master Data'!$L$2:$L$2436,MATCH($B$3&amp;"|5|"&amp;G$74&amp;"|"&amp;$A75,'Master Data'!$A$2:$A$2436,0)),"")</f>
        <v>Tidak dibuka</v>
      </c>
      <c r="Z75" s="61" t="str">
        <f aca="false">IFERROR(INDEX('Master Data'!$L$2:$L$2436,MATCH($B$3&amp;"|5|"&amp;H$74&amp;"|"&amp;$A75,'Master Data'!$A$2:$A$2436,0)),"")</f>
        <v>Tidak dibuka</v>
      </c>
    </row>
    <row r="76" customFormat="false" ht="30" hidden="false" customHeight="true" outlineLevel="0" collapsed="false">
      <c r="A76" s="59" t="s">
        <v>111</v>
      </c>
      <c r="B76" s="60" t="str">
        <f aca="false">IFERROR(INDEX('Master Data'!$M$2:$M$2436,MATCH($B$3&amp;"|5|"&amp;B$74&amp;"|"&amp;$A76,'Master Data'!$A$2:$A$2436,0)),"")</f>
        <v>–</v>
      </c>
      <c r="C76" s="60" t="str">
        <f aca="false">IFERROR(INDEX('Master Data'!$M$2:$M$2436,MATCH($B$3&amp;"|5|"&amp;C$74&amp;"|"&amp;$A76,'Master Data'!$A$2:$A$2436,0)),"")</f>
        <v>–</v>
      </c>
      <c r="D76" s="60" t="str">
        <f aca="false">IFERROR(INDEX('Master Data'!$M$2:$M$2436,MATCH($B$3&amp;"|5|"&amp;D$74&amp;"|"&amp;$A76,'Master Data'!$A$2:$A$2436,0)),"")</f>
        <v>–</v>
      </c>
      <c r="E76" s="60" t="str">
        <f aca="false">IFERROR(INDEX('Master Data'!$M$2:$M$2436,MATCH($B$3&amp;"|5|"&amp;E$74&amp;"|"&amp;$A76,'Master Data'!$A$2:$A$2436,0)),"")</f>
        <v>–</v>
      </c>
      <c r="F76" s="60" t="str">
        <f aca="false">IFERROR(INDEX('Master Data'!$M$2:$M$2436,MATCH($B$3&amp;"|5|"&amp;F$74&amp;"|"&amp;$A76,'Master Data'!$A$2:$A$2436,0)),"")</f>
        <v>Baby  1/4
coach: Shofwan</v>
      </c>
      <c r="G76" s="60" t="str">
        <f aca="false">IFERROR(INDEX('Master Data'!$M$2:$M$2436,MATCH($B$3&amp;"|5|"&amp;G$74&amp;"|"&amp;$A76,'Master Data'!$A$2:$A$2436,0)),"")</f>
        <v>Kids  4/4
coach: Zidan</v>
      </c>
      <c r="H76" s="60" t="str">
        <f aca="false">IFERROR(INDEX('Master Data'!$M$2:$M$2436,MATCH($B$3&amp;"|5|"&amp;H$74&amp;"|"&amp;$A76,'Master Data'!$A$2:$A$2436,0)),"")</f>
        <v>(tanpa age group)  0/4
coach: –</v>
      </c>
      <c r="T76" s="61" t="str">
        <f aca="false">IFERROR(INDEX('Master Data'!$L$2:$L$2436,MATCH($B$3&amp;"|5|"&amp;B$74&amp;"|"&amp;$A76,'Master Data'!$A$2:$A$2436,0)),"")</f>
        <v>Tidak dibuka</v>
      </c>
      <c r="U76" s="61" t="str">
        <f aca="false">IFERROR(INDEX('Master Data'!$L$2:$L$2436,MATCH($B$3&amp;"|5|"&amp;C$74&amp;"|"&amp;$A76,'Master Data'!$A$2:$A$2436,0)),"")</f>
        <v>Tidak dibuka</v>
      </c>
      <c r="V76" s="61" t="str">
        <f aca="false">IFERROR(INDEX('Master Data'!$L$2:$L$2436,MATCH($B$3&amp;"|5|"&amp;D$74&amp;"|"&amp;$A76,'Master Data'!$A$2:$A$2436,0)),"")</f>
        <v>Tidak dibuka</v>
      </c>
      <c r="W76" s="61" t="str">
        <f aca="false">IFERROR(INDEX('Master Data'!$L$2:$L$2436,MATCH($B$3&amp;"|5|"&amp;E$74&amp;"|"&amp;$A76,'Master Data'!$A$2:$A$2436,0)),"")</f>
        <v>Tidak dibuka</v>
      </c>
      <c r="X76" s="61" t="str">
        <f aca="false">IFERROR(INDEX('Master Data'!$L$2:$L$2436,MATCH($B$3&amp;"|5|"&amp;F$74&amp;"|"&amp;$A76,'Master Data'!$A$2:$A$2436,0)),"")</f>
        <v>Sebagian</v>
      </c>
      <c r="Y76" s="61" t="str">
        <f aca="false">IFERROR(INDEX('Master Data'!$L$2:$L$2436,MATCH($B$3&amp;"|5|"&amp;G$74&amp;"|"&amp;$A76,'Master Data'!$A$2:$A$2436,0)),"")</f>
        <v>Penuh</v>
      </c>
      <c r="Z76" s="61" t="str">
        <f aca="false">IFERROR(INDEX('Master Data'!$L$2:$L$2436,MATCH($B$3&amp;"|5|"&amp;H$74&amp;"|"&amp;$A76,'Master Data'!$A$2:$A$2436,0)),"")</f>
        <v>Slot kosong</v>
      </c>
    </row>
    <row r="77" customFormat="false" ht="30" hidden="false" customHeight="true" outlineLevel="0" collapsed="false">
      <c r="A77" s="59" t="s">
        <v>112</v>
      </c>
      <c r="B77" s="60" t="str">
        <f aca="false">IFERROR(INDEX('Master Data'!$M$2:$M$2436,MATCH($B$3&amp;"|5|"&amp;B$74&amp;"|"&amp;$A77,'Master Data'!$A$2:$A$2436,0)),"")</f>
        <v>–</v>
      </c>
      <c r="C77" s="60" t="str">
        <f aca="false">IFERROR(INDEX('Master Data'!$M$2:$M$2436,MATCH($B$3&amp;"|5|"&amp;C$74&amp;"|"&amp;$A77,'Master Data'!$A$2:$A$2436,0)),"")</f>
        <v>–</v>
      </c>
      <c r="D77" s="60" t="str">
        <f aca="false">IFERROR(INDEX('Master Data'!$M$2:$M$2436,MATCH($B$3&amp;"|5|"&amp;D$74&amp;"|"&amp;$A77,'Master Data'!$A$2:$A$2436,0)),"")</f>
        <v>–</v>
      </c>
      <c r="E77" s="60" t="str">
        <f aca="false">IFERROR(INDEX('Master Data'!$M$2:$M$2436,MATCH($B$3&amp;"|5|"&amp;E$74&amp;"|"&amp;$A77,'Master Data'!$A$2:$A$2436,0)),"")</f>
        <v>–</v>
      </c>
      <c r="F77" s="60" t="str">
        <f aca="false">IFERROR(INDEX('Master Data'!$M$2:$M$2436,MATCH($B$3&amp;"|5|"&amp;F$74&amp;"|"&amp;$A77,'Master Data'!$A$2:$A$2436,0)),"")</f>
        <v>(tanpa age group)  0/4
coach: –</v>
      </c>
      <c r="G77" s="60" t="str">
        <f aca="false">IFERROR(INDEX('Master Data'!$M$2:$M$2436,MATCH($B$3&amp;"|5|"&amp;G$74&amp;"|"&amp;$A77,'Master Data'!$A$2:$A$2436,0)),"")</f>
        <v>Kids  4/4
coach: Shofwan</v>
      </c>
      <c r="H77" s="60" t="str">
        <f aca="false">IFERROR(INDEX('Master Data'!$M$2:$M$2436,MATCH($B$3&amp;"|5|"&amp;H$74&amp;"|"&amp;$A77,'Master Data'!$A$2:$A$2436,0)),"")</f>
        <v>Kids  4/4
coach: Laksamana</v>
      </c>
      <c r="T77" s="61" t="str">
        <f aca="false">IFERROR(INDEX('Master Data'!$L$2:$L$2436,MATCH($B$3&amp;"|5|"&amp;B$74&amp;"|"&amp;$A77,'Master Data'!$A$2:$A$2436,0)),"")</f>
        <v>Tidak dibuka</v>
      </c>
      <c r="U77" s="61" t="str">
        <f aca="false">IFERROR(INDEX('Master Data'!$L$2:$L$2436,MATCH($B$3&amp;"|5|"&amp;C$74&amp;"|"&amp;$A77,'Master Data'!$A$2:$A$2436,0)),"")</f>
        <v>Tidak dibuka</v>
      </c>
      <c r="V77" s="61" t="str">
        <f aca="false">IFERROR(INDEX('Master Data'!$L$2:$L$2436,MATCH($B$3&amp;"|5|"&amp;D$74&amp;"|"&amp;$A77,'Master Data'!$A$2:$A$2436,0)),"")</f>
        <v>Tidak dibuka</v>
      </c>
      <c r="W77" s="61" t="str">
        <f aca="false">IFERROR(INDEX('Master Data'!$L$2:$L$2436,MATCH($B$3&amp;"|5|"&amp;E$74&amp;"|"&amp;$A77,'Master Data'!$A$2:$A$2436,0)),"")</f>
        <v>Tidak dibuka</v>
      </c>
      <c r="X77" s="61" t="str">
        <f aca="false">IFERROR(INDEX('Master Data'!$L$2:$L$2436,MATCH($B$3&amp;"|5|"&amp;F$74&amp;"|"&amp;$A77,'Master Data'!$A$2:$A$2436,0)),"")</f>
        <v>Slot kosong</v>
      </c>
      <c r="Y77" s="61" t="str">
        <f aca="false">IFERROR(INDEX('Master Data'!$L$2:$L$2436,MATCH($B$3&amp;"|5|"&amp;G$74&amp;"|"&amp;$A77,'Master Data'!$A$2:$A$2436,0)),"")</f>
        <v>Penuh</v>
      </c>
      <c r="Z77" s="61" t="str">
        <f aca="false">IFERROR(INDEX('Master Data'!$L$2:$L$2436,MATCH($B$3&amp;"|5|"&amp;H$74&amp;"|"&amp;$A77,'Master Data'!$A$2:$A$2436,0)),"")</f>
        <v>Penuh</v>
      </c>
    </row>
    <row r="78" customFormat="false" ht="30" hidden="false" customHeight="true" outlineLevel="0" collapsed="false">
      <c r="A78" s="59" t="s">
        <v>113</v>
      </c>
      <c r="B78" s="60" t="str">
        <f aca="false">IFERROR(INDEX('Master Data'!$M$2:$M$2436,MATCH($B$3&amp;"|5|"&amp;B$74&amp;"|"&amp;$A78,'Master Data'!$A$2:$A$2436,0)),"")</f>
        <v>–</v>
      </c>
      <c r="C78" s="60" t="str">
        <f aca="false">IFERROR(INDEX('Master Data'!$M$2:$M$2436,MATCH($B$3&amp;"|5|"&amp;C$74&amp;"|"&amp;$A78,'Master Data'!$A$2:$A$2436,0)),"")</f>
        <v>–</v>
      </c>
      <c r="D78" s="60" t="str">
        <f aca="false">IFERROR(INDEX('Master Data'!$M$2:$M$2436,MATCH($B$3&amp;"|5|"&amp;D$74&amp;"|"&amp;$A78,'Master Data'!$A$2:$A$2436,0)),"")</f>
        <v>–</v>
      </c>
      <c r="E78" s="60" t="str">
        <f aca="false">IFERROR(INDEX('Master Data'!$M$2:$M$2436,MATCH($B$3&amp;"|5|"&amp;E$74&amp;"|"&amp;$A78,'Master Data'!$A$2:$A$2436,0)),"")</f>
        <v>–</v>
      </c>
      <c r="F78" s="60" t="str">
        <f aca="false">IFERROR(INDEX('Master Data'!$M$2:$M$2436,MATCH($B$3&amp;"|5|"&amp;F$74&amp;"|"&amp;$A78,'Master Data'!$A$2:$A$2436,0)),"")</f>
        <v>(tanpa age group)  0/4
coach: –</v>
      </c>
      <c r="G78" s="60" t="str">
        <f aca="false">IFERROR(INDEX('Master Data'!$M$2:$M$2436,MATCH($B$3&amp;"|5|"&amp;G$74&amp;"|"&amp;$A78,'Master Data'!$A$2:$A$2436,0)),"")</f>
        <v>Kids  4/4
coach: Laksamana</v>
      </c>
      <c r="H78" s="60" t="str">
        <f aca="false">IFERROR(INDEX('Master Data'!$M$2:$M$2436,MATCH($B$3&amp;"|5|"&amp;H$74&amp;"|"&amp;$A78,'Master Data'!$A$2:$A$2436,0)),"")</f>
        <v>Kids  3/4
coach: Indah</v>
      </c>
      <c r="T78" s="61" t="str">
        <f aca="false">IFERROR(INDEX('Master Data'!$L$2:$L$2436,MATCH($B$3&amp;"|5|"&amp;B$74&amp;"|"&amp;$A78,'Master Data'!$A$2:$A$2436,0)),"")</f>
        <v>Tidak dibuka</v>
      </c>
      <c r="U78" s="61" t="str">
        <f aca="false">IFERROR(INDEX('Master Data'!$L$2:$L$2436,MATCH($B$3&amp;"|5|"&amp;C$74&amp;"|"&amp;$A78,'Master Data'!$A$2:$A$2436,0)),"")</f>
        <v>Tidak dibuka</v>
      </c>
      <c r="V78" s="61" t="str">
        <f aca="false">IFERROR(INDEX('Master Data'!$L$2:$L$2436,MATCH($B$3&amp;"|5|"&amp;D$74&amp;"|"&amp;$A78,'Master Data'!$A$2:$A$2436,0)),"")</f>
        <v>Tidak dibuka</v>
      </c>
      <c r="W78" s="61" t="str">
        <f aca="false">IFERROR(INDEX('Master Data'!$L$2:$L$2436,MATCH($B$3&amp;"|5|"&amp;E$74&amp;"|"&amp;$A78,'Master Data'!$A$2:$A$2436,0)),"")</f>
        <v>Tidak dibuka</v>
      </c>
      <c r="X78" s="61" t="str">
        <f aca="false">IFERROR(INDEX('Master Data'!$L$2:$L$2436,MATCH($B$3&amp;"|5|"&amp;F$74&amp;"|"&amp;$A78,'Master Data'!$A$2:$A$2436,0)),"")</f>
        <v>Slot kosong</v>
      </c>
      <c r="Y78" s="61" t="str">
        <f aca="false">IFERROR(INDEX('Master Data'!$L$2:$L$2436,MATCH($B$3&amp;"|5|"&amp;G$74&amp;"|"&amp;$A78,'Master Data'!$A$2:$A$2436,0)),"")</f>
        <v>Penuh</v>
      </c>
      <c r="Z78" s="61" t="str">
        <f aca="false">IFERROR(INDEX('Master Data'!$L$2:$L$2436,MATCH($B$3&amp;"|5|"&amp;H$74&amp;"|"&amp;$A78,'Master Data'!$A$2:$A$2436,0)),"")</f>
        <v>Sebagian</v>
      </c>
    </row>
    <row r="79" customFormat="false" ht="30" hidden="false" customHeight="true" outlineLevel="0" collapsed="false">
      <c r="A79" s="59" t="s">
        <v>114</v>
      </c>
      <c r="B79" s="60" t="str">
        <f aca="false">IFERROR(INDEX('Master Data'!$M$2:$M$2436,MATCH($B$3&amp;"|5|"&amp;B$74&amp;"|"&amp;$A79,'Master Data'!$A$2:$A$2436,0)),"")</f>
        <v>–</v>
      </c>
      <c r="C79" s="60" t="str">
        <f aca="false">IFERROR(INDEX('Master Data'!$M$2:$M$2436,MATCH($B$3&amp;"|5|"&amp;C$74&amp;"|"&amp;$A79,'Master Data'!$A$2:$A$2436,0)),"")</f>
        <v>–</v>
      </c>
      <c r="D79" s="60" t="str">
        <f aca="false">IFERROR(INDEX('Master Data'!$M$2:$M$2436,MATCH($B$3&amp;"|5|"&amp;D$74&amp;"|"&amp;$A79,'Master Data'!$A$2:$A$2436,0)),"")</f>
        <v>–</v>
      </c>
      <c r="E79" s="60" t="str">
        <f aca="false">IFERROR(INDEX('Master Data'!$M$2:$M$2436,MATCH($B$3&amp;"|5|"&amp;E$74&amp;"|"&amp;$A79,'Master Data'!$A$2:$A$2436,0)),"")</f>
        <v>Little  1/0
coach: Zidan</v>
      </c>
      <c r="F79" s="60" t="str">
        <f aca="false">IFERROR(INDEX('Master Data'!$M$2:$M$2436,MATCH($B$3&amp;"|5|"&amp;F$74&amp;"|"&amp;$A79,'Master Data'!$A$2:$A$2436,0)),"")</f>
        <v>(tanpa age group)  0/4
coach: –</v>
      </c>
      <c r="G79" s="60" t="str">
        <f aca="false">IFERROR(INDEX('Master Data'!$M$2:$M$2436,MATCH($B$3&amp;"|5|"&amp;G$74&amp;"|"&amp;$A79,'Master Data'!$A$2:$A$2436,0)),"")</f>
        <v>Little  3/4
coach: Shofwan</v>
      </c>
      <c r="H79" s="60" t="str">
        <f aca="false">IFERROR(INDEX('Master Data'!$M$2:$M$2436,MATCH($B$3&amp;"|5|"&amp;H$74&amp;"|"&amp;$A79,'Master Data'!$A$2:$A$2436,0)),"")</f>
        <v>(tanpa age group)  0/4
coach: –</v>
      </c>
      <c r="T79" s="61" t="str">
        <f aca="false">IFERROR(INDEX('Master Data'!$L$2:$L$2436,MATCH($B$3&amp;"|5|"&amp;B$74&amp;"|"&amp;$A79,'Master Data'!$A$2:$A$2436,0)),"")</f>
        <v>Tidak dibuka</v>
      </c>
      <c r="U79" s="61" t="str">
        <f aca="false">IFERROR(INDEX('Master Data'!$L$2:$L$2436,MATCH($B$3&amp;"|5|"&amp;C$74&amp;"|"&amp;$A79,'Master Data'!$A$2:$A$2436,0)),"")</f>
        <v>Tidak dibuka</v>
      </c>
      <c r="V79" s="61" t="str">
        <f aca="false">IFERROR(INDEX('Master Data'!$L$2:$L$2436,MATCH($B$3&amp;"|5|"&amp;D$74&amp;"|"&amp;$A79,'Master Data'!$A$2:$A$2436,0)),"")</f>
        <v>Tidak dibuka</v>
      </c>
      <c r="W79" s="61" t="str">
        <f aca="false">IFERROR(INDEX('Master Data'!$L$2:$L$2436,MATCH($B$3&amp;"|5|"&amp;E$74&amp;"|"&amp;$A79,'Master Data'!$A$2:$A$2436,0)),"")</f>
        <v>Lebih kapasitas</v>
      </c>
      <c r="X79" s="61" t="str">
        <f aca="false">IFERROR(INDEX('Master Data'!$L$2:$L$2436,MATCH($B$3&amp;"|5|"&amp;F$74&amp;"|"&amp;$A79,'Master Data'!$A$2:$A$2436,0)),"")</f>
        <v>Slot kosong</v>
      </c>
      <c r="Y79" s="61" t="str">
        <f aca="false">IFERROR(INDEX('Master Data'!$L$2:$L$2436,MATCH($B$3&amp;"|5|"&amp;G$74&amp;"|"&amp;$A79,'Master Data'!$A$2:$A$2436,0)),"")</f>
        <v>Sebagian</v>
      </c>
      <c r="Z79" s="61" t="str">
        <f aca="false">IFERROR(INDEX('Master Data'!$L$2:$L$2436,MATCH($B$3&amp;"|5|"&amp;H$74&amp;"|"&amp;$A79,'Master Data'!$A$2:$A$2436,0)),"")</f>
        <v>Slot kosong</v>
      </c>
    </row>
    <row r="80" customFormat="false" ht="30" hidden="false" customHeight="true" outlineLevel="0" collapsed="false">
      <c r="A80" s="59" t="s">
        <v>115</v>
      </c>
      <c r="B80" s="60" t="str">
        <f aca="false">IFERROR(INDEX('Master Data'!$M$2:$M$2436,MATCH($B$3&amp;"|5|"&amp;B$74&amp;"|"&amp;$A80,'Master Data'!$A$2:$A$2436,0)),"")</f>
        <v>–</v>
      </c>
      <c r="C80" s="60" t="str">
        <f aca="false">IFERROR(INDEX('Master Data'!$M$2:$M$2436,MATCH($B$3&amp;"|5|"&amp;C$74&amp;"|"&amp;$A80,'Master Data'!$A$2:$A$2436,0)),"")</f>
        <v>–</v>
      </c>
      <c r="D80" s="60" t="str">
        <f aca="false">IFERROR(INDEX('Master Data'!$M$2:$M$2436,MATCH($B$3&amp;"|5|"&amp;D$74&amp;"|"&amp;$A80,'Master Data'!$A$2:$A$2436,0)),"")</f>
        <v>–</v>
      </c>
      <c r="E80" s="60" t="str">
        <f aca="false">IFERROR(INDEX('Master Data'!$M$2:$M$2436,MATCH($B$3&amp;"|5|"&amp;E$74&amp;"|"&amp;$A80,'Master Data'!$A$2:$A$2436,0)),"")</f>
        <v>–</v>
      </c>
      <c r="F80" s="60" t="str">
        <f aca="false">IFERROR(INDEX('Master Data'!$M$2:$M$2436,MATCH($B$3&amp;"|5|"&amp;F$74&amp;"|"&amp;$A80,'Master Data'!$A$2:$A$2436,0)),"")</f>
        <v>(tanpa age group)  0/4
coach: –</v>
      </c>
      <c r="G80" s="60" t="str">
        <f aca="false">IFERROR(INDEX('Master Data'!$M$2:$M$2436,MATCH($B$3&amp;"|5|"&amp;G$74&amp;"|"&amp;$A80,'Master Data'!$A$2:$A$2436,0)),"")</f>
        <v>Kids  1/4
coach: Dadi</v>
      </c>
      <c r="H80" s="60" t="str">
        <f aca="false">IFERROR(INDEX('Master Data'!$M$2:$M$2436,MATCH($B$3&amp;"|5|"&amp;H$74&amp;"|"&amp;$A80,'Master Data'!$A$2:$A$2436,0)),"")</f>
        <v>(tanpa age group)  0/4
coach: –</v>
      </c>
      <c r="T80" s="61" t="str">
        <f aca="false">IFERROR(INDEX('Master Data'!$L$2:$L$2436,MATCH($B$3&amp;"|5|"&amp;B$74&amp;"|"&amp;$A80,'Master Data'!$A$2:$A$2436,0)),"")</f>
        <v>Tidak dibuka</v>
      </c>
      <c r="U80" s="61" t="str">
        <f aca="false">IFERROR(INDEX('Master Data'!$L$2:$L$2436,MATCH($B$3&amp;"|5|"&amp;C$74&amp;"|"&amp;$A80,'Master Data'!$A$2:$A$2436,0)),"")</f>
        <v>Tidak dibuka</v>
      </c>
      <c r="V80" s="61" t="str">
        <f aca="false">IFERROR(INDEX('Master Data'!$L$2:$L$2436,MATCH($B$3&amp;"|5|"&amp;D$74&amp;"|"&amp;$A80,'Master Data'!$A$2:$A$2436,0)),"")</f>
        <v>Tidak dibuka</v>
      </c>
      <c r="W80" s="61" t="str">
        <f aca="false">IFERROR(INDEX('Master Data'!$L$2:$L$2436,MATCH($B$3&amp;"|5|"&amp;E$74&amp;"|"&amp;$A80,'Master Data'!$A$2:$A$2436,0)),"")</f>
        <v>Tidak dibuka</v>
      </c>
      <c r="X80" s="61" t="str">
        <f aca="false">IFERROR(INDEX('Master Data'!$L$2:$L$2436,MATCH($B$3&amp;"|5|"&amp;F$74&amp;"|"&amp;$A80,'Master Data'!$A$2:$A$2436,0)),"")</f>
        <v>Slot kosong</v>
      </c>
      <c r="Y80" s="61" t="str">
        <f aca="false">IFERROR(INDEX('Master Data'!$L$2:$L$2436,MATCH($B$3&amp;"|5|"&amp;G$74&amp;"|"&amp;$A80,'Master Data'!$A$2:$A$2436,0)),"")</f>
        <v>Sebagian</v>
      </c>
      <c r="Z80" s="61" t="str">
        <f aca="false">IFERROR(INDEX('Master Data'!$L$2:$L$2436,MATCH($B$3&amp;"|5|"&amp;H$74&amp;"|"&amp;$A80,'Master Data'!$A$2:$A$2436,0)),"")</f>
        <v>Slot kosong</v>
      </c>
    </row>
    <row r="81" customFormat="false" ht="30" hidden="false" customHeight="true" outlineLevel="0" collapsed="false">
      <c r="A81" s="59" t="s">
        <v>116</v>
      </c>
      <c r="B81" s="60" t="str">
        <f aca="false">IFERROR(INDEX('Master Data'!$M$2:$M$2436,MATCH($B$3&amp;"|5|"&amp;B$74&amp;"|"&amp;$A81,'Master Data'!$A$2:$A$2436,0)),"")</f>
        <v>–</v>
      </c>
      <c r="C81" s="60" t="str">
        <f aca="false">IFERROR(INDEX('Master Data'!$M$2:$M$2436,MATCH($B$3&amp;"|5|"&amp;C$74&amp;"|"&amp;$A81,'Master Data'!$A$2:$A$2436,0)),"")</f>
        <v>–</v>
      </c>
      <c r="D81" s="60" t="str">
        <f aca="false">IFERROR(INDEX('Master Data'!$M$2:$M$2436,MATCH($B$3&amp;"|5|"&amp;D$74&amp;"|"&amp;$A81,'Master Data'!$A$2:$A$2436,0)),"")</f>
        <v>–</v>
      </c>
      <c r="E81" s="60" t="str">
        <f aca="false">IFERROR(INDEX('Master Data'!$M$2:$M$2436,MATCH($B$3&amp;"|5|"&amp;E$74&amp;"|"&amp;$A81,'Master Data'!$A$2:$A$2436,0)),"")</f>
        <v>–</v>
      </c>
      <c r="F81" s="60" t="str">
        <f aca="false">IFERROR(INDEX('Master Data'!$M$2:$M$2436,MATCH($B$3&amp;"|5|"&amp;F$74&amp;"|"&amp;$A81,'Master Data'!$A$2:$A$2436,0)),"")</f>
        <v>(tanpa age group)  0/4
coach: –</v>
      </c>
      <c r="G81" s="60" t="str">
        <f aca="false">IFERROR(INDEX('Master Data'!$M$2:$M$2436,MATCH($B$3&amp;"|5|"&amp;G$74&amp;"|"&amp;$A81,'Master Data'!$A$2:$A$2436,0)),"")</f>
        <v>(tanpa age group)  0/4
coach: –</v>
      </c>
      <c r="H81" s="60" t="str">
        <f aca="false">IFERROR(INDEX('Master Data'!$M$2:$M$2436,MATCH($B$3&amp;"|5|"&amp;H$74&amp;"|"&amp;$A81,'Master Data'!$A$2:$A$2436,0)),"")</f>
        <v>(tanpa age group)  0/4
coach: –</v>
      </c>
      <c r="T81" s="61" t="str">
        <f aca="false">IFERROR(INDEX('Master Data'!$L$2:$L$2436,MATCH($B$3&amp;"|5|"&amp;B$74&amp;"|"&amp;$A81,'Master Data'!$A$2:$A$2436,0)),"")</f>
        <v>Tidak dibuka</v>
      </c>
      <c r="U81" s="61" t="str">
        <f aca="false">IFERROR(INDEX('Master Data'!$L$2:$L$2436,MATCH($B$3&amp;"|5|"&amp;C$74&amp;"|"&amp;$A81,'Master Data'!$A$2:$A$2436,0)),"")</f>
        <v>Tidak dibuka</v>
      </c>
      <c r="V81" s="61" t="str">
        <f aca="false">IFERROR(INDEX('Master Data'!$L$2:$L$2436,MATCH($B$3&amp;"|5|"&amp;D$74&amp;"|"&amp;$A81,'Master Data'!$A$2:$A$2436,0)),"")</f>
        <v>Tidak dibuka</v>
      </c>
      <c r="W81" s="61" t="str">
        <f aca="false">IFERROR(INDEX('Master Data'!$L$2:$L$2436,MATCH($B$3&amp;"|5|"&amp;E$74&amp;"|"&amp;$A81,'Master Data'!$A$2:$A$2436,0)),"")</f>
        <v>Tidak dibuka</v>
      </c>
      <c r="X81" s="61" t="str">
        <f aca="false">IFERROR(INDEX('Master Data'!$L$2:$L$2436,MATCH($B$3&amp;"|5|"&amp;F$74&amp;"|"&amp;$A81,'Master Data'!$A$2:$A$2436,0)),"")</f>
        <v>Slot kosong</v>
      </c>
      <c r="Y81" s="61" t="str">
        <f aca="false">IFERROR(INDEX('Master Data'!$L$2:$L$2436,MATCH($B$3&amp;"|5|"&amp;G$74&amp;"|"&amp;$A81,'Master Data'!$A$2:$A$2436,0)),"")</f>
        <v>Slot kosong</v>
      </c>
      <c r="Z81" s="61" t="str">
        <f aca="false">IFERROR(INDEX('Master Data'!$L$2:$L$2436,MATCH($B$3&amp;"|5|"&amp;H$74&amp;"|"&amp;$A81,'Master Data'!$A$2:$A$2436,0)),"")</f>
        <v>Slot kosong</v>
      </c>
    </row>
    <row r="82" customFormat="false" ht="30" hidden="false" customHeight="true" outlineLevel="0" collapsed="false">
      <c r="A82" s="59" t="s">
        <v>117</v>
      </c>
      <c r="B82" s="60" t="str">
        <f aca="false">IFERROR(INDEX('Master Data'!$M$2:$M$2436,MATCH($B$3&amp;"|5|"&amp;B$74&amp;"|"&amp;$A82,'Master Data'!$A$2:$A$2436,0)),"")</f>
        <v>–</v>
      </c>
      <c r="C82" s="60" t="str">
        <f aca="false">IFERROR(INDEX('Master Data'!$M$2:$M$2436,MATCH($B$3&amp;"|5|"&amp;C$74&amp;"|"&amp;$A82,'Master Data'!$A$2:$A$2436,0)),"")</f>
        <v>–</v>
      </c>
      <c r="D82" s="60" t="str">
        <f aca="false">IFERROR(INDEX('Master Data'!$M$2:$M$2436,MATCH($B$3&amp;"|5|"&amp;D$74&amp;"|"&amp;$A82,'Master Data'!$A$2:$A$2436,0)),"")</f>
        <v>Kids  1/0
coach: Dadi</v>
      </c>
      <c r="E82" s="60" t="str">
        <f aca="false">IFERROR(INDEX('Master Data'!$M$2:$M$2436,MATCH($B$3&amp;"|5|"&amp;E$74&amp;"|"&amp;$A82,'Master Data'!$A$2:$A$2436,0)),"")</f>
        <v>–</v>
      </c>
      <c r="F82" s="60" t="str">
        <f aca="false">IFERROR(INDEX('Master Data'!$M$2:$M$2436,MATCH($B$3&amp;"|5|"&amp;F$74&amp;"|"&amp;$A82,'Master Data'!$A$2:$A$2436,0)),"")</f>
        <v>Kids  1/4
coach: Shofwan</v>
      </c>
      <c r="G82" s="60" t="str">
        <f aca="false">IFERROR(INDEX('Master Data'!$M$2:$M$2436,MATCH($B$3&amp;"|5|"&amp;G$74&amp;"|"&amp;$A82,'Master Data'!$A$2:$A$2436,0)),"")</f>
        <v>Kids  4/4
coach: Damai</v>
      </c>
      <c r="H82" s="60" t="str">
        <f aca="false">IFERROR(INDEX('Master Data'!$M$2:$M$2436,MATCH($B$3&amp;"|5|"&amp;H$74&amp;"|"&amp;$A82,'Master Data'!$A$2:$A$2436,0)),"")</f>
        <v>(tanpa age group)  0/4
coach: –</v>
      </c>
      <c r="T82" s="61" t="str">
        <f aca="false">IFERROR(INDEX('Master Data'!$L$2:$L$2436,MATCH($B$3&amp;"|5|"&amp;B$74&amp;"|"&amp;$A82,'Master Data'!$A$2:$A$2436,0)),"")</f>
        <v>Tidak dibuka</v>
      </c>
      <c r="U82" s="61" t="str">
        <f aca="false">IFERROR(INDEX('Master Data'!$L$2:$L$2436,MATCH($B$3&amp;"|5|"&amp;C$74&amp;"|"&amp;$A82,'Master Data'!$A$2:$A$2436,0)),"")</f>
        <v>Tidak dibuka</v>
      </c>
      <c r="V82" s="61" t="str">
        <f aca="false">IFERROR(INDEX('Master Data'!$L$2:$L$2436,MATCH($B$3&amp;"|5|"&amp;D$74&amp;"|"&amp;$A82,'Master Data'!$A$2:$A$2436,0)),"")</f>
        <v>Lebih kapasitas</v>
      </c>
      <c r="W82" s="61" t="str">
        <f aca="false">IFERROR(INDEX('Master Data'!$L$2:$L$2436,MATCH($B$3&amp;"|5|"&amp;E$74&amp;"|"&amp;$A82,'Master Data'!$A$2:$A$2436,0)),"")</f>
        <v>Tidak dibuka</v>
      </c>
      <c r="X82" s="61" t="str">
        <f aca="false">IFERROR(INDEX('Master Data'!$L$2:$L$2436,MATCH($B$3&amp;"|5|"&amp;F$74&amp;"|"&amp;$A82,'Master Data'!$A$2:$A$2436,0)),"")</f>
        <v>Sebagian</v>
      </c>
      <c r="Y82" s="61" t="str">
        <f aca="false">IFERROR(INDEX('Master Data'!$L$2:$L$2436,MATCH($B$3&amp;"|5|"&amp;G$74&amp;"|"&amp;$A82,'Master Data'!$A$2:$A$2436,0)),"")</f>
        <v>Penuh</v>
      </c>
      <c r="Z82" s="61" t="str">
        <f aca="false">IFERROR(INDEX('Master Data'!$L$2:$L$2436,MATCH($B$3&amp;"|5|"&amp;H$74&amp;"|"&amp;$A82,'Master Data'!$A$2:$A$2436,0)),"")</f>
        <v>Slot kosong</v>
      </c>
    </row>
    <row r="83" customFormat="false" ht="30" hidden="false" customHeight="true" outlineLevel="0" collapsed="false">
      <c r="A83" s="59" t="s">
        <v>118</v>
      </c>
      <c r="B83" s="60" t="str">
        <f aca="false">IFERROR(INDEX('Master Data'!$M$2:$M$2436,MATCH($B$3&amp;"|5|"&amp;B$74&amp;"|"&amp;$A83,'Master Data'!$A$2:$A$2436,0)),"")</f>
        <v>–</v>
      </c>
      <c r="C83" s="60" t="str">
        <f aca="false">IFERROR(INDEX('Master Data'!$M$2:$M$2436,MATCH($B$3&amp;"|5|"&amp;C$74&amp;"|"&amp;$A83,'Master Data'!$A$2:$A$2436,0)),"")</f>
        <v>–</v>
      </c>
      <c r="D83" s="60" t="str">
        <f aca="false">IFERROR(INDEX('Master Data'!$M$2:$M$2436,MATCH($B$3&amp;"|5|"&amp;D$74&amp;"|"&amp;$A83,'Master Data'!$A$2:$A$2436,0)),"")</f>
        <v>Little  1/0
coach: Laksamana</v>
      </c>
      <c r="E83" s="60" t="str">
        <f aca="false">IFERROR(INDEX('Master Data'!$M$2:$M$2436,MATCH($B$3&amp;"|5|"&amp;E$74&amp;"|"&amp;$A83,'Master Data'!$A$2:$A$2436,0)),"")</f>
        <v>–</v>
      </c>
      <c r="F83" s="60" t="str">
        <f aca="false">IFERROR(INDEX('Master Data'!$M$2:$M$2436,MATCH($B$3&amp;"|5|"&amp;F$74&amp;"|"&amp;$A83,'Master Data'!$A$2:$A$2436,0)),"")</f>
        <v>Kids  4/4
coach: Shofwan</v>
      </c>
      <c r="G83" s="60" t="str">
        <f aca="false">IFERROR(INDEX('Master Data'!$M$2:$M$2436,MATCH($B$3&amp;"|5|"&amp;G$74&amp;"|"&amp;$A83,'Master Data'!$A$2:$A$2436,0)),"")</f>
        <v>(tanpa age group)  0/4
coach: –</v>
      </c>
      <c r="H83" s="60" t="str">
        <f aca="false">IFERROR(INDEX('Master Data'!$M$2:$M$2436,MATCH($B$3&amp;"|5|"&amp;H$74&amp;"|"&amp;$A83,'Master Data'!$A$2:$A$2436,0)),"")</f>
        <v>(tanpa age group)  0/4
coach: –</v>
      </c>
      <c r="T83" s="61" t="str">
        <f aca="false">IFERROR(INDEX('Master Data'!$L$2:$L$2436,MATCH($B$3&amp;"|5|"&amp;B$74&amp;"|"&amp;$A83,'Master Data'!$A$2:$A$2436,0)),"")</f>
        <v>Tidak dibuka</v>
      </c>
      <c r="U83" s="61" t="str">
        <f aca="false">IFERROR(INDEX('Master Data'!$L$2:$L$2436,MATCH($B$3&amp;"|5|"&amp;C$74&amp;"|"&amp;$A83,'Master Data'!$A$2:$A$2436,0)),"")</f>
        <v>Tidak dibuka</v>
      </c>
      <c r="V83" s="61" t="str">
        <f aca="false">IFERROR(INDEX('Master Data'!$L$2:$L$2436,MATCH($B$3&amp;"|5|"&amp;D$74&amp;"|"&amp;$A83,'Master Data'!$A$2:$A$2436,0)),"")</f>
        <v>Lebih kapasitas</v>
      </c>
      <c r="W83" s="61" t="str">
        <f aca="false">IFERROR(INDEX('Master Data'!$L$2:$L$2436,MATCH($B$3&amp;"|5|"&amp;E$74&amp;"|"&amp;$A83,'Master Data'!$A$2:$A$2436,0)),"")</f>
        <v>Tidak dibuka</v>
      </c>
      <c r="X83" s="61" t="str">
        <f aca="false">IFERROR(INDEX('Master Data'!$L$2:$L$2436,MATCH($B$3&amp;"|5|"&amp;F$74&amp;"|"&amp;$A83,'Master Data'!$A$2:$A$2436,0)),"")</f>
        <v>Penuh</v>
      </c>
      <c r="Y83" s="61" t="str">
        <f aca="false">IFERROR(INDEX('Master Data'!$L$2:$L$2436,MATCH($B$3&amp;"|5|"&amp;G$74&amp;"|"&amp;$A83,'Master Data'!$A$2:$A$2436,0)),"")</f>
        <v>Slot kosong</v>
      </c>
      <c r="Z83" s="61" t="str">
        <f aca="false">IFERROR(INDEX('Master Data'!$L$2:$L$2436,MATCH($B$3&amp;"|5|"&amp;H$74&amp;"|"&amp;$A83,'Master Data'!$A$2:$A$2436,0)),"")</f>
        <v>Slot kosong</v>
      </c>
    </row>
    <row r="84" customFormat="false" ht="30" hidden="false" customHeight="true" outlineLevel="0" collapsed="false">
      <c r="A84" s="59" t="s">
        <v>119</v>
      </c>
      <c r="B84" s="60" t="str">
        <f aca="false">IFERROR(INDEX('Master Data'!$M$2:$M$2436,MATCH($B$3&amp;"|5|"&amp;B$74&amp;"|"&amp;$A84,'Master Data'!$A$2:$A$2436,0)),"")</f>
        <v>–</v>
      </c>
      <c r="C84" s="60" t="str">
        <f aca="false">IFERROR(INDEX('Master Data'!$M$2:$M$2436,MATCH($B$3&amp;"|5|"&amp;C$74&amp;"|"&amp;$A84,'Master Data'!$A$2:$A$2436,0)),"")</f>
        <v>–</v>
      </c>
      <c r="D84" s="60" t="str">
        <f aca="false">IFERROR(INDEX('Master Data'!$M$2:$M$2436,MATCH($B$3&amp;"|5|"&amp;D$74&amp;"|"&amp;$A84,'Master Data'!$A$2:$A$2436,0)),"")</f>
        <v>Kids  4/4
coach: Laksamana</v>
      </c>
      <c r="E84" s="60" t="str">
        <f aca="false">IFERROR(INDEX('Master Data'!$M$2:$M$2436,MATCH($B$3&amp;"|5|"&amp;E$74&amp;"|"&amp;$A84,'Master Data'!$A$2:$A$2436,0)),"")</f>
        <v>–</v>
      </c>
      <c r="F84" s="60" t="str">
        <f aca="false">IFERROR(INDEX('Master Data'!$M$2:$M$2436,MATCH($B$3&amp;"|5|"&amp;F$74&amp;"|"&amp;$A84,'Master Data'!$A$2:$A$2436,0)),"")</f>
        <v>Kids  4/4
coach: Laksamana</v>
      </c>
      <c r="G84" s="60" t="str">
        <f aca="false">IFERROR(INDEX('Master Data'!$M$2:$M$2436,MATCH($B$3&amp;"|5|"&amp;G$74&amp;"|"&amp;$A84,'Master Data'!$A$2:$A$2436,0)),"")</f>
        <v>Little  1/4
coach: Dadi</v>
      </c>
      <c r="H84" s="60" t="str">
        <f aca="false">IFERROR(INDEX('Master Data'!$M$2:$M$2436,MATCH($B$3&amp;"|5|"&amp;H$74&amp;"|"&amp;$A84,'Master Data'!$A$2:$A$2436,0)),"")</f>
        <v>(tanpa age group)  0/4
coach: –</v>
      </c>
      <c r="T84" s="61" t="str">
        <f aca="false">IFERROR(INDEX('Master Data'!$L$2:$L$2436,MATCH($B$3&amp;"|5|"&amp;B$74&amp;"|"&amp;$A84,'Master Data'!$A$2:$A$2436,0)),"")</f>
        <v>Tidak dibuka</v>
      </c>
      <c r="U84" s="61" t="str">
        <f aca="false">IFERROR(INDEX('Master Data'!$L$2:$L$2436,MATCH($B$3&amp;"|5|"&amp;C$74&amp;"|"&amp;$A84,'Master Data'!$A$2:$A$2436,0)),"")</f>
        <v>Tidak dibuka</v>
      </c>
      <c r="V84" s="61" t="str">
        <f aca="false">IFERROR(INDEX('Master Data'!$L$2:$L$2436,MATCH($B$3&amp;"|5|"&amp;D$74&amp;"|"&amp;$A84,'Master Data'!$A$2:$A$2436,0)),"")</f>
        <v>Penuh</v>
      </c>
      <c r="W84" s="61" t="str">
        <f aca="false">IFERROR(INDEX('Master Data'!$L$2:$L$2436,MATCH($B$3&amp;"|5|"&amp;E$74&amp;"|"&amp;$A84,'Master Data'!$A$2:$A$2436,0)),"")</f>
        <v>Tidak dibuka</v>
      </c>
      <c r="X84" s="61" t="str">
        <f aca="false">IFERROR(INDEX('Master Data'!$L$2:$L$2436,MATCH($B$3&amp;"|5|"&amp;F$74&amp;"|"&amp;$A84,'Master Data'!$A$2:$A$2436,0)),"")</f>
        <v>Penuh</v>
      </c>
      <c r="Y84" s="61" t="str">
        <f aca="false">IFERROR(INDEX('Master Data'!$L$2:$L$2436,MATCH($B$3&amp;"|5|"&amp;G$74&amp;"|"&amp;$A84,'Master Data'!$A$2:$A$2436,0)),"")</f>
        <v>Sebagian</v>
      </c>
      <c r="Z84" s="61" t="str">
        <f aca="false">IFERROR(INDEX('Master Data'!$L$2:$L$2436,MATCH($B$3&amp;"|5|"&amp;H$74&amp;"|"&amp;$A84,'Master Data'!$A$2:$A$2436,0)),"")</f>
        <v>Slot kosong</v>
      </c>
    </row>
    <row r="85" customFormat="false" ht="30" hidden="false" customHeight="true" outlineLevel="0" collapsed="false">
      <c r="A85" s="59" t="s">
        <v>120</v>
      </c>
      <c r="B85" s="60" t="str">
        <f aca="false">IFERROR(INDEX('Master Data'!$M$2:$M$2436,MATCH($B$3&amp;"|5|"&amp;B$74&amp;"|"&amp;$A85,'Master Data'!$A$2:$A$2436,0)),"")</f>
        <v>Kids  1/4
coach: Dadi</v>
      </c>
      <c r="C85" s="60" t="str">
        <f aca="false">IFERROR(INDEX('Master Data'!$M$2:$M$2436,MATCH($B$3&amp;"|5|"&amp;C$74&amp;"|"&amp;$A85,'Master Data'!$A$2:$A$2436,0)),"")</f>
        <v>Kids  4/0
coach: Shofwan</v>
      </c>
      <c r="D85" s="60" t="str">
        <f aca="false">IFERROR(INDEX('Master Data'!$M$2:$M$2436,MATCH($B$3&amp;"|5|"&amp;D$74&amp;"|"&amp;$A85,'Master Data'!$A$2:$A$2436,0)),"")</f>
        <v>–</v>
      </c>
      <c r="E85" s="60" t="str">
        <f aca="false">IFERROR(INDEX('Master Data'!$M$2:$M$2436,MATCH($B$3&amp;"|5|"&amp;E$74&amp;"|"&amp;$A85,'Master Data'!$A$2:$A$2436,0)),"")</f>
        <v>Kids  4/0
coach: Indah</v>
      </c>
      <c r="F85" s="60" t="str">
        <f aca="false">IFERROR(INDEX('Master Data'!$M$2:$M$2436,MATCH($B$3&amp;"|5|"&amp;F$74&amp;"|"&amp;$A85,'Master Data'!$A$2:$A$2436,0)),"")</f>
        <v>Kids  4/4
coach: Zidan</v>
      </c>
      <c r="G85" s="60" t="str">
        <f aca="false">IFERROR(INDEX('Master Data'!$M$2:$M$2436,MATCH($B$3&amp;"|5|"&amp;G$74&amp;"|"&amp;$A85,'Master Data'!$A$2:$A$2436,0)),"")</f>
        <v>(tanpa age group)  0/4
coach: –</v>
      </c>
      <c r="H85" s="60" t="str">
        <f aca="false">IFERROR(INDEX('Master Data'!$M$2:$M$2436,MATCH($B$3&amp;"|5|"&amp;H$74&amp;"|"&amp;$A85,'Master Data'!$A$2:$A$2436,0)),"")</f>
        <v>Kids  4/4
coach: Indah</v>
      </c>
      <c r="T85" s="61" t="str">
        <f aca="false">IFERROR(INDEX('Master Data'!$L$2:$L$2436,MATCH($B$3&amp;"|5|"&amp;B$74&amp;"|"&amp;$A85,'Master Data'!$A$2:$A$2436,0)),"")</f>
        <v>Sebagian</v>
      </c>
      <c r="U85" s="61" t="str">
        <f aca="false">IFERROR(INDEX('Master Data'!$L$2:$L$2436,MATCH($B$3&amp;"|5|"&amp;C$74&amp;"|"&amp;$A85,'Master Data'!$A$2:$A$2436,0)),"")</f>
        <v>Lebih kapasitas</v>
      </c>
      <c r="V85" s="61" t="str">
        <f aca="false">IFERROR(INDEX('Master Data'!$L$2:$L$2436,MATCH($B$3&amp;"|5|"&amp;D$74&amp;"|"&amp;$A85,'Master Data'!$A$2:$A$2436,0)),"")</f>
        <v>Tidak dibuka</v>
      </c>
      <c r="W85" s="61" t="str">
        <f aca="false">IFERROR(INDEX('Master Data'!$L$2:$L$2436,MATCH($B$3&amp;"|5|"&amp;E$74&amp;"|"&amp;$A85,'Master Data'!$A$2:$A$2436,0)),"")</f>
        <v>Lebih kapasitas</v>
      </c>
      <c r="X85" s="61" t="str">
        <f aca="false">IFERROR(INDEX('Master Data'!$L$2:$L$2436,MATCH($B$3&amp;"|5|"&amp;F$74&amp;"|"&amp;$A85,'Master Data'!$A$2:$A$2436,0)),"")</f>
        <v>Penuh</v>
      </c>
      <c r="Y85" s="61" t="str">
        <f aca="false">IFERROR(INDEX('Master Data'!$L$2:$L$2436,MATCH($B$3&amp;"|5|"&amp;G$74&amp;"|"&amp;$A85,'Master Data'!$A$2:$A$2436,0)),"")</f>
        <v>Slot kosong</v>
      </c>
      <c r="Z85" s="61" t="str">
        <f aca="false">IFERROR(INDEX('Master Data'!$L$2:$L$2436,MATCH($B$3&amp;"|5|"&amp;H$74&amp;"|"&amp;$A85,'Master Data'!$A$2:$A$2436,0)),"")</f>
        <v>Penuh</v>
      </c>
    </row>
    <row r="86" customFormat="false" ht="30" hidden="false" customHeight="true" outlineLevel="0" collapsed="false">
      <c r="A86" s="59" t="s">
        <v>121</v>
      </c>
      <c r="B86" s="60" t="str">
        <f aca="false">IFERROR(INDEX('Master Data'!$M$2:$M$2436,MATCH($B$3&amp;"|5|"&amp;B$74&amp;"|"&amp;$A86,'Master Data'!$A$2:$A$2436,0)),"")</f>
        <v>Kids  1/4
coach: Dadi</v>
      </c>
      <c r="C86" s="60" t="str">
        <f aca="false">IFERROR(INDEX('Master Data'!$M$2:$M$2436,MATCH($B$3&amp;"|5|"&amp;C$74&amp;"|"&amp;$A86,'Master Data'!$A$2:$A$2436,0)),"")</f>
        <v>Kids  1/0
coach: Shofwan</v>
      </c>
      <c r="D86" s="60" t="str">
        <f aca="false">IFERROR(INDEX('Master Data'!$M$2:$M$2436,MATCH($B$3&amp;"|5|"&amp;D$74&amp;"|"&amp;$A86,'Master Data'!$A$2:$A$2436,0)),"")</f>
        <v>–</v>
      </c>
      <c r="E86" s="60" t="str">
        <f aca="false">IFERROR(INDEX('Master Data'!$M$2:$M$2436,MATCH($B$3&amp;"|5|"&amp;E$74&amp;"|"&amp;$A86,'Master Data'!$A$2:$A$2436,0)),"")</f>
        <v>Kids  4/0
coach: Indah</v>
      </c>
      <c r="F86" s="60" t="str">
        <f aca="false">IFERROR(INDEX('Master Data'!$M$2:$M$2436,MATCH($B$3&amp;"|5|"&amp;F$74&amp;"|"&amp;$A86,'Master Data'!$A$2:$A$2436,0)),"")</f>
        <v>Kids  3/4
coach: Kamal</v>
      </c>
      <c r="G86" s="60" t="str">
        <f aca="false">IFERROR(INDEX('Master Data'!$M$2:$M$2436,MATCH($B$3&amp;"|5|"&amp;G$74&amp;"|"&amp;$A86,'Master Data'!$A$2:$A$2436,0)),"")</f>
        <v>Kids  3/4
coach: Dadi</v>
      </c>
      <c r="H86" s="60" t="str">
        <f aca="false">IFERROR(INDEX('Master Data'!$M$2:$M$2436,MATCH($B$3&amp;"|5|"&amp;H$74&amp;"|"&amp;$A86,'Master Data'!$A$2:$A$2436,0)),"")</f>
        <v>(tanpa age group)  0/4
coach: –</v>
      </c>
      <c r="T86" s="61" t="str">
        <f aca="false">IFERROR(INDEX('Master Data'!$L$2:$L$2436,MATCH($B$3&amp;"|5|"&amp;B$74&amp;"|"&amp;$A86,'Master Data'!$A$2:$A$2436,0)),"")</f>
        <v>Sebagian</v>
      </c>
      <c r="U86" s="61" t="str">
        <f aca="false">IFERROR(INDEX('Master Data'!$L$2:$L$2436,MATCH($B$3&amp;"|5|"&amp;C$74&amp;"|"&amp;$A86,'Master Data'!$A$2:$A$2436,0)),"")</f>
        <v>Lebih kapasitas</v>
      </c>
      <c r="V86" s="61" t="str">
        <f aca="false">IFERROR(INDEX('Master Data'!$L$2:$L$2436,MATCH($B$3&amp;"|5|"&amp;D$74&amp;"|"&amp;$A86,'Master Data'!$A$2:$A$2436,0)),"")</f>
        <v>Tidak dibuka</v>
      </c>
      <c r="W86" s="61" t="str">
        <f aca="false">IFERROR(INDEX('Master Data'!$L$2:$L$2436,MATCH($B$3&amp;"|5|"&amp;E$74&amp;"|"&amp;$A86,'Master Data'!$A$2:$A$2436,0)),"")</f>
        <v>Lebih kapasitas</v>
      </c>
      <c r="X86" s="61" t="str">
        <f aca="false">IFERROR(INDEX('Master Data'!$L$2:$L$2436,MATCH($B$3&amp;"|5|"&amp;F$74&amp;"|"&amp;$A86,'Master Data'!$A$2:$A$2436,0)),"")</f>
        <v>Sebagian</v>
      </c>
      <c r="Y86" s="61" t="str">
        <f aca="false">IFERROR(INDEX('Master Data'!$L$2:$L$2436,MATCH($B$3&amp;"|5|"&amp;G$74&amp;"|"&amp;$A86,'Master Data'!$A$2:$A$2436,0)),"")</f>
        <v>Sebagian</v>
      </c>
      <c r="Z86" s="61" t="str">
        <f aca="false">IFERROR(INDEX('Master Data'!$L$2:$L$2436,MATCH($B$3&amp;"|5|"&amp;H$74&amp;"|"&amp;$A86,'Master Data'!$A$2:$A$2436,0)),"")</f>
        <v>Slot kosong</v>
      </c>
    </row>
    <row r="89" customFormat="false" ht="16.15" hidden="false" customHeight="false" outlineLevel="0" collapsed="false">
      <c r="A89" s="62" t="s">
        <v>124</v>
      </c>
      <c r="B89" s="63"/>
      <c r="C89" s="63"/>
      <c r="D89" s="63"/>
      <c r="E89" s="63"/>
      <c r="F89" s="63"/>
      <c r="G89" s="63"/>
      <c r="H89" s="63"/>
      <c r="I89" s="63"/>
      <c r="J89" s="63"/>
      <c r="K89" s="63"/>
      <c r="L89" s="63"/>
      <c r="M89" s="63"/>
      <c r="N89" s="63"/>
    </row>
    <row r="90" customFormat="false" ht="15" hidden="false" customHeight="false" outlineLevel="0" collapsed="false">
      <c r="A90" s="52" t="s">
        <v>125</v>
      </c>
    </row>
    <row r="91" customFormat="false" ht="31.5" hidden="false" customHeight="true" outlineLevel="0" collapsed="false">
      <c r="A91" s="64" t="s">
        <v>126</v>
      </c>
      <c r="B91" s="64" t="s">
        <v>127</v>
      </c>
      <c r="C91" s="64" t="s">
        <v>89</v>
      </c>
      <c r="D91" s="64" t="s">
        <v>128</v>
      </c>
      <c r="E91" s="64" t="s">
        <v>36</v>
      </c>
      <c r="F91" s="64" t="s">
        <v>129</v>
      </c>
      <c r="G91" s="64" t="s">
        <v>57</v>
      </c>
      <c r="H91" s="64" t="s">
        <v>130</v>
      </c>
      <c r="I91" s="64" t="s">
        <v>131</v>
      </c>
      <c r="J91" s="64" t="s">
        <v>132</v>
      </c>
      <c r="K91" s="65" t="s">
        <v>39</v>
      </c>
      <c r="L91" s="65" t="s">
        <v>41</v>
      </c>
      <c r="M91" s="65" t="s">
        <v>43</v>
      </c>
      <c r="N91" s="65" t="s">
        <v>45</v>
      </c>
      <c r="O91" s="65" t="s">
        <v>46</v>
      </c>
    </row>
    <row r="92" customFormat="false" ht="27.75" hidden="false" customHeight="true" outlineLevel="0" collapsed="false">
      <c r="A92" s="66" t="n">
        <v>1</v>
      </c>
      <c r="B92" s="67" t="s">
        <v>90</v>
      </c>
      <c r="C92" s="66" t="s">
        <v>111</v>
      </c>
      <c r="D92" s="66" t="n">
        <v>3</v>
      </c>
      <c r="E92" s="67" t="str">
        <f aca="false">IFERROR(INDEX('Master Data'!$L$2:$L$2436,MATCH($B$3&amp;"|"&amp;D92&amp;"|"&amp;B92&amp;"|"&amp;C92,'Master Data'!$A$2:$A$2436,0)),"")</f>
        <v>Belum terisi</v>
      </c>
      <c r="F92" s="67" t="str">
        <f aca="false">IFERROR(INDEX('Master Data'!$F$2:$F$2436,MATCH($B$3&amp;"|"&amp;D92&amp;"|"&amp;B92&amp;"|"&amp;C92,'Master Data'!$A$2:$A$2436,0))&amp;"","")</f>
        <v>Little</v>
      </c>
      <c r="G92" s="66" t="n">
        <f aca="false">IFERROR(INDEX('Master Data'!$G$2:$G$2436,MATCH($B$3&amp;"|"&amp;D92&amp;"|"&amp;B92&amp;"|"&amp;C92,'Master Data'!$A$2:$A$2436,0)),"")</f>
        <v>4</v>
      </c>
      <c r="H92" s="67" t="str">
        <f aca="false">IFERROR(INDEX('Master Data'!$K$2:$K$2436,MATCH($B$3&amp;"|"&amp;D92&amp;"|"&amp;B92&amp;"|"&amp;C92,'Master Data'!$A$2:$A$2436,0))&amp;"","")</f>
        <v/>
      </c>
      <c r="I92" s="67" t="s">
        <v>280</v>
      </c>
      <c r="J92" s="67" t="s">
        <v>134</v>
      </c>
      <c r="K92" s="68"/>
      <c r="L92" s="68"/>
      <c r="M92" s="68"/>
      <c r="N92" s="69"/>
      <c r="O92" s="68"/>
    </row>
    <row r="93" customFormat="false" ht="27.75" hidden="false" customHeight="true" outlineLevel="0" collapsed="false">
      <c r="A93" s="66" t="n">
        <v>2</v>
      </c>
      <c r="B93" s="67" t="s">
        <v>90</v>
      </c>
      <c r="C93" s="66" t="s">
        <v>111</v>
      </c>
      <c r="D93" s="66" t="n">
        <v>4</v>
      </c>
      <c r="E93" s="67" t="str">
        <f aca="false">IFERROR(INDEX('Master Data'!$L$2:$L$2436,MATCH($B$3&amp;"|"&amp;D93&amp;"|"&amp;B93&amp;"|"&amp;C93,'Master Data'!$A$2:$A$2436,0)),"")</f>
        <v>Belum terisi</v>
      </c>
      <c r="F93" s="67" t="str">
        <f aca="false">IFERROR(INDEX('Master Data'!$F$2:$F$2436,MATCH($B$3&amp;"|"&amp;D93&amp;"|"&amp;B93&amp;"|"&amp;C93,'Master Data'!$A$2:$A$2436,0))&amp;"","")</f>
        <v>Kids</v>
      </c>
      <c r="G93" s="66" t="n">
        <f aca="false">IFERROR(INDEX('Master Data'!$G$2:$G$2436,MATCH($B$3&amp;"|"&amp;D93&amp;"|"&amp;B93&amp;"|"&amp;C93,'Master Data'!$A$2:$A$2436,0)),"")</f>
        <v>4</v>
      </c>
      <c r="H93" s="67" t="str">
        <f aca="false">IFERROR(INDEX('Master Data'!$K$2:$K$2436,MATCH($B$3&amp;"|"&amp;D93&amp;"|"&amp;B93&amp;"|"&amp;C93,'Master Data'!$A$2:$A$2436,0))&amp;"","")</f>
        <v/>
      </c>
      <c r="I93" s="67" t="s">
        <v>280</v>
      </c>
      <c r="J93" s="67" t="s">
        <v>134</v>
      </c>
      <c r="K93" s="68"/>
      <c r="L93" s="68"/>
      <c r="M93" s="68"/>
      <c r="N93" s="69"/>
      <c r="O93" s="68"/>
    </row>
    <row r="94" customFormat="false" ht="15.75" hidden="false" customHeight="true" outlineLevel="0" collapsed="false">
      <c r="A94" s="66" t="n">
        <v>3</v>
      </c>
      <c r="B94" s="67" t="s">
        <v>90</v>
      </c>
      <c r="C94" s="66" t="s">
        <v>97</v>
      </c>
      <c r="D94" s="66" t="n">
        <v>2</v>
      </c>
      <c r="E94" s="67" t="str">
        <f aca="false">IFERROR(INDEX('Master Data'!$L$2:$L$2436,MATCH($B$3&amp;"|"&amp;D94&amp;"|"&amp;B94&amp;"|"&amp;C94,'Master Data'!$A$2:$A$2436,0)),"")</f>
        <v>Belum terisi</v>
      </c>
      <c r="F94" s="67" t="str">
        <f aca="false">IFERROR(INDEX('Master Data'!$F$2:$F$2436,MATCH($B$3&amp;"|"&amp;D94&amp;"|"&amp;B94&amp;"|"&amp;C94,'Master Data'!$A$2:$A$2436,0))&amp;"","")</f>
        <v>Tiny</v>
      </c>
      <c r="G94" s="66" t="n">
        <f aca="false">IFERROR(INDEX('Master Data'!$G$2:$G$2436,MATCH($B$3&amp;"|"&amp;D94&amp;"|"&amp;B94&amp;"|"&amp;C94,'Master Data'!$A$2:$A$2436,0)),"")</f>
        <v>5</v>
      </c>
      <c r="H94" s="67" t="str">
        <f aca="false">IFERROR(INDEX('Master Data'!$K$2:$K$2436,MATCH($B$3&amp;"|"&amp;D94&amp;"|"&amp;B94&amp;"|"&amp;C94,'Master Data'!$A$2:$A$2436,0))&amp;"","")</f>
        <v/>
      </c>
      <c r="I94" s="67" t="s">
        <v>281</v>
      </c>
      <c r="J94" s="67" t="s">
        <v>134</v>
      </c>
      <c r="K94" s="68"/>
      <c r="L94" s="68"/>
      <c r="M94" s="68"/>
      <c r="N94" s="69"/>
      <c r="O94" s="68"/>
    </row>
    <row r="95" customFormat="false" ht="15.75" hidden="false" customHeight="true" outlineLevel="0" collapsed="false">
      <c r="A95" s="66" t="n">
        <v>4</v>
      </c>
      <c r="B95" s="67" t="s">
        <v>90</v>
      </c>
      <c r="C95" s="66" t="s">
        <v>113</v>
      </c>
      <c r="D95" s="66" t="n">
        <v>4</v>
      </c>
      <c r="E95" s="67" t="str">
        <f aca="false">IFERROR(INDEX('Master Data'!$L$2:$L$2436,MATCH($B$3&amp;"|"&amp;D95&amp;"|"&amp;B95&amp;"|"&amp;C95,'Master Data'!$A$2:$A$2436,0)),"")</f>
        <v>Belum terisi</v>
      </c>
      <c r="F95" s="67" t="str">
        <f aca="false">IFERROR(INDEX('Master Data'!$F$2:$F$2436,MATCH($B$3&amp;"|"&amp;D95&amp;"|"&amp;B95&amp;"|"&amp;C95,'Master Data'!$A$2:$A$2436,0))&amp;"","")</f>
        <v>Kids</v>
      </c>
      <c r="G95" s="66" t="n">
        <f aca="false">IFERROR(INDEX('Master Data'!$G$2:$G$2436,MATCH($B$3&amp;"|"&amp;D95&amp;"|"&amp;B95&amp;"|"&amp;C95,'Master Data'!$A$2:$A$2436,0)),"")</f>
        <v>4</v>
      </c>
      <c r="H95" s="67" t="str">
        <f aca="false">IFERROR(INDEX('Master Data'!$K$2:$K$2436,MATCH($B$3&amp;"|"&amp;D95&amp;"|"&amp;B95&amp;"|"&amp;C95,'Master Data'!$A$2:$A$2436,0))&amp;"","")</f>
        <v/>
      </c>
      <c r="I95" s="67" t="s">
        <v>282</v>
      </c>
      <c r="J95" s="67" t="s">
        <v>203</v>
      </c>
      <c r="K95" s="68"/>
      <c r="L95" s="68"/>
      <c r="M95" s="68"/>
      <c r="N95" s="69"/>
      <c r="O95" s="68"/>
    </row>
    <row r="96" customFormat="false" ht="15.75" hidden="false" customHeight="true" outlineLevel="0" collapsed="false">
      <c r="A96" s="66" t="n">
        <v>5</v>
      </c>
      <c r="B96" s="67" t="s">
        <v>90</v>
      </c>
      <c r="C96" s="66" t="s">
        <v>99</v>
      </c>
      <c r="D96" s="66" t="n">
        <v>2</v>
      </c>
      <c r="E96" s="67" t="str">
        <f aca="false">IFERROR(INDEX('Master Data'!$L$2:$L$2436,MATCH($B$3&amp;"|"&amp;D96&amp;"|"&amp;B96&amp;"|"&amp;C96,'Master Data'!$A$2:$A$2436,0)),"")</f>
        <v>Belum terisi</v>
      </c>
      <c r="F96" s="67" t="str">
        <f aca="false">IFERROR(INDEX('Master Data'!$F$2:$F$2436,MATCH($B$3&amp;"|"&amp;D96&amp;"|"&amp;B96&amp;"|"&amp;C96,'Master Data'!$A$2:$A$2436,0))&amp;"","")</f>
        <v>Tiny</v>
      </c>
      <c r="G96" s="66" t="n">
        <f aca="false">IFERROR(INDEX('Master Data'!$G$2:$G$2436,MATCH($B$3&amp;"|"&amp;D96&amp;"|"&amp;B96&amp;"|"&amp;C96,'Master Data'!$A$2:$A$2436,0)),"")</f>
        <v>5</v>
      </c>
      <c r="H96" s="67" t="str">
        <f aca="false">IFERROR(INDEX('Master Data'!$K$2:$K$2436,MATCH($B$3&amp;"|"&amp;D96&amp;"|"&amp;B96&amp;"|"&amp;C96,'Master Data'!$A$2:$A$2436,0))&amp;"","")</f>
        <v/>
      </c>
      <c r="I96" s="67" t="s">
        <v>282</v>
      </c>
      <c r="J96" s="67" t="s">
        <v>144</v>
      </c>
      <c r="K96" s="68"/>
      <c r="L96" s="68"/>
      <c r="M96" s="68"/>
      <c r="N96" s="69"/>
      <c r="O96" s="68"/>
    </row>
    <row r="97" customFormat="false" ht="27.75" hidden="false" customHeight="true" outlineLevel="0" collapsed="false">
      <c r="A97" s="66" t="n">
        <v>6</v>
      </c>
      <c r="B97" s="67" t="s">
        <v>90</v>
      </c>
      <c r="C97" s="66" t="s">
        <v>114</v>
      </c>
      <c r="D97" s="66" t="n">
        <v>4</v>
      </c>
      <c r="E97" s="67" t="str">
        <f aca="false">IFERROR(INDEX('Master Data'!$L$2:$L$2436,MATCH($B$3&amp;"|"&amp;D97&amp;"|"&amp;B97&amp;"|"&amp;C97,'Master Data'!$A$2:$A$2436,0)),"")</f>
        <v>Belum terisi</v>
      </c>
      <c r="F97" s="67" t="str">
        <f aca="false">IFERROR(INDEX('Master Data'!$F$2:$F$2436,MATCH($B$3&amp;"|"&amp;D97&amp;"|"&amp;B97&amp;"|"&amp;C97,'Master Data'!$A$2:$A$2436,0))&amp;"","")</f>
        <v>Kids</v>
      </c>
      <c r="G97" s="66" t="n">
        <f aca="false">IFERROR(INDEX('Master Data'!$G$2:$G$2436,MATCH($B$3&amp;"|"&amp;D97&amp;"|"&amp;B97&amp;"|"&amp;C97,'Master Data'!$A$2:$A$2436,0)),"")</f>
        <v>4</v>
      </c>
      <c r="H97" s="67" t="str">
        <f aca="false">IFERROR(INDEX('Master Data'!$K$2:$K$2436,MATCH($B$3&amp;"|"&amp;D97&amp;"|"&amp;B97&amp;"|"&amp;C97,'Master Data'!$A$2:$A$2436,0))&amp;"","")</f>
        <v/>
      </c>
      <c r="I97" s="67" t="s">
        <v>280</v>
      </c>
      <c r="J97" s="67" t="s">
        <v>134</v>
      </c>
      <c r="K97" s="68"/>
      <c r="L97" s="68"/>
      <c r="M97" s="68"/>
      <c r="N97" s="69"/>
      <c r="O97" s="68"/>
    </row>
    <row r="98" customFormat="false" ht="27.75" hidden="false" customHeight="true" outlineLevel="0" collapsed="false">
      <c r="A98" s="66" t="n">
        <v>7</v>
      </c>
      <c r="B98" s="67" t="s">
        <v>90</v>
      </c>
      <c r="C98" s="66" t="s">
        <v>100</v>
      </c>
      <c r="D98" s="66" t="n">
        <v>1</v>
      </c>
      <c r="E98" s="67" t="str">
        <f aca="false">IFERROR(INDEX('Master Data'!$L$2:$L$2436,MATCH($B$3&amp;"|"&amp;D98&amp;"|"&amp;B98&amp;"|"&amp;C98,'Master Data'!$A$2:$A$2436,0)),"")</f>
        <v>Belum terisi</v>
      </c>
      <c r="F98" s="67" t="str">
        <f aca="false">IFERROR(INDEX('Master Data'!$F$2:$F$2436,MATCH($B$3&amp;"|"&amp;D98&amp;"|"&amp;B98&amp;"|"&amp;C98,'Master Data'!$A$2:$A$2436,0))&amp;"","")</f>
        <v>Baby</v>
      </c>
      <c r="G98" s="66" t="n">
        <f aca="false">IFERROR(INDEX('Master Data'!$G$2:$G$2436,MATCH($B$3&amp;"|"&amp;D98&amp;"|"&amp;B98&amp;"|"&amp;C98,'Master Data'!$A$2:$A$2436,0)),"")</f>
        <v>5</v>
      </c>
      <c r="H98" s="67" t="str">
        <f aca="false">IFERROR(INDEX('Master Data'!$K$2:$K$2436,MATCH($B$3&amp;"|"&amp;D98&amp;"|"&amp;B98&amp;"|"&amp;C98,'Master Data'!$A$2:$A$2436,0))&amp;"","")</f>
        <v/>
      </c>
      <c r="I98" s="67" t="s">
        <v>280</v>
      </c>
      <c r="J98" s="67" t="s">
        <v>134</v>
      </c>
      <c r="K98" s="68"/>
      <c r="L98" s="68"/>
      <c r="M98" s="68"/>
      <c r="N98" s="69"/>
      <c r="O98" s="68"/>
    </row>
    <row r="99" customFormat="false" ht="27.75" hidden="false" customHeight="true" outlineLevel="0" collapsed="false">
      <c r="A99" s="66" t="n">
        <v>8</v>
      </c>
      <c r="B99" s="67" t="s">
        <v>90</v>
      </c>
      <c r="C99" s="66" t="s">
        <v>100</v>
      </c>
      <c r="D99" s="66" t="n">
        <v>2</v>
      </c>
      <c r="E99" s="67" t="str">
        <f aca="false">IFERROR(INDEX('Master Data'!$L$2:$L$2436,MATCH($B$3&amp;"|"&amp;D99&amp;"|"&amp;B99&amp;"|"&amp;C99,'Master Data'!$A$2:$A$2436,0)),"")</f>
        <v>Belum terisi</v>
      </c>
      <c r="F99" s="67" t="str">
        <f aca="false">IFERROR(INDEX('Master Data'!$F$2:$F$2436,MATCH($B$3&amp;"|"&amp;D99&amp;"|"&amp;B99&amp;"|"&amp;C99,'Master Data'!$A$2:$A$2436,0))&amp;"","")</f>
        <v>Tiny</v>
      </c>
      <c r="G99" s="66" t="n">
        <f aca="false">IFERROR(INDEX('Master Data'!$G$2:$G$2436,MATCH($B$3&amp;"|"&amp;D99&amp;"|"&amp;B99&amp;"|"&amp;C99,'Master Data'!$A$2:$A$2436,0)),"")</f>
        <v>5</v>
      </c>
      <c r="H99" s="67" t="str">
        <f aca="false">IFERROR(INDEX('Master Data'!$K$2:$K$2436,MATCH($B$3&amp;"|"&amp;D99&amp;"|"&amp;B99&amp;"|"&amp;C99,'Master Data'!$A$2:$A$2436,0))&amp;"","")</f>
        <v/>
      </c>
      <c r="I99" s="67" t="s">
        <v>280</v>
      </c>
      <c r="J99" s="67" t="s">
        <v>134</v>
      </c>
      <c r="K99" s="68"/>
      <c r="L99" s="68"/>
      <c r="M99" s="68"/>
      <c r="N99" s="69"/>
      <c r="O99" s="68"/>
    </row>
    <row r="100" customFormat="false" ht="27.75" hidden="false" customHeight="true" outlineLevel="0" collapsed="false">
      <c r="A100" s="66" t="n">
        <v>9</v>
      </c>
      <c r="B100" s="67" t="s">
        <v>90</v>
      </c>
      <c r="C100" s="66" t="s">
        <v>116</v>
      </c>
      <c r="D100" s="66" t="n">
        <v>3</v>
      </c>
      <c r="E100" s="67" t="str">
        <f aca="false">IFERROR(INDEX('Master Data'!$L$2:$L$2436,MATCH($B$3&amp;"|"&amp;D100&amp;"|"&amp;B100&amp;"|"&amp;C100,'Master Data'!$A$2:$A$2436,0)),"")</f>
        <v>Belum terisi</v>
      </c>
      <c r="F100" s="67" t="str">
        <f aca="false">IFERROR(INDEX('Master Data'!$F$2:$F$2436,MATCH($B$3&amp;"|"&amp;D100&amp;"|"&amp;B100&amp;"|"&amp;C100,'Master Data'!$A$2:$A$2436,0))&amp;"","")</f>
        <v>Little</v>
      </c>
      <c r="G100" s="66" t="n">
        <f aca="false">IFERROR(INDEX('Master Data'!$G$2:$G$2436,MATCH($B$3&amp;"|"&amp;D100&amp;"|"&amp;B100&amp;"|"&amp;C100,'Master Data'!$A$2:$A$2436,0)),"")</f>
        <v>4</v>
      </c>
      <c r="H100" s="67" t="str">
        <f aca="false">IFERROR(INDEX('Master Data'!$K$2:$K$2436,MATCH($B$3&amp;"|"&amp;D100&amp;"|"&amp;B100&amp;"|"&amp;C100,'Master Data'!$A$2:$A$2436,0))&amp;"","")</f>
        <v/>
      </c>
      <c r="I100" s="67" t="s">
        <v>280</v>
      </c>
      <c r="J100" s="67" t="s">
        <v>134</v>
      </c>
      <c r="K100" s="68"/>
      <c r="L100" s="68"/>
      <c r="M100" s="68"/>
      <c r="N100" s="69"/>
      <c r="O100" s="68"/>
    </row>
    <row r="101" customFormat="false" ht="15.75" hidden="false" customHeight="true" outlineLevel="0" collapsed="false">
      <c r="A101" s="66" t="n">
        <v>10</v>
      </c>
      <c r="B101" s="67" t="s">
        <v>90</v>
      </c>
      <c r="C101" s="66" t="s">
        <v>102</v>
      </c>
      <c r="D101" s="66" t="n">
        <v>1</v>
      </c>
      <c r="E101" s="67" t="str">
        <f aca="false">IFERROR(INDEX('Master Data'!$L$2:$L$2436,MATCH($B$3&amp;"|"&amp;D101&amp;"|"&amp;B101&amp;"|"&amp;C101,'Master Data'!$A$2:$A$2436,0)),"")</f>
        <v>Belum terisi</v>
      </c>
      <c r="F101" s="67" t="str">
        <f aca="false">IFERROR(INDEX('Master Data'!$F$2:$F$2436,MATCH($B$3&amp;"|"&amp;D101&amp;"|"&amp;B101&amp;"|"&amp;C101,'Master Data'!$A$2:$A$2436,0))&amp;"","")</f>
        <v>Baby</v>
      </c>
      <c r="G101" s="66" t="n">
        <f aca="false">IFERROR(INDEX('Master Data'!$G$2:$G$2436,MATCH($B$3&amp;"|"&amp;D101&amp;"|"&amp;B101&amp;"|"&amp;C101,'Master Data'!$A$2:$A$2436,0)),"")</f>
        <v>5</v>
      </c>
      <c r="H101" s="67" t="str">
        <f aca="false">IFERROR(INDEX('Master Data'!$K$2:$K$2436,MATCH($B$3&amp;"|"&amp;D101&amp;"|"&amp;B101&amp;"|"&amp;C101,'Master Data'!$A$2:$A$2436,0))&amp;"","")</f>
        <v/>
      </c>
      <c r="I101" s="67" t="s">
        <v>282</v>
      </c>
      <c r="J101" s="67" t="s">
        <v>221</v>
      </c>
      <c r="K101" s="68"/>
      <c r="L101" s="68"/>
      <c r="M101" s="68"/>
      <c r="N101" s="69"/>
      <c r="O101" s="68"/>
    </row>
    <row r="102" customFormat="false" ht="15.75" hidden="false" customHeight="true" outlineLevel="0" collapsed="false">
      <c r="A102" s="66" t="n">
        <v>11</v>
      </c>
      <c r="B102" s="67" t="s">
        <v>90</v>
      </c>
      <c r="C102" s="66" t="s">
        <v>102</v>
      </c>
      <c r="D102" s="66" t="n">
        <v>2</v>
      </c>
      <c r="E102" s="67" t="str">
        <f aca="false">IFERROR(INDEX('Master Data'!$L$2:$L$2436,MATCH($B$3&amp;"|"&amp;D102&amp;"|"&amp;B102&amp;"|"&amp;C102,'Master Data'!$A$2:$A$2436,0)),"")</f>
        <v>Belum terisi</v>
      </c>
      <c r="F102" s="67" t="str">
        <f aca="false">IFERROR(INDEX('Master Data'!$F$2:$F$2436,MATCH($B$3&amp;"|"&amp;D102&amp;"|"&amp;B102&amp;"|"&amp;C102,'Master Data'!$A$2:$A$2436,0))&amp;"","")</f>
        <v>Tiny</v>
      </c>
      <c r="G102" s="66" t="n">
        <f aca="false">IFERROR(INDEX('Master Data'!$G$2:$G$2436,MATCH($B$3&amp;"|"&amp;D102&amp;"|"&amp;B102&amp;"|"&amp;C102,'Master Data'!$A$2:$A$2436,0)),"")</f>
        <v>5</v>
      </c>
      <c r="H102" s="67" t="str">
        <f aca="false">IFERROR(INDEX('Master Data'!$K$2:$K$2436,MATCH($B$3&amp;"|"&amp;D102&amp;"|"&amp;B102&amp;"|"&amp;C102,'Master Data'!$A$2:$A$2436,0))&amp;"","")</f>
        <v/>
      </c>
      <c r="I102" s="67" t="s">
        <v>282</v>
      </c>
      <c r="J102" s="67" t="s">
        <v>144</v>
      </c>
      <c r="K102" s="68"/>
      <c r="L102" s="68"/>
      <c r="M102" s="68"/>
      <c r="N102" s="69"/>
      <c r="O102" s="68"/>
    </row>
    <row r="103" customFormat="false" ht="27.75" hidden="false" customHeight="true" outlineLevel="0" collapsed="false">
      <c r="A103" s="66" t="n">
        <v>12</v>
      </c>
      <c r="B103" s="67" t="s">
        <v>90</v>
      </c>
      <c r="C103" s="66" t="s">
        <v>117</v>
      </c>
      <c r="D103" s="66" t="n">
        <v>3</v>
      </c>
      <c r="E103" s="67" t="str">
        <f aca="false">IFERROR(INDEX('Master Data'!$L$2:$L$2436,MATCH($B$3&amp;"|"&amp;D103&amp;"|"&amp;B103&amp;"|"&amp;C103,'Master Data'!$A$2:$A$2436,0)),"")</f>
        <v>Belum terisi</v>
      </c>
      <c r="F103" s="67" t="str">
        <f aca="false">IFERROR(INDEX('Master Data'!$F$2:$F$2436,MATCH($B$3&amp;"|"&amp;D103&amp;"|"&amp;B103&amp;"|"&amp;C103,'Master Data'!$A$2:$A$2436,0))&amp;"","")</f>
        <v>Little</v>
      </c>
      <c r="G103" s="66" t="n">
        <f aca="false">IFERROR(INDEX('Master Data'!$G$2:$G$2436,MATCH($B$3&amp;"|"&amp;D103&amp;"|"&amp;B103&amp;"|"&amp;C103,'Master Data'!$A$2:$A$2436,0)),"")</f>
        <v>4</v>
      </c>
      <c r="H103" s="67" t="str">
        <f aca="false">IFERROR(INDEX('Master Data'!$K$2:$K$2436,MATCH($B$3&amp;"|"&amp;D103&amp;"|"&amp;B103&amp;"|"&amp;C103,'Master Data'!$A$2:$A$2436,0))&amp;"","")</f>
        <v/>
      </c>
      <c r="I103" s="67" t="s">
        <v>283</v>
      </c>
      <c r="J103" s="67" t="s">
        <v>134</v>
      </c>
      <c r="K103" s="68"/>
      <c r="L103" s="68"/>
      <c r="M103" s="68"/>
      <c r="N103" s="69"/>
      <c r="O103" s="68"/>
    </row>
    <row r="104" customFormat="false" ht="15.75" hidden="false" customHeight="true" outlineLevel="0" collapsed="false">
      <c r="A104" s="66" t="n">
        <v>13</v>
      </c>
      <c r="B104" s="67" t="s">
        <v>90</v>
      </c>
      <c r="C104" s="66" t="s">
        <v>103</v>
      </c>
      <c r="D104" s="66" t="n">
        <v>1</v>
      </c>
      <c r="E104" s="67" t="str">
        <f aca="false">IFERROR(INDEX('Master Data'!$L$2:$L$2436,MATCH($B$3&amp;"|"&amp;D104&amp;"|"&amp;B104&amp;"|"&amp;C104,'Master Data'!$A$2:$A$2436,0)),"")</f>
        <v>Belum terisi</v>
      </c>
      <c r="F104" s="67" t="str">
        <f aca="false">IFERROR(INDEX('Master Data'!$F$2:$F$2436,MATCH($B$3&amp;"|"&amp;D104&amp;"|"&amp;B104&amp;"|"&amp;C104,'Master Data'!$A$2:$A$2436,0))&amp;"","")</f>
        <v>Baby</v>
      </c>
      <c r="G104" s="66" t="n">
        <f aca="false">IFERROR(INDEX('Master Data'!$G$2:$G$2436,MATCH($B$3&amp;"|"&amp;D104&amp;"|"&amp;B104&amp;"|"&amp;C104,'Master Data'!$A$2:$A$2436,0)),"")</f>
        <v>5</v>
      </c>
      <c r="H104" s="67" t="str">
        <f aca="false">IFERROR(INDEX('Master Data'!$K$2:$K$2436,MATCH($B$3&amp;"|"&amp;D104&amp;"|"&amp;B104&amp;"|"&amp;C104,'Master Data'!$A$2:$A$2436,0))&amp;"","")</f>
        <v/>
      </c>
      <c r="I104" s="67" t="s">
        <v>282</v>
      </c>
      <c r="J104" s="67" t="s">
        <v>221</v>
      </c>
      <c r="K104" s="68"/>
      <c r="L104" s="68"/>
      <c r="M104" s="68"/>
      <c r="N104" s="69"/>
      <c r="O104" s="68"/>
    </row>
    <row r="105" customFormat="false" ht="15.75" hidden="false" customHeight="true" outlineLevel="0" collapsed="false">
      <c r="A105" s="66" t="n">
        <v>14</v>
      </c>
      <c r="B105" s="67" t="s">
        <v>90</v>
      </c>
      <c r="C105" s="66" t="s">
        <v>103</v>
      </c>
      <c r="D105" s="66" t="n">
        <v>2</v>
      </c>
      <c r="E105" s="67" t="str">
        <f aca="false">IFERROR(INDEX('Master Data'!$L$2:$L$2436,MATCH($B$3&amp;"|"&amp;D105&amp;"|"&amp;B105&amp;"|"&amp;C105,'Master Data'!$A$2:$A$2436,0)),"")</f>
        <v>Belum terisi</v>
      </c>
      <c r="F105" s="67" t="str">
        <f aca="false">IFERROR(INDEX('Master Data'!$F$2:$F$2436,MATCH($B$3&amp;"|"&amp;D105&amp;"|"&amp;B105&amp;"|"&amp;C105,'Master Data'!$A$2:$A$2436,0))&amp;"","")</f>
        <v>Tiny</v>
      </c>
      <c r="G105" s="66" t="n">
        <f aca="false">IFERROR(INDEX('Master Data'!$G$2:$G$2436,MATCH($B$3&amp;"|"&amp;D105&amp;"|"&amp;B105&amp;"|"&amp;C105,'Master Data'!$A$2:$A$2436,0)),"")</f>
        <v>5</v>
      </c>
      <c r="H105" s="67" t="str">
        <f aca="false">IFERROR(INDEX('Master Data'!$K$2:$K$2436,MATCH($B$3&amp;"|"&amp;D105&amp;"|"&amp;B105&amp;"|"&amp;C105,'Master Data'!$A$2:$A$2436,0))&amp;"","")</f>
        <v/>
      </c>
      <c r="I105" s="67" t="s">
        <v>282</v>
      </c>
      <c r="J105" s="67" t="s">
        <v>144</v>
      </c>
      <c r="K105" s="68"/>
      <c r="L105" s="68"/>
      <c r="M105" s="68"/>
      <c r="N105" s="69"/>
      <c r="O105" s="68"/>
    </row>
    <row r="106" customFormat="false" ht="27.75" hidden="false" customHeight="true" outlineLevel="0" collapsed="false">
      <c r="A106" s="66" t="n">
        <v>15</v>
      </c>
      <c r="B106" s="67" t="s">
        <v>90</v>
      </c>
      <c r="C106" s="66" t="s">
        <v>118</v>
      </c>
      <c r="D106" s="66" t="n">
        <v>3</v>
      </c>
      <c r="E106" s="67" t="str">
        <f aca="false">IFERROR(INDEX('Master Data'!$L$2:$L$2436,MATCH($B$3&amp;"|"&amp;D106&amp;"|"&amp;B106&amp;"|"&amp;C106,'Master Data'!$A$2:$A$2436,0)),"")</f>
        <v>Belum terisi</v>
      </c>
      <c r="F106" s="67" t="str">
        <f aca="false">IFERROR(INDEX('Master Data'!$F$2:$F$2436,MATCH($B$3&amp;"|"&amp;D106&amp;"|"&amp;B106&amp;"|"&amp;C106,'Master Data'!$A$2:$A$2436,0))&amp;"","")</f>
        <v>Little</v>
      </c>
      <c r="G106" s="66" t="n">
        <f aca="false">IFERROR(INDEX('Master Data'!$G$2:$G$2436,MATCH($B$3&amp;"|"&amp;D106&amp;"|"&amp;B106&amp;"|"&amp;C106,'Master Data'!$A$2:$A$2436,0)),"")</f>
        <v>4</v>
      </c>
      <c r="H106" s="67" t="str">
        <f aca="false">IFERROR(INDEX('Master Data'!$K$2:$K$2436,MATCH($B$3&amp;"|"&amp;D106&amp;"|"&amp;B106&amp;"|"&amp;C106,'Master Data'!$A$2:$A$2436,0))&amp;"","")</f>
        <v/>
      </c>
      <c r="I106" s="67" t="s">
        <v>280</v>
      </c>
      <c r="J106" s="67" t="s">
        <v>134</v>
      </c>
      <c r="K106" s="68"/>
      <c r="L106" s="68"/>
      <c r="M106" s="68"/>
      <c r="N106" s="69"/>
      <c r="O106" s="68"/>
    </row>
    <row r="107" customFormat="false" ht="15.75" hidden="false" customHeight="true" outlineLevel="0" collapsed="false">
      <c r="A107" s="66" t="n">
        <v>16</v>
      </c>
      <c r="B107" s="67" t="s">
        <v>90</v>
      </c>
      <c r="C107" s="66" t="s">
        <v>104</v>
      </c>
      <c r="D107" s="66" t="n">
        <v>1</v>
      </c>
      <c r="E107" s="67" t="str">
        <f aca="false">IFERROR(INDEX('Master Data'!$L$2:$L$2436,MATCH($B$3&amp;"|"&amp;D107&amp;"|"&amp;B107&amp;"|"&amp;C107,'Master Data'!$A$2:$A$2436,0)),"")</f>
        <v>Slot kosong</v>
      </c>
      <c r="F107" s="67" t="str">
        <f aca="false">IFERROR(INDEX('Master Data'!$F$2:$F$2436,MATCH($B$3&amp;"|"&amp;D107&amp;"|"&amp;B107&amp;"|"&amp;C107,'Master Data'!$A$2:$A$2436,0))&amp;"","")</f>
        <v/>
      </c>
      <c r="G107" s="66" t="n">
        <f aca="false">IFERROR(INDEX('Master Data'!$G$2:$G$2436,MATCH($B$3&amp;"|"&amp;D107&amp;"|"&amp;B107&amp;"|"&amp;C107,'Master Data'!$A$2:$A$2436,0)),"")</f>
        <v>5</v>
      </c>
      <c r="H107" s="67" t="str">
        <f aca="false">IFERROR(INDEX('Master Data'!$K$2:$K$2436,MATCH($B$3&amp;"|"&amp;D107&amp;"|"&amp;B107&amp;"|"&amp;C107,'Master Data'!$A$2:$A$2436,0))&amp;"","")</f>
        <v/>
      </c>
      <c r="I107" s="70" t="s">
        <v>154</v>
      </c>
      <c r="J107" s="67" t="s">
        <v>155</v>
      </c>
      <c r="K107" s="68"/>
      <c r="L107" s="68"/>
      <c r="M107" s="68"/>
      <c r="N107" s="69"/>
      <c r="O107" s="68"/>
    </row>
    <row r="108" customFormat="false" ht="15.75" hidden="false" customHeight="true" outlineLevel="0" collapsed="false">
      <c r="A108" s="66" t="n">
        <v>17</v>
      </c>
      <c r="B108" s="67" t="s">
        <v>90</v>
      </c>
      <c r="C108" s="66" t="s">
        <v>105</v>
      </c>
      <c r="D108" s="66" t="n">
        <v>1</v>
      </c>
      <c r="E108" s="67" t="str">
        <f aca="false">IFERROR(INDEX('Master Data'!$L$2:$L$2436,MATCH($B$3&amp;"|"&amp;D108&amp;"|"&amp;B108&amp;"|"&amp;C108,'Master Data'!$A$2:$A$2436,0)),"")</f>
        <v>Slot kosong</v>
      </c>
      <c r="F108" s="67" t="str">
        <f aca="false">IFERROR(INDEX('Master Data'!$F$2:$F$2436,MATCH($B$3&amp;"|"&amp;D108&amp;"|"&amp;B108&amp;"|"&amp;C108,'Master Data'!$A$2:$A$2436,0))&amp;"","")</f>
        <v/>
      </c>
      <c r="G108" s="66" t="n">
        <f aca="false">IFERROR(INDEX('Master Data'!$G$2:$G$2436,MATCH($B$3&amp;"|"&amp;D108&amp;"|"&amp;B108&amp;"|"&amp;C108,'Master Data'!$A$2:$A$2436,0)),"")</f>
        <v>5</v>
      </c>
      <c r="H108" s="67" t="str">
        <f aca="false">IFERROR(INDEX('Master Data'!$K$2:$K$2436,MATCH($B$3&amp;"|"&amp;D108&amp;"|"&amp;B108&amp;"|"&amp;C108,'Master Data'!$A$2:$A$2436,0))&amp;"","")</f>
        <v/>
      </c>
      <c r="I108" s="70" t="s">
        <v>154</v>
      </c>
      <c r="J108" s="67" t="s">
        <v>155</v>
      </c>
      <c r="K108" s="68"/>
      <c r="L108" s="68"/>
      <c r="M108" s="68"/>
      <c r="N108" s="69"/>
      <c r="O108" s="68"/>
    </row>
    <row r="109" customFormat="false" ht="15.75" hidden="false" customHeight="true" outlineLevel="0" collapsed="false">
      <c r="A109" s="66" t="n">
        <v>18</v>
      </c>
      <c r="B109" s="67" t="s">
        <v>90</v>
      </c>
      <c r="C109" s="66" t="s">
        <v>106</v>
      </c>
      <c r="D109" s="66" t="n">
        <v>1</v>
      </c>
      <c r="E109" s="67" t="str">
        <f aca="false">IFERROR(INDEX('Master Data'!$L$2:$L$2436,MATCH($B$3&amp;"|"&amp;D109&amp;"|"&amp;B109&amp;"|"&amp;C109,'Master Data'!$A$2:$A$2436,0)),"")</f>
        <v>Slot kosong</v>
      </c>
      <c r="F109" s="67" t="str">
        <f aca="false">IFERROR(INDEX('Master Data'!$F$2:$F$2436,MATCH($B$3&amp;"|"&amp;D109&amp;"|"&amp;B109&amp;"|"&amp;C109,'Master Data'!$A$2:$A$2436,0))&amp;"","")</f>
        <v/>
      </c>
      <c r="G109" s="66" t="n">
        <f aca="false">IFERROR(INDEX('Master Data'!$G$2:$G$2436,MATCH($B$3&amp;"|"&amp;D109&amp;"|"&amp;B109&amp;"|"&amp;C109,'Master Data'!$A$2:$A$2436,0)),"")</f>
        <v>5</v>
      </c>
      <c r="H109" s="67" t="str">
        <f aca="false">IFERROR(INDEX('Master Data'!$K$2:$K$2436,MATCH($B$3&amp;"|"&amp;D109&amp;"|"&amp;B109&amp;"|"&amp;C109,'Master Data'!$A$2:$A$2436,0))&amp;"","")</f>
        <v/>
      </c>
      <c r="I109" s="70" t="s">
        <v>154</v>
      </c>
      <c r="J109" s="67" t="s">
        <v>155</v>
      </c>
      <c r="K109" s="68"/>
      <c r="L109" s="68"/>
      <c r="M109" s="68"/>
      <c r="N109" s="69"/>
      <c r="O109" s="68"/>
    </row>
    <row r="110" customFormat="false" ht="15.75" hidden="false" customHeight="true" outlineLevel="0" collapsed="false">
      <c r="A110" s="66" t="n">
        <v>19</v>
      </c>
      <c r="B110" s="67" t="s">
        <v>90</v>
      </c>
      <c r="C110" s="66" t="s">
        <v>106</v>
      </c>
      <c r="D110" s="66" t="n">
        <v>2</v>
      </c>
      <c r="E110" s="67" t="str">
        <f aca="false">IFERROR(INDEX('Master Data'!$L$2:$L$2436,MATCH($B$3&amp;"|"&amp;D110&amp;"|"&amp;B110&amp;"|"&amp;C110,'Master Data'!$A$2:$A$2436,0)),"")</f>
        <v>Slot kosong</v>
      </c>
      <c r="F110" s="67" t="str">
        <f aca="false">IFERROR(INDEX('Master Data'!$F$2:$F$2436,MATCH($B$3&amp;"|"&amp;D110&amp;"|"&amp;B110&amp;"|"&amp;C110,'Master Data'!$A$2:$A$2436,0))&amp;"","")</f>
        <v/>
      </c>
      <c r="G110" s="66" t="n">
        <f aca="false">IFERROR(INDEX('Master Data'!$G$2:$G$2436,MATCH($B$3&amp;"|"&amp;D110&amp;"|"&amp;B110&amp;"|"&amp;C110,'Master Data'!$A$2:$A$2436,0)),"")</f>
        <v>5</v>
      </c>
      <c r="H110" s="67" t="str">
        <f aca="false">IFERROR(INDEX('Master Data'!$K$2:$K$2436,MATCH($B$3&amp;"|"&amp;D110&amp;"|"&amp;B110&amp;"|"&amp;C110,'Master Data'!$A$2:$A$2436,0))&amp;"","")</f>
        <v/>
      </c>
      <c r="I110" s="70" t="s">
        <v>154</v>
      </c>
      <c r="J110" s="67" t="s">
        <v>155</v>
      </c>
      <c r="K110" s="68"/>
      <c r="L110" s="68"/>
      <c r="M110" s="68"/>
      <c r="N110" s="69"/>
      <c r="O110" s="68"/>
    </row>
    <row r="111" customFormat="false" ht="15.75" hidden="false" customHeight="true" outlineLevel="0" collapsed="false">
      <c r="A111" s="66" t="n">
        <v>20</v>
      </c>
      <c r="B111" s="67" t="s">
        <v>90</v>
      </c>
      <c r="C111" s="66" t="s">
        <v>121</v>
      </c>
      <c r="D111" s="66" t="n">
        <v>3</v>
      </c>
      <c r="E111" s="67" t="str">
        <f aca="false">IFERROR(INDEX('Master Data'!$L$2:$L$2436,MATCH($B$3&amp;"|"&amp;D111&amp;"|"&amp;B111&amp;"|"&amp;C111,'Master Data'!$A$2:$A$2436,0)),"")</f>
        <v>Belum terisi</v>
      </c>
      <c r="F111" s="67" t="str">
        <f aca="false">IFERROR(INDEX('Master Data'!$F$2:$F$2436,MATCH($B$3&amp;"|"&amp;D111&amp;"|"&amp;B111&amp;"|"&amp;C111,'Master Data'!$A$2:$A$2436,0))&amp;"","")</f>
        <v>Little</v>
      </c>
      <c r="G111" s="66" t="n">
        <f aca="false">IFERROR(INDEX('Master Data'!$G$2:$G$2436,MATCH($B$3&amp;"|"&amp;D111&amp;"|"&amp;B111&amp;"|"&amp;C111,'Master Data'!$A$2:$A$2436,0)),"")</f>
        <v>4</v>
      </c>
      <c r="H111" s="67" t="str">
        <f aca="false">IFERROR(INDEX('Master Data'!$K$2:$K$2436,MATCH($B$3&amp;"|"&amp;D111&amp;"|"&amp;B111&amp;"|"&amp;C111,'Master Data'!$A$2:$A$2436,0))&amp;"","")</f>
        <v/>
      </c>
      <c r="I111" s="67" t="s">
        <v>284</v>
      </c>
      <c r="J111" s="67" t="s">
        <v>134</v>
      </c>
      <c r="K111" s="68"/>
      <c r="L111" s="68"/>
      <c r="M111" s="68"/>
      <c r="N111" s="69"/>
      <c r="O111" s="68"/>
    </row>
    <row r="112" customFormat="false" ht="15.75" hidden="false" customHeight="true" outlineLevel="0" collapsed="false">
      <c r="A112" s="66" t="n">
        <v>21</v>
      </c>
      <c r="B112" s="67" t="s">
        <v>90</v>
      </c>
      <c r="C112" s="66" t="s">
        <v>107</v>
      </c>
      <c r="D112" s="66" t="n">
        <v>1</v>
      </c>
      <c r="E112" s="67" t="str">
        <f aca="false">IFERROR(INDEX('Master Data'!$L$2:$L$2436,MATCH($B$3&amp;"|"&amp;D112&amp;"|"&amp;B112&amp;"|"&amp;C112,'Master Data'!$A$2:$A$2436,0)),"")</f>
        <v>Belum terisi</v>
      </c>
      <c r="F112" s="67" t="str">
        <f aca="false">IFERROR(INDEX('Master Data'!$F$2:$F$2436,MATCH($B$3&amp;"|"&amp;D112&amp;"|"&amp;B112&amp;"|"&amp;C112,'Master Data'!$A$2:$A$2436,0))&amp;"","")</f>
        <v>Baby</v>
      </c>
      <c r="G112" s="66" t="n">
        <f aca="false">IFERROR(INDEX('Master Data'!$G$2:$G$2436,MATCH($B$3&amp;"|"&amp;D112&amp;"|"&amp;B112&amp;"|"&amp;C112,'Master Data'!$A$2:$A$2436,0)),"")</f>
        <v>5</v>
      </c>
      <c r="H112" s="67" t="str">
        <f aca="false">IFERROR(INDEX('Master Data'!$K$2:$K$2436,MATCH($B$3&amp;"|"&amp;D112&amp;"|"&amp;B112&amp;"|"&amp;C112,'Master Data'!$A$2:$A$2436,0))&amp;"","")</f>
        <v/>
      </c>
      <c r="I112" s="67" t="s">
        <v>284</v>
      </c>
      <c r="J112" s="67" t="s">
        <v>134</v>
      </c>
      <c r="K112" s="68"/>
      <c r="L112" s="68"/>
      <c r="M112" s="68"/>
      <c r="N112" s="69"/>
      <c r="O112" s="68"/>
    </row>
    <row r="113" customFormat="false" ht="15.75" hidden="false" customHeight="true" outlineLevel="0" collapsed="false">
      <c r="A113" s="66" t="n">
        <v>22</v>
      </c>
      <c r="B113" s="67" t="s">
        <v>90</v>
      </c>
      <c r="C113" s="66" t="s">
        <v>107</v>
      </c>
      <c r="D113" s="66" t="n">
        <v>2</v>
      </c>
      <c r="E113" s="67" t="str">
        <f aca="false">IFERROR(INDEX('Master Data'!$L$2:$L$2436,MATCH($B$3&amp;"|"&amp;D113&amp;"|"&amp;B113&amp;"|"&amp;C113,'Master Data'!$A$2:$A$2436,0)),"")</f>
        <v>Slot kosong</v>
      </c>
      <c r="F113" s="67" t="str">
        <f aca="false">IFERROR(INDEX('Master Data'!$F$2:$F$2436,MATCH($B$3&amp;"|"&amp;D113&amp;"|"&amp;B113&amp;"|"&amp;C113,'Master Data'!$A$2:$A$2436,0))&amp;"","")</f>
        <v/>
      </c>
      <c r="G113" s="66" t="n">
        <f aca="false">IFERROR(INDEX('Master Data'!$G$2:$G$2436,MATCH($B$3&amp;"|"&amp;D113&amp;"|"&amp;B113&amp;"|"&amp;C113,'Master Data'!$A$2:$A$2436,0)),"")</f>
        <v>5</v>
      </c>
      <c r="H113" s="67" t="str">
        <f aca="false">IFERROR(INDEX('Master Data'!$K$2:$K$2436,MATCH($B$3&amp;"|"&amp;D113&amp;"|"&amp;B113&amp;"|"&amp;C113,'Master Data'!$A$2:$A$2436,0))&amp;"","")</f>
        <v/>
      </c>
      <c r="I113" s="67" t="s">
        <v>284</v>
      </c>
      <c r="J113" s="67" t="s">
        <v>134</v>
      </c>
      <c r="K113" s="68"/>
      <c r="L113" s="68"/>
      <c r="M113" s="68"/>
      <c r="N113" s="69"/>
      <c r="O113" s="68"/>
    </row>
    <row r="114" customFormat="false" ht="27.75" hidden="false" customHeight="true" outlineLevel="0" collapsed="false">
      <c r="A114" s="66" t="n">
        <v>23</v>
      </c>
      <c r="B114" s="67" t="s">
        <v>91</v>
      </c>
      <c r="C114" s="66" t="s">
        <v>111</v>
      </c>
      <c r="D114" s="66" t="n">
        <v>3</v>
      </c>
      <c r="E114" s="67" t="str">
        <f aca="false">IFERROR(INDEX('Master Data'!$L$2:$L$2436,MATCH($B$3&amp;"|"&amp;D114&amp;"|"&amp;B114&amp;"|"&amp;C114,'Master Data'!$A$2:$A$2436,0)),"")</f>
        <v>Belum terisi</v>
      </c>
      <c r="F114" s="67" t="str">
        <f aca="false">IFERROR(INDEX('Master Data'!$F$2:$F$2436,MATCH($B$3&amp;"|"&amp;D114&amp;"|"&amp;B114&amp;"|"&amp;C114,'Master Data'!$A$2:$A$2436,0))&amp;"","")</f>
        <v>Little</v>
      </c>
      <c r="G114" s="66" t="n">
        <f aca="false">IFERROR(INDEX('Master Data'!$G$2:$G$2436,MATCH($B$3&amp;"|"&amp;D114&amp;"|"&amp;B114&amp;"|"&amp;C114,'Master Data'!$A$2:$A$2436,0)),"")</f>
        <v>4</v>
      </c>
      <c r="H114" s="67" t="str">
        <f aca="false">IFERROR(INDEX('Master Data'!$K$2:$K$2436,MATCH($B$3&amp;"|"&amp;D114&amp;"|"&amp;B114&amp;"|"&amp;C114,'Master Data'!$A$2:$A$2436,0))&amp;"","")</f>
        <v/>
      </c>
      <c r="I114" s="67" t="s">
        <v>285</v>
      </c>
      <c r="J114" s="67" t="s">
        <v>134</v>
      </c>
      <c r="K114" s="68"/>
      <c r="L114" s="68"/>
      <c r="M114" s="68"/>
      <c r="N114" s="69"/>
      <c r="O114" s="68"/>
    </row>
    <row r="115" customFormat="false" ht="27.75" hidden="false" customHeight="true" outlineLevel="0" collapsed="false">
      <c r="A115" s="66" t="n">
        <v>24</v>
      </c>
      <c r="B115" s="67" t="s">
        <v>91</v>
      </c>
      <c r="C115" s="66" t="s">
        <v>111</v>
      </c>
      <c r="D115" s="66" t="n">
        <v>4</v>
      </c>
      <c r="E115" s="67" t="str">
        <f aca="false">IFERROR(INDEX('Master Data'!$L$2:$L$2436,MATCH($B$3&amp;"|"&amp;D115&amp;"|"&amp;B115&amp;"|"&amp;C115,'Master Data'!$A$2:$A$2436,0)),"")</f>
        <v>Belum terisi</v>
      </c>
      <c r="F115" s="67" t="str">
        <f aca="false">IFERROR(INDEX('Master Data'!$F$2:$F$2436,MATCH($B$3&amp;"|"&amp;D115&amp;"|"&amp;B115&amp;"|"&amp;C115,'Master Data'!$A$2:$A$2436,0))&amp;"","")</f>
        <v>Kids</v>
      </c>
      <c r="G115" s="66" t="n">
        <f aca="false">IFERROR(INDEX('Master Data'!$G$2:$G$2436,MATCH($B$3&amp;"|"&amp;D115&amp;"|"&amp;B115&amp;"|"&amp;C115,'Master Data'!$A$2:$A$2436,0)),"")</f>
        <v>4</v>
      </c>
      <c r="H115" s="67" t="str">
        <f aca="false">IFERROR(INDEX('Master Data'!$K$2:$K$2436,MATCH($B$3&amp;"|"&amp;D115&amp;"|"&amp;B115&amp;"|"&amp;C115,'Master Data'!$A$2:$A$2436,0))&amp;"","")</f>
        <v/>
      </c>
      <c r="I115" s="67" t="s">
        <v>285</v>
      </c>
      <c r="J115" s="67" t="s">
        <v>134</v>
      </c>
      <c r="K115" s="68"/>
      <c r="L115" s="68"/>
      <c r="M115" s="68"/>
      <c r="N115" s="69"/>
      <c r="O115" s="68"/>
    </row>
    <row r="116" customFormat="false" ht="15.75" hidden="false" customHeight="true" outlineLevel="0" collapsed="false">
      <c r="A116" s="66" t="n">
        <v>25</v>
      </c>
      <c r="B116" s="67" t="s">
        <v>91</v>
      </c>
      <c r="C116" s="66" t="s">
        <v>97</v>
      </c>
      <c r="D116" s="66" t="n">
        <v>1</v>
      </c>
      <c r="E116" s="67" t="str">
        <f aca="false">IFERROR(INDEX('Master Data'!$L$2:$L$2436,MATCH($B$3&amp;"|"&amp;D116&amp;"|"&amp;B116&amp;"|"&amp;C116,'Master Data'!$A$2:$A$2436,0)),"")</f>
        <v>Belum terisi</v>
      </c>
      <c r="F116" s="67" t="str">
        <f aca="false">IFERROR(INDEX('Master Data'!$F$2:$F$2436,MATCH($B$3&amp;"|"&amp;D116&amp;"|"&amp;B116&amp;"|"&amp;C116,'Master Data'!$A$2:$A$2436,0))&amp;"","")</f>
        <v>Baby</v>
      </c>
      <c r="G116" s="66" t="n">
        <f aca="false">IFERROR(INDEX('Master Data'!$G$2:$G$2436,MATCH($B$3&amp;"|"&amp;D116&amp;"|"&amp;B116&amp;"|"&amp;C116,'Master Data'!$A$2:$A$2436,0)),"")</f>
        <v>5</v>
      </c>
      <c r="H116" s="67" t="str">
        <f aca="false">IFERROR(INDEX('Master Data'!$K$2:$K$2436,MATCH($B$3&amp;"|"&amp;D116&amp;"|"&amp;B116&amp;"|"&amp;C116,'Master Data'!$A$2:$A$2436,0))&amp;"","")</f>
        <v/>
      </c>
      <c r="I116" s="67" t="s">
        <v>286</v>
      </c>
      <c r="J116" s="67" t="s">
        <v>221</v>
      </c>
      <c r="K116" s="68"/>
      <c r="L116" s="68"/>
      <c r="M116" s="68"/>
      <c r="N116" s="69"/>
      <c r="O116" s="68"/>
    </row>
    <row r="117" customFormat="false" ht="15.75" hidden="false" customHeight="true" outlineLevel="0" collapsed="false">
      <c r="A117" s="66" t="n">
        <v>26</v>
      </c>
      <c r="B117" s="67" t="s">
        <v>91</v>
      </c>
      <c r="C117" s="66" t="s">
        <v>112</v>
      </c>
      <c r="D117" s="66" t="n">
        <v>4</v>
      </c>
      <c r="E117" s="67" t="str">
        <f aca="false">IFERROR(INDEX('Master Data'!$L$2:$L$2436,MATCH($B$3&amp;"|"&amp;D117&amp;"|"&amp;B117&amp;"|"&amp;C117,'Master Data'!$A$2:$A$2436,0)),"")</f>
        <v>Belum terisi</v>
      </c>
      <c r="F117" s="67" t="str">
        <f aca="false">IFERROR(INDEX('Master Data'!$F$2:$F$2436,MATCH($B$3&amp;"|"&amp;D117&amp;"|"&amp;B117&amp;"|"&amp;C117,'Master Data'!$A$2:$A$2436,0))&amp;"","")</f>
        <v>Kids</v>
      </c>
      <c r="G117" s="66" t="n">
        <f aca="false">IFERROR(INDEX('Master Data'!$G$2:$G$2436,MATCH($B$3&amp;"|"&amp;D117&amp;"|"&amp;B117&amp;"|"&amp;C117,'Master Data'!$A$2:$A$2436,0)),"")</f>
        <v>4</v>
      </c>
      <c r="H117" s="67" t="str">
        <f aca="false">IFERROR(INDEX('Master Data'!$K$2:$K$2436,MATCH($B$3&amp;"|"&amp;D117&amp;"|"&amp;B117&amp;"|"&amp;C117,'Master Data'!$A$2:$A$2436,0))&amp;"","")</f>
        <v/>
      </c>
      <c r="I117" s="67" t="s">
        <v>286</v>
      </c>
      <c r="J117" s="67" t="s">
        <v>203</v>
      </c>
      <c r="K117" s="68"/>
      <c r="L117" s="68"/>
      <c r="M117" s="68"/>
      <c r="N117" s="69"/>
      <c r="O117" s="68"/>
    </row>
    <row r="118" customFormat="false" ht="15.75" hidden="false" customHeight="true" outlineLevel="0" collapsed="false">
      <c r="A118" s="66" t="n">
        <v>27</v>
      </c>
      <c r="B118" s="67" t="s">
        <v>91</v>
      </c>
      <c r="C118" s="66" t="s">
        <v>98</v>
      </c>
      <c r="D118" s="66" t="n">
        <v>1</v>
      </c>
      <c r="E118" s="67" t="str">
        <f aca="false">IFERROR(INDEX('Master Data'!$L$2:$L$2436,MATCH($B$3&amp;"|"&amp;D118&amp;"|"&amp;B118&amp;"|"&amp;C118,'Master Data'!$A$2:$A$2436,0)),"")</f>
        <v>Belum terisi</v>
      </c>
      <c r="F118" s="67" t="str">
        <f aca="false">IFERROR(INDEX('Master Data'!$F$2:$F$2436,MATCH($B$3&amp;"|"&amp;D118&amp;"|"&amp;B118&amp;"|"&amp;C118,'Master Data'!$A$2:$A$2436,0))&amp;"","")</f>
        <v>Baby</v>
      </c>
      <c r="G118" s="66" t="n">
        <f aca="false">IFERROR(INDEX('Master Data'!$G$2:$G$2436,MATCH($B$3&amp;"|"&amp;D118&amp;"|"&amp;B118&amp;"|"&amp;C118,'Master Data'!$A$2:$A$2436,0)),"")</f>
        <v>5</v>
      </c>
      <c r="H118" s="67" t="str">
        <f aca="false">IFERROR(INDEX('Master Data'!$K$2:$K$2436,MATCH($B$3&amp;"|"&amp;D118&amp;"|"&amp;B118&amp;"|"&amp;C118,'Master Data'!$A$2:$A$2436,0))&amp;"","")</f>
        <v/>
      </c>
      <c r="I118" s="67" t="s">
        <v>287</v>
      </c>
      <c r="J118" s="67" t="s">
        <v>221</v>
      </c>
      <c r="K118" s="68"/>
      <c r="L118" s="68"/>
      <c r="M118" s="68"/>
      <c r="N118" s="69"/>
      <c r="O118" s="68"/>
    </row>
    <row r="119" customFormat="false" ht="27.75" hidden="false" customHeight="true" outlineLevel="0" collapsed="false">
      <c r="A119" s="66" t="n">
        <v>28</v>
      </c>
      <c r="B119" s="67" t="s">
        <v>91</v>
      </c>
      <c r="C119" s="66" t="s">
        <v>99</v>
      </c>
      <c r="D119" s="66" t="n">
        <v>1</v>
      </c>
      <c r="E119" s="67" t="str">
        <f aca="false">IFERROR(INDEX('Master Data'!$L$2:$L$2436,MATCH($B$3&amp;"|"&amp;D119&amp;"|"&amp;B119&amp;"|"&amp;C119,'Master Data'!$A$2:$A$2436,0)),"")</f>
        <v>Belum terisi</v>
      </c>
      <c r="F119" s="67" t="str">
        <f aca="false">IFERROR(INDEX('Master Data'!$F$2:$F$2436,MATCH($B$3&amp;"|"&amp;D119&amp;"|"&amp;B119&amp;"|"&amp;C119,'Master Data'!$A$2:$A$2436,0))&amp;"","")</f>
        <v>Baby</v>
      </c>
      <c r="G119" s="66" t="n">
        <f aca="false">IFERROR(INDEX('Master Data'!$G$2:$G$2436,MATCH($B$3&amp;"|"&amp;D119&amp;"|"&amp;B119&amp;"|"&amp;C119,'Master Data'!$A$2:$A$2436,0)),"")</f>
        <v>5</v>
      </c>
      <c r="H119" s="67" t="str">
        <f aca="false">IFERROR(INDEX('Master Data'!$K$2:$K$2436,MATCH($B$3&amp;"|"&amp;D119&amp;"|"&amp;B119&amp;"|"&amp;C119,'Master Data'!$A$2:$A$2436,0))&amp;"","")</f>
        <v/>
      </c>
      <c r="I119" s="67" t="s">
        <v>288</v>
      </c>
      <c r="J119" s="67" t="s">
        <v>134</v>
      </c>
      <c r="K119" s="68"/>
      <c r="L119" s="68"/>
      <c r="M119" s="68"/>
      <c r="N119" s="69"/>
      <c r="O119" s="68"/>
    </row>
    <row r="120" customFormat="false" ht="27.75" hidden="false" customHeight="true" outlineLevel="0" collapsed="false">
      <c r="A120" s="66" t="n">
        <v>29</v>
      </c>
      <c r="B120" s="67" t="s">
        <v>91</v>
      </c>
      <c r="C120" s="66" t="s">
        <v>99</v>
      </c>
      <c r="D120" s="66" t="n">
        <v>2</v>
      </c>
      <c r="E120" s="67" t="str">
        <f aca="false">IFERROR(INDEX('Master Data'!$L$2:$L$2436,MATCH($B$3&amp;"|"&amp;D120&amp;"|"&amp;B120&amp;"|"&amp;C120,'Master Data'!$A$2:$A$2436,0)),"")</f>
        <v>Belum terisi</v>
      </c>
      <c r="F120" s="67" t="str">
        <f aca="false">IFERROR(INDEX('Master Data'!$F$2:$F$2436,MATCH($B$3&amp;"|"&amp;D120&amp;"|"&amp;B120&amp;"|"&amp;C120,'Master Data'!$A$2:$A$2436,0))&amp;"","")</f>
        <v>Tiny</v>
      </c>
      <c r="G120" s="66" t="n">
        <f aca="false">IFERROR(INDEX('Master Data'!$G$2:$G$2436,MATCH($B$3&amp;"|"&amp;D120&amp;"|"&amp;B120&amp;"|"&amp;C120,'Master Data'!$A$2:$A$2436,0)),"")</f>
        <v>5</v>
      </c>
      <c r="H120" s="67" t="str">
        <f aca="false">IFERROR(INDEX('Master Data'!$K$2:$K$2436,MATCH($B$3&amp;"|"&amp;D120&amp;"|"&amp;B120&amp;"|"&amp;C120,'Master Data'!$A$2:$A$2436,0))&amp;"","")</f>
        <v/>
      </c>
      <c r="I120" s="67" t="s">
        <v>288</v>
      </c>
      <c r="J120" s="67" t="s">
        <v>134</v>
      </c>
      <c r="K120" s="68"/>
      <c r="L120" s="68"/>
      <c r="M120" s="68"/>
      <c r="N120" s="69"/>
      <c r="O120" s="68"/>
    </row>
    <row r="121" customFormat="false" ht="27.75" hidden="false" customHeight="true" outlineLevel="0" collapsed="false">
      <c r="A121" s="66" t="n">
        <v>30</v>
      </c>
      <c r="B121" s="67" t="s">
        <v>91</v>
      </c>
      <c r="C121" s="66" t="s">
        <v>114</v>
      </c>
      <c r="D121" s="66" t="n">
        <v>3</v>
      </c>
      <c r="E121" s="67" t="str">
        <f aca="false">IFERROR(INDEX('Master Data'!$L$2:$L$2436,MATCH($B$3&amp;"|"&amp;D121&amp;"|"&amp;B121&amp;"|"&amp;C121,'Master Data'!$A$2:$A$2436,0)),"")</f>
        <v>Belum terisi</v>
      </c>
      <c r="F121" s="67" t="str">
        <f aca="false">IFERROR(INDEX('Master Data'!$F$2:$F$2436,MATCH($B$3&amp;"|"&amp;D121&amp;"|"&amp;B121&amp;"|"&amp;C121,'Master Data'!$A$2:$A$2436,0))&amp;"","")</f>
        <v>Little</v>
      </c>
      <c r="G121" s="66" t="n">
        <f aca="false">IFERROR(INDEX('Master Data'!$G$2:$G$2436,MATCH($B$3&amp;"|"&amp;D121&amp;"|"&amp;B121&amp;"|"&amp;C121,'Master Data'!$A$2:$A$2436,0)),"")</f>
        <v>4</v>
      </c>
      <c r="H121" s="67" t="str">
        <f aca="false">IFERROR(INDEX('Master Data'!$K$2:$K$2436,MATCH($B$3&amp;"|"&amp;D121&amp;"|"&amp;B121&amp;"|"&amp;C121,'Master Data'!$A$2:$A$2436,0))&amp;"","")</f>
        <v/>
      </c>
      <c r="I121" s="67" t="s">
        <v>285</v>
      </c>
      <c r="J121" s="67" t="s">
        <v>134</v>
      </c>
      <c r="K121" s="68"/>
      <c r="L121" s="68"/>
      <c r="M121" s="68"/>
      <c r="N121" s="69"/>
      <c r="O121" s="68"/>
    </row>
    <row r="122" customFormat="false" ht="27.75" hidden="false" customHeight="true" outlineLevel="0" collapsed="false">
      <c r="A122" s="66" t="n">
        <v>31</v>
      </c>
      <c r="B122" s="67" t="s">
        <v>91</v>
      </c>
      <c r="C122" s="66" t="s">
        <v>114</v>
      </c>
      <c r="D122" s="66" t="n">
        <v>4</v>
      </c>
      <c r="E122" s="67" t="str">
        <f aca="false">IFERROR(INDEX('Master Data'!$L$2:$L$2436,MATCH($B$3&amp;"|"&amp;D122&amp;"|"&amp;B122&amp;"|"&amp;C122,'Master Data'!$A$2:$A$2436,0)),"")</f>
        <v>Belum terisi</v>
      </c>
      <c r="F122" s="67" t="str">
        <f aca="false">IFERROR(INDEX('Master Data'!$F$2:$F$2436,MATCH($B$3&amp;"|"&amp;D122&amp;"|"&amp;B122&amp;"|"&amp;C122,'Master Data'!$A$2:$A$2436,0))&amp;"","")</f>
        <v>Kids</v>
      </c>
      <c r="G122" s="66" t="n">
        <f aca="false">IFERROR(INDEX('Master Data'!$G$2:$G$2436,MATCH($B$3&amp;"|"&amp;D122&amp;"|"&amp;B122&amp;"|"&amp;C122,'Master Data'!$A$2:$A$2436,0)),"")</f>
        <v>4</v>
      </c>
      <c r="H122" s="67" t="str">
        <f aca="false">IFERROR(INDEX('Master Data'!$K$2:$K$2436,MATCH($B$3&amp;"|"&amp;D122&amp;"|"&amp;B122&amp;"|"&amp;C122,'Master Data'!$A$2:$A$2436,0))&amp;"","")</f>
        <v/>
      </c>
      <c r="I122" s="67" t="s">
        <v>285</v>
      </c>
      <c r="J122" s="67" t="s">
        <v>134</v>
      </c>
      <c r="K122" s="68"/>
      <c r="L122" s="68"/>
      <c r="M122" s="68"/>
      <c r="N122" s="69"/>
      <c r="O122" s="68"/>
    </row>
    <row r="123" customFormat="false" ht="27.75" hidden="false" customHeight="true" outlineLevel="0" collapsed="false">
      <c r="A123" s="66" t="n">
        <v>32</v>
      </c>
      <c r="B123" s="67" t="s">
        <v>91</v>
      </c>
      <c r="C123" s="66" t="s">
        <v>100</v>
      </c>
      <c r="D123" s="66" t="n">
        <v>1</v>
      </c>
      <c r="E123" s="67" t="str">
        <f aca="false">IFERROR(INDEX('Master Data'!$L$2:$L$2436,MATCH($B$3&amp;"|"&amp;D123&amp;"|"&amp;B123&amp;"|"&amp;C123,'Master Data'!$A$2:$A$2436,0)),"")</f>
        <v>Belum terisi</v>
      </c>
      <c r="F123" s="67" t="str">
        <f aca="false">IFERROR(INDEX('Master Data'!$F$2:$F$2436,MATCH($B$3&amp;"|"&amp;D123&amp;"|"&amp;B123&amp;"|"&amp;C123,'Master Data'!$A$2:$A$2436,0))&amp;"","")</f>
        <v>Baby</v>
      </c>
      <c r="G123" s="66" t="n">
        <f aca="false">IFERROR(INDEX('Master Data'!$G$2:$G$2436,MATCH($B$3&amp;"|"&amp;D123&amp;"|"&amp;B123&amp;"|"&amp;C123,'Master Data'!$A$2:$A$2436,0)),"")</f>
        <v>5</v>
      </c>
      <c r="H123" s="67" t="str">
        <f aca="false">IFERROR(INDEX('Master Data'!$K$2:$K$2436,MATCH($B$3&amp;"|"&amp;D123&amp;"|"&amp;B123&amp;"|"&amp;C123,'Master Data'!$A$2:$A$2436,0))&amp;"","")</f>
        <v/>
      </c>
      <c r="I123" s="67" t="s">
        <v>285</v>
      </c>
      <c r="J123" s="67" t="s">
        <v>134</v>
      </c>
      <c r="K123" s="68"/>
      <c r="L123" s="68"/>
      <c r="M123" s="68"/>
      <c r="N123" s="69"/>
      <c r="O123" s="68"/>
    </row>
    <row r="124" customFormat="false" ht="27.75" hidden="false" customHeight="true" outlineLevel="0" collapsed="false">
      <c r="A124" s="66" t="n">
        <v>33</v>
      </c>
      <c r="B124" s="67" t="s">
        <v>91</v>
      </c>
      <c r="C124" s="66" t="s">
        <v>116</v>
      </c>
      <c r="D124" s="66" t="n">
        <v>3</v>
      </c>
      <c r="E124" s="67" t="str">
        <f aca="false">IFERROR(INDEX('Master Data'!$L$2:$L$2436,MATCH($B$3&amp;"|"&amp;D124&amp;"|"&amp;B124&amp;"|"&amp;C124,'Master Data'!$A$2:$A$2436,0)),"")</f>
        <v>Belum terisi</v>
      </c>
      <c r="F124" s="67" t="str">
        <f aca="false">IFERROR(INDEX('Master Data'!$F$2:$F$2436,MATCH($B$3&amp;"|"&amp;D124&amp;"|"&amp;B124&amp;"|"&amp;C124,'Master Data'!$A$2:$A$2436,0))&amp;"","")</f>
        <v>Little</v>
      </c>
      <c r="G124" s="66" t="n">
        <f aca="false">IFERROR(INDEX('Master Data'!$G$2:$G$2436,MATCH($B$3&amp;"|"&amp;D124&amp;"|"&amp;B124&amp;"|"&amp;C124,'Master Data'!$A$2:$A$2436,0)),"")</f>
        <v>4</v>
      </c>
      <c r="H124" s="67" t="str">
        <f aca="false">IFERROR(INDEX('Master Data'!$K$2:$K$2436,MATCH($B$3&amp;"|"&amp;D124&amp;"|"&amp;B124&amp;"|"&amp;C124,'Master Data'!$A$2:$A$2436,0))&amp;"","")</f>
        <v/>
      </c>
      <c r="I124" s="67" t="s">
        <v>289</v>
      </c>
      <c r="J124" s="67" t="s">
        <v>134</v>
      </c>
      <c r="K124" s="68"/>
      <c r="L124" s="68"/>
      <c r="M124" s="68"/>
      <c r="N124" s="69"/>
      <c r="O124" s="68"/>
    </row>
    <row r="125" customFormat="false" ht="15.75" hidden="false" customHeight="true" outlineLevel="0" collapsed="false">
      <c r="A125" s="66" t="n">
        <v>34</v>
      </c>
      <c r="B125" s="67" t="s">
        <v>91</v>
      </c>
      <c r="C125" s="66" t="s">
        <v>102</v>
      </c>
      <c r="D125" s="66" t="n">
        <v>1</v>
      </c>
      <c r="E125" s="67" t="str">
        <f aca="false">IFERROR(INDEX('Master Data'!$L$2:$L$2436,MATCH($B$3&amp;"|"&amp;D125&amp;"|"&amp;B125&amp;"|"&amp;C125,'Master Data'!$A$2:$A$2436,0)),"")</f>
        <v>Belum terisi</v>
      </c>
      <c r="F125" s="67" t="str">
        <f aca="false">IFERROR(INDEX('Master Data'!$F$2:$F$2436,MATCH($B$3&amp;"|"&amp;D125&amp;"|"&amp;B125&amp;"|"&amp;C125,'Master Data'!$A$2:$A$2436,0))&amp;"","")</f>
        <v>Baby</v>
      </c>
      <c r="G125" s="66" t="n">
        <f aca="false">IFERROR(INDEX('Master Data'!$G$2:$G$2436,MATCH($B$3&amp;"|"&amp;D125&amp;"|"&amp;B125&amp;"|"&amp;C125,'Master Data'!$A$2:$A$2436,0)),"")</f>
        <v>5</v>
      </c>
      <c r="H125" s="67" t="str">
        <f aca="false">IFERROR(INDEX('Master Data'!$K$2:$K$2436,MATCH($B$3&amp;"|"&amp;D125&amp;"|"&amp;B125&amp;"|"&amp;C125,'Master Data'!$A$2:$A$2436,0))&amp;"","")</f>
        <v/>
      </c>
      <c r="I125" s="67" t="s">
        <v>287</v>
      </c>
      <c r="J125" s="67" t="s">
        <v>221</v>
      </c>
      <c r="K125" s="68"/>
      <c r="L125" s="68"/>
      <c r="M125" s="68"/>
      <c r="N125" s="69"/>
      <c r="O125" s="68"/>
    </row>
    <row r="126" customFormat="false" ht="15.75" hidden="false" customHeight="true" outlineLevel="0" collapsed="false">
      <c r="A126" s="66" t="n">
        <v>35</v>
      </c>
      <c r="B126" s="67" t="s">
        <v>91</v>
      </c>
      <c r="C126" s="66" t="s">
        <v>102</v>
      </c>
      <c r="D126" s="66" t="n">
        <v>2</v>
      </c>
      <c r="E126" s="67" t="str">
        <f aca="false">IFERROR(INDEX('Master Data'!$L$2:$L$2436,MATCH($B$3&amp;"|"&amp;D126&amp;"|"&amp;B126&amp;"|"&amp;C126,'Master Data'!$A$2:$A$2436,0)),"")</f>
        <v>Belum terisi</v>
      </c>
      <c r="F126" s="67" t="str">
        <f aca="false">IFERROR(INDEX('Master Data'!$F$2:$F$2436,MATCH($B$3&amp;"|"&amp;D126&amp;"|"&amp;B126&amp;"|"&amp;C126,'Master Data'!$A$2:$A$2436,0))&amp;"","")</f>
        <v>Tiny</v>
      </c>
      <c r="G126" s="66" t="n">
        <f aca="false">IFERROR(INDEX('Master Data'!$G$2:$G$2436,MATCH($B$3&amp;"|"&amp;D126&amp;"|"&amp;B126&amp;"|"&amp;C126,'Master Data'!$A$2:$A$2436,0)),"")</f>
        <v>5</v>
      </c>
      <c r="H126" s="67" t="str">
        <f aca="false">IFERROR(INDEX('Master Data'!$K$2:$K$2436,MATCH($B$3&amp;"|"&amp;D126&amp;"|"&amp;B126&amp;"|"&amp;C126,'Master Data'!$A$2:$A$2436,0))&amp;"","")</f>
        <v/>
      </c>
      <c r="I126" s="67" t="s">
        <v>287</v>
      </c>
      <c r="J126" s="67" t="s">
        <v>144</v>
      </c>
      <c r="K126" s="68"/>
      <c r="L126" s="68"/>
      <c r="M126" s="68"/>
      <c r="N126" s="69"/>
      <c r="O126" s="68"/>
    </row>
    <row r="127" customFormat="false" ht="15.75" hidden="false" customHeight="true" outlineLevel="0" collapsed="false">
      <c r="A127" s="66" t="n">
        <v>36</v>
      </c>
      <c r="B127" s="67" t="s">
        <v>91</v>
      </c>
      <c r="C127" s="66" t="s">
        <v>103</v>
      </c>
      <c r="D127" s="66" t="n">
        <v>1</v>
      </c>
      <c r="E127" s="67" t="str">
        <f aca="false">IFERROR(INDEX('Master Data'!$L$2:$L$2436,MATCH($B$3&amp;"|"&amp;D127&amp;"|"&amp;B127&amp;"|"&amp;C127,'Master Data'!$A$2:$A$2436,0)),"")</f>
        <v>Belum terisi</v>
      </c>
      <c r="F127" s="67" t="str">
        <f aca="false">IFERROR(INDEX('Master Data'!$F$2:$F$2436,MATCH($B$3&amp;"|"&amp;D127&amp;"|"&amp;B127&amp;"|"&amp;C127,'Master Data'!$A$2:$A$2436,0))&amp;"","")</f>
        <v>Baby</v>
      </c>
      <c r="G127" s="66" t="n">
        <f aca="false">IFERROR(INDEX('Master Data'!$G$2:$G$2436,MATCH($B$3&amp;"|"&amp;D127&amp;"|"&amp;B127&amp;"|"&amp;C127,'Master Data'!$A$2:$A$2436,0)),"")</f>
        <v>5</v>
      </c>
      <c r="H127" s="67" t="str">
        <f aca="false">IFERROR(INDEX('Master Data'!$K$2:$K$2436,MATCH($B$3&amp;"|"&amp;D127&amp;"|"&amp;B127&amp;"|"&amp;C127,'Master Data'!$A$2:$A$2436,0))&amp;"","")</f>
        <v/>
      </c>
      <c r="I127" s="67" t="s">
        <v>281</v>
      </c>
      <c r="J127" s="67" t="s">
        <v>134</v>
      </c>
      <c r="K127" s="68"/>
      <c r="L127" s="68"/>
      <c r="M127" s="68"/>
      <c r="N127" s="69"/>
      <c r="O127" s="68"/>
    </row>
    <row r="128" customFormat="false" ht="15.75" hidden="false" customHeight="true" outlineLevel="0" collapsed="false">
      <c r="A128" s="66" t="n">
        <v>37</v>
      </c>
      <c r="B128" s="67" t="s">
        <v>91</v>
      </c>
      <c r="C128" s="66" t="s">
        <v>103</v>
      </c>
      <c r="D128" s="66" t="n">
        <v>2</v>
      </c>
      <c r="E128" s="67" t="str">
        <f aca="false">IFERROR(INDEX('Master Data'!$L$2:$L$2436,MATCH($B$3&amp;"|"&amp;D128&amp;"|"&amp;B128&amp;"|"&amp;C128,'Master Data'!$A$2:$A$2436,0)),"")</f>
        <v>Belum terisi</v>
      </c>
      <c r="F128" s="67" t="str">
        <f aca="false">IFERROR(INDEX('Master Data'!$F$2:$F$2436,MATCH($B$3&amp;"|"&amp;D128&amp;"|"&amp;B128&amp;"|"&amp;C128,'Master Data'!$A$2:$A$2436,0))&amp;"","")</f>
        <v>Tiny</v>
      </c>
      <c r="G128" s="66" t="n">
        <f aca="false">IFERROR(INDEX('Master Data'!$G$2:$G$2436,MATCH($B$3&amp;"|"&amp;D128&amp;"|"&amp;B128&amp;"|"&amp;C128,'Master Data'!$A$2:$A$2436,0)),"")</f>
        <v>5</v>
      </c>
      <c r="H128" s="67" t="str">
        <f aca="false">IFERROR(INDEX('Master Data'!$K$2:$K$2436,MATCH($B$3&amp;"|"&amp;D128&amp;"|"&amp;B128&amp;"|"&amp;C128,'Master Data'!$A$2:$A$2436,0))&amp;"","")</f>
        <v/>
      </c>
      <c r="I128" s="67" t="s">
        <v>281</v>
      </c>
      <c r="J128" s="67" t="s">
        <v>134</v>
      </c>
      <c r="K128" s="68"/>
      <c r="L128" s="68"/>
      <c r="M128" s="68"/>
      <c r="N128" s="69"/>
      <c r="O128" s="68"/>
    </row>
    <row r="129" customFormat="false" ht="15.75" hidden="false" customHeight="true" outlineLevel="0" collapsed="false">
      <c r="A129" s="66" t="n">
        <v>38</v>
      </c>
      <c r="B129" s="67" t="s">
        <v>91</v>
      </c>
      <c r="C129" s="66" t="s">
        <v>106</v>
      </c>
      <c r="D129" s="66" t="n">
        <v>1</v>
      </c>
      <c r="E129" s="67" t="str">
        <f aca="false">IFERROR(INDEX('Master Data'!$L$2:$L$2436,MATCH($B$3&amp;"|"&amp;D129&amp;"|"&amp;B129&amp;"|"&amp;C129,'Master Data'!$A$2:$A$2436,0)),"")</f>
        <v>Slot kosong</v>
      </c>
      <c r="F129" s="67" t="str">
        <f aca="false">IFERROR(INDEX('Master Data'!$F$2:$F$2436,MATCH($B$3&amp;"|"&amp;D129&amp;"|"&amp;B129&amp;"|"&amp;C129,'Master Data'!$A$2:$A$2436,0))&amp;"","")</f>
        <v/>
      </c>
      <c r="G129" s="66" t="n">
        <f aca="false">IFERROR(INDEX('Master Data'!$G$2:$G$2436,MATCH($B$3&amp;"|"&amp;D129&amp;"|"&amp;B129&amp;"|"&amp;C129,'Master Data'!$A$2:$A$2436,0)),"")</f>
        <v>5</v>
      </c>
      <c r="H129" s="67" t="str">
        <f aca="false">IFERROR(INDEX('Master Data'!$K$2:$K$2436,MATCH($B$3&amp;"|"&amp;D129&amp;"|"&amp;B129&amp;"|"&amp;C129,'Master Data'!$A$2:$A$2436,0))&amp;"","")</f>
        <v/>
      </c>
      <c r="I129" s="70" t="s">
        <v>154</v>
      </c>
      <c r="J129" s="67" t="s">
        <v>155</v>
      </c>
      <c r="K129" s="68"/>
      <c r="L129" s="68"/>
      <c r="M129" s="68"/>
      <c r="N129" s="69"/>
      <c r="O129" s="68"/>
    </row>
    <row r="130" customFormat="false" ht="15.75" hidden="false" customHeight="true" outlineLevel="0" collapsed="false">
      <c r="A130" s="66" t="n">
        <v>39</v>
      </c>
      <c r="B130" s="67" t="s">
        <v>91</v>
      </c>
      <c r="C130" s="66" t="s">
        <v>107</v>
      </c>
      <c r="D130" s="66" t="n">
        <v>1</v>
      </c>
      <c r="E130" s="67" t="str">
        <f aca="false">IFERROR(INDEX('Master Data'!$L$2:$L$2436,MATCH($B$3&amp;"|"&amp;D130&amp;"|"&amp;B130&amp;"|"&amp;C130,'Master Data'!$A$2:$A$2436,0)),"")</f>
        <v>Slot kosong</v>
      </c>
      <c r="F130" s="67" t="str">
        <f aca="false">IFERROR(INDEX('Master Data'!$F$2:$F$2436,MATCH($B$3&amp;"|"&amp;D130&amp;"|"&amp;B130&amp;"|"&amp;C130,'Master Data'!$A$2:$A$2436,0))&amp;"","")</f>
        <v/>
      </c>
      <c r="G130" s="66" t="n">
        <f aca="false">IFERROR(INDEX('Master Data'!$G$2:$G$2436,MATCH($B$3&amp;"|"&amp;D130&amp;"|"&amp;B130&amp;"|"&amp;C130,'Master Data'!$A$2:$A$2436,0)),"")</f>
        <v>5</v>
      </c>
      <c r="H130" s="67" t="str">
        <f aca="false">IFERROR(INDEX('Master Data'!$K$2:$K$2436,MATCH($B$3&amp;"|"&amp;D130&amp;"|"&amp;B130&amp;"|"&amp;C130,'Master Data'!$A$2:$A$2436,0))&amp;"","")</f>
        <v/>
      </c>
      <c r="I130" s="67" t="s">
        <v>287</v>
      </c>
      <c r="J130" s="67" t="s">
        <v>203</v>
      </c>
      <c r="K130" s="68"/>
      <c r="L130" s="68"/>
      <c r="M130" s="68"/>
      <c r="N130" s="69"/>
      <c r="O130" s="68"/>
    </row>
    <row r="131" customFormat="false" ht="15.75" hidden="false" customHeight="true" outlineLevel="0" collapsed="false">
      <c r="A131" s="66" t="n">
        <v>40</v>
      </c>
      <c r="B131" s="67" t="s">
        <v>91</v>
      </c>
      <c r="C131" s="66" t="s">
        <v>107</v>
      </c>
      <c r="D131" s="66" t="n">
        <v>2</v>
      </c>
      <c r="E131" s="67" t="str">
        <f aca="false">IFERROR(INDEX('Master Data'!$L$2:$L$2436,MATCH($B$3&amp;"|"&amp;D131&amp;"|"&amp;B131&amp;"|"&amp;C131,'Master Data'!$A$2:$A$2436,0)),"")</f>
        <v>Slot kosong</v>
      </c>
      <c r="F131" s="67" t="str">
        <f aca="false">IFERROR(INDEX('Master Data'!$F$2:$F$2436,MATCH($B$3&amp;"|"&amp;D131&amp;"|"&amp;B131&amp;"|"&amp;C131,'Master Data'!$A$2:$A$2436,0))&amp;"","")</f>
        <v/>
      </c>
      <c r="G131" s="66" t="n">
        <f aca="false">IFERROR(INDEX('Master Data'!$G$2:$G$2436,MATCH($B$3&amp;"|"&amp;D131&amp;"|"&amp;B131&amp;"|"&amp;C131,'Master Data'!$A$2:$A$2436,0)),"")</f>
        <v>5</v>
      </c>
      <c r="H131" s="67" t="str">
        <f aca="false">IFERROR(INDEX('Master Data'!$K$2:$K$2436,MATCH($B$3&amp;"|"&amp;D131&amp;"|"&amp;B131&amp;"|"&amp;C131,'Master Data'!$A$2:$A$2436,0))&amp;"","")</f>
        <v/>
      </c>
      <c r="I131" s="67" t="s">
        <v>287</v>
      </c>
      <c r="J131" s="67" t="s">
        <v>203</v>
      </c>
      <c r="K131" s="68"/>
      <c r="L131" s="68"/>
      <c r="M131" s="68"/>
      <c r="N131" s="69"/>
      <c r="O131" s="68"/>
    </row>
    <row r="132" customFormat="false" ht="40.5" hidden="false" customHeight="true" outlineLevel="0" collapsed="false">
      <c r="A132" s="66" t="n">
        <v>41</v>
      </c>
      <c r="B132" s="67" t="s">
        <v>92</v>
      </c>
      <c r="C132" s="66" t="s">
        <v>111</v>
      </c>
      <c r="D132" s="66" t="n">
        <v>3</v>
      </c>
      <c r="E132" s="67" t="str">
        <f aca="false">IFERROR(INDEX('Master Data'!$L$2:$L$2436,MATCH($B$3&amp;"|"&amp;D132&amp;"|"&amp;B132&amp;"|"&amp;C132,'Master Data'!$A$2:$A$2436,0)),"")</f>
        <v>Belum terisi</v>
      </c>
      <c r="F132" s="67" t="str">
        <f aca="false">IFERROR(INDEX('Master Data'!$F$2:$F$2436,MATCH($B$3&amp;"|"&amp;D132&amp;"|"&amp;B132&amp;"|"&amp;C132,'Master Data'!$A$2:$A$2436,0))&amp;"","")</f>
        <v>Little</v>
      </c>
      <c r="G132" s="66" t="n">
        <f aca="false">IFERROR(INDEX('Master Data'!$G$2:$G$2436,MATCH($B$3&amp;"|"&amp;D132&amp;"|"&amp;B132&amp;"|"&amp;C132,'Master Data'!$A$2:$A$2436,0)),"")</f>
        <v>4</v>
      </c>
      <c r="H132" s="67" t="str">
        <f aca="false">IFERROR(INDEX('Master Data'!$K$2:$K$2436,MATCH($B$3&amp;"|"&amp;D132&amp;"|"&amp;B132&amp;"|"&amp;C132,'Master Data'!$A$2:$A$2436,0))&amp;"","")</f>
        <v/>
      </c>
      <c r="I132" s="67" t="s">
        <v>290</v>
      </c>
      <c r="J132" s="67" t="s">
        <v>134</v>
      </c>
      <c r="K132" s="68"/>
      <c r="L132" s="68"/>
      <c r="M132" s="68"/>
      <c r="N132" s="69"/>
      <c r="O132" s="68"/>
    </row>
    <row r="133" customFormat="false" ht="40.5" hidden="false" customHeight="true" outlineLevel="0" collapsed="false">
      <c r="A133" s="66" t="n">
        <v>42</v>
      </c>
      <c r="B133" s="67" t="s">
        <v>92</v>
      </c>
      <c r="C133" s="66" t="s">
        <v>111</v>
      </c>
      <c r="D133" s="66" t="n">
        <v>4</v>
      </c>
      <c r="E133" s="67" t="str">
        <f aca="false">IFERROR(INDEX('Master Data'!$L$2:$L$2436,MATCH($B$3&amp;"|"&amp;D133&amp;"|"&amp;B133&amp;"|"&amp;C133,'Master Data'!$A$2:$A$2436,0)),"")</f>
        <v>Belum terisi</v>
      </c>
      <c r="F133" s="67" t="str">
        <f aca="false">IFERROR(INDEX('Master Data'!$F$2:$F$2436,MATCH($B$3&amp;"|"&amp;D133&amp;"|"&amp;B133&amp;"|"&amp;C133,'Master Data'!$A$2:$A$2436,0))&amp;"","")</f>
        <v>Kids</v>
      </c>
      <c r="G133" s="66" t="n">
        <f aca="false">IFERROR(INDEX('Master Data'!$G$2:$G$2436,MATCH($B$3&amp;"|"&amp;D133&amp;"|"&amp;B133&amp;"|"&amp;C133,'Master Data'!$A$2:$A$2436,0)),"")</f>
        <v>4</v>
      </c>
      <c r="H133" s="67" t="str">
        <f aca="false">IFERROR(INDEX('Master Data'!$K$2:$K$2436,MATCH($B$3&amp;"|"&amp;D133&amp;"|"&amp;B133&amp;"|"&amp;C133,'Master Data'!$A$2:$A$2436,0))&amp;"","")</f>
        <v/>
      </c>
      <c r="I133" s="67" t="s">
        <v>290</v>
      </c>
      <c r="J133" s="67" t="s">
        <v>134</v>
      </c>
      <c r="K133" s="68"/>
      <c r="L133" s="68"/>
      <c r="M133" s="68"/>
      <c r="N133" s="69"/>
      <c r="O133" s="68"/>
    </row>
    <row r="134" customFormat="false" ht="40.5" hidden="false" customHeight="true" outlineLevel="0" collapsed="false">
      <c r="A134" s="66" t="n">
        <v>43</v>
      </c>
      <c r="B134" s="67" t="s">
        <v>92</v>
      </c>
      <c r="C134" s="66" t="s">
        <v>97</v>
      </c>
      <c r="D134" s="66" t="n">
        <v>1</v>
      </c>
      <c r="E134" s="67" t="str">
        <f aca="false">IFERROR(INDEX('Master Data'!$L$2:$L$2436,MATCH($B$3&amp;"|"&amp;D134&amp;"|"&amp;B134&amp;"|"&amp;C134,'Master Data'!$A$2:$A$2436,0)),"")</f>
        <v>Belum terisi</v>
      </c>
      <c r="F134" s="67" t="str">
        <f aca="false">IFERROR(INDEX('Master Data'!$F$2:$F$2436,MATCH($B$3&amp;"|"&amp;D134&amp;"|"&amp;B134&amp;"|"&amp;C134,'Master Data'!$A$2:$A$2436,0))&amp;"","")</f>
        <v>Baby</v>
      </c>
      <c r="G134" s="66" t="n">
        <f aca="false">IFERROR(INDEX('Master Data'!$G$2:$G$2436,MATCH($B$3&amp;"|"&amp;D134&amp;"|"&amp;B134&amp;"|"&amp;C134,'Master Data'!$A$2:$A$2436,0)),"")</f>
        <v>5</v>
      </c>
      <c r="H134" s="67" t="str">
        <f aca="false">IFERROR(INDEX('Master Data'!$K$2:$K$2436,MATCH($B$3&amp;"|"&amp;D134&amp;"|"&amp;B134&amp;"|"&amp;C134,'Master Data'!$A$2:$A$2436,0))&amp;"","")</f>
        <v/>
      </c>
      <c r="I134" s="67" t="s">
        <v>290</v>
      </c>
      <c r="J134" s="67" t="s">
        <v>134</v>
      </c>
      <c r="K134" s="68"/>
      <c r="L134" s="68"/>
      <c r="M134" s="68"/>
      <c r="N134" s="69"/>
      <c r="O134" s="68"/>
    </row>
    <row r="135" customFormat="false" ht="40.5" hidden="false" customHeight="true" outlineLevel="0" collapsed="false">
      <c r="A135" s="66" t="n">
        <v>44</v>
      </c>
      <c r="B135" s="67" t="s">
        <v>92</v>
      </c>
      <c r="C135" s="66" t="s">
        <v>97</v>
      </c>
      <c r="D135" s="66" t="n">
        <v>2</v>
      </c>
      <c r="E135" s="67" t="str">
        <f aca="false">IFERROR(INDEX('Master Data'!$L$2:$L$2436,MATCH($B$3&amp;"|"&amp;D135&amp;"|"&amp;B135&amp;"|"&amp;C135,'Master Data'!$A$2:$A$2436,0)),"")</f>
        <v>Belum terisi</v>
      </c>
      <c r="F135" s="67" t="str">
        <f aca="false">IFERROR(INDEX('Master Data'!$F$2:$F$2436,MATCH($B$3&amp;"|"&amp;D135&amp;"|"&amp;B135&amp;"|"&amp;C135,'Master Data'!$A$2:$A$2436,0))&amp;"","")</f>
        <v>Tiny</v>
      </c>
      <c r="G135" s="66" t="n">
        <f aca="false">IFERROR(INDEX('Master Data'!$G$2:$G$2436,MATCH($B$3&amp;"|"&amp;D135&amp;"|"&amp;B135&amp;"|"&amp;C135,'Master Data'!$A$2:$A$2436,0)),"")</f>
        <v>5</v>
      </c>
      <c r="H135" s="67" t="str">
        <f aca="false">IFERROR(INDEX('Master Data'!$K$2:$K$2436,MATCH($B$3&amp;"|"&amp;D135&amp;"|"&amp;B135&amp;"|"&amp;C135,'Master Data'!$A$2:$A$2436,0))&amp;"","")</f>
        <v/>
      </c>
      <c r="I135" s="67" t="s">
        <v>290</v>
      </c>
      <c r="J135" s="67" t="s">
        <v>134</v>
      </c>
      <c r="K135" s="68"/>
      <c r="L135" s="68"/>
      <c r="M135" s="68"/>
      <c r="N135" s="69"/>
      <c r="O135" s="68"/>
    </row>
    <row r="136" customFormat="false" ht="15.75" hidden="false" customHeight="true" outlineLevel="0" collapsed="false">
      <c r="A136" s="66" t="n">
        <v>45</v>
      </c>
      <c r="B136" s="67" t="s">
        <v>92</v>
      </c>
      <c r="C136" s="66" t="s">
        <v>112</v>
      </c>
      <c r="D136" s="66" t="n">
        <v>3</v>
      </c>
      <c r="E136" s="67" t="str">
        <f aca="false">IFERROR(INDEX('Master Data'!$L$2:$L$2436,MATCH($B$3&amp;"|"&amp;D136&amp;"|"&amp;B136&amp;"|"&amp;C136,'Master Data'!$A$2:$A$2436,0)),"")</f>
        <v>Belum terisi</v>
      </c>
      <c r="F136" s="67" t="str">
        <f aca="false">IFERROR(INDEX('Master Data'!$F$2:$F$2436,MATCH($B$3&amp;"|"&amp;D136&amp;"|"&amp;B136&amp;"|"&amp;C136,'Master Data'!$A$2:$A$2436,0))&amp;"","")</f>
        <v>Little</v>
      </c>
      <c r="G136" s="66" t="n">
        <f aca="false">IFERROR(INDEX('Master Data'!$G$2:$G$2436,MATCH($B$3&amp;"|"&amp;D136&amp;"|"&amp;B136&amp;"|"&amp;C136,'Master Data'!$A$2:$A$2436,0)),"")</f>
        <v>4</v>
      </c>
      <c r="H136" s="67" t="str">
        <f aca="false">IFERROR(INDEX('Master Data'!$K$2:$K$2436,MATCH($B$3&amp;"|"&amp;D136&amp;"|"&amp;B136&amp;"|"&amp;C136,'Master Data'!$A$2:$A$2436,0))&amp;"","")</f>
        <v/>
      </c>
      <c r="I136" s="67" t="s">
        <v>291</v>
      </c>
      <c r="J136" s="67" t="s">
        <v>203</v>
      </c>
      <c r="K136" s="68"/>
      <c r="L136" s="68"/>
      <c r="M136" s="68"/>
      <c r="N136" s="69"/>
      <c r="O136" s="68"/>
    </row>
    <row r="137" customFormat="false" ht="15.75" hidden="false" customHeight="true" outlineLevel="0" collapsed="false">
      <c r="A137" s="66" t="n">
        <v>46</v>
      </c>
      <c r="B137" s="67" t="s">
        <v>92</v>
      </c>
      <c r="C137" s="66" t="s">
        <v>112</v>
      </c>
      <c r="D137" s="66" t="n">
        <v>4</v>
      </c>
      <c r="E137" s="67" t="str">
        <f aca="false">IFERROR(INDEX('Master Data'!$L$2:$L$2436,MATCH($B$3&amp;"|"&amp;D137&amp;"|"&amp;B137&amp;"|"&amp;C137,'Master Data'!$A$2:$A$2436,0)),"")</f>
        <v>Belum terisi</v>
      </c>
      <c r="F137" s="67" t="str">
        <f aca="false">IFERROR(INDEX('Master Data'!$F$2:$F$2436,MATCH($B$3&amp;"|"&amp;D137&amp;"|"&amp;B137&amp;"|"&amp;C137,'Master Data'!$A$2:$A$2436,0))&amp;"","")</f>
        <v>Kids</v>
      </c>
      <c r="G137" s="66" t="n">
        <f aca="false">IFERROR(INDEX('Master Data'!$G$2:$G$2436,MATCH($B$3&amp;"|"&amp;D137&amp;"|"&amp;B137&amp;"|"&amp;C137,'Master Data'!$A$2:$A$2436,0)),"")</f>
        <v>4</v>
      </c>
      <c r="H137" s="67" t="str">
        <f aca="false">IFERROR(INDEX('Master Data'!$K$2:$K$2436,MATCH($B$3&amp;"|"&amp;D137&amp;"|"&amp;B137&amp;"|"&amp;C137,'Master Data'!$A$2:$A$2436,0))&amp;"","")</f>
        <v/>
      </c>
      <c r="I137" s="67" t="s">
        <v>291</v>
      </c>
      <c r="J137" s="67" t="s">
        <v>203</v>
      </c>
      <c r="K137" s="68"/>
      <c r="L137" s="68"/>
      <c r="M137" s="68"/>
      <c r="N137" s="69"/>
      <c r="O137" s="68"/>
    </row>
    <row r="138" customFormat="false" ht="15.75" hidden="false" customHeight="true" outlineLevel="0" collapsed="false">
      <c r="A138" s="66" t="n">
        <v>47</v>
      </c>
      <c r="B138" s="67" t="s">
        <v>92</v>
      </c>
      <c r="C138" s="66" t="s">
        <v>113</v>
      </c>
      <c r="D138" s="66" t="n">
        <v>3</v>
      </c>
      <c r="E138" s="67" t="str">
        <f aca="false">IFERROR(INDEX('Master Data'!$L$2:$L$2436,MATCH($B$3&amp;"|"&amp;D138&amp;"|"&amp;B138&amp;"|"&amp;C138,'Master Data'!$A$2:$A$2436,0)),"")</f>
        <v>Belum terisi</v>
      </c>
      <c r="F138" s="67" t="str">
        <f aca="false">IFERROR(INDEX('Master Data'!$F$2:$F$2436,MATCH($B$3&amp;"|"&amp;D138&amp;"|"&amp;B138&amp;"|"&amp;C138,'Master Data'!$A$2:$A$2436,0))&amp;"","")</f>
        <v>Little</v>
      </c>
      <c r="G138" s="66" t="n">
        <f aca="false">IFERROR(INDEX('Master Data'!$G$2:$G$2436,MATCH($B$3&amp;"|"&amp;D138&amp;"|"&amp;B138&amp;"|"&amp;C138,'Master Data'!$A$2:$A$2436,0)),"")</f>
        <v>4</v>
      </c>
      <c r="H138" s="67" t="str">
        <f aca="false">IFERROR(INDEX('Master Data'!$K$2:$K$2436,MATCH($B$3&amp;"|"&amp;D138&amp;"|"&amp;B138&amp;"|"&amp;C138,'Master Data'!$A$2:$A$2436,0))&amp;"","")</f>
        <v/>
      </c>
      <c r="I138" s="67" t="s">
        <v>291</v>
      </c>
      <c r="J138" s="67" t="s">
        <v>203</v>
      </c>
      <c r="K138" s="68"/>
      <c r="L138" s="68"/>
      <c r="M138" s="68"/>
      <c r="N138" s="69"/>
      <c r="O138" s="68"/>
    </row>
    <row r="139" customFormat="false" ht="15.75" hidden="false" customHeight="true" outlineLevel="0" collapsed="false">
      <c r="A139" s="66" t="n">
        <v>48</v>
      </c>
      <c r="B139" s="67" t="s">
        <v>92</v>
      </c>
      <c r="C139" s="66" t="s">
        <v>113</v>
      </c>
      <c r="D139" s="66" t="n">
        <v>4</v>
      </c>
      <c r="E139" s="67" t="str">
        <f aca="false">IFERROR(INDEX('Master Data'!$L$2:$L$2436,MATCH($B$3&amp;"|"&amp;D139&amp;"|"&amp;B139&amp;"|"&amp;C139,'Master Data'!$A$2:$A$2436,0)),"")</f>
        <v>Belum terisi</v>
      </c>
      <c r="F139" s="67" t="str">
        <f aca="false">IFERROR(INDEX('Master Data'!$F$2:$F$2436,MATCH($B$3&amp;"|"&amp;D139&amp;"|"&amp;B139&amp;"|"&amp;C139,'Master Data'!$A$2:$A$2436,0))&amp;"","")</f>
        <v>Kids</v>
      </c>
      <c r="G139" s="66" t="n">
        <f aca="false">IFERROR(INDEX('Master Data'!$G$2:$G$2436,MATCH($B$3&amp;"|"&amp;D139&amp;"|"&amp;B139&amp;"|"&amp;C139,'Master Data'!$A$2:$A$2436,0)),"")</f>
        <v>4</v>
      </c>
      <c r="H139" s="67" t="str">
        <f aca="false">IFERROR(INDEX('Master Data'!$K$2:$K$2436,MATCH($B$3&amp;"|"&amp;D139&amp;"|"&amp;B139&amp;"|"&amp;C139,'Master Data'!$A$2:$A$2436,0))&amp;"","")</f>
        <v/>
      </c>
      <c r="I139" s="67" t="s">
        <v>291</v>
      </c>
      <c r="J139" s="67" t="s">
        <v>203</v>
      </c>
      <c r="K139" s="68"/>
      <c r="L139" s="68"/>
      <c r="M139" s="68"/>
      <c r="N139" s="69"/>
      <c r="O139" s="68"/>
    </row>
    <row r="140" customFormat="false" ht="27.75" hidden="false" customHeight="true" outlineLevel="0" collapsed="false">
      <c r="A140" s="66" t="n">
        <v>49</v>
      </c>
      <c r="B140" s="67" t="s">
        <v>92</v>
      </c>
      <c r="C140" s="66" t="s">
        <v>99</v>
      </c>
      <c r="D140" s="66" t="n">
        <v>1</v>
      </c>
      <c r="E140" s="67" t="str">
        <f aca="false">IFERROR(INDEX('Master Data'!$L$2:$L$2436,MATCH($B$3&amp;"|"&amp;D140&amp;"|"&amp;B140&amp;"|"&amp;C140,'Master Data'!$A$2:$A$2436,0)),"")</f>
        <v>Belum terisi</v>
      </c>
      <c r="F140" s="67" t="str">
        <f aca="false">IFERROR(INDEX('Master Data'!$F$2:$F$2436,MATCH($B$3&amp;"|"&amp;D140&amp;"|"&amp;B140&amp;"|"&amp;C140,'Master Data'!$A$2:$A$2436,0))&amp;"","")</f>
        <v>Baby</v>
      </c>
      <c r="G140" s="66" t="n">
        <f aca="false">IFERROR(INDEX('Master Data'!$G$2:$G$2436,MATCH($B$3&amp;"|"&amp;D140&amp;"|"&amp;B140&amp;"|"&amp;C140,'Master Data'!$A$2:$A$2436,0)),"")</f>
        <v>5</v>
      </c>
      <c r="H140" s="67" t="str">
        <f aca="false">IFERROR(INDEX('Master Data'!$K$2:$K$2436,MATCH($B$3&amp;"|"&amp;D140&amp;"|"&amp;B140&amp;"|"&amp;C140,'Master Data'!$A$2:$A$2436,0))&amp;"","")</f>
        <v/>
      </c>
      <c r="I140" s="67" t="s">
        <v>292</v>
      </c>
      <c r="J140" s="67" t="s">
        <v>134</v>
      </c>
      <c r="K140" s="68"/>
      <c r="L140" s="68"/>
      <c r="M140" s="68"/>
      <c r="N140" s="69"/>
      <c r="O140" s="68"/>
    </row>
    <row r="141" customFormat="false" ht="27.75" hidden="false" customHeight="true" outlineLevel="0" collapsed="false">
      <c r="A141" s="66" t="n">
        <v>50</v>
      </c>
      <c r="B141" s="67" t="s">
        <v>92</v>
      </c>
      <c r="C141" s="66" t="s">
        <v>100</v>
      </c>
      <c r="D141" s="66" t="n">
        <v>1</v>
      </c>
      <c r="E141" s="67" t="str">
        <f aca="false">IFERROR(INDEX('Master Data'!$L$2:$L$2436,MATCH($B$3&amp;"|"&amp;D141&amp;"|"&amp;B141&amp;"|"&amp;C141,'Master Data'!$A$2:$A$2436,0)),"")</f>
        <v>Belum terisi</v>
      </c>
      <c r="F141" s="67" t="str">
        <f aca="false">IFERROR(INDEX('Master Data'!$F$2:$F$2436,MATCH($B$3&amp;"|"&amp;D141&amp;"|"&amp;B141&amp;"|"&amp;C141,'Master Data'!$A$2:$A$2436,0))&amp;"","")</f>
        <v>Baby</v>
      </c>
      <c r="G141" s="66" t="n">
        <f aca="false">IFERROR(INDEX('Master Data'!$G$2:$G$2436,MATCH($B$3&amp;"|"&amp;D141&amp;"|"&amp;B141&amp;"|"&amp;C141,'Master Data'!$A$2:$A$2436,0)),"")</f>
        <v>5</v>
      </c>
      <c r="H141" s="67" t="str">
        <f aca="false">IFERROR(INDEX('Master Data'!$K$2:$K$2436,MATCH($B$3&amp;"|"&amp;D141&amp;"|"&amp;B141&amp;"|"&amp;C141,'Master Data'!$A$2:$A$2436,0))&amp;"","")</f>
        <v/>
      </c>
      <c r="I141" s="67" t="s">
        <v>292</v>
      </c>
      <c r="J141" s="67" t="s">
        <v>134</v>
      </c>
      <c r="K141" s="68"/>
      <c r="L141" s="68"/>
      <c r="M141" s="68"/>
      <c r="N141" s="69"/>
      <c r="O141" s="68"/>
    </row>
    <row r="142" customFormat="false" ht="27.75" hidden="false" customHeight="true" outlineLevel="0" collapsed="false">
      <c r="A142" s="66" t="n">
        <v>51</v>
      </c>
      <c r="B142" s="67" t="s">
        <v>92</v>
      </c>
      <c r="C142" s="66" t="s">
        <v>100</v>
      </c>
      <c r="D142" s="66" t="n">
        <v>2</v>
      </c>
      <c r="E142" s="67" t="str">
        <f aca="false">IFERROR(INDEX('Master Data'!$L$2:$L$2436,MATCH($B$3&amp;"|"&amp;D142&amp;"|"&amp;B142&amp;"|"&amp;C142,'Master Data'!$A$2:$A$2436,0)),"")</f>
        <v>Belum terisi</v>
      </c>
      <c r="F142" s="67" t="str">
        <f aca="false">IFERROR(INDEX('Master Data'!$F$2:$F$2436,MATCH($B$3&amp;"|"&amp;D142&amp;"|"&amp;B142&amp;"|"&amp;C142,'Master Data'!$A$2:$A$2436,0))&amp;"","")</f>
        <v>Tiny</v>
      </c>
      <c r="G142" s="66" t="n">
        <f aca="false">IFERROR(INDEX('Master Data'!$G$2:$G$2436,MATCH($B$3&amp;"|"&amp;D142&amp;"|"&amp;B142&amp;"|"&amp;C142,'Master Data'!$A$2:$A$2436,0)),"")</f>
        <v>5</v>
      </c>
      <c r="H142" s="67" t="str">
        <f aca="false">IFERROR(INDEX('Master Data'!$K$2:$K$2436,MATCH($B$3&amp;"|"&amp;D142&amp;"|"&amp;B142&amp;"|"&amp;C142,'Master Data'!$A$2:$A$2436,0))&amp;"","")</f>
        <v/>
      </c>
      <c r="I142" s="67" t="s">
        <v>292</v>
      </c>
      <c r="J142" s="67" t="s">
        <v>134</v>
      </c>
      <c r="K142" s="68"/>
      <c r="L142" s="68"/>
      <c r="M142" s="68"/>
      <c r="N142" s="69"/>
      <c r="O142" s="68"/>
    </row>
    <row r="143" customFormat="false" ht="27.75" hidden="false" customHeight="true" outlineLevel="0" collapsed="false">
      <c r="A143" s="66" t="n">
        <v>52</v>
      </c>
      <c r="B143" s="67" t="s">
        <v>92</v>
      </c>
      <c r="C143" s="66" t="s">
        <v>116</v>
      </c>
      <c r="D143" s="66" t="n">
        <v>3</v>
      </c>
      <c r="E143" s="67" t="str">
        <f aca="false">IFERROR(INDEX('Master Data'!$L$2:$L$2436,MATCH($B$3&amp;"|"&amp;D143&amp;"|"&amp;B143&amp;"|"&amp;C143,'Master Data'!$A$2:$A$2436,0)),"")</f>
        <v>Belum terisi</v>
      </c>
      <c r="F143" s="67" t="str">
        <f aca="false">IFERROR(INDEX('Master Data'!$F$2:$F$2436,MATCH($B$3&amp;"|"&amp;D143&amp;"|"&amp;B143&amp;"|"&amp;C143,'Master Data'!$A$2:$A$2436,0))&amp;"","")</f>
        <v>Little</v>
      </c>
      <c r="G143" s="66" t="n">
        <f aca="false">IFERROR(INDEX('Master Data'!$G$2:$G$2436,MATCH($B$3&amp;"|"&amp;D143&amp;"|"&amp;B143&amp;"|"&amp;C143,'Master Data'!$A$2:$A$2436,0)),"")</f>
        <v>4</v>
      </c>
      <c r="H143" s="67" t="str">
        <f aca="false">IFERROR(INDEX('Master Data'!$K$2:$K$2436,MATCH($B$3&amp;"|"&amp;D143&amp;"|"&amp;B143&amp;"|"&amp;C143,'Master Data'!$A$2:$A$2436,0))&amp;"","")</f>
        <v/>
      </c>
      <c r="I143" s="67" t="s">
        <v>293</v>
      </c>
      <c r="J143" s="67" t="s">
        <v>134</v>
      </c>
      <c r="K143" s="68"/>
      <c r="L143" s="68"/>
      <c r="M143" s="68"/>
      <c r="N143" s="69"/>
      <c r="O143" s="68"/>
    </row>
    <row r="144" customFormat="false" ht="15.75" hidden="false" customHeight="true" outlineLevel="0" collapsed="false">
      <c r="A144" s="66" t="n">
        <v>53</v>
      </c>
      <c r="B144" s="67" t="s">
        <v>92</v>
      </c>
      <c r="C144" s="66" t="s">
        <v>102</v>
      </c>
      <c r="D144" s="66" t="n">
        <v>2</v>
      </c>
      <c r="E144" s="67" t="str">
        <f aca="false">IFERROR(INDEX('Master Data'!$L$2:$L$2436,MATCH($B$3&amp;"|"&amp;D144&amp;"|"&amp;B144&amp;"|"&amp;C144,'Master Data'!$A$2:$A$2436,0)),"")</f>
        <v>Belum terisi</v>
      </c>
      <c r="F144" s="67" t="str">
        <f aca="false">IFERROR(INDEX('Master Data'!$F$2:$F$2436,MATCH($B$3&amp;"|"&amp;D144&amp;"|"&amp;B144&amp;"|"&amp;C144,'Master Data'!$A$2:$A$2436,0))&amp;"","")</f>
        <v>Tiny</v>
      </c>
      <c r="G144" s="66" t="n">
        <f aca="false">IFERROR(INDEX('Master Data'!$G$2:$G$2436,MATCH($B$3&amp;"|"&amp;D144&amp;"|"&amp;B144&amp;"|"&amp;C144,'Master Data'!$A$2:$A$2436,0)),"")</f>
        <v>5</v>
      </c>
      <c r="H144" s="67" t="str">
        <f aca="false">IFERROR(INDEX('Master Data'!$K$2:$K$2436,MATCH($B$3&amp;"|"&amp;D144&amp;"|"&amp;B144&amp;"|"&amp;C144,'Master Data'!$A$2:$A$2436,0))&amp;"","")</f>
        <v/>
      </c>
      <c r="I144" s="70" t="s">
        <v>154</v>
      </c>
      <c r="J144" s="67" t="s">
        <v>42</v>
      </c>
      <c r="K144" s="68"/>
      <c r="L144" s="68"/>
      <c r="M144" s="68"/>
      <c r="N144" s="69"/>
      <c r="O144" s="68"/>
    </row>
    <row r="145" customFormat="false" ht="15.75" hidden="false" customHeight="true" outlineLevel="0" collapsed="false">
      <c r="A145" s="66" t="n">
        <v>54</v>
      </c>
      <c r="B145" s="67" t="s">
        <v>92</v>
      </c>
      <c r="C145" s="66" t="s">
        <v>103</v>
      </c>
      <c r="D145" s="66" t="n">
        <v>1</v>
      </c>
      <c r="E145" s="67" t="str">
        <f aca="false">IFERROR(INDEX('Master Data'!$L$2:$L$2436,MATCH($B$3&amp;"|"&amp;D145&amp;"|"&amp;B145&amp;"|"&amp;C145,'Master Data'!$A$2:$A$2436,0)),"")</f>
        <v>Belum terisi</v>
      </c>
      <c r="F145" s="67" t="str">
        <f aca="false">IFERROR(INDEX('Master Data'!$F$2:$F$2436,MATCH($B$3&amp;"|"&amp;D145&amp;"|"&amp;B145&amp;"|"&amp;C145,'Master Data'!$A$2:$A$2436,0))&amp;"","")</f>
        <v>Baby</v>
      </c>
      <c r="G145" s="66" t="n">
        <f aca="false">IFERROR(INDEX('Master Data'!$G$2:$G$2436,MATCH($B$3&amp;"|"&amp;D145&amp;"|"&amp;B145&amp;"|"&amp;C145,'Master Data'!$A$2:$A$2436,0)),"")</f>
        <v>5</v>
      </c>
      <c r="H145" s="67" t="str">
        <f aca="false">IFERROR(INDEX('Master Data'!$K$2:$K$2436,MATCH($B$3&amp;"|"&amp;D145&amp;"|"&amp;B145&amp;"|"&amp;C145,'Master Data'!$A$2:$A$2436,0))&amp;"","")</f>
        <v/>
      </c>
      <c r="I145" s="70" t="s">
        <v>154</v>
      </c>
      <c r="J145" s="67" t="s">
        <v>242</v>
      </c>
      <c r="K145" s="68"/>
      <c r="L145" s="68"/>
      <c r="M145" s="68"/>
      <c r="N145" s="69"/>
      <c r="O145" s="68"/>
    </row>
    <row r="146" customFormat="false" ht="15.75" hidden="false" customHeight="true" outlineLevel="0" collapsed="false">
      <c r="A146" s="66" t="n">
        <v>55</v>
      </c>
      <c r="B146" s="67" t="s">
        <v>92</v>
      </c>
      <c r="C146" s="66" t="s">
        <v>103</v>
      </c>
      <c r="D146" s="66" t="n">
        <v>2</v>
      </c>
      <c r="E146" s="67" t="str">
        <f aca="false">IFERROR(INDEX('Master Data'!$L$2:$L$2436,MATCH($B$3&amp;"|"&amp;D146&amp;"|"&amp;B146&amp;"|"&amp;C146,'Master Data'!$A$2:$A$2436,0)),"")</f>
        <v>Belum terisi</v>
      </c>
      <c r="F146" s="67" t="str">
        <f aca="false">IFERROR(INDEX('Master Data'!$F$2:$F$2436,MATCH($B$3&amp;"|"&amp;D146&amp;"|"&amp;B146&amp;"|"&amp;C146,'Master Data'!$A$2:$A$2436,0))&amp;"","")</f>
        <v>Tiny</v>
      </c>
      <c r="G146" s="66" t="n">
        <f aca="false">IFERROR(INDEX('Master Data'!$G$2:$G$2436,MATCH($B$3&amp;"|"&amp;D146&amp;"|"&amp;B146&amp;"|"&amp;C146,'Master Data'!$A$2:$A$2436,0)),"")</f>
        <v>5</v>
      </c>
      <c r="H146" s="67" t="str">
        <f aca="false">IFERROR(INDEX('Master Data'!$K$2:$K$2436,MATCH($B$3&amp;"|"&amp;D146&amp;"|"&amp;B146&amp;"|"&amp;C146,'Master Data'!$A$2:$A$2436,0))&amp;"","")</f>
        <v/>
      </c>
      <c r="I146" s="70" t="s">
        <v>154</v>
      </c>
      <c r="J146" s="67" t="s">
        <v>42</v>
      </c>
      <c r="K146" s="68"/>
      <c r="L146" s="68"/>
      <c r="M146" s="68"/>
      <c r="N146" s="69"/>
      <c r="O146" s="68"/>
    </row>
    <row r="147" customFormat="false" ht="15.75" hidden="false" customHeight="true" outlineLevel="0" collapsed="false">
      <c r="A147" s="66" t="n">
        <v>56</v>
      </c>
      <c r="B147" s="67" t="s">
        <v>92</v>
      </c>
      <c r="C147" s="66" t="s">
        <v>104</v>
      </c>
      <c r="D147" s="66" t="n">
        <v>1</v>
      </c>
      <c r="E147" s="67" t="str">
        <f aca="false">IFERROR(INDEX('Master Data'!$L$2:$L$2436,MATCH($B$3&amp;"|"&amp;D147&amp;"|"&amp;B147&amp;"|"&amp;C147,'Master Data'!$A$2:$A$2436,0)),"")</f>
        <v>Slot kosong</v>
      </c>
      <c r="F147" s="67" t="str">
        <f aca="false">IFERROR(INDEX('Master Data'!$F$2:$F$2436,MATCH($B$3&amp;"|"&amp;D147&amp;"|"&amp;B147&amp;"|"&amp;C147,'Master Data'!$A$2:$A$2436,0))&amp;"","")</f>
        <v/>
      </c>
      <c r="G147" s="66" t="n">
        <f aca="false">IFERROR(INDEX('Master Data'!$G$2:$G$2436,MATCH($B$3&amp;"|"&amp;D147&amp;"|"&amp;B147&amp;"|"&amp;C147,'Master Data'!$A$2:$A$2436,0)),"")</f>
        <v>5</v>
      </c>
      <c r="H147" s="67" t="str">
        <f aca="false">IFERROR(INDEX('Master Data'!$K$2:$K$2436,MATCH($B$3&amp;"|"&amp;D147&amp;"|"&amp;B147&amp;"|"&amp;C147,'Master Data'!$A$2:$A$2436,0))&amp;"","")</f>
        <v/>
      </c>
      <c r="I147" s="70" t="s">
        <v>154</v>
      </c>
      <c r="J147" s="67" t="s">
        <v>155</v>
      </c>
      <c r="K147" s="68"/>
      <c r="L147" s="68"/>
      <c r="M147" s="68"/>
      <c r="N147" s="69"/>
      <c r="O147" s="68"/>
    </row>
    <row r="148" customFormat="false" ht="15.75" hidden="false" customHeight="true" outlineLevel="0" collapsed="false">
      <c r="A148" s="66" t="n">
        <v>57</v>
      </c>
      <c r="B148" s="67" t="s">
        <v>92</v>
      </c>
      <c r="C148" s="66" t="s">
        <v>105</v>
      </c>
      <c r="D148" s="66" t="n">
        <v>1</v>
      </c>
      <c r="E148" s="67" t="str">
        <f aca="false">IFERROR(INDEX('Master Data'!$L$2:$L$2436,MATCH($B$3&amp;"|"&amp;D148&amp;"|"&amp;B148&amp;"|"&amp;C148,'Master Data'!$A$2:$A$2436,0)),"")</f>
        <v>Slot kosong</v>
      </c>
      <c r="F148" s="67" t="str">
        <f aca="false">IFERROR(INDEX('Master Data'!$F$2:$F$2436,MATCH($B$3&amp;"|"&amp;D148&amp;"|"&amp;B148&amp;"|"&amp;C148,'Master Data'!$A$2:$A$2436,0))&amp;"","")</f>
        <v/>
      </c>
      <c r="G148" s="66" t="n">
        <f aca="false">IFERROR(INDEX('Master Data'!$G$2:$G$2436,MATCH($B$3&amp;"|"&amp;D148&amp;"|"&amp;B148&amp;"|"&amp;C148,'Master Data'!$A$2:$A$2436,0)),"")</f>
        <v>5</v>
      </c>
      <c r="H148" s="67" t="str">
        <f aca="false">IFERROR(INDEX('Master Data'!$K$2:$K$2436,MATCH($B$3&amp;"|"&amp;D148&amp;"|"&amp;B148&amp;"|"&amp;C148,'Master Data'!$A$2:$A$2436,0))&amp;"","")</f>
        <v/>
      </c>
      <c r="I148" s="67" t="s">
        <v>282</v>
      </c>
      <c r="J148" s="67" t="s">
        <v>203</v>
      </c>
      <c r="K148" s="68"/>
      <c r="L148" s="68"/>
      <c r="M148" s="68"/>
      <c r="N148" s="69"/>
      <c r="O148" s="68"/>
    </row>
    <row r="149" customFormat="false" ht="15.75" hidden="false" customHeight="true" outlineLevel="0" collapsed="false">
      <c r="A149" s="66" t="n">
        <v>58</v>
      </c>
      <c r="B149" s="67" t="s">
        <v>92</v>
      </c>
      <c r="C149" s="66" t="s">
        <v>105</v>
      </c>
      <c r="D149" s="66" t="n">
        <v>2</v>
      </c>
      <c r="E149" s="67" t="str">
        <f aca="false">IFERROR(INDEX('Master Data'!$L$2:$L$2436,MATCH($B$3&amp;"|"&amp;D149&amp;"|"&amp;B149&amp;"|"&amp;C149,'Master Data'!$A$2:$A$2436,0)),"")</f>
        <v>Slot kosong</v>
      </c>
      <c r="F149" s="67" t="str">
        <f aca="false">IFERROR(INDEX('Master Data'!$F$2:$F$2436,MATCH($B$3&amp;"|"&amp;D149&amp;"|"&amp;B149&amp;"|"&amp;C149,'Master Data'!$A$2:$A$2436,0))&amp;"","")</f>
        <v/>
      </c>
      <c r="G149" s="66" t="n">
        <f aca="false">IFERROR(INDEX('Master Data'!$G$2:$G$2436,MATCH($B$3&amp;"|"&amp;D149&amp;"|"&amp;B149&amp;"|"&amp;C149,'Master Data'!$A$2:$A$2436,0)),"")</f>
        <v>5</v>
      </c>
      <c r="H149" s="67" t="str">
        <f aca="false">IFERROR(INDEX('Master Data'!$K$2:$K$2436,MATCH($B$3&amp;"|"&amp;D149&amp;"|"&amp;B149&amp;"|"&amp;C149,'Master Data'!$A$2:$A$2436,0))&amp;"","")</f>
        <v/>
      </c>
      <c r="I149" s="67" t="s">
        <v>282</v>
      </c>
      <c r="J149" s="67" t="s">
        <v>203</v>
      </c>
      <c r="K149" s="68"/>
      <c r="L149" s="68"/>
      <c r="M149" s="68"/>
      <c r="N149" s="69"/>
      <c r="O149" s="68"/>
    </row>
    <row r="150" customFormat="false" ht="15.75" hidden="false" customHeight="true" outlineLevel="0" collapsed="false">
      <c r="A150" s="66" t="n">
        <v>59</v>
      </c>
      <c r="B150" s="67" t="s">
        <v>92</v>
      </c>
      <c r="C150" s="66" t="s">
        <v>106</v>
      </c>
      <c r="D150" s="66" t="n">
        <v>1</v>
      </c>
      <c r="E150" s="67" t="str">
        <f aca="false">IFERROR(INDEX('Master Data'!$L$2:$L$2436,MATCH($B$3&amp;"|"&amp;D150&amp;"|"&amp;B150&amp;"|"&amp;C150,'Master Data'!$A$2:$A$2436,0)),"")</f>
        <v>Belum terisi</v>
      </c>
      <c r="F150" s="67" t="str">
        <f aca="false">IFERROR(INDEX('Master Data'!$F$2:$F$2436,MATCH($B$3&amp;"|"&amp;D150&amp;"|"&amp;B150&amp;"|"&amp;C150,'Master Data'!$A$2:$A$2436,0))&amp;"","")</f>
        <v>Baby</v>
      </c>
      <c r="G150" s="66" t="n">
        <f aca="false">IFERROR(INDEX('Master Data'!$G$2:$G$2436,MATCH($B$3&amp;"|"&amp;D150&amp;"|"&amp;B150&amp;"|"&amp;C150,'Master Data'!$A$2:$A$2436,0)),"")</f>
        <v>5</v>
      </c>
      <c r="H150" s="67" t="str">
        <f aca="false">IFERROR(INDEX('Master Data'!$K$2:$K$2436,MATCH($B$3&amp;"|"&amp;D150&amp;"|"&amp;B150&amp;"|"&amp;C150,'Master Data'!$A$2:$A$2436,0))&amp;"","")</f>
        <v/>
      </c>
      <c r="I150" s="70" t="s">
        <v>154</v>
      </c>
      <c r="J150" s="67" t="s">
        <v>242</v>
      </c>
      <c r="K150" s="68"/>
      <c r="L150" s="68"/>
      <c r="M150" s="68"/>
      <c r="N150" s="69"/>
      <c r="O150" s="68"/>
    </row>
    <row r="151" customFormat="false" ht="27.75" hidden="false" customHeight="true" outlineLevel="0" collapsed="false">
      <c r="A151" s="66" t="n">
        <v>60</v>
      </c>
      <c r="B151" s="67" t="s">
        <v>92</v>
      </c>
      <c r="C151" s="66" t="s">
        <v>107</v>
      </c>
      <c r="D151" s="66" t="n">
        <v>1</v>
      </c>
      <c r="E151" s="67" t="str">
        <f aca="false">IFERROR(INDEX('Master Data'!$L$2:$L$2436,MATCH($B$3&amp;"|"&amp;D151&amp;"|"&amp;B151&amp;"|"&amp;C151,'Master Data'!$A$2:$A$2436,0)),"")</f>
        <v>Slot kosong</v>
      </c>
      <c r="F151" s="67" t="str">
        <f aca="false">IFERROR(INDEX('Master Data'!$F$2:$F$2436,MATCH($B$3&amp;"|"&amp;D151&amp;"|"&amp;B151&amp;"|"&amp;C151,'Master Data'!$A$2:$A$2436,0))&amp;"","")</f>
        <v/>
      </c>
      <c r="G151" s="66" t="n">
        <f aca="false">IFERROR(INDEX('Master Data'!$G$2:$G$2436,MATCH($B$3&amp;"|"&amp;D151&amp;"|"&amp;B151&amp;"|"&amp;C151,'Master Data'!$A$2:$A$2436,0)),"")</f>
        <v>5</v>
      </c>
      <c r="H151" s="67" t="str">
        <f aca="false">IFERROR(INDEX('Master Data'!$K$2:$K$2436,MATCH($B$3&amp;"|"&amp;D151&amp;"|"&amp;B151&amp;"|"&amp;C151,'Master Data'!$A$2:$A$2436,0))&amp;"","")</f>
        <v/>
      </c>
      <c r="I151" s="67" t="s">
        <v>294</v>
      </c>
      <c r="J151" s="67" t="s">
        <v>134</v>
      </c>
      <c r="K151" s="68"/>
      <c r="L151" s="68"/>
      <c r="M151" s="68"/>
      <c r="N151" s="69"/>
      <c r="O151" s="68"/>
    </row>
    <row r="152" customFormat="false" ht="27.75" hidden="false" customHeight="true" outlineLevel="0" collapsed="false">
      <c r="A152" s="66" t="n">
        <v>61</v>
      </c>
      <c r="B152" s="67" t="s">
        <v>92</v>
      </c>
      <c r="C152" s="66" t="s">
        <v>107</v>
      </c>
      <c r="D152" s="66" t="n">
        <v>2</v>
      </c>
      <c r="E152" s="67" t="str">
        <f aca="false">IFERROR(INDEX('Master Data'!$L$2:$L$2436,MATCH($B$3&amp;"|"&amp;D152&amp;"|"&amp;B152&amp;"|"&amp;C152,'Master Data'!$A$2:$A$2436,0)),"")</f>
        <v>Slot kosong</v>
      </c>
      <c r="F152" s="67" t="str">
        <f aca="false">IFERROR(INDEX('Master Data'!$F$2:$F$2436,MATCH($B$3&amp;"|"&amp;D152&amp;"|"&amp;B152&amp;"|"&amp;C152,'Master Data'!$A$2:$A$2436,0))&amp;"","")</f>
        <v/>
      </c>
      <c r="G152" s="66" t="n">
        <f aca="false">IFERROR(INDEX('Master Data'!$G$2:$G$2436,MATCH($B$3&amp;"|"&amp;D152&amp;"|"&amp;B152&amp;"|"&amp;C152,'Master Data'!$A$2:$A$2436,0)),"")</f>
        <v>5</v>
      </c>
      <c r="H152" s="67" t="str">
        <f aca="false">IFERROR(INDEX('Master Data'!$K$2:$K$2436,MATCH($B$3&amp;"|"&amp;D152&amp;"|"&amp;B152&amp;"|"&amp;C152,'Master Data'!$A$2:$A$2436,0))&amp;"","")</f>
        <v/>
      </c>
      <c r="I152" s="67" t="s">
        <v>294</v>
      </c>
      <c r="J152" s="67" t="s">
        <v>134</v>
      </c>
      <c r="K152" s="68"/>
      <c r="L152" s="68"/>
      <c r="M152" s="68"/>
      <c r="N152" s="69"/>
      <c r="O152" s="68"/>
    </row>
    <row r="153" customFormat="false" ht="52.5" hidden="false" customHeight="true" outlineLevel="0" collapsed="false">
      <c r="A153" s="66" t="n">
        <v>62</v>
      </c>
      <c r="B153" s="67" t="s">
        <v>93</v>
      </c>
      <c r="C153" s="66" t="s">
        <v>111</v>
      </c>
      <c r="D153" s="66" t="n">
        <v>3</v>
      </c>
      <c r="E153" s="67" t="str">
        <f aca="false">IFERROR(INDEX('Master Data'!$L$2:$L$2436,MATCH($B$3&amp;"|"&amp;D153&amp;"|"&amp;B153&amp;"|"&amp;C153,'Master Data'!$A$2:$A$2436,0)),"")</f>
        <v>Belum terisi</v>
      </c>
      <c r="F153" s="67" t="str">
        <f aca="false">IFERROR(INDEX('Master Data'!$F$2:$F$2436,MATCH($B$3&amp;"|"&amp;D153&amp;"|"&amp;B153&amp;"|"&amp;C153,'Master Data'!$A$2:$A$2436,0))&amp;"","")</f>
        <v>Little</v>
      </c>
      <c r="G153" s="66" t="n">
        <f aca="false">IFERROR(INDEX('Master Data'!$G$2:$G$2436,MATCH($B$3&amp;"|"&amp;D153&amp;"|"&amp;B153&amp;"|"&amp;C153,'Master Data'!$A$2:$A$2436,0)),"")</f>
        <v>4</v>
      </c>
      <c r="H153" s="67" t="str">
        <f aca="false">IFERROR(INDEX('Master Data'!$K$2:$K$2436,MATCH($B$3&amp;"|"&amp;D153&amp;"|"&amp;B153&amp;"|"&amp;C153,'Master Data'!$A$2:$A$2436,0))&amp;"","")</f>
        <v/>
      </c>
      <c r="I153" s="67" t="s">
        <v>295</v>
      </c>
      <c r="J153" s="67" t="s">
        <v>134</v>
      </c>
      <c r="K153" s="68"/>
      <c r="L153" s="68"/>
      <c r="M153" s="68"/>
      <c r="N153" s="69"/>
      <c r="O153" s="68"/>
    </row>
    <row r="154" customFormat="false" ht="52.5" hidden="false" customHeight="true" outlineLevel="0" collapsed="false">
      <c r="A154" s="66" t="n">
        <v>63</v>
      </c>
      <c r="B154" s="67" t="s">
        <v>93</v>
      </c>
      <c r="C154" s="66" t="s">
        <v>111</v>
      </c>
      <c r="D154" s="66" t="n">
        <v>4</v>
      </c>
      <c r="E154" s="67" t="str">
        <f aca="false">IFERROR(INDEX('Master Data'!$L$2:$L$2436,MATCH($B$3&amp;"|"&amp;D154&amp;"|"&amp;B154&amp;"|"&amp;C154,'Master Data'!$A$2:$A$2436,0)),"")</f>
        <v>Belum terisi</v>
      </c>
      <c r="F154" s="67" t="str">
        <f aca="false">IFERROR(INDEX('Master Data'!$F$2:$F$2436,MATCH($B$3&amp;"|"&amp;D154&amp;"|"&amp;B154&amp;"|"&amp;C154,'Master Data'!$A$2:$A$2436,0))&amp;"","")</f>
        <v>Kids</v>
      </c>
      <c r="G154" s="66" t="n">
        <f aca="false">IFERROR(INDEX('Master Data'!$G$2:$G$2436,MATCH($B$3&amp;"|"&amp;D154&amp;"|"&amp;B154&amp;"|"&amp;C154,'Master Data'!$A$2:$A$2436,0)),"")</f>
        <v>4</v>
      </c>
      <c r="H154" s="67" t="str">
        <f aca="false">IFERROR(INDEX('Master Data'!$K$2:$K$2436,MATCH($B$3&amp;"|"&amp;D154&amp;"|"&amp;B154&amp;"|"&amp;C154,'Master Data'!$A$2:$A$2436,0))&amp;"","")</f>
        <v/>
      </c>
      <c r="I154" s="67" t="s">
        <v>295</v>
      </c>
      <c r="J154" s="67" t="s">
        <v>134</v>
      </c>
      <c r="K154" s="68"/>
      <c r="L154" s="68"/>
      <c r="M154" s="68"/>
      <c r="N154" s="69"/>
      <c r="O154" s="68"/>
    </row>
    <row r="155" customFormat="false" ht="52.5" hidden="false" customHeight="true" outlineLevel="0" collapsed="false">
      <c r="A155" s="66" t="n">
        <v>64</v>
      </c>
      <c r="B155" s="67" t="s">
        <v>93</v>
      </c>
      <c r="C155" s="66" t="s">
        <v>97</v>
      </c>
      <c r="D155" s="66" t="n">
        <v>1</v>
      </c>
      <c r="E155" s="67" t="str">
        <f aca="false">IFERROR(INDEX('Master Data'!$L$2:$L$2436,MATCH($B$3&amp;"|"&amp;D155&amp;"|"&amp;B155&amp;"|"&amp;C155,'Master Data'!$A$2:$A$2436,0)),"")</f>
        <v>Belum terisi</v>
      </c>
      <c r="F155" s="67" t="str">
        <f aca="false">IFERROR(INDEX('Master Data'!$F$2:$F$2436,MATCH($B$3&amp;"|"&amp;D155&amp;"|"&amp;B155&amp;"|"&amp;C155,'Master Data'!$A$2:$A$2436,0))&amp;"","")</f>
        <v>Baby</v>
      </c>
      <c r="G155" s="66" t="n">
        <f aca="false">IFERROR(INDEX('Master Data'!$G$2:$G$2436,MATCH($B$3&amp;"|"&amp;D155&amp;"|"&amp;B155&amp;"|"&amp;C155,'Master Data'!$A$2:$A$2436,0)),"")</f>
        <v>5</v>
      </c>
      <c r="H155" s="67" t="str">
        <f aca="false">IFERROR(INDEX('Master Data'!$K$2:$K$2436,MATCH($B$3&amp;"|"&amp;D155&amp;"|"&amp;B155&amp;"|"&amp;C155,'Master Data'!$A$2:$A$2436,0))&amp;"","")</f>
        <v/>
      </c>
      <c r="I155" s="67" t="s">
        <v>296</v>
      </c>
      <c r="J155" s="67" t="s">
        <v>134</v>
      </c>
      <c r="K155" s="68"/>
      <c r="L155" s="68"/>
      <c r="M155" s="68"/>
      <c r="N155" s="69"/>
      <c r="O155" s="68"/>
    </row>
    <row r="156" customFormat="false" ht="52.5" hidden="false" customHeight="true" outlineLevel="0" collapsed="false">
      <c r="A156" s="66" t="n">
        <v>65</v>
      </c>
      <c r="B156" s="67" t="s">
        <v>93</v>
      </c>
      <c r="C156" s="66" t="s">
        <v>97</v>
      </c>
      <c r="D156" s="66" t="n">
        <v>2</v>
      </c>
      <c r="E156" s="67" t="str">
        <f aca="false">IFERROR(INDEX('Master Data'!$L$2:$L$2436,MATCH($B$3&amp;"|"&amp;D156&amp;"|"&amp;B156&amp;"|"&amp;C156,'Master Data'!$A$2:$A$2436,0)),"")</f>
        <v>Belum terisi</v>
      </c>
      <c r="F156" s="67" t="str">
        <f aca="false">IFERROR(INDEX('Master Data'!$F$2:$F$2436,MATCH($B$3&amp;"|"&amp;D156&amp;"|"&amp;B156&amp;"|"&amp;C156,'Master Data'!$A$2:$A$2436,0))&amp;"","")</f>
        <v>Tiny</v>
      </c>
      <c r="G156" s="66" t="n">
        <f aca="false">IFERROR(INDEX('Master Data'!$G$2:$G$2436,MATCH($B$3&amp;"|"&amp;D156&amp;"|"&amp;B156&amp;"|"&amp;C156,'Master Data'!$A$2:$A$2436,0)),"")</f>
        <v>5</v>
      </c>
      <c r="H156" s="67" t="str">
        <f aca="false">IFERROR(INDEX('Master Data'!$K$2:$K$2436,MATCH($B$3&amp;"|"&amp;D156&amp;"|"&amp;B156&amp;"|"&amp;C156,'Master Data'!$A$2:$A$2436,0))&amp;"","")</f>
        <v/>
      </c>
      <c r="I156" s="67" t="s">
        <v>296</v>
      </c>
      <c r="J156" s="67" t="s">
        <v>134</v>
      </c>
      <c r="K156" s="68"/>
      <c r="L156" s="68"/>
      <c r="M156" s="68"/>
      <c r="N156" s="69"/>
      <c r="O156" s="68"/>
    </row>
    <row r="157" customFormat="false" ht="40.5" hidden="false" customHeight="true" outlineLevel="0" collapsed="false">
      <c r="A157" s="66" t="n">
        <v>66</v>
      </c>
      <c r="B157" s="67" t="s">
        <v>93</v>
      </c>
      <c r="C157" s="66" t="s">
        <v>112</v>
      </c>
      <c r="D157" s="66" t="n">
        <v>4</v>
      </c>
      <c r="E157" s="67" t="str">
        <f aca="false">IFERROR(INDEX('Master Data'!$L$2:$L$2436,MATCH($B$3&amp;"|"&amp;D157&amp;"|"&amp;B157&amp;"|"&amp;C157,'Master Data'!$A$2:$A$2436,0)),"")</f>
        <v>Belum terisi</v>
      </c>
      <c r="F157" s="67" t="str">
        <f aca="false">IFERROR(INDEX('Master Data'!$F$2:$F$2436,MATCH($B$3&amp;"|"&amp;D157&amp;"|"&amp;B157&amp;"|"&amp;C157,'Master Data'!$A$2:$A$2436,0))&amp;"","")</f>
        <v>Kids</v>
      </c>
      <c r="G157" s="66" t="n">
        <f aca="false">IFERROR(INDEX('Master Data'!$G$2:$G$2436,MATCH($B$3&amp;"|"&amp;D157&amp;"|"&amp;B157&amp;"|"&amp;C157,'Master Data'!$A$2:$A$2436,0)),"")</f>
        <v>4</v>
      </c>
      <c r="H157" s="67" t="str">
        <f aca="false">IFERROR(INDEX('Master Data'!$K$2:$K$2436,MATCH($B$3&amp;"|"&amp;D157&amp;"|"&amp;B157&amp;"|"&amp;C157,'Master Data'!$A$2:$A$2436,0))&amp;"","")</f>
        <v/>
      </c>
      <c r="I157" s="67" t="s">
        <v>297</v>
      </c>
      <c r="J157" s="67" t="s">
        <v>134</v>
      </c>
      <c r="K157" s="68"/>
      <c r="L157" s="68"/>
      <c r="M157" s="68"/>
      <c r="N157" s="69"/>
      <c r="O157" s="68"/>
    </row>
    <row r="158" customFormat="false" ht="27.75" hidden="false" customHeight="true" outlineLevel="0" collapsed="false">
      <c r="A158" s="66" t="n">
        <v>67</v>
      </c>
      <c r="B158" s="67" t="s">
        <v>93</v>
      </c>
      <c r="C158" s="66" t="s">
        <v>98</v>
      </c>
      <c r="D158" s="66" t="n">
        <v>1</v>
      </c>
      <c r="E158" s="67" t="str">
        <f aca="false">IFERROR(INDEX('Master Data'!$L$2:$L$2436,MATCH($B$3&amp;"|"&amp;D158&amp;"|"&amp;B158&amp;"|"&amp;C158,'Master Data'!$A$2:$A$2436,0)),"")</f>
        <v>Belum terisi</v>
      </c>
      <c r="F158" s="67" t="str">
        <f aca="false">IFERROR(INDEX('Master Data'!$F$2:$F$2436,MATCH($B$3&amp;"|"&amp;D158&amp;"|"&amp;B158&amp;"|"&amp;C158,'Master Data'!$A$2:$A$2436,0))&amp;"","")</f>
        <v>Baby</v>
      </c>
      <c r="G158" s="66" t="n">
        <f aca="false">IFERROR(INDEX('Master Data'!$G$2:$G$2436,MATCH($B$3&amp;"|"&amp;D158&amp;"|"&amp;B158&amp;"|"&amp;C158,'Master Data'!$A$2:$A$2436,0)),"")</f>
        <v>5</v>
      </c>
      <c r="H158" s="67" t="str">
        <f aca="false">IFERROR(INDEX('Master Data'!$K$2:$K$2436,MATCH($B$3&amp;"|"&amp;D158&amp;"|"&amp;B158&amp;"|"&amp;C158,'Master Data'!$A$2:$A$2436,0))&amp;"","")</f>
        <v/>
      </c>
      <c r="I158" s="67" t="s">
        <v>298</v>
      </c>
      <c r="J158" s="67" t="s">
        <v>134</v>
      </c>
      <c r="K158" s="68"/>
      <c r="L158" s="68"/>
      <c r="M158" s="68"/>
      <c r="N158" s="69"/>
      <c r="O158" s="68"/>
    </row>
    <row r="159" customFormat="false" ht="40.5" hidden="false" customHeight="true" outlineLevel="0" collapsed="false">
      <c r="A159" s="66" t="n">
        <v>68</v>
      </c>
      <c r="B159" s="67" t="s">
        <v>93</v>
      </c>
      <c r="C159" s="66" t="s">
        <v>113</v>
      </c>
      <c r="D159" s="66" t="n">
        <v>4</v>
      </c>
      <c r="E159" s="67" t="str">
        <f aca="false">IFERROR(INDEX('Master Data'!$L$2:$L$2436,MATCH($B$3&amp;"|"&amp;D159&amp;"|"&amp;B159&amp;"|"&amp;C159,'Master Data'!$A$2:$A$2436,0)),"")</f>
        <v>Belum terisi</v>
      </c>
      <c r="F159" s="67" t="str">
        <f aca="false">IFERROR(INDEX('Master Data'!$F$2:$F$2436,MATCH($B$3&amp;"|"&amp;D159&amp;"|"&amp;B159&amp;"|"&amp;C159,'Master Data'!$A$2:$A$2436,0))&amp;"","")</f>
        <v>Kids</v>
      </c>
      <c r="G159" s="66" t="n">
        <f aca="false">IFERROR(INDEX('Master Data'!$G$2:$G$2436,MATCH($B$3&amp;"|"&amp;D159&amp;"|"&amp;B159&amp;"|"&amp;C159,'Master Data'!$A$2:$A$2436,0)),"")</f>
        <v>4</v>
      </c>
      <c r="H159" s="67" t="str">
        <f aca="false">IFERROR(INDEX('Master Data'!$K$2:$K$2436,MATCH($B$3&amp;"|"&amp;D159&amp;"|"&amp;B159&amp;"|"&amp;C159,'Master Data'!$A$2:$A$2436,0))&amp;"","")</f>
        <v/>
      </c>
      <c r="I159" s="67" t="s">
        <v>299</v>
      </c>
      <c r="J159" s="67" t="s">
        <v>134</v>
      </c>
      <c r="K159" s="68"/>
      <c r="L159" s="68"/>
      <c r="M159" s="68"/>
      <c r="N159" s="69"/>
      <c r="O159" s="68"/>
    </row>
    <row r="160" customFormat="false" ht="40.5" hidden="false" customHeight="true" outlineLevel="0" collapsed="false">
      <c r="A160" s="66" t="n">
        <v>69</v>
      </c>
      <c r="B160" s="67" t="s">
        <v>93</v>
      </c>
      <c r="C160" s="66" t="s">
        <v>99</v>
      </c>
      <c r="D160" s="66" t="n">
        <v>1</v>
      </c>
      <c r="E160" s="67" t="str">
        <f aca="false">IFERROR(INDEX('Master Data'!$L$2:$L$2436,MATCH($B$3&amp;"|"&amp;D160&amp;"|"&amp;B160&amp;"|"&amp;C160,'Master Data'!$A$2:$A$2436,0)),"")</f>
        <v>Belum terisi</v>
      </c>
      <c r="F160" s="67" t="str">
        <f aca="false">IFERROR(INDEX('Master Data'!$F$2:$F$2436,MATCH($B$3&amp;"|"&amp;D160&amp;"|"&amp;B160&amp;"|"&amp;C160,'Master Data'!$A$2:$A$2436,0))&amp;"","")</f>
        <v>Baby</v>
      </c>
      <c r="G160" s="66" t="n">
        <f aca="false">IFERROR(INDEX('Master Data'!$G$2:$G$2436,MATCH($B$3&amp;"|"&amp;D160&amp;"|"&amp;B160&amp;"|"&amp;C160,'Master Data'!$A$2:$A$2436,0)),"")</f>
        <v>5</v>
      </c>
      <c r="H160" s="67" t="str">
        <f aca="false">IFERROR(INDEX('Master Data'!$K$2:$K$2436,MATCH($B$3&amp;"|"&amp;D160&amp;"|"&amp;B160&amp;"|"&amp;C160,'Master Data'!$A$2:$A$2436,0))&amp;"","")</f>
        <v/>
      </c>
      <c r="I160" s="67" t="s">
        <v>300</v>
      </c>
      <c r="J160" s="67" t="s">
        <v>134</v>
      </c>
      <c r="K160" s="68"/>
      <c r="L160" s="68"/>
      <c r="M160" s="68"/>
      <c r="N160" s="69"/>
      <c r="O160" s="68"/>
    </row>
    <row r="161" customFormat="false" ht="40.5" hidden="false" customHeight="true" outlineLevel="0" collapsed="false">
      <c r="A161" s="66" t="n">
        <v>70</v>
      </c>
      <c r="B161" s="67" t="s">
        <v>93</v>
      </c>
      <c r="C161" s="66" t="s">
        <v>99</v>
      </c>
      <c r="D161" s="66" t="n">
        <v>2</v>
      </c>
      <c r="E161" s="67" t="str">
        <f aca="false">IFERROR(INDEX('Master Data'!$L$2:$L$2436,MATCH($B$3&amp;"|"&amp;D161&amp;"|"&amp;B161&amp;"|"&amp;C161,'Master Data'!$A$2:$A$2436,0)),"")</f>
        <v>Belum terisi</v>
      </c>
      <c r="F161" s="67" t="str">
        <f aca="false">IFERROR(INDEX('Master Data'!$F$2:$F$2436,MATCH($B$3&amp;"|"&amp;D161&amp;"|"&amp;B161&amp;"|"&amp;C161,'Master Data'!$A$2:$A$2436,0))&amp;"","")</f>
        <v>Tiny</v>
      </c>
      <c r="G161" s="66" t="n">
        <f aca="false">IFERROR(INDEX('Master Data'!$G$2:$G$2436,MATCH($B$3&amp;"|"&amp;D161&amp;"|"&amp;B161&amp;"|"&amp;C161,'Master Data'!$A$2:$A$2436,0)),"")</f>
        <v>5</v>
      </c>
      <c r="H161" s="67" t="str">
        <f aca="false">IFERROR(INDEX('Master Data'!$K$2:$K$2436,MATCH($B$3&amp;"|"&amp;D161&amp;"|"&amp;B161&amp;"|"&amp;C161,'Master Data'!$A$2:$A$2436,0))&amp;"","")</f>
        <v/>
      </c>
      <c r="I161" s="67" t="s">
        <v>300</v>
      </c>
      <c r="J161" s="67" t="s">
        <v>134</v>
      </c>
      <c r="K161" s="68"/>
      <c r="L161" s="68"/>
      <c r="M161" s="68"/>
      <c r="N161" s="69"/>
      <c r="O161" s="68"/>
    </row>
    <row r="162" customFormat="false" ht="27.75" hidden="false" customHeight="true" outlineLevel="0" collapsed="false">
      <c r="A162" s="66" t="n">
        <v>71</v>
      </c>
      <c r="B162" s="67" t="s">
        <v>93</v>
      </c>
      <c r="C162" s="66" t="s">
        <v>114</v>
      </c>
      <c r="D162" s="66" t="n">
        <v>4</v>
      </c>
      <c r="E162" s="67" t="str">
        <f aca="false">IFERROR(INDEX('Master Data'!$L$2:$L$2436,MATCH($B$3&amp;"|"&amp;D162&amp;"|"&amp;B162&amp;"|"&amp;C162,'Master Data'!$A$2:$A$2436,0)),"")</f>
        <v>Belum terisi</v>
      </c>
      <c r="F162" s="67" t="str">
        <f aca="false">IFERROR(INDEX('Master Data'!$F$2:$F$2436,MATCH($B$3&amp;"|"&amp;D162&amp;"|"&amp;B162&amp;"|"&amp;C162,'Master Data'!$A$2:$A$2436,0))&amp;"","")</f>
        <v>Kids</v>
      </c>
      <c r="G162" s="66" t="n">
        <f aca="false">IFERROR(INDEX('Master Data'!$G$2:$G$2436,MATCH($B$3&amp;"|"&amp;D162&amp;"|"&amp;B162&amp;"|"&amp;C162,'Master Data'!$A$2:$A$2436,0)),"")</f>
        <v>4</v>
      </c>
      <c r="H162" s="67" t="str">
        <f aca="false">IFERROR(INDEX('Master Data'!$K$2:$K$2436,MATCH($B$3&amp;"|"&amp;D162&amp;"|"&amp;B162&amp;"|"&amp;C162,'Master Data'!$A$2:$A$2436,0))&amp;"","")</f>
        <v/>
      </c>
      <c r="I162" s="67" t="s">
        <v>301</v>
      </c>
      <c r="J162" s="67" t="s">
        <v>134</v>
      </c>
      <c r="K162" s="68"/>
      <c r="L162" s="68"/>
      <c r="M162" s="68"/>
      <c r="N162" s="69"/>
      <c r="O162" s="68"/>
    </row>
    <row r="163" customFormat="false" ht="27.75" hidden="false" customHeight="true" outlineLevel="0" collapsed="false">
      <c r="A163" s="66" t="n">
        <v>72</v>
      </c>
      <c r="B163" s="67" t="s">
        <v>93</v>
      </c>
      <c r="C163" s="66" t="s">
        <v>100</v>
      </c>
      <c r="D163" s="66" t="n">
        <v>1</v>
      </c>
      <c r="E163" s="67" t="str">
        <f aca="false">IFERROR(INDEX('Master Data'!$L$2:$L$2436,MATCH($B$3&amp;"|"&amp;D163&amp;"|"&amp;B163&amp;"|"&amp;C163,'Master Data'!$A$2:$A$2436,0)),"")</f>
        <v>Belum terisi</v>
      </c>
      <c r="F163" s="67" t="str">
        <f aca="false">IFERROR(INDEX('Master Data'!$F$2:$F$2436,MATCH($B$3&amp;"|"&amp;D163&amp;"|"&amp;B163&amp;"|"&amp;C163,'Master Data'!$A$2:$A$2436,0))&amp;"","")</f>
        <v>Baby</v>
      </c>
      <c r="G163" s="66" t="n">
        <f aca="false">IFERROR(INDEX('Master Data'!$G$2:$G$2436,MATCH($B$3&amp;"|"&amp;D163&amp;"|"&amp;B163&amp;"|"&amp;C163,'Master Data'!$A$2:$A$2436,0)),"")</f>
        <v>5</v>
      </c>
      <c r="H163" s="67" t="str">
        <f aca="false">IFERROR(INDEX('Master Data'!$K$2:$K$2436,MATCH($B$3&amp;"|"&amp;D163&amp;"|"&amp;B163&amp;"|"&amp;C163,'Master Data'!$A$2:$A$2436,0))&amp;"","")</f>
        <v/>
      </c>
      <c r="I163" s="67" t="s">
        <v>301</v>
      </c>
      <c r="J163" s="67" t="s">
        <v>134</v>
      </c>
      <c r="K163" s="68"/>
      <c r="L163" s="68"/>
      <c r="M163" s="68"/>
      <c r="N163" s="69"/>
      <c r="O163" s="68"/>
    </row>
    <row r="164" customFormat="false" ht="52.5" hidden="false" customHeight="true" outlineLevel="0" collapsed="false">
      <c r="A164" s="66" t="n">
        <v>73</v>
      </c>
      <c r="B164" s="67" t="s">
        <v>93</v>
      </c>
      <c r="C164" s="66" t="s">
        <v>116</v>
      </c>
      <c r="D164" s="66" t="n">
        <v>3</v>
      </c>
      <c r="E164" s="67" t="str">
        <f aca="false">IFERROR(INDEX('Master Data'!$L$2:$L$2436,MATCH($B$3&amp;"|"&amp;D164&amp;"|"&amp;B164&amp;"|"&amp;C164,'Master Data'!$A$2:$A$2436,0)),"")</f>
        <v>Belum terisi</v>
      </c>
      <c r="F164" s="67" t="str">
        <f aca="false">IFERROR(INDEX('Master Data'!$F$2:$F$2436,MATCH($B$3&amp;"|"&amp;D164&amp;"|"&amp;B164&amp;"|"&amp;C164,'Master Data'!$A$2:$A$2436,0))&amp;"","")</f>
        <v>Little</v>
      </c>
      <c r="G164" s="66" t="n">
        <f aca="false">IFERROR(INDEX('Master Data'!$G$2:$G$2436,MATCH($B$3&amp;"|"&amp;D164&amp;"|"&amp;B164&amp;"|"&amp;C164,'Master Data'!$A$2:$A$2436,0)),"")</f>
        <v>4</v>
      </c>
      <c r="H164" s="67" t="str">
        <f aca="false">IFERROR(INDEX('Master Data'!$K$2:$K$2436,MATCH($B$3&amp;"|"&amp;D164&amp;"|"&amp;B164&amp;"|"&amp;C164,'Master Data'!$A$2:$A$2436,0))&amp;"","")</f>
        <v/>
      </c>
      <c r="I164" s="67" t="s">
        <v>295</v>
      </c>
      <c r="J164" s="67" t="s">
        <v>134</v>
      </c>
      <c r="K164" s="68"/>
      <c r="L164" s="68"/>
      <c r="M164" s="68"/>
      <c r="N164" s="69"/>
      <c r="O164" s="68"/>
    </row>
    <row r="165" customFormat="false" ht="52.5" hidden="false" customHeight="true" outlineLevel="0" collapsed="false">
      <c r="A165" s="66" t="n">
        <v>74</v>
      </c>
      <c r="B165" s="67" t="s">
        <v>93</v>
      </c>
      <c r="C165" s="66" t="s">
        <v>116</v>
      </c>
      <c r="D165" s="66" t="n">
        <v>4</v>
      </c>
      <c r="E165" s="67" t="str">
        <f aca="false">IFERROR(INDEX('Master Data'!$L$2:$L$2436,MATCH($B$3&amp;"|"&amp;D165&amp;"|"&amp;B165&amp;"|"&amp;C165,'Master Data'!$A$2:$A$2436,0)),"")</f>
        <v>Belum terisi</v>
      </c>
      <c r="F165" s="67" t="str">
        <f aca="false">IFERROR(INDEX('Master Data'!$F$2:$F$2436,MATCH($B$3&amp;"|"&amp;D165&amp;"|"&amp;B165&amp;"|"&amp;C165,'Master Data'!$A$2:$A$2436,0))&amp;"","")</f>
        <v>Kids</v>
      </c>
      <c r="G165" s="66" t="n">
        <f aca="false">IFERROR(INDEX('Master Data'!$G$2:$G$2436,MATCH($B$3&amp;"|"&amp;D165&amp;"|"&amp;B165&amp;"|"&amp;C165,'Master Data'!$A$2:$A$2436,0)),"")</f>
        <v>4</v>
      </c>
      <c r="H165" s="67" t="str">
        <f aca="false">IFERROR(INDEX('Master Data'!$K$2:$K$2436,MATCH($B$3&amp;"|"&amp;D165&amp;"|"&amp;B165&amp;"|"&amp;C165,'Master Data'!$A$2:$A$2436,0))&amp;"","")</f>
        <v/>
      </c>
      <c r="I165" s="67" t="s">
        <v>295</v>
      </c>
      <c r="J165" s="67" t="s">
        <v>134</v>
      </c>
      <c r="K165" s="68"/>
      <c r="L165" s="68"/>
      <c r="M165" s="68"/>
      <c r="N165" s="69"/>
      <c r="O165" s="68"/>
    </row>
    <row r="166" customFormat="false" ht="40.5" hidden="false" customHeight="true" outlineLevel="0" collapsed="false">
      <c r="A166" s="66" t="n">
        <v>75</v>
      </c>
      <c r="B166" s="67" t="s">
        <v>93</v>
      </c>
      <c r="C166" s="66" t="s">
        <v>102</v>
      </c>
      <c r="D166" s="66" t="n">
        <v>1</v>
      </c>
      <c r="E166" s="67" t="str">
        <f aca="false">IFERROR(INDEX('Master Data'!$L$2:$L$2436,MATCH($B$3&amp;"|"&amp;D166&amp;"|"&amp;B166&amp;"|"&amp;C166,'Master Data'!$A$2:$A$2436,0)),"")</f>
        <v>Belum terisi</v>
      </c>
      <c r="F166" s="67" t="str">
        <f aca="false">IFERROR(INDEX('Master Data'!$F$2:$F$2436,MATCH($B$3&amp;"|"&amp;D166&amp;"|"&amp;B166&amp;"|"&amp;C166,'Master Data'!$A$2:$A$2436,0))&amp;"","")</f>
        <v>Baby</v>
      </c>
      <c r="G166" s="66" t="n">
        <f aca="false">IFERROR(INDEX('Master Data'!$G$2:$G$2436,MATCH($B$3&amp;"|"&amp;D166&amp;"|"&amp;B166&amp;"|"&amp;C166,'Master Data'!$A$2:$A$2436,0)),"")</f>
        <v>5</v>
      </c>
      <c r="H166" s="67" t="str">
        <f aca="false">IFERROR(INDEX('Master Data'!$K$2:$K$2436,MATCH($B$3&amp;"|"&amp;D166&amp;"|"&amp;B166&amp;"|"&amp;C166,'Master Data'!$A$2:$A$2436,0))&amp;"","")</f>
        <v/>
      </c>
      <c r="I166" s="67" t="s">
        <v>297</v>
      </c>
      <c r="J166" s="67" t="s">
        <v>134</v>
      </c>
      <c r="K166" s="68"/>
      <c r="L166" s="68"/>
      <c r="M166" s="68"/>
      <c r="N166" s="69"/>
      <c r="O166" s="68"/>
    </row>
    <row r="167" customFormat="false" ht="40.5" hidden="false" customHeight="true" outlineLevel="0" collapsed="false">
      <c r="A167" s="66" t="n">
        <v>76</v>
      </c>
      <c r="B167" s="67" t="s">
        <v>93</v>
      </c>
      <c r="C167" s="66" t="s">
        <v>102</v>
      </c>
      <c r="D167" s="66" t="n">
        <v>2</v>
      </c>
      <c r="E167" s="67" t="str">
        <f aca="false">IFERROR(INDEX('Master Data'!$L$2:$L$2436,MATCH($B$3&amp;"|"&amp;D167&amp;"|"&amp;B167&amp;"|"&amp;C167,'Master Data'!$A$2:$A$2436,0)),"")</f>
        <v>Belum terisi</v>
      </c>
      <c r="F167" s="67" t="str">
        <f aca="false">IFERROR(INDEX('Master Data'!$F$2:$F$2436,MATCH($B$3&amp;"|"&amp;D167&amp;"|"&amp;B167&amp;"|"&amp;C167,'Master Data'!$A$2:$A$2436,0))&amp;"","")</f>
        <v>Tiny</v>
      </c>
      <c r="G167" s="66" t="n">
        <f aca="false">IFERROR(INDEX('Master Data'!$G$2:$G$2436,MATCH($B$3&amp;"|"&amp;D167&amp;"|"&amp;B167&amp;"|"&amp;C167,'Master Data'!$A$2:$A$2436,0)),"")</f>
        <v>5</v>
      </c>
      <c r="H167" s="67" t="str">
        <f aca="false">IFERROR(INDEX('Master Data'!$K$2:$K$2436,MATCH($B$3&amp;"|"&amp;D167&amp;"|"&amp;B167&amp;"|"&amp;C167,'Master Data'!$A$2:$A$2436,0))&amp;"","")</f>
        <v/>
      </c>
      <c r="I167" s="67" t="s">
        <v>297</v>
      </c>
      <c r="J167" s="67" t="s">
        <v>134</v>
      </c>
      <c r="K167" s="68"/>
      <c r="L167" s="68"/>
      <c r="M167" s="68"/>
      <c r="N167" s="69"/>
      <c r="O167" s="68"/>
    </row>
    <row r="168" customFormat="false" ht="15.75" hidden="false" customHeight="true" outlineLevel="0" collapsed="false">
      <c r="A168" s="66" t="n">
        <v>77</v>
      </c>
      <c r="B168" s="67" t="s">
        <v>93</v>
      </c>
      <c r="C168" s="66" t="s">
        <v>103</v>
      </c>
      <c r="D168" s="66" t="n">
        <v>1</v>
      </c>
      <c r="E168" s="67" t="str">
        <f aca="false">IFERROR(INDEX('Master Data'!$L$2:$L$2436,MATCH($B$3&amp;"|"&amp;D168&amp;"|"&amp;B168&amp;"|"&amp;C168,'Master Data'!$A$2:$A$2436,0)),"")</f>
        <v>Belum terisi</v>
      </c>
      <c r="F168" s="67" t="str">
        <f aca="false">IFERROR(INDEX('Master Data'!$F$2:$F$2436,MATCH($B$3&amp;"|"&amp;D168&amp;"|"&amp;B168&amp;"|"&amp;C168,'Master Data'!$A$2:$A$2436,0))&amp;"","")</f>
        <v>Baby</v>
      </c>
      <c r="G168" s="66" t="n">
        <f aca="false">IFERROR(INDEX('Master Data'!$G$2:$G$2436,MATCH($B$3&amp;"|"&amp;D168&amp;"|"&amp;B168&amp;"|"&amp;C168,'Master Data'!$A$2:$A$2436,0)),"")</f>
        <v>5</v>
      </c>
      <c r="H168" s="67" t="str">
        <f aca="false">IFERROR(INDEX('Master Data'!$K$2:$K$2436,MATCH($B$3&amp;"|"&amp;D168&amp;"|"&amp;B168&amp;"|"&amp;C168,'Master Data'!$A$2:$A$2436,0))&amp;"","")</f>
        <v/>
      </c>
      <c r="I168" s="67" t="s">
        <v>302</v>
      </c>
      <c r="J168" s="67" t="s">
        <v>134</v>
      </c>
      <c r="K168" s="68"/>
      <c r="L168" s="68"/>
      <c r="M168" s="68"/>
      <c r="N168" s="69"/>
      <c r="O168" s="68"/>
    </row>
    <row r="169" customFormat="false" ht="15.75" hidden="false" customHeight="true" outlineLevel="0" collapsed="false">
      <c r="A169" s="66" t="n">
        <v>78</v>
      </c>
      <c r="B169" s="67" t="s">
        <v>93</v>
      </c>
      <c r="C169" s="66" t="s">
        <v>103</v>
      </c>
      <c r="D169" s="66" t="n">
        <v>2</v>
      </c>
      <c r="E169" s="67" t="str">
        <f aca="false">IFERROR(INDEX('Master Data'!$L$2:$L$2436,MATCH($B$3&amp;"|"&amp;D169&amp;"|"&amp;B169&amp;"|"&amp;C169,'Master Data'!$A$2:$A$2436,0)),"")</f>
        <v>Belum terisi</v>
      </c>
      <c r="F169" s="67" t="str">
        <f aca="false">IFERROR(INDEX('Master Data'!$F$2:$F$2436,MATCH($B$3&amp;"|"&amp;D169&amp;"|"&amp;B169&amp;"|"&amp;C169,'Master Data'!$A$2:$A$2436,0))&amp;"","")</f>
        <v>Tiny</v>
      </c>
      <c r="G169" s="66" t="n">
        <f aca="false">IFERROR(INDEX('Master Data'!$G$2:$G$2436,MATCH($B$3&amp;"|"&amp;D169&amp;"|"&amp;B169&amp;"|"&amp;C169,'Master Data'!$A$2:$A$2436,0)),"")</f>
        <v>5</v>
      </c>
      <c r="H169" s="67" t="str">
        <f aca="false">IFERROR(INDEX('Master Data'!$K$2:$K$2436,MATCH($B$3&amp;"|"&amp;D169&amp;"|"&amp;B169&amp;"|"&amp;C169,'Master Data'!$A$2:$A$2436,0))&amp;"","")</f>
        <v/>
      </c>
      <c r="I169" s="67" t="s">
        <v>302</v>
      </c>
      <c r="J169" s="67" t="s">
        <v>134</v>
      </c>
      <c r="K169" s="68"/>
      <c r="L169" s="68"/>
      <c r="M169" s="68"/>
      <c r="N169" s="69"/>
      <c r="O169" s="68"/>
    </row>
    <row r="170" customFormat="false" ht="15.75" hidden="false" customHeight="true" outlineLevel="0" collapsed="false">
      <c r="A170" s="66" t="n">
        <v>79</v>
      </c>
      <c r="B170" s="67" t="s">
        <v>93</v>
      </c>
      <c r="C170" s="66" t="s">
        <v>104</v>
      </c>
      <c r="D170" s="66" t="n">
        <v>1</v>
      </c>
      <c r="E170" s="67" t="str">
        <f aca="false">IFERROR(INDEX('Master Data'!$L$2:$L$2436,MATCH($B$3&amp;"|"&amp;D170&amp;"|"&amp;B170&amp;"|"&amp;C170,'Master Data'!$A$2:$A$2436,0)),"")</f>
        <v>Belum terisi</v>
      </c>
      <c r="F170" s="67" t="str">
        <f aca="false">IFERROR(INDEX('Master Data'!$F$2:$F$2436,MATCH($B$3&amp;"|"&amp;D170&amp;"|"&amp;B170&amp;"|"&amp;C170,'Master Data'!$A$2:$A$2436,0))&amp;"","")</f>
        <v>Baby</v>
      </c>
      <c r="G170" s="66" t="n">
        <f aca="false">IFERROR(INDEX('Master Data'!$G$2:$G$2436,MATCH($B$3&amp;"|"&amp;D170&amp;"|"&amp;B170&amp;"|"&amp;C170,'Master Data'!$A$2:$A$2436,0)),"")</f>
        <v>5</v>
      </c>
      <c r="H170" s="67" t="str">
        <f aca="false">IFERROR(INDEX('Master Data'!$K$2:$K$2436,MATCH($B$3&amp;"|"&amp;D170&amp;"|"&amp;B170&amp;"|"&amp;C170,'Master Data'!$A$2:$A$2436,0))&amp;"","")</f>
        <v>Laksamana</v>
      </c>
      <c r="I170" s="70" t="s">
        <v>154</v>
      </c>
      <c r="J170" s="67" t="s">
        <v>134</v>
      </c>
      <c r="K170" s="68"/>
      <c r="L170" s="68"/>
      <c r="M170" s="68"/>
      <c r="N170" s="69"/>
      <c r="O170" s="68"/>
    </row>
    <row r="171" customFormat="false" ht="27.75" hidden="false" customHeight="true" outlineLevel="0" collapsed="false">
      <c r="A171" s="66" t="n">
        <v>80</v>
      </c>
      <c r="B171" s="67" t="s">
        <v>93</v>
      </c>
      <c r="C171" s="66" t="s">
        <v>105</v>
      </c>
      <c r="D171" s="66" t="n">
        <v>1</v>
      </c>
      <c r="E171" s="67" t="str">
        <f aca="false">IFERROR(INDEX('Master Data'!$L$2:$L$2436,MATCH($B$3&amp;"|"&amp;D171&amp;"|"&amp;B171&amp;"|"&amp;C171,'Master Data'!$A$2:$A$2436,0)),"")</f>
        <v>Slot kosong</v>
      </c>
      <c r="F171" s="67" t="str">
        <f aca="false">IFERROR(INDEX('Master Data'!$F$2:$F$2436,MATCH($B$3&amp;"|"&amp;D171&amp;"|"&amp;B171&amp;"|"&amp;C171,'Master Data'!$A$2:$A$2436,0))&amp;"","")</f>
        <v/>
      </c>
      <c r="G171" s="66" t="n">
        <f aca="false">IFERROR(INDEX('Master Data'!$G$2:$G$2436,MATCH($B$3&amp;"|"&amp;D171&amp;"|"&amp;B171&amp;"|"&amp;C171,'Master Data'!$A$2:$A$2436,0)),"")</f>
        <v>5</v>
      </c>
      <c r="H171" s="67" t="str">
        <f aca="false">IFERROR(INDEX('Master Data'!$K$2:$K$2436,MATCH($B$3&amp;"|"&amp;D171&amp;"|"&amp;B171&amp;"|"&amp;C171,'Master Data'!$A$2:$A$2436,0))&amp;"","")</f>
        <v/>
      </c>
      <c r="I171" s="67" t="s">
        <v>298</v>
      </c>
      <c r="J171" s="67" t="s">
        <v>134</v>
      </c>
      <c r="K171" s="68"/>
      <c r="L171" s="68"/>
      <c r="M171" s="68"/>
      <c r="N171" s="69"/>
      <c r="O171" s="68"/>
    </row>
    <row r="172" customFormat="false" ht="27.75" hidden="false" customHeight="true" outlineLevel="0" collapsed="false">
      <c r="A172" s="66" t="n">
        <v>81</v>
      </c>
      <c r="B172" s="67" t="s">
        <v>93</v>
      </c>
      <c r="C172" s="66" t="s">
        <v>107</v>
      </c>
      <c r="D172" s="66" t="n">
        <v>1</v>
      </c>
      <c r="E172" s="67" t="str">
        <f aca="false">IFERROR(INDEX('Master Data'!$L$2:$L$2436,MATCH($B$3&amp;"|"&amp;D172&amp;"|"&amp;B172&amp;"|"&amp;C172,'Master Data'!$A$2:$A$2436,0)),"")</f>
        <v>Slot kosong</v>
      </c>
      <c r="F172" s="67" t="str">
        <f aca="false">IFERROR(INDEX('Master Data'!$F$2:$F$2436,MATCH($B$3&amp;"|"&amp;D172&amp;"|"&amp;B172&amp;"|"&amp;C172,'Master Data'!$A$2:$A$2436,0))&amp;"","")</f>
        <v/>
      </c>
      <c r="G172" s="66" t="n">
        <f aca="false">IFERROR(INDEX('Master Data'!$G$2:$G$2436,MATCH($B$3&amp;"|"&amp;D172&amp;"|"&amp;B172&amp;"|"&amp;C172,'Master Data'!$A$2:$A$2436,0)),"")</f>
        <v>5</v>
      </c>
      <c r="H172" s="67" t="str">
        <f aca="false">IFERROR(INDEX('Master Data'!$K$2:$K$2436,MATCH($B$3&amp;"|"&amp;D172&amp;"|"&amp;B172&amp;"|"&amp;C172,'Master Data'!$A$2:$A$2436,0))&amp;"","")</f>
        <v/>
      </c>
      <c r="I172" s="67" t="s">
        <v>298</v>
      </c>
      <c r="J172" s="67" t="s">
        <v>134</v>
      </c>
      <c r="K172" s="68"/>
      <c r="L172" s="68"/>
      <c r="M172" s="68"/>
      <c r="N172" s="69"/>
      <c r="O172" s="68"/>
    </row>
    <row r="173" customFormat="false" ht="27.75" hidden="false" customHeight="true" outlineLevel="0" collapsed="false">
      <c r="A173" s="66" t="n">
        <v>82</v>
      </c>
      <c r="B173" s="67" t="s">
        <v>93</v>
      </c>
      <c r="C173" s="66" t="s">
        <v>107</v>
      </c>
      <c r="D173" s="66" t="n">
        <v>2</v>
      </c>
      <c r="E173" s="67" t="str">
        <f aca="false">IFERROR(INDEX('Master Data'!$L$2:$L$2436,MATCH($B$3&amp;"|"&amp;D173&amp;"|"&amp;B173&amp;"|"&amp;C173,'Master Data'!$A$2:$A$2436,0)),"")</f>
        <v>Slot kosong</v>
      </c>
      <c r="F173" s="67" t="str">
        <f aca="false">IFERROR(INDEX('Master Data'!$F$2:$F$2436,MATCH($B$3&amp;"|"&amp;D173&amp;"|"&amp;B173&amp;"|"&amp;C173,'Master Data'!$A$2:$A$2436,0))&amp;"","")</f>
        <v/>
      </c>
      <c r="G173" s="66" t="n">
        <f aca="false">IFERROR(INDEX('Master Data'!$G$2:$G$2436,MATCH($B$3&amp;"|"&amp;D173&amp;"|"&amp;B173&amp;"|"&amp;C173,'Master Data'!$A$2:$A$2436,0)),"")</f>
        <v>5</v>
      </c>
      <c r="H173" s="67" t="str">
        <f aca="false">IFERROR(INDEX('Master Data'!$K$2:$K$2436,MATCH($B$3&amp;"|"&amp;D173&amp;"|"&amp;B173&amp;"|"&amp;C173,'Master Data'!$A$2:$A$2436,0))&amp;"","")</f>
        <v/>
      </c>
      <c r="I173" s="67" t="s">
        <v>298</v>
      </c>
      <c r="J173" s="67" t="s">
        <v>134</v>
      </c>
      <c r="K173" s="68"/>
      <c r="L173" s="68"/>
      <c r="M173" s="68"/>
      <c r="N173" s="69"/>
      <c r="O173" s="68"/>
    </row>
    <row r="174" customFormat="false" ht="27.75" hidden="false" customHeight="true" outlineLevel="0" collapsed="false">
      <c r="A174" s="66" t="n">
        <v>83</v>
      </c>
      <c r="B174" s="67" t="s">
        <v>94</v>
      </c>
      <c r="C174" s="66" t="s">
        <v>111</v>
      </c>
      <c r="D174" s="66" t="n">
        <v>4</v>
      </c>
      <c r="E174" s="67" t="str">
        <f aca="false">IFERROR(INDEX('Master Data'!$L$2:$L$2436,MATCH($B$3&amp;"|"&amp;D174&amp;"|"&amp;B174&amp;"|"&amp;C174,'Master Data'!$A$2:$A$2436,0)),"")</f>
        <v>Belum terisi</v>
      </c>
      <c r="F174" s="67" t="str">
        <f aca="false">IFERROR(INDEX('Master Data'!$F$2:$F$2436,MATCH($B$3&amp;"|"&amp;D174&amp;"|"&amp;B174&amp;"|"&amp;C174,'Master Data'!$A$2:$A$2436,0))&amp;"","")</f>
        <v>Kids</v>
      </c>
      <c r="G174" s="66" t="n">
        <f aca="false">IFERROR(INDEX('Master Data'!$G$2:$G$2436,MATCH($B$3&amp;"|"&amp;D174&amp;"|"&amp;B174&amp;"|"&amp;C174,'Master Data'!$A$2:$A$2436,0)),"")</f>
        <v>4</v>
      </c>
      <c r="H174" s="67" t="str">
        <f aca="false">IFERROR(INDEX('Master Data'!$K$2:$K$2436,MATCH($B$3&amp;"|"&amp;D174&amp;"|"&amp;B174&amp;"|"&amp;C174,'Master Data'!$A$2:$A$2436,0))&amp;"","")</f>
        <v/>
      </c>
      <c r="I174" s="67" t="s">
        <v>303</v>
      </c>
      <c r="J174" s="67" t="s">
        <v>134</v>
      </c>
      <c r="K174" s="68"/>
      <c r="L174" s="68"/>
      <c r="M174" s="68"/>
      <c r="N174" s="69"/>
      <c r="O174" s="68"/>
    </row>
    <row r="175" customFormat="false" ht="27.75" hidden="false" customHeight="true" outlineLevel="0" collapsed="false">
      <c r="A175" s="66" t="n">
        <v>84</v>
      </c>
      <c r="B175" s="67" t="s">
        <v>94</v>
      </c>
      <c r="C175" s="66" t="s">
        <v>112</v>
      </c>
      <c r="D175" s="66" t="n">
        <v>5</v>
      </c>
      <c r="E175" s="67" t="str">
        <f aca="false">IFERROR(INDEX('Master Data'!$L$2:$L$2436,MATCH($B$3&amp;"|"&amp;D175&amp;"|"&amp;B175&amp;"|"&amp;C175,'Master Data'!$A$2:$A$2436,0)),"")</f>
        <v>Slot kosong</v>
      </c>
      <c r="F175" s="67" t="str">
        <f aca="false">IFERROR(INDEX('Master Data'!$F$2:$F$2436,MATCH($B$3&amp;"|"&amp;D175&amp;"|"&amp;B175&amp;"|"&amp;C175,'Master Data'!$A$2:$A$2436,0))&amp;"","")</f>
        <v/>
      </c>
      <c r="G175" s="66" t="n">
        <f aca="false">IFERROR(INDEX('Master Data'!$G$2:$G$2436,MATCH($B$3&amp;"|"&amp;D175&amp;"|"&amp;B175&amp;"|"&amp;C175,'Master Data'!$A$2:$A$2436,0)),"")</f>
        <v>4</v>
      </c>
      <c r="H175" s="67" t="str">
        <f aca="false">IFERROR(INDEX('Master Data'!$K$2:$K$2436,MATCH($B$3&amp;"|"&amp;D175&amp;"|"&amp;B175&amp;"|"&amp;C175,'Master Data'!$A$2:$A$2436,0))&amp;"","")</f>
        <v/>
      </c>
      <c r="I175" s="67" t="s">
        <v>304</v>
      </c>
      <c r="J175" s="67" t="s">
        <v>134</v>
      </c>
      <c r="K175" s="68"/>
      <c r="L175" s="68"/>
      <c r="M175" s="68"/>
      <c r="N175" s="69"/>
      <c r="O175" s="68"/>
    </row>
    <row r="176" customFormat="false" ht="27.75" hidden="false" customHeight="true" outlineLevel="0" collapsed="false">
      <c r="A176" s="66" t="n">
        <v>85</v>
      </c>
      <c r="B176" s="67" t="s">
        <v>94</v>
      </c>
      <c r="C176" s="66" t="s">
        <v>98</v>
      </c>
      <c r="D176" s="66" t="n">
        <v>1</v>
      </c>
      <c r="E176" s="67" t="str">
        <f aca="false">IFERROR(INDEX('Master Data'!$L$2:$L$2436,MATCH($B$3&amp;"|"&amp;D176&amp;"|"&amp;B176&amp;"|"&amp;C176,'Master Data'!$A$2:$A$2436,0)),"")</f>
        <v>Belum terisi</v>
      </c>
      <c r="F176" s="67" t="str">
        <f aca="false">IFERROR(INDEX('Master Data'!$F$2:$F$2436,MATCH($B$3&amp;"|"&amp;D176&amp;"|"&amp;B176&amp;"|"&amp;C176,'Master Data'!$A$2:$A$2436,0))&amp;"","")</f>
        <v>Baby</v>
      </c>
      <c r="G176" s="66" t="n">
        <f aca="false">IFERROR(INDEX('Master Data'!$G$2:$G$2436,MATCH($B$3&amp;"|"&amp;D176&amp;"|"&amp;B176&amp;"|"&amp;C176,'Master Data'!$A$2:$A$2436,0)),"")</f>
        <v>5</v>
      </c>
      <c r="H176" s="67" t="str">
        <f aca="false">IFERROR(INDEX('Master Data'!$K$2:$K$2436,MATCH($B$3&amp;"|"&amp;D176&amp;"|"&amp;B176&amp;"|"&amp;C176,'Master Data'!$A$2:$A$2436,0))&amp;"","")</f>
        <v/>
      </c>
      <c r="I176" s="67" t="s">
        <v>304</v>
      </c>
      <c r="J176" s="67" t="s">
        <v>134</v>
      </c>
      <c r="K176" s="68"/>
      <c r="L176" s="68"/>
      <c r="M176" s="68"/>
      <c r="N176" s="69"/>
      <c r="O176" s="68"/>
    </row>
    <row r="177" customFormat="false" ht="40.5" hidden="false" customHeight="true" outlineLevel="0" collapsed="false">
      <c r="A177" s="66" t="n">
        <v>86</v>
      </c>
      <c r="B177" s="67" t="s">
        <v>94</v>
      </c>
      <c r="C177" s="66" t="s">
        <v>113</v>
      </c>
      <c r="D177" s="66" t="n">
        <v>4</v>
      </c>
      <c r="E177" s="67" t="str">
        <f aca="false">IFERROR(INDEX('Master Data'!$L$2:$L$2436,MATCH($B$3&amp;"|"&amp;D177&amp;"|"&amp;B177&amp;"|"&amp;C177,'Master Data'!$A$2:$A$2436,0)),"")</f>
        <v>Belum terisi</v>
      </c>
      <c r="F177" s="67" t="str">
        <f aca="false">IFERROR(INDEX('Master Data'!$F$2:$F$2436,MATCH($B$3&amp;"|"&amp;D177&amp;"|"&amp;B177&amp;"|"&amp;C177,'Master Data'!$A$2:$A$2436,0))&amp;"","")</f>
        <v>Kids</v>
      </c>
      <c r="G177" s="66" t="n">
        <f aca="false">IFERROR(INDEX('Master Data'!$G$2:$G$2436,MATCH($B$3&amp;"|"&amp;D177&amp;"|"&amp;B177&amp;"|"&amp;C177,'Master Data'!$A$2:$A$2436,0)),"")</f>
        <v>4</v>
      </c>
      <c r="H177" s="67" t="str">
        <f aca="false">IFERROR(INDEX('Master Data'!$K$2:$K$2436,MATCH($B$3&amp;"|"&amp;D177&amp;"|"&amp;B177&amp;"|"&amp;C177,'Master Data'!$A$2:$A$2436,0))&amp;"","")</f>
        <v/>
      </c>
      <c r="I177" s="67" t="s">
        <v>305</v>
      </c>
      <c r="J177" s="67" t="s">
        <v>134</v>
      </c>
      <c r="K177" s="68"/>
      <c r="L177" s="68"/>
      <c r="M177" s="68"/>
      <c r="N177" s="69"/>
      <c r="O177" s="68"/>
    </row>
    <row r="178" customFormat="false" ht="40.5" hidden="false" customHeight="true" outlineLevel="0" collapsed="false">
      <c r="A178" s="66" t="n">
        <v>87</v>
      </c>
      <c r="B178" s="67" t="s">
        <v>94</v>
      </c>
      <c r="C178" s="66" t="s">
        <v>113</v>
      </c>
      <c r="D178" s="66" t="n">
        <v>5</v>
      </c>
      <c r="E178" s="67" t="str">
        <f aca="false">IFERROR(INDEX('Master Data'!$L$2:$L$2436,MATCH($B$3&amp;"|"&amp;D178&amp;"|"&amp;B178&amp;"|"&amp;C178,'Master Data'!$A$2:$A$2436,0)),"")</f>
        <v>Slot kosong</v>
      </c>
      <c r="F178" s="67" t="str">
        <f aca="false">IFERROR(INDEX('Master Data'!$F$2:$F$2436,MATCH($B$3&amp;"|"&amp;D178&amp;"|"&amp;B178&amp;"|"&amp;C178,'Master Data'!$A$2:$A$2436,0))&amp;"","")</f>
        <v/>
      </c>
      <c r="G178" s="66" t="n">
        <f aca="false">IFERROR(INDEX('Master Data'!$G$2:$G$2436,MATCH($B$3&amp;"|"&amp;D178&amp;"|"&amp;B178&amp;"|"&amp;C178,'Master Data'!$A$2:$A$2436,0)),"")</f>
        <v>4</v>
      </c>
      <c r="H178" s="67" t="str">
        <f aca="false">IFERROR(INDEX('Master Data'!$K$2:$K$2436,MATCH($B$3&amp;"|"&amp;D178&amp;"|"&amp;B178&amp;"|"&amp;C178,'Master Data'!$A$2:$A$2436,0))&amp;"","")</f>
        <v/>
      </c>
      <c r="I178" s="67" t="s">
        <v>305</v>
      </c>
      <c r="J178" s="67" t="s">
        <v>134</v>
      </c>
      <c r="K178" s="68"/>
      <c r="L178" s="68"/>
      <c r="M178" s="68"/>
      <c r="N178" s="69"/>
      <c r="O178" s="68"/>
    </row>
    <row r="179" customFormat="false" ht="40.5" hidden="false" customHeight="true" outlineLevel="0" collapsed="false">
      <c r="A179" s="66" t="n">
        <v>88</v>
      </c>
      <c r="B179" s="67" t="s">
        <v>94</v>
      </c>
      <c r="C179" s="66" t="s">
        <v>99</v>
      </c>
      <c r="D179" s="66" t="n">
        <v>2</v>
      </c>
      <c r="E179" s="67" t="str">
        <f aca="false">IFERROR(INDEX('Master Data'!$L$2:$L$2436,MATCH($B$3&amp;"|"&amp;D179&amp;"|"&amp;B179&amp;"|"&amp;C179,'Master Data'!$A$2:$A$2436,0)),"")</f>
        <v>Belum terisi</v>
      </c>
      <c r="F179" s="67" t="str">
        <f aca="false">IFERROR(INDEX('Master Data'!$F$2:$F$2436,MATCH($B$3&amp;"|"&amp;D179&amp;"|"&amp;B179&amp;"|"&amp;C179,'Master Data'!$A$2:$A$2436,0))&amp;"","")</f>
        <v>Tiny</v>
      </c>
      <c r="G179" s="66" t="n">
        <f aca="false">IFERROR(INDEX('Master Data'!$G$2:$G$2436,MATCH($B$3&amp;"|"&amp;D179&amp;"|"&amp;B179&amp;"|"&amp;C179,'Master Data'!$A$2:$A$2436,0)),"")</f>
        <v>5</v>
      </c>
      <c r="H179" s="67" t="str">
        <f aca="false">IFERROR(INDEX('Master Data'!$K$2:$K$2436,MATCH($B$3&amp;"|"&amp;D179&amp;"|"&amp;B179&amp;"|"&amp;C179,'Master Data'!$A$2:$A$2436,0))&amp;"","")</f>
        <v/>
      </c>
      <c r="I179" s="67" t="s">
        <v>306</v>
      </c>
      <c r="J179" s="67" t="s">
        <v>134</v>
      </c>
      <c r="K179" s="68"/>
      <c r="L179" s="68"/>
      <c r="M179" s="68"/>
      <c r="N179" s="69"/>
      <c r="O179" s="68"/>
    </row>
    <row r="180" customFormat="false" ht="40.5" hidden="false" customHeight="true" outlineLevel="0" collapsed="false">
      <c r="A180" s="66" t="n">
        <v>89</v>
      </c>
      <c r="B180" s="67" t="s">
        <v>94</v>
      </c>
      <c r="C180" s="66" t="s">
        <v>114</v>
      </c>
      <c r="D180" s="66" t="n">
        <v>3</v>
      </c>
      <c r="E180" s="67" t="str">
        <f aca="false">IFERROR(INDEX('Master Data'!$L$2:$L$2436,MATCH($B$3&amp;"|"&amp;D180&amp;"|"&amp;B180&amp;"|"&amp;C180,'Master Data'!$A$2:$A$2436,0)),"")</f>
        <v>Belum terisi</v>
      </c>
      <c r="F180" s="67" t="str">
        <f aca="false">IFERROR(INDEX('Master Data'!$F$2:$F$2436,MATCH($B$3&amp;"|"&amp;D180&amp;"|"&amp;B180&amp;"|"&amp;C180,'Master Data'!$A$2:$A$2436,0))&amp;"","")</f>
        <v>Little</v>
      </c>
      <c r="G180" s="66" t="n">
        <f aca="false">IFERROR(INDEX('Master Data'!$G$2:$G$2436,MATCH($B$3&amp;"|"&amp;D180&amp;"|"&amp;B180&amp;"|"&amp;C180,'Master Data'!$A$2:$A$2436,0)),"")</f>
        <v>4</v>
      </c>
      <c r="H180" s="67" t="str">
        <f aca="false">IFERROR(INDEX('Master Data'!$K$2:$K$2436,MATCH($B$3&amp;"|"&amp;D180&amp;"|"&amp;B180&amp;"|"&amp;C180,'Master Data'!$A$2:$A$2436,0))&amp;"","")</f>
        <v/>
      </c>
      <c r="I180" s="67" t="s">
        <v>307</v>
      </c>
      <c r="J180" s="67" t="s">
        <v>134</v>
      </c>
      <c r="K180" s="68"/>
      <c r="L180" s="68"/>
      <c r="M180" s="68"/>
      <c r="N180" s="69"/>
      <c r="O180" s="68"/>
    </row>
    <row r="181" customFormat="false" ht="40.5" hidden="false" customHeight="true" outlineLevel="0" collapsed="false">
      <c r="A181" s="66" t="n">
        <v>90</v>
      </c>
      <c r="B181" s="67" t="s">
        <v>94</v>
      </c>
      <c r="C181" s="66" t="s">
        <v>114</v>
      </c>
      <c r="D181" s="66" t="n">
        <v>5</v>
      </c>
      <c r="E181" s="67" t="str">
        <f aca="false">IFERROR(INDEX('Master Data'!$L$2:$L$2436,MATCH($B$3&amp;"|"&amp;D181&amp;"|"&amp;B181&amp;"|"&amp;C181,'Master Data'!$A$2:$A$2436,0)),"")</f>
        <v>Slot kosong</v>
      </c>
      <c r="F181" s="67" t="str">
        <f aca="false">IFERROR(INDEX('Master Data'!$F$2:$F$2436,MATCH($B$3&amp;"|"&amp;D181&amp;"|"&amp;B181&amp;"|"&amp;C181,'Master Data'!$A$2:$A$2436,0))&amp;"","")</f>
        <v/>
      </c>
      <c r="G181" s="66" t="n">
        <f aca="false">IFERROR(INDEX('Master Data'!$G$2:$G$2436,MATCH($B$3&amp;"|"&amp;D181&amp;"|"&amp;B181&amp;"|"&amp;C181,'Master Data'!$A$2:$A$2436,0)),"")</f>
        <v>4</v>
      </c>
      <c r="H181" s="67" t="str">
        <f aca="false">IFERROR(INDEX('Master Data'!$K$2:$K$2436,MATCH($B$3&amp;"|"&amp;D181&amp;"|"&amp;B181&amp;"|"&amp;C181,'Master Data'!$A$2:$A$2436,0))&amp;"","")</f>
        <v/>
      </c>
      <c r="I181" s="67" t="s">
        <v>307</v>
      </c>
      <c r="J181" s="67" t="s">
        <v>134</v>
      </c>
      <c r="K181" s="68"/>
      <c r="L181" s="68"/>
      <c r="M181" s="68"/>
      <c r="N181" s="69"/>
      <c r="O181" s="68"/>
    </row>
    <row r="182" customFormat="false" ht="52.5" hidden="false" customHeight="true" outlineLevel="0" collapsed="false">
      <c r="A182" s="66" t="n">
        <v>91</v>
      </c>
      <c r="B182" s="67" t="s">
        <v>94</v>
      </c>
      <c r="C182" s="66" t="s">
        <v>100</v>
      </c>
      <c r="D182" s="66" t="n">
        <v>2</v>
      </c>
      <c r="E182" s="67" t="str">
        <f aca="false">IFERROR(INDEX('Master Data'!$L$2:$L$2436,MATCH($B$3&amp;"|"&amp;D182&amp;"|"&amp;B182&amp;"|"&amp;C182,'Master Data'!$A$2:$A$2436,0)),"")</f>
        <v>Belum terisi</v>
      </c>
      <c r="F182" s="67" t="str">
        <f aca="false">IFERROR(INDEX('Master Data'!$F$2:$F$2436,MATCH($B$3&amp;"|"&amp;D182&amp;"|"&amp;B182&amp;"|"&amp;C182,'Master Data'!$A$2:$A$2436,0))&amp;"","")</f>
        <v>Tiny</v>
      </c>
      <c r="G182" s="66" t="n">
        <f aca="false">IFERROR(INDEX('Master Data'!$G$2:$G$2436,MATCH($B$3&amp;"|"&amp;D182&amp;"|"&amp;B182&amp;"|"&amp;C182,'Master Data'!$A$2:$A$2436,0)),"")</f>
        <v>5</v>
      </c>
      <c r="H182" s="67" t="str">
        <f aca="false">IFERROR(INDEX('Master Data'!$K$2:$K$2436,MATCH($B$3&amp;"|"&amp;D182&amp;"|"&amp;B182&amp;"|"&amp;C182,'Master Data'!$A$2:$A$2436,0))&amp;"","")</f>
        <v/>
      </c>
      <c r="I182" s="67" t="s">
        <v>308</v>
      </c>
      <c r="J182" s="67" t="s">
        <v>134</v>
      </c>
      <c r="K182" s="68"/>
      <c r="L182" s="68"/>
      <c r="M182" s="68"/>
      <c r="N182" s="69"/>
      <c r="O182" s="68"/>
    </row>
    <row r="183" customFormat="false" ht="65.25" hidden="false" customHeight="true" outlineLevel="0" collapsed="false">
      <c r="A183" s="66" t="n">
        <v>92</v>
      </c>
      <c r="B183" s="67" t="s">
        <v>94</v>
      </c>
      <c r="C183" s="66" t="s">
        <v>115</v>
      </c>
      <c r="D183" s="66" t="n">
        <v>5</v>
      </c>
      <c r="E183" s="67" t="str">
        <f aca="false">IFERROR(INDEX('Master Data'!$L$2:$L$2436,MATCH($B$3&amp;"|"&amp;D183&amp;"|"&amp;B183&amp;"|"&amp;C183,'Master Data'!$A$2:$A$2436,0)),"")</f>
        <v>Slot kosong</v>
      </c>
      <c r="F183" s="67" t="str">
        <f aca="false">IFERROR(INDEX('Master Data'!$F$2:$F$2436,MATCH($B$3&amp;"|"&amp;D183&amp;"|"&amp;B183&amp;"|"&amp;C183,'Master Data'!$A$2:$A$2436,0))&amp;"","")</f>
        <v/>
      </c>
      <c r="G183" s="66" t="n">
        <f aca="false">IFERROR(INDEX('Master Data'!$G$2:$G$2436,MATCH($B$3&amp;"|"&amp;D183&amp;"|"&amp;B183&amp;"|"&amp;C183,'Master Data'!$A$2:$A$2436,0)),"")</f>
        <v>4</v>
      </c>
      <c r="H183" s="67" t="str">
        <f aca="false">IFERROR(INDEX('Master Data'!$K$2:$K$2436,MATCH($B$3&amp;"|"&amp;D183&amp;"|"&amp;B183&amp;"|"&amp;C183,'Master Data'!$A$2:$A$2436,0))&amp;"","")</f>
        <v/>
      </c>
      <c r="I183" s="67" t="s">
        <v>309</v>
      </c>
      <c r="J183" s="67" t="s">
        <v>134</v>
      </c>
      <c r="K183" s="68"/>
      <c r="L183" s="68"/>
      <c r="M183" s="68"/>
      <c r="N183" s="69"/>
      <c r="O183" s="68"/>
    </row>
    <row r="184" customFormat="false" ht="52.5" hidden="false" customHeight="true" outlineLevel="0" collapsed="false">
      <c r="A184" s="66" t="n">
        <v>93</v>
      </c>
      <c r="B184" s="67" t="s">
        <v>94</v>
      </c>
      <c r="C184" s="66" t="s">
        <v>116</v>
      </c>
      <c r="D184" s="66" t="n">
        <v>4</v>
      </c>
      <c r="E184" s="67" t="str">
        <f aca="false">IFERROR(INDEX('Master Data'!$L$2:$L$2436,MATCH($B$3&amp;"|"&amp;D184&amp;"|"&amp;B184&amp;"|"&amp;C184,'Master Data'!$A$2:$A$2436,0)),"")</f>
        <v>Belum terisi</v>
      </c>
      <c r="F184" s="67" t="str">
        <f aca="false">IFERROR(INDEX('Master Data'!$F$2:$F$2436,MATCH($B$3&amp;"|"&amp;D184&amp;"|"&amp;B184&amp;"|"&amp;C184,'Master Data'!$A$2:$A$2436,0))&amp;"","")</f>
        <v>Kids</v>
      </c>
      <c r="G184" s="66" t="n">
        <f aca="false">IFERROR(INDEX('Master Data'!$G$2:$G$2436,MATCH($B$3&amp;"|"&amp;D184&amp;"|"&amp;B184&amp;"|"&amp;C184,'Master Data'!$A$2:$A$2436,0)),"")</f>
        <v>4</v>
      </c>
      <c r="H184" s="67" t="str">
        <f aca="false">IFERROR(INDEX('Master Data'!$K$2:$K$2436,MATCH($B$3&amp;"|"&amp;D184&amp;"|"&amp;B184&amp;"|"&amp;C184,'Master Data'!$A$2:$A$2436,0))&amp;"","")</f>
        <v/>
      </c>
      <c r="I184" s="67" t="s">
        <v>295</v>
      </c>
      <c r="J184" s="67" t="s">
        <v>134</v>
      </c>
      <c r="K184" s="68"/>
      <c r="L184" s="68"/>
      <c r="M184" s="68"/>
      <c r="N184" s="69"/>
      <c r="O184" s="68"/>
    </row>
    <row r="185" customFormat="false" ht="52.5" hidden="false" customHeight="true" outlineLevel="0" collapsed="false">
      <c r="A185" s="66" t="n">
        <v>94</v>
      </c>
      <c r="B185" s="67" t="s">
        <v>94</v>
      </c>
      <c r="C185" s="66" t="s">
        <v>116</v>
      </c>
      <c r="D185" s="66" t="n">
        <v>5</v>
      </c>
      <c r="E185" s="67" t="str">
        <f aca="false">IFERROR(INDEX('Master Data'!$L$2:$L$2436,MATCH($B$3&amp;"|"&amp;D185&amp;"|"&amp;B185&amp;"|"&amp;C185,'Master Data'!$A$2:$A$2436,0)),"")</f>
        <v>Slot kosong</v>
      </c>
      <c r="F185" s="67" t="str">
        <f aca="false">IFERROR(INDEX('Master Data'!$F$2:$F$2436,MATCH($B$3&amp;"|"&amp;D185&amp;"|"&amp;B185&amp;"|"&amp;C185,'Master Data'!$A$2:$A$2436,0))&amp;"","")</f>
        <v/>
      </c>
      <c r="G185" s="66" t="n">
        <f aca="false">IFERROR(INDEX('Master Data'!$G$2:$G$2436,MATCH($B$3&amp;"|"&amp;D185&amp;"|"&amp;B185&amp;"|"&amp;C185,'Master Data'!$A$2:$A$2436,0)),"")</f>
        <v>4</v>
      </c>
      <c r="H185" s="67" t="str">
        <f aca="false">IFERROR(INDEX('Master Data'!$K$2:$K$2436,MATCH($B$3&amp;"|"&amp;D185&amp;"|"&amp;B185&amp;"|"&amp;C185,'Master Data'!$A$2:$A$2436,0))&amp;"","")</f>
        <v/>
      </c>
      <c r="I185" s="67" t="s">
        <v>295</v>
      </c>
      <c r="J185" s="67" t="s">
        <v>134</v>
      </c>
      <c r="K185" s="68"/>
      <c r="L185" s="68"/>
      <c r="M185" s="68"/>
      <c r="N185" s="69"/>
      <c r="O185" s="68"/>
    </row>
    <row r="186" customFormat="false" ht="27.75" hidden="false" customHeight="true" outlineLevel="0" collapsed="false">
      <c r="A186" s="66" t="n">
        <v>95</v>
      </c>
      <c r="B186" s="67" t="s">
        <v>94</v>
      </c>
      <c r="C186" s="66" t="s">
        <v>102</v>
      </c>
      <c r="D186" s="66" t="n">
        <v>2</v>
      </c>
      <c r="E186" s="67" t="str">
        <f aca="false">IFERROR(INDEX('Master Data'!$L$2:$L$2436,MATCH($B$3&amp;"|"&amp;D186&amp;"|"&amp;B186&amp;"|"&amp;C186,'Master Data'!$A$2:$A$2436,0)),"")</f>
        <v>Belum terisi</v>
      </c>
      <c r="F186" s="67" t="str">
        <f aca="false">IFERROR(INDEX('Master Data'!$F$2:$F$2436,MATCH($B$3&amp;"|"&amp;D186&amp;"|"&amp;B186&amp;"|"&amp;C186,'Master Data'!$A$2:$A$2436,0))&amp;"","")</f>
        <v>Tiny</v>
      </c>
      <c r="G186" s="66" t="n">
        <f aca="false">IFERROR(INDEX('Master Data'!$G$2:$G$2436,MATCH($B$3&amp;"|"&amp;D186&amp;"|"&amp;B186&amp;"|"&amp;C186,'Master Data'!$A$2:$A$2436,0)),"")</f>
        <v>5</v>
      </c>
      <c r="H186" s="67" t="str">
        <f aca="false">IFERROR(INDEX('Master Data'!$K$2:$K$2436,MATCH($B$3&amp;"|"&amp;D186&amp;"|"&amp;B186&amp;"|"&amp;C186,'Master Data'!$A$2:$A$2436,0))&amp;"","")</f>
        <v/>
      </c>
      <c r="I186" s="67" t="s">
        <v>310</v>
      </c>
      <c r="J186" s="67" t="s">
        <v>134</v>
      </c>
      <c r="K186" s="68"/>
      <c r="L186" s="68"/>
      <c r="M186" s="68"/>
      <c r="N186" s="69"/>
      <c r="O186" s="68"/>
    </row>
    <row r="187" customFormat="false" ht="27.75" hidden="false" customHeight="true" outlineLevel="0" collapsed="false">
      <c r="A187" s="66" t="n">
        <v>96</v>
      </c>
      <c r="B187" s="67" t="s">
        <v>94</v>
      </c>
      <c r="C187" s="66" t="s">
        <v>103</v>
      </c>
      <c r="D187" s="66" t="n">
        <v>1</v>
      </c>
      <c r="E187" s="67" t="str">
        <f aca="false">IFERROR(INDEX('Master Data'!$L$2:$L$2436,MATCH($B$3&amp;"|"&amp;D187&amp;"|"&amp;B187&amp;"|"&amp;C187,'Master Data'!$A$2:$A$2436,0)),"")</f>
        <v>Belum terisi</v>
      </c>
      <c r="F187" s="67" t="str">
        <f aca="false">IFERROR(INDEX('Master Data'!$F$2:$F$2436,MATCH($B$3&amp;"|"&amp;D187&amp;"|"&amp;B187&amp;"|"&amp;C187,'Master Data'!$A$2:$A$2436,0))&amp;"","")</f>
        <v>Baby</v>
      </c>
      <c r="G187" s="66" t="n">
        <f aca="false">IFERROR(INDEX('Master Data'!$G$2:$G$2436,MATCH($B$3&amp;"|"&amp;D187&amp;"|"&amp;B187&amp;"|"&amp;C187,'Master Data'!$A$2:$A$2436,0)),"")</f>
        <v>5</v>
      </c>
      <c r="H187" s="67" t="str">
        <f aca="false">IFERROR(INDEX('Master Data'!$K$2:$K$2436,MATCH($B$3&amp;"|"&amp;D187&amp;"|"&amp;B187&amp;"|"&amp;C187,'Master Data'!$A$2:$A$2436,0))&amp;"","")</f>
        <v/>
      </c>
      <c r="I187" s="67" t="s">
        <v>310</v>
      </c>
      <c r="J187" s="67" t="s">
        <v>134</v>
      </c>
      <c r="K187" s="68"/>
      <c r="L187" s="68"/>
      <c r="M187" s="68"/>
      <c r="N187" s="69"/>
      <c r="O187" s="68"/>
    </row>
    <row r="188" customFormat="false" ht="27.75" hidden="false" customHeight="true" outlineLevel="0" collapsed="false">
      <c r="A188" s="66" t="n">
        <v>97</v>
      </c>
      <c r="B188" s="67" t="s">
        <v>94</v>
      </c>
      <c r="C188" s="66" t="s">
        <v>103</v>
      </c>
      <c r="D188" s="66" t="n">
        <v>2</v>
      </c>
      <c r="E188" s="67" t="str">
        <f aca="false">IFERROR(INDEX('Master Data'!$L$2:$L$2436,MATCH($B$3&amp;"|"&amp;D188&amp;"|"&amp;B188&amp;"|"&amp;C188,'Master Data'!$A$2:$A$2436,0)),"")</f>
        <v>Belum terisi</v>
      </c>
      <c r="F188" s="67" t="str">
        <f aca="false">IFERROR(INDEX('Master Data'!$F$2:$F$2436,MATCH($B$3&amp;"|"&amp;D188&amp;"|"&amp;B188&amp;"|"&amp;C188,'Master Data'!$A$2:$A$2436,0))&amp;"","")</f>
        <v>Tiny</v>
      </c>
      <c r="G188" s="66" t="n">
        <f aca="false">IFERROR(INDEX('Master Data'!$G$2:$G$2436,MATCH($B$3&amp;"|"&amp;D188&amp;"|"&amp;B188&amp;"|"&amp;C188,'Master Data'!$A$2:$A$2436,0)),"")</f>
        <v>5</v>
      </c>
      <c r="H188" s="67" t="str">
        <f aca="false">IFERROR(INDEX('Master Data'!$K$2:$K$2436,MATCH($B$3&amp;"|"&amp;D188&amp;"|"&amp;B188&amp;"|"&amp;C188,'Master Data'!$A$2:$A$2436,0))&amp;"","")</f>
        <v/>
      </c>
      <c r="I188" s="67" t="s">
        <v>310</v>
      </c>
      <c r="J188" s="67" t="s">
        <v>134</v>
      </c>
      <c r="K188" s="68"/>
      <c r="L188" s="68"/>
      <c r="M188" s="68"/>
      <c r="N188" s="69"/>
      <c r="O188" s="68"/>
    </row>
    <row r="189" customFormat="false" ht="15.75" hidden="false" customHeight="true" outlineLevel="0" collapsed="false">
      <c r="A189" s="66" t="n">
        <v>98</v>
      </c>
      <c r="B189" s="67" t="s">
        <v>94</v>
      </c>
      <c r="C189" s="66" t="s">
        <v>104</v>
      </c>
      <c r="D189" s="66" t="n">
        <v>1</v>
      </c>
      <c r="E189" s="67" t="str">
        <f aca="false">IFERROR(INDEX('Master Data'!$L$2:$L$2436,MATCH($B$3&amp;"|"&amp;D189&amp;"|"&amp;B189&amp;"|"&amp;C189,'Master Data'!$A$2:$A$2436,0)),"")</f>
        <v>Slot kosong</v>
      </c>
      <c r="F189" s="67" t="str">
        <f aca="false">IFERROR(INDEX('Master Data'!$F$2:$F$2436,MATCH($B$3&amp;"|"&amp;D189&amp;"|"&amp;B189&amp;"|"&amp;C189,'Master Data'!$A$2:$A$2436,0))&amp;"","")</f>
        <v/>
      </c>
      <c r="G189" s="66" t="n">
        <f aca="false">IFERROR(INDEX('Master Data'!$G$2:$G$2436,MATCH($B$3&amp;"|"&amp;D189&amp;"|"&amp;B189&amp;"|"&amp;C189,'Master Data'!$A$2:$A$2436,0)),"")</f>
        <v>5</v>
      </c>
      <c r="H189" s="67" t="str">
        <f aca="false">IFERROR(INDEX('Master Data'!$K$2:$K$2436,MATCH($B$3&amp;"|"&amp;D189&amp;"|"&amp;B189&amp;"|"&amp;C189,'Master Data'!$A$2:$A$2436,0))&amp;"","")</f>
        <v/>
      </c>
      <c r="I189" s="67" t="s">
        <v>284</v>
      </c>
      <c r="J189" s="67" t="s">
        <v>134</v>
      </c>
      <c r="K189" s="68"/>
      <c r="L189" s="68"/>
      <c r="M189" s="68"/>
      <c r="N189" s="69"/>
      <c r="O189" s="68"/>
    </row>
    <row r="190" customFormat="false" ht="15.75" hidden="false" customHeight="true" outlineLevel="0" collapsed="false">
      <c r="A190" s="66" t="n">
        <v>99</v>
      </c>
      <c r="B190" s="67" t="s">
        <v>94</v>
      </c>
      <c r="C190" s="66" t="s">
        <v>104</v>
      </c>
      <c r="D190" s="66" t="n">
        <v>2</v>
      </c>
      <c r="E190" s="67" t="str">
        <f aca="false">IFERROR(INDEX('Master Data'!$L$2:$L$2436,MATCH($B$3&amp;"|"&amp;D190&amp;"|"&amp;B190&amp;"|"&amp;C190,'Master Data'!$A$2:$A$2436,0)),"")</f>
        <v>Belum terisi</v>
      </c>
      <c r="F190" s="67" t="str">
        <f aca="false">IFERROR(INDEX('Master Data'!$F$2:$F$2436,MATCH($B$3&amp;"|"&amp;D190&amp;"|"&amp;B190&amp;"|"&amp;C190,'Master Data'!$A$2:$A$2436,0))&amp;"","")</f>
        <v>Tiny</v>
      </c>
      <c r="G190" s="66" t="n">
        <f aca="false">IFERROR(INDEX('Master Data'!$G$2:$G$2436,MATCH($B$3&amp;"|"&amp;D190&amp;"|"&amp;B190&amp;"|"&amp;C190,'Master Data'!$A$2:$A$2436,0)),"")</f>
        <v>5</v>
      </c>
      <c r="H190" s="67" t="str">
        <f aca="false">IFERROR(INDEX('Master Data'!$K$2:$K$2436,MATCH($B$3&amp;"|"&amp;D190&amp;"|"&amp;B190&amp;"|"&amp;C190,'Master Data'!$A$2:$A$2436,0))&amp;"","")</f>
        <v/>
      </c>
      <c r="I190" s="67" t="s">
        <v>284</v>
      </c>
      <c r="J190" s="67" t="s">
        <v>134</v>
      </c>
      <c r="K190" s="68"/>
      <c r="L190" s="68"/>
      <c r="M190" s="68"/>
      <c r="N190" s="69"/>
      <c r="O190" s="68"/>
    </row>
    <row r="191" customFormat="false" ht="27.75" hidden="false" customHeight="true" outlineLevel="0" collapsed="false">
      <c r="A191" s="66" t="n">
        <v>100</v>
      </c>
      <c r="B191" s="67" t="s">
        <v>94</v>
      </c>
      <c r="C191" s="66" t="s">
        <v>107</v>
      </c>
      <c r="D191" s="66" t="n">
        <v>1</v>
      </c>
      <c r="E191" s="67" t="str">
        <f aca="false">IFERROR(INDEX('Master Data'!$L$2:$L$2436,MATCH($B$3&amp;"|"&amp;D191&amp;"|"&amp;B191&amp;"|"&amp;C191,'Master Data'!$A$2:$A$2436,0)),"")</f>
        <v>Belum terisi</v>
      </c>
      <c r="F191" s="67" t="str">
        <f aca="false">IFERROR(INDEX('Master Data'!$F$2:$F$2436,MATCH($B$3&amp;"|"&amp;D191&amp;"|"&amp;B191&amp;"|"&amp;C191,'Master Data'!$A$2:$A$2436,0))&amp;"","")</f>
        <v>Baby</v>
      </c>
      <c r="G191" s="66" t="n">
        <f aca="false">IFERROR(INDEX('Master Data'!$G$2:$G$2436,MATCH($B$3&amp;"|"&amp;D191&amp;"|"&amp;B191&amp;"|"&amp;C191,'Master Data'!$A$2:$A$2436,0)),"")</f>
        <v>5</v>
      </c>
      <c r="H191" s="67" t="str">
        <f aca="false">IFERROR(INDEX('Master Data'!$K$2:$K$2436,MATCH($B$3&amp;"|"&amp;D191&amp;"|"&amp;B191&amp;"|"&amp;C191,'Master Data'!$A$2:$A$2436,0))&amp;"","")</f>
        <v/>
      </c>
      <c r="I191" s="67" t="s">
        <v>298</v>
      </c>
      <c r="J191" s="67" t="s">
        <v>134</v>
      </c>
      <c r="K191" s="68"/>
      <c r="L191" s="68"/>
      <c r="M191" s="68"/>
      <c r="N191" s="69"/>
      <c r="O191" s="68"/>
    </row>
    <row r="192" customFormat="false" ht="27.75" hidden="false" customHeight="true" outlineLevel="0" collapsed="false">
      <c r="A192" s="66" t="n">
        <v>101</v>
      </c>
      <c r="B192" s="67" t="s">
        <v>95</v>
      </c>
      <c r="C192" s="66" t="s">
        <v>99</v>
      </c>
      <c r="D192" s="66" t="n">
        <v>1</v>
      </c>
      <c r="E192" s="67" t="str">
        <f aca="false">IFERROR(INDEX('Master Data'!$L$2:$L$2436,MATCH($B$3&amp;"|"&amp;D192&amp;"|"&amp;B192&amp;"|"&amp;C192,'Master Data'!$A$2:$A$2436,0)),"")</f>
        <v>Belum terisi</v>
      </c>
      <c r="F192" s="67" t="str">
        <f aca="false">IFERROR(INDEX('Master Data'!$F$2:$F$2436,MATCH($B$3&amp;"|"&amp;D192&amp;"|"&amp;B192&amp;"|"&amp;C192,'Master Data'!$A$2:$A$2436,0))&amp;"","")</f>
        <v>Baby</v>
      </c>
      <c r="G192" s="66" t="n">
        <f aca="false">IFERROR(INDEX('Master Data'!$G$2:$G$2436,MATCH($B$3&amp;"|"&amp;D192&amp;"|"&amp;B192&amp;"|"&amp;C192,'Master Data'!$A$2:$A$2436,0)),"")</f>
        <v>5</v>
      </c>
      <c r="H192" s="67" t="str">
        <f aca="false">IFERROR(INDEX('Master Data'!$K$2:$K$2436,MATCH($B$3&amp;"|"&amp;D192&amp;"|"&amp;B192&amp;"|"&amp;C192,'Master Data'!$A$2:$A$2436,0))&amp;"","")</f>
        <v/>
      </c>
      <c r="I192" s="67" t="s">
        <v>280</v>
      </c>
      <c r="J192" s="67" t="s">
        <v>134</v>
      </c>
      <c r="K192" s="68"/>
      <c r="L192" s="68"/>
      <c r="M192" s="68"/>
      <c r="N192" s="69"/>
      <c r="O192" s="68"/>
    </row>
    <row r="193" customFormat="false" ht="52.5" hidden="false" customHeight="true" outlineLevel="0" collapsed="false">
      <c r="A193" s="66" t="n">
        <v>102</v>
      </c>
      <c r="B193" s="67" t="s">
        <v>95</v>
      </c>
      <c r="C193" s="66" t="s">
        <v>101</v>
      </c>
      <c r="D193" s="66" t="n">
        <v>1</v>
      </c>
      <c r="E193" s="67" t="str">
        <f aca="false">IFERROR(INDEX('Master Data'!$L$2:$L$2436,MATCH($B$3&amp;"|"&amp;D193&amp;"|"&amp;B193&amp;"|"&amp;C193,'Master Data'!$A$2:$A$2436,0)),"")</f>
        <v>Belum terisi</v>
      </c>
      <c r="F193" s="67" t="str">
        <f aca="false">IFERROR(INDEX('Master Data'!$F$2:$F$2436,MATCH($B$3&amp;"|"&amp;D193&amp;"|"&amp;B193&amp;"|"&amp;C193,'Master Data'!$A$2:$A$2436,0))&amp;"","")</f>
        <v>Baby</v>
      </c>
      <c r="G193" s="66" t="n">
        <f aca="false">IFERROR(INDEX('Master Data'!$G$2:$G$2436,MATCH($B$3&amp;"|"&amp;D193&amp;"|"&amp;B193&amp;"|"&amp;C193,'Master Data'!$A$2:$A$2436,0)),"")</f>
        <v>5</v>
      </c>
      <c r="H193" s="67" t="str">
        <f aca="false">IFERROR(INDEX('Master Data'!$K$2:$K$2436,MATCH($B$3&amp;"|"&amp;D193&amp;"|"&amp;B193&amp;"|"&amp;C193,'Master Data'!$A$2:$A$2436,0))&amp;"","")</f>
        <v/>
      </c>
      <c r="I193" s="67" t="s">
        <v>311</v>
      </c>
      <c r="J193" s="67" t="s">
        <v>134</v>
      </c>
      <c r="K193" s="68"/>
      <c r="L193" s="68"/>
      <c r="M193" s="68"/>
      <c r="N193" s="69"/>
      <c r="O193" s="68"/>
    </row>
    <row r="194" customFormat="false" ht="52.5" hidden="false" customHeight="true" outlineLevel="0" collapsed="false">
      <c r="A194" s="66" t="n">
        <v>103</v>
      </c>
      <c r="B194" s="67" t="s">
        <v>95</v>
      </c>
      <c r="C194" s="66" t="s">
        <v>101</v>
      </c>
      <c r="D194" s="66" t="n">
        <v>2</v>
      </c>
      <c r="E194" s="67" t="str">
        <f aca="false">IFERROR(INDEX('Master Data'!$L$2:$L$2436,MATCH($B$3&amp;"|"&amp;D194&amp;"|"&amp;B194&amp;"|"&amp;C194,'Master Data'!$A$2:$A$2436,0)),"")</f>
        <v>Belum terisi</v>
      </c>
      <c r="F194" s="67" t="str">
        <f aca="false">IFERROR(INDEX('Master Data'!$F$2:$F$2436,MATCH($B$3&amp;"|"&amp;D194&amp;"|"&amp;B194&amp;"|"&amp;C194,'Master Data'!$A$2:$A$2436,0))&amp;"","")</f>
        <v>Tiny</v>
      </c>
      <c r="G194" s="66" t="n">
        <f aca="false">IFERROR(INDEX('Master Data'!$G$2:$G$2436,MATCH($B$3&amp;"|"&amp;D194&amp;"|"&amp;B194&amp;"|"&amp;C194,'Master Data'!$A$2:$A$2436,0)),"")</f>
        <v>5</v>
      </c>
      <c r="H194" s="67" t="str">
        <f aca="false">IFERROR(INDEX('Master Data'!$K$2:$K$2436,MATCH($B$3&amp;"|"&amp;D194&amp;"|"&amp;B194&amp;"|"&amp;C194,'Master Data'!$A$2:$A$2436,0))&amp;"","")</f>
        <v/>
      </c>
      <c r="I194" s="67" t="s">
        <v>311</v>
      </c>
      <c r="J194" s="67" t="s">
        <v>134</v>
      </c>
      <c r="K194" s="68"/>
      <c r="L194" s="68"/>
      <c r="M194" s="68"/>
      <c r="N194" s="69"/>
      <c r="O194" s="68"/>
    </row>
    <row r="195" customFormat="false" ht="65.25" hidden="false" customHeight="true" outlineLevel="0" collapsed="false">
      <c r="A195" s="66" t="n">
        <v>104</v>
      </c>
      <c r="B195" s="67" t="s">
        <v>95</v>
      </c>
      <c r="C195" s="66" t="s">
        <v>116</v>
      </c>
      <c r="D195" s="66" t="n">
        <v>3</v>
      </c>
      <c r="E195" s="67" t="str">
        <f aca="false">IFERROR(INDEX('Master Data'!$L$2:$L$2436,MATCH($B$3&amp;"|"&amp;D195&amp;"|"&amp;B195&amp;"|"&amp;C195,'Master Data'!$A$2:$A$2436,0)),"")</f>
        <v>Belum terisi</v>
      </c>
      <c r="F195" s="67" t="str">
        <f aca="false">IFERROR(INDEX('Master Data'!$F$2:$F$2436,MATCH($B$3&amp;"|"&amp;D195&amp;"|"&amp;B195&amp;"|"&amp;C195,'Master Data'!$A$2:$A$2436,0))&amp;"","")</f>
        <v>Little</v>
      </c>
      <c r="G195" s="66" t="n">
        <f aca="false">IFERROR(INDEX('Master Data'!$G$2:$G$2436,MATCH($B$3&amp;"|"&amp;D195&amp;"|"&amp;B195&amp;"|"&amp;C195,'Master Data'!$A$2:$A$2436,0)),"")</f>
        <v>4</v>
      </c>
      <c r="H195" s="67" t="str">
        <f aca="false">IFERROR(INDEX('Master Data'!$K$2:$K$2436,MATCH($B$3&amp;"|"&amp;D195&amp;"|"&amp;B195&amp;"|"&amp;C195,'Master Data'!$A$2:$A$2436,0))&amp;"","")</f>
        <v/>
      </c>
      <c r="I195" s="67" t="s">
        <v>312</v>
      </c>
      <c r="J195" s="67" t="s">
        <v>134</v>
      </c>
      <c r="K195" s="68"/>
      <c r="L195" s="68"/>
      <c r="M195" s="68"/>
      <c r="N195" s="69"/>
      <c r="O195" s="68"/>
    </row>
    <row r="196" customFormat="false" ht="65.25" hidden="false" customHeight="true" outlineLevel="0" collapsed="false">
      <c r="A196" s="66" t="n">
        <v>105</v>
      </c>
      <c r="B196" s="67" t="s">
        <v>95</v>
      </c>
      <c r="C196" s="66" t="s">
        <v>116</v>
      </c>
      <c r="D196" s="66" t="n">
        <v>4</v>
      </c>
      <c r="E196" s="67" t="str">
        <f aca="false">IFERROR(INDEX('Master Data'!$L$2:$L$2436,MATCH($B$3&amp;"|"&amp;D196&amp;"|"&amp;B196&amp;"|"&amp;C196,'Master Data'!$A$2:$A$2436,0)),"")</f>
        <v>Belum terisi</v>
      </c>
      <c r="F196" s="67" t="str">
        <f aca="false">IFERROR(INDEX('Master Data'!$F$2:$F$2436,MATCH($B$3&amp;"|"&amp;D196&amp;"|"&amp;B196&amp;"|"&amp;C196,'Master Data'!$A$2:$A$2436,0))&amp;"","")</f>
        <v>Kids</v>
      </c>
      <c r="G196" s="66" t="n">
        <f aca="false">IFERROR(INDEX('Master Data'!$G$2:$G$2436,MATCH($B$3&amp;"|"&amp;D196&amp;"|"&amp;B196&amp;"|"&amp;C196,'Master Data'!$A$2:$A$2436,0)),"")</f>
        <v>4</v>
      </c>
      <c r="H196" s="67" t="str">
        <f aca="false">IFERROR(INDEX('Master Data'!$K$2:$K$2436,MATCH($B$3&amp;"|"&amp;D196&amp;"|"&amp;B196&amp;"|"&amp;C196,'Master Data'!$A$2:$A$2436,0))&amp;"","")</f>
        <v/>
      </c>
      <c r="I196" s="67" t="s">
        <v>312</v>
      </c>
      <c r="J196" s="67" t="s">
        <v>134</v>
      </c>
      <c r="K196" s="68"/>
      <c r="L196" s="68"/>
      <c r="M196" s="68"/>
      <c r="N196" s="69"/>
      <c r="O196" s="68"/>
    </row>
    <row r="197" customFormat="false" ht="65.25" hidden="false" customHeight="true" outlineLevel="0" collapsed="false">
      <c r="A197" s="66" t="n">
        <v>106</v>
      </c>
      <c r="B197" s="67" t="s">
        <v>95</v>
      </c>
      <c r="C197" s="66" t="s">
        <v>116</v>
      </c>
      <c r="D197" s="66" t="n">
        <v>5</v>
      </c>
      <c r="E197" s="67" t="str">
        <f aca="false">IFERROR(INDEX('Master Data'!$L$2:$L$2436,MATCH($B$3&amp;"|"&amp;D197&amp;"|"&amp;B197&amp;"|"&amp;C197,'Master Data'!$A$2:$A$2436,0)),"")</f>
        <v>Slot kosong</v>
      </c>
      <c r="F197" s="67" t="str">
        <f aca="false">IFERROR(INDEX('Master Data'!$F$2:$F$2436,MATCH($B$3&amp;"|"&amp;D197&amp;"|"&amp;B197&amp;"|"&amp;C197,'Master Data'!$A$2:$A$2436,0))&amp;"","")</f>
        <v/>
      </c>
      <c r="G197" s="66" t="n">
        <f aca="false">IFERROR(INDEX('Master Data'!$G$2:$G$2436,MATCH($B$3&amp;"|"&amp;D197&amp;"|"&amp;B197&amp;"|"&amp;C197,'Master Data'!$A$2:$A$2436,0)),"")</f>
        <v>4</v>
      </c>
      <c r="H197" s="67" t="str">
        <f aca="false">IFERROR(INDEX('Master Data'!$K$2:$K$2436,MATCH($B$3&amp;"|"&amp;D197&amp;"|"&amp;B197&amp;"|"&amp;C197,'Master Data'!$A$2:$A$2436,0))&amp;"","")</f>
        <v/>
      </c>
      <c r="I197" s="67" t="s">
        <v>312</v>
      </c>
      <c r="J197" s="67" t="s">
        <v>134</v>
      </c>
      <c r="K197" s="68"/>
      <c r="L197" s="68"/>
      <c r="M197" s="68"/>
      <c r="N197" s="69"/>
      <c r="O197" s="68"/>
    </row>
    <row r="198" customFormat="false" ht="52.5" hidden="false" customHeight="true" outlineLevel="0" collapsed="false">
      <c r="A198" s="66" t="n">
        <v>107</v>
      </c>
      <c r="B198" s="67" t="s">
        <v>95</v>
      </c>
      <c r="C198" s="66" t="s">
        <v>102</v>
      </c>
      <c r="D198" s="66" t="n">
        <v>1</v>
      </c>
      <c r="E198" s="67" t="str">
        <f aca="false">IFERROR(INDEX('Master Data'!$L$2:$L$2436,MATCH($B$3&amp;"|"&amp;D198&amp;"|"&amp;B198&amp;"|"&amp;C198,'Master Data'!$A$2:$A$2436,0)),"")</f>
        <v>Belum terisi</v>
      </c>
      <c r="F198" s="67" t="str">
        <f aca="false">IFERROR(INDEX('Master Data'!$F$2:$F$2436,MATCH($B$3&amp;"|"&amp;D198&amp;"|"&amp;B198&amp;"|"&amp;C198,'Master Data'!$A$2:$A$2436,0))&amp;"","")</f>
        <v>Baby</v>
      </c>
      <c r="G198" s="66" t="n">
        <f aca="false">IFERROR(INDEX('Master Data'!$G$2:$G$2436,MATCH($B$3&amp;"|"&amp;D198&amp;"|"&amp;B198&amp;"|"&amp;C198,'Master Data'!$A$2:$A$2436,0)),"")</f>
        <v>5</v>
      </c>
      <c r="H198" s="67" t="str">
        <f aca="false">IFERROR(INDEX('Master Data'!$K$2:$K$2436,MATCH($B$3&amp;"|"&amp;D198&amp;"|"&amp;B198&amp;"|"&amp;C198,'Master Data'!$A$2:$A$2436,0))&amp;"","")</f>
        <v/>
      </c>
      <c r="I198" s="67" t="s">
        <v>313</v>
      </c>
      <c r="J198" s="67" t="s">
        <v>134</v>
      </c>
      <c r="K198" s="68"/>
      <c r="L198" s="68"/>
      <c r="M198" s="68"/>
      <c r="N198" s="69"/>
      <c r="O198" s="68"/>
    </row>
    <row r="199" customFormat="false" ht="52.5" hidden="false" customHeight="true" outlineLevel="0" collapsed="false">
      <c r="A199" s="66" t="n">
        <v>108</v>
      </c>
      <c r="B199" s="67" t="s">
        <v>95</v>
      </c>
      <c r="C199" s="66" t="s">
        <v>102</v>
      </c>
      <c r="D199" s="66" t="n">
        <v>2</v>
      </c>
      <c r="E199" s="67" t="str">
        <f aca="false">IFERROR(INDEX('Master Data'!$L$2:$L$2436,MATCH($B$3&amp;"|"&amp;D199&amp;"|"&amp;B199&amp;"|"&amp;C199,'Master Data'!$A$2:$A$2436,0)),"")</f>
        <v>Belum terisi</v>
      </c>
      <c r="F199" s="67" t="str">
        <f aca="false">IFERROR(INDEX('Master Data'!$F$2:$F$2436,MATCH($B$3&amp;"|"&amp;D199&amp;"|"&amp;B199&amp;"|"&amp;C199,'Master Data'!$A$2:$A$2436,0))&amp;"","")</f>
        <v>Tiny</v>
      </c>
      <c r="G199" s="66" t="n">
        <f aca="false">IFERROR(INDEX('Master Data'!$G$2:$G$2436,MATCH($B$3&amp;"|"&amp;D199&amp;"|"&amp;B199&amp;"|"&amp;C199,'Master Data'!$A$2:$A$2436,0)),"")</f>
        <v>5</v>
      </c>
      <c r="H199" s="67" t="str">
        <f aca="false">IFERROR(INDEX('Master Data'!$K$2:$K$2436,MATCH($B$3&amp;"|"&amp;D199&amp;"|"&amp;B199&amp;"|"&amp;C199,'Master Data'!$A$2:$A$2436,0))&amp;"","")</f>
        <v/>
      </c>
      <c r="I199" s="67" t="s">
        <v>313</v>
      </c>
      <c r="J199" s="67" t="s">
        <v>134</v>
      </c>
      <c r="K199" s="68"/>
      <c r="L199" s="68"/>
      <c r="M199" s="68"/>
      <c r="N199" s="69"/>
      <c r="O199" s="68"/>
    </row>
    <row r="200" customFormat="false" ht="52.5" hidden="false" customHeight="true" outlineLevel="0" collapsed="false">
      <c r="A200" s="66" t="n">
        <v>109</v>
      </c>
      <c r="B200" s="67" t="s">
        <v>95</v>
      </c>
      <c r="C200" s="66" t="s">
        <v>117</v>
      </c>
      <c r="D200" s="66" t="n">
        <v>3</v>
      </c>
      <c r="E200" s="67" t="str">
        <f aca="false">IFERROR(INDEX('Master Data'!$L$2:$L$2436,MATCH($B$3&amp;"|"&amp;D200&amp;"|"&amp;B200&amp;"|"&amp;C200,'Master Data'!$A$2:$A$2436,0)),"")</f>
        <v>Belum terisi</v>
      </c>
      <c r="F200" s="67" t="str">
        <f aca="false">IFERROR(INDEX('Master Data'!$F$2:$F$2436,MATCH($B$3&amp;"|"&amp;D200&amp;"|"&amp;B200&amp;"|"&amp;C200,'Master Data'!$A$2:$A$2436,0))&amp;"","")</f>
        <v>Little</v>
      </c>
      <c r="G200" s="66" t="n">
        <f aca="false">IFERROR(INDEX('Master Data'!$G$2:$G$2436,MATCH($B$3&amp;"|"&amp;D200&amp;"|"&amp;B200&amp;"|"&amp;C200,'Master Data'!$A$2:$A$2436,0)),"")</f>
        <v>4</v>
      </c>
      <c r="H200" s="67" t="str">
        <f aca="false">IFERROR(INDEX('Master Data'!$K$2:$K$2436,MATCH($B$3&amp;"|"&amp;D200&amp;"|"&amp;B200&amp;"|"&amp;C200,'Master Data'!$A$2:$A$2436,0))&amp;"","")</f>
        <v/>
      </c>
      <c r="I200" s="67" t="s">
        <v>313</v>
      </c>
      <c r="J200" s="67" t="s">
        <v>134</v>
      </c>
      <c r="K200" s="68"/>
      <c r="L200" s="68"/>
      <c r="M200" s="68"/>
      <c r="N200" s="69"/>
      <c r="O200" s="68"/>
    </row>
    <row r="201" customFormat="false" ht="40.5" hidden="false" customHeight="true" outlineLevel="0" collapsed="false">
      <c r="A201" s="66" t="n">
        <v>110</v>
      </c>
      <c r="B201" s="67" t="s">
        <v>95</v>
      </c>
      <c r="C201" s="66" t="s">
        <v>103</v>
      </c>
      <c r="D201" s="66" t="n">
        <v>1</v>
      </c>
      <c r="E201" s="67" t="str">
        <f aca="false">IFERROR(INDEX('Master Data'!$L$2:$L$2436,MATCH($B$3&amp;"|"&amp;D201&amp;"|"&amp;B201&amp;"|"&amp;C201,'Master Data'!$A$2:$A$2436,0)),"")</f>
        <v>Belum terisi</v>
      </c>
      <c r="F201" s="67" t="str">
        <f aca="false">IFERROR(INDEX('Master Data'!$F$2:$F$2436,MATCH($B$3&amp;"|"&amp;D201&amp;"|"&amp;B201&amp;"|"&amp;C201,'Master Data'!$A$2:$A$2436,0))&amp;"","")</f>
        <v>Baby</v>
      </c>
      <c r="G201" s="66" t="n">
        <f aca="false">IFERROR(INDEX('Master Data'!$G$2:$G$2436,MATCH($B$3&amp;"|"&amp;D201&amp;"|"&amp;B201&amp;"|"&amp;C201,'Master Data'!$A$2:$A$2436,0)),"")</f>
        <v>5</v>
      </c>
      <c r="H201" s="67" t="str">
        <f aca="false">IFERROR(INDEX('Master Data'!$K$2:$K$2436,MATCH($B$3&amp;"|"&amp;D201&amp;"|"&amp;B201&amp;"|"&amp;C201,'Master Data'!$A$2:$A$2436,0))&amp;"","")</f>
        <v/>
      </c>
      <c r="I201" s="67" t="s">
        <v>314</v>
      </c>
      <c r="J201" s="67" t="s">
        <v>134</v>
      </c>
      <c r="K201" s="68"/>
      <c r="L201" s="68"/>
      <c r="M201" s="68"/>
      <c r="N201" s="69"/>
      <c r="O201" s="68"/>
    </row>
    <row r="202" customFormat="false" ht="40.5" hidden="false" customHeight="true" outlineLevel="0" collapsed="false">
      <c r="A202" s="66" t="n">
        <v>111</v>
      </c>
      <c r="B202" s="67" t="s">
        <v>95</v>
      </c>
      <c r="C202" s="66" t="s">
        <v>103</v>
      </c>
      <c r="D202" s="66" t="n">
        <v>2</v>
      </c>
      <c r="E202" s="67" t="str">
        <f aca="false">IFERROR(INDEX('Master Data'!$L$2:$L$2436,MATCH($B$3&amp;"|"&amp;D202&amp;"|"&amp;B202&amp;"|"&amp;C202,'Master Data'!$A$2:$A$2436,0)),"")</f>
        <v>Belum terisi</v>
      </c>
      <c r="F202" s="67" t="str">
        <f aca="false">IFERROR(INDEX('Master Data'!$F$2:$F$2436,MATCH($B$3&amp;"|"&amp;D202&amp;"|"&amp;B202&amp;"|"&amp;C202,'Master Data'!$A$2:$A$2436,0))&amp;"","")</f>
        <v>Tiny</v>
      </c>
      <c r="G202" s="66" t="n">
        <f aca="false">IFERROR(INDEX('Master Data'!$G$2:$G$2436,MATCH($B$3&amp;"|"&amp;D202&amp;"|"&amp;B202&amp;"|"&amp;C202,'Master Data'!$A$2:$A$2436,0)),"")</f>
        <v>5</v>
      </c>
      <c r="H202" s="67" t="str">
        <f aca="false">IFERROR(INDEX('Master Data'!$K$2:$K$2436,MATCH($B$3&amp;"|"&amp;D202&amp;"|"&amp;B202&amp;"|"&amp;C202,'Master Data'!$A$2:$A$2436,0))&amp;"","")</f>
        <v/>
      </c>
      <c r="I202" s="67" t="s">
        <v>314</v>
      </c>
      <c r="J202" s="67" t="s">
        <v>134</v>
      </c>
      <c r="K202" s="68"/>
      <c r="L202" s="68"/>
      <c r="M202" s="68"/>
      <c r="N202" s="69"/>
      <c r="O202" s="68"/>
    </row>
    <row r="203" customFormat="false" ht="40.5" hidden="false" customHeight="true" outlineLevel="0" collapsed="false">
      <c r="A203" s="66" t="n">
        <v>112</v>
      </c>
      <c r="B203" s="67" t="s">
        <v>95</v>
      </c>
      <c r="C203" s="66" t="s">
        <v>118</v>
      </c>
      <c r="D203" s="66" t="n">
        <v>5</v>
      </c>
      <c r="E203" s="67" t="str">
        <f aca="false">IFERROR(INDEX('Master Data'!$L$2:$L$2436,MATCH($B$3&amp;"|"&amp;D203&amp;"|"&amp;B203&amp;"|"&amp;C203,'Master Data'!$A$2:$A$2436,0)),"")</f>
        <v>Slot kosong</v>
      </c>
      <c r="F203" s="67" t="str">
        <f aca="false">IFERROR(INDEX('Master Data'!$F$2:$F$2436,MATCH($B$3&amp;"|"&amp;D203&amp;"|"&amp;B203&amp;"|"&amp;C203,'Master Data'!$A$2:$A$2436,0))&amp;"","")</f>
        <v/>
      </c>
      <c r="G203" s="66" t="n">
        <f aca="false">IFERROR(INDEX('Master Data'!$G$2:$G$2436,MATCH($B$3&amp;"|"&amp;D203&amp;"|"&amp;B203&amp;"|"&amp;C203,'Master Data'!$A$2:$A$2436,0)),"")</f>
        <v>4</v>
      </c>
      <c r="H203" s="67" t="str">
        <f aca="false">IFERROR(INDEX('Master Data'!$K$2:$K$2436,MATCH($B$3&amp;"|"&amp;D203&amp;"|"&amp;B203&amp;"|"&amp;C203,'Master Data'!$A$2:$A$2436,0))&amp;"","")</f>
        <v/>
      </c>
      <c r="I203" s="67" t="s">
        <v>315</v>
      </c>
      <c r="J203" s="67" t="s">
        <v>134</v>
      </c>
      <c r="K203" s="68"/>
      <c r="L203" s="68"/>
      <c r="M203" s="68"/>
      <c r="N203" s="69"/>
      <c r="O203" s="68"/>
    </row>
    <row r="204" customFormat="false" ht="27.75" hidden="false" customHeight="true" outlineLevel="0" collapsed="false">
      <c r="A204" s="66" t="n">
        <v>113</v>
      </c>
      <c r="B204" s="67" t="s">
        <v>95</v>
      </c>
      <c r="C204" s="66" t="s">
        <v>104</v>
      </c>
      <c r="D204" s="66" t="n">
        <v>1</v>
      </c>
      <c r="E204" s="67" t="str">
        <f aca="false">IFERROR(INDEX('Master Data'!$L$2:$L$2436,MATCH($B$3&amp;"|"&amp;D204&amp;"|"&amp;B204&amp;"|"&amp;C204,'Master Data'!$A$2:$A$2436,0)),"")</f>
        <v>Belum terisi</v>
      </c>
      <c r="F204" s="67" t="str">
        <f aca="false">IFERROR(INDEX('Master Data'!$F$2:$F$2436,MATCH($B$3&amp;"|"&amp;D204&amp;"|"&amp;B204&amp;"|"&amp;C204,'Master Data'!$A$2:$A$2436,0))&amp;"","")</f>
        <v>Baby</v>
      </c>
      <c r="G204" s="66" t="n">
        <f aca="false">IFERROR(INDEX('Master Data'!$G$2:$G$2436,MATCH($B$3&amp;"|"&amp;D204&amp;"|"&amp;B204&amp;"|"&amp;C204,'Master Data'!$A$2:$A$2436,0)),"")</f>
        <v>5</v>
      </c>
      <c r="H204" s="67" t="str">
        <f aca="false">IFERROR(INDEX('Master Data'!$K$2:$K$2436,MATCH($B$3&amp;"|"&amp;D204&amp;"|"&amp;B204&amp;"|"&amp;C204,'Master Data'!$A$2:$A$2436,0))&amp;"","")</f>
        <v/>
      </c>
      <c r="I204" s="67" t="s">
        <v>310</v>
      </c>
      <c r="J204" s="67" t="s">
        <v>134</v>
      </c>
      <c r="K204" s="68"/>
      <c r="L204" s="68"/>
      <c r="M204" s="68"/>
      <c r="N204" s="69"/>
      <c r="O204" s="68"/>
    </row>
    <row r="205" customFormat="false" ht="27.75" hidden="false" customHeight="true" outlineLevel="0" collapsed="false">
      <c r="A205" s="66" t="n">
        <v>114</v>
      </c>
      <c r="B205" s="67" t="s">
        <v>95</v>
      </c>
      <c r="C205" s="66" t="s">
        <v>105</v>
      </c>
      <c r="D205" s="66" t="n">
        <v>1</v>
      </c>
      <c r="E205" s="67" t="str">
        <f aca="false">IFERROR(INDEX('Master Data'!$L$2:$L$2436,MATCH($B$3&amp;"|"&amp;D205&amp;"|"&amp;B205&amp;"|"&amp;C205,'Master Data'!$A$2:$A$2436,0)),"")</f>
        <v>Belum terisi</v>
      </c>
      <c r="F205" s="67" t="str">
        <f aca="false">IFERROR(INDEX('Master Data'!$F$2:$F$2436,MATCH($B$3&amp;"|"&amp;D205&amp;"|"&amp;B205&amp;"|"&amp;C205,'Master Data'!$A$2:$A$2436,0))&amp;"","")</f>
        <v>Baby</v>
      </c>
      <c r="G205" s="66" t="n">
        <f aca="false">IFERROR(INDEX('Master Data'!$G$2:$G$2436,MATCH($B$3&amp;"|"&amp;D205&amp;"|"&amp;B205&amp;"|"&amp;C205,'Master Data'!$A$2:$A$2436,0)),"")</f>
        <v>5</v>
      </c>
      <c r="H205" s="67" t="str">
        <f aca="false">IFERROR(INDEX('Master Data'!$K$2:$K$2436,MATCH($B$3&amp;"|"&amp;D205&amp;"|"&amp;B205&amp;"|"&amp;C205,'Master Data'!$A$2:$A$2436,0))&amp;"","")</f>
        <v/>
      </c>
      <c r="I205" s="67" t="s">
        <v>304</v>
      </c>
      <c r="J205" s="67" t="s">
        <v>134</v>
      </c>
      <c r="K205" s="68"/>
      <c r="L205" s="68"/>
      <c r="M205" s="68"/>
      <c r="N205" s="69"/>
      <c r="O205" s="68"/>
    </row>
    <row r="206" customFormat="false" ht="27.75" hidden="false" customHeight="true" outlineLevel="0" collapsed="false">
      <c r="A206" s="66" t="n">
        <v>115</v>
      </c>
      <c r="B206" s="67" t="s">
        <v>95</v>
      </c>
      <c r="C206" s="66" t="s">
        <v>120</v>
      </c>
      <c r="D206" s="66" t="n">
        <v>5</v>
      </c>
      <c r="E206" s="67" t="str">
        <f aca="false">IFERROR(INDEX('Master Data'!$L$2:$L$2436,MATCH($B$3&amp;"|"&amp;D206&amp;"|"&amp;B206&amp;"|"&amp;C206,'Master Data'!$A$2:$A$2436,0)),"")</f>
        <v>Slot kosong</v>
      </c>
      <c r="F206" s="67" t="str">
        <f aca="false">IFERROR(INDEX('Master Data'!$F$2:$F$2436,MATCH($B$3&amp;"|"&amp;D206&amp;"|"&amp;B206&amp;"|"&amp;C206,'Master Data'!$A$2:$A$2436,0))&amp;"","")</f>
        <v/>
      </c>
      <c r="G206" s="66" t="n">
        <f aca="false">IFERROR(INDEX('Master Data'!$G$2:$G$2436,MATCH($B$3&amp;"|"&amp;D206&amp;"|"&amp;B206&amp;"|"&amp;C206,'Master Data'!$A$2:$A$2436,0)),"")</f>
        <v>4</v>
      </c>
      <c r="H206" s="67" t="str">
        <f aca="false">IFERROR(INDEX('Master Data'!$K$2:$K$2436,MATCH($B$3&amp;"|"&amp;D206&amp;"|"&amp;B206&amp;"|"&amp;C206,'Master Data'!$A$2:$A$2436,0))&amp;"","")</f>
        <v/>
      </c>
      <c r="I206" s="67" t="s">
        <v>316</v>
      </c>
      <c r="J206" s="67" t="s">
        <v>134</v>
      </c>
      <c r="K206" s="68"/>
      <c r="L206" s="68"/>
      <c r="M206" s="68"/>
      <c r="N206" s="69"/>
      <c r="O206" s="68"/>
    </row>
    <row r="207" customFormat="false" ht="40.5" hidden="false" customHeight="true" outlineLevel="0" collapsed="false">
      <c r="A207" s="66" t="n">
        <v>116</v>
      </c>
      <c r="B207" s="67" t="s">
        <v>95</v>
      </c>
      <c r="C207" s="66" t="s">
        <v>121</v>
      </c>
      <c r="D207" s="66" t="n">
        <v>3</v>
      </c>
      <c r="E207" s="67" t="str">
        <f aca="false">IFERROR(INDEX('Master Data'!$L$2:$L$2436,MATCH($B$3&amp;"|"&amp;D207&amp;"|"&amp;B207&amp;"|"&amp;C207,'Master Data'!$A$2:$A$2436,0)),"")</f>
        <v>Belum terisi</v>
      </c>
      <c r="F207" s="67" t="str">
        <f aca="false">IFERROR(INDEX('Master Data'!$F$2:$F$2436,MATCH($B$3&amp;"|"&amp;D207&amp;"|"&amp;B207&amp;"|"&amp;C207,'Master Data'!$A$2:$A$2436,0))&amp;"","")</f>
        <v>Little</v>
      </c>
      <c r="G207" s="66" t="n">
        <f aca="false">IFERROR(INDEX('Master Data'!$G$2:$G$2436,MATCH($B$3&amp;"|"&amp;D207&amp;"|"&amp;B207&amp;"|"&amp;C207,'Master Data'!$A$2:$A$2436,0)),"")</f>
        <v>4</v>
      </c>
      <c r="H207" s="67" t="str">
        <f aca="false">IFERROR(INDEX('Master Data'!$K$2:$K$2436,MATCH($B$3&amp;"|"&amp;D207&amp;"|"&amp;B207&amp;"|"&amp;C207,'Master Data'!$A$2:$A$2436,0))&amp;"","")</f>
        <v/>
      </c>
      <c r="I207" s="67" t="s">
        <v>317</v>
      </c>
      <c r="J207" s="67" t="s">
        <v>134</v>
      </c>
      <c r="K207" s="68"/>
      <c r="L207" s="68"/>
      <c r="M207" s="68"/>
      <c r="N207" s="69"/>
      <c r="O207" s="68"/>
    </row>
    <row r="208" customFormat="false" ht="52.5" hidden="false" customHeight="true" outlineLevel="0" collapsed="false">
      <c r="A208" s="66" t="n">
        <v>117</v>
      </c>
      <c r="B208" s="67" t="s">
        <v>95</v>
      </c>
      <c r="C208" s="66" t="s">
        <v>107</v>
      </c>
      <c r="D208" s="66" t="n">
        <v>1</v>
      </c>
      <c r="E208" s="67" t="str">
        <f aca="false">IFERROR(INDEX('Master Data'!$L$2:$L$2436,MATCH($B$3&amp;"|"&amp;D208&amp;"|"&amp;B208&amp;"|"&amp;C208,'Master Data'!$A$2:$A$2436,0)),"")</f>
        <v>Belum terisi</v>
      </c>
      <c r="F208" s="67" t="str">
        <f aca="false">IFERROR(INDEX('Master Data'!$F$2:$F$2436,MATCH($B$3&amp;"|"&amp;D208&amp;"|"&amp;B208&amp;"|"&amp;C208,'Master Data'!$A$2:$A$2436,0))&amp;"","")</f>
        <v>Baby</v>
      </c>
      <c r="G208" s="66" t="n">
        <f aca="false">IFERROR(INDEX('Master Data'!$G$2:$G$2436,MATCH($B$3&amp;"|"&amp;D208&amp;"|"&amp;B208&amp;"|"&amp;C208,'Master Data'!$A$2:$A$2436,0)),"")</f>
        <v>5</v>
      </c>
      <c r="H208" s="67" t="str">
        <f aca="false">IFERROR(INDEX('Master Data'!$K$2:$K$2436,MATCH($B$3&amp;"|"&amp;D208&amp;"|"&amp;B208&amp;"|"&amp;C208,'Master Data'!$A$2:$A$2436,0))&amp;"","")</f>
        <v/>
      </c>
      <c r="I208" s="67" t="s">
        <v>295</v>
      </c>
      <c r="J208" s="67" t="s">
        <v>134</v>
      </c>
      <c r="K208" s="68"/>
      <c r="L208" s="68"/>
      <c r="M208" s="68"/>
      <c r="N208" s="69"/>
      <c r="O208" s="68"/>
    </row>
    <row r="209" customFormat="false" ht="52.5" hidden="false" customHeight="true" outlineLevel="0" collapsed="false">
      <c r="A209" s="66" t="n">
        <v>118</v>
      </c>
      <c r="B209" s="67" t="s">
        <v>95</v>
      </c>
      <c r="C209" s="66" t="s">
        <v>107</v>
      </c>
      <c r="D209" s="66" t="n">
        <v>2</v>
      </c>
      <c r="E209" s="67" t="str">
        <f aca="false">IFERROR(INDEX('Master Data'!$L$2:$L$2436,MATCH($B$3&amp;"|"&amp;D209&amp;"|"&amp;B209&amp;"|"&amp;C209,'Master Data'!$A$2:$A$2436,0)),"")</f>
        <v>Belum terisi</v>
      </c>
      <c r="F209" s="67" t="str">
        <f aca="false">IFERROR(INDEX('Master Data'!$F$2:$F$2436,MATCH($B$3&amp;"|"&amp;D209&amp;"|"&amp;B209&amp;"|"&amp;C209,'Master Data'!$A$2:$A$2436,0))&amp;"","")</f>
        <v>Tiny</v>
      </c>
      <c r="G209" s="66" t="n">
        <f aca="false">IFERROR(INDEX('Master Data'!$G$2:$G$2436,MATCH($B$3&amp;"|"&amp;D209&amp;"|"&amp;B209&amp;"|"&amp;C209,'Master Data'!$A$2:$A$2436,0)),"")</f>
        <v>5</v>
      </c>
      <c r="H209" s="67" t="str">
        <f aca="false">IFERROR(INDEX('Master Data'!$K$2:$K$2436,MATCH($B$3&amp;"|"&amp;D209&amp;"|"&amp;B209&amp;"|"&amp;C209,'Master Data'!$A$2:$A$2436,0))&amp;"","")</f>
        <v/>
      </c>
      <c r="I209" s="67" t="s">
        <v>295</v>
      </c>
      <c r="J209" s="67" t="s">
        <v>134</v>
      </c>
      <c r="K209" s="68"/>
      <c r="L209" s="68"/>
      <c r="M209" s="68"/>
      <c r="N209" s="69"/>
      <c r="O209" s="68"/>
    </row>
    <row r="210" customFormat="false" ht="40.5" hidden="false" customHeight="true" outlineLevel="0" collapsed="false">
      <c r="A210" s="66" t="n">
        <v>119</v>
      </c>
      <c r="B210" s="67" t="s">
        <v>78</v>
      </c>
      <c r="C210" s="66" t="s">
        <v>111</v>
      </c>
      <c r="D210" s="66" t="n">
        <v>5</v>
      </c>
      <c r="E210" s="67" t="str">
        <f aca="false">IFERROR(INDEX('Master Data'!$L$2:$L$2436,MATCH($B$3&amp;"|"&amp;D210&amp;"|"&amp;B210&amp;"|"&amp;C210,'Master Data'!$A$2:$A$2436,0)),"")</f>
        <v>Slot kosong</v>
      </c>
      <c r="F210" s="67" t="str">
        <f aca="false">IFERROR(INDEX('Master Data'!$F$2:$F$2436,MATCH($B$3&amp;"|"&amp;D210&amp;"|"&amp;B210&amp;"|"&amp;C210,'Master Data'!$A$2:$A$2436,0))&amp;"","")</f>
        <v/>
      </c>
      <c r="G210" s="66" t="n">
        <f aca="false">IFERROR(INDEX('Master Data'!$G$2:$G$2436,MATCH($B$3&amp;"|"&amp;D210&amp;"|"&amp;B210&amp;"|"&amp;C210,'Master Data'!$A$2:$A$2436,0)),"")</f>
        <v>4</v>
      </c>
      <c r="H210" s="67" t="str">
        <f aca="false">IFERROR(INDEX('Master Data'!$K$2:$K$2436,MATCH($B$3&amp;"|"&amp;D210&amp;"|"&amp;B210&amp;"|"&amp;C210,'Master Data'!$A$2:$A$2436,0))&amp;"","")</f>
        <v/>
      </c>
      <c r="I210" s="67" t="s">
        <v>318</v>
      </c>
      <c r="J210" s="67" t="s">
        <v>134</v>
      </c>
      <c r="K210" s="68"/>
      <c r="L210" s="68"/>
      <c r="M210" s="68"/>
      <c r="N210" s="69"/>
      <c r="O210" s="68"/>
    </row>
    <row r="211" customFormat="false" ht="27.75" hidden="false" customHeight="true" outlineLevel="0" collapsed="false">
      <c r="A211" s="66" t="n">
        <v>120</v>
      </c>
      <c r="B211" s="67" t="s">
        <v>78</v>
      </c>
      <c r="C211" s="66" t="s">
        <v>97</v>
      </c>
      <c r="D211" s="66" t="n">
        <v>2</v>
      </c>
      <c r="E211" s="67" t="str">
        <f aca="false">IFERROR(INDEX('Master Data'!$L$2:$L$2436,MATCH($B$3&amp;"|"&amp;D211&amp;"|"&amp;B211&amp;"|"&amp;C211,'Master Data'!$A$2:$A$2436,0)),"")</f>
        <v>Belum terisi</v>
      </c>
      <c r="F211" s="67" t="str">
        <f aca="false">IFERROR(INDEX('Master Data'!$F$2:$F$2436,MATCH($B$3&amp;"|"&amp;D211&amp;"|"&amp;B211&amp;"|"&amp;C211,'Master Data'!$A$2:$A$2436,0))&amp;"","")</f>
        <v>Tiny</v>
      </c>
      <c r="G211" s="66" t="n">
        <f aca="false">IFERROR(INDEX('Master Data'!$G$2:$G$2436,MATCH($B$3&amp;"|"&amp;D211&amp;"|"&amp;B211&amp;"|"&amp;C211,'Master Data'!$A$2:$A$2436,0)),"")</f>
        <v>5</v>
      </c>
      <c r="H211" s="67" t="str">
        <f aca="false">IFERROR(INDEX('Master Data'!$K$2:$K$2436,MATCH($B$3&amp;"|"&amp;D211&amp;"|"&amp;B211&amp;"|"&amp;C211,'Master Data'!$A$2:$A$2436,0))&amp;"","")</f>
        <v/>
      </c>
      <c r="I211" s="67" t="s">
        <v>316</v>
      </c>
      <c r="J211" s="67" t="s">
        <v>134</v>
      </c>
      <c r="K211" s="68"/>
      <c r="L211" s="68"/>
      <c r="M211" s="68"/>
      <c r="N211" s="69"/>
      <c r="O211" s="68"/>
    </row>
    <row r="212" customFormat="false" ht="40.5" hidden="false" customHeight="true" outlineLevel="0" collapsed="false">
      <c r="A212" s="66" t="n">
        <v>121</v>
      </c>
      <c r="B212" s="67" t="s">
        <v>78</v>
      </c>
      <c r="C212" s="66" t="s">
        <v>99</v>
      </c>
      <c r="D212" s="66" t="n">
        <v>2</v>
      </c>
      <c r="E212" s="67" t="str">
        <f aca="false">IFERROR(INDEX('Master Data'!$L$2:$L$2436,MATCH($B$3&amp;"|"&amp;D212&amp;"|"&amp;B212&amp;"|"&amp;C212,'Master Data'!$A$2:$A$2436,0)),"")</f>
        <v>Belum terisi</v>
      </c>
      <c r="F212" s="67" t="str">
        <f aca="false">IFERROR(INDEX('Master Data'!$F$2:$F$2436,MATCH($B$3&amp;"|"&amp;D212&amp;"|"&amp;B212&amp;"|"&amp;C212,'Master Data'!$A$2:$A$2436,0))&amp;"","")</f>
        <v>Tiny</v>
      </c>
      <c r="G212" s="66" t="n">
        <f aca="false">IFERROR(INDEX('Master Data'!$G$2:$G$2436,MATCH($B$3&amp;"|"&amp;D212&amp;"|"&amp;B212&amp;"|"&amp;C212,'Master Data'!$A$2:$A$2436,0)),"")</f>
        <v>5</v>
      </c>
      <c r="H212" s="67" t="str">
        <f aca="false">IFERROR(INDEX('Master Data'!$K$2:$K$2436,MATCH($B$3&amp;"|"&amp;D212&amp;"|"&amp;B212&amp;"|"&amp;C212,'Master Data'!$A$2:$A$2436,0))&amp;"","")</f>
        <v/>
      </c>
      <c r="I212" s="67" t="s">
        <v>319</v>
      </c>
      <c r="J212" s="67" t="s">
        <v>134</v>
      </c>
      <c r="K212" s="68"/>
      <c r="L212" s="68"/>
      <c r="M212" s="68"/>
      <c r="N212" s="69"/>
      <c r="O212" s="68"/>
    </row>
    <row r="213" customFormat="false" ht="40.5" hidden="false" customHeight="true" outlineLevel="0" collapsed="false">
      <c r="A213" s="66" t="n">
        <v>122</v>
      </c>
      <c r="B213" s="67" t="s">
        <v>78</v>
      </c>
      <c r="C213" s="66" t="s">
        <v>114</v>
      </c>
      <c r="D213" s="66" t="n">
        <v>4</v>
      </c>
      <c r="E213" s="67" t="str">
        <f aca="false">IFERROR(INDEX('Master Data'!$L$2:$L$2436,MATCH($B$3&amp;"|"&amp;D213&amp;"|"&amp;B213&amp;"|"&amp;C213,'Master Data'!$A$2:$A$2436,0)),"")</f>
        <v>Belum terisi</v>
      </c>
      <c r="F213" s="67" t="str">
        <f aca="false">IFERROR(INDEX('Master Data'!$F$2:$F$2436,MATCH($B$3&amp;"|"&amp;D213&amp;"|"&amp;B213&amp;"|"&amp;C213,'Master Data'!$A$2:$A$2436,0))&amp;"","")</f>
        <v>Kids</v>
      </c>
      <c r="G213" s="66" t="n">
        <f aca="false">IFERROR(INDEX('Master Data'!$G$2:$G$2436,MATCH($B$3&amp;"|"&amp;D213&amp;"|"&amp;B213&amp;"|"&amp;C213,'Master Data'!$A$2:$A$2436,0)),"")</f>
        <v>4</v>
      </c>
      <c r="H213" s="67" t="str">
        <f aca="false">IFERROR(INDEX('Master Data'!$K$2:$K$2436,MATCH($B$3&amp;"|"&amp;D213&amp;"|"&amp;B213&amp;"|"&amp;C213,'Master Data'!$A$2:$A$2436,0))&amp;"","")</f>
        <v/>
      </c>
      <c r="I213" s="67" t="s">
        <v>320</v>
      </c>
      <c r="J213" s="67" t="s">
        <v>134</v>
      </c>
      <c r="K213" s="68"/>
      <c r="L213" s="68"/>
      <c r="M213" s="68"/>
      <c r="N213" s="69"/>
      <c r="O213" s="68"/>
    </row>
    <row r="214" customFormat="false" ht="40.5" hidden="false" customHeight="true" outlineLevel="0" collapsed="false">
      <c r="A214" s="66" t="n">
        <v>123</v>
      </c>
      <c r="B214" s="67" t="s">
        <v>78</v>
      </c>
      <c r="C214" s="66" t="s">
        <v>114</v>
      </c>
      <c r="D214" s="66" t="n">
        <v>5</v>
      </c>
      <c r="E214" s="67" t="str">
        <f aca="false">IFERROR(INDEX('Master Data'!$L$2:$L$2436,MATCH($B$3&amp;"|"&amp;D214&amp;"|"&amp;B214&amp;"|"&amp;C214,'Master Data'!$A$2:$A$2436,0)),"")</f>
        <v>Slot kosong</v>
      </c>
      <c r="F214" s="67" t="str">
        <f aca="false">IFERROR(INDEX('Master Data'!$F$2:$F$2436,MATCH($B$3&amp;"|"&amp;D214&amp;"|"&amp;B214&amp;"|"&amp;C214,'Master Data'!$A$2:$A$2436,0))&amp;"","")</f>
        <v/>
      </c>
      <c r="G214" s="66" t="n">
        <f aca="false">IFERROR(INDEX('Master Data'!$G$2:$G$2436,MATCH($B$3&amp;"|"&amp;D214&amp;"|"&amp;B214&amp;"|"&amp;C214,'Master Data'!$A$2:$A$2436,0)),"")</f>
        <v>4</v>
      </c>
      <c r="H214" s="67" t="str">
        <f aca="false">IFERROR(INDEX('Master Data'!$K$2:$K$2436,MATCH($B$3&amp;"|"&amp;D214&amp;"|"&amp;B214&amp;"|"&amp;C214,'Master Data'!$A$2:$A$2436,0))&amp;"","")</f>
        <v/>
      </c>
      <c r="I214" s="67" t="s">
        <v>320</v>
      </c>
      <c r="J214" s="67" t="s">
        <v>134</v>
      </c>
      <c r="K214" s="68"/>
      <c r="L214" s="68"/>
      <c r="M214" s="68"/>
      <c r="N214" s="69"/>
      <c r="O214" s="68"/>
    </row>
    <row r="215" customFormat="false" ht="40.5" hidden="false" customHeight="true" outlineLevel="0" collapsed="false">
      <c r="A215" s="66" t="n">
        <v>124</v>
      </c>
      <c r="B215" s="67" t="s">
        <v>78</v>
      </c>
      <c r="C215" s="66" t="s">
        <v>100</v>
      </c>
      <c r="D215" s="66" t="n">
        <v>1</v>
      </c>
      <c r="E215" s="67" t="str">
        <f aca="false">IFERROR(INDEX('Master Data'!$L$2:$L$2436,MATCH($B$3&amp;"|"&amp;D215&amp;"|"&amp;B215&amp;"|"&amp;C215,'Master Data'!$A$2:$A$2436,0)),"")</f>
        <v>Belum terisi</v>
      </c>
      <c r="F215" s="67" t="str">
        <f aca="false">IFERROR(INDEX('Master Data'!$F$2:$F$2436,MATCH($B$3&amp;"|"&amp;D215&amp;"|"&amp;B215&amp;"|"&amp;C215,'Master Data'!$A$2:$A$2436,0))&amp;"","")</f>
        <v>Baby</v>
      </c>
      <c r="G215" s="66" t="n">
        <f aca="false">IFERROR(INDEX('Master Data'!$G$2:$G$2436,MATCH($B$3&amp;"|"&amp;D215&amp;"|"&amp;B215&amp;"|"&amp;C215,'Master Data'!$A$2:$A$2436,0)),"")</f>
        <v>5</v>
      </c>
      <c r="H215" s="67" t="str">
        <f aca="false">IFERROR(INDEX('Master Data'!$K$2:$K$2436,MATCH($B$3&amp;"|"&amp;D215&amp;"|"&amp;B215&amp;"|"&amp;C215,'Master Data'!$A$2:$A$2436,0))&amp;"","")</f>
        <v/>
      </c>
      <c r="I215" s="67" t="s">
        <v>315</v>
      </c>
      <c r="J215" s="67" t="s">
        <v>134</v>
      </c>
      <c r="K215" s="68"/>
      <c r="L215" s="68"/>
      <c r="M215" s="68"/>
      <c r="N215" s="69"/>
      <c r="O215" s="68"/>
    </row>
    <row r="216" customFormat="false" ht="40.5" hidden="false" customHeight="true" outlineLevel="0" collapsed="false">
      <c r="A216" s="66" t="n">
        <v>125</v>
      </c>
      <c r="B216" s="67" t="s">
        <v>78</v>
      </c>
      <c r="C216" s="66" t="s">
        <v>115</v>
      </c>
      <c r="D216" s="66" t="n">
        <v>5</v>
      </c>
      <c r="E216" s="67" t="str">
        <f aca="false">IFERROR(INDEX('Master Data'!$L$2:$L$2436,MATCH($B$3&amp;"|"&amp;D216&amp;"|"&amp;B216&amp;"|"&amp;C216,'Master Data'!$A$2:$A$2436,0)),"")</f>
        <v>Slot kosong</v>
      </c>
      <c r="F216" s="67" t="str">
        <f aca="false">IFERROR(INDEX('Master Data'!$F$2:$F$2436,MATCH($B$3&amp;"|"&amp;D216&amp;"|"&amp;B216&amp;"|"&amp;C216,'Master Data'!$A$2:$A$2436,0))&amp;"","")</f>
        <v/>
      </c>
      <c r="G216" s="66" t="n">
        <f aca="false">IFERROR(INDEX('Master Data'!$G$2:$G$2436,MATCH($B$3&amp;"|"&amp;D216&amp;"|"&amp;B216&amp;"|"&amp;C216,'Master Data'!$A$2:$A$2436,0)),"")</f>
        <v>4</v>
      </c>
      <c r="H216" s="67" t="str">
        <f aca="false">IFERROR(INDEX('Master Data'!$K$2:$K$2436,MATCH($B$3&amp;"|"&amp;D216&amp;"|"&amp;B216&amp;"|"&amp;C216,'Master Data'!$A$2:$A$2436,0))&amp;"","")</f>
        <v/>
      </c>
      <c r="I216" s="67" t="s">
        <v>315</v>
      </c>
      <c r="J216" s="67" t="s">
        <v>134</v>
      </c>
      <c r="K216" s="68"/>
      <c r="L216" s="68"/>
      <c r="M216" s="68"/>
      <c r="N216" s="69"/>
      <c r="O216" s="68"/>
    </row>
    <row r="217" customFormat="false" ht="52.5" hidden="false" customHeight="true" outlineLevel="0" collapsed="false">
      <c r="A217" s="66" t="n">
        <v>126</v>
      </c>
      <c r="B217" s="67" t="s">
        <v>78</v>
      </c>
      <c r="C217" s="66" t="s">
        <v>101</v>
      </c>
      <c r="D217" s="66" t="n">
        <v>1</v>
      </c>
      <c r="E217" s="67" t="str">
        <f aca="false">IFERROR(INDEX('Master Data'!$L$2:$L$2436,MATCH($B$3&amp;"|"&amp;D217&amp;"|"&amp;B217&amp;"|"&amp;C217,'Master Data'!$A$2:$A$2436,0)),"")</f>
        <v>Belum terisi</v>
      </c>
      <c r="F217" s="67" t="str">
        <f aca="false">IFERROR(INDEX('Master Data'!$F$2:$F$2436,MATCH($B$3&amp;"|"&amp;D217&amp;"|"&amp;B217&amp;"|"&amp;C217,'Master Data'!$A$2:$A$2436,0))&amp;"","")</f>
        <v>Baby</v>
      </c>
      <c r="G217" s="66" t="n">
        <f aca="false">IFERROR(INDEX('Master Data'!$G$2:$G$2436,MATCH($B$3&amp;"|"&amp;D217&amp;"|"&amp;B217&amp;"|"&amp;C217,'Master Data'!$A$2:$A$2436,0)),"")</f>
        <v>5</v>
      </c>
      <c r="H217" s="67" t="str">
        <f aca="false">IFERROR(INDEX('Master Data'!$K$2:$K$2436,MATCH($B$3&amp;"|"&amp;D217&amp;"|"&amp;B217&amp;"|"&amp;C217,'Master Data'!$A$2:$A$2436,0))&amp;"","")</f>
        <v/>
      </c>
      <c r="I217" s="67" t="s">
        <v>321</v>
      </c>
      <c r="J217" s="67" t="s">
        <v>134</v>
      </c>
      <c r="K217" s="68"/>
      <c r="L217" s="68"/>
      <c r="M217" s="68"/>
      <c r="N217" s="69"/>
      <c r="O217" s="68"/>
    </row>
    <row r="218" customFormat="false" ht="52.5" hidden="false" customHeight="true" outlineLevel="0" collapsed="false">
      <c r="A218" s="66" t="n">
        <v>127</v>
      </c>
      <c r="B218" s="67" t="s">
        <v>78</v>
      </c>
      <c r="C218" s="66" t="s">
        <v>101</v>
      </c>
      <c r="D218" s="66" t="n">
        <v>2</v>
      </c>
      <c r="E218" s="67" t="str">
        <f aca="false">IFERROR(INDEX('Master Data'!$L$2:$L$2436,MATCH($B$3&amp;"|"&amp;D218&amp;"|"&amp;B218&amp;"|"&amp;C218,'Master Data'!$A$2:$A$2436,0)),"")</f>
        <v>Belum terisi</v>
      </c>
      <c r="F218" s="67" t="str">
        <f aca="false">IFERROR(INDEX('Master Data'!$F$2:$F$2436,MATCH($B$3&amp;"|"&amp;D218&amp;"|"&amp;B218&amp;"|"&amp;C218,'Master Data'!$A$2:$A$2436,0))&amp;"","")</f>
        <v>Tiny</v>
      </c>
      <c r="G218" s="66" t="n">
        <f aca="false">IFERROR(INDEX('Master Data'!$G$2:$G$2436,MATCH($B$3&amp;"|"&amp;D218&amp;"|"&amp;B218&amp;"|"&amp;C218,'Master Data'!$A$2:$A$2436,0)),"")</f>
        <v>5</v>
      </c>
      <c r="H218" s="67" t="str">
        <f aca="false">IFERROR(INDEX('Master Data'!$K$2:$K$2436,MATCH($B$3&amp;"|"&amp;D218&amp;"|"&amp;B218&amp;"|"&amp;C218,'Master Data'!$A$2:$A$2436,0))&amp;"","")</f>
        <v/>
      </c>
      <c r="I218" s="67" t="s">
        <v>321</v>
      </c>
      <c r="J218" s="67" t="s">
        <v>134</v>
      </c>
      <c r="K218" s="68"/>
      <c r="L218" s="68"/>
      <c r="M218" s="68"/>
      <c r="N218" s="69"/>
      <c r="O218" s="68"/>
    </row>
    <row r="219" customFormat="false" ht="40.5" hidden="false" customHeight="true" outlineLevel="0" collapsed="false">
      <c r="A219" s="66" t="n">
        <v>128</v>
      </c>
      <c r="B219" s="67" t="s">
        <v>78</v>
      </c>
      <c r="C219" s="66" t="s">
        <v>116</v>
      </c>
      <c r="D219" s="66" t="n">
        <v>5</v>
      </c>
      <c r="E219" s="67" t="str">
        <f aca="false">IFERROR(INDEX('Master Data'!$L$2:$L$2436,MATCH($B$3&amp;"|"&amp;D219&amp;"|"&amp;B219&amp;"|"&amp;C219,'Master Data'!$A$2:$A$2436,0)),"")</f>
        <v>Slot kosong</v>
      </c>
      <c r="F219" s="67" t="str">
        <f aca="false">IFERROR(INDEX('Master Data'!$F$2:$F$2436,MATCH($B$3&amp;"|"&amp;D219&amp;"|"&amp;B219&amp;"|"&amp;C219,'Master Data'!$A$2:$A$2436,0))&amp;"","")</f>
        <v/>
      </c>
      <c r="G219" s="66" t="n">
        <f aca="false">IFERROR(INDEX('Master Data'!$G$2:$G$2436,MATCH($B$3&amp;"|"&amp;D219&amp;"|"&amp;B219&amp;"|"&amp;C219,'Master Data'!$A$2:$A$2436,0)),"")</f>
        <v>4</v>
      </c>
      <c r="H219" s="67" t="str">
        <f aca="false">IFERROR(INDEX('Master Data'!$K$2:$K$2436,MATCH($B$3&amp;"|"&amp;D219&amp;"|"&amp;B219&amp;"|"&amp;C219,'Master Data'!$A$2:$A$2436,0))&amp;"","")</f>
        <v/>
      </c>
      <c r="I219" s="67" t="s">
        <v>322</v>
      </c>
      <c r="J219" s="67" t="s">
        <v>134</v>
      </c>
      <c r="K219" s="68"/>
      <c r="L219" s="68"/>
      <c r="M219" s="68"/>
      <c r="N219" s="69"/>
      <c r="O219" s="68"/>
    </row>
    <row r="220" customFormat="false" ht="40.5" hidden="false" customHeight="true" outlineLevel="0" collapsed="false">
      <c r="A220" s="66" t="n">
        <v>129</v>
      </c>
      <c r="B220" s="67" t="s">
        <v>78</v>
      </c>
      <c r="C220" s="66" t="s">
        <v>102</v>
      </c>
      <c r="D220" s="66" t="n">
        <v>2</v>
      </c>
      <c r="E220" s="67" t="str">
        <f aca="false">IFERROR(INDEX('Master Data'!$L$2:$L$2436,MATCH($B$3&amp;"|"&amp;D220&amp;"|"&amp;B220&amp;"|"&amp;C220,'Master Data'!$A$2:$A$2436,0)),"")</f>
        <v>Belum terisi</v>
      </c>
      <c r="F220" s="67" t="str">
        <f aca="false">IFERROR(INDEX('Master Data'!$F$2:$F$2436,MATCH($B$3&amp;"|"&amp;D220&amp;"|"&amp;B220&amp;"|"&amp;C220,'Master Data'!$A$2:$A$2436,0))&amp;"","")</f>
        <v>Tiny</v>
      </c>
      <c r="G220" s="66" t="n">
        <f aca="false">IFERROR(INDEX('Master Data'!$G$2:$G$2436,MATCH($B$3&amp;"|"&amp;D220&amp;"|"&amp;B220&amp;"|"&amp;C220,'Master Data'!$A$2:$A$2436,0)),"")</f>
        <v>5</v>
      </c>
      <c r="H220" s="67" t="str">
        <f aca="false">IFERROR(INDEX('Master Data'!$K$2:$K$2436,MATCH($B$3&amp;"|"&amp;D220&amp;"|"&amp;B220&amp;"|"&amp;C220,'Master Data'!$A$2:$A$2436,0))&amp;"","")</f>
        <v/>
      </c>
      <c r="I220" s="67" t="s">
        <v>322</v>
      </c>
      <c r="J220" s="67" t="s">
        <v>134</v>
      </c>
      <c r="K220" s="68"/>
      <c r="L220" s="68"/>
      <c r="M220" s="68"/>
      <c r="N220" s="69"/>
      <c r="O220" s="68"/>
    </row>
    <row r="221" customFormat="false" ht="52.5" hidden="false" customHeight="true" outlineLevel="0" collapsed="false">
      <c r="A221" s="66" t="n">
        <v>130</v>
      </c>
      <c r="B221" s="67" t="s">
        <v>78</v>
      </c>
      <c r="C221" s="66" t="s">
        <v>117</v>
      </c>
      <c r="D221" s="66" t="n">
        <v>5</v>
      </c>
      <c r="E221" s="67" t="str">
        <f aca="false">IFERROR(INDEX('Master Data'!$L$2:$L$2436,MATCH($B$3&amp;"|"&amp;D221&amp;"|"&amp;B221&amp;"|"&amp;C221,'Master Data'!$A$2:$A$2436,0)),"")</f>
        <v>Slot kosong</v>
      </c>
      <c r="F221" s="67" t="str">
        <f aca="false">IFERROR(INDEX('Master Data'!$F$2:$F$2436,MATCH($B$3&amp;"|"&amp;D221&amp;"|"&amp;B221&amp;"|"&amp;C221,'Master Data'!$A$2:$A$2436,0))&amp;"","")</f>
        <v/>
      </c>
      <c r="G221" s="66" t="n">
        <f aca="false">IFERROR(INDEX('Master Data'!$G$2:$G$2436,MATCH($B$3&amp;"|"&amp;D221&amp;"|"&amp;B221&amp;"|"&amp;C221,'Master Data'!$A$2:$A$2436,0)),"")</f>
        <v>4</v>
      </c>
      <c r="H221" s="67" t="str">
        <f aca="false">IFERROR(INDEX('Master Data'!$K$2:$K$2436,MATCH($B$3&amp;"|"&amp;D221&amp;"|"&amp;B221&amp;"|"&amp;C221,'Master Data'!$A$2:$A$2436,0))&amp;"","")</f>
        <v/>
      </c>
      <c r="I221" s="67" t="s">
        <v>313</v>
      </c>
      <c r="J221" s="67" t="s">
        <v>134</v>
      </c>
      <c r="K221" s="68"/>
      <c r="L221" s="68"/>
      <c r="M221" s="68"/>
      <c r="N221" s="69"/>
      <c r="O221" s="68"/>
    </row>
    <row r="222" customFormat="false" ht="27.75" hidden="false" customHeight="true" outlineLevel="0" collapsed="false">
      <c r="A222" s="66" t="n">
        <v>131</v>
      </c>
      <c r="B222" s="67" t="s">
        <v>78</v>
      </c>
      <c r="C222" s="66" t="s">
        <v>103</v>
      </c>
      <c r="D222" s="66" t="n">
        <v>1</v>
      </c>
      <c r="E222" s="67" t="str">
        <f aca="false">IFERROR(INDEX('Master Data'!$L$2:$L$2436,MATCH($B$3&amp;"|"&amp;D222&amp;"|"&amp;B222&amp;"|"&amp;C222,'Master Data'!$A$2:$A$2436,0)),"")</f>
        <v>Belum terisi</v>
      </c>
      <c r="F222" s="67" t="str">
        <f aca="false">IFERROR(INDEX('Master Data'!$F$2:$F$2436,MATCH($B$3&amp;"|"&amp;D222&amp;"|"&amp;B222&amp;"|"&amp;C222,'Master Data'!$A$2:$A$2436,0))&amp;"","")</f>
        <v>Baby</v>
      </c>
      <c r="G222" s="66" t="n">
        <f aca="false">IFERROR(INDEX('Master Data'!$G$2:$G$2436,MATCH($B$3&amp;"|"&amp;D222&amp;"|"&amp;B222&amp;"|"&amp;C222,'Master Data'!$A$2:$A$2436,0)),"")</f>
        <v>5</v>
      </c>
      <c r="H222" s="67" t="str">
        <f aca="false">IFERROR(INDEX('Master Data'!$K$2:$K$2436,MATCH($B$3&amp;"|"&amp;D222&amp;"|"&amp;B222&amp;"|"&amp;C222,'Master Data'!$A$2:$A$2436,0))&amp;"","")</f>
        <v/>
      </c>
      <c r="I222" s="67" t="s">
        <v>323</v>
      </c>
      <c r="J222" s="67" t="s">
        <v>134</v>
      </c>
      <c r="K222" s="68"/>
      <c r="L222" s="68"/>
      <c r="M222" s="68"/>
      <c r="N222" s="69"/>
      <c r="O222" s="68"/>
    </row>
    <row r="223" customFormat="false" ht="27.75" hidden="false" customHeight="true" outlineLevel="0" collapsed="false">
      <c r="A223" s="66" t="n">
        <v>132</v>
      </c>
      <c r="B223" s="67" t="s">
        <v>78</v>
      </c>
      <c r="C223" s="66" t="s">
        <v>103</v>
      </c>
      <c r="D223" s="66" t="n">
        <v>2</v>
      </c>
      <c r="E223" s="67" t="str">
        <f aca="false">IFERROR(INDEX('Master Data'!$L$2:$L$2436,MATCH($B$3&amp;"|"&amp;D223&amp;"|"&amp;B223&amp;"|"&amp;C223,'Master Data'!$A$2:$A$2436,0)),"")</f>
        <v>Belum terisi</v>
      </c>
      <c r="F223" s="67" t="str">
        <f aca="false">IFERROR(INDEX('Master Data'!$F$2:$F$2436,MATCH($B$3&amp;"|"&amp;D223&amp;"|"&amp;B223&amp;"|"&amp;C223,'Master Data'!$A$2:$A$2436,0))&amp;"","")</f>
        <v>Tiny</v>
      </c>
      <c r="G223" s="66" t="n">
        <f aca="false">IFERROR(INDEX('Master Data'!$G$2:$G$2436,MATCH($B$3&amp;"|"&amp;D223&amp;"|"&amp;B223&amp;"|"&amp;C223,'Master Data'!$A$2:$A$2436,0)),"")</f>
        <v>5</v>
      </c>
      <c r="H223" s="67" t="str">
        <f aca="false">IFERROR(INDEX('Master Data'!$K$2:$K$2436,MATCH($B$3&amp;"|"&amp;D223&amp;"|"&amp;B223&amp;"|"&amp;C223,'Master Data'!$A$2:$A$2436,0))&amp;"","")</f>
        <v/>
      </c>
      <c r="I223" s="67" t="s">
        <v>323</v>
      </c>
      <c r="J223" s="67" t="s">
        <v>134</v>
      </c>
      <c r="K223" s="68"/>
      <c r="L223" s="68"/>
      <c r="M223" s="68"/>
      <c r="N223" s="69"/>
      <c r="O223" s="68"/>
    </row>
    <row r="224" customFormat="false" ht="40.5" hidden="false" customHeight="true" outlineLevel="0" collapsed="false">
      <c r="A224" s="66" t="n">
        <v>133</v>
      </c>
      <c r="B224" s="67" t="s">
        <v>78</v>
      </c>
      <c r="C224" s="66" t="s">
        <v>118</v>
      </c>
      <c r="D224" s="66" t="n">
        <v>5</v>
      </c>
      <c r="E224" s="67" t="str">
        <f aca="false">IFERROR(INDEX('Master Data'!$L$2:$L$2436,MATCH($B$3&amp;"|"&amp;D224&amp;"|"&amp;B224&amp;"|"&amp;C224,'Master Data'!$A$2:$A$2436,0)),"")</f>
        <v>Slot kosong</v>
      </c>
      <c r="F224" s="67" t="str">
        <f aca="false">IFERROR(INDEX('Master Data'!$F$2:$F$2436,MATCH($B$3&amp;"|"&amp;D224&amp;"|"&amp;B224&amp;"|"&amp;C224,'Master Data'!$A$2:$A$2436,0))&amp;"","")</f>
        <v/>
      </c>
      <c r="G224" s="66" t="n">
        <f aca="false">IFERROR(INDEX('Master Data'!$G$2:$G$2436,MATCH($B$3&amp;"|"&amp;D224&amp;"|"&amp;B224&amp;"|"&amp;C224,'Master Data'!$A$2:$A$2436,0)),"")</f>
        <v>4</v>
      </c>
      <c r="H224" s="67" t="str">
        <f aca="false">IFERROR(INDEX('Master Data'!$K$2:$K$2436,MATCH($B$3&amp;"|"&amp;D224&amp;"|"&amp;B224&amp;"|"&amp;C224,'Master Data'!$A$2:$A$2436,0))&amp;"","")</f>
        <v/>
      </c>
      <c r="I224" s="67" t="s">
        <v>324</v>
      </c>
      <c r="J224" s="67" t="s">
        <v>134</v>
      </c>
      <c r="K224" s="68"/>
      <c r="L224" s="68"/>
      <c r="M224" s="68"/>
      <c r="N224" s="69"/>
      <c r="O224" s="68"/>
    </row>
    <row r="225" customFormat="false" ht="27.75" hidden="false" customHeight="true" outlineLevel="0" collapsed="false">
      <c r="A225" s="66" t="n">
        <v>134</v>
      </c>
      <c r="B225" s="67" t="s">
        <v>78</v>
      </c>
      <c r="C225" s="66" t="s">
        <v>104</v>
      </c>
      <c r="D225" s="66" t="n">
        <v>1</v>
      </c>
      <c r="E225" s="67" t="str">
        <f aca="false">IFERROR(INDEX('Master Data'!$L$2:$L$2436,MATCH($B$3&amp;"|"&amp;D225&amp;"|"&amp;B225&amp;"|"&amp;C225,'Master Data'!$A$2:$A$2436,0)),"")</f>
        <v>Belum terisi</v>
      </c>
      <c r="F225" s="67" t="str">
        <f aca="false">IFERROR(INDEX('Master Data'!$F$2:$F$2436,MATCH($B$3&amp;"|"&amp;D225&amp;"|"&amp;B225&amp;"|"&amp;C225,'Master Data'!$A$2:$A$2436,0))&amp;"","")</f>
        <v>Baby</v>
      </c>
      <c r="G225" s="66" t="n">
        <f aca="false">IFERROR(INDEX('Master Data'!$G$2:$G$2436,MATCH($B$3&amp;"|"&amp;D225&amp;"|"&amp;B225&amp;"|"&amp;C225,'Master Data'!$A$2:$A$2436,0)),"")</f>
        <v>5</v>
      </c>
      <c r="H225" s="67" t="str">
        <f aca="false">IFERROR(INDEX('Master Data'!$K$2:$K$2436,MATCH($B$3&amp;"|"&amp;D225&amp;"|"&amp;B225&amp;"|"&amp;C225,'Master Data'!$A$2:$A$2436,0))&amp;"","")</f>
        <v/>
      </c>
      <c r="I225" s="67" t="s">
        <v>325</v>
      </c>
      <c r="J225" s="67" t="s">
        <v>134</v>
      </c>
      <c r="K225" s="68"/>
      <c r="L225" s="68"/>
      <c r="M225" s="68"/>
      <c r="N225" s="69"/>
      <c r="O225" s="68"/>
    </row>
    <row r="226" customFormat="false" ht="40.5" hidden="false" customHeight="true" outlineLevel="0" collapsed="false">
      <c r="A226" s="66" t="n">
        <v>135</v>
      </c>
      <c r="B226" s="67" t="s">
        <v>78</v>
      </c>
      <c r="C226" s="66" t="s">
        <v>119</v>
      </c>
      <c r="D226" s="66" t="n">
        <v>5</v>
      </c>
      <c r="E226" s="67" t="str">
        <f aca="false">IFERROR(INDEX('Master Data'!$L$2:$L$2436,MATCH($B$3&amp;"|"&amp;D226&amp;"|"&amp;B226&amp;"|"&amp;C226,'Master Data'!$A$2:$A$2436,0)),"")</f>
        <v>Slot kosong</v>
      </c>
      <c r="F226" s="67" t="str">
        <f aca="false">IFERROR(INDEX('Master Data'!$F$2:$F$2436,MATCH($B$3&amp;"|"&amp;D226&amp;"|"&amp;B226&amp;"|"&amp;C226,'Master Data'!$A$2:$A$2436,0))&amp;"","")</f>
        <v/>
      </c>
      <c r="G226" s="66" t="n">
        <f aca="false">IFERROR(INDEX('Master Data'!$G$2:$G$2436,MATCH($B$3&amp;"|"&amp;D226&amp;"|"&amp;B226&amp;"|"&amp;C226,'Master Data'!$A$2:$A$2436,0)),"")</f>
        <v>4</v>
      </c>
      <c r="H226" s="67" t="str">
        <f aca="false">IFERROR(INDEX('Master Data'!$K$2:$K$2436,MATCH($B$3&amp;"|"&amp;D226&amp;"|"&amp;B226&amp;"|"&amp;C226,'Master Data'!$A$2:$A$2436,0))&amp;"","")</f>
        <v/>
      </c>
      <c r="I226" s="67" t="s">
        <v>300</v>
      </c>
      <c r="J226" s="67" t="s">
        <v>134</v>
      </c>
      <c r="K226" s="68"/>
      <c r="L226" s="68"/>
      <c r="M226" s="68"/>
      <c r="N226" s="69"/>
      <c r="O226" s="68"/>
    </row>
    <row r="227" customFormat="false" ht="27.75" hidden="false" customHeight="true" outlineLevel="0" collapsed="false">
      <c r="A227" s="66" t="n">
        <v>136</v>
      </c>
      <c r="B227" s="67" t="s">
        <v>78</v>
      </c>
      <c r="C227" s="66" t="s">
        <v>105</v>
      </c>
      <c r="D227" s="66" t="n">
        <v>2</v>
      </c>
      <c r="E227" s="67" t="str">
        <f aca="false">IFERROR(INDEX('Master Data'!$L$2:$L$2436,MATCH($B$3&amp;"|"&amp;D227&amp;"|"&amp;B227&amp;"|"&amp;C227,'Master Data'!$A$2:$A$2436,0)),"")</f>
        <v>Belum terisi</v>
      </c>
      <c r="F227" s="67" t="str">
        <f aca="false">IFERROR(INDEX('Master Data'!$F$2:$F$2436,MATCH($B$3&amp;"|"&amp;D227&amp;"|"&amp;B227&amp;"|"&amp;C227,'Master Data'!$A$2:$A$2436,0))&amp;"","")</f>
        <v>Tiny</v>
      </c>
      <c r="G227" s="66" t="n">
        <f aca="false">IFERROR(INDEX('Master Data'!$G$2:$G$2436,MATCH($B$3&amp;"|"&amp;D227&amp;"|"&amp;B227&amp;"|"&amp;C227,'Master Data'!$A$2:$A$2436,0)),"")</f>
        <v>5</v>
      </c>
      <c r="H227" s="67" t="str">
        <f aca="false">IFERROR(INDEX('Master Data'!$K$2:$K$2436,MATCH($B$3&amp;"|"&amp;D227&amp;"|"&amp;B227&amp;"|"&amp;C227,'Master Data'!$A$2:$A$2436,0))&amp;"","")</f>
        <v/>
      </c>
      <c r="I227" s="67" t="s">
        <v>326</v>
      </c>
      <c r="J227" s="67" t="s">
        <v>134</v>
      </c>
      <c r="K227" s="68"/>
      <c r="L227" s="68"/>
      <c r="M227" s="68"/>
      <c r="N227" s="69"/>
      <c r="O227" s="68"/>
    </row>
    <row r="228" customFormat="false" ht="27.75" hidden="false" customHeight="true" outlineLevel="0" collapsed="false">
      <c r="A228" s="66" t="n">
        <v>137</v>
      </c>
      <c r="B228" s="67" t="s">
        <v>78</v>
      </c>
      <c r="C228" s="66" t="s">
        <v>106</v>
      </c>
      <c r="D228" s="66" t="n">
        <v>1</v>
      </c>
      <c r="E228" s="67" t="str">
        <f aca="false">IFERROR(INDEX('Master Data'!$L$2:$L$2436,MATCH($B$3&amp;"|"&amp;D228&amp;"|"&amp;B228&amp;"|"&amp;C228,'Master Data'!$A$2:$A$2436,0)),"")</f>
        <v>Belum terisi</v>
      </c>
      <c r="F228" s="67" t="str">
        <f aca="false">IFERROR(INDEX('Master Data'!$F$2:$F$2436,MATCH($B$3&amp;"|"&amp;D228&amp;"|"&amp;B228&amp;"|"&amp;C228,'Master Data'!$A$2:$A$2436,0))&amp;"","")</f>
        <v>Baby</v>
      </c>
      <c r="G228" s="66" t="n">
        <f aca="false">IFERROR(INDEX('Master Data'!$G$2:$G$2436,MATCH($B$3&amp;"|"&amp;D228&amp;"|"&amp;B228&amp;"|"&amp;C228,'Master Data'!$A$2:$A$2436,0)),"")</f>
        <v>5</v>
      </c>
      <c r="H228" s="67" t="str">
        <f aca="false">IFERROR(INDEX('Master Data'!$K$2:$K$2436,MATCH($B$3&amp;"|"&amp;D228&amp;"|"&amp;B228&amp;"|"&amp;C228,'Master Data'!$A$2:$A$2436,0))&amp;"","")</f>
        <v/>
      </c>
      <c r="I228" s="67" t="s">
        <v>327</v>
      </c>
      <c r="J228" s="67" t="s">
        <v>134</v>
      </c>
      <c r="K228" s="68"/>
      <c r="L228" s="68"/>
      <c r="M228" s="68"/>
      <c r="N228" s="69"/>
      <c r="O228" s="68"/>
    </row>
    <row r="229" customFormat="false" ht="52.5" hidden="false" customHeight="true" outlineLevel="0" collapsed="false">
      <c r="A229" s="66" t="n">
        <v>138</v>
      </c>
      <c r="B229" s="67" t="s">
        <v>78</v>
      </c>
      <c r="C229" s="66" t="s">
        <v>121</v>
      </c>
      <c r="D229" s="66" t="n">
        <v>5</v>
      </c>
      <c r="E229" s="67" t="str">
        <f aca="false">IFERROR(INDEX('Master Data'!$L$2:$L$2436,MATCH($B$3&amp;"|"&amp;D229&amp;"|"&amp;B229&amp;"|"&amp;C229,'Master Data'!$A$2:$A$2436,0)),"")</f>
        <v>Slot kosong</v>
      </c>
      <c r="F229" s="67" t="str">
        <f aca="false">IFERROR(INDEX('Master Data'!$F$2:$F$2436,MATCH($B$3&amp;"|"&amp;D229&amp;"|"&amp;B229&amp;"|"&amp;C229,'Master Data'!$A$2:$A$2436,0))&amp;"","")</f>
        <v/>
      </c>
      <c r="G229" s="66" t="n">
        <f aca="false">IFERROR(INDEX('Master Data'!$G$2:$G$2436,MATCH($B$3&amp;"|"&amp;D229&amp;"|"&amp;B229&amp;"|"&amp;C229,'Master Data'!$A$2:$A$2436,0)),"")</f>
        <v>4</v>
      </c>
      <c r="H229" s="67" t="str">
        <f aca="false">IFERROR(INDEX('Master Data'!$K$2:$K$2436,MATCH($B$3&amp;"|"&amp;D229&amp;"|"&amp;B229&amp;"|"&amp;C229,'Master Data'!$A$2:$A$2436,0))&amp;"","")</f>
        <v/>
      </c>
      <c r="I229" s="67" t="s">
        <v>328</v>
      </c>
      <c r="J229" s="67" t="s">
        <v>134</v>
      </c>
      <c r="K229" s="68"/>
      <c r="L229" s="68"/>
      <c r="M229" s="68"/>
      <c r="N229" s="69"/>
      <c r="O229" s="68"/>
    </row>
    <row r="230" customFormat="false" ht="65.25" hidden="false" customHeight="true" outlineLevel="0" collapsed="false">
      <c r="A230" s="66" t="n">
        <v>139</v>
      </c>
      <c r="B230" s="67" t="s">
        <v>78</v>
      </c>
      <c r="C230" s="66" t="s">
        <v>107</v>
      </c>
      <c r="D230" s="66" t="n">
        <v>1</v>
      </c>
      <c r="E230" s="67" t="str">
        <f aca="false">IFERROR(INDEX('Master Data'!$L$2:$L$2436,MATCH($B$3&amp;"|"&amp;D230&amp;"|"&amp;B230&amp;"|"&amp;C230,'Master Data'!$A$2:$A$2436,0)),"")</f>
        <v>Belum terisi</v>
      </c>
      <c r="F230" s="67" t="str">
        <f aca="false">IFERROR(INDEX('Master Data'!$F$2:$F$2436,MATCH($B$3&amp;"|"&amp;D230&amp;"|"&amp;B230&amp;"|"&amp;C230,'Master Data'!$A$2:$A$2436,0))&amp;"","")</f>
        <v>Baby</v>
      </c>
      <c r="G230" s="66" t="n">
        <f aca="false">IFERROR(INDEX('Master Data'!$G$2:$G$2436,MATCH($B$3&amp;"|"&amp;D230&amp;"|"&amp;B230&amp;"|"&amp;C230,'Master Data'!$A$2:$A$2436,0)),"")</f>
        <v>5</v>
      </c>
      <c r="H230" s="67" t="str">
        <f aca="false">IFERROR(INDEX('Master Data'!$K$2:$K$2436,MATCH($B$3&amp;"|"&amp;D230&amp;"|"&amp;B230&amp;"|"&amp;C230,'Master Data'!$A$2:$A$2436,0))&amp;"","")</f>
        <v/>
      </c>
      <c r="I230" s="67" t="s">
        <v>329</v>
      </c>
      <c r="J230" s="67" t="s">
        <v>134</v>
      </c>
      <c r="K230" s="68"/>
      <c r="L230" s="68"/>
      <c r="M230" s="68"/>
      <c r="N230" s="69"/>
      <c r="O230" s="68"/>
    </row>
    <row r="231" customFormat="false" ht="65.25" hidden="false" customHeight="true" outlineLevel="0" collapsed="false">
      <c r="A231" s="66" t="n">
        <v>140</v>
      </c>
      <c r="B231" s="67" t="s">
        <v>78</v>
      </c>
      <c r="C231" s="66" t="s">
        <v>107</v>
      </c>
      <c r="D231" s="66" t="n">
        <v>2</v>
      </c>
      <c r="E231" s="67" t="str">
        <f aca="false">IFERROR(INDEX('Master Data'!$L$2:$L$2436,MATCH($B$3&amp;"|"&amp;D231&amp;"|"&amp;B231&amp;"|"&amp;C231,'Master Data'!$A$2:$A$2436,0)),"")</f>
        <v>Belum terisi</v>
      </c>
      <c r="F231" s="67" t="str">
        <f aca="false">IFERROR(INDEX('Master Data'!$F$2:$F$2436,MATCH($B$3&amp;"|"&amp;D231&amp;"|"&amp;B231&amp;"|"&amp;C231,'Master Data'!$A$2:$A$2436,0))&amp;"","")</f>
        <v>Tiny</v>
      </c>
      <c r="G231" s="66" t="n">
        <f aca="false">IFERROR(INDEX('Master Data'!$G$2:$G$2436,MATCH($B$3&amp;"|"&amp;D231&amp;"|"&amp;B231&amp;"|"&amp;C231,'Master Data'!$A$2:$A$2436,0)),"")</f>
        <v>5</v>
      </c>
      <c r="H231" s="67" t="str">
        <f aca="false">IFERROR(INDEX('Master Data'!$K$2:$K$2436,MATCH($B$3&amp;"|"&amp;D231&amp;"|"&amp;B231&amp;"|"&amp;C231,'Master Data'!$A$2:$A$2436,0))&amp;"","")</f>
        <v/>
      </c>
      <c r="I231" s="67" t="s">
        <v>329</v>
      </c>
      <c r="J231" s="67" t="s">
        <v>134</v>
      </c>
      <c r="K231" s="68"/>
      <c r="L231" s="68"/>
      <c r="M231" s="68"/>
      <c r="N231" s="69"/>
      <c r="O231" s="68"/>
    </row>
    <row r="234" customFormat="false" ht="16.15" hidden="false" customHeight="false" outlineLevel="0" collapsed="false">
      <c r="A234" s="54" t="s">
        <v>188</v>
      </c>
      <c r="B234" s="55"/>
      <c r="C234" s="55"/>
      <c r="D234" s="55"/>
      <c r="E234" s="55"/>
      <c r="F234" s="55"/>
      <c r="G234" s="55"/>
      <c r="H234" s="55"/>
      <c r="I234" s="55"/>
      <c r="J234" s="55"/>
      <c r="K234" s="55"/>
      <c r="L234" s="55"/>
      <c r="M234" s="55"/>
      <c r="N234" s="55"/>
    </row>
    <row r="235" customFormat="false" ht="15" hidden="false" customHeight="false" outlineLevel="0" collapsed="false">
      <c r="A235" s="52" t="s">
        <v>189</v>
      </c>
    </row>
    <row r="236" customFormat="false" ht="22.35" hidden="false" customHeight="false" outlineLevel="0" collapsed="false">
      <c r="A236" s="64" t="s">
        <v>126</v>
      </c>
      <c r="B236" s="64" t="s">
        <v>190</v>
      </c>
      <c r="C236" s="64" t="s">
        <v>191</v>
      </c>
      <c r="D236" s="64" t="s">
        <v>90</v>
      </c>
      <c r="E236" s="64" t="s">
        <v>91</v>
      </c>
      <c r="F236" s="64" t="s">
        <v>92</v>
      </c>
      <c r="G236" s="64" t="s">
        <v>93</v>
      </c>
      <c r="H236" s="64" t="s">
        <v>94</v>
      </c>
      <c r="I236" s="64" t="s">
        <v>95</v>
      </c>
      <c r="J236" s="64" t="s">
        <v>78</v>
      </c>
      <c r="K236" s="64" t="s">
        <v>192</v>
      </c>
      <c r="L236" s="64" t="s">
        <v>193</v>
      </c>
    </row>
    <row r="237" customFormat="false" ht="15" hidden="false" customHeight="false" outlineLevel="0" collapsed="false">
      <c r="A237" s="71" t="n">
        <v>1</v>
      </c>
      <c r="B237" s="72" t="s">
        <v>330</v>
      </c>
      <c r="C237" s="73" t="s">
        <v>134</v>
      </c>
      <c r="D237" s="74" t="n">
        <f aca="false">COUNTIFS('Master Data'!$B$2:$B$2436,$B$3,'Master Data'!$K$2:$K$2436,$B237,'Master Data'!$D$2:$D$2436,D$236)</f>
        <v>0</v>
      </c>
      <c r="E237" s="74" t="n">
        <f aca="false">COUNTIFS('Master Data'!$B$2:$B$2436,$B$3,'Master Data'!$K$2:$K$2436,$B237,'Master Data'!$D$2:$D$2436,E$236)</f>
        <v>0</v>
      </c>
      <c r="F237" s="74" t="n">
        <f aca="false">COUNTIFS('Master Data'!$B$2:$B$2436,$B$3,'Master Data'!$K$2:$K$2436,$B237,'Master Data'!$D$2:$D$2436,F$236)</f>
        <v>7</v>
      </c>
      <c r="G237" s="74" t="n">
        <f aca="false">COUNTIFS('Master Data'!$B$2:$B$2436,$B$3,'Master Data'!$K$2:$K$2436,$B237,'Master Data'!$D$2:$D$2436,G$236)</f>
        <v>5</v>
      </c>
      <c r="H237" s="74" t="n">
        <f aca="false">COUNTIFS('Master Data'!$B$2:$B$2436,$B$3,'Master Data'!$K$2:$K$2436,$B237,'Master Data'!$D$2:$D$2436,H$236)</f>
        <v>6</v>
      </c>
      <c r="I237" s="74" t="n">
        <f aca="false">COUNTIFS('Master Data'!$B$2:$B$2436,$B$3,'Master Data'!$K$2:$K$2436,$B237,'Master Data'!$D$2:$D$2436,I$236)</f>
        <v>7</v>
      </c>
      <c r="J237" s="74" t="n">
        <f aca="false">COUNTIFS('Master Data'!$B$2:$B$2436,$B$3,'Master Data'!$K$2:$K$2436,$B237,'Master Data'!$D$2:$D$2436,J$236)</f>
        <v>6</v>
      </c>
      <c r="K237" s="71" t="n">
        <f aca="false">SUM(D237:J237)</f>
        <v>31</v>
      </c>
      <c r="L237" s="71" t="s">
        <v>194</v>
      </c>
    </row>
    <row r="238" customFormat="false" ht="15" hidden="false" customHeight="false" outlineLevel="0" collapsed="false">
      <c r="A238" s="71" t="n">
        <v>2</v>
      </c>
      <c r="B238" s="72" t="s">
        <v>331</v>
      </c>
      <c r="C238" s="73" t="s">
        <v>134</v>
      </c>
      <c r="D238" s="74" t="n">
        <f aca="false">COUNTIFS('Master Data'!$B$2:$B$2436,$B$3,'Master Data'!$K$2:$K$2436,$B238,'Master Data'!$D$2:$D$2436,D$236)</f>
        <v>6</v>
      </c>
      <c r="E238" s="74" t="n">
        <f aca="false">COUNTIFS('Master Data'!$B$2:$B$2436,$B$3,'Master Data'!$K$2:$K$2436,$B238,'Master Data'!$D$2:$D$2436,E$236)</f>
        <v>6</v>
      </c>
      <c r="F238" s="74" t="n">
        <f aca="false">COUNTIFS('Master Data'!$B$2:$B$2436,$B$3,'Master Data'!$K$2:$K$2436,$B238,'Master Data'!$D$2:$D$2436,F$236)</f>
        <v>0</v>
      </c>
      <c r="G238" s="74" t="n">
        <f aca="false">COUNTIFS('Master Data'!$B$2:$B$2436,$B$3,'Master Data'!$K$2:$K$2436,$B238,'Master Data'!$D$2:$D$2436,G$236)</f>
        <v>0</v>
      </c>
      <c r="H238" s="74" t="n">
        <f aca="false">COUNTIFS('Master Data'!$B$2:$B$2436,$B$3,'Master Data'!$K$2:$K$2436,$B238,'Master Data'!$D$2:$D$2436,H$236)</f>
        <v>6</v>
      </c>
      <c r="I238" s="74" t="n">
        <f aca="false">COUNTIFS('Master Data'!$B$2:$B$2436,$B$3,'Master Data'!$K$2:$K$2436,$B238,'Master Data'!$D$2:$D$2436,I$236)</f>
        <v>6</v>
      </c>
      <c r="J238" s="74" t="n">
        <f aca="false">COUNTIFS('Master Data'!$B$2:$B$2436,$B$3,'Master Data'!$K$2:$K$2436,$B238,'Master Data'!$D$2:$D$2436,J$236)</f>
        <v>5</v>
      </c>
      <c r="K238" s="71" t="n">
        <f aca="false">SUM(D238:J238)</f>
        <v>29</v>
      </c>
      <c r="L238" s="71" t="s">
        <v>332</v>
      </c>
    </row>
    <row r="239" customFormat="false" ht="15" hidden="false" customHeight="false" outlineLevel="0" collapsed="false">
      <c r="A239" s="71" t="n">
        <v>3</v>
      </c>
      <c r="B239" s="72" t="s">
        <v>333</v>
      </c>
      <c r="C239" s="73" t="s">
        <v>203</v>
      </c>
      <c r="D239" s="74" t="n">
        <f aca="false">COUNTIFS('Master Data'!$B$2:$B$2436,$B$3,'Master Data'!$K$2:$K$2436,$B239,'Master Data'!$D$2:$D$2436,D$236)</f>
        <v>0</v>
      </c>
      <c r="E239" s="74" t="n">
        <f aca="false">COUNTIFS('Master Data'!$B$2:$B$2436,$B$3,'Master Data'!$K$2:$K$2436,$B239,'Master Data'!$D$2:$D$2436,E$236)</f>
        <v>0</v>
      </c>
      <c r="F239" s="74" t="n">
        <f aca="false">COUNTIFS('Master Data'!$B$2:$B$2436,$B$3,'Master Data'!$K$2:$K$2436,$B239,'Master Data'!$D$2:$D$2436,F$236)</f>
        <v>5</v>
      </c>
      <c r="G239" s="74" t="n">
        <f aca="false">COUNTIFS('Master Data'!$B$2:$B$2436,$B$3,'Master Data'!$K$2:$K$2436,$B239,'Master Data'!$D$2:$D$2436,G$236)</f>
        <v>6</v>
      </c>
      <c r="H239" s="74" t="n">
        <f aca="false">COUNTIFS('Master Data'!$B$2:$B$2436,$B$3,'Master Data'!$K$2:$K$2436,$B239,'Master Data'!$D$2:$D$2436,H$236)</f>
        <v>5</v>
      </c>
      <c r="I239" s="74" t="n">
        <f aca="false">COUNTIFS('Master Data'!$B$2:$B$2436,$B$3,'Master Data'!$K$2:$K$2436,$B239,'Master Data'!$D$2:$D$2436,I$236)</f>
        <v>5</v>
      </c>
      <c r="J239" s="74" t="n">
        <f aca="false">COUNTIFS('Master Data'!$B$2:$B$2436,$B$3,'Master Data'!$K$2:$K$2436,$B239,'Master Data'!$D$2:$D$2436,J$236)</f>
        <v>6</v>
      </c>
      <c r="K239" s="71" t="n">
        <f aca="false">SUM(D239:J239)</f>
        <v>27</v>
      </c>
      <c r="L239" s="71" t="s">
        <v>199</v>
      </c>
    </row>
    <row r="240" customFormat="false" ht="15" hidden="false" customHeight="false" outlineLevel="0" collapsed="false">
      <c r="A240" s="71" t="n">
        <v>4</v>
      </c>
      <c r="B240" s="72" t="s">
        <v>334</v>
      </c>
      <c r="C240" s="73" t="s">
        <v>134</v>
      </c>
      <c r="D240" s="74" t="n">
        <f aca="false">COUNTIFS('Master Data'!$B$2:$B$2436,$B$3,'Master Data'!$K$2:$K$2436,$B240,'Master Data'!$D$2:$D$2436,D$236)</f>
        <v>7</v>
      </c>
      <c r="E240" s="74" t="n">
        <f aca="false">COUNTIFS('Master Data'!$B$2:$B$2436,$B$3,'Master Data'!$K$2:$K$2436,$B240,'Master Data'!$D$2:$D$2436,E$236)</f>
        <v>0</v>
      </c>
      <c r="F240" s="74" t="n">
        <f aca="false">COUNTIFS('Master Data'!$B$2:$B$2436,$B$3,'Master Data'!$K$2:$K$2436,$B240,'Master Data'!$D$2:$D$2436,F$236)</f>
        <v>0</v>
      </c>
      <c r="G240" s="74" t="n">
        <f aca="false">COUNTIFS('Master Data'!$B$2:$B$2436,$B$3,'Master Data'!$K$2:$K$2436,$B240,'Master Data'!$D$2:$D$2436,G$236)</f>
        <v>5</v>
      </c>
      <c r="H240" s="74" t="n">
        <f aca="false">COUNTIFS('Master Data'!$B$2:$B$2436,$B$3,'Master Data'!$K$2:$K$2436,$B240,'Master Data'!$D$2:$D$2436,H$236)</f>
        <v>5</v>
      </c>
      <c r="I240" s="74" t="n">
        <f aca="false">COUNTIFS('Master Data'!$B$2:$B$2436,$B$3,'Master Data'!$K$2:$K$2436,$B240,'Master Data'!$D$2:$D$2436,I$236)</f>
        <v>5</v>
      </c>
      <c r="J240" s="74" t="n">
        <f aca="false">COUNTIFS('Master Data'!$B$2:$B$2436,$B$3,'Master Data'!$K$2:$K$2436,$B240,'Master Data'!$D$2:$D$2436,J$236)</f>
        <v>4</v>
      </c>
      <c r="K240" s="71" t="n">
        <f aca="false">SUM(D240:J240)</f>
        <v>26</v>
      </c>
      <c r="L240" s="71" t="s">
        <v>199</v>
      </c>
    </row>
    <row r="241" customFormat="false" ht="15" hidden="false" customHeight="false" outlineLevel="0" collapsed="false">
      <c r="A241" s="71" t="n">
        <v>5</v>
      </c>
      <c r="B241" s="72" t="s">
        <v>335</v>
      </c>
      <c r="C241" s="73" t="s">
        <v>134</v>
      </c>
      <c r="D241" s="74" t="n">
        <f aca="false">COUNTIFS('Master Data'!$B$2:$B$2436,$B$3,'Master Data'!$K$2:$K$2436,$B241,'Master Data'!$D$2:$D$2436,D$236)</f>
        <v>0</v>
      </c>
      <c r="E241" s="74" t="n">
        <f aca="false">COUNTIFS('Master Data'!$B$2:$B$2436,$B$3,'Master Data'!$K$2:$K$2436,$B241,'Master Data'!$D$2:$D$2436,E$236)</f>
        <v>6</v>
      </c>
      <c r="F241" s="74" t="n">
        <f aca="false">COUNTIFS('Master Data'!$B$2:$B$2436,$B$3,'Master Data'!$K$2:$K$2436,$B241,'Master Data'!$D$2:$D$2436,F$236)</f>
        <v>0</v>
      </c>
      <c r="G241" s="74" t="n">
        <f aca="false">COUNTIFS('Master Data'!$B$2:$B$2436,$B$3,'Master Data'!$K$2:$K$2436,$B241,'Master Data'!$D$2:$D$2436,G$236)</f>
        <v>2</v>
      </c>
      <c r="H241" s="74" t="n">
        <f aca="false">COUNTIFS('Master Data'!$B$2:$B$2436,$B$3,'Master Data'!$K$2:$K$2436,$B241,'Master Data'!$D$2:$D$2436,H$236)</f>
        <v>5</v>
      </c>
      <c r="I241" s="74" t="n">
        <f aca="false">COUNTIFS('Master Data'!$B$2:$B$2436,$B$3,'Master Data'!$K$2:$K$2436,$B241,'Master Data'!$D$2:$D$2436,I$236)</f>
        <v>6</v>
      </c>
      <c r="J241" s="74" t="n">
        <f aca="false">COUNTIFS('Master Data'!$B$2:$B$2436,$B$3,'Master Data'!$K$2:$K$2436,$B241,'Master Data'!$D$2:$D$2436,J$236)</f>
        <v>5</v>
      </c>
      <c r="K241" s="71" t="n">
        <f aca="false">SUM(D241:J241)</f>
        <v>24</v>
      </c>
      <c r="L241" s="71" t="s">
        <v>199</v>
      </c>
    </row>
    <row r="242" customFormat="false" ht="15" hidden="false" customHeight="false" outlineLevel="0" collapsed="false">
      <c r="A242" s="71" t="n">
        <v>6</v>
      </c>
      <c r="B242" s="72" t="s">
        <v>336</v>
      </c>
      <c r="C242" s="73" t="s">
        <v>134</v>
      </c>
      <c r="D242" s="74" t="n">
        <f aca="false">COUNTIFS('Master Data'!$B$2:$B$2436,$B$3,'Master Data'!$K$2:$K$2436,$B242,'Master Data'!$D$2:$D$2436,D$236)</f>
        <v>0</v>
      </c>
      <c r="E242" s="74" t="n">
        <f aca="false">COUNTIFS('Master Data'!$B$2:$B$2436,$B$3,'Master Data'!$K$2:$K$2436,$B242,'Master Data'!$D$2:$D$2436,E$236)</f>
        <v>0</v>
      </c>
      <c r="F242" s="74" t="n">
        <f aca="false">COUNTIFS('Master Data'!$B$2:$B$2436,$B$3,'Master Data'!$K$2:$K$2436,$B242,'Master Data'!$D$2:$D$2436,F$236)</f>
        <v>6</v>
      </c>
      <c r="G242" s="74" t="n">
        <f aca="false">COUNTIFS('Master Data'!$B$2:$B$2436,$B$3,'Master Data'!$K$2:$K$2436,$B242,'Master Data'!$D$2:$D$2436,G$236)</f>
        <v>3</v>
      </c>
      <c r="H242" s="74" t="n">
        <f aca="false">COUNTIFS('Master Data'!$B$2:$B$2436,$B$3,'Master Data'!$K$2:$K$2436,$B242,'Master Data'!$D$2:$D$2436,H$236)</f>
        <v>4</v>
      </c>
      <c r="I242" s="74" t="n">
        <f aca="false">COUNTIFS('Master Data'!$B$2:$B$2436,$B$3,'Master Data'!$K$2:$K$2436,$B242,'Master Data'!$D$2:$D$2436,I$236)</f>
        <v>5</v>
      </c>
      <c r="J242" s="74" t="n">
        <f aca="false">COUNTIFS('Master Data'!$B$2:$B$2436,$B$3,'Master Data'!$K$2:$K$2436,$B242,'Master Data'!$D$2:$D$2436,J$236)</f>
        <v>5</v>
      </c>
      <c r="K242" s="71" t="n">
        <f aca="false">SUM(D242:J242)</f>
        <v>23</v>
      </c>
      <c r="L242" s="71" t="s">
        <v>199</v>
      </c>
    </row>
    <row r="243" customFormat="false" ht="15" hidden="false" customHeight="false" outlineLevel="0" collapsed="false">
      <c r="A243" s="71" t="n">
        <v>7</v>
      </c>
      <c r="B243" s="72" t="s">
        <v>337</v>
      </c>
      <c r="C243" s="73" t="s">
        <v>203</v>
      </c>
      <c r="D243" s="74" t="n">
        <f aca="false">COUNTIFS('Master Data'!$B$2:$B$2436,$B$3,'Master Data'!$K$2:$K$2436,$B243,'Master Data'!$D$2:$D$2436,D$236)</f>
        <v>4</v>
      </c>
      <c r="E243" s="74" t="n">
        <f aca="false">COUNTIFS('Master Data'!$B$2:$B$2436,$B$3,'Master Data'!$K$2:$K$2436,$B243,'Master Data'!$D$2:$D$2436,E$236)</f>
        <v>5</v>
      </c>
      <c r="F243" s="74" t="n">
        <f aca="false">COUNTIFS('Master Data'!$B$2:$B$2436,$B$3,'Master Data'!$K$2:$K$2436,$B243,'Master Data'!$D$2:$D$2436,F$236)</f>
        <v>3</v>
      </c>
      <c r="G243" s="74" t="n">
        <f aca="false">COUNTIFS('Master Data'!$B$2:$B$2436,$B$3,'Master Data'!$K$2:$K$2436,$B243,'Master Data'!$D$2:$D$2436,G$236)</f>
        <v>0</v>
      </c>
      <c r="H243" s="74" t="n">
        <f aca="false">COUNTIFS('Master Data'!$B$2:$B$2436,$B$3,'Master Data'!$K$2:$K$2436,$B243,'Master Data'!$D$2:$D$2436,H$236)</f>
        <v>0</v>
      </c>
      <c r="I243" s="74" t="n">
        <f aca="false">COUNTIFS('Master Data'!$B$2:$B$2436,$B$3,'Master Data'!$K$2:$K$2436,$B243,'Master Data'!$D$2:$D$2436,I$236)</f>
        <v>3</v>
      </c>
      <c r="J243" s="74" t="n">
        <f aca="false">COUNTIFS('Master Data'!$B$2:$B$2436,$B$3,'Master Data'!$K$2:$K$2436,$B243,'Master Data'!$D$2:$D$2436,J$236)</f>
        <v>1</v>
      </c>
      <c r="K243" s="71" t="n">
        <f aca="false">SUM(D243:J243)</f>
        <v>16</v>
      </c>
      <c r="L243" s="71" t="s">
        <v>338</v>
      </c>
    </row>
    <row r="244" customFormat="false" ht="15" hidden="false" customHeight="false" outlineLevel="0" collapsed="false">
      <c r="A244" s="71" t="n">
        <v>8</v>
      </c>
      <c r="B244" s="72" t="s">
        <v>339</v>
      </c>
      <c r="C244" s="73" t="s">
        <v>203</v>
      </c>
      <c r="D244" s="74" t="n">
        <f aca="false">COUNTIFS('Master Data'!$B$2:$B$2436,$B$3,'Master Data'!$K$2:$K$2436,$B244,'Master Data'!$D$2:$D$2436,D$236)</f>
        <v>0</v>
      </c>
      <c r="E244" s="74" t="n">
        <f aca="false">COUNTIFS('Master Data'!$B$2:$B$2436,$B$3,'Master Data'!$K$2:$K$2436,$B244,'Master Data'!$D$2:$D$2436,E$236)</f>
        <v>3</v>
      </c>
      <c r="F244" s="74" t="n">
        <f aca="false">COUNTIFS('Master Data'!$B$2:$B$2436,$B$3,'Master Data'!$K$2:$K$2436,$B244,'Master Data'!$D$2:$D$2436,F$236)</f>
        <v>0</v>
      </c>
      <c r="G244" s="74" t="n">
        <f aca="false">COUNTIFS('Master Data'!$B$2:$B$2436,$B$3,'Master Data'!$K$2:$K$2436,$B244,'Master Data'!$D$2:$D$2436,G$236)</f>
        <v>0</v>
      </c>
      <c r="H244" s="74" t="n">
        <f aca="false">COUNTIFS('Master Data'!$B$2:$B$2436,$B$3,'Master Data'!$K$2:$K$2436,$B244,'Master Data'!$D$2:$D$2436,H$236)</f>
        <v>0</v>
      </c>
      <c r="I244" s="74" t="n">
        <f aca="false">COUNTIFS('Master Data'!$B$2:$B$2436,$B$3,'Master Data'!$K$2:$K$2436,$B244,'Master Data'!$D$2:$D$2436,I$236)</f>
        <v>0</v>
      </c>
      <c r="J244" s="74" t="n">
        <f aca="false">COUNTIFS('Master Data'!$B$2:$B$2436,$B$3,'Master Data'!$K$2:$K$2436,$B244,'Master Data'!$D$2:$D$2436,J$236)</f>
        <v>0</v>
      </c>
      <c r="K244" s="71" t="n">
        <f aca="false">SUM(D244:J244)</f>
        <v>3</v>
      </c>
      <c r="L244" s="71" t="s">
        <v>340</v>
      </c>
    </row>
  </sheetData>
  <autoFilter ref="A91:O231"/>
  <mergeCells count="4">
    <mergeCell ref="A1:F1"/>
    <mergeCell ref="A2:F2"/>
    <mergeCell ref="D3:E3"/>
    <mergeCell ref="D4:E4"/>
  </mergeCells>
  <conditionalFormatting sqref="B15:H26">
    <cfRule type="expression" priority="2" aboveAverage="0" equalAverage="0" bottom="0" percent="0" rank="0" text="" dxfId="8">
      <formula>T15="Belum terisi"</formula>
    </cfRule>
    <cfRule type="expression" priority="3" aboveAverage="0" equalAverage="0" bottom="0" percent="0" rank="0" text="" dxfId="9">
      <formula>T15="Slot kosong"</formula>
    </cfRule>
    <cfRule type="expression" priority="4" aboveAverage="0" equalAverage="0" bottom="0" percent="0" rank="0" text="" dxfId="10">
      <formula>T15="Sebagian"</formula>
    </cfRule>
    <cfRule type="expression" priority="5" aboveAverage="0" equalAverage="0" bottom="0" percent="0" rank="0" text="" dxfId="11">
      <formula>T15="Penuh"</formula>
    </cfRule>
    <cfRule type="expression" priority="6" aboveAverage="0" equalAverage="0" bottom="0" percent="0" rank="0" text="" dxfId="12">
      <formula>T15="Lebih kapasitas"</formula>
    </cfRule>
    <cfRule type="expression" priority="7" aboveAverage="0" equalAverage="0" bottom="0" percent="0" rank="0" text="" dxfId="13">
      <formula>T15="Tutup"</formula>
    </cfRule>
    <cfRule type="expression" priority="8" aboveAverage="0" equalAverage="0" bottom="0" percent="0" rank="0" text="" dxfId="14">
      <formula>T15="Tidak dibuka"</formula>
    </cfRule>
  </conditionalFormatting>
  <conditionalFormatting sqref="B30:H41">
    <cfRule type="expression" priority="9" aboveAverage="0" equalAverage="0" bottom="0" percent="0" rank="0" text="" dxfId="8">
      <formula>T30="Belum terisi"</formula>
    </cfRule>
    <cfRule type="expression" priority="10" aboveAverage="0" equalAverage="0" bottom="0" percent="0" rank="0" text="" dxfId="9">
      <formula>T30="Slot kosong"</formula>
    </cfRule>
    <cfRule type="expression" priority="11" aboveAverage="0" equalAverage="0" bottom="0" percent="0" rank="0" text="" dxfId="10">
      <formula>T30="Sebagian"</formula>
    </cfRule>
    <cfRule type="expression" priority="12" aboveAverage="0" equalAverage="0" bottom="0" percent="0" rank="0" text="" dxfId="11">
      <formula>T30="Penuh"</formula>
    </cfRule>
    <cfRule type="expression" priority="13" aboveAverage="0" equalAverage="0" bottom="0" percent="0" rank="0" text="" dxfId="12">
      <formula>T30="Lebih kapasitas"</formula>
    </cfRule>
    <cfRule type="expression" priority="14" aboveAverage="0" equalAverage="0" bottom="0" percent="0" rank="0" text="" dxfId="13">
      <formula>T30="Tutup"</formula>
    </cfRule>
    <cfRule type="expression" priority="15" aboveAverage="0" equalAverage="0" bottom="0" percent="0" rank="0" text="" dxfId="14">
      <formula>T30="Tidak dibuka"</formula>
    </cfRule>
  </conditionalFormatting>
  <conditionalFormatting sqref="B45:H56">
    <cfRule type="expression" priority="16" aboveAverage="0" equalAverage="0" bottom="0" percent="0" rank="0" text="" dxfId="8">
      <formula>T45="Belum terisi"</formula>
    </cfRule>
    <cfRule type="expression" priority="17" aboveAverage="0" equalAverage="0" bottom="0" percent="0" rank="0" text="" dxfId="9">
      <formula>T45="Slot kosong"</formula>
    </cfRule>
    <cfRule type="expression" priority="18" aboveAverage="0" equalAverage="0" bottom="0" percent="0" rank="0" text="" dxfId="10">
      <formula>T45="Sebagian"</formula>
    </cfRule>
    <cfRule type="expression" priority="19" aboveAverage="0" equalAverage="0" bottom="0" percent="0" rank="0" text="" dxfId="11">
      <formula>T45="Penuh"</formula>
    </cfRule>
    <cfRule type="expression" priority="20" aboveAverage="0" equalAverage="0" bottom="0" percent="0" rank="0" text="" dxfId="12">
      <formula>T45="Lebih kapasitas"</formula>
    </cfRule>
    <cfRule type="expression" priority="21" aboveAverage="0" equalAverage="0" bottom="0" percent="0" rank="0" text="" dxfId="13">
      <formula>T45="Tutup"</formula>
    </cfRule>
    <cfRule type="expression" priority="22" aboveAverage="0" equalAverage="0" bottom="0" percent="0" rank="0" text="" dxfId="14">
      <formula>T45="Tidak dibuka"</formula>
    </cfRule>
  </conditionalFormatting>
  <conditionalFormatting sqref="B60:H71">
    <cfRule type="expression" priority="23" aboveAverage="0" equalAverage="0" bottom="0" percent="0" rank="0" text="" dxfId="8">
      <formula>T60="Belum terisi"</formula>
    </cfRule>
    <cfRule type="expression" priority="24" aboveAverage="0" equalAverage="0" bottom="0" percent="0" rank="0" text="" dxfId="9">
      <formula>T60="Slot kosong"</formula>
    </cfRule>
    <cfRule type="expression" priority="25" aboveAverage="0" equalAverage="0" bottom="0" percent="0" rank="0" text="" dxfId="10">
      <formula>T60="Sebagian"</formula>
    </cfRule>
    <cfRule type="expression" priority="26" aboveAverage="0" equalAverage="0" bottom="0" percent="0" rank="0" text="" dxfId="11">
      <formula>T60="Penuh"</formula>
    </cfRule>
    <cfRule type="expression" priority="27" aboveAverage="0" equalAverage="0" bottom="0" percent="0" rank="0" text="" dxfId="12">
      <formula>T60="Lebih kapasitas"</formula>
    </cfRule>
    <cfRule type="expression" priority="28" aboveAverage="0" equalAverage="0" bottom="0" percent="0" rank="0" text="" dxfId="13">
      <formula>T60="Tutup"</formula>
    </cfRule>
    <cfRule type="expression" priority="29" aboveAverage="0" equalAverage="0" bottom="0" percent="0" rank="0" text="" dxfId="14">
      <formula>T60="Tidak dibuka"</formula>
    </cfRule>
  </conditionalFormatting>
  <conditionalFormatting sqref="B75:H86">
    <cfRule type="expression" priority="30" aboveAverage="0" equalAverage="0" bottom="0" percent="0" rank="0" text="" dxfId="8">
      <formula>T75="Belum terisi"</formula>
    </cfRule>
    <cfRule type="expression" priority="31" aboveAverage="0" equalAverage="0" bottom="0" percent="0" rank="0" text="" dxfId="9">
      <formula>T75="Slot kosong"</formula>
    </cfRule>
    <cfRule type="expression" priority="32" aboveAverage="0" equalAverage="0" bottom="0" percent="0" rank="0" text="" dxfId="10">
      <formula>T75="Sebagian"</formula>
    </cfRule>
    <cfRule type="expression" priority="33" aboveAverage="0" equalAverage="0" bottom="0" percent="0" rank="0" text="" dxfId="11">
      <formula>T75="Penuh"</formula>
    </cfRule>
    <cfRule type="expression" priority="34" aboveAverage="0" equalAverage="0" bottom="0" percent="0" rank="0" text="" dxfId="12">
      <formula>T75="Lebih kapasitas"</formula>
    </cfRule>
    <cfRule type="expression" priority="35" aboveAverage="0" equalAverage="0" bottom="0" percent="0" rank="0" text="" dxfId="13">
      <formula>T75="Tutup"</formula>
    </cfRule>
    <cfRule type="expression" priority="36" aboveAverage="0" equalAverage="0" bottom="0" percent="0" rank="0" text="" dxfId="14">
      <formula>T75="Tidak dibuka"</formula>
    </cfRule>
  </conditionalFormatting>
  <conditionalFormatting sqref="E92:E231">
    <cfRule type="expression" priority="37" aboveAverage="0" equalAverage="0" bottom="0" percent="0" rank="0" text="" dxfId="8">
      <formula>E92="Belum terisi"</formula>
    </cfRule>
    <cfRule type="expression" priority="38" aboveAverage="0" equalAverage="0" bottom="0" percent="0" rank="0" text="" dxfId="9">
      <formula>E92="Slot kosong"</formula>
    </cfRule>
  </conditionalFormatting>
  <conditionalFormatting sqref="A92:O231">
    <cfRule type="expression" priority="39" aboveAverage="0" equalAverage="0" bottom="0" percent="0" rank="0" text="" dxfId="15">
      <formula>$K92="Jual minggu ini"</formula>
    </cfRule>
  </conditionalFormatting>
  <conditionalFormatting sqref="D237:J244">
    <cfRule type="colorScale" priority="40">
      <colorScale>
        <cfvo type="num" val="0"/>
        <cfvo type="max" val="0"/>
        <color rgb="FFFFFFFF"/>
        <color rgb="FF8EC6D0"/>
      </colorScale>
    </cfRule>
  </conditionalFormatting>
  <dataValidations count="4">
    <dataValidation allowBlank="true" error="Isi angka 0–20" errorStyle="stop" errorTitle="Target murid" operator="between" showDropDown="false" showErrorMessage="false" showInputMessage="false" sqref="N92:N231" type="whole">
      <formula1>0</formula1>
      <formula2>20</formula2>
    </dataValidation>
    <dataValidation allowBlank="true" errorStyle="stop" operator="between" showDropDown="false" showErrorMessage="false" showInputMessage="false" sqref="K92:K231" type="list">
      <formula1>"Jual minggu ini,Buka kelas baru,Ganti age group,Tahan,Tutup slot"</formula1>
      <formula2>0</formula2>
    </dataValidation>
    <dataValidation allowBlank="true" errorStyle="stop" operator="between" showDropDown="false" showErrorMessage="false" showInputMessage="false" sqref="L92:L231" type="list">
      <formula1>"Baby,Tiny,Little,Kids"</formula1>
      <formula2>0</formula2>
    </dataValidation>
    <dataValidation allowBlank="true" errorStyle="stop" operator="between" showDropDown="false" showErrorMessage="false" showInputMessage="false" sqref="M92:M231" type="list">
      <formula1>$B$237:$B$244</formula1>
      <formula2>0</formula2>
    </dataValidation>
  </dataValidations>
  <hyperlinks>
    <hyperlink ref="B11" r:id="rId1" location="'PML'!A13" display="→ Slot Map"/>
    <hyperlink ref="C11" r:id="rId2" location="'PML'!A89" display="→ Daftar Diskusi"/>
    <hyperlink ref="D11" r:id="rId3" location="'PML'!A234" display="→ Coach"/>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35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0" topLeftCell="B1" activePane="topRight" state="frozen"/>
      <selection pane="topLeft" activeCell="A1" activeCellId="0" sqref="A1"/>
      <selection pane="top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8" min="2" style="0" width="19"/>
    <col collapsed="false" customWidth="true" hidden="false" outlineLevel="0" max="9" min="9" style="0" width="40"/>
    <col collapsed="false" customWidth="true" hidden="false" outlineLevel="0" max="10" min="10" style="0" width="18"/>
    <col collapsed="false" customWidth="true" hidden="false" outlineLevel="0" max="11" min="11" style="0" width="16"/>
    <col collapsed="false" customWidth="true" hidden="false" outlineLevel="0" max="13" min="12" style="0" width="14"/>
    <col collapsed="false" customWidth="true" hidden="false" outlineLevel="0" max="14" min="14" style="0" width="11"/>
    <col collapsed="false" customWidth="true" hidden="false" outlineLevel="0" max="15" min="15" style="0" width="34"/>
    <col collapsed="false" customWidth="true" hidden="true" outlineLevel="0" max="26" min="20" style="0" width="13"/>
  </cols>
  <sheetData>
    <row r="1" customFormat="false" ht="19.7" hidden="false" customHeight="false" outlineLevel="0" collapsed="false">
      <c r="A1" s="29" t="s">
        <v>341</v>
      </c>
      <c r="B1" s="29"/>
      <c r="C1" s="29"/>
      <c r="D1" s="29"/>
      <c r="E1" s="29"/>
      <c r="F1" s="29"/>
    </row>
    <row r="2" customFormat="false" ht="15" hidden="false" customHeight="false" outlineLevel="0" collapsed="false">
      <c r="A2" s="30" t="s">
        <v>76</v>
      </c>
      <c r="B2" s="30"/>
      <c r="C2" s="30"/>
      <c r="D2" s="30"/>
      <c r="E2" s="30"/>
      <c r="F2" s="30"/>
    </row>
    <row r="3" customFormat="false" ht="15" hidden="false" customHeight="false" outlineLevel="0" collapsed="false">
      <c r="A3" s="13" t="s">
        <v>54</v>
      </c>
      <c r="B3" s="3" t="s">
        <v>67</v>
      </c>
      <c r="C3" s="13" t="s">
        <v>77</v>
      </c>
      <c r="D3" s="31"/>
      <c r="E3" s="31"/>
    </row>
    <row r="4" customFormat="false" ht="15" hidden="false" customHeight="false" outlineLevel="0" collapsed="false">
      <c r="A4" s="13" t="s">
        <v>78</v>
      </c>
      <c r="B4" s="31" t="s">
        <v>79</v>
      </c>
      <c r="C4" s="13" t="s">
        <v>80</v>
      </c>
      <c r="D4" s="31"/>
      <c r="E4" s="31"/>
    </row>
    <row r="6" customFormat="false" ht="15" hidden="false" customHeight="false" outlineLevel="0" collapsed="false">
      <c r="A6" s="32" t="s">
        <v>81</v>
      </c>
      <c r="B6" s="33" t="s">
        <v>55</v>
      </c>
      <c r="C6" s="33" t="s">
        <v>56</v>
      </c>
      <c r="D6" s="34" t="s">
        <v>14</v>
      </c>
      <c r="E6" s="35" t="s">
        <v>16</v>
      </c>
      <c r="F6" s="36" t="s">
        <v>18</v>
      </c>
      <c r="G6" s="37" t="s">
        <v>20</v>
      </c>
      <c r="H6" s="38" t="s">
        <v>22</v>
      </c>
    </row>
    <row r="7" customFormat="false" ht="19.7" hidden="false" customHeight="false" outlineLevel="0" collapsed="false">
      <c r="B7" s="39" t="n">
        <f aca="false">IFERROR(SUMIFS('Master Data'!$H$2:$H$2436,'Master Data'!$B$2:$B$2436,$B$3,'Master Data'!$G$2:$G$2436,"&gt;0")/SUMIFS('Master Data'!$G$2:$G$2436,'Master Data'!$B$2:$B$2436,$B$3,'Master Data'!$G$2:$G$2436,"&gt;0"),"")</f>
        <v>0.0773809523809524</v>
      </c>
      <c r="C7" s="40" t="str">
        <f aca="false">SUMIFS('Master Data'!$H$2:$H$2436,'Master Data'!$B$2:$B$2436,$B$3,'Master Data'!$G$2:$G$2436,"&gt;0")&amp;" / "&amp;SUMIFS('Master Data'!$G$2:$G$2436,'Master Data'!$B$2:$B$2436,$B$3,'Master Data'!$G$2:$G$2436,"&gt;0")</f>
        <v>117 / 1512</v>
      </c>
      <c r="D7" s="41" t="n">
        <f aca="false">COUNTIFS('Master Data'!$B$2:$B$2436,$B$3,'Master Data'!$L$2:$L$2436,"Belum terisi")</f>
        <v>269</v>
      </c>
      <c r="E7" s="42" t="n">
        <f aca="false">COUNTIFS('Master Data'!$B$2:$B$2436,$B$3,'Master Data'!$L$2:$L$2436,"Slot kosong")</f>
        <v>0</v>
      </c>
      <c r="F7" s="43" t="n">
        <f aca="false">COUNTIFS('Master Data'!$B$2:$B$2436,$B$3,'Master Data'!$L$2:$L$2436,"Sebagian")</f>
        <v>66</v>
      </c>
      <c r="G7" s="44" t="n">
        <f aca="false">COUNTIFS('Master Data'!$B$2:$B$2436,$B$3,'Master Data'!$L$2:$L$2436,"Penuh")</f>
        <v>1</v>
      </c>
      <c r="H7" s="45" t="n">
        <f aca="false">COUNTIFS('Master Data'!$B$2:$B$2436,$B$3,'Master Data'!$L$2:$L$2436,"Lebih kapasitas")</f>
        <v>0</v>
      </c>
    </row>
    <row r="9" customFormat="false" ht="15" hidden="false" customHeight="false" outlineLevel="0" collapsed="false">
      <c r="A9" s="32" t="s">
        <v>82</v>
      </c>
      <c r="B9" s="46" t="s">
        <v>14</v>
      </c>
      <c r="C9" s="47" t="s">
        <v>16</v>
      </c>
      <c r="D9" s="48" t="s">
        <v>18</v>
      </c>
      <c r="E9" s="49" t="s">
        <v>20</v>
      </c>
      <c r="F9" s="50" t="s">
        <v>22</v>
      </c>
      <c r="G9" s="51" t="s">
        <v>24</v>
      </c>
    </row>
    <row r="10" customFormat="false" ht="15" hidden="false" customHeight="false" outlineLevel="0" collapsed="false">
      <c r="B10" s="52" t="s">
        <v>83</v>
      </c>
    </row>
    <row r="11" customFormat="false" ht="15" hidden="false" customHeight="false" outlineLevel="0" collapsed="false">
      <c r="A11" s="32" t="s">
        <v>84</v>
      </c>
      <c r="B11" s="53" t="s">
        <v>85</v>
      </c>
      <c r="C11" s="53" t="s">
        <v>86</v>
      </c>
      <c r="D11" s="53" t="s">
        <v>87</v>
      </c>
    </row>
    <row r="13" customFormat="false" ht="16.15" hidden="false" customHeight="false" outlineLevel="0" collapsed="false">
      <c r="A13" s="54" t="s">
        <v>88</v>
      </c>
      <c r="B13" s="55"/>
      <c r="C13" s="56" t="str">
        <f aca="false">"Utilisasi lane: "&amp;IFERROR(TEXT(SUMIFS('Master Data'!$H$2:$H$2436,'Master Data'!$B$2:$B$2436,$B$3,'Master Data'!$C$2:$C$2436,1,'Master Data'!$G$2:$G$2436,"&gt;0")/SUMIFS('Master Data'!$G$2:$G$2436,'Master Data'!$B$2:$B$2436,$B$3,'Master Data'!$C$2:$C$2436,1,'Master Data'!$G$2:$G$2436,"&gt;0"),"0%"),"–")&amp;"   ·   Belum terisi: "&amp;COUNTIFS('Master Data'!$B$2:$B$2436,$B$3,'Master Data'!$C$2:$C$2436,1,'Master Data'!$L$2:$L$2436,"Belum terisi")&amp;"   ·   Slot kosong: "&amp;COUNTIFS('Master Data'!$B$2:$B$2436,$B$3,'Master Data'!$C$2:$C$2436,1,'Master Data'!$L$2:$L$2436,"Slot kosong")</f>
        <v>Utilisasi lane: 10%   ·   Belum terisi: 63   ·   Slot kosong: 0</v>
      </c>
      <c r="D13" s="55"/>
      <c r="E13" s="55"/>
      <c r="F13" s="55"/>
      <c r="G13" s="55"/>
      <c r="H13" s="55"/>
    </row>
    <row r="14" customFormat="false" ht="15" hidden="false" customHeight="false" outlineLevel="0" collapsed="false">
      <c r="A14" s="57" t="s">
        <v>89</v>
      </c>
      <c r="B14" s="58" t="s">
        <v>90</v>
      </c>
      <c r="C14" s="58" t="s">
        <v>91</v>
      </c>
      <c r="D14" s="58" t="s">
        <v>92</v>
      </c>
      <c r="E14" s="58" t="s">
        <v>93</v>
      </c>
      <c r="F14" s="58" t="s">
        <v>94</v>
      </c>
      <c r="G14" s="58" t="s">
        <v>95</v>
      </c>
      <c r="H14" s="58" t="s">
        <v>78</v>
      </c>
    </row>
    <row r="15" customFormat="false" ht="30" hidden="false" customHeight="true" outlineLevel="0" collapsed="false">
      <c r="A15" s="59" t="s">
        <v>110</v>
      </c>
      <c r="B15" s="60" t="str">
        <f aca="false">IFERROR(INDEX('Master Data'!$M$2:$M$2436,MATCH($B$3&amp;"|1|"&amp;B$14&amp;"|"&amp;$A15,'Master Data'!$A$2:$A$2436,0)),"")</f>
        <v>Tiny  0/5
coach: –</v>
      </c>
      <c r="C15" s="60" t="str">
        <f aca="false">IFERROR(INDEX('Master Data'!$M$2:$M$2436,MATCH($B$3&amp;"|1|"&amp;C$14&amp;"|"&amp;$A15,'Master Data'!$A$2:$A$2436,0)),"")</f>
        <v>Tiny  0/5
coach: –</v>
      </c>
      <c r="D15" s="60" t="str">
        <f aca="false">IFERROR(INDEX('Master Data'!$M$2:$M$2436,MATCH($B$3&amp;"|1|"&amp;D$14&amp;"|"&amp;$A15,'Master Data'!$A$2:$A$2436,0)),"")</f>
        <v>Tiny  0/5
coach: –</v>
      </c>
      <c r="E15" s="60" t="str">
        <f aca="false">IFERROR(INDEX('Master Data'!$M$2:$M$2436,MATCH($B$3&amp;"|1|"&amp;E$14&amp;"|"&amp;$A15,'Master Data'!$A$2:$A$2436,0)),"")</f>
        <v>Tiny  0/5
coach: –</v>
      </c>
      <c r="F15" s="60" t="str">
        <f aca="false">IFERROR(INDEX('Master Data'!$M$2:$M$2436,MATCH($B$3&amp;"|1|"&amp;F$14&amp;"|"&amp;$A15,'Master Data'!$A$2:$A$2436,0)),"")</f>
        <v>Tiny  0/5
coach: –</v>
      </c>
      <c r="G15" s="60" t="str">
        <f aca="false">IFERROR(INDEX('Master Data'!$M$2:$M$2436,MATCH($B$3&amp;"|1|"&amp;G$14&amp;"|"&amp;$A15,'Master Data'!$A$2:$A$2436,0)),"")</f>
        <v>Tiny  0/5
coach: –</v>
      </c>
      <c r="H15" s="60" t="str">
        <f aca="false">IFERROR(INDEX('Master Data'!$M$2:$M$2436,MATCH($B$3&amp;"|1|"&amp;H$14&amp;"|"&amp;$A15,'Master Data'!$A$2:$A$2436,0)),"")</f>
        <v>Tiny  0/5
coach: –</v>
      </c>
      <c r="T15" s="61" t="str">
        <f aca="false">IFERROR(INDEX('Master Data'!$L$2:$L$2436,MATCH($B$3&amp;"|1|"&amp;B$14&amp;"|"&amp;$A15,'Master Data'!$A$2:$A$2436,0)),"")</f>
        <v>Belum terisi</v>
      </c>
      <c r="U15" s="61" t="str">
        <f aca="false">IFERROR(INDEX('Master Data'!$L$2:$L$2436,MATCH($B$3&amp;"|1|"&amp;C$14&amp;"|"&amp;$A15,'Master Data'!$A$2:$A$2436,0)),"")</f>
        <v>Belum terisi</v>
      </c>
      <c r="V15" s="61" t="str">
        <f aca="false">IFERROR(INDEX('Master Data'!$L$2:$L$2436,MATCH($B$3&amp;"|1|"&amp;D$14&amp;"|"&amp;$A15,'Master Data'!$A$2:$A$2436,0)),"")</f>
        <v>Belum terisi</v>
      </c>
      <c r="W15" s="61" t="str">
        <f aca="false">IFERROR(INDEX('Master Data'!$L$2:$L$2436,MATCH($B$3&amp;"|1|"&amp;E$14&amp;"|"&amp;$A15,'Master Data'!$A$2:$A$2436,0)),"")</f>
        <v>Belum terisi</v>
      </c>
      <c r="X15" s="61" t="str">
        <f aca="false">IFERROR(INDEX('Master Data'!$L$2:$L$2436,MATCH($B$3&amp;"|1|"&amp;F$14&amp;"|"&amp;$A15,'Master Data'!$A$2:$A$2436,0)),"")</f>
        <v>Belum terisi</v>
      </c>
      <c r="Y15" s="61" t="str">
        <f aca="false">IFERROR(INDEX('Master Data'!$L$2:$L$2436,MATCH($B$3&amp;"|1|"&amp;G$14&amp;"|"&amp;$A15,'Master Data'!$A$2:$A$2436,0)),"")</f>
        <v>Belum terisi</v>
      </c>
      <c r="Z15" s="61" t="str">
        <f aca="false">IFERROR(INDEX('Master Data'!$L$2:$L$2436,MATCH($B$3&amp;"|1|"&amp;H$14&amp;"|"&amp;$A15,'Master Data'!$A$2:$A$2436,0)),"")</f>
        <v>Belum terisi</v>
      </c>
    </row>
    <row r="16" customFormat="false" ht="30" hidden="false" customHeight="true" outlineLevel="0" collapsed="false">
      <c r="A16" s="59" t="s">
        <v>111</v>
      </c>
      <c r="B16" s="60" t="str">
        <f aca="false">IFERROR(INDEX('Master Data'!$M$2:$M$2436,MATCH($B$3&amp;"|1|"&amp;B$14&amp;"|"&amp;$A16,'Master Data'!$A$2:$A$2436,0)),"")</f>
        <v>Baby  0/5
coach: –</v>
      </c>
      <c r="C16" s="60" t="str">
        <f aca="false">IFERROR(INDEX('Master Data'!$M$2:$M$2436,MATCH($B$3&amp;"|1|"&amp;C$14&amp;"|"&amp;$A16,'Master Data'!$A$2:$A$2436,0)),"")</f>
        <v>Baby  0/5
coach: –</v>
      </c>
      <c r="D16" s="60" t="str">
        <f aca="false">IFERROR(INDEX('Master Data'!$M$2:$M$2436,MATCH($B$3&amp;"|1|"&amp;D$14&amp;"|"&amp;$A16,'Master Data'!$A$2:$A$2436,0)),"")</f>
        <v>Baby  2/5
coach: Adam</v>
      </c>
      <c r="E16" s="60" t="str">
        <f aca="false">IFERROR(INDEX('Master Data'!$M$2:$M$2436,MATCH($B$3&amp;"|1|"&amp;E$14&amp;"|"&amp;$A16,'Master Data'!$A$2:$A$2436,0)),"")</f>
        <v>Baby  0/5
coach: –</v>
      </c>
      <c r="F16" s="60" t="str">
        <f aca="false">IFERROR(INDEX('Master Data'!$M$2:$M$2436,MATCH($B$3&amp;"|1|"&amp;F$14&amp;"|"&amp;$A16,'Master Data'!$A$2:$A$2436,0)),"")</f>
        <v>Baby  1/5
coach: Adam</v>
      </c>
      <c r="G16" s="60" t="str">
        <f aca="false">IFERROR(INDEX('Master Data'!$M$2:$M$2436,MATCH($B$3&amp;"|1|"&amp;G$14&amp;"|"&amp;$A16,'Master Data'!$A$2:$A$2436,0)),"")</f>
        <v>Baby  0/5
coach: –</v>
      </c>
      <c r="H16" s="60" t="str">
        <f aca="false">IFERROR(INDEX('Master Data'!$M$2:$M$2436,MATCH($B$3&amp;"|1|"&amp;H$14&amp;"|"&amp;$A16,'Master Data'!$A$2:$A$2436,0)),"")</f>
        <v>Baby  1/5
coach: Adam</v>
      </c>
      <c r="T16" s="61" t="str">
        <f aca="false">IFERROR(INDEX('Master Data'!$L$2:$L$2436,MATCH($B$3&amp;"|1|"&amp;B$14&amp;"|"&amp;$A16,'Master Data'!$A$2:$A$2436,0)),"")</f>
        <v>Belum terisi</v>
      </c>
      <c r="U16" s="61" t="str">
        <f aca="false">IFERROR(INDEX('Master Data'!$L$2:$L$2436,MATCH($B$3&amp;"|1|"&amp;C$14&amp;"|"&amp;$A16,'Master Data'!$A$2:$A$2436,0)),"")</f>
        <v>Belum terisi</v>
      </c>
      <c r="V16" s="61" t="str">
        <f aca="false">IFERROR(INDEX('Master Data'!$L$2:$L$2436,MATCH($B$3&amp;"|1|"&amp;D$14&amp;"|"&amp;$A16,'Master Data'!$A$2:$A$2436,0)),"")</f>
        <v>Sebagian</v>
      </c>
      <c r="W16" s="61" t="str">
        <f aca="false">IFERROR(INDEX('Master Data'!$L$2:$L$2436,MATCH($B$3&amp;"|1|"&amp;E$14&amp;"|"&amp;$A16,'Master Data'!$A$2:$A$2436,0)),"")</f>
        <v>Belum terisi</v>
      </c>
      <c r="X16" s="61" t="str">
        <f aca="false">IFERROR(INDEX('Master Data'!$L$2:$L$2436,MATCH($B$3&amp;"|1|"&amp;F$14&amp;"|"&amp;$A16,'Master Data'!$A$2:$A$2436,0)),"")</f>
        <v>Sebagian</v>
      </c>
      <c r="Y16" s="61" t="str">
        <f aca="false">IFERROR(INDEX('Master Data'!$L$2:$L$2436,MATCH($B$3&amp;"|1|"&amp;G$14&amp;"|"&amp;$A16,'Master Data'!$A$2:$A$2436,0)),"")</f>
        <v>Belum terisi</v>
      </c>
      <c r="Z16" s="61" t="str">
        <f aca="false">IFERROR(INDEX('Master Data'!$L$2:$L$2436,MATCH($B$3&amp;"|1|"&amp;H$14&amp;"|"&amp;$A16,'Master Data'!$A$2:$A$2436,0)),"")</f>
        <v>Sebagian</v>
      </c>
    </row>
    <row r="17" customFormat="false" ht="30" hidden="false" customHeight="true" outlineLevel="0" collapsed="false">
      <c r="A17" s="59" t="s">
        <v>112</v>
      </c>
      <c r="B17" s="60" t="str">
        <f aca="false">IFERROR(INDEX('Master Data'!$M$2:$M$2436,MATCH($B$3&amp;"|1|"&amp;B$14&amp;"|"&amp;$A17,'Master Data'!$A$2:$A$2436,0)),"")</f>
        <v>Tiny  0/5
coach: –</v>
      </c>
      <c r="C17" s="60" t="str">
        <f aca="false">IFERROR(INDEX('Master Data'!$M$2:$M$2436,MATCH($B$3&amp;"|1|"&amp;C$14&amp;"|"&amp;$A17,'Master Data'!$A$2:$A$2436,0)),"")</f>
        <v>Tiny  0/5
coach: –</v>
      </c>
      <c r="D17" s="60" t="str">
        <f aca="false">IFERROR(INDEX('Master Data'!$M$2:$M$2436,MATCH($B$3&amp;"|1|"&amp;D$14&amp;"|"&amp;$A17,'Master Data'!$A$2:$A$2436,0)),"")</f>
        <v>Tiny  2/5
coach: Adam</v>
      </c>
      <c r="E17" s="60" t="str">
        <f aca="false">IFERROR(INDEX('Master Data'!$M$2:$M$2436,MATCH($B$3&amp;"|1|"&amp;E$14&amp;"|"&amp;$A17,'Master Data'!$A$2:$A$2436,0)),"")</f>
        <v>Tiny  0/5
coach: –</v>
      </c>
      <c r="F17" s="60" t="str">
        <f aca="false">IFERROR(INDEX('Master Data'!$M$2:$M$2436,MATCH($B$3&amp;"|1|"&amp;F$14&amp;"|"&amp;$A17,'Master Data'!$A$2:$A$2436,0)),"")</f>
        <v>Tiny  0/5
coach: –</v>
      </c>
      <c r="G17" s="60" t="str">
        <f aca="false">IFERROR(INDEX('Master Data'!$M$2:$M$2436,MATCH($B$3&amp;"|1|"&amp;G$14&amp;"|"&amp;$A17,'Master Data'!$A$2:$A$2436,0)),"")</f>
        <v>Tiny  4/5
coach: Adam</v>
      </c>
      <c r="H17" s="60" t="str">
        <f aca="false">IFERROR(INDEX('Master Data'!$M$2:$M$2436,MATCH($B$3&amp;"|1|"&amp;H$14&amp;"|"&amp;$A17,'Master Data'!$A$2:$A$2436,0)),"")</f>
        <v>Tiny  2/5
coach: Iqbal</v>
      </c>
      <c r="T17" s="61" t="str">
        <f aca="false">IFERROR(INDEX('Master Data'!$L$2:$L$2436,MATCH($B$3&amp;"|1|"&amp;B$14&amp;"|"&amp;$A17,'Master Data'!$A$2:$A$2436,0)),"")</f>
        <v>Belum terisi</v>
      </c>
      <c r="U17" s="61" t="str">
        <f aca="false">IFERROR(INDEX('Master Data'!$L$2:$L$2436,MATCH($B$3&amp;"|1|"&amp;C$14&amp;"|"&amp;$A17,'Master Data'!$A$2:$A$2436,0)),"")</f>
        <v>Belum terisi</v>
      </c>
      <c r="V17" s="61" t="str">
        <f aca="false">IFERROR(INDEX('Master Data'!$L$2:$L$2436,MATCH($B$3&amp;"|1|"&amp;D$14&amp;"|"&amp;$A17,'Master Data'!$A$2:$A$2436,0)),"")</f>
        <v>Sebagian</v>
      </c>
      <c r="W17" s="61" t="str">
        <f aca="false">IFERROR(INDEX('Master Data'!$L$2:$L$2436,MATCH($B$3&amp;"|1|"&amp;E$14&amp;"|"&amp;$A17,'Master Data'!$A$2:$A$2436,0)),"")</f>
        <v>Belum terisi</v>
      </c>
      <c r="X17" s="61" t="str">
        <f aca="false">IFERROR(INDEX('Master Data'!$L$2:$L$2436,MATCH($B$3&amp;"|1|"&amp;F$14&amp;"|"&amp;$A17,'Master Data'!$A$2:$A$2436,0)),"")</f>
        <v>Belum terisi</v>
      </c>
      <c r="Y17" s="61" t="str">
        <f aca="false">IFERROR(INDEX('Master Data'!$L$2:$L$2436,MATCH($B$3&amp;"|1|"&amp;G$14&amp;"|"&amp;$A17,'Master Data'!$A$2:$A$2436,0)),"")</f>
        <v>Sebagian</v>
      </c>
      <c r="Z17" s="61" t="str">
        <f aca="false">IFERROR(INDEX('Master Data'!$L$2:$L$2436,MATCH($B$3&amp;"|1|"&amp;H$14&amp;"|"&amp;$A17,'Master Data'!$A$2:$A$2436,0)),"")</f>
        <v>Sebagian</v>
      </c>
    </row>
    <row r="18" customFormat="false" ht="30" hidden="false" customHeight="true" outlineLevel="0" collapsed="false">
      <c r="A18" s="59" t="s">
        <v>113</v>
      </c>
      <c r="B18" s="60" t="str">
        <f aca="false">IFERROR(INDEX('Master Data'!$M$2:$M$2436,MATCH($B$3&amp;"|1|"&amp;B$14&amp;"|"&amp;$A18,'Master Data'!$A$2:$A$2436,0)),"")</f>
        <v>Baby  0/5
coach: –</v>
      </c>
      <c r="C18" s="60" t="str">
        <f aca="false">IFERROR(INDEX('Master Data'!$M$2:$M$2436,MATCH($B$3&amp;"|1|"&amp;C$14&amp;"|"&amp;$A18,'Master Data'!$A$2:$A$2436,0)),"")</f>
        <v>Baby  2/5
coach: Iqbal</v>
      </c>
      <c r="D18" s="60" t="str">
        <f aca="false">IFERROR(INDEX('Master Data'!$M$2:$M$2436,MATCH($B$3&amp;"|1|"&amp;D$14&amp;"|"&amp;$A18,'Master Data'!$A$2:$A$2436,0)),"")</f>
        <v>Baby  0/5
coach: –</v>
      </c>
      <c r="E18" s="60" t="str">
        <f aca="false">IFERROR(INDEX('Master Data'!$M$2:$M$2436,MATCH($B$3&amp;"|1|"&amp;E$14&amp;"|"&amp;$A18,'Master Data'!$A$2:$A$2436,0)),"")</f>
        <v>Baby  0/5
coach: –</v>
      </c>
      <c r="F18" s="60" t="str">
        <f aca="false">IFERROR(INDEX('Master Data'!$M$2:$M$2436,MATCH($B$3&amp;"|1|"&amp;F$14&amp;"|"&amp;$A18,'Master Data'!$A$2:$A$2436,0)),"")</f>
        <v>Baby  1/5
coach: Adam</v>
      </c>
      <c r="G18" s="60" t="str">
        <f aca="false">IFERROR(INDEX('Master Data'!$M$2:$M$2436,MATCH($B$3&amp;"|1|"&amp;G$14&amp;"|"&amp;$A18,'Master Data'!$A$2:$A$2436,0)),"")</f>
        <v>Baby  5/5
coach: Adam</v>
      </c>
      <c r="H18" s="60" t="str">
        <f aca="false">IFERROR(INDEX('Master Data'!$M$2:$M$2436,MATCH($B$3&amp;"|1|"&amp;H$14&amp;"|"&amp;$A18,'Master Data'!$A$2:$A$2436,0)),"")</f>
        <v>Baby  1/5
coach: Adam</v>
      </c>
      <c r="T18" s="61" t="str">
        <f aca="false">IFERROR(INDEX('Master Data'!$L$2:$L$2436,MATCH($B$3&amp;"|1|"&amp;B$14&amp;"|"&amp;$A18,'Master Data'!$A$2:$A$2436,0)),"")</f>
        <v>Belum terisi</v>
      </c>
      <c r="U18" s="61" t="str">
        <f aca="false">IFERROR(INDEX('Master Data'!$L$2:$L$2436,MATCH($B$3&amp;"|1|"&amp;C$14&amp;"|"&amp;$A18,'Master Data'!$A$2:$A$2436,0)),"")</f>
        <v>Sebagian</v>
      </c>
      <c r="V18" s="61" t="str">
        <f aca="false">IFERROR(INDEX('Master Data'!$L$2:$L$2436,MATCH($B$3&amp;"|1|"&amp;D$14&amp;"|"&amp;$A18,'Master Data'!$A$2:$A$2436,0)),"")</f>
        <v>Belum terisi</v>
      </c>
      <c r="W18" s="61" t="str">
        <f aca="false">IFERROR(INDEX('Master Data'!$L$2:$L$2436,MATCH($B$3&amp;"|1|"&amp;E$14&amp;"|"&amp;$A18,'Master Data'!$A$2:$A$2436,0)),"")</f>
        <v>Belum terisi</v>
      </c>
      <c r="X18" s="61" t="str">
        <f aca="false">IFERROR(INDEX('Master Data'!$L$2:$L$2436,MATCH($B$3&amp;"|1|"&amp;F$14&amp;"|"&amp;$A18,'Master Data'!$A$2:$A$2436,0)),"")</f>
        <v>Sebagian</v>
      </c>
      <c r="Y18" s="61" t="str">
        <f aca="false">IFERROR(INDEX('Master Data'!$L$2:$L$2436,MATCH($B$3&amp;"|1|"&amp;G$14&amp;"|"&amp;$A18,'Master Data'!$A$2:$A$2436,0)),"")</f>
        <v>Penuh</v>
      </c>
      <c r="Z18" s="61" t="str">
        <f aca="false">IFERROR(INDEX('Master Data'!$L$2:$L$2436,MATCH($B$3&amp;"|1|"&amp;H$14&amp;"|"&amp;$A18,'Master Data'!$A$2:$A$2436,0)),"")</f>
        <v>Sebagian</v>
      </c>
    </row>
    <row r="19" customFormat="false" ht="30" hidden="false" customHeight="true" outlineLevel="0" collapsed="false">
      <c r="A19" s="59" t="s">
        <v>114</v>
      </c>
      <c r="B19" s="60" t="str">
        <f aca="false">IFERROR(INDEX('Master Data'!$M$2:$M$2436,MATCH($B$3&amp;"|1|"&amp;B$14&amp;"|"&amp;$A19,'Master Data'!$A$2:$A$2436,0)),"")</f>
        <v>Tiny  0/5
coach: –</v>
      </c>
      <c r="C19" s="60" t="str">
        <f aca="false">IFERROR(INDEX('Master Data'!$M$2:$M$2436,MATCH($B$3&amp;"|1|"&amp;C$14&amp;"|"&amp;$A19,'Master Data'!$A$2:$A$2436,0)),"")</f>
        <v>Tiny  0/5
coach: –</v>
      </c>
      <c r="D19" s="60" t="str">
        <f aca="false">IFERROR(INDEX('Master Data'!$M$2:$M$2436,MATCH($B$3&amp;"|1|"&amp;D$14&amp;"|"&amp;$A19,'Master Data'!$A$2:$A$2436,0)),"")</f>
        <v>Tiny  0/5
coach: –</v>
      </c>
      <c r="E19" s="60" t="str">
        <f aca="false">IFERROR(INDEX('Master Data'!$M$2:$M$2436,MATCH($B$3&amp;"|1|"&amp;E$14&amp;"|"&amp;$A19,'Master Data'!$A$2:$A$2436,0)),"")</f>
        <v>Tiny  1/5
coach: Adam</v>
      </c>
      <c r="F19" s="60" t="str">
        <f aca="false">IFERROR(INDEX('Master Data'!$M$2:$M$2436,MATCH($B$3&amp;"|1|"&amp;F$14&amp;"|"&amp;$A19,'Master Data'!$A$2:$A$2436,0)),"")</f>
        <v>Tiny  0/5
coach: –</v>
      </c>
      <c r="G19" s="60" t="str">
        <f aca="false">IFERROR(INDEX('Master Data'!$M$2:$M$2436,MATCH($B$3&amp;"|1|"&amp;G$14&amp;"|"&amp;$A19,'Master Data'!$A$2:$A$2436,0)),"")</f>
        <v>Tiny  3/5
coach: Adam</v>
      </c>
      <c r="H19" s="60" t="str">
        <f aca="false">IFERROR(INDEX('Master Data'!$M$2:$M$2436,MATCH($B$3&amp;"|1|"&amp;H$14&amp;"|"&amp;$A19,'Master Data'!$A$2:$A$2436,0)),"")</f>
        <v>Tiny  1/5
coach: Adam</v>
      </c>
      <c r="T19" s="61" t="str">
        <f aca="false">IFERROR(INDEX('Master Data'!$L$2:$L$2436,MATCH($B$3&amp;"|1|"&amp;B$14&amp;"|"&amp;$A19,'Master Data'!$A$2:$A$2436,0)),"")</f>
        <v>Belum terisi</v>
      </c>
      <c r="U19" s="61" t="str">
        <f aca="false">IFERROR(INDEX('Master Data'!$L$2:$L$2436,MATCH($B$3&amp;"|1|"&amp;C$14&amp;"|"&amp;$A19,'Master Data'!$A$2:$A$2436,0)),"")</f>
        <v>Belum terisi</v>
      </c>
      <c r="V19" s="61" t="str">
        <f aca="false">IFERROR(INDEX('Master Data'!$L$2:$L$2436,MATCH($B$3&amp;"|1|"&amp;D$14&amp;"|"&amp;$A19,'Master Data'!$A$2:$A$2436,0)),"")</f>
        <v>Belum terisi</v>
      </c>
      <c r="W19" s="61" t="str">
        <f aca="false">IFERROR(INDEX('Master Data'!$L$2:$L$2436,MATCH($B$3&amp;"|1|"&amp;E$14&amp;"|"&amp;$A19,'Master Data'!$A$2:$A$2436,0)),"")</f>
        <v>Sebagian</v>
      </c>
      <c r="X19" s="61" t="str">
        <f aca="false">IFERROR(INDEX('Master Data'!$L$2:$L$2436,MATCH($B$3&amp;"|1|"&amp;F$14&amp;"|"&amp;$A19,'Master Data'!$A$2:$A$2436,0)),"")</f>
        <v>Belum terisi</v>
      </c>
      <c r="Y19" s="61" t="str">
        <f aca="false">IFERROR(INDEX('Master Data'!$L$2:$L$2436,MATCH($B$3&amp;"|1|"&amp;G$14&amp;"|"&amp;$A19,'Master Data'!$A$2:$A$2436,0)),"")</f>
        <v>Sebagian</v>
      </c>
      <c r="Z19" s="61" t="str">
        <f aca="false">IFERROR(INDEX('Master Data'!$L$2:$L$2436,MATCH($B$3&amp;"|1|"&amp;H$14&amp;"|"&amp;$A19,'Master Data'!$A$2:$A$2436,0)),"")</f>
        <v>Sebagian</v>
      </c>
    </row>
    <row r="20" customFormat="false" ht="30" hidden="false" customHeight="true" outlineLevel="0" collapsed="false">
      <c r="A20" s="59" t="s">
        <v>115</v>
      </c>
      <c r="B20" s="60" t="str">
        <f aca="false">IFERROR(INDEX('Master Data'!$M$2:$M$2436,MATCH($B$3&amp;"|1|"&amp;B$14&amp;"|"&amp;$A20,'Master Data'!$A$2:$A$2436,0)),"")</f>
        <v>Baby  0/5
coach: –</v>
      </c>
      <c r="C20" s="60" t="str">
        <f aca="false">IFERROR(INDEX('Master Data'!$M$2:$M$2436,MATCH($B$3&amp;"|1|"&amp;C$14&amp;"|"&amp;$A20,'Master Data'!$A$2:$A$2436,0)),"")</f>
        <v>Baby  0/5
coach: –</v>
      </c>
      <c r="D20" s="60" t="str">
        <f aca="false">IFERROR(INDEX('Master Data'!$M$2:$M$2436,MATCH($B$3&amp;"|1|"&amp;D$14&amp;"|"&amp;$A20,'Master Data'!$A$2:$A$2436,0)),"")</f>
        <v>Baby  0/5
coach: –</v>
      </c>
      <c r="E20" s="60" t="str">
        <f aca="false">IFERROR(INDEX('Master Data'!$M$2:$M$2436,MATCH($B$3&amp;"|1|"&amp;E$14&amp;"|"&amp;$A20,'Master Data'!$A$2:$A$2436,0)),"")</f>
        <v>Baby  0/5
coach: –</v>
      </c>
      <c r="F20" s="60" t="str">
        <f aca="false">IFERROR(INDEX('Master Data'!$M$2:$M$2436,MATCH($B$3&amp;"|1|"&amp;F$14&amp;"|"&amp;$A20,'Master Data'!$A$2:$A$2436,0)),"")</f>
        <v>Baby  0/5
coach: –</v>
      </c>
      <c r="G20" s="60" t="str">
        <f aca="false">IFERROR(INDEX('Master Data'!$M$2:$M$2436,MATCH($B$3&amp;"|1|"&amp;G$14&amp;"|"&amp;$A20,'Master Data'!$A$2:$A$2436,0)),"")</f>
        <v>Baby  0/5
coach: –</v>
      </c>
      <c r="H20" s="60" t="str">
        <f aca="false">IFERROR(INDEX('Master Data'!$M$2:$M$2436,MATCH($B$3&amp;"|1|"&amp;H$14&amp;"|"&amp;$A20,'Master Data'!$A$2:$A$2436,0)),"")</f>
        <v>Baby  1/5
coach: Adam</v>
      </c>
      <c r="T20" s="61" t="str">
        <f aca="false">IFERROR(INDEX('Master Data'!$L$2:$L$2436,MATCH($B$3&amp;"|1|"&amp;B$14&amp;"|"&amp;$A20,'Master Data'!$A$2:$A$2436,0)),"")</f>
        <v>Belum terisi</v>
      </c>
      <c r="U20" s="61" t="str">
        <f aca="false">IFERROR(INDEX('Master Data'!$L$2:$L$2436,MATCH($B$3&amp;"|1|"&amp;C$14&amp;"|"&amp;$A20,'Master Data'!$A$2:$A$2436,0)),"")</f>
        <v>Belum terisi</v>
      </c>
      <c r="V20" s="61" t="str">
        <f aca="false">IFERROR(INDEX('Master Data'!$L$2:$L$2436,MATCH($B$3&amp;"|1|"&amp;D$14&amp;"|"&amp;$A20,'Master Data'!$A$2:$A$2436,0)),"")</f>
        <v>Belum terisi</v>
      </c>
      <c r="W20" s="61" t="str">
        <f aca="false">IFERROR(INDEX('Master Data'!$L$2:$L$2436,MATCH($B$3&amp;"|1|"&amp;E$14&amp;"|"&amp;$A20,'Master Data'!$A$2:$A$2436,0)),"")</f>
        <v>Belum terisi</v>
      </c>
      <c r="X20" s="61" t="str">
        <f aca="false">IFERROR(INDEX('Master Data'!$L$2:$L$2436,MATCH($B$3&amp;"|1|"&amp;F$14&amp;"|"&amp;$A20,'Master Data'!$A$2:$A$2436,0)),"")</f>
        <v>Belum terisi</v>
      </c>
      <c r="Y20" s="61" t="str">
        <f aca="false">IFERROR(INDEX('Master Data'!$L$2:$L$2436,MATCH($B$3&amp;"|1|"&amp;G$14&amp;"|"&amp;$A20,'Master Data'!$A$2:$A$2436,0)),"")</f>
        <v>Belum terisi</v>
      </c>
      <c r="Z20" s="61" t="str">
        <f aca="false">IFERROR(INDEX('Master Data'!$L$2:$L$2436,MATCH($B$3&amp;"|1|"&amp;H$14&amp;"|"&amp;$A20,'Master Data'!$A$2:$A$2436,0)),"")</f>
        <v>Sebagian</v>
      </c>
    </row>
    <row r="21" customFormat="false" ht="30" hidden="false" customHeight="true" outlineLevel="0" collapsed="false">
      <c r="A21" s="59" t="s">
        <v>116</v>
      </c>
      <c r="B21" s="60" t="str">
        <f aca="false">IFERROR(INDEX('Master Data'!$M$2:$M$2436,MATCH($B$3&amp;"|1|"&amp;B$14&amp;"|"&amp;$A21,'Master Data'!$A$2:$A$2436,0)),"")</f>
        <v>Tiny  0/5
coach: –</v>
      </c>
      <c r="C21" s="60" t="str">
        <f aca="false">IFERROR(INDEX('Master Data'!$M$2:$M$2436,MATCH($B$3&amp;"|1|"&amp;C$14&amp;"|"&amp;$A21,'Master Data'!$A$2:$A$2436,0)),"")</f>
        <v>Tiny  0/5
coach: –</v>
      </c>
      <c r="D21" s="60" t="str">
        <f aca="false">IFERROR(INDEX('Master Data'!$M$2:$M$2436,MATCH($B$3&amp;"|1|"&amp;D$14&amp;"|"&amp;$A21,'Master Data'!$A$2:$A$2436,0)),"")</f>
        <v>Tiny  0/5
coach: –</v>
      </c>
      <c r="E21" s="60" t="str">
        <f aca="false">IFERROR(INDEX('Master Data'!$M$2:$M$2436,MATCH($B$3&amp;"|1|"&amp;E$14&amp;"|"&amp;$A21,'Master Data'!$A$2:$A$2436,0)),"")</f>
        <v>Tiny  0/5
coach: –</v>
      </c>
      <c r="F21" s="60" t="str">
        <f aca="false">IFERROR(INDEX('Master Data'!$M$2:$M$2436,MATCH($B$3&amp;"|1|"&amp;F$14&amp;"|"&amp;$A21,'Master Data'!$A$2:$A$2436,0)),"")</f>
        <v>Tiny  0/5
coach: –</v>
      </c>
      <c r="G21" s="60" t="str">
        <f aca="false">IFERROR(INDEX('Master Data'!$M$2:$M$2436,MATCH($B$3&amp;"|1|"&amp;G$14&amp;"|"&amp;$A21,'Master Data'!$A$2:$A$2436,0)),"")</f>
        <v>Tiny  0/5
coach: –</v>
      </c>
      <c r="H21" s="60" t="str">
        <f aca="false">IFERROR(INDEX('Master Data'!$M$2:$M$2436,MATCH($B$3&amp;"|1|"&amp;H$14&amp;"|"&amp;$A21,'Master Data'!$A$2:$A$2436,0)),"")</f>
        <v>Tiny  0/5
coach: –</v>
      </c>
      <c r="T21" s="61" t="str">
        <f aca="false">IFERROR(INDEX('Master Data'!$L$2:$L$2436,MATCH($B$3&amp;"|1|"&amp;B$14&amp;"|"&amp;$A21,'Master Data'!$A$2:$A$2436,0)),"")</f>
        <v>Belum terisi</v>
      </c>
      <c r="U21" s="61" t="str">
        <f aca="false">IFERROR(INDEX('Master Data'!$L$2:$L$2436,MATCH($B$3&amp;"|1|"&amp;C$14&amp;"|"&amp;$A21,'Master Data'!$A$2:$A$2436,0)),"")</f>
        <v>Belum terisi</v>
      </c>
      <c r="V21" s="61" t="str">
        <f aca="false">IFERROR(INDEX('Master Data'!$L$2:$L$2436,MATCH($B$3&amp;"|1|"&amp;D$14&amp;"|"&amp;$A21,'Master Data'!$A$2:$A$2436,0)),"")</f>
        <v>Belum terisi</v>
      </c>
      <c r="W21" s="61" t="str">
        <f aca="false">IFERROR(INDEX('Master Data'!$L$2:$L$2436,MATCH($B$3&amp;"|1|"&amp;E$14&amp;"|"&amp;$A21,'Master Data'!$A$2:$A$2436,0)),"")</f>
        <v>Belum terisi</v>
      </c>
      <c r="X21" s="61" t="str">
        <f aca="false">IFERROR(INDEX('Master Data'!$L$2:$L$2436,MATCH($B$3&amp;"|1|"&amp;F$14&amp;"|"&amp;$A21,'Master Data'!$A$2:$A$2436,0)),"")</f>
        <v>Belum terisi</v>
      </c>
      <c r="Y21" s="61" t="str">
        <f aca="false">IFERROR(INDEX('Master Data'!$L$2:$L$2436,MATCH($B$3&amp;"|1|"&amp;G$14&amp;"|"&amp;$A21,'Master Data'!$A$2:$A$2436,0)),"")</f>
        <v>Belum terisi</v>
      </c>
      <c r="Z21" s="61" t="str">
        <f aca="false">IFERROR(INDEX('Master Data'!$L$2:$L$2436,MATCH($B$3&amp;"|1|"&amp;H$14&amp;"|"&amp;$A21,'Master Data'!$A$2:$A$2436,0)),"")</f>
        <v>Belum terisi</v>
      </c>
    </row>
    <row r="22" customFormat="false" ht="30" hidden="false" customHeight="true" outlineLevel="0" collapsed="false">
      <c r="A22" s="59" t="s">
        <v>117</v>
      </c>
      <c r="B22" s="60" t="str">
        <f aca="false">IFERROR(INDEX('Master Data'!$M$2:$M$2436,MATCH($B$3&amp;"|1|"&amp;B$14&amp;"|"&amp;$A22,'Master Data'!$A$2:$A$2436,0)),"")</f>
        <v>Baby  0/5
coach: –</v>
      </c>
      <c r="C22" s="60" t="str">
        <f aca="false">IFERROR(INDEX('Master Data'!$M$2:$M$2436,MATCH($B$3&amp;"|1|"&amp;C$14&amp;"|"&amp;$A22,'Master Data'!$A$2:$A$2436,0)),"")</f>
        <v>Baby  0/5
coach: –</v>
      </c>
      <c r="D22" s="60" t="str">
        <f aca="false">IFERROR(INDEX('Master Data'!$M$2:$M$2436,MATCH($B$3&amp;"|1|"&amp;D$14&amp;"|"&amp;$A22,'Master Data'!$A$2:$A$2436,0)),"")</f>
        <v>Baby  0/5
coach: –</v>
      </c>
      <c r="E22" s="60" t="str">
        <f aca="false">IFERROR(INDEX('Master Data'!$M$2:$M$2436,MATCH($B$3&amp;"|1|"&amp;E$14&amp;"|"&amp;$A22,'Master Data'!$A$2:$A$2436,0)),"")</f>
        <v>Baby  0/5
coach: –</v>
      </c>
      <c r="F22" s="60" t="str">
        <f aca="false">IFERROR(INDEX('Master Data'!$M$2:$M$2436,MATCH($B$3&amp;"|1|"&amp;F$14&amp;"|"&amp;$A22,'Master Data'!$A$2:$A$2436,0)),"")</f>
        <v>Baby  1/5
coach: Adam</v>
      </c>
      <c r="G22" s="60" t="str">
        <f aca="false">IFERROR(INDEX('Master Data'!$M$2:$M$2436,MATCH($B$3&amp;"|1|"&amp;G$14&amp;"|"&amp;$A22,'Master Data'!$A$2:$A$2436,0)),"")</f>
        <v>Baby  2/5
coach: Adam</v>
      </c>
      <c r="H22" s="60" t="str">
        <f aca="false">IFERROR(INDEX('Master Data'!$M$2:$M$2436,MATCH($B$3&amp;"|1|"&amp;H$14&amp;"|"&amp;$A22,'Master Data'!$A$2:$A$2436,0)),"")</f>
        <v>Baby  0/5
coach: –</v>
      </c>
      <c r="T22" s="61" t="str">
        <f aca="false">IFERROR(INDEX('Master Data'!$L$2:$L$2436,MATCH($B$3&amp;"|1|"&amp;B$14&amp;"|"&amp;$A22,'Master Data'!$A$2:$A$2436,0)),"")</f>
        <v>Belum terisi</v>
      </c>
      <c r="U22" s="61" t="str">
        <f aca="false">IFERROR(INDEX('Master Data'!$L$2:$L$2436,MATCH($B$3&amp;"|1|"&amp;C$14&amp;"|"&amp;$A22,'Master Data'!$A$2:$A$2436,0)),"")</f>
        <v>Belum terisi</v>
      </c>
      <c r="V22" s="61" t="str">
        <f aca="false">IFERROR(INDEX('Master Data'!$L$2:$L$2436,MATCH($B$3&amp;"|1|"&amp;D$14&amp;"|"&amp;$A22,'Master Data'!$A$2:$A$2436,0)),"")</f>
        <v>Belum terisi</v>
      </c>
      <c r="W22" s="61" t="str">
        <f aca="false">IFERROR(INDEX('Master Data'!$L$2:$L$2436,MATCH($B$3&amp;"|1|"&amp;E$14&amp;"|"&amp;$A22,'Master Data'!$A$2:$A$2436,0)),"")</f>
        <v>Belum terisi</v>
      </c>
      <c r="X22" s="61" t="str">
        <f aca="false">IFERROR(INDEX('Master Data'!$L$2:$L$2436,MATCH($B$3&amp;"|1|"&amp;F$14&amp;"|"&amp;$A22,'Master Data'!$A$2:$A$2436,0)),"")</f>
        <v>Sebagian</v>
      </c>
      <c r="Y22" s="61" t="str">
        <f aca="false">IFERROR(INDEX('Master Data'!$L$2:$L$2436,MATCH($B$3&amp;"|1|"&amp;G$14&amp;"|"&amp;$A22,'Master Data'!$A$2:$A$2436,0)),"")</f>
        <v>Sebagian</v>
      </c>
      <c r="Z22" s="61" t="str">
        <f aca="false">IFERROR(INDEX('Master Data'!$L$2:$L$2436,MATCH($B$3&amp;"|1|"&amp;H$14&amp;"|"&amp;$A22,'Master Data'!$A$2:$A$2436,0)),"")</f>
        <v>Belum terisi</v>
      </c>
    </row>
    <row r="23" customFormat="false" ht="30" hidden="false" customHeight="true" outlineLevel="0" collapsed="false">
      <c r="A23" s="59" t="s">
        <v>118</v>
      </c>
      <c r="B23" s="60" t="str">
        <f aca="false">IFERROR(INDEX('Master Data'!$M$2:$M$2436,MATCH($B$3&amp;"|1|"&amp;B$14&amp;"|"&amp;$A23,'Master Data'!$A$2:$A$2436,0)),"")</f>
        <v>Tiny  0/5
coach: –</v>
      </c>
      <c r="C23" s="60" t="str">
        <f aca="false">IFERROR(INDEX('Master Data'!$M$2:$M$2436,MATCH($B$3&amp;"|1|"&amp;C$14&amp;"|"&amp;$A23,'Master Data'!$A$2:$A$2436,0)),"")</f>
        <v>Tiny  0/5
coach: –</v>
      </c>
      <c r="D23" s="60" t="str">
        <f aca="false">IFERROR(INDEX('Master Data'!$M$2:$M$2436,MATCH($B$3&amp;"|1|"&amp;D$14&amp;"|"&amp;$A23,'Master Data'!$A$2:$A$2436,0)),"")</f>
        <v>Tiny  0/5
coach: –</v>
      </c>
      <c r="E23" s="60" t="str">
        <f aca="false">IFERROR(INDEX('Master Data'!$M$2:$M$2436,MATCH($B$3&amp;"|1|"&amp;E$14&amp;"|"&amp;$A23,'Master Data'!$A$2:$A$2436,0)),"")</f>
        <v>Tiny  0/5
coach: –</v>
      </c>
      <c r="F23" s="60" t="str">
        <f aca="false">IFERROR(INDEX('Master Data'!$M$2:$M$2436,MATCH($B$3&amp;"|1|"&amp;F$14&amp;"|"&amp;$A23,'Master Data'!$A$2:$A$2436,0)),"")</f>
        <v>Tiny  3/5
coach: Agas</v>
      </c>
      <c r="G23" s="60" t="str">
        <f aca="false">IFERROR(INDEX('Master Data'!$M$2:$M$2436,MATCH($B$3&amp;"|1|"&amp;G$14&amp;"|"&amp;$A23,'Master Data'!$A$2:$A$2436,0)),"")</f>
        <v>Tiny  0/5
coach: –</v>
      </c>
      <c r="H23" s="60" t="str">
        <f aca="false">IFERROR(INDEX('Master Data'!$M$2:$M$2436,MATCH($B$3&amp;"|1|"&amp;H$14&amp;"|"&amp;$A23,'Master Data'!$A$2:$A$2436,0)),"")</f>
        <v>Tiny  0/5
coach: –</v>
      </c>
      <c r="T23" s="61" t="str">
        <f aca="false">IFERROR(INDEX('Master Data'!$L$2:$L$2436,MATCH($B$3&amp;"|1|"&amp;B$14&amp;"|"&amp;$A23,'Master Data'!$A$2:$A$2436,0)),"")</f>
        <v>Belum terisi</v>
      </c>
      <c r="U23" s="61" t="str">
        <f aca="false">IFERROR(INDEX('Master Data'!$L$2:$L$2436,MATCH($B$3&amp;"|1|"&amp;C$14&amp;"|"&amp;$A23,'Master Data'!$A$2:$A$2436,0)),"")</f>
        <v>Belum terisi</v>
      </c>
      <c r="V23" s="61" t="str">
        <f aca="false">IFERROR(INDEX('Master Data'!$L$2:$L$2436,MATCH($B$3&amp;"|1|"&amp;D$14&amp;"|"&amp;$A23,'Master Data'!$A$2:$A$2436,0)),"")</f>
        <v>Belum terisi</v>
      </c>
      <c r="W23" s="61" t="str">
        <f aca="false">IFERROR(INDEX('Master Data'!$L$2:$L$2436,MATCH($B$3&amp;"|1|"&amp;E$14&amp;"|"&amp;$A23,'Master Data'!$A$2:$A$2436,0)),"")</f>
        <v>Belum terisi</v>
      </c>
      <c r="X23" s="61" t="str">
        <f aca="false">IFERROR(INDEX('Master Data'!$L$2:$L$2436,MATCH($B$3&amp;"|1|"&amp;F$14&amp;"|"&amp;$A23,'Master Data'!$A$2:$A$2436,0)),"")</f>
        <v>Sebagian</v>
      </c>
      <c r="Y23" s="61" t="str">
        <f aca="false">IFERROR(INDEX('Master Data'!$L$2:$L$2436,MATCH($B$3&amp;"|1|"&amp;G$14&amp;"|"&amp;$A23,'Master Data'!$A$2:$A$2436,0)),"")</f>
        <v>Belum terisi</v>
      </c>
      <c r="Z23" s="61" t="str">
        <f aca="false">IFERROR(INDEX('Master Data'!$L$2:$L$2436,MATCH($B$3&amp;"|1|"&amp;H$14&amp;"|"&amp;$A23,'Master Data'!$A$2:$A$2436,0)),"")</f>
        <v>Belum terisi</v>
      </c>
    </row>
    <row r="24" customFormat="false" ht="30" hidden="false" customHeight="true" outlineLevel="0" collapsed="false">
      <c r="A24" s="59" t="s">
        <v>119</v>
      </c>
      <c r="B24" s="60" t="str">
        <f aca="false">IFERROR(INDEX('Master Data'!$M$2:$M$2436,MATCH($B$3&amp;"|1|"&amp;B$14&amp;"|"&amp;$A24,'Master Data'!$A$2:$A$2436,0)),"")</f>
        <v>Baby  0/5
coach: –</v>
      </c>
      <c r="C24" s="60" t="str">
        <f aca="false">IFERROR(INDEX('Master Data'!$M$2:$M$2436,MATCH($B$3&amp;"|1|"&amp;C$14&amp;"|"&amp;$A24,'Master Data'!$A$2:$A$2436,0)),"")</f>
        <v>Baby  0/5
coach: –</v>
      </c>
      <c r="D24" s="60" t="str">
        <f aca="false">IFERROR(INDEX('Master Data'!$M$2:$M$2436,MATCH($B$3&amp;"|1|"&amp;D$14&amp;"|"&amp;$A24,'Master Data'!$A$2:$A$2436,0)),"")</f>
        <v>Baby  0/5
coach: –</v>
      </c>
      <c r="E24" s="60" t="str">
        <f aca="false">IFERROR(INDEX('Master Data'!$M$2:$M$2436,MATCH($B$3&amp;"|1|"&amp;E$14&amp;"|"&amp;$A24,'Master Data'!$A$2:$A$2436,0)),"")</f>
        <v>Baby  0/5
coach: –</v>
      </c>
      <c r="F24" s="60" t="str">
        <f aca="false">IFERROR(INDEX('Master Data'!$M$2:$M$2436,MATCH($B$3&amp;"|1|"&amp;F$14&amp;"|"&amp;$A24,'Master Data'!$A$2:$A$2436,0)),"")</f>
        <v>Baby  0/5
coach: –</v>
      </c>
      <c r="G24" s="60" t="str">
        <f aca="false">IFERROR(INDEX('Master Data'!$M$2:$M$2436,MATCH($B$3&amp;"|1|"&amp;G$14&amp;"|"&amp;$A24,'Master Data'!$A$2:$A$2436,0)),"")</f>
        <v>Baby  2/5
coach: Adam</v>
      </c>
      <c r="H24" s="60" t="str">
        <f aca="false">IFERROR(INDEX('Master Data'!$M$2:$M$2436,MATCH($B$3&amp;"|1|"&amp;H$14&amp;"|"&amp;$A24,'Master Data'!$A$2:$A$2436,0)),"")</f>
        <v>Baby  2/5
coach: Adam</v>
      </c>
      <c r="T24" s="61" t="str">
        <f aca="false">IFERROR(INDEX('Master Data'!$L$2:$L$2436,MATCH($B$3&amp;"|1|"&amp;B$14&amp;"|"&amp;$A24,'Master Data'!$A$2:$A$2436,0)),"")</f>
        <v>Belum terisi</v>
      </c>
      <c r="U24" s="61" t="str">
        <f aca="false">IFERROR(INDEX('Master Data'!$L$2:$L$2436,MATCH($B$3&amp;"|1|"&amp;C$14&amp;"|"&amp;$A24,'Master Data'!$A$2:$A$2436,0)),"")</f>
        <v>Belum terisi</v>
      </c>
      <c r="V24" s="61" t="str">
        <f aca="false">IFERROR(INDEX('Master Data'!$L$2:$L$2436,MATCH($B$3&amp;"|1|"&amp;D$14&amp;"|"&amp;$A24,'Master Data'!$A$2:$A$2436,0)),"")</f>
        <v>Belum terisi</v>
      </c>
      <c r="W24" s="61" t="str">
        <f aca="false">IFERROR(INDEX('Master Data'!$L$2:$L$2436,MATCH($B$3&amp;"|1|"&amp;E$14&amp;"|"&amp;$A24,'Master Data'!$A$2:$A$2436,0)),"")</f>
        <v>Belum terisi</v>
      </c>
      <c r="X24" s="61" t="str">
        <f aca="false">IFERROR(INDEX('Master Data'!$L$2:$L$2436,MATCH($B$3&amp;"|1|"&amp;F$14&amp;"|"&amp;$A24,'Master Data'!$A$2:$A$2436,0)),"")</f>
        <v>Belum terisi</v>
      </c>
      <c r="Y24" s="61" t="str">
        <f aca="false">IFERROR(INDEX('Master Data'!$L$2:$L$2436,MATCH($B$3&amp;"|1|"&amp;G$14&amp;"|"&amp;$A24,'Master Data'!$A$2:$A$2436,0)),"")</f>
        <v>Sebagian</v>
      </c>
      <c r="Z24" s="61" t="str">
        <f aca="false">IFERROR(INDEX('Master Data'!$L$2:$L$2436,MATCH($B$3&amp;"|1|"&amp;H$14&amp;"|"&amp;$A24,'Master Data'!$A$2:$A$2436,0)),"")</f>
        <v>Sebagian</v>
      </c>
    </row>
    <row r="25" customFormat="false" ht="30" hidden="false" customHeight="true" outlineLevel="0" collapsed="false">
      <c r="A25" s="59" t="s">
        <v>120</v>
      </c>
      <c r="B25" s="60" t="str">
        <f aca="false">IFERROR(INDEX('Master Data'!$M$2:$M$2436,MATCH($B$3&amp;"|1|"&amp;B$14&amp;"|"&amp;$A25,'Master Data'!$A$2:$A$2436,0)),"")</f>
        <v>Tiny  0/5
coach: –</v>
      </c>
      <c r="C25" s="60" t="str">
        <f aca="false">IFERROR(INDEX('Master Data'!$M$2:$M$2436,MATCH($B$3&amp;"|1|"&amp;C$14&amp;"|"&amp;$A25,'Master Data'!$A$2:$A$2436,0)),"")</f>
        <v>Tiny  0/5
coach: –</v>
      </c>
      <c r="D25" s="60" t="str">
        <f aca="false">IFERROR(INDEX('Master Data'!$M$2:$M$2436,MATCH($B$3&amp;"|1|"&amp;D$14&amp;"|"&amp;$A25,'Master Data'!$A$2:$A$2436,0)),"")</f>
        <v>Tiny  1/5
coach: Adam</v>
      </c>
      <c r="E25" s="60" t="str">
        <f aca="false">IFERROR(INDEX('Master Data'!$M$2:$M$2436,MATCH($B$3&amp;"|1|"&amp;E$14&amp;"|"&amp;$A25,'Master Data'!$A$2:$A$2436,0)),"")</f>
        <v>Tiny  0/5
coach: –</v>
      </c>
      <c r="F25" s="60" t="str">
        <f aca="false">IFERROR(INDEX('Master Data'!$M$2:$M$2436,MATCH($B$3&amp;"|1|"&amp;F$14&amp;"|"&amp;$A25,'Master Data'!$A$2:$A$2436,0)),"")</f>
        <v>Tiny  0/5
coach: –</v>
      </c>
      <c r="G25" s="60" t="str">
        <f aca="false">IFERROR(INDEX('Master Data'!$M$2:$M$2436,MATCH($B$3&amp;"|1|"&amp;G$14&amp;"|"&amp;$A25,'Master Data'!$A$2:$A$2436,0)),"")</f>
        <v>Tiny  0/5
coach: –</v>
      </c>
      <c r="H25" s="60" t="str">
        <f aca="false">IFERROR(INDEX('Master Data'!$M$2:$M$2436,MATCH($B$3&amp;"|1|"&amp;H$14&amp;"|"&amp;$A25,'Master Data'!$A$2:$A$2436,0)),"")</f>
        <v>Tiny  2/5
coach: Adam</v>
      </c>
      <c r="T25" s="61" t="str">
        <f aca="false">IFERROR(INDEX('Master Data'!$L$2:$L$2436,MATCH($B$3&amp;"|1|"&amp;B$14&amp;"|"&amp;$A25,'Master Data'!$A$2:$A$2436,0)),"")</f>
        <v>Belum terisi</v>
      </c>
      <c r="U25" s="61" t="str">
        <f aca="false">IFERROR(INDEX('Master Data'!$L$2:$L$2436,MATCH($B$3&amp;"|1|"&amp;C$14&amp;"|"&amp;$A25,'Master Data'!$A$2:$A$2436,0)),"")</f>
        <v>Belum terisi</v>
      </c>
      <c r="V25" s="61" t="str">
        <f aca="false">IFERROR(INDEX('Master Data'!$L$2:$L$2436,MATCH($B$3&amp;"|1|"&amp;D$14&amp;"|"&amp;$A25,'Master Data'!$A$2:$A$2436,0)),"")</f>
        <v>Sebagian</v>
      </c>
      <c r="W25" s="61" t="str">
        <f aca="false">IFERROR(INDEX('Master Data'!$L$2:$L$2436,MATCH($B$3&amp;"|1|"&amp;E$14&amp;"|"&amp;$A25,'Master Data'!$A$2:$A$2436,0)),"")</f>
        <v>Belum terisi</v>
      </c>
      <c r="X25" s="61" t="str">
        <f aca="false">IFERROR(INDEX('Master Data'!$L$2:$L$2436,MATCH($B$3&amp;"|1|"&amp;F$14&amp;"|"&amp;$A25,'Master Data'!$A$2:$A$2436,0)),"")</f>
        <v>Belum terisi</v>
      </c>
      <c r="Y25" s="61" t="str">
        <f aca="false">IFERROR(INDEX('Master Data'!$L$2:$L$2436,MATCH($B$3&amp;"|1|"&amp;G$14&amp;"|"&amp;$A25,'Master Data'!$A$2:$A$2436,0)),"")</f>
        <v>Belum terisi</v>
      </c>
      <c r="Z25" s="61" t="str">
        <f aca="false">IFERROR(INDEX('Master Data'!$L$2:$L$2436,MATCH($B$3&amp;"|1|"&amp;H$14&amp;"|"&amp;$A25,'Master Data'!$A$2:$A$2436,0)),"")</f>
        <v>Sebagian</v>
      </c>
    </row>
    <row r="26" customFormat="false" ht="30" hidden="false" customHeight="true" outlineLevel="0" collapsed="false">
      <c r="A26" s="59" t="s">
        <v>121</v>
      </c>
      <c r="B26" s="60" t="str">
        <f aca="false">IFERROR(INDEX('Master Data'!$M$2:$M$2436,MATCH($B$3&amp;"|1|"&amp;B$14&amp;"|"&amp;$A26,'Master Data'!$A$2:$A$2436,0)),"")</f>
        <v>Baby  0/5
coach: –</v>
      </c>
      <c r="C26" s="60" t="str">
        <f aca="false">IFERROR(INDEX('Master Data'!$M$2:$M$2436,MATCH($B$3&amp;"|1|"&amp;C$14&amp;"|"&amp;$A26,'Master Data'!$A$2:$A$2436,0)),"")</f>
        <v>Baby  0/5
coach: –</v>
      </c>
      <c r="D26" s="60" t="str">
        <f aca="false">IFERROR(INDEX('Master Data'!$M$2:$M$2436,MATCH($B$3&amp;"|1|"&amp;D$14&amp;"|"&amp;$A26,'Master Data'!$A$2:$A$2436,0)),"")</f>
        <v>Baby  0/5
coach: –</v>
      </c>
      <c r="E26" s="60" t="str">
        <f aca="false">IFERROR(INDEX('Master Data'!$M$2:$M$2436,MATCH($B$3&amp;"|1|"&amp;E$14&amp;"|"&amp;$A26,'Master Data'!$A$2:$A$2436,0)),"")</f>
        <v>Baby  0/5
coach: –</v>
      </c>
      <c r="F26" s="60" t="str">
        <f aca="false">IFERROR(INDEX('Master Data'!$M$2:$M$2436,MATCH($B$3&amp;"|1|"&amp;F$14&amp;"|"&amp;$A26,'Master Data'!$A$2:$A$2436,0)),"")</f>
        <v>Baby  0/5
coach: –</v>
      </c>
      <c r="G26" s="60" t="str">
        <f aca="false">IFERROR(INDEX('Master Data'!$M$2:$M$2436,MATCH($B$3&amp;"|1|"&amp;G$14&amp;"|"&amp;$A26,'Master Data'!$A$2:$A$2436,0)),"")</f>
        <v>Baby  0/5
coach: –</v>
      </c>
      <c r="H26" s="60" t="str">
        <f aca="false">IFERROR(INDEX('Master Data'!$M$2:$M$2436,MATCH($B$3&amp;"|1|"&amp;H$14&amp;"|"&amp;$A26,'Master Data'!$A$2:$A$2436,0)),"")</f>
        <v>Baby  0/5
coach: –</v>
      </c>
      <c r="T26" s="61" t="str">
        <f aca="false">IFERROR(INDEX('Master Data'!$L$2:$L$2436,MATCH($B$3&amp;"|1|"&amp;B$14&amp;"|"&amp;$A26,'Master Data'!$A$2:$A$2436,0)),"")</f>
        <v>Belum terisi</v>
      </c>
      <c r="U26" s="61" t="str">
        <f aca="false">IFERROR(INDEX('Master Data'!$L$2:$L$2436,MATCH($B$3&amp;"|1|"&amp;C$14&amp;"|"&amp;$A26,'Master Data'!$A$2:$A$2436,0)),"")</f>
        <v>Belum terisi</v>
      </c>
      <c r="V26" s="61" t="str">
        <f aca="false">IFERROR(INDEX('Master Data'!$L$2:$L$2436,MATCH($B$3&amp;"|1|"&amp;D$14&amp;"|"&amp;$A26,'Master Data'!$A$2:$A$2436,0)),"")</f>
        <v>Belum terisi</v>
      </c>
      <c r="W26" s="61" t="str">
        <f aca="false">IFERROR(INDEX('Master Data'!$L$2:$L$2436,MATCH($B$3&amp;"|1|"&amp;E$14&amp;"|"&amp;$A26,'Master Data'!$A$2:$A$2436,0)),"")</f>
        <v>Belum terisi</v>
      </c>
      <c r="X26" s="61" t="str">
        <f aca="false">IFERROR(INDEX('Master Data'!$L$2:$L$2436,MATCH($B$3&amp;"|1|"&amp;F$14&amp;"|"&amp;$A26,'Master Data'!$A$2:$A$2436,0)),"")</f>
        <v>Belum terisi</v>
      </c>
      <c r="Y26" s="61" t="str">
        <f aca="false">IFERROR(INDEX('Master Data'!$L$2:$L$2436,MATCH($B$3&amp;"|1|"&amp;G$14&amp;"|"&amp;$A26,'Master Data'!$A$2:$A$2436,0)),"")</f>
        <v>Belum terisi</v>
      </c>
      <c r="Z26" s="61" t="str">
        <f aca="false">IFERROR(INDEX('Master Data'!$L$2:$L$2436,MATCH($B$3&amp;"|1|"&amp;H$14&amp;"|"&amp;$A26,'Master Data'!$A$2:$A$2436,0)),"")</f>
        <v>Belum terisi</v>
      </c>
    </row>
    <row r="28" customFormat="false" ht="16.15" hidden="false" customHeight="false" outlineLevel="0" collapsed="false">
      <c r="A28" s="54" t="s">
        <v>108</v>
      </c>
      <c r="B28" s="55"/>
      <c r="C28" s="56" t="str">
        <f aca="false">"Utilisasi lane: "&amp;IFERROR(TEXT(SUMIFS('Master Data'!$H$2:$H$2436,'Master Data'!$B$2:$B$2436,$B$3,'Master Data'!$C$2:$C$2436,2,'Master Data'!$G$2:$G$2436,"&gt;0")/SUMIFS('Master Data'!$G$2:$G$2436,'Master Data'!$B$2:$B$2436,$B$3,'Master Data'!$C$2:$C$2436,2,'Master Data'!$G$2:$G$2436,"&gt;0"),"0%"),"–")&amp;"   ·   Belum terisi: "&amp;COUNTIFS('Master Data'!$B$2:$B$2436,$B$3,'Master Data'!$C$2:$C$2436,2,'Master Data'!$L$2:$L$2436,"Belum terisi")&amp;"   ·   Slot kosong: "&amp;COUNTIFS('Master Data'!$B$2:$B$2436,$B$3,'Master Data'!$C$2:$C$2436,2,'Master Data'!$L$2:$L$2436,"Slot kosong")</f>
        <v>Utilisasi lane: 9%   ·   Belum terisi: 62   ·   Slot kosong: 0</v>
      </c>
      <c r="D28" s="55"/>
      <c r="E28" s="55"/>
      <c r="F28" s="55"/>
      <c r="G28" s="55"/>
      <c r="H28" s="55"/>
    </row>
    <row r="29" customFormat="false" ht="15" hidden="false" customHeight="false" outlineLevel="0" collapsed="false">
      <c r="A29" s="57" t="s">
        <v>89</v>
      </c>
      <c r="B29" s="58" t="s">
        <v>90</v>
      </c>
      <c r="C29" s="58" t="s">
        <v>91</v>
      </c>
      <c r="D29" s="58" t="s">
        <v>92</v>
      </c>
      <c r="E29" s="58" t="s">
        <v>93</v>
      </c>
      <c r="F29" s="58" t="s">
        <v>94</v>
      </c>
      <c r="G29" s="58" t="s">
        <v>95</v>
      </c>
      <c r="H29" s="58" t="s">
        <v>78</v>
      </c>
    </row>
    <row r="30" customFormat="false" ht="30" hidden="false" customHeight="true" outlineLevel="0" collapsed="false">
      <c r="A30" s="59" t="s">
        <v>110</v>
      </c>
      <c r="B30" s="60" t="str">
        <f aca="false">IFERROR(INDEX('Master Data'!$M$2:$M$2436,MATCH($B$3&amp;"|2|"&amp;B$29&amp;"|"&amp;$A30,'Master Data'!$A$2:$A$2436,0)),"")</f>
        <v>Little  0/5
coach: –</v>
      </c>
      <c r="C30" s="60" t="str">
        <f aca="false">IFERROR(INDEX('Master Data'!$M$2:$M$2436,MATCH($B$3&amp;"|2|"&amp;C$29&amp;"|"&amp;$A30,'Master Data'!$A$2:$A$2436,0)),"")</f>
        <v>Little  0/5
coach: –</v>
      </c>
      <c r="D30" s="60" t="str">
        <f aca="false">IFERROR(INDEX('Master Data'!$M$2:$M$2436,MATCH($B$3&amp;"|2|"&amp;D$29&amp;"|"&amp;$A30,'Master Data'!$A$2:$A$2436,0)),"")</f>
        <v>Little  0/5
coach: –</v>
      </c>
      <c r="E30" s="60" t="str">
        <f aca="false">IFERROR(INDEX('Master Data'!$M$2:$M$2436,MATCH($B$3&amp;"|2|"&amp;E$29&amp;"|"&amp;$A30,'Master Data'!$A$2:$A$2436,0)),"")</f>
        <v>Little  0/5
coach: –</v>
      </c>
      <c r="F30" s="60" t="str">
        <f aca="false">IFERROR(INDEX('Master Data'!$M$2:$M$2436,MATCH($B$3&amp;"|2|"&amp;F$29&amp;"|"&amp;$A30,'Master Data'!$A$2:$A$2436,0)),"")</f>
        <v>Little  0/5
coach: –</v>
      </c>
      <c r="G30" s="60" t="str">
        <f aca="false">IFERROR(INDEX('Master Data'!$M$2:$M$2436,MATCH($B$3&amp;"|2|"&amp;G$29&amp;"|"&amp;$A30,'Master Data'!$A$2:$A$2436,0)),"")</f>
        <v>Little  0/5
coach: –</v>
      </c>
      <c r="H30" s="60" t="str">
        <f aca="false">IFERROR(INDEX('Master Data'!$M$2:$M$2436,MATCH($B$3&amp;"|2|"&amp;H$29&amp;"|"&amp;$A30,'Master Data'!$A$2:$A$2436,0)),"")</f>
        <v>Little  0/5
coach: –</v>
      </c>
      <c r="T30" s="61" t="str">
        <f aca="false">IFERROR(INDEX('Master Data'!$L$2:$L$2436,MATCH($B$3&amp;"|2|"&amp;B$29&amp;"|"&amp;$A30,'Master Data'!$A$2:$A$2436,0)),"")</f>
        <v>Belum terisi</v>
      </c>
      <c r="U30" s="61" t="str">
        <f aca="false">IFERROR(INDEX('Master Data'!$L$2:$L$2436,MATCH($B$3&amp;"|2|"&amp;C$29&amp;"|"&amp;$A30,'Master Data'!$A$2:$A$2436,0)),"")</f>
        <v>Belum terisi</v>
      </c>
      <c r="V30" s="61" t="str">
        <f aca="false">IFERROR(INDEX('Master Data'!$L$2:$L$2436,MATCH($B$3&amp;"|2|"&amp;D$29&amp;"|"&amp;$A30,'Master Data'!$A$2:$A$2436,0)),"")</f>
        <v>Belum terisi</v>
      </c>
      <c r="W30" s="61" t="str">
        <f aca="false">IFERROR(INDEX('Master Data'!$L$2:$L$2436,MATCH($B$3&amp;"|2|"&amp;E$29&amp;"|"&amp;$A30,'Master Data'!$A$2:$A$2436,0)),"")</f>
        <v>Belum terisi</v>
      </c>
      <c r="X30" s="61" t="str">
        <f aca="false">IFERROR(INDEX('Master Data'!$L$2:$L$2436,MATCH($B$3&amp;"|2|"&amp;F$29&amp;"|"&amp;$A30,'Master Data'!$A$2:$A$2436,0)),"")</f>
        <v>Belum terisi</v>
      </c>
      <c r="Y30" s="61" t="str">
        <f aca="false">IFERROR(INDEX('Master Data'!$L$2:$L$2436,MATCH($B$3&amp;"|2|"&amp;G$29&amp;"|"&amp;$A30,'Master Data'!$A$2:$A$2436,0)),"")</f>
        <v>Belum terisi</v>
      </c>
      <c r="Z30" s="61" t="str">
        <f aca="false">IFERROR(INDEX('Master Data'!$L$2:$L$2436,MATCH($B$3&amp;"|2|"&amp;H$29&amp;"|"&amp;$A30,'Master Data'!$A$2:$A$2436,0)),"")</f>
        <v>Belum terisi</v>
      </c>
    </row>
    <row r="31" customFormat="false" ht="30" hidden="false" customHeight="true" outlineLevel="0" collapsed="false">
      <c r="A31" s="59" t="s">
        <v>111</v>
      </c>
      <c r="B31" s="60" t="str">
        <f aca="false">IFERROR(INDEX('Master Data'!$M$2:$M$2436,MATCH($B$3&amp;"|2|"&amp;B$29&amp;"|"&amp;$A31,'Master Data'!$A$2:$A$2436,0)),"")</f>
        <v>Little  0/5
coach: –</v>
      </c>
      <c r="C31" s="60" t="str">
        <f aca="false">IFERROR(INDEX('Master Data'!$M$2:$M$2436,MATCH($B$3&amp;"|2|"&amp;C$29&amp;"|"&amp;$A31,'Master Data'!$A$2:$A$2436,0)),"")</f>
        <v>Little  0/5
coach: –</v>
      </c>
      <c r="D31" s="60" t="str">
        <f aca="false">IFERROR(INDEX('Master Data'!$M$2:$M$2436,MATCH($B$3&amp;"|2|"&amp;D$29&amp;"|"&amp;$A31,'Master Data'!$A$2:$A$2436,0)),"")</f>
        <v>Little  0/5
coach: –</v>
      </c>
      <c r="E31" s="60" t="str">
        <f aca="false">IFERROR(INDEX('Master Data'!$M$2:$M$2436,MATCH($B$3&amp;"|2|"&amp;E$29&amp;"|"&amp;$A31,'Master Data'!$A$2:$A$2436,0)),"")</f>
        <v>Little  0/5
coach: –</v>
      </c>
      <c r="F31" s="60" t="str">
        <f aca="false">IFERROR(INDEX('Master Data'!$M$2:$M$2436,MATCH($B$3&amp;"|2|"&amp;F$29&amp;"|"&amp;$A31,'Master Data'!$A$2:$A$2436,0)),"")</f>
        <v>Little  0/5
coach: –</v>
      </c>
      <c r="G31" s="60" t="str">
        <f aca="false">IFERROR(INDEX('Master Data'!$M$2:$M$2436,MATCH($B$3&amp;"|2|"&amp;G$29&amp;"|"&amp;$A31,'Master Data'!$A$2:$A$2436,0)),"")</f>
        <v>Little  0/5
coach: –</v>
      </c>
      <c r="H31" s="60" t="str">
        <f aca="false">IFERROR(INDEX('Master Data'!$M$2:$M$2436,MATCH($B$3&amp;"|2|"&amp;H$29&amp;"|"&amp;$A31,'Master Data'!$A$2:$A$2436,0)),"")</f>
        <v>Little  0/5
coach: –</v>
      </c>
      <c r="T31" s="61" t="str">
        <f aca="false">IFERROR(INDEX('Master Data'!$L$2:$L$2436,MATCH($B$3&amp;"|2|"&amp;B$29&amp;"|"&amp;$A31,'Master Data'!$A$2:$A$2436,0)),"")</f>
        <v>Belum terisi</v>
      </c>
      <c r="U31" s="61" t="str">
        <f aca="false">IFERROR(INDEX('Master Data'!$L$2:$L$2436,MATCH($B$3&amp;"|2|"&amp;C$29&amp;"|"&amp;$A31,'Master Data'!$A$2:$A$2436,0)),"")</f>
        <v>Belum terisi</v>
      </c>
      <c r="V31" s="61" t="str">
        <f aca="false">IFERROR(INDEX('Master Data'!$L$2:$L$2436,MATCH($B$3&amp;"|2|"&amp;D$29&amp;"|"&amp;$A31,'Master Data'!$A$2:$A$2436,0)),"")</f>
        <v>Belum terisi</v>
      </c>
      <c r="W31" s="61" t="str">
        <f aca="false">IFERROR(INDEX('Master Data'!$L$2:$L$2436,MATCH($B$3&amp;"|2|"&amp;E$29&amp;"|"&amp;$A31,'Master Data'!$A$2:$A$2436,0)),"")</f>
        <v>Belum terisi</v>
      </c>
      <c r="X31" s="61" t="str">
        <f aca="false">IFERROR(INDEX('Master Data'!$L$2:$L$2436,MATCH($B$3&amp;"|2|"&amp;F$29&amp;"|"&amp;$A31,'Master Data'!$A$2:$A$2436,0)),"")</f>
        <v>Belum terisi</v>
      </c>
      <c r="Y31" s="61" t="str">
        <f aca="false">IFERROR(INDEX('Master Data'!$L$2:$L$2436,MATCH($B$3&amp;"|2|"&amp;G$29&amp;"|"&amp;$A31,'Master Data'!$A$2:$A$2436,0)),"")</f>
        <v>Belum terisi</v>
      </c>
      <c r="Z31" s="61" t="str">
        <f aca="false">IFERROR(INDEX('Master Data'!$L$2:$L$2436,MATCH($B$3&amp;"|2|"&amp;H$29&amp;"|"&amp;$A31,'Master Data'!$A$2:$A$2436,0)),"")</f>
        <v>Belum terisi</v>
      </c>
    </row>
    <row r="32" customFormat="false" ht="30" hidden="false" customHeight="true" outlineLevel="0" collapsed="false">
      <c r="A32" s="59" t="s">
        <v>112</v>
      </c>
      <c r="B32" s="60" t="str">
        <f aca="false">IFERROR(INDEX('Master Data'!$M$2:$M$2436,MATCH($B$3&amp;"|2|"&amp;B$29&amp;"|"&amp;$A32,'Master Data'!$A$2:$A$2436,0)),"")</f>
        <v>Little  0/5
coach: –</v>
      </c>
      <c r="C32" s="60" t="str">
        <f aca="false">IFERROR(INDEX('Master Data'!$M$2:$M$2436,MATCH($B$3&amp;"|2|"&amp;C$29&amp;"|"&amp;$A32,'Master Data'!$A$2:$A$2436,0)),"")</f>
        <v>Little  1/5
coach: Irvan</v>
      </c>
      <c r="D32" s="60" t="str">
        <f aca="false">IFERROR(INDEX('Master Data'!$M$2:$M$2436,MATCH($B$3&amp;"|2|"&amp;D$29&amp;"|"&amp;$A32,'Master Data'!$A$2:$A$2436,0)),"")</f>
        <v>Little  0/5
coach: –</v>
      </c>
      <c r="E32" s="60" t="str">
        <f aca="false">IFERROR(INDEX('Master Data'!$M$2:$M$2436,MATCH($B$3&amp;"|2|"&amp;E$29&amp;"|"&amp;$A32,'Master Data'!$A$2:$A$2436,0)),"")</f>
        <v>Little  0/5
coach: –</v>
      </c>
      <c r="F32" s="60" t="str">
        <f aca="false">IFERROR(INDEX('Master Data'!$M$2:$M$2436,MATCH($B$3&amp;"|2|"&amp;F$29&amp;"|"&amp;$A32,'Master Data'!$A$2:$A$2436,0)),"")</f>
        <v>Little  0/5
coach: –</v>
      </c>
      <c r="G32" s="60" t="str">
        <f aca="false">IFERROR(INDEX('Master Data'!$M$2:$M$2436,MATCH($B$3&amp;"|2|"&amp;G$29&amp;"|"&amp;$A32,'Master Data'!$A$2:$A$2436,0)),"")</f>
        <v>Little  0/5
coach: –</v>
      </c>
      <c r="H32" s="60" t="str">
        <f aca="false">IFERROR(INDEX('Master Data'!$M$2:$M$2436,MATCH($B$3&amp;"|2|"&amp;H$29&amp;"|"&amp;$A32,'Master Data'!$A$2:$A$2436,0)),"")</f>
        <v>Little  0/5
coach: –</v>
      </c>
      <c r="T32" s="61" t="str">
        <f aca="false">IFERROR(INDEX('Master Data'!$L$2:$L$2436,MATCH($B$3&amp;"|2|"&amp;B$29&amp;"|"&amp;$A32,'Master Data'!$A$2:$A$2436,0)),"")</f>
        <v>Belum terisi</v>
      </c>
      <c r="U32" s="61" t="str">
        <f aca="false">IFERROR(INDEX('Master Data'!$L$2:$L$2436,MATCH($B$3&amp;"|2|"&amp;C$29&amp;"|"&amp;$A32,'Master Data'!$A$2:$A$2436,0)),"")</f>
        <v>Sebagian</v>
      </c>
      <c r="V32" s="61" t="str">
        <f aca="false">IFERROR(INDEX('Master Data'!$L$2:$L$2436,MATCH($B$3&amp;"|2|"&amp;D$29&amp;"|"&amp;$A32,'Master Data'!$A$2:$A$2436,0)),"")</f>
        <v>Belum terisi</v>
      </c>
      <c r="W32" s="61" t="str">
        <f aca="false">IFERROR(INDEX('Master Data'!$L$2:$L$2436,MATCH($B$3&amp;"|2|"&amp;E$29&amp;"|"&amp;$A32,'Master Data'!$A$2:$A$2436,0)),"")</f>
        <v>Belum terisi</v>
      </c>
      <c r="X32" s="61" t="str">
        <f aca="false">IFERROR(INDEX('Master Data'!$L$2:$L$2436,MATCH($B$3&amp;"|2|"&amp;F$29&amp;"|"&amp;$A32,'Master Data'!$A$2:$A$2436,0)),"")</f>
        <v>Belum terisi</v>
      </c>
      <c r="Y32" s="61" t="str">
        <f aca="false">IFERROR(INDEX('Master Data'!$L$2:$L$2436,MATCH($B$3&amp;"|2|"&amp;G$29&amp;"|"&amp;$A32,'Master Data'!$A$2:$A$2436,0)),"")</f>
        <v>Belum terisi</v>
      </c>
      <c r="Z32" s="61" t="str">
        <f aca="false">IFERROR(INDEX('Master Data'!$L$2:$L$2436,MATCH($B$3&amp;"|2|"&amp;H$29&amp;"|"&amp;$A32,'Master Data'!$A$2:$A$2436,0)),"")</f>
        <v>Belum terisi</v>
      </c>
    </row>
    <row r="33" customFormat="false" ht="30" hidden="false" customHeight="true" outlineLevel="0" collapsed="false">
      <c r="A33" s="59" t="s">
        <v>113</v>
      </c>
      <c r="B33" s="60" t="str">
        <f aca="false">IFERROR(INDEX('Master Data'!$M$2:$M$2436,MATCH($B$3&amp;"|2|"&amp;B$29&amp;"|"&amp;$A33,'Master Data'!$A$2:$A$2436,0)),"")</f>
        <v>Little  0/5
coach: –</v>
      </c>
      <c r="C33" s="60" t="str">
        <f aca="false">IFERROR(INDEX('Master Data'!$M$2:$M$2436,MATCH($B$3&amp;"|2|"&amp;C$29&amp;"|"&amp;$A33,'Master Data'!$A$2:$A$2436,0)),"")</f>
        <v>Little  0/5
coach: –</v>
      </c>
      <c r="D33" s="60" t="str">
        <f aca="false">IFERROR(INDEX('Master Data'!$M$2:$M$2436,MATCH($B$3&amp;"|2|"&amp;D$29&amp;"|"&amp;$A33,'Master Data'!$A$2:$A$2436,0)),"")</f>
        <v>Little  0/5
coach: –</v>
      </c>
      <c r="E33" s="60" t="str">
        <f aca="false">IFERROR(INDEX('Master Data'!$M$2:$M$2436,MATCH($B$3&amp;"|2|"&amp;E$29&amp;"|"&amp;$A33,'Master Data'!$A$2:$A$2436,0)),"")</f>
        <v>Little  1/5
coach: Agas</v>
      </c>
      <c r="F33" s="60" t="str">
        <f aca="false">IFERROR(INDEX('Master Data'!$M$2:$M$2436,MATCH($B$3&amp;"|2|"&amp;F$29&amp;"|"&amp;$A33,'Master Data'!$A$2:$A$2436,0)),"")</f>
        <v>Little  0/5
coach: –</v>
      </c>
      <c r="G33" s="60" t="str">
        <f aca="false">IFERROR(INDEX('Master Data'!$M$2:$M$2436,MATCH($B$3&amp;"|2|"&amp;G$29&amp;"|"&amp;$A33,'Master Data'!$A$2:$A$2436,0)),"")</f>
        <v>Little  3/5
coach: Iqbal</v>
      </c>
      <c r="H33" s="60" t="str">
        <f aca="false">IFERROR(INDEX('Master Data'!$M$2:$M$2436,MATCH($B$3&amp;"|2|"&amp;H$29&amp;"|"&amp;$A33,'Master Data'!$A$2:$A$2436,0)),"")</f>
        <v>Little  3/5
coach: Iqbal</v>
      </c>
      <c r="T33" s="61" t="str">
        <f aca="false">IFERROR(INDEX('Master Data'!$L$2:$L$2436,MATCH($B$3&amp;"|2|"&amp;B$29&amp;"|"&amp;$A33,'Master Data'!$A$2:$A$2436,0)),"")</f>
        <v>Belum terisi</v>
      </c>
      <c r="U33" s="61" t="str">
        <f aca="false">IFERROR(INDEX('Master Data'!$L$2:$L$2436,MATCH($B$3&amp;"|2|"&amp;C$29&amp;"|"&amp;$A33,'Master Data'!$A$2:$A$2436,0)),"")</f>
        <v>Belum terisi</v>
      </c>
      <c r="V33" s="61" t="str">
        <f aca="false">IFERROR(INDEX('Master Data'!$L$2:$L$2436,MATCH($B$3&amp;"|2|"&amp;D$29&amp;"|"&amp;$A33,'Master Data'!$A$2:$A$2436,0)),"")</f>
        <v>Belum terisi</v>
      </c>
      <c r="W33" s="61" t="str">
        <f aca="false">IFERROR(INDEX('Master Data'!$L$2:$L$2436,MATCH($B$3&amp;"|2|"&amp;E$29&amp;"|"&amp;$A33,'Master Data'!$A$2:$A$2436,0)),"")</f>
        <v>Sebagian</v>
      </c>
      <c r="X33" s="61" t="str">
        <f aca="false">IFERROR(INDEX('Master Data'!$L$2:$L$2436,MATCH($B$3&amp;"|2|"&amp;F$29&amp;"|"&amp;$A33,'Master Data'!$A$2:$A$2436,0)),"")</f>
        <v>Belum terisi</v>
      </c>
      <c r="Y33" s="61" t="str">
        <f aca="false">IFERROR(INDEX('Master Data'!$L$2:$L$2436,MATCH($B$3&amp;"|2|"&amp;G$29&amp;"|"&amp;$A33,'Master Data'!$A$2:$A$2436,0)),"")</f>
        <v>Sebagian</v>
      </c>
      <c r="Z33" s="61" t="str">
        <f aca="false">IFERROR(INDEX('Master Data'!$L$2:$L$2436,MATCH($B$3&amp;"|2|"&amp;H$29&amp;"|"&amp;$A33,'Master Data'!$A$2:$A$2436,0)),"")</f>
        <v>Sebagian</v>
      </c>
    </row>
    <row r="34" customFormat="false" ht="30" hidden="false" customHeight="true" outlineLevel="0" collapsed="false">
      <c r="A34" s="59" t="s">
        <v>114</v>
      </c>
      <c r="B34" s="60" t="str">
        <f aca="false">IFERROR(INDEX('Master Data'!$M$2:$M$2436,MATCH($B$3&amp;"|2|"&amp;B$29&amp;"|"&amp;$A34,'Master Data'!$A$2:$A$2436,0)),"")</f>
        <v>Little  0/5
coach: –</v>
      </c>
      <c r="C34" s="60" t="str">
        <f aca="false">IFERROR(INDEX('Master Data'!$M$2:$M$2436,MATCH($B$3&amp;"|2|"&amp;C$29&amp;"|"&amp;$A34,'Master Data'!$A$2:$A$2436,0)),"")</f>
        <v>Little  2/5
coach: Iqbal</v>
      </c>
      <c r="D34" s="60" t="str">
        <f aca="false">IFERROR(INDEX('Master Data'!$M$2:$M$2436,MATCH($B$3&amp;"|2|"&amp;D$29&amp;"|"&amp;$A34,'Master Data'!$A$2:$A$2436,0)),"")</f>
        <v>Little  1/5
coach: Iqbal</v>
      </c>
      <c r="E34" s="60" t="str">
        <f aca="false">IFERROR(INDEX('Master Data'!$M$2:$M$2436,MATCH($B$3&amp;"|2|"&amp;E$29&amp;"|"&amp;$A34,'Master Data'!$A$2:$A$2436,0)),"")</f>
        <v>Little  0/5
coach: –</v>
      </c>
      <c r="F34" s="60" t="str">
        <f aca="false">IFERROR(INDEX('Master Data'!$M$2:$M$2436,MATCH($B$3&amp;"|2|"&amp;F$29&amp;"|"&amp;$A34,'Master Data'!$A$2:$A$2436,0)),"")</f>
        <v>Little  0/5
coach: –</v>
      </c>
      <c r="G34" s="60" t="str">
        <f aca="false">IFERROR(INDEX('Master Data'!$M$2:$M$2436,MATCH($B$3&amp;"|2|"&amp;G$29&amp;"|"&amp;$A34,'Master Data'!$A$2:$A$2436,0)),"")</f>
        <v>Little  2/5
coach: Iqbal</v>
      </c>
      <c r="H34" s="60" t="str">
        <f aca="false">IFERROR(INDEX('Master Data'!$M$2:$M$2436,MATCH($B$3&amp;"|2|"&amp;H$29&amp;"|"&amp;$A34,'Master Data'!$A$2:$A$2436,0)),"")</f>
        <v>Little  1/5
coach: Agas</v>
      </c>
      <c r="T34" s="61" t="str">
        <f aca="false">IFERROR(INDEX('Master Data'!$L$2:$L$2436,MATCH($B$3&amp;"|2|"&amp;B$29&amp;"|"&amp;$A34,'Master Data'!$A$2:$A$2436,0)),"")</f>
        <v>Belum terisi</v>
      </c>
      <c r="U34" s="61" t="str">
        <f aca="false">IFERROR(INDEX('Master Data'!$L$2:$L$2436,MATCH($B$3&amp;"|2|"&amp;C$29&amp;"|"&amp;$A34,'Master Data'!$A$2:$A$2436,0)),"")</f>
        <v>Sebagian</v>
      </c>
      <c r="V34" s="61" t="str">
        <f aca="false">IFERROR(INDEX('Master Data'!$L$2:$L$2436,MATCH($B$3&amp;"|2|"&amp;D$29&amp;"|"&amp;$A34,'Master Data'!$A$2:$A$2436,0)),"")</f>
        <v>Sebagian</v>
      </c>
      <c r="W34" s="61" t="str">
        <f aca="false">IFERROR(INDEX('Master Data'!$L$2:$L$2436,MATCH($B$3&amp;"|2|"&amp;E$29&amp;"|"&amp;$A34,'Master Data'!$A$2:$A$2436,0)),"")</f>
        <v>Belum terisi</v>
      </c>
      <c r="X34" s="61" t="str">
        <f aca="false">IFERROR(INDEX('Master Data'!$L$2:$L$2436,MATCH($B$3&amp;"|2|"&amp;F$29&amp;"|"&amp;$A34,'Master Data'!$A$2:$A$2436,0)),"")</f>
        <v>Belum terisi</v>
      </c>
      <c r="Y34" s="61" t="str">
        <f aca="false">IFERROR(INDEX('Master Data'!$L$2:$L$2436,MATCH($B$3&amp;"|2|"&amp;G$29&amp;"|"&amp;$A34,'Master Data'!$A$2:$A$2436,0)),"")</f>
        <v>Sebagian</v>
      </c>
      <c r="Z34" s="61" t="str">
        <f aca="false">IFERROR(INDEX('Master Data'!$L$2:$L$2436,MATCH($B$3&amp;"|2|"&amp;H$29&amp;"|"&amp;$A34,'Master Data'!$A$2:$A$2436,0)),"")</f>
        <v>Sebagian</v>
      </c>
    </row>
    <row r="35" customFormat="false" ht="30" hidden="false" customHeight="true" outlineLevel="0" collapsed="false">
      <c r="A35" s="59" t="s">
        <v>115</v>
      </c>
      <c r="B35" s="60" t="str">
        <f aca="false">IFERROR(INDEX('Master Data'!$M$2:$M$2436,MATCH($B$3&amp;"|2|"&amp;B$29&amp;"|"&amp;$A35,'Master Data'!$A$2:$A$2436,0)),"")</f>
        <v>Little  0/5
coach: –</v>
      </c>
      <c r="C35" s="60" t="str">
        <f aca="false">IFERROR(INDEX('Master Data'!$M$2:$M$2436,MATCH($B$3&amp;"|2|"&amp;C$29&amp;"|"&amp;$A35,'Master Data'!$A$2:$A$2436,0)),"")</f>
        <v>Little  0/5
coach: –</v>
      </c>
      <c r="D35" s="60" t="str">
        <f aca="false">IFERROR(INDEX('Master Data'!$M$2:$M$2436,MATCH($B$3&amp;"|2|"&amp;D$29&amp;"|"&amp;$A35,'Master Data'!$A$2:$A$2436,0)),"")</f>
        <v>Little  0/5
coach: –</v>
      </c>
      <c r="E35" s="60" t="str">
        <f aca="false">IFERROR(INDEX('Master Data'!$M$2:$M$2436,MATCH($B$3&amp;"|2|"&amp;E$29&amp;"|"&amp;$A35,'Master Data'!$A$2:$A$2436,0)),"")</f>
        <v>Little  0/5
coach: –</v>
      </c>
      <c r="F35" s="60" t="str">
        <f aca="false">IFERROR(INDEX('Master Data'!$M$2:$M$2436,MATCH($B$3&amp;"|2|"&amp;F$29&amp;"|"&amp;$A35,'Master Data'!$A$2:$A$2436,0)),"")</f>
        <v>Little  0/5
coach: –</v>
      </c>
      <c r="G35" s="60" t="str">
        <f aca="false">IFERROR(INDEX('Master Data'!$M$2:$M$2436,MATCH($B$3&amp;"|2|"&amp;G$29&amp;"|"&amp;$A35,'Master Data'!$A$2:$A$2436,0)),"")</f>
        <v>Little  0/5
coach: –</v>
      </c>
      <c r="H35" s="60" t="str">
        <f aca="false">IFERROR(INDEX('Master Data'!$M$2:$M$2436,MATCH($B$3&amp;"|2|"&amp;H$29&amp;"|"&amp;$A35,'Master Data'!$A$2:$A$2436,0)),"")</f>
        <v>Little  0/5
coach: –</v>
      </c>
      <c r="T35" s="61" t="str">
        <f aca="false">IFERROR(INDEX('Master Data'!$L$2:$L$2436,MATCH($B$3&amp;"|2|"&amp;B$29&amp;"|"&amp;$A35,'Master Data'!$A$2:$A$2436,0)),"")</f>
        <v>Belum terisi</v>
      </c>
      <c r="U35" s="61" t="str">
        <f aca="false">IFERROR(INDEX('Master Data'!$L$2:$L$2436,MATCH($B$3&amp;"|2|"&amp;C$29&amp;"|"&amp;$A35,'Master Data'!$A$2:$A$2436,0)),"")</f>
        <v>Belum terisi</v>
      </c>
      <c r="V35" s="61" t="str">
        <f aca="false">IFERROR(INDEX('Master Data'!$L$2:$L$2436,MATCH($B$3&amp;"|2|"&amp;D$29&amp;"|"&amp;$A35,'Master Data'!$A$2:$A$2436,0)),"")</f>
        <v>Belum terisi</v>
      </c>
      <c r="W35" s="61" t="str">
        <f aca="false">IFERROR(INDEX('Master Data'!$L$2:$L$2436,MATCH($B$3&amp;"|2|"&amp;E$29&amp;"|"&amp;$A35,'Master Data'!$A$2:$A$2436,0)),"")</f>
        <v>Belum terisi</v>
      </c>
      <c r="X35" s="61" t="str">
        <f aca="false">IFERROR(INDEX('Master Data'!$L$2:$L$2436,MATCH($B$3&amp;"|2|"&amp;F$29&amp;"|"&amp;$A35,'Master Data'!$A$2:$A$2436,0)),"")</f>
        <v>Belum terisi</v>
      </c>
      <c r="Y35" s="61" t="str">
        <f aca="false">IFERROR(INDEX('Master Data'!$L$2:$L$2436,MATCH($B$3&amp;"|2|"&amp;G$29&amp;"|"&amp;$A35,'Master Data'!$A$2:$A$2436,0)),"")</f>
        <v>Belum terisi</v>
      </c>
      <c r="Z35" s="61" t="str">
        <f aca="false">IFERROR(INDEX('Master Data'!$L$2:$L$2436,MATCH($B$3&amp;"|2|"&amp;H$29&amp;"|"&amp;$A35,'Master Data'!$A$2:$A$2436,0)),"")</f>
        <v>Belum terisi</v>
      </c>
    </row>
    <row r="36" customFormat="false" ht="30" hidden="false" customHeight="true" outlineLevel="0" collapsed="false">
      <c r="A36" s="59" t="s">
        <v>116</v>
      </c>
      <c r="B36" s="60" t="str">
        <f aca="false">IFERROR(INDEX('Master Data'!$M$2:$M$2436,MATCH($B$3&amp;"|2|"&amp;B$29&amp;"|"&amp;$A36,'Master Data'!$A$2:$A$2436,0)),"")</f>
        <v>Little  0/5
coach: –</v>
      </c>
      <c r="C36" s="60" t="str">
        <f aca="false">IFERROR(INDEX('Master Data'!$M$2:$M$2436,MATCH($B$3&amp;"|2|"&amp;C$29&amp;"|"&amp;$A36,'Master Data'!$A$2:$A$2436,0)),"")</f>
        <v>Little  0/5
coach: –</v>
      </c>
      <c r="D36" s="60" t="str">
        <f aca="false">IFERROR(INDEX('Master Data'!$M$2:$M$2436,MATCH($B$3&amp;"|2|"&amp;D$29&amp;"|"&amp;$A36,'Master Data'!$A$2:$A$2436,0)),"")</f>
        <v>Little  1/5
coach: Iqbal</v>
      </c>
      <c r="E36" s="60" t="str">
        <f aca="false">IFERROR(INDEX('Master Data'!$M$2:$M$2436,MATCH($B$3&amp;"|2|"&amp;E$29&amp;"|"&amp;$A36,'Master Data'!$A$2:$A$2436,0)),"")</f>
        <v>Little  0/5
coach: –</v>
      </c>
      <c r="F36" s="60" t="str">
        <f aca="false">IFERROR(INDEX('Master Data'!$M$2:$M$2436,MATCH($B$3&amp;"|2|"&amp;F$29&amp;"|"&amp;$A36,'Master Data'!$A$2:$A$2436,0)),"")</f>
        <v>Little  0/5
coach: –</v>
      </c>
      <c r="G36" s="60" t="str">
        <f aca="false">IFERROR(INDEX('Master Data'!$M$2:$M$2436,MATCH($B$3&amp;"|2|"&amp;G$29&amp;"|"&amp;$A36,'Master Data'!$A$2:$A$2436,0)),"")</f>
        <v>Little  0/5
coach: –</v>
      </c>
      <c r="H36" s="60" t="str">
        <f aca="false">IFERROR(INDEX('Master Data'!$M$2:$M$2436,MATCH($B$3&amp;"|2|"&amp;H$29&amp;"|"&amp;$A36,'Master Data'!$A$2:$A$2436,0)),"")</f>
        <v>Little  0/5
coach: –</v>
      </c>
      <c r="T36" s="61" t="str">
        <f aca="false">IFERROR(INDEX('Master Data'!$L$2:$L$2436,MATCH($B$3&amp;"|2|"&amp;B$29&amp;"|"&amp;$A36,'Master Data'!$A$2:$A$2436,0)),"")</f>
        <v>Belum terisi</v>
      </c>
      <c r="U36" s="61" t="str">
        <f aca="false">IFERROR(INDEX('Master Data'!$L$2:$L$2436,MATCH($B$3&amp;"|2|"&amp;C$29&amp;"|"&amp;$A36,'Master Data'!$A$2:$A$2436,0)),"")</f>
        <v>Belum terisi</v>
      </c>
      <c r="V36" s="61" t="str">
        <f aca="false">IFERROR(INDEX('Master Data'!$L$2:$L$2436,MATCH($B$3&amp;"|2|"&amp;D$29&amp;"|"&amp;$A36,'Master Data'!$A$2:$A$2436,0)),"")</f>
        <v>Sebagian</v>
      </c>
      <c r="W36" s="61" t="str">
        <f aca="false">IFERROR(INDEX('Master Data'!$L$2:$L$2436,MATCH($B$3&amp;"|2|"&amp;E$29&amp;"|"&amp;$A36,'Master Data'!$A$2:$A$2436,0)),"")</f>
        <v>Belum terisi</v>
      </c>
      <c r="X36" s="61" t="str">
        <f aca="false">IFERROR(INDEX('Master Data'!$L$2:$L$2436,MATCH($B$3&amp;"|2|"&amp;F$29&amp;"|"&amp;$A36,'Master Data'!$A$2:$A$2436,0)),"")</f>
        <v>Belum terisi</v>
      </c>
      <c r="Y36" s="61" t="str">
        <f aca="false">IFERROR(INDEX('Master Data'!$L$2:$L$2436,MATCH($B$3&amp;"|2|"&amp;G$29&amp;"|"&amp;$A36,'Master Data'!$A$2:$A$2436,0)),"")</f>
        <v>Belum terisi</v>
      </c>
      <c r="Z36" s="61" t="str">
        <f aca="false">IFERROR(INDEX('Master Data'!$L$2:$L$2436,MATCH($B$3&amp;"|2|"&amp;H$29&amp;"|"&amp;$A36,'Master Data'!$A$2:$A$2436,0)),"")</f>
        <v>Belum terisi</v>
      </c>
    </row>
    <row r="37" customFormat="false" ht="30" hidden="false" customHeight="true" outlineLevel="0" collapsed="false">
      <c r="A37" s="59" t="s">
        <v>117</v>
      </c>
      <c r="B37" s="60" t="str">
        <f aca="false">IFERROR(INDEX('Master Data'!$M$2:$M$2436,MATCH($B$3&amp;"|2|"&amp;B$29&amp;"|"&amp;$A37,'Master Data'!$A$2:$A$2436,0)),"")</f>
        <v>Little  0/5
coach: –</v>
      </c>
      <c r="C37" s="60" t="str">
        <f aca="false">IFERROR(INDEX('Master Data'!$M$2:$M$2436,MATCH($B$3&amp;"|2|"&amp;C$29&amp;"|"&amp;$A37,'Master Data'!$A$2:$A$2436,0)),"")</f>
        <v>Little  0/5
coach: –</v>
      </c>
      <c r="D37" s="60" t="str">
        <f aca="false">IFERROR(INDEX('Master Data'!$M$2:$M$2436,MATCH($B$3&amp;"|2|"&amp;D$29&amp;"|"&amp;$A37,'Master Data'!$A$2:$A$2436,0)),"")</f>
        <v>Little  0/5
coach: –</v>
      </c>
      <c r="E37" s="60" t="str">
        <f aca="false">IFERROR(INDEX('Master Data'!$M$2:$M$2436,MATCH($B$3&amp;"|2|"&amp;E$29&amp;"|"&amp;$A37,'Master Data'!$A$2:$A$2436,0)),"")</f>
        <v>Little  0/5
coach: –</v>
      </c>
      <c r="F37" s="60" t="str">
        <f aca="false">IFERROR(INDEX('Master Data'!$M$2:$M$2436,MATCH($B$3&amp;"|2|"&amp;F$29&amp;"|"&amp;$A37,'Master Data'!$A$2:$A$2436,0)),"")</f>
        <v>Little  0/5
coach: –</v>
      </c>
      <c r="G37" s="60" t="str">
        <f aca="false">IFERROR(INDEX('Master Data'!$M$2:$M$2436,MATCH($B$3&amp;"|2|"&amp;G$29&amp;"|"&amp;$A37,'Master Data'!$A$2:$A$2436,0)),"")</f>
        <v>Little  0/5
coach: –</v>
      </c>
      <c r="H37" s="60" t="str">
        <f aca="false">IFERROR(INDEX('Master Data'!$M$2:$M$2436,MATCH($B$3&amp;"|2|"&amp;H$29&amp;"|"&amp;$A37,'Master Data'!$A$2:$A$2436,0)),"")</f>
        <v>Little  0/5
coach: –</v>
      </c>
      <c r="T37" s="61" t="str">
        <f aca="false">IFERROR(INDEX('Master Data'!$L$2:$L$2436,MATCH($B$3&amp;"|2|"&amp;B$29&amp;"|"&amp;$A37,'Master Data'!$A$2:$A$2436,0)),"")</f>
        <v>Belum terisi</v>
      </c>
      <c r="U37" s="61" t="str">
        <f aca="false">IFERROR(INDEX('Master Data'!$L$2:$L$2436,MATCH($B$3&amp;"|2|"&amp;C$29&amp;"|"&amp;$A37,'Master Data'!$A$2:$A$2436,0)),"")</f>
        <v>Belum terisi</v>
      </c>
      <c r="V37" s="61" t="str">
        <f aca="false">IFERROR(INDEX('Master Data'!$L$2:$L$2436,MATCH($B$3&amp;"|2|"&amp;D$29&amp;"|"&amp;$A37,'Master Data'!$A$2:$A$2436,0)),"")</f>
        <v>Belum terisi</v>
      </c>
      <c r="W37" s="61" t="str">
        <f aca="false">IFERROR(INDEX('Master Data'!$L$2:$L$2436,MATCH($B$3&amp;"|2|"&amp;E$29&amp;"|"&amp;$A37,'Master Data'!$A$2:$A$2436,0)),"")</f>
        <v>Belum terisi</v>
      </c>
      <c r="X37" s="61" t="str">
        <f aca="false">IFERROR(INDEX('Master Data'!$L$2:$L$2436,MATCH($B$3&amp;"|2|"&amp;F$29&amp;"|"&amp;$A37,'Master Data'!$A$2:$A$2436,0)),"")</f>
        <v>Belum terisi</v>
      </c>
      <c r="Y37" s="61" t="str">
        <f aca="false">IFERROR(INDEX('Master Data'!$L$2:$L$2436,MATCH($B$3&amp;"|2|"&amp;G$29&amp;"|"&amp;$A37,'Master Data'!$A$2:$A$2436,0)),"")</f>
        <v>Belum terisi</v>
      </c>
      <c r="Z37" s="61" t="str">
        <f aca="false">IFERROR(INDEX('Master Data'!$L$2:$L$2436,MATCH($B$3&amp;"|2|"&amp;H$29&amp;"|"&amp;$A37,'Master Data'!$A$2:$A$2436,0)),"")</f>
        <v>Belum terisi</v>
      </c>
    </row>
    <row r="38" customFormat="false" ht="30" hidden="false" customHeight="true" outlineLevel="0" collapsed="false">
      <c r="A38" s="59" t="s">
        <v>118</v>
      </c>
      <c r="B38" s="60" t="str">
        <f aca="false">IFERROR(INDEX('Master Data'!$M$2:$M$2436,MATCH($B$3&amp;"|2|"&amp;B$29&amp;"|"&amp;$A38,'Master Data'!$A$2:$A$2436,0)),"")</f>
        <v>Little  0/5
coach: –</v>
      </c>
      <c r="C38" s="60" t="str">
        <f aca="false">IFERROR(INDEX('Master Data'!$M$2:$M$2436,MATCH($B$3&amp;"|2|"&amp;C$29&amp;"|"&amp;$A38,'Master Data'!$A$2:$A$2436,0)),"")</f>
        <v>Little  0/5
coach: –</v>
      </c>
      <c r="D38" s="60" t="str">
        <f aca="false">IFERROR(INDEX('Master Data'!$M$2:$M$2436,MATCH($B$3&amp;"|2|"&amp;D$29&amp;"|"&amp;$A38,'Master Data'!$A$2:$A$2436,0)),"")</f>
        <v>Little  2/5
coach: Hanif</v>
      </c>
      <c r="E38" s="60" t="str">
        <f aca="false">IFERROR(INDEX('Master Data'!$M$2:$M$2436,MATCH($B$3&amp;"|2|"&amp;E$29&amp;"|"&amp;$A38,'Master Data'!$A$2:$A$2436,0)),"")</f>
        <v>Little  0/5
coach: –</v>
      </c>
      <c r="F38" s="60" t="str">
        <f aca="false">IFERROR(INDEX('Master Data'!$M$2:$M$2436,MATCH($B$3&amp;"|2|"&amp;F$29&amp;"|"&amp;$A38,'Master Data'!$A$2:$A$2436,0)),"")</f>
        <v>Little  3/5
coach: Adam</v>
      </c>
      <c r="G38" s="60" t="str">
        <f aca="false">IFERROR(INDEX('Master Data'!$M$2:$M$2436,MATCH($B$3&amp;"|2|"&amp;G$29&amp;"|"&amp;$A38,'Master Data'!$A$2:$A$2436,0)),"")</f>
        <v>Little  1/5
coach: Iqbal</v>
      </c>
      <c r="H38" s="60" t="str">
        <f aca="false">IFERROR(INDEX('Master Data'!$M$2:$M$2436,MATCH($B$3&amp;"|2|"&amp;H$29&amp;"|"&amp;$A38,'Master Data'!$A$2:$A$2436,0)),"")</f>
        <v>Little  1/5
coach: Irvan</v>
      </c>
      <c r="T38" s="61" t="str">
        <f aca="false">IFERROR(INDEX('Master Data'!$L$2:$L$2436,MATCH($B$3&amp;"|2|"&amp;B$29&amp;"|"&amp;$A38,'Master Data'!$A$2:$A$2436,0)),"")</f>
        <v>Belum terisi</v>
      </c>
      <c r="U38" s="61" t="str">
        <f aca="false">IFERROR(INDEX('Master Data'!$L$2:$L$2436,MATCH($B$3&amp;"|2|"&amp;C$29&amp;"|"&amp;$A38,'Master Data'!$A$2:$A$2436,0)),"")</f>
        <v>Belum terisi</v>
      </c>
      <c r="V38" s="61" t="str">
        <f aca="false">IFERROR(INDEX('Master Data'!$L$2:$L$2436,MATCH($B$3&amp;"|2|"&amp;D$29&amp;"|"&amp;$A38,'Master Data'!$A$2:$A$2436,0)),"")</f>
        <v>Sebagian</v>
      </c>
      <c r="W38" s="61" t="str">
        <f aca="false">IFERROR(INDEX('Master Data'!$L$2:$L$2436,MATCH($B$3&amp;"|2|"&amp;E$29&amp;"|"&amp;$A38,'Master Data'!$A$2:$A$2436,0)),"")</f>
        <v>Belum terisi</v>
      </c>
      <c r="X38" s="61" t="str">
        <f aca="false">IFERROR(INDEX('Master Data'!$L$2:$L$2436,MATCH($B$3&amp;"|2|"&amp;F$29&amp;"|"&amp;$A38,'Master Data'!$A$2:$A$2436,0)),"")</f>
        <v>Sebagian</v>
      </c>
      <c r="Y38" s="61" t="str">
        <f aca="false">IFERROR(INDEX('Master Data'!$L$2:$L$2436,MATCH($B$3&amp;"|2|"&amp;G$29&amp;"|"&amp;$A38,'Master Data'!$A$2:$A$2436,0)),"")</f>
        <v>Sebagian</v>
      </c>
      <c r="Z38" s="61" t="str">
        <f aca="false">IFERROR(INDEX('Master Data'!$L$2:$L$2436,MATCH($B$3&amp;"|2|"&amp;H$29&amp;"|"&amp;$A38,'Master Data'!$A$2:$A$2436,0)),"")</f>
        <v>Sebagian</v>
      </c>
    </row>
    <row r="39" customFormat="false" ht="30" hidden="false" customHeight="true" outlineLevel="0" collapsed="false">
      <c r="A39" s="59" t="s">
        <v>119</v>
      </c>
      <c r="B39" s="60" t="str">
        <f aca="false">IFERROR(INDEX('Master Data'!$M$2:$M$2436,MATCH($B$3&amp;"|2|"&amp;B$29&amp;"|"&amp;$A39,'Master Data'!$A$2:$A$2436,0)),"")</f>
        <v>Little  0/5
coach: –</v>
      </c>
      <c r="C39" s="60" t="str">
        <f aca="false">IFERROR(INDEX('Master Data'!$M$2:$M$2436,MATCH($B$3&amp;"|2|"&amp;C$29&amp;"|"&amp;$A39,'Master Data'!$A$2:$A$2436,0)),"")</f>
        <v>Little  0/5
coach: –</v>
      </c>
      <c r="D39" s="60" t="str">
        <f aca="false">IFERROR(INDEX('Master Data'!$M$2:$M$2436,MATCH($B$3&amp;"|2|"&amp;D$29&amp;"|"&amp;$A39,'Master Data'!$A$2:$A$2436,0)),"")</f>
        <v>Little  0/5
coach: –</v>
      </c>
      <c r="E39" s="60" t="str">
        <f aca="false">IFERROR(INDEX('Master Data'!$M$2:$M$2436,MATCH($B$3&amp;"|2|"&amp;E$29&amp;"|"&amp;$A39,'Master Data'!$A$2:$A$2436,0)),"")</f>
        <v>Little  0/5
coach: –</v>
      </c>
      <c r="F39" s="60" t="str">
        <f aca="false">IFERROR(INDEX('Master Data'!$M$2:$M$2436,MATCH($B$3&amp;"|2|"&amp;F$29&amp;"|"&amp;$A39,'Master Data'!$A$2:$A$2436,0)),"")</f>
        <v>Little  0/5
coach: –</v>
      </c>
      <c r="G39" s="60" t="str">
        <f aca="false">IFERROR(INDEX('Master Data'!$M$2:$M$2436,MATCH($B$3&amp;"|2|"&amp;G$29&amp;"|"&amp;$A39,'Master Data'!$A$2:$A$2436,0)),"")</f>
        <v>Little  0/5
coach: –</v>
      </c>
      <c r="H39" s="60" t="str">
        <f aca="false">IFERROR(INDEX('Master Data'!$M$2:$M$2436,MATCH($B$3&amp;"|2|"&amp;H$29&amp;"|"&amp;$A39,'Master Data'!$A$2:$A$2436,0)),"")</f>
        <v>Little  0/5
coach: –</v>
      </c>
      <c r="T39" s="61" t="str">
        <f aca="false">IFERROR(INDEX('Master Data'!$L$2:$L$2436,MATCH($B$3&amp;"|2|"&amp;B$29&amp;"|"&amp;$A39,'Master Data'!$A$2:$A$2436,0)),"")</f>
        <v>Belum terisi</v>
      </c>
      <c r="U39" s="61" t="str">
        <f aca="false">IFERROR(INDEX('Master Data'!$L$2:$L$2436,MATCH($B$3&amp;"|2|"&amp;C$29&amp;"|"&amp;$A39,'Master Data'!$A$2:$A$2436,0)),"")</f>
        <v>Belum terisi</v>
      </c>
      <c r="V39" s="61" t="str">
        <f aca="false">IFERROR(INDEX('Master Data'!$L$2:$L$2436,MATCH($B$3&amp;"|2|"&amp;D$29&amp;"|"&amp;$A39,'Master Data'!$A$2:$A$2436,0)),"")</f>
        <v>Belum terisi</v>
      </c>
      <c r="W39" s="61" t="str">
        <f aca="false">IFERROR(INDEX('Master Data'!$L$2:$L$2436,MATCH($B$3&amp;"|2|"&amp;E$29&amp;"|"&amp;$A39,'Master Data'!$A$2:$A$2436,0)),"")</f>
        <v>Belum terisi</v>
      </c>
      <c r="X39" s="61" t="str">
        <f aca="false">IFERROR(INDEX('Master Data'!$L$2:$L$2436,MATCH($B$3&amp;"|2|"&amp;F$29&amp;"|"&amp;$A39,'Master Data'!$A$2:$A$2436,0)),"")</f>
        <v>Belum terisi</v>
      </c>
      <c r="Y39" s="61" t="str">
        <f aca="false">IFERROR(INDEX('Master Data'!$L$2:$L$2436,MATCH($B$3&amp;"|2|"&amp;G$29&amp;"|"&amp;$A39,'Master Data'!$A$2:$A$2436,0)),"")</f>
        <v>Belum terisi</v>
      </c>
      <c r="Z39" s="61" t="str">
        <f aca="false">IFERROR(INDEX('Master Data'!$L$2:$L$2436,MATCH($B$3&amp;"|2|"&amp;H$29&amp;"|"&amp;$A39,'Master Data'!$A$2:$A$2436,0)),"")</f>
        <v>Belum terisi</v>
      </c>
    </row>
    <row r="40" customFormat="false" ht="30" hidden="false" customHeight="true" outlineLevel="0" collapsed="false">
      <c r="A40" s="59" t="s">
        <v>120</v>
      </c>
      <c r="B40" s="60" t="str">
        <f aca="false">IFERROR(INDEX('Master Data'!$M$2:$M$2436,MATCH($B$3&amp;"|2|"&amp;B$29&amp;"|"&amp;$A40,'Master Data'!$A$2:$A$2436,0)),"")</f>
        <v>Little  0/5
coach: –</v>
      </c>
      <c r="C40" s="60" t="str">
        <f aca="false">IFERROR(INDEX('Master Data'!$M$2:$M$2436,MATCH($B$3&amp;"|2|"&amp;C$29&amp;"|"&amp;$A40,'Master Data'!$A$2:$A$2436,0)),"")</f>
        <v>Little  2/5
coach: Irvan</v>
      </c>
      <c r="D40" s="60" t="str">
        <f aca="false">IFERROR(INDEX('Master Data'!$M$2:$M$2436,MATCH($B$3&amp;"|2|"&amp;D$29&amp;"|"&amp;$A40,'Master Data'!$A$2:$A$2436,0)),"")</f>
        <v>Little  3/5
coach: Iqbal</v>
      </c>
      <c r="E40" s="60" t="str">
        <f aca="false">IFERROR(INDEX('Master Data'!$M$2:$M$2436,MATCH($B$3&amp;"|2|"&amp;E$29&amp;"|"&amp;$A40,'Master Data'!$A$2:$A$2436,0)),"")</f>
        <v>Little  3/5
coach: Adam</v>
      </c>
      <c r="F40" s="60" t="str">
        <f aca="false">IFERROR(INDEX('Master Data'!$M$2:$M$2436,MATCH($B$3&amp;"|2|"&amp;F$29&amp;"|"&amp;$A40,'Master Data'!$A$2:$A$2436,0)),"")</f>
        <v>Little  2/5
coach: Irvan</v>
      </c>
      <c r="G40" s="60" t="str">
        <f aca="false">IFERROR(INDEX('Master Data'!$M$2:$M$2436,MATCH($B$3&amp;"|2|"&amp;G$29&amp;"|"&amp;$A40,'Master Data'!$A$2:$A$2436,0)),"")</f>
        <v>Little  1/5
coach: Adam</v>
      </c>
      <c r="H40" s="60" t="str">
        <f aca="false">IFERROR(INDEX('Master Data'!$M$2:$M$2436,MATCH($B$3&amp;"|2|"&amp;H$29&amp;"|"&amp;$A40,'Master Data'!$A$2:$A$2436,0)),"")</f>
        <v>Little  2/5
coach: Iqbal</v>
      </c>
      <c r="T40" s="61" t="str">
        <f aca="false">IFERROR(INDEX('Master Data'!$L$2:$L$2436,MATCH($B$3&amp;"|2|"&amp;B$29&amp;"|"&amp;$A40,'Master Data'!$A$2:$A$2436,0)),"")</f>
        <v>Belum terisi</v>
      </c>
      <c r="U40" s="61" t="str">
        <f aca="false">IFERROR(INDEX('Master Data'!$L$2:$L$2436,MATCH($B$3&amp;"|2|"&amp;C$29&amp;"|"&amp;$A40,'Master Data'!$A$2:$A$2436,0)),"")</f>
        <v>Sebagian</v>
      </c>
      <c r="V40" s="61" t="str">
        <f aca="false">IFERROR(INDEX('Master Data'!$L$2:$L$2436,MATCH($B$3&amp;"|2|"&amp;D$29&amp;"|"&amp;$A40,'Master Data'!$A$2:$A$2436,0)),"")</f>
        <v>Sebagian</v>
      </c>
      <c r="W40" s="61" t="str">
        <f aca="false">IFERROR(INDEX('Master Data'!$L$2:$L$2436,MATCH($B$3&amp;"|2|"&amp;E$29&amp;"|"&amp;$A40,'Master Data'!$A$2:$A$2436,0)),"")</f>
        <v>Sebagian</v>
      </c>
      <c r="X40" s="61" t="str">
        <f aca="false">IFERROR(INDEX('Master Data'!$L$2:$L$2436,MATCH($B$3&amp;"|2|"&amp;F$29&amp;"|"&amp;$A40,'Master Data'!$A$2:$A$2436,0)),"")</f>
        <v>Sebagian</v>
      </c>
      <c r="Y40" s="61" t="str">
        <f aca="false">IFERROR(INDEX('Master Data'!$L$2:$L$2436,MATCH($B$3&amp;"|2|"&amp;G$29&amp;"|"&amp;$A40,'Master Data'!$A$2:$A$2436,0)),"")</f>
        <v>Sebagian</v>
      </c>
      <c r="Z40" s="61" t="str">
        <f aca="false">IFERROR(INDEX('Master Data'!$L$2:$L$2436,MATCH($B$3&amp;"|2|"&amp;H$29&amp;"|"&amp;$A40,'Master Data'!$A$2:$A$2436,0)),"")</f>
        <v>Sebagian</v>
      </c>
    </row>
    <row r="41" customFormat="false" ht="30" hidden="false" customHeight="true" outlineLevel="0" collapsed="false">
      <c r="A41" s="59" t="s">
        <v>121</v>
      </c>
      <c r="B41" s="60" t="str">
        <f aca="false">IFERROR(INDEX('Master Data'!$M$2:$M$2436,MATCH($B$3&amp;"|2|"&amp;B$29&amp;"|"&amp;$A41,'Master Data'!$A$2:$A$2436,0)),"")</f>
        <v>Little  0/5
coach: –</v>
      </c>
      <c r="C41" s="60" t="str">
        <f aca="false">IFERROR(INDEX('Master Data'!$M$2:$M$2436,MATCH($B$3&amp;"|2|"&amp;C$29&amp;"|"&amp;$A41,'Master Data'!$A$2:$A$2436,0)),"")</f>
        <v>Little  0/5
coach: –</v>
      </c>
      <c r="D41" s="60" t="str">
        <f aca="false">IFERROR(INDEX('Master Data'!$M$2:$M$2436,MATCH($B$3&amp;"|2|"&amp;D$29&amp;"|"&amp;$A41,'Master Data'!$A$2:$A$2436,0)),"")</f>
        <v>Little  0/5
coach: –</v>
      </c>
      <c r="E41" s="60" t="str">
        <f aca="false">IFERROR(INDEX('Master Data'!$M$2:$M$2436,MATCH($B$3&amp;"|2|"&amp;E$29&amp;"|"&amp;$A41,'Master Data'!$A$2:$A$2436,0)),"")</f>
        <v>Little  0/5
coach: –</v>
      </c>
      <c r="F41" s="60" t="str">
        <f aca="false">IFERROR(INDEX('Master Data'!$M$2:$M$2436,MATCH($B$3&amp;"|2|"&amp;F$29&amp;"|"&amp;$A41,'Master Data'!$A$2:$A$2436,0)),"")</f>
        <v>Little  1/5
coach: Agas</v>
      </c>
      <c r="G41" s="60" t="str">
        <f aca="false">IFERROR(INDEX('Master Data'!$M$2:$M$2436,MATCH($B$3&amp;"|2|"&amp;G$29&amp;"|"&amp;$A41,'Master Data'!$A$2:$A$2436,0)),"")</f>
        <v>Little  1/5
coach: Hanif</v>
      </c>
      <c r="H41" s="60" t="str">
        <f aca="false">IFERROR(INDEX('Master Data'!$M$2:$M$2436,MATCH($B$3&amp;"|2|"&amp;H$29&amp;"|"&amp;$A41,'Master Data'!$A$2:$A$2436,0)),"")</f>
        <v>Little  1/5
coach: Hanif</v>
      </c>
      <c r="T41" s="61" t="str">
        <f aca="false">IFERROR(INDEX('Master Data'!$L$2:$L$2436,MATCH($B$3&amp;"|2|"&amp;B$29&amp;"|"&amp;$A41,'Master Data'!$A$2:$A$2436,0)),"")</f>
        <v>Belum terisi</v>
      </c>
      <c r="U41" s="61" t="str">
        <f aca="false">IFERROR(INDEX('Master Data'!$L$2:$L$2436,MATCH($B$3&amp;"|2|"&amp;C$29&amp;"|"&amp;$A41,'Master Data'!$A$2:$A$2436,0)),"")</f>
        <v>Belum terisi</v>
      </c>
      <c r="V41" s="61" t="str">
        <f aca="false">IFERROR(INDEX('Master Data'!$L$2:$L$2436,MATCH($B$3&amp;"|2|"&amp;D$29&amp;"|"&amp;$A41,'Master Data'!$A$2:$A$2436,0)),"")</f>
        <v>Belum terisi</v>
      </c>
      <c r="W41" s="61" t="str">
        <f aca="false">IFERROR(INDEX('Master Data'!$L$2:$L$2436,MATCH($B$3&amp;"|2|"&amp;E$29&amp;"|"&amp;$A41,'Master Data'!$A$2:$A$2436,0)),"")</f>
        <v>Belum terisi</v>
      </c>
      <c r="X41" s="61" t="str">
        <f aca="false">IFERROR(INDEX('Master Data'!$L$2:$L$2436,MATCH($B$3&amp;"|2|"&amp;F$29&amp;"|"&amp;$A41,'Master Data'!$A$2:$A$2436,0)),"")</f>
        <v>Sebagian</v>
      </c>
      <c r="Y41" s="61" t="str">
        <f aca="false">IFERROR(INDEX('Master Data'!$L$2:$L$2436,MATCH($B$3&amp;"|2|"&amp;G$29&amp;"|"&amp;$A41,'Master Data'!$A$2:$A$2436,0)),"")</f>
        <v>Sebagian</v>
      </c>
      <c r="Z41" s="61" t="str">
        <f aca="false">IFERROR(INDEX('Master Data'!$L$2:$L$2436,MATCH($B$3&amp;"|2|"&amp;H$29&amp;"|"&amp;$A41,'Master Data'!$A$2:$A$2436,0)),"")</f>
        <v>Sebagian</v>
      </c>
    </row>
    <row r="43" customFormat="false" ht="16.15" hidden="false" customHeight="false" outlineLevel="0" collapsed="false">
      <c r="A43" s="54" t="s">
        <v>109</v>
      </c>
      <c r="B43" s="55"/>
      <c r="C43" s="56" t="str">
        <f aca="false">"Utilisasi lane: "&amp;IFERROR(TEXT(SUMIFS('Master Data'!$H$2:$H$2436,'Master Data'!$B$2:$B$2436,$B$3,'Master Data'!$C$2:$C$2436,3,'Master Data'!$G$2:$G$2436,"&gt;0")/SUMIFS('Master Data'!$G$2:$G$2436,'Master Data'!$B$2:$B$2436,$B$3,'Master Data'!$C$2:$C$2436,3,'Master Data'!$G$2:$G$2436,"&gt;0"),"0%"),"–")&amp;"   ·   Belum terisi: "&amp;COUNTIFS('Master Data'!$B$2:$B$2436,$B$3,'Master Data'!$C$2:$C$2436,3,'Master Data'!$L$2:$L$2436,"Belum terisi")&amp;"   ·   Slot kosong: "&amp;COUNTIFS('Master Data'!$B$2:$B$2436,$B$3,'Master Data'!$C$2:$C$2436,3,'Master Data'!$L$2:$L$2436,"Slot kosong")</f>
        <v>Utilisasi lane: 12%   ·   Belum terisi: 60   ·   Slot kosong: 0</v>
      </c>
      <c r="D43" s="55"/>
      <c r="E43" s="55"/>
      <c r="F43" s="55"/>
      <c r="G43" s="55"/>
      <c r="H43" s="55"/>
    </row>
    <row r="44" customFormat="false" ht="15" hidden="false" customHeight="false" outlineLevel="0" collapsed="false">
      <c r="A44" s="57" t="s">
        <v>89</v>
      </c>
      <c r="B44" s="58" t="s">
        <v>90</v>
      </c>
      <c r="C44" s="58" t="s">
        <v>91</v>
      </c>
      <c r="D44" s="58" t="s">
        <v>92</v>
      </c>
      <c r="E44" s="58" t="s">
        <v>93</v>
      </c>
      <c r="F44" s="58" t="s">
        <v>94</v>
      </c>
      <c r="G44" s="58" t="s">
        <v>95</v>
      </c>
      <c r="H44" s="58" t="s">
        <v>78</v>
      </c>
    </row>
    <row r="45" customFormat="false" ht="30" hidden="false" customHeight="true" outlineLevel="0" collapsed="false">
      <c r="A45" s="59" t="s">
        <v>96</v>
      </c>
      <c r="B45" s="60" t="str">
        <f aca="false">IFERROR(INDEX('Master Data'!$M$2:$M$2436,MATCH($B$3&amp;"|3|"&amp;B$44&amp;"|"&amp;$A45,'Master Data'!$A$2:$A$2436,0)),"")</f>
        <v>Kids  0/4
coach: –</v>
      </c>
      <c r="C45" s="60" t="str">
        <f aca="false">IFERROR(INDEX('Master Data'!$M$2:$M$2436,MATCH($B$3&amp;"|3|"&amp;C$44&amp;"|"&amp;$A45,'Master Data'!$A$2:$A$2436,0)),"")</f>
        <v>Kids  0/4
coach: –</v>
      </c>
      <c r="D45" s="60" t="str">
        <f aca="false">IFERROR(INDEX('Master Data'!$M$2:$M$2436,MATCH($B$3&amp;"|3|"&amp;D$44&amp;"|"&amp;$A45,'Master Data'!$A$2:$A$2436,0)),"")</f>
        <v>Kids  0/4
coach: –</v>
      </c>
      <c r="E45" s="60" t="str">
        <f aca="false">IFERROR(INDEX('Master Data'!$M$2:$M$2436,MATCH($B$3&amp;"|3|"&amp;E$44&amp;"|"&amp;$A45,'Master Data'!$A$2:$A$2436,0)),"")</f>
        <v>Kids  0/4
coach: –</v>
      </c>
      <c r="F45" s="60" t="str">
        <f aca="false">IFERROR(INDEX('Master Data'!$M$2:$M$2436,MATCH($B$3&amp;"|3|"&amp;F$44&amp;"|"&amp;$A45,'Master Data'!$A$2:$A$2436,0)),"")</f>
        <v>Kids  0/4
coach: –</v>
      </c>
      <c r="G45" s="60" t="str">
        <f aca="false">IFERROR(INDEX('Master Data'!$M$2:$M$2436,MATCH($B$3&amp;"|3|"&amp;G$44&amp;"|"&amp;$A45,'Master Data'!$A$2:$A$2436,0)),"")</f>
        <v>Kids  0/4
coach: –</v>
      </c>
      <c r="H45" s="60" t="str">
        <f aca="false">IFERROR(INDEX('Master Data'!$M$2:$M$2436,MATCH($B$3&amp;"|3|"&amp;H$44&amp;"|"&amp;$A45,'Master Data'!$A$2:$A$2436,0)),"")</f>
        <v>Kids  0/4
coach: –</v>
      </c>
      <c r="T45" s="61" t="str">
        <f aca="false">IFERROR(INDEX('Master Data'!$L$2:$L$2436,MATCH($B$3&amp;"|3|"&amp;B$44&amp;"|"&amp;$A45,'Master Data'!$A$2:$A$2436,0)),"")</f>
        <v>Belum terisi</v>
      </c>
      <c r="U45" s="61" t="str">
        <f aca="false">IFERROR(INDEX('Master Data'!$L$2:$L$2436,MATCH($B$3&amp;"|3|"&amp;C$44&amp;"|"&amp;$A45,'Master Data'!$A$2:$A$2436,0)),"")</f>
        <v>Belum terisi</v>
      </c>
      <c r="V45" s="61" t="str">
        <f aca="false">IFERROR(INDEX('Master Data'!$L$2:$L$2436,MATCH($B$3&amp;"|3|"&amp;D$44&amp;"|"&amp;$A45,'Master Data'!$A$2:$A$2436,0)),"")</f>
        <v>Belum terisi</v>
      </c>
      <c r="W45" s="61" t="str">
        <f aca="false">IFERROR(INDEX('Master Data'!$L$2:$L$2436,MATCH($B$3&amp;"|3|"&amp;E$44&amp;"|"&amp;$A45,'Master Data'!$A$2:$A$2436,0)),"")</f>
        <v>Belum terisi</v>
      </c>
      <c r="X45" s="61" t="str">
        <f aca="false">IFERROR(INDEX('Master Data'!$L$2:$L$2436,MATCH($B$3&amp;"|3|"&amp;F$44&amp;"|"&amp;$A45,'Master Data'!$A$2:$A$2436,0)),"")</f>
        <v>Belum terisi</v>
      </c>
      <c r="Y45" s="61" t="str">
        <f aca="false">IFERROR(INDEX('Master Data'!$L$2:$L$2436,MATCH($B$3&amp;"|3|"&amp;G$44&amp;"|"&amp;$A45,'Master Data'!$A$2:$A$2436,0)),"")</f>
        <v>Belum terisi</v>
      </c>
      <c r="Z45" s="61" t="str">
        <f aca="false">IFERROR(INDEX('Master Data'!$L$2:$L$2436,MATCH($B$3&amp;"|3|"&amp;H$44&amp;"|"&amp;$A45,'Master Data'!$A$2:$A$2436,0)),"")</f>
        <v>Belum terisi</v>
      </c>
    </row>
    <row r="46" customFormat="false" ht="30" hidden="false" customHeight="true" outlineLevel="0" collapsed="false">
      <c r="A46" s="59" t="s">
        <v>97</v>
      </c>
      <c r="B46" s="60" t="str">
        <f aca="false">IFERROR(INDEX('Master Data'!$M$2:$M$2436,MATCH($B$3&amp;"|3|"&amp;B$44&amp;"|"&amp;$A46,'Master Data'!$A$2:$A$2436,0)),"")</f>
        <v>Kids  0/4
coach: –</v>
      </c>
      <c r="C46" s="60" t="str">
        <f aca="false">IFERROR(INDEX('Master Data'!$M$2:$M$2436,MATCH($B$3&amp;"|3|"&amp;C$44&amp;"|"&amp;$A46,'Master Data'!$A$2:$A$2436,0)),"")</f>
        <v>Kids  0/4
coach: –</v>
      </c>
      <c r="D46" s="60" t="str">
        <f aca="false">IFERROR(INDEX('Master Data'!$M$2:$M$2436,MATCH($B$3&amp;"|3|"&amp;D$44&amp;"|"&amp;$A46,'Master Data'!$A$2:$A$2436,0)),"")</f>
        <v>Kids  0/4
coach: –</v>
      </c>
      <c r="E46" s="60" t="str">
        <f aca="false">IFERROR(INDEX('Master Data'!$M$2:$M$2436,MATCH($B$3&amp;"|3|"&amp;E$44&amp;"|"&amp;$A46,'Master Data'!$A$2:$A$2436,0)),"")</f>
        <v>Kids  0/4
coach: –</v>
      </c>
      <c r="F46" s="60" t="str">
        <f aca="false">IFERROR(INDEX('Master Data'!$M$2:$M$2436,MATCH($B$3&amp;"|3|"&amp;F$44&amp;"|"&amp;$A46,'Master Data'!$A$2:$A$2436,0)),"")</f>
        <v>Kids  0/4
coach: –</v>
      </c>
      <c r="G46" s="60" t="str">
        <f aca="false">IFERROR(INDEX('Master Data'!$M$2:$M$2436,MATCH($B$3&amp;"|3|"&amp;G$44&amp;"|"&amp;$A46,'Master Data'!$A$2:$A$2436,0)),"")</f>
        <v>Kids  1/4
coach: Iqbal</v>
      </c>
      <c r="H46" s="60" t="str">
        <f aca="false">IFERROR(INDEX('Master Data'!$M$2:$M$2436,MATCH($B$3&amp;"|3|"&amp;H$44&amp;"|"&amp;$A46,'Master Data'!$A$2:$A$2436,0)),"")</f>
        <v>Kids  0/4
coach: –</v>
      </c>
      <c r="T46" s="61" t="str">
        <f aca="false">IFERROR(INDEX('Master Data'!$L$2:$L$2436,MATCH($B$3&amp;"|3|"&amp;B$44&amp;"|"&amp;$A46,'Master Data'!$A$2:$A$2436,0)),"")</f>
        <v>Belum terisi</v>
      </c>
      <c r="U46" s="61" t="str">
        <f aca="false">IFERROR(INDEX('Master Data'!$L$2:$L$2436,MATCH($B$3&amp;"|3|"&amp;C$44&amp;"|"&amp;$A46,'Master Data'!$A$2:$A$2436,0)),"")</f>
        <v>Belum terisi</v>
      </c>
      <c r="V46" s="61" t="str">
        <f aca="false">IFERROR(INDEX('Master Data'!$L$2:$L$2436,MATCH($B$3&amp;"|3|"&amp;D$44&amp;"|"&amp;$A46,'Master Data'!$A$2:$A$2436,0)),"")</f>
        <v>Belum terisi</v>
      </c>
      <c r="W46" s="61" t="str">
        <f aca="false">IFERROR(INDEX('Master Data'!$L$2:$L$2436,MATCH($B$3&amp;"|3|"&amp;E$44&amp;"|"&amp;$A46,'Master Data'!$A$2:$A$2436,0)),"")</f>
        <v>Belum terisi</v>
      </c>
      <c r="X46" s="61" t="str">
        <f aca="false">IFERROR(INDEX('Master Data'!$L$2:$L$2436,MATCH($B$3&amp;"|3|"&amp;F$44&amp;"|"&amp;$A46,'Master Data'!$A$2:$A$2436,0)),"")</f>
        <v>Belum terisi</v>
      </c>
      <c r="Y46" s="61" t="str">
        <f aca="false">IFERROR(INDEX('Master Data'!$L$2:$L$2436,MATCH($B$3&amp;"|3|"&amp;G$44&amp;"|"&amp;$A46,'Master Data'!$A$2:$A$2436,0)),"")</f>
        <v>Sebagian</v>
      </c>
      <c r="Z46" s="61" t="str">
        <f aca="false">IFERROR(INDEX('Master Data'!$L$2:$L$2436,MATCH($B$3&amp;"|3|"&amp;H$44&amp;"|"&amp;$A46,'Master Data'!$A$2:$A$2436,0)),"")</f>
        <v>Belum terisi</v>
      </c>
    </row>
    <row r="47" customFormat="false" ht="30" hidden="false" customHeight="true" outlineLevel="0" collapsed="false">
      <c r="A47" s="59" t="s">
        <v>98</v>
      </c>
      <c r="B47" s="60" t="str">
        <f aca="false">IFERROR(INDEX('Master Data'!$M$2:$M$2436,MATCH($B$3&amp;"|3|"&amp;B$44&amp;"|"&amp;$A47,'Master Data'!$A$2:$A$2436,0)),"")</f>
        <v>Kids  0/4
coach: –</v>
      </c>
      <c r="C47" s="60" t="str">
        <f aca="false">IFERROR(INDEX('Master Data'!$M$2:$M$2436,MATCH($B$3&amp;"|3|"&amp;C$44&amp;"|"&amp;$A47,'Master Data'!$A$2:$A$2436,0)),"")</f>
        <v>Kids  0/4
coach: –</v>
      </c>
      <c r="D47" s="60" t="str">
        <f aca="false">IFERROR(INDEX('Master Data'!$M$2:$M$2436,MATCH($B$3&amp;"|3|"&amp;D$44&amp;"|"&amp;$A47,'Master Data'!$A$2:$A$2436,0)),"")</f>
        <v>Kids  0/4
coach: –</v>
      </c>
      <c r="E47" s="60" t="str">
        <f aca="false">IFERROR(INDEX('Master Data'!$M$2:$M$2436,MATCH($B$3&amp;"|3|"&amp;E$44&amp;"|"&amp;$A47,'Master Data'!$A$2:$A$2436,0)),"")</f>
        <v>Kids  0/4
coach: –</v>
      </c>
      <c r="F47" s="60" t="str">
        <f aca="false">IFERROR(INDEX('Master Data'!$M$2:$M$2436,MATCH($B$3&amp;"|3|"&amp;F$44&amp;"|"&amp;$A47,'Master Data'!$A$2:$A$2436,0)),"")</f>
        <v>Kids  0/4
coach: –</v>
      </c>
      <c r="G47" s="60" t="str">
        <f aca="false">IFERROR(INDEX('Master Data'!$M$2:$M$2436,MATCH($B$3&amp;"|3|"&amp;G$44&amp;"|"&amp;$A47,'Master Data'!$A$2:$A$2436,0)),"")</f>
        <v>Kids  0/4
coach: –</v>
      </c>
      <c r="H47" s="60" t="str">
        <f aca="false">IFERROR(INDEX('Master Data'!$M$2:$M$2436,MATCH($B$3&amp;"|3|"&amp;H$44&amp;"|"&amp;$A47,'Master Data'!$A$2:$A$2436,0)),"")</f>
        <v>Kids  2/4
coach: Irvan</v>
      </c>
      <c r="T47" s="61" t="str">
        <f aca="false">IFERROR(INDEX('Master Data'!$L$2:$L$2436,MATCH($B$3&amp;"|3|"&amp;B$44&amp;"|"&amp;$A47,'Master Data'!$A$2:$A$2436,0)),"")</f>
        <v>Belum terisi</v>
      </c>
      <c r="U47" s="61" t="str">
        <f aca="false">IFERROR(INDEX('Master Data'!$L$2:$L$2436,MATCH($B$3&amp;"|3|"&amp;C$44&amp;"|"&amp;$A47,'Master Data'!$A$2:$A$2436,0)),"")</f>
        <v>Belum terisi</v>
      </c>
      <c r="V47" s="61" t="str">
        <f aca="false">IFERROR(INDEX('Master Data'!$L$2:$L$2436,MATCH($B$3&amp;"|3|"&amp;D$44&amp;"|"&amp;$A47,'Master Data'!$A$2:$A$2436,0)),"")</f>
        <v>Belum terisi</v>
      </c>
      <c r="W47" s="61" t="str">
        <f aca="false">IFERROR(INDEX('Master Data'!$L$2:$L$2436,MATCH($B$3&amp;"|3|"&amp;E$44&amp;"|"&amp;$A47,'Master Data'!$A$2:$A$2436,0)),"")</f>
        <v>Belum terisi</v>
      </c>
      <c r="X47" s="61" t="str">
        <f aca="false">IFERROR(INDEX('Master Data'!$L$2:$L$2436,MATCH($B$3&amp;"|3|"&amp;F$44&amp;"|"&amp;$A47,'Master Data'!$A$2:$A$2436,0)),"")</f>
        <v>Belum terisi</v>
      </c>
      <c r="Y47" s="61" t="str">
        <f aca="false">IFERROR(INDEX('Master Data'!$L$2:$L$2436,MATCH($B$3&amp;"|3|"&amp;G$44&amp;"|"&amp;$A47,'Master Data'!$A$2:$A$2436,0)),"")</f>
        <v>Belum terisi</v>
      </c>
      <c r="Z47" s="61" t="str">
        <f aca="false">IFERROR(INDEX('Master Data'!$L$2:$L$2436,MATCH($B$3&amp;"|3|"&amp;H$44&amp;"|"&amp;$A47,'Master Data'!$A$2:$A$2436,0)),"")</f>
        <v>Sebagian</v>
      </c>
    </row>
    <row r="48" customFormat="false" ht="30" hidden="false" customHeight="true" outlineLevel="0" collapsed="false">
      <c r="A48" s="59" t="s">
        <v>99</v>
      </c>
      <c r="B48" s="60" t="str">
        <f aca="false">IFERROR(INDEX('Master Data'!$M$2:$M$2436,MATCH($B$3&amp;"|3|"&amp;B$44&amp;"|"&amp;$A48,'Master Data'!$A$2:$A$2436,0)),"")</f>
        <v>Kids  0/4
coach: –</v>
      </c>
      <c r="C48" s="60" t="str">
        <f aca="false">IFERROR(INDEX('Master Data'!$M$2:$M$2436,MATCH($B$3&amp;"|3|"&amp;C$44&amp;"|"&amp;$A48,'Master Data'!$A$2:$A$2436,0)),"")</f>
        <v>Kids  0/4
coach: –</v>
      </c>
      <c r="D48" s="60" t="str">
        <f aca="false">IFERROR(INDEX('Master Data'!$M$2:$M$2436,MATCH($B$3&amp;"|3|"&amp;D$44&amp;"|"&amp;$A48,'Master Data'!$A$2:$A$2436,0)),"")</f>
        <v>Kids  0/4
coach: –</v>
      </c>
      <c r="E48" s="60" t="str">
        <f aca="false">IFERROR(INDEX('Master Data'!$M$2:$M$2436,MATCH($B$3&amp;"|3|"&amp;E$44&amp;"|"&amp;$A48,'Master Data'!$A$2:$A$2436,0)),"")</f>
        <v>Kids  0/4
coach: –</v>
      </c>
      <c r="F48" s="60" t="str">
        <f aca="false">IFERROR(INDEX('Master Data'!$M$2:$M$2436,MATCH($B$3&amp;"|3|"&amp;F$44&amp;"|"&amp;$A48,'Master Data'!$A$2:$A$2436,0)),"")</f>
        <v>Kids  0/4
coach: –</v>
      </c>
      <c r="G48" s="60" t="str">
        <f aca="false">IFERROR(INDEX('Master Data'!$M$2:$M$2436,MATCH($B$3&amp;"|3|"&amp;G$44&amp;"|"&amp;$A48,'Master Data'!$A$2:$A$2436,0)),"")</f>
        <v>Kids  0/4
coach: –</v>
      </c>
      <c r="H48" s="60" t="str">
        <f aca="false">IFERROR(INDEX('Master Data'!$M$2:$M$2436,MATCH($B$3&amp;"|3|"&amp;H$44&amp;"|"&amp;$A48,'Master Data'!$A$2:$A$2436,0)),"")</f>
        <v>Kids  2/4
coach: Irvan</v>
      </c>
      <c r="T48" s="61" t="str">
        <f aca="false">IFERROR(INDEX('Master Data'!$L$2:$L$2436,MATCH($B$3&amp;"|3|"&amp;B$44&amp;"|"&amp;$A48,'Master Data'!$A$2:$A$2436,0)),"")</f>
        <v>Belum terisi</v>
      </c>
      <c r="U48" s="61" t="str">
        <f aca="false">IFERROR(INDEX('Master Data'!$L$2:$L$2436,MATCH($B$3&amp;"|3|"&amp;C$44&amp;"|"&amp;$A48,'Master Data'!$A$2:$A$2436,0)),"")</f>
        <v>Belum terisi</v>
      </c>
      <c r="V48" s="61" t="str">
        <f aca="false">IFERROR(INDEX('Master Data'!$L$2:$L$2436,MATCH($B$3&amp;"|3|"&amp;D$44&amp;"|"&amp;$A48,'Master Data'!$A$2:$A$2436,0)),"")</f>
        <v>Belum terisi</v>
      </c>
      <c r="W48" s="61" t="str">
        <f aca="false">IFERROR(INDEX('Master Data'!$L$2:$L$2436,MATCH($B$3&amp;"|3|"&amp;E$44&amp;"|"&amp;$A48,'Master Data'!$A$2:$A$2436,0)),"")</f>
        <v>Belum terisi</v>
      </c>
      <c r="X48" s="61" t="str">
        <f aca="false">IFERROR(INDEX('Master Data'!$L$2:$L$2436,MATCH($B$3&amp;"|3|"&amp;F$44&amp;"|"&amp;$A48,'Master Data'!$A$2:$A$2436,0)),"")</f>
        <v>Belum terisi</v>
      </c>
      <c r="Y48" s="61" t="str">
        <f aca="false">IFERROR(INDEX('Master Data'!$L$2:$L$2436,MATCH($B$3&amp;"|3|"&amp;G$44&amp;"|"&amp;$A48,'Master Data'!$A$2:$A$2436,0)),"")</f>
        <v>Belum terisi</v>
      </c>
      <c r="Z48" s="61" t="str">
        <f aca="false">IFERROR(INDEX('Master Data'!$L$2:$L$2436,MATCH($B$3&amp;"|3|"&amp;H$44&amp;"|"&amp;$A48,'Master Data'!$A$2:$A$2436,0)),"")</f>
        <v>Sebagian</v>
      </c>
    </row>
    <row r="49" customFormat="false" ht="30" hidden="false" customHeight="true" outlineLevel="0" collapsed="false">
      <c r="A49" s="59" t="s">
        <v>100</v>
      </c>
      <c r="B49" s="60" t="str">
        <f aca="false">IFERROR(INDEX('Master Data'!$M$2:$M$2436,MATCH($B$3&amp;"|3|"&amp;B$44&amp;"|"&amp;$A49,'Master Data'!$A$2:$A$2436,0)),"")</f>
        <v>Kids  0/4
coach: –</v>
      </c>
      <c r="C49" s="60" t="str">
        <f aca="false">IFERROR(INDEX('Master Data'!$M$2:$M$2436,MATCH($B$3&amp;"|3|"&amp;C$44&amp;"|"&amp;$A49,'Master Data'!$A$2:$A$2436,0)),"")</f>
        <v>Kids  0/4
coach: Soon Book Coach Irvan</v>
      </c>
      <c r="D49" s="60" t="str">
        <f aca="false">IFERROR(INDEX('Master Data'!$M$2:$M$2436,MATCH($B$3&amp;"|3|"&amp;D$44&amp;"|"&amp;$A49,'Master Data'!$A$2:$A$2436,0)),"")</f>
        <v>Kids  0/4
coach: –</v>
      </c>
      <c r="E49" s="60" t="str">
        <f aca="false">IFERROR(INDEX('Master Data'!$M$2:$M$2436,MATCH($B$3&amp;"|3|"&amp;E$44&amp;"|"&amp;$A49,'Master Data'!$A$2:$A$2436,0)),"")</f>
        <v>Kids  0/4
coach: –</v>
      </c>
      <c r="F49" s="60" t="str">
        <f aca="false">IFERROR(INDEX('Master Data'!$M$2:$M$2436,MATCH($B$3&amp;"|3|"&amp;F$44&amp;"|"&amp;$A49,'Master Data'!$A$2:$A$2436,0)),"")</f>
        <v>Kids  0/4
coach: –</v>
      </c>
      <c r="G49" s="60" t="str">
        <f aca="false">IFERROR(INDEX('Master Data'!$M$2:$M$2436,MATCH($B$3&amp;"|3|"&amp;G$44&amp;"|"&amp;$A49,'Master Data'!$A$2:$A$2436,0)),"")</f>
        <v>Kids  0/4
coach: –</v>
      </c>
      <c r="H49" s="60" t="str">
        <f aca="false">IFERROR(INDEX('Master Data'!$M$2:$M$2436,MATCH($B$3&amp;"|3|"&amp;H$44&amp;"|"&amp;$A49,'Master Data'!$A$2:$A$2436,0)),"")</f>
        <v>Kids  1/4
coach: Iqbal</v>
      </c>
      <c r="T49" s="61" t="str">
        <f aca="false">IFERROR(INDEX('Master Data'!$L$2:$L$2436,MATCH($B$3&amp;"|3|"&amp;B$44&amp;"|"&amp;$A49,'Master Data'!$A$2:$A$2436,0)),"")</f>
        <v>Belum terisi</v>
      </c>
      <c r="U49" s="61" t="str">
        <f aca="false">IFERROR(INDEX('Master Data'!$L$2:$L$2436,MATCH($B$3&amp;"|3|"&amp;C$44&amp;"|"&amp;$A49,'Master Data'!$A$2:$A$2436,0)),"")</f>
        <v>Belum terisi</v>
      </c>
      <c r="V49" s="61" t="str">
        <f aca="false">IFERROR(INDEX('Master Data'!$L$2:$L$2436,MATCH($B$3&amp;"|3|"&amp;D$44&amp;"|"&amp;$A49,'Master Data'!$A$2:$A$2436,0)),"")</f>
        <v>Belum terisi</v>
      </c>
      <c r="W49" s="61" t="str">
        <f aca="false">IFERROR(INDEX('Master Data'!$L$2:$L$2436,MATCH($B$3&amp;"|3|"&amp;E$44&amp;"|"&amp;$A49,'Master Data'!$A$2:$A$2436,0)),"")</f>
        <v>Belum terisi</v>
      </c>
      <c r="X49" s="61" t="str">
        <f aca="false">IFERROR(INDEX('Master Data'!$L$2:$L$2436,MATCH($B$3&amp;"|3|"&amp;F$44&amp;"|"&amp;$A49,'Master Data'!$A$2:$A$2436,0)),"")</f>
        <v>Belum terisi</v>
      </c>
      <c r="Y49" s="61" t="str">
        <f aca="false">IFERROR(INDEX('Master Data'!$L$2:$L$2436,MATCH($B$3&amp;"|3|"&amp;G$44&amp;"|"&amp;$A49,'Master Data'!$A$2:$A$2436,0)),"")</f>
        <v>Belum terisi</v>
      </c>
      <c r="Z49" s="61" t="str">
        <f aca="false">IFERROR(INDEX('Master Data'!$L$2:$L$2436,MATCH($B$3&amp;"|3|"&amp;H$44&amp;"|"&amp;$A49,'Master Data'!$A$2:$A$2436,0)),"")</f>
        <v>Sebagian</v>
      </c>
    </row>
    <row r="50" customFormat="false" ht="30" hidden="false" customHeight="true" outlineLevel="0" collapsed="false">
      <c r="A50" s="59" t="s">
        <v>101</v>
      </c>
      <c r="B50" s="60" t="str">
        <f aca="false">IFERROR(INDEX('Master Data'!$M$2:$M$2436,MATCH($B$3&amp;"|3|"&amp;B$44&amp;"|"&amp;$A50,'Master Data'!$A$2:$A$2436,0)),"")</f>
        <v>Kids  0/4
coach: –</v>
      </c>
      <c r="C50" s="60" t="str">
        <f aca="false">IFERROR(INDEX('Master Data'!$M$2:$M$2436,MATCH($B$3&amp;"|3|"&amp;C$44&amp;"|"&amp;$A50,'Master Data'!$A$2:$A$2436,0)),"")</f>
        <v>Kids  0/4
coach: –</v>
      </c>
      <c r="D50" s="60" t="str">
        <f aca="false">IFERROR(INDEX('Master Data'!$M$2:$M$2436,MATCH($B$3&amp;"|3|"&amp;D$44&amp;"|"&amp;$A50,'Master Data'!$A$2:$A$2436,0)),"")</f>
        <v>Kids  0/4
coach: –</v>
      </c>
      <c r="E50" s="60" t="str">
        <f aca="false">IFERROR(INDEX('Master Data'!$M$2:$M$2436,MATCH($B$3&amp;"|3|"&amp;E$44&amp;"|"&amp;$A50,'Master Data'!$A$2:$A$2436,0)),"")</f>
        <v>Kids  0/4
coach: –</v>
      </c>
      <c r="F50" s="60" t="str">
        <f aca="false">IFERROR(INDEX('Master Data'!$M$2:$M$2436,MATCH($B$3&amp;"|3|"&amp;F$44&amp;"|"&amp;$A50,'Master Data'!$A$2:$A$2436,0)),"")</f>
        <v>Kids  0/4
coach: –</v>
      </c>
      <c r="G50" s="60" t="str">
        <f aca="false">IFERROR(INDEX('Master Data'!$M$2:$M$2436,MATCH($B$3&amp;"|3|"&amp;G$44&amp;"|"&amp;$A50,'Master Data'!$A$2:$A$2436,0)),"")</f>
        <v>Kids  0/4
coach: –</v>
      </c>
      <c r="H50" s="60" t="str">
        <f aca="false">IFERROR(INDEX('Master Data'!$M$2:$M$2436,MATCH($B$3&amp;"|3|"&amp;H$44&amp;"|"&amp;$A50,'Master Data'!$A$2:$A$2436,0)),"")</f>
        <v>Kids  0/4
coach: –</v>
      </c>
      <c r="T50" s="61" t="str">
        <f aca="false">IFERROR(INDEX('Master Data'!$L$2:$L$2436,MATCH($B$3&amp;"|3|"&amp;B$44&amp;"|"&amp;$A50,'Master Data'!$A$2:$A$2436,0)),"")</f>
        <v>Belum terisi</v>
      </c>
      <c r="U50" s="61" t="str">
        <f aca="false">IFERROR(INDEX('Master Data'!$L$2:$L$2436,MATCH($B$3&amp;"|3|"&amp;C$44&amp;"|"&amp;$A50,'Master Data'!$A$2:$A$2436,0)),"")</f>
        <v>Belum terisi</v>
      </c>
      <c r="V50" s="61" t="str">
        <f aca="false">IFERROR(INDEX('Master Data'!$L$2:$L$2436,MATCH($B$3&amp;"|3|"&amp;D$44&amp;"|"&amp;$A50,'Master Data'!$A$2:$A$2436,0)),"")</f>
        <v>Belum terisi</v>
      </c>
      <c r="W50" s="61" t="str">
        <f aca="false">IFERROR(INDEX('Master Data'!$L$2:$L$2436,MATCH($B$3&amp;"|3|"&amp;E$44&amp;"|"&amp;$A50,'Master Data'!$A$2:$A$2436,0)),"")</f>
        <v>Belum terisi</v>
      </c>
      <c r="X50" s="61" t="str">
        <f aca="false">IFERROR(INDEX('Master Data'!$L$2:$L$2436,MATCH($B$3&amp;"|3|"&amp;F$44&amp;"|"&amp;$A50,'Master Data'!$A$2:$A$2436,0)),"")</f>
        <v>Belum terisi</v>
      </c>
      <c r="Y50" s="61" t="str">
        <f aca="false">IFERROR(INDEX('Master Data'!$L$2:$L$2436,MATCH($B$3&amp;"|3|"&amp;G$44&amp;"|"&amp;$A50,'Master Data'!$A$2:$A$2436,0)),"")</f>
        <v>Belum terisi</v>
      </c>
      <c r="Z50" s="61" t="str">
        <f aca="false">IFERROR(INDEX('Master Data'!$L$2:$L$2436,MATCH($B$3&amp;"|3|"&amp;H$44&amp;"|"&amp;$A50,'Master Data'!$A$2:$A$2436,0)),"")</f>
        <v>Belum terisi</v>
      </c>
    </row>
    <row r="51" customFormat="false" ht="30" hidden="false" customHeight="true" outlineLevel="0" collapsed="false">
      <c r="A51" s="59" t="s">
        <v>102</v>
      </c>
      <c r="B51" s="60" t="str">
        <f aca="false">IFERROR(INDEX('Master Data'!$M$2:$M$2436,MATCH($B$3&amp;"|3|"&amp;B$44&amp;"|"&amp;$A51,'Master Data'!$A$2:$A$2436,0)),"")</f>
        <v>Kids  0/4
coach: –</v>
      </c>
      <c r="C51" s="60" t="str">
        <f aca="false">IFERROR(INDEX('Master Data'!$M$2:$M$2436,MATCH($B$3&amp;"|3|"&amp;C$44&amp;"|"&amp;$A51,'Master Data'!$A$2:$A$2436,0)),"")</f>
        <v>Kids  0/4
coach: –</v>
      </c>
      <c r="D51" s="60" t="str">
        <f aca="false">IFERROR(INDEX('Master Data'!$M$2:$M$2436,MATCH($B$3&amp;"|3|"&amp;D$44&amp;"|"&amp;$A51,'Master Data'!$A$2:$A$2436,0)),"")</f>
        <v>Kids  0/4
coach: –</v>
      </c>
      <c r="E51" s="60" t="str">
        <f aca="false">IFERROR(INDEX('Master Data'!$M$2:$M$2436,MATCH($B$3&amp;"|3|"&amp;E$44&amp;"|"&amp;$A51,'Master Data'!$A$2:$A$2436,0)),"")</f>
        <v>Kids  1/4
coach: Adam</v>
      </c>
      <c r="F51" s="60" t="str">
        <f aca="false">IFERROR(INDEX('Master Data'!$M$2:$M$2436,MATCH($B$3&amp;"|3|"&amp;F$44&amp;"|"&amp;$A51,'Master Data'!$A$2:$A$2436,0)),"")</f>
        <v>Kids  0/4
coach: –</v>
      </c>
      <c r="G51" s="60" t="str">
        <f aca="false">IFERROR(INDEX('Master Data'!$M$2:$M$2436,MATCH($B$3&amp;"|3|"&amp;G$44&amp;"|"&amp;$A51,'Master Data'!$A$2:$A$2436,0)),"")</f>
        <v>Kids  0/4
coach: –</v>
      </c>
      <c r="H51" s="60" t="str">
        <f aca="false">IFERROR(INDEX('Master Data'!$M$2:$M$2436,MATCH($B$3&amp;"|3|"&amp;H$44&amp;"|"&amp;$A51,'Master Data'!$A$2:$A$2436,0)),"")</f>
        <v>Kids  0/4
coach: –</v>
      </c>
      <c r="T51" s="61" t="str">
        <f aca="false">IFERROR(INDEX('Master Data'!$L$2:$L$2436,MATCH($B$3&amp;"|3|"&amp;B$44&amp;"|"&amp;$A51,'Master Data'!$A$2:$A$2436,0)),"")</f>
        <v>Belum terisi</v>
      </c>
      <c r="U51" s="61" t="str">
        <f aca="false">IFERROR(INDEX('Master Data'!$L$2:$L$2436,MATCH($B$3&amp;"|3|"&amp;C$44&amp;"|"&amp;$A51,'Master Data'!$A$2:$A$2436,0)),"")</f>
        <v>Belum terisi</v>
      </c>
      <c r="V51" s="61" t="str">
        <f aca="false">IFERROR(INDEX('Master Data'!$L$2:$L$2436,MATCH($B$3&amp;"|3|"&amp;D$44&amp;"|"&amp;$A51,'Master Data'!$A$2:$A$2436,0)),"")</f>
        <v>Belum terisi</v>
      </c>
      <c r="W51" s="61" t="str">
        <f aca="false">IFERROR(INDEX('Master Data'!$L$2:$L$2436,MATCH($B$3&amp;"|3|"&amp;E$44&amp;"|"&amp;$A51,'Master Data'!$A$2:$A$2436,0)),"")</f>
        <v>Sebagian</v>
      </c>
      <c r="X51" s="61" t="str">
        <f aca="false">IFERROR(INDEX('Master Data'!$L$2:$L$2436,MATCH($B$3&amp;"|3|"&amp;F$44&amp;"|"&amp;$A51,'Master Data'!$A$2:$A$2436,0)),"")</f>
        <v>Belum terisi</v>
      </c>
      <c r="Y51" s="61" t="str">
        <f aca="false">IFERROR(INDEX('Master Data'!$L$2:$L$2436,MATCH($B$3&amp;"|3|"&amp;G$44&amp;"|"&amp;$A51,'Master Data'!$A$2:$A$2436,0)),"")</f>
        <v>Belum terisi</v>
      </c>
      <c r="Z51" s="61" t="str">
        <f aca="false">IFERROR(INDEX('Master Data'!$L$2:$L$2436,MATCH($B$3&amp;"|3|"&amp;H$44&amp;"|"&amp;$A51,'Master Data'!$A$2:$A$2436,0)),"")</f>
        <v>Belum terisi</v>
      </c>
    </row>
    <row r="52" customFormat="false" ht="30" hidden="false" customHeight="true" outlineLevel="0" collapsed="false">
      <c r="A52" s="59" t="s">
        <v>103</v>
      </c>
      <c r="B52" s="60" t="str">
        <f aca="false">IFERROR(INDEX('Master Data'!$M$2:$M$2436,MATCH($B$3&amp;"|3|"&amp;B$44&amp;"|"&amp;$A52,'Master Data'!$A$2:$A$2436,0)),"")</f>
        <v>Kids  1/4
coach: Iqbal</v>
      </c>
      <c r="C52" s="60" t="str">
        <f aca="false">IFERROR(INDEX('Master Data'!$M$2:$M$2436,MATCH($B$3&amp;"|3|"&amp;C$44&amp;"|"&amp;$A52,'Master Data'!$A$2:$A$2436,0)),"")</f>
        <v>Kids  1/4
coach: Iqbal</v>
      </c>
      <c r="D52" s="60" t="str">
        <f aca="false">IFERROR(INDEX('Master Data'!$M$2:$M$2436,MATCH($B$3&amp;"|3|"&amp;D$44&amp;"|"&amp;$A52,'Master Data'!$A$2:$A$2436,0)),"")</f>
        <v>Kids  0/4
coach: –</v>
      </c>
      <c r="E52" s="60" t="str">
        <f aca="false">IFERROR(INDEX('Master Data'!$M$2:$M$2436,MATCH($B$3&amp;"|3|"&amp;E$44&amp;"|"&amp;$A52,'Master Data'!$A$2:$A$2436,0)),"")</f>
        <v>Kids  3/4
coach: Adam</v>
      </c>
      <c r="F52" s="60" t="str">
        <f aca="false">IFERROR(INDEX('Master Data'!$M$2:$M$2436,MATCH($B$3&amp;"|3|"&amp;F$44&amp;"|"&amp;$A52,'Master Data'!$A$2:$A$2436,0)),"")</f>
        <v>Kids  0/4
coach: –</v>
      </c>
      <c r="G52" s="60" t="str">
        <f aca="false">IFERROR(INDEX('Master Data'!$M$2:$M$2436,MATCH($B$3&amp;"|3|"&amp;G$44&amp;"|"&amp;$A52,'Master Data'!$A$2:$A$2436,0)),"")</f>
        <v>Kids  2/4
coach: Irvan</v>
      </c>
      <c r="H52" s="60" t="str">
        <f aca="false">IFERROR(INDEX('Master Data'!$M$2:$M$2436,MATCH($B$3&amp;"|3|"&amp;H$44&amp;"|"&amp;$A52,'Master Data'!$A$2:$A$2436,0)),"")</f>
        <v>Kids  2/4
coach: Adam</v>
      </c>
      <c r="T52" s="61" t="str">
        <f aca="false">IFERROR(INDEX('Master Data'!$L$2:$L$2436,MATCH($B$3&amp;"|3|"&amp;B$44&amp;"|"&amp;$A52,'Master Data'!$A$2:$A$2436,0)),"")</f>
        <v>Sebagian</v>
      </c>
      <c r="U52" s="61" t="str">
        <f aca="false">IFERROR(INDEX('Master Data'!$L$2:$L$2436,MATCH($B$3&amp;"|3|"&amp;C$44&amp;"|"&amp;$A52,'Master Data'!$A$2:$A$2436,0)),"")</f>
        <v>Sebagian</v>
      </c>
      <c r="V52" s="61" t="str">
        <f aca="false">IFERROR(INDEX('Master Data'!$L$2:$L$2436,MATCH($B$3&amp;"|3|"&amp;D$44&amp;"|"&amp;$A52,'Master Data'!$A$2:$A$2436,0)),"")</f>
        <v>Belum terisi</v>
      </c>
      <c r="W52" s="61" t="str">
        <f aca="false">IFERROR(INDEX('Master Data'!$L$2:$L$2436,MATCH($B$3&amp;"|3|"&amp;E$44&amp;"|"&amp;$A52,'Master Data'!$A$2:$A$2436,0)),"")</f>
        <v>Sebagian</v>
      </c>
      <c r="X52" s="61" t="str">
        <f aca="false">IFERROR(INDEX('Master Data'!$L$2:$L$2436,MATCH($B$3&amp;"|3|"&amp;F$44&amp;"|"&amp;$A52,'Master Data'!$A$2:$A$2436,0)),"")</f>
        <v>Belum terisi</v>
      </c>
      <c r="Y52" s="61" t="str">
        <f aca="false">IFERROR(INDEX('Master Data'!$L$2:$L$2436,MATCH($B$3&amp;"|3|"&amp;G$44&amp;"|"&amp;$A52,'Master Data'!$A$2:$A$2436,0)),"")</f>
        <v>Sebagian</v>
      </c>
      <c r="Z52" s="61" t="str">
        <f aca="false">IFERROR(INDEX('Master Data'!$L$2:$L$2436,MATCH($B$3&amp;"|3|"&amp;H$44&amp;"|"&amp;$A52,'Master Data'!$A$2:$A$2436,0)),"")</f>
        <v>Sebagian</v>
      </c>
    </row>
    <row r="53" customFormat="false" ht="30" hidden="false" customHeight="true" outlineLevel="0" collapsed="false">
      <c r="A53" s="59" t="s">
        <v>104</v>
      </c>
      <c r="B53" s="60" t="str">
        <f aca="false">IFERROR(INDEX('Master Data'!$M$2:$M$2436,MATCH($B$3&amp;"|3|"&amp;B$44&amp;"|"&amp;$A53,'Master Data'!$A$2:$A$2436,0)),"")</f>
        <v>Kids  1/4
coach: Irvan</v>
      </c>
      <c r="C53" s="60" t="str">
        <f aca="false">IFERROR(INDEX('Master Data'!$M$2:$M$2436,MATCH($B$3&amp;"|3|"&amp;C$44&amp;"|"&amp;$A53,'Master Data'!$A$2:$A$2436,0)),"")</f>
        <v>Kids  2/4
coach: Iqbal</v>
      </c>
      <c r="D53" s="60" t="str">
        <f aca="false">IFERROR(INDEX('Master Data'!$M$2:$M$2436,MATCH($B$3&amp;"|3|"&amp;D$44&amp;"|"&amp;$A53,'Master Data'!$A$2:$A$2436,0)),"")</f>
        <v>Kids  0/4
coach: –</v>
      </c>
      <c r="E53" s="60" t="str">
        <f aca="false">IFERROR(INDEX('Master Data'!$M$2:$M$2436,MATCH($B$3&amp;"|3|"&amp;E$44&amp;"|"&amp;$A53,'Master Data'!$A$2:$A$2436,0)),"")</f>
        <v>Kids  0/4
coach: –</v>
      </c>
      <c r="F53" s="60" t="str">
        <f aca="false">IFERROR(INDEX('Master Data'!$M$2:$M$2436,MATCH($B$3&amp;"|3|"&amp;F$44&amp;"|"&amp;$A53,'Master Data'!$A$2:$A$2436,0)),"")</f>
        <v>Kids  0/4
coach: –</v>
      </c>
      <c r="G53" s="60" t="str">
        <f aca="false">IFERROR(INDEX('Master Data'!$M$2:$M$2436,MATCH($B$3&amp;"|3|"&amp;G$44&amp;"|"&amp;$A53,'Master Data'!$A$2:$A$2436,0)),"")</f>
        <v>Kids  3/4
coach: Irvan</v>
      </c>
      <c r="H53" s="60" t="str">
        <f aca="false">IFERROR(INDEX('Master Data'!$M$2:$M$2436,MATCH($B$3&amp;"|3|"&amp;H$44&amp;"|"&amp;$A53,'Master Data'!$A$2:$A$2436,0)),"")</f>
        <v>Kids  1/4
coach: Iqbal</v>
      </c>
      <c r="T53" s="61" t="str">
        <f aca="false">IFERROR(INDEX('Master Data'!$L$2:$L$2436,MATCH($B$3&amp;"|3|"&amp;B$44&amp;"|"&amp;$A53,'Master Data'!$A$2:$A$2436,0)),"")</f>
        <v>Sebagian</v>
      </c>
      <c r="U53" s="61" t="str">
        <f aca="false">IFERROR(INDEX('Master Data'!$L$2:$L$2436,MATCH($B$3&amp;"|3|"&amp;C$44&amp;"|"&amp;$A53,'Master Data'!$A$2:$A$2436,0)),"")</f>
        <v>Sebagian</v>
      </c>
      <c r="V53" s="61" t="str">
        <f aca="false">IFERROR(INDEX('Master Data'!$L$2:$L$2436,MATCH($B$3&amp;"|3|"&amp;D$44&amp;"|"&amp;$A53,'Master Data'!$A$2:$A$2436,0)),"")</f>
        <v>Belum terisi</v>
      </c>
      <c r="W53" s="61" t="str">
        <f aca="false">IFERROR(INDEX('Master Data'!$L$2:$L$2436,MATCH($B$3&amp;"|3|"&amp;E$44&amp;"|"&amp;$A53,'Master Data'!$A$2:$A$2436,0)),"")</f>
        <v>Belum terisi</v>
      </c>
      <c r="X53" s="61" t="str">
        <f aca="false">IFERROR(INDEX('Master Data'!$L$2:$L$2436,MATCH($B$3&amp;"|3|"&amp;F$44&amp;"|"&amp;$A53,'Master Data'!$A$2:$A$2436,0)),"")</f>
        <v>Belum terisi</v>
      </c>
      <c r="Y53" s="61" t="str">
        <f aca="false">IFERROR(INDEX('Master Data'!$L$2:$L$2436,MATCH($B$3&amp;"|3|"&amp;G$44&amp;"|"&amp;$A53,'Master Data'!$A$2:$A$2436,0)),"")</f>
        <v>Sebagian</v>
      </c>
      <c r="Z53" s="61" t="str">
        <f aca="false">IFERROR(INDEX('Master Data'!$L$2:$L$2436,MATCH($B$3&amp;"|3|"&amp;H$44&amp;"|"&amp;$A53,'Master Data'!$A$2:$A$2436,0)),"")</f>
        <v>Sebagian</v>
      </c>
    </row>
    <row r="54" customFormat="false" ht="30" hidden="false" customHeight="true" outlineLevel="0" collapsed="false">
      <c r="A54" s="59" t="s">
        <v>105</v>
      </c>
      <c r="B54" s="60" t="str">
        <f aca="false">IFERROR(INDEX('Master Data'!$M$2:$M$2436,MATCH($B$3&amp;"|3|"&amp;B$44&amp;"|"&amp;$A54,'Master Data'!$A$2:$A$2436,0)),"")</f>
        <v>Kids  1/4
coach: Iqbal</v>
      </c>
      <c r="C54" s="60" t="str">
        <f aca="false">IFERROR(INDEX('Master Data'!$M$2:$M$2436,MATCH($B$3&amp;"|3|"&amp;C$44&amp;"|"&amp;$A54,'Master Data'!$A$2:$A$2436,0)),"")</f>
        <v>Kids  0/4
coach: –</v>
      </c>
      <c r="D54" s="60" t="str">
        <f aca="false">IFERROR(INDEX('Master Data'!$M$2:$M$2436,MATCH($B$3&amp;"|3|"&amp;D$44&amp;"|"&amp;$A54,'Master Data'!$A$2:$A$2436,0)),"")</f>
        <v>Kids  1/4
coach: Hanif</v>
      </c>
      <c r="E54" s="60" t="str">
        <f aca="false">IFERROR(INDEX('Master Data'!$M$2:$M$2436,MATCH($B$3&amp;"|3|"&amp;E$44&amp;"|"&amp;$A54,'Master Data'!$A$2:$A$2436,0)),"")</f>
        <v>Kids  0/4
coach: –</v>
      </c>
      <c r="F54" s="60" t="str">
        <f aca="false">IFERROR(INDEX('Master Data'!$M$2:$M$2436,MATCH($B$3&amp;"|3|"&amp;F$44&amp;"|"&amp;$A54,'Master Data'!$A$2:$A$2436,0)),"")</f>
        <v>Kids  0/4
coach: –</v>
      </c>
      <c r="G54" s="60" t="str">
        <f aca="false">IFERROR(INDEX('Master Data'!$M$2:$M$2436,MATCH($B$3&amp;"|3|"&amp;G$44&amp;"|"&amp;$A54,'Master Data'!$A$2:$A$2436,0)),"")</f>
        <v>Kids  0/4
coach: –</v>
      </c>
      <c r="H54" s="60" t="str">
        <f aca="false">IFERROR(INDEX('Master Data'!$M$2:$M$2436,MATCH($B$3&amp;"|3|"&amp;H$44&amp;"|"&amp;$A54,'Master Data'!$A$2:$A$2436,0)),"")</f>
        <v>Kids  1/4
coach: Irvan</v>
      </c>
      <c r="T54" s="61" t="str">
        <f aca="false">IFERROR(INDEX('Master Data'!$L$2:$L$2436,MATCH($B$3&amp;"|3|"&amp;B$44&amp;"|"&amp;$A54,'Master Data'!$A$2:$A$2436,0)),"")</f>
        <v>Sebagian</v>
      </c>
      <c r="U54" s="61" t="str">
        <f aca="false">IFERROR(INDEX('Master Data'!$L$2:$L$2436,MATCH($B$3&amp;"|3|"&amp;C$44&amp;"|"&amp;$A54,'Master Data'!$A$2:$A$2436,0)),"")</f>
        <v>Belum terisi</v>
      </c>
      <c r="V54" s="61" t="str">
        <f aca="false">IFERROR(INDEX('Master Data'!$L$2:$L$2436,MATCH($B$3&amp;"|3|"&amp;D$44&amp;"|"&amp;$A54,'Master Data'!$A$2:$A$2436,0)),"")</f>
        <v>Sebagian</v>
      </c>
      <c r="W54" s="61" t="str">
        <f aca="false">IFERROR(INDEX('Master Data'!$L$2:$L$2436,MATCH($B$3&amp;"|3|"&amp;E$44&amp;"|"&amp;$A54,'Master Data'!$A$2:$A$2436,0)),"")</f>
        <v>Belum terisi</v>
      </c>
      <c r="X54" s="61" t="str">
        <f aca="false">IFERROR(INDEX('Master Data'!$L$2:$L$2436,MATCH($B$3&amp;"|3|"&amp;F$44&amp;"|"&amp;$A54,'Master Data'!$A$2:$A$2436,0)),"")</f>
        <v>Belum terisi</v>
      </c>
      <c r="Y54" s="61" t="str">
        <f aca="false">IFERROR(INDEX('Master Data'!$L$2:$L$2436,MATCH($B$3&amp;"|3|"&amp;G$44&amp;"|"&amp;$A54,'Master Data'!$A$2:$A$2436,0)),"")</f>
        <v>Belum terisi</v>
      </c>
      <c r="Z54" s="61" t="str">
        <f aca="false">IFERROR(INDEX('Master Data'!$L$2:$L$2436,MATCH($B$3&amp;"|3|"&amp;H$44&amp;"|"&amp;$A54,'Master Data'!$A$2:$A$2436,0)),"")</f>
        <v>Sebagian</v>
      </c>
    </row>
    <row r="55" customFormat="false" ht="30" hidden="false" customHeight="true" outlineLevel="0" collapsed="false">
      <c r="A55" s="59" t="s">
        <v>106</v>
      </c>
      <c r="B55" s="60" t="str">
        <f aca="false">IFERROR(INDEX('Master Data'!$M$2:$M$2436,MATCH($B$3&amp;"|3|"&amp;B$44&amp;"|"&amp;$A55,'Master Data'!$A$2:$A$2436,0)),"")</f>
        <v>Kids  2/4
coach: Iqbal</v>
      </c>
      <c r="C55" s="60" t="str">
        <f aca="false">IFERROR(INDEX('Master Data'!$M$2:$M$2436,MATCH($B$3&amp;"|3|"&amp;C$44&amp;"|"&amp;$A55,'Master Data'!$A$2:$A$2436,0)),"")</f>
        <v>Kids  0/4
coach: –</v>
      </c>
      <c r="D55" s="60" t="str">
        <f aca="false">IFERROR(INDEX('Master Data'!$M$2:$M$2436,MATCH($B$3&amp;"|3|"&amp;D$44&amp;"|"&amp;$A55,'Master Data'!$A$2:$A$2436,0)),"")</f>
        <v>Kids  0/4
coach: –</v>
      </c>
      <c r="E55" s="60" t="str">
        <f aca="false">IFERROR(INDEX('Master Data'!$M$2:$M$2436,MATCH($B$3&amp;"|3|"&amp;E$44&amp;"|"&amp;$A55,'Master Data'!$A$2:$A$2436,0)),"")</f>
        <v>Kids  0/4
coach: –</v>
      </c>
      <c r="F55" s="60" t="str">
        <f aca="false">IFERROR(INDEX('Master Data'!$M$2:$M$2436,MATCH($B$3&amp;"|3|"&amp;F$44&amp;"|"&amp;$A55,'Master Data'!$A$2:$A$2436,0)),"")</f>
        <v>Kids  3/4
coach: Adam</v>
      </c>
      <c r="G55" s="60" t="str">
        <f aca="false">IFERROR(INDEX('Master Data'!$M$2:$M$2436,MATCH($B$3&amp;"|3|"&amp;G$44&amp;"|"&amp;$A55,'Master Data'!$A$2:$A$2436,0)),"")</f>
        <v>Kids  1/4
coach: Iqbal</v>
      </c>
      <c r="H55" s="60" t="str">
        <f aca="false">IFERROR(INDEX('Master Data'!$M$2:$M$2436,MATCH($B$3&amp;"|3|"&amp;H$44&amp;"|"&amp;$A55,'Master Data'!$A$2:$A$2436,0)),"")</f>
        <v>Kids  0/4
coach: –</v>
      </c>
      <c r="T55" s="61" t="str">
        <f aca="false">IFERROR(INDEX('Master Data'!$L$2:$L$2436,MATCH($B$3&amp;"|3|"&amp;B$44&amp;"|"&amp;$A55,'Master Data'!$A$2:$A$2436,0)),"")</f>
        <v>Sebagian</v>
      </c>
      <c r="U55" s="61" t="str">
        <f aca="false">IFERROR(INDEX('Master Data'!$L$2:$L$2436,MATCH($B$3&amp;"|3|"&amp;C$44&amp;"|"&amp;$A55,'Master Data'!$A$2:$A$2436,0)),"")</f>
        <v>Belum terisi</v>
      </c>
      <c r="V55" s="61" t="str">
        <f aca="false">IFERROR(INDEX('Master Data'!$L$2:$L$2436,MATCH($B$3&amp;"|3|"&amp;D$44&amp;"|"&amp;$A55,'Master Data'!$A$2:$A$2436,0)),"")</f>
        <v>Belum terisi</v>
      </c>
      <c r="W55" s="61" t="str">
        <f aca="false">IFERROR(INDEX('Master Data'!$L$2:$L$2436,MATCH($B$3&amp;"|3|"&amp;E$44&amp;"|"&amp;$A55,'Master Data'!$A$2:$A$2436,0)),"")</f>
        <v>Belum terisi</v>
      </c>
      <c r="X55" s="61" t="str">
        <f aca="false">IFERROR(INDEX('Master Data'!$L$2:$L$2436,MATCH($B$3&amp;"|3|"&amp;F$44&amp;"|"&amp;$A55,'Master Data'!$A$2:$A$2436,0)),"")</f>
        <v>Sebagian</v>
      </c>
      <c r="Y55" s="61" t="str">
        <f aca="false">IFERROR(INDEX('Master Data'!$L$2:$L$2436,MATCH($B$3&amp;"|3|"&amp;G$44&amp;"|"&amp;$A55,'Master Data'!$A$2:$A$2436,0)),"")</f>
        <v>Sebagian</v>
      </c>
      <c r="Z55" s="61" t="str">
        <f aca="false">IFERROR(INDEX('Master Data'!$L$2:$L$2436,MATCH($B$3&amp;"|3|"&amp;H$44&amp;"|"&amp;$A55,'Master Data'!$A$2:$A$2436,0)),"")</f>
        <v>Belum terisi</v>
      </c>
    </row>
    <row r="56" customFormat="false" ht="30" hidden="false" customHeight="true" outlineLevel="0" collapsed="false">
      <c r="A56" s="59" t="s">
        <v>107</v>
      </c>
      <c r="B56" s="60" t="str">
        <f aca="false">IFERROR(INDEX('Master Data'!$M$2:$M$2436,MATCH($B$3&amp;"|3|"&amp;B$44&amp;"|"&amp;$A56,'Master Data'!$A$2:$A$2436,0)),"")</f>
        <v>Kids  0/4
coach: –</v>
      </c>
      <c r="C56" s="60" t="str">
        <f aca="false">IFERROR(INDEX('Master Data'!$M$2:$M$2436,MATCH($B$3&amp;"|3|"&amp;C$44&amp;"|"&amp;$A56,'Master Data'!$A$2:$A$2436,0)),"")</f>
        <v>Kids  2/4
coach: Irvan</v>
      </c>
      <c r="D56" s="60" t="str">
        <f aca="false">IFERROR(INDEX('Master Data'!$M$2:$M$2436,MATCH($B$3&amp;"|3|"&amp;D$44&amp;"|"&amp;$A56,'Master Data'!$A$2:$A$2436,0)),"")</f>
        <v>Kids  2/4
coach: Iqbal</v>
      </c>
      <c r="E56" s="60" t="str">
        <f aca="false">IFERROR(INDEX('Master Data'!$M$2:$M$2436,MATCH($B$3&amp;"|3|"&amp;E$44&amp;"|"&amp;$A56,'Master Data'!$A$2:$A$2436,0)),"")</f>
        <v>Kids  2/4
coach: Adam</v>
      </c>
      <c r="F56" s="60" t="str">
        <f aca="false">IFERROR(INDEX('Master Data'!$M$2:$M$2436,MATCH($B$3&amp;"|3|"&amp;F$44&amp;"|"&amp;$A56,'Master Data'!$A$2:$A$2436,0)),"")</f>
        <v>Kids  1/4
coach: Irvan</v>
      </c>
      <c r="G56" s="60" t="str">
        <f aca="false">IFERROR(INDEX('Master Data'!$M$2:$M$2436,MATCH($B$3&amp;"|3|"&amp;G$44&amp;"|"&amp;$A56,'Master Data'!$A$2:$A$2436,0)),"")</f>
        <v>Kids  0/4
coach: –</v>
      </c>
      <c r="H56" s="60" t="str">
        <f aca="false">IFERROR(INDEX('Master Data'!$M$2:$M$2436,MATCH($B$3&amp;"|3|"&amp;H$44&amp;"|"&amp;$A56,'Master Data'!$A$2:$A$2436,0)),"")</f>
        <v>Kids  0/4
coach: –</v>
      </c>
      <c r="T56" s="61" t="str">
        <f aca="false">IFERROR(INDEX('Master Data'!$L$2:$L$2436,MATCH($B$3&amp;"|3|"&amp;B$44&amp;"|"&amp;$A56,'Master Data'!$A$2:$A$2436,0)),"")</f>
        <v>Belum terisi</v>
      </c>
      <c r="U56" s="61" t="str">
        <f aca="false">IFERROR(INDEX('Master Data'!$L$2:$L$2436,MATCH($B$3&amp;"|3|"&amp;C$44&amp;"|"&amp;$A56,'Master Data'!$A$2:$A$2436,0)),"")</f>
        <v>Sebagian</v>
      </c>
      <c r="V56" s="61" t="str">
        <f aca="false">IFERROR(INDEX('Master Data'!$L$2:$L$2436,MATCH($B$3&amp;"|3|"&amp;D$44&amp;"|"&amp;$A56,'Master Data'!$A$2:$A$2436,0)),"")</f>
        <v>Sebagian</v>
      </c>
      <c r="W56" s="61" t="str">
        <f aca="false">IFERROR(INDEX('Master Data'!$L$2:$L$2436,MATCH($B$3&amp;"|3|"&amp;E$44&amp;"|"&amp;$A56,'Master Data'!$A$2:$A$2436,0)),"")</f>
        <v>Sebagian</v>
      </c>
      <c r="X56" s="61" t="str">
        <f aca="false">IFERROR(INDEX('Master Data'!$L$2:$L$2436,MATCH($B$3&amp;"|3|"&amp;F$44&amp;"|"&amp;$A56,'Master Data'!$A$2:$A$2436,0)),"")</f>
        <v>Sebagian</v>
      </c>
      <c r="Y56" s="61" t="str">
        <f aca="false">IFERROR(INDEX('Master Data'!$L$2:$L$2436,MATCH($B$3&amp;"|3|"&amp;G$44&amp;"|"&amp;$A56,'Master Data'!$A$2:$A$2436,0)),"")</f>
        <v>Belum terisi</v>
      </c>
      <c r="Z56" s="61" t="str">
        <f aca="false">IFERROR(INDEX('Master Data'!$L$2:$L$2436,MATCH($B$3&amp;"|3|"&amp;H$44&amp;"|"&amp;$A56,'Master Data'!$A$2:$A$2436,0)),"")</f>
        <v>Belum terisi</v>
      </c>
    </row>
    <row r="58" customFormat="false" ht="16.15" hidden="false" customHeight="false" outlineLevel="0" collapsed="false">
      <c r="A58" s="54" t="s">
        <v>122</v>
      </c>
      <c r="B58" s="55"/>
      <c r="C58" s="56" t="str">
        <f aca="false">"Utilisasi lane: "&amp;IFERROR(TEXT(SUMIFS('Master Data'!$H$2:$H$2436,'Master Data'!$B$2:$B$2436,$B$3,'Master Data'!$C$2:$C$2436,4,'Master Data'!$G$2:$G$2436,"&gt;0")/SUMIFS('Master Data'!$G$2:$G$2436,'Master Data'!$B$2:$B$2436,$B$3,'Master Data'!$C$2:$C$2436,4,'Master Data'!$G$2:$G$2436,"&gt;0"),"0%"),"–")&amp;"   ·   Belum terisi: "&amp;COUNTIFS('Master Data'!$B$2:$B$2436,$B$3,'Master Data'!$C$2:$C$2436,4,'Master Data'!$L$2:$L$2436,"Belum terisi")&amp;"   ·   Slot kosong: "&amp;COUNTIFS('Master Data'!$B$2:$B$2436,$B$3,'Master Data'!$C$2:$C$2436,4,'Master Data'!$L$2:$L$2436,"Slot kosong")</f>
        <v>Utilisasi lane: 0%   ·   Belum terisi: 84   ·   Slot kosong: 0</v>
      </c>
      <c r="D58" s="55"/>
      <c r="E58" s="55"/>
      <c r="F58" s="55"/>
      <c r="G58" s="55"/>
      <c r="H58" s="55"/>
    </row>
    <row r="59" customFormat="false" ht="15" hidden="false" customHeight="false" outlineLevel="0" collapsed="false">
      <c r="A59" s="57" t="s">
        <v>89</v>
      </c>
      <c r="B59" s="58" t="s">
        <v>90</v>
      </c>
      <c r="C59" s="58" t="s">
        <v>91</v>
      </c>
      <c r="D59" s="58" t="s">
        <v>92</v>
      </c>
      <c r="E59" s="58" t="s">
        <v>93</v>
      </c>
      <c r="F59" s="58" t="s">
        <v>94</v>
      </c>
      <c r="G59" s="58" t="s">
        <v>95</v>
      </c>
      <c r="H59" s="58" t="s">
        <v>78</v>
      </c>
    </row>
    <row r="60" customFormat="false" ht="30" hidden="false" customHeight="true" outlineLevel="0" collapsed="false">
      <c r="A60" s="59" t="s">
        <v>96</v>
      </c>
      <c r="B60" s="60" t="str">
        <f aca="false">IFERROR(INDEX('Master Data'!$M$2:$M$2436,MATCH($B$3&amp;"|4|"&amp;B$59&amp;"|"&amp;$A60,'Master Data'!$A$2:$A$2436,0)),"")</f>
        <v>Kids  0/4
coach: –</v>
      </c>
      <c r="C60" s="60" t="str">
        <f aca="false">IFERROR(INDEX('Master Data'!$M$2:$M$2436,MATCH($B$3&amp;"|4|"&amp;C$59&amp;"|"&amp;$A60,'Master Data'!$A$2:$A$2436,0)),"")</f>
        <v>Kids  0/4
coach: –</v>
      </c>
      <c r="D60" s="60" t="str">
        <f aca="false">IFERROR(INDEX('Master Data'!$M$2:$M$2436,MATCH($B$3&amp;"|4|"&amp;D$59&amp;"|"&amp;$A60,'Master Data'!$A$2:$A$2436,0)),"")</f>
        <v>Kids  0/4
coach: –</v>
      </c>
      <c r="E60" s="60" t="str">
        <f aca="false">IFERROR(INDEX('Master Data'!$M$2:$M$2436,MATCH($B$3&amp;"|4|"&amp;E$59&amp;"|"&amp;$A60,'Master Data'!$A$2:$A$2436,0)),"")</f>
        <v>Kids  0/4
coach: –</v>
      </c>
      <c r="F60" s="60" t="str">
        <f aca="false">IFERROR(INDEX('Master Data'!$M$2:$M$2436,MATCH($B$3&amp;"|4|"&amp;F$59&amp;"|"&amp;$A60,'Master Data'!$A$2:$A$2436,0)),"")</f>
        <v>Kids  0/4
coach: –</v>
      </c>
      <c r="G60" s="60" t="str">
        <f aca="false">IFERROR(INDEX('Master Data'!$M$2:$M$2436,MATCH($B$3&amp;"|4|"&amp;G$59&amp;"|"&amp;$A60,'Master Data'!$A$2:$A$2436,0)),"")</f>
        <v>Kids  0/4
coach: –</v>
      </c>
      <c r="H60" s="60" t="str">
        <f aca="false">IFERROR(INDEX('Master Data'!$M$2:$M$2436,MATCH($B$3&amp;"|4|"&amp;H$59&amp;"|"&amp;$A60,'Master Data'!$A$2:$A$2436,0)),"")</f>
        <v>Kids  0/4
coach: –</v>
      </c>
      <c r="T60" s="61" t="str">
        <f aca="false">IFERROR(INDEX('Master Data'!$L$2:$L$2436,MATCH($B$3&amp;"|4|"&amp;B$59&amp;"|"&amp;$A60,'Master Data'!$A$2:$A$2436,0)),"")</f>
        <v>Belum terisi</v>
      </c>
      <c r="U60" s="61" t="str">
        <f aca="false">IFERROR(INDEX('Master Data'!$L$2:$L$2436,MATCH($B$3&amp;"|4|"&amp;C$59&amp;"|"&amp;$A60,'Master Data'!$A$2:$A$2436,0)),"")</f>
        <v>Belum terisi</v>
      </c>
      <c r="V60" s="61" t="str">
        <f aca="false">IFERROR(INDEX('Master Data'!$L$2:$L$2436,MATCH($B$3&amp;"|4|"&amp;D$59&amp;"|"&amp;$A60,'Master Data'!$A$2:$A$2436,0)),"")</f>
        <v>Belum terisi</v>
      </c>
      <c r="W60" s="61" t="str">
        <f aca="false">IFERROR(INDEX('Master Data'!$L$2:$L$2436,MATCH($B$3&amp;"|4|"&amp;E$59&amp;"|"&amp;$A60,'Master Data'!$A$2:$A$2436,0)),"")</f>
        <v>Belum terisi</v>
      </c>
      <c r="X60" s="61" t="str">
        <f aca="false">IFERROR(INDEX('Master Data'!$L$2:$L$2436,MATCH($B$3&amp;"|4|"&amp;F$59&amp;"|"&amp;$A60,'Master Data'!$A$2:$A$2436,0)),"")</f>
        <v>Belum terisi</v>
      </c>
      <c r="Y60" s="61" t="str">
        <f aca="false">IFERROR(INDEX('Master Data'!$L$2:$L$2436,MATCH($B$3&amp;"|4|"&amp;G$59&amp;"|"&amp;$A60,'Master Data'!$A$2:$A$2436,0)),"")</f>
        <v>Belum terisi</v>
      </c>
      <c r="Z60" s="61" t="str">
        <f aca="false">IFERROR(INDEX('Master Data'!$L$2:$L$2436,MATCH($B$3&amp;"|4|"&amp;H$59&amp;"|"&amp;$A60,'Master Data'!$A$2:$A$2436,0)),"")</f>
        <v>Belum terisi</v>
      </c>
    </row>
    <row r="61" customFormat="false" ht="30" hidden="false" customHeight="true" outlineLevel="0" collapsed="false">
      <c r="A61" s="59" t="s">
        <v>97</v>
      </c>
      <c r="B61" s="60" t="str">
        <f aca="false">IFERROR(INDEX('Master Data'!$M$2:$M$2436,MATCH($B$3&amp;"|4|"&amp;B$59&amp;"|"&amp;$A61,'Master Data'!$A$2:$A$2436,0)),"")</f>
        <v>Kids  0/4
coach: –</v>
      </c>
      <c r="C61" s="60" t="str">
        <f aca="false">IFERROR(INDEX('Master Data'!$M$2:$M$2436,MATCH($B$3&amp;"|4|"&amp;C$59&amp;"|"&amp;$A61,'Master Data'!$A$2:$A$2436,0)),"")</f>
        <v>Kids  0/4
coach: –</v>
      </c>
      <c r="D61" s="60" t="str">
        <f aca="false">IFERROR(INDEX('Master Data'!$M$2:$M$2436,MATCH($B$3&amp;"|4|"&amp;D$59&amp;"|"&amp;$A61,'Master Data'!$A$2:$A$2436,0)),"")</f>
        <v>Kids  0/4
coach: –</v>
      </c>
      <c r="E61" s="60" t="str">
        <f aca="false">IFERROR(INDEX('Master Data'!$M$2:$M$2436,MATCH($B$3&amp;"|4|"&amp;E$59&amp;"|"&amp;$A61,'Master Data'!$A$2:$A$2436,0)),"")</f>
        <v>Kids  0/4
coach: –</v>
      </c>
      <c r="F61" s="60" t="str">
        <f aca="false">IFERROR(INDEX('Master Data'!$M$2:$M$2436,MATCH($B$3&amp;"|4|"&amp;F$59&amp;"|"&amp;$A61,'Master Data'!$A$2:$A$2436,0)),"")</f>
        <v>Kids  0/4
coach: –</v>
      </c>
      <c r="G61" s="60" t="str">
        <f aca="false">IFERROR(INDEX('Master Data'!$M$2:$M$2436,MATCH($B$3&amp;"|4|"&amp;G$59&amp;"|"&amp;$A61,'Master Data'!$A$2:$A$2436,0)),"")</f>
        <v>Kids  0/4
coach: –</v>
      </c>
      <c r="H61" s="60" t="str">
        <f aca="false">IFERROR(INDEX('Master Data'!$M$2:$M$2436,MATCH($B$3&amp;"|4|"&amp;H$59&amp;"|"&amp;$A61,'Master Data'!$A$2:$A$2436,0)),"")</f>
        <v>Kids  0/4
coach: –</v>
      </c>
      <c r="T61" s="61" t="str">
        <f aca="false">IFERROR(INDEX('Master Data'!$L$2:$L$2436,MATCH($B$3&amp;"|4|"&amp;B$59&amp;"|"&amp;$A61,'Master Data'!$A$2:$A$2436,0)),"")</f>
        <v>Belum terisi</v>
      </c>
      <c r="U61" s="61" t="str">
        <f aca="false">IFERROR(INDEX('Master Data'!$L$2:$L$2436,MATCH($B$3&amp;"|4|"&amp;C$59&amp;"|"&amp;$A61,'Master Data'!$A$2:$A$2436,0)),"")</f>
        <v>Belum terisi</v>
      </c>
      <c r="V61" s="61" t="str">
        <f aca="false">IFERROR(INDEX('Master Data'!$L$2:$L$2436,MATCH($B$3&amp;"|4|"&amp;D$59&amp;"|"&amp;$A61,'Master Data'!$A$2:$A$2436,0)),"")</f>
        <v>Belum terisi</v>
      </c>
      <c r="W61" s="61" t="str">
        <f aca="false">IFERROR(INDEX('Master Data'!$L$2:$L$2436,MATCH($B$3&amp;"|4|"&amp;E$59&amp;"|"&amp;$A61,'Master Data'!$A$2:$A$2436,0)),"")</f>
        <v>Belum terisi</v>
      </c>
      <c r="X61" s="61" t="str">
        <f aca="false">IFERROR(INDEX('Master Data'!$L$2:$L$2436,MATCH($B$3&amp;"|4|"&amp;F$59&amp;"|"&amp;$A61,'Master Data'!$A$2:$A$2436,0)),"")</f>
        <v>Belum terisi</v>
      </c>
      <c r="Y61" s="61" t="str">
        <f aca="false">IFERROR(INDEX('Master Data'!$L$2:$L$2436,MATCH($B$3&amp;"|4|"&amp;G$59&amp;"|"&amp;$A61,'Master Data'!$A$2:$A$2436,0)),"")</f>
        <v>Belum terisi</v>
      </c>
      <c r="Z61" s="61" t="str">
        <f aca="false">IFERROR(INDEX('Master Data'!$L$2:$L$2436,MATCH($B$3&amp;"|4|"&amp;H$59&amp;"|"&amp;$A61,'Master Data'!$A$2:$A$2436,0)),"")</f>
        <v>Belum terisi</v>
      </c>
    </row>
    <row r="62" customFormat="false" ht="30" hidden="false" customHeight="true" outlineLevel="0" collapsed="false">
      <c r="A62" s="59" t="s">
        <v>98</v>
      </c>
      <c r="B62" s="60" t="str">
        <f aca="false">IFERROR(INDEX('Master Data'!$M$2:$M$2436,MATCH($B$3&amp;"|4|"&amp;B$59&amp;"|"&amp;$A62,'Master Data'!$A$2:$A$2436,0)),"")</f>
        <v>Kids  0/4
coach: –</v>
      </c>
      <c r="C62" s="60" t="str">
        <f aca="false">IFERROR(INDEX('Master Data'!$M$2:$M$2436,MATCH($B$3&amp;"|4|"&amp;C$59&amp;"|"&amp;$A62,'Master Data'!$A$2:$A$2436,0)),"")</f>
        <v>Kids  0/4
coach: –</v>
      </c>
      <c r="D62" s="60" t="str">
        <f aca="false">IFERROR(INDEX('Master Data'!$M$2:$M$2436,MATCH($B$3&amp;"|4|"&amp;D$59&amp;"|"&amp;$A62,'Master Data'!$A$2:$A$2436,0)),"")</f>
        <v>Kids  0/4
coach: –</v>
      </c>
      <c r="E62" s="60" t="str">
        <f aca="false">IFERROR(INDEX('Master Data'!$M$2:$M$2436,MATCH($B$3&amp;"|4|"&amp;E$59&amp;"|"&amp;$A62,'Master Data'!$A$2:$A$2436,0)),"")</f>
        <v>Kids  0/4
coach: –</v>
      </c>
      <c r="F62" s="60" t="str">
        <f aca="false">IFERROR(INDEX('Master Data'!$M$2:$M$2436,MATCH($B$3&amp;"|4|"&amp;F$59&amp;"|"&amp;$A62,'Master Data'!$A$2:$A$2436,0)),"")</f>
        <v>Kids  0/4
coach: –</v>
      </c>
      <c r="G62" s="60" t="str">
        <f aca="false">IFERROR(INDEX('Master Data'!$M$2:$M$2436,MATCH($B$3&amp;"|4|"&amp;G$59&amp;"|"&amp;$A62,'Master Data'!$A$2:$A$2436,0)),"")</f>
        <v>Kids  0/4
coach: –</v>
      </c>
      <c r="H62" s="60" t="str">
        <f aca="false">IFERROR(INDEX('Master Data'!$M$2:$M$2436,MATCH($B$3&amp;"|4|"&amp;H$59&amp;"|"&amp;$A62,'Master Data'!$A$2:$A$2436,0)),"")</f>
        <v>Kids  0/4
coach: –</v>
      </c>
      <c r="T62" s="61" t="str">
        <f aca="false">IFERROR(INDEX('Master Data'!$L$2:$L$2436,MATCH($B$3&amp;"|4|"&amp;B$59&amp;"|"&amp;$A62,'Master Data'!$A$2:$A$2436,0)),"")</f>
        <v>Belum terisi</v>
      </c>
      <c r="U62" s="61" t="str">
        <f aca="false">IFERROR(INDEX('Master Data'!$L$2:$L$2436,MATCH($B$3&amp;"|4|"&amp;C$59&amp;"|"&amp;$A62,'Master Data'!$A$2:$A$2436,0)),"")</f>
        <v>Belum terisi</v>
      </c>
      <c r="V62" s="61" t="str">
        <f aca="false">IFERROR(INDEX('Master Data'!$L$2:$L$2436,MATCH($B$3&amp;"|4|"&amp;D$59&amp;"|"&amp;$A62,'Master Data'!$A$2:$A$2436,0)),"")</f>
        <v>Belum terisi</v>
      </c>
      <c r="W62" s="61" t="str">
        <f aca="false">IFERROR(INDEX('Master Data'!$L$2:$L$2436,MATCH($B$3&amp;"|4|"&amp;E$59&amp;"|"&amp;$A62,'Master Data'!$A$2:$A$2436,0)),"")</f>
        <v>Belum terisi</v>
      </c>
      <c r="X62" s="61" t="str">
        <f aca="false">IFERROR(INDEX('Master Data'!$L$2:$L$2436,MATCH($B$3&amp;"|4|"&amp;F$59&amp;"|"&amp;$A62,'Master Data'!$A$2:$A$2436,0)),"")</f>
        <v>Belum terisi</v>
      </c>
      <c r="Y62" s="61" t="str">
        <f aca="false">IFERROR(INDEX('Master Data'!$L$2:$L$2436,MATCH($B$3&amp;"|4|"&amp;G$59&amp;"|"&amp;$A62,'Master Data'!$A$2:$A$2436,0)),"")</f>
        <v>Belum terisi</v>
      </c>
      <c r="Z62" s="61" t="str">
        <f aca="false">IFERROR(INDEX('Master Data'!$L$2:$L$2436,MATCH($B$3&amp;"|4|"&amp;H$59&amp;"|"&amp;$A62,'Master Data'!$A$2:$A$2436,0)),"")</f>
        <v>Belum terisi</v>
      </c>
    </row>
    <row r="63" customFormat="false" ht="30" hidden="false" customHeight="true" outlineLevel="0" collapsed="false">
      <c r="A63" s="59" t="s">
        <v>99</v>
      </c>
      <c r="B63" s="60" t="str">
        <f aca="false">IFERROR(INDEX('Master Data'!$M$2:$M$2436,MATCH($B$3&amp;"|4|"&amp;B$59&amp;"|"&amp;$A63,'Master Data'!$A$2:$A$2436,0)),"")</f>
        <v>Kids  0/4
coach: –</v>
      </c>
      <c r="C63" s="60" t="str">
        <f aca="false">IFERROR(INDEX('Master Data'!$M$2:$M$2436,MATCH($B$3&amp;"|4|"&amp;C$59&amp;"|"&amp;$A63,'Master Data'!$A$2:$A$2436,0)),"")</f>
        <v>Kids  0/4
coach: –</v>
      </c>
      <c r="D63" s="60" t="str">
        <f aca="false">IFERROR(INDEX('Master Data'!$M$2:$M$2436,MATCH($B$3&amp;"|4|"&amp;D$59&amp;"|"&amp;$A63,'Master Data'!$A$2:$A$2436,0)),"")</f>
        <v>Kids  0/4
coach: –</v>
      </c>
      <c r="E63" s="60" t="str">
        <f aca="false">IFERROR(INDEX('Master Data'!$M$2:$M$2436,MATCH($B$3&amp;"|4|"&amp;E$59&amp;"|"&amp;$A63,'Master Data'!$A$2:$A$2436,0)),"")</f>
        <v>Kids  0/4
coach: –</v>
      </c>
      <c r="F63" s="60" t="str">
        <f aca="false">IFERROR(INDEX('Master Data'!$M$2:$M$2436,MATCH($B$3&amp;"|4|"&amp;F$59&amp;"|"&amp;$A63,'Master Data'!$A$2:$A$2436,0)),"")</f>
        <v>Kids  0/4
coach: –</v>
      </c>
      <c r="G63" s="60" t="str">
        <f aca="false">IFERROR(INDEX('Master Data'!$M$2:$M$2436,MATCH($B$3&amp;"|4|"&amp;G$59&amp;"|"&amp;$A63,'Master Data'!$A$2:$A$2436,0)),"")</f>
        <v>Kids  0/4
coach: –</v>
      </c>
      <c r="H63" s="60" t="str">
        <f aca="false">IFERROR(INDEX('Master Data'!$M$2:$M$2436,MATCH($B$3&amp;"|4|"&amp;H$59&amp;"|"&amp;$A63,'Master Data'!$A$2:$A$2436,0)),"")</f>
        <v>Kids  0/4
coach: –</v>
      </c>
      <c r="T63" s="61" t="str">
        <f aca="false">IFERROR(INDEX('Master Data'!$L$2:$L$2436,MATCH($B$3&amp;"|4|"&amp;B$59&amp;"|"&amp;$A63,'Master Data'!$A$2:$A$2436,0)),"")</f>
        <v>Belum terisi</v>
      </c>
      <c r="U63" s="61" t="str">
        <f aca="false">IFERROR(INDEX('Master Data'!$L$2:$L$2436,MATCH($B$3&amp;"|4|"&amp;C$59&amp;"|"&amp;$A63,'Master Data'!$A$2:$A$2436,0)),"")</f>
        <v>Belum terisi</v>
      </c>
      <c r="V63" s="61" t="str">
        <f aca="false">IFERROR(INDEX('Master Data'!$L$2:$L$2436,MATCH($B$3&amp;"|4|"&amp;D$59&amp;"|"&amp;$A63,'Master Data'!$A$2:$A$2436,0)),"")</f>
        <v>Belum terisi</v>
      </c>
      <c r="W63" s="61" t="str">
        <f aca="false">IFERROR(INDEX('Master Data'!$L$2:$L$2436,MATCH($B$3&amp;"|4|"&amp;E$59&amp;"|"&amp;$A63,'Master Data'!$A$2:$A$2436,0)),"")</f>
        <v>Belum terisi</v>
      </c>
      <c r="X63" s="61" t="str">
        <f aca="false">IFERROR(INDEX('Master Data'!$L$2:$L$2436,MATCH($B$3&amp;"|4|"&amp;F$59&amp;"|"&amp;$A63,'Master Data'!$A$2:$A$2436,0)),"")</f>
        <v>Belum terisi</v>
      </c>
      <c r="Y63" s="61" t="str">
        <f aca="false">IFERROR(INDEX('Master Data'!$L$2:$L$2436,MATCH($B$3&amp;"|4|"&amp;G$59&amp;"|"&amp;$A63,'Master Data'!$A$2:$A$2436,0)),"")</f>
        <v>Belum terisi</v>
      </c>
      <c r="Z63" s="61" t="str">
        <f aca="false">IFERROR(INDEX('Master Data'!$L$2:$L$2436,MATCH($B$3&amp;"|4|"&amp;H$59&amp;"|"&amp;$A63,'Master Data'!$A$2:$A$2436,0)),"")</f>
        <v>Belum terisi</v>
      </c>
    </row>
    <row r="64" customFormat="false" ht="30" hidden="false" customHeight="true" outlineLevel="0" collapsed="false">
      <c r="A64" s="59" t="s">
        <v>100</v>
      </c>
      <c r="B64" s="60" t="str">
        <f aca="false">IFERROR(INDEX('Master Data'!$M$2:$M$2436,MATCH($B$3&amp;"|4|"&amp;B$59&amp;"|"&amp;$A64,'Master Data'!$A$2:$A$2436,0)),"")</f>
        <v>Kids  0/4
coach: –</v>
      </c>
      <c r="C64" s="60" t="str">
        <f aca="false">IFERROR(INDEX('Master Data'!$M$2:$M$2436,MATCH($B$3&amp;"|4|"&amp;C$59&amp;"|"&amp;$A64,'Master Data'!$A$2:$A$2436,0)),"")</f>
        <v>Kids  0/4
coach: –</v>
      </c>
      <c r="D64" s="60" t="str">
        <f aca="false">IFERROR(INDEX('Master Data'!$M$2:$M$2436,MATCH($B$3&amp;"|4|"&amp;D$59&amp;"|"&amp;$A64,'Master Data'!$A$2:$A$2436,0)),"")</f>
        <v>Kids  0/4
coach: –</v>
      </c>
      <c r="E64" s="60" t="str">
        <f aca="false">IFERROR(INDEX('Master Data'!$M$2:$M$2436,MATCH($B$3&amp;"|4|"&amp;E$59&amp;"|"&amp;$A64,'Master Data'!$A$2:$A$2436,0)),"")</f>
        <v>Kids  0/4
coach: –</v>
      </c>
      <c r="F64" s="60" t="str">
        <f aca="false">IFERROR(INDEX('Master Data'!$M$2:$M$2436,MATCH($B$3&amp;"|4|"&amp;F$59&amp;"|"&amp;$A64,'Master Data'!$A$2:$A$2436,0)),"")</f>
        <v>Kids  0/4
coach: –</v>
      </c>
      <c r="G64" s="60" t="str">
        <f aca="false">IFERROR(INDEX('Master Data'!$M$2:$M$2436,MATCH($B$3&amp;"|4|"&amp;G$59&amp;"|"&amp;$A64,'Master Data'!$A$2:$A$2436,0)),"")</f>
        <v>Kids  0/4
coach: –</v>
      </c>
      <c r="H64" s="60" t="str">
        <f aca="false">IFERROR(INDEX('Master Data'!$M$2:$M$2436,MATCH($B$3&amp;"|4|"&amp;H$59&amp;"|"&amp;$A64,'Master Data'!$A$2:$A$2436,0)),"")</f>
        <v>Kids  0/4
coach: –</v>
      </c>
      <c r="T64" s="61" t="str">
        <f aca="false">IFERROR(INDEX('Master Data'!$L$2:$L$2436,MATCH($B$3&amp;"|4|"&amp;B$59&amp;"|"&amp;$A64,'Master Data'!$A$2:$A$2436,0)),"")</f>
        <v>Belum terisi</v>
      </c>
      <c r="U64" s="61" t="str">
        <f aca="false">IFERROR(INDEX('Master Data'!$L$2:$L$2436,MATCH($B$3&amp;"|4|"&amp;C$59&amp;"|"&amp;$A64,'Master Data'!$A$2:$A$2436,0)),"")</f>
        <v>Belum terisi</v>
      </c>
      <c r="V64" s="61" t="str">
        <f aca="false">IFERROR(INDEX('Master Data'!$L$2:$L$2436,MATCH($B$3&amp;"|4|"&amp;D$59&amp;"|"&amp;$A64,'Master Data'!$A$2:$A$2436,0)),"")</f>
        <v>Belum terisi</v>
      </c>
      <c r="W64" s="61" t="str">
        <f aca="false">IFERROR(INDEX('Master Data'!$L$2:$L$2436,MATCH($B$3&amp;"|4|"&amp;E$59&amp;"|"&amp;$A64,'Master Data'!$A$2:$A$2436,0)),"")</f>
        <v>Belum terisi</v>
      </c>
      <c r="X64" s="61" t="str">
        <f aca="false">IFERROR(INDEX('Master Data'!$L$2:$L$2436,MATCH($B$3&amp;"|4|"&amp;F$59&amp;"|"&amp;$A64,'Master Data'!$A$2:$A$2436,0)),"")</f>
        <v>Belum terisi</v>
      </c>
      <c r="Y64" s="61" t="str">
        <f aca="false">IFERROR(INDEX('Master Data'!$L$2:$L$2436,MATCH($B$3&amp;"|4|"&amp;G$59&amp;"|"&amp;$A64,'Master Data'!$A$2:$A$2436,0)),"")</f>
        <v>Belum terisi</v>
      </c>
      <c r="Z64" s="61" t="str">
        <f aca="false">IFERROR(INDEX('Master Data'!$L$2:$L$2436,MATCH($B$3&amp;"|4|"&amp;H$59&amp;"|"&amp;$A64,'Master Data'!$A$2:$A$2436,0)),"")</f>
        <v>Belum terisi</v>
      </c>
    </row>
    <row r="65" customFormat="false" ht="30" hidden="false" customHeight="true" outlineLevel="0" collapsed="false">
      <c r="A65" s="59" t="s">
        <v>101</v>
      </c>
      <c r="B65" s="60" t="str">
        <f aca="false">IFERROR(INDEX('Master Data'!$M$2:$M$2436,MATCH($B$3&amp;"|4|"&amp;B$59&amp;"|"&amp;$A65,'Master Data'!$A$2:$A$2436,0)),"")</f>
        <v>Kids  0/4
coach: –</v>
      </c>
      <c r="C65" s="60" t="str">
        <f aca="false">IFERROR(INDEX('Master Data'!$M$2:$M$2436,MATCH($B$3&amp;"|4|"&amp;C$59&amp;"|"&amp;$A65,'Master Data'!$A$2:$A$2436,0)),"")</f>
        <v>Kids  0/4
coach: –</v>
      </c>
      <c r="D65" s="60" t="str">
        <f aca="false">IFERROR(INDEX('Master Data'!$M$2:$M$2436,MATCH($B$3&amp;"|4|"&amp;D$59&amp;"|"&amp;$A65,'Master Data'!$A$2:$A$2436,0)),"")</f>
        <v>Kids  0/4
coach: –</v>
      </c>
      <c r="E65" s="60" t="str">
        <f aca="false">IFERROR(INDEX('Master Data'!$M$2:$M$2436,MATCH($B$3&amp;"|4|"&amp;E$59&amp;"|"&amp;$A65,'Master Data'!$A$2:$A$2436,0)),"")</f>
        <v>Kids  0/4
coach: –</v>
      </c>
      <c r="F65" s="60" t="str">
        <f aca="false">IFERROR(INDEX('Master Data'!$M$2:$M$2436,MATCH($B$3&amp;"|4|"&amp;F$59&amp;"|"&amp;$A65,'Master Data'!$A$2:$A$2436,0)),"")</f>
        <v>Kids  0/4
coach: –</v>
      </c>
      <c r="G65" s="60" t="str">
        <f aca="false">IFERROR(INDEX('Master Data'!$M$2:$M$2436,MATCH($B$3&amp;"|4|"&amp;G$59&amp;"|"&amp;$A65,'Master Data'!$A$2:$A$2436,0)),"")</f>
        <v>Kids  0/4
coach: –</v>
      </c>
      <c r="H65" s="60" t="str">
        <f aca="false">IFERROR(INDEX('Master Data'!$M$2:$M$2436,MATCH($B$3&amp;"|4|"&amp;H$59&amp;"|"&amp;$A65,'Master Data'!$A$2:$A$2436,0)),"")</f>
        <v>Kids  0/4
coach: –</v>
      </c>
      <c r="T65" s="61" t="str">
        <f aca="false">IFERROR(INDEX('Master Data'!$L$2:$L$2436,MATCH($B$3&amp;"|4|"&amp;B$59&amp;"|"&amp;$A65,'Master Data'!$A$2:$A$2436,0)),"")</f>
        <v>Belum terisi</v>
      </c>
      <c r="U65" s="61" t="str">
        <f aca="false">IFERROR(INDEX('Master Data'!$L$2:$L$2436,MATCH($B$3&amp;"|4|"&amp;C$59&amp;"|"&amp;$A65,'Master Data'!$A$2:$A$2436,0)),"")</f>
        <v>Belum terisi</v>
      </c>
      <c r="V65" s="61" t="str">
        <f aca="false">IFERROR(INDEX('Master Data'!$L$2:$L$2436,MATCH($B$3&amp;"|4|"&amp;D$59&amp;"|"&amp;$A65,'Master Data'!$A$2:$A$2436,0)),"")</f>
        <v>Belum terisi</v>
      </c>
      <c r="W65" s="61" t="str">
        <f aca="false">IFERROR(INDEX('Master Data'!$L$2:$L$2436,MATCH($B$3&amp;"|4|"&amp;E$59&amp;"|"&amp;$A65,'Master Data'!$A$2:$A$2436,0)),"")</f>
        <v>Belum terisi</v>
      </c>
      <c r="X65" s="61" t="str">
        <f aca="false">IFERROR(INDEX('Master Data'!$L$2:$L$2436,MATCH($B$3&amp;"|4|"&amp;F$59&amp;"|"&amp;$A65,'Master Data'!$A$2:$A$2436,0)),"")</f>
        <v>Belum terisi</v>
      </c>
      <c r="Y65" s="61" t="str">
        <f aca="false">IFERROR(INDEX('Master Data'!$L$2:$L$2436,MATCH($B$3&amp;"|4|"&amp;G$59&amp;"|"&amp;$A65,'Master Data'!$A$2:$A$2436,0)),"")</f>
        <v>Belum terisi</v>
      </c>
      <c r="Z65" s="61" t="str">
        <f aca="false">IFERROR(INDEX('Master Data'!$L$2:$L$2436,MATCH($B$3&amp;"|4|"&amp;H$59&amp;"|"&amp;$A65,'Master Data'!$A$2:$A$2436,0)),"")</f>
        <v>Belum terisi</v>
      </c>
    </row>
    <row r="66" customFormat="false" ht="30" hidden="false" customHeight="true" outlineLevel="0" collapsed="false">
      <c r="A66" s="59" t="s">
        <v>102</v>
      </c>
      <c r="B66" s="60" t="str">
        <f aca="false">IFERROR(INDEX('Master Data'!$M$2:$M$2436,MATCH($B$3&amp;"|4|"&amp;B$59&amp;"|"&amp;$A66,'Master Data'!$A$2:$A$2436,0)),"")</f>
        <v>Kids  0/4
coach: –</v>
      </c>
      <c r="C66" s="60" t="str">
        <f aca="false">IFERROR(INDEX('Master Data'!$M$2:$M$2436,MATCH($B$3&amp;"|4|"&amp;C$59&amp;"|"&amp;$A66,'Master Data'!$A$2:$A$2436,0)),"")</f>
        <v>Kids  0/4
coach: –</v>
      </c>
      <c r="D66" s="60" t="str">
        <f aca="false">IFERROR(INDEX('Master Data'!$M$2:$M$2436,MATCH($B$3&amp;"|4|"&amp;D$59&amp;"|"&amp;$A66,'Master Data'!$A$2:$A$2436,0)),"")</f>
        <v>Kids  0/4
coach: –</v>
      </c>
      <c r="E66" s="60" t="str">
        <f aca="false">IFERROR(INDEX('Master Data'!$M$2:$M$2436,MATCH($B$3&amp;"|4|"&amp;E$59&amp;"|"&amp;$A66,'Master Data'!$A$2:$A$2436,0)),"")</f>
        <v>Kids  0/4
coach: –</v>
      </c>
      <c r="F66" s="60" t="str">
        <f aca="false">IFERROR(INDEX('Master Data'!$M$2:$M$2436,MATCH($B$3&amp;"|4|"&amp;F$59&amp;"|"&amp;$A66,'Master Data'!$A$2:$A$2436,0)),"")</f>
        <v>Kids  0/4
coach: –</v>
      </c>
      <c r="G66" s="60" t="str">
        <f aca="false">IFERROR(INDEX('Master Data'!$M$2:$M$2436,MATCH($B$3&amp;"|4|"&amp;G$59&amp;"|"&amp;$A66,'Master Data'!$A$2:$A$2436,0)),"")</f>
        <v>Kids  0/4
coach: –</v>
      </c>
      <c r="H66" s="60" t="str">
        <f aca="false">IFERROR(INDEX('Master Data'!$M$2:$M$2436,MATCH($B$3&amp;"|4|"&amp;H$59&amp;"|"&amp;$A66,'Master Data'!$A$2:$A$2436,0)),"")</f>
        <v>Kids  0/4
coach: –</v>
      </c>
      <c r="T66" s="61" t="str">
        <f aca="false">IFERROR(INDEX('Master Data'!$L$2:$L$2436,MATCH($B$3&amp;"|4|"&amp;B$59&amp;"|"&amp;$A66,'Master Data'!$A$2:$A$2436,0)),"")</f>
        <v>Belum terisi</v>
      </c>
      <c r="U66" s="61" t="str">
        <f aca="false">IFERROR(INDEX('Master Data'!$L$2:$L$2436,MATCH($B$3&amp;"|4|"&amp;C$59&amp;"|"&amp;$A66,'Master Data'!$A$2:$A$2436,0)),"")</f>
        <v>Belum terisi</v>
      </c>
      <c r="V66" s="61" t="str">
        <f aca="false">IFERROR(INDEX('Master Data'!$L$2:$L$2436,MATCH($B$3&amp;"|4|"&amp;D$59&amp;"|"&amp;$A66,'Master Data'!$A$2:$A$2436,0)),"")</f>
        <v>Belum terisi</v>
      </c>
      <c r="W66" s="61" t="str">
        <f aca="false">IFERROR(INDEX('Master Data'!$L$2:$L$2436,MATCH($B$3&amp;"|4|"&amp;E$59&amp;"|"&amp;$A66,'Master Data'!$A$2:$A$2436,0)),"")</f>
        <v>Belum terisi</v>
      </c>
      <c r="X66" s="61" t="str">
        <f aca="false">IFERROR(INDEX('Master Data'!$L$2:$L$2436,MATCH($B$3&amp;"|4|"&amp;F$59&amp;"|"&amp;$A66,'Master Data'!$A$2:$A$2436,0)),"")</f>
        <v>Belum terisi</v>
      </c>
      <c r="Y66" s="61" t="str">
        <f aca="false">IFERROR(INDEX('Master Data'!$L$2:$L$2436,MATCH($B$3&amp;"|4|"&amp;G$59&amp;"|"&amp;$A66,'Master Data'!$A$2:$A$2436,0)),"")</f>
        <v>Belum terisi</v>
      </c>
      <c r="Z66" s="61" t="str">
        <f aca="false">IFERROR(INDEX('Master Data'!$L$2:$L$2436,MATCH($B$3&amp;"|4|"&amp;H$59&amp;"|"&amp;$A66,'Master Data'!$A$2:$A$2436,0)),"")</f>
        <v>Belum terisi</v>
      </c>
    </row>
    <row r="67" customFormat="false" ht="30" hidden="false" customHeight="true" outlineLevel="0" collapsed="false">
      <c r="A67" s="59" t="s">
        <v>103</v>
      </c>
      <c r="B67" s="60" t="str">
        <f aca="false">IFERROR(INDEX('Master Data'!$M$2:$M$2436,MATCH($B$3&amp;"|4|"&amp;B$59&amp;"|"&amp;$A67,'Master Data'!$A$2:$A$2436,0)),"")</f>
        <v>Kids  0/4
coach: –</v>
      </c>
      <c r="C67" s="60" t="str">
        <f aca="false">IFERROR(INDEX('Master Data'!$M$2:$M$2436,MATCH($B$3&amp;"|4|"&amp;C$59&amp;"|"&amp;$A67,'Master Data'!$A$2:$A$2436,0)),"")</f>
        <v>Kids  0/4
coach: –</v>
      </c>
      <c r="D67" s="60" t="str">
        <f aca="false">IFERROR(INDEX('Master Data'!$M$2:$M$2436,MATCH($B$3&amp;"|4|"&amp;D$59&amp;"|"&amp;$A67,'Master Data'!$A$2:$A$2436,0)),"")</f>
        <v>Kids  0/4
coach: –</v>
      </c>
      <c r="E67" s="60" t="str">
        <f aca="false">IFERROR(INDEX('Master Data'!$M$2:$M$2436,MATCH($B$3&amp;"|4|"&amp;E$59&amp;"|"&amp;$A67,'Master Data'!$A$2:$A$2436,0)),"")</f>
        <v>Kids  0/4
coach: –</v>
      </c>
      <c r="F67" s="60" t="str">
        <f aca="false">IFERROR(INDEX('Master Data'!$M$2:$M$2436,MATCH($B$3&amp;"|4|"&amp;F$59&amp;"|"&amp;$A67,'Master Data'!$A$2:$A$2436,0)),"")</f>
        <v>Kids  0/4
coach: –</v>
      </c>
      <c r="G67" s="60" t="str">
        <f aca="false">IFERROR(INDEX('Master Data'!$M$2:$M$2436,MATCH($B$3&amp;"|4|"&amp;G$59&amp;"|"&amp;$A67,'Master Data'!$A$2:$A$2436,0)),"")</f>
        <v>Kids  0/4
coach: –</v>
      </c>
      <c r="H67" s="60" t="str">
        <f aca="false">IFERROR(INDEX('Master Data'!$M$2:$M$2436,MATCH($B$3&amp;"|4|"&amp;H$59&amp;"|"&amp;$A67,'Master Data'!$A$2:$A$2436,0)),"")</f>
        <v>Kids  0/4
coach: –</v>
      </c>
      <c r="T67" s="61" t="str">
        <f aca="false">IFERROR(INDEX('Master Data'!$L$2:$L$2436,MATCH($B$3&amp;"|4|"&amp;B$59&amp;"|"&amp;$A67,'Master Data'!$A$2:$A$2436,0)),"")</f>
        <v>Belum terisi</v>
      </c>
      <c r="U67" s="61" t="str">
        <f aca="false">IFERROR(INDEX('Master Data'!$L$2:$L$2436,MATCH($B$3&amp;"|4|"&amp;C$59&amp;"|"&amp;$A67,'Master Data'!$A$2:$A$2436,0)),"")</f>
        <v>Belum terisi</v>
      </c>
      <c r="V67" s="61" t="str">
        <f aca="false">IFERROR(INDEX('Master Data'!$L$2:$L$2436,MATCH($B$3&amp;"|4|"&amp;D$59&amp;"|"&amp;$A67,'Master Data'!$A$2:$A$2436,0)),"")</f>
        <v>Belum terisi</v>
      </c>
      <c r="W67" s="61" t="str">
        <f aca="false">IFERROR(INDEX('Master Data'!$L$2:$L$2436,MATCH($B$3&amp;"|4|"&amp;E$59&amp;"|"&amp;$A67,'Master Data'!$A$2:$A$2436,0)),"")</f>
        <v>Belum terisi</v>
      </c>
      <c r="X67" s="61" t="str">
        <f aca="false">IFERROR(INDEX('Master Data'!$L$2:$L$2436,MATCH($B$3&amp;"|4|"&amp;F$59&amp;"|"&amp;$A67,'Master Data'!$A$2:$A$2436,0)),"")</f>
        <v>Belum terisi</v>
      </c>
      <c r="Y67" s="61" t="str">
        <f aca="false">IFERROR(INDEX('Master Data'!$L$2:$L$2436,MATCH($B$3&amp;"|4|"&amp;G$59&amp;"|"&amp;$A67,'Master Data'!$A$2:$A$2436,0)),"")</f>
        <v>Belum terisi</v>
      </c>
      <c r="Z67" s="61" t="str">
        <f aca="false">IFERROR(INDEX('Master Data'!$L$2:$L$2436,MATCH($B$3&amp;"|4|"&amp;H$59&amp;"|"&amp;$A67,'Master Data'!$A$2:$A$2436,0)),"")</f>
        <v>Belum terisi</v>
      </c>
    </row>
    <row r="68" customFormat="false" ht="30" hidden="false" customHeight="true" outlineLevel="0" collapsed="false">
      <c r="A68" s="59" t="s">
        <v>104</v>
      </c>
      <c r="B68" s="60" t="str">
        <f aca="false">IFERROR(INDEX('Master Data'!$M$2:$M$2436,MATCH($B$3&amp;"|4|"&amp;B$59&amp;"|"&amp;$A68,'Master Data'!$A$2:$A$2436,0)),"")</f>
        <v>Kids  0/4
coach: –</v>
      </c>
      <c r="C68" s="60" t="str">
        <f aca="false">IFERROR(INDEX('Master Data'!$M$2:$M$2436,MATCH($B$3&amp;"|4|"&amp;C$59&amp;"|"&amp;$A68,'Master Data'!$A$2:$A$2436,0)),"")</f>
        <v>Kids  0/4
coach: –</v>
      </c>
      <c r="D68" s="60" t="str">
        <f aca="false">IFERROR(INDEX('Master Data'!$M$2:$M$2436,MATCH($B$3&amp;"|4|"&amp;D$59&amp;"|"&amp;$A68,'Master Data'!$A$2:$A$2436,0)),"")</f>
        <v>Kids  0/4
coach: –</v>
      </c>
      <c r="E68" s="60" t="str">
        <f aca="false">IFERROR(INDEX('Master Data'!$M$2:$M$2436,MATCH($B$3&amp;"|4|"&amp;E$59&amp;"|"&amp;$A68,'Master Data'!$A$2:$A$2436,0)),"")</f>
        <v>Kids  0/4
coach: –</v>
      </c>
      <c r="F68" s="60" t="str">
        <f aca="false">IFERROR(INDEX('Master Data'!$M$2:$M$2436,MATCH($B$3&amp;"|4|"&amp;F$59&amp;"|"&amp;$A68,'Master Data'!$A$2:$A$2436,0)),"")</f>
        <v>Kids  0/4
coach: –</v>
      </c>
      <c r="G68" s="60" t="str">
        <f aca="false">IFERROR(INDEX('Master Data'!$M$2:$M$2436,MATCH($B$3&amp;"|4|"&amp;G$59&amp;"|"&amp;$A68,'Master Data'!$A$2:$A$2436,0)),"")</f>
        <v>Kids  0/4
coach: –</v>
      </c>
      <c r="H68" s="60" t="str">
        <f aca="false">IFERROR(INDEX('Master Data'!$M$2:$M$2436,MATCH($B$3&amp;"|4|"&amp;H$59&amp;"|"&amp;$A68,'Master Data'!$A$2:$A$2436,0)),"")</f>
        <v>Kids  0/4
coach: –</v>
      </c>
      <c r="T68" s="61" t="str">
        <f aca="false">IFERROR(INDEX('Master Data'!$L$2:$L$2436,MATCH($B$3&amp;"|4|"&amp;B$59&amp;"|"&amp;$A68,'Master Data'!$A$2:$A$2436,0)),"")</f>
        <v>Belum terisi</v>
      </c>
      <c r="U68" s="61" t="str">
        <f aca="false">IFERROR(INDEX('Master Data'!$L$2:$L$2436,MATCH($B$3&amp;"|4|"&amp;C$59&amp;"|"&amp;$A68,'Master Data'!$A$2:$A$2436,0)),"")</f>
        <v>Belum terisi</v>
      </c>
      <c r="V68" s="61" t="str">
        <f aca="false">IFERROR(INDEX('Master Data'!$L$2:$L$2436,MATCH($B$3&amp;"|4|"&amp;D$59&amp;"|"&amp;$A68,'Master Data'!$A$2:$A$2436,0)),"")</f>
        <v>Belum terisi</v>
      </c>
      <c r="W68" s="61" t="str">
        <f aca="false">IFERROR(INDEX('Master Data'!$L$2:$L$2436,MATCH($B$3&amp;"|4|"&amp;E$59&amp;"|"&amp;$A68,'Master Data'!$A$2:$A$2436,0)),"")</f>
        <v>Belum terisi</v>
      </c>
      <c r="X68" s="61" t="str">
        <f aca="false">IFERROR(INDEX('Master Data'!$L$2:$L$2436,MATCH($B$3&amp;"|4|"&amp;F$59&amp;"|"&amp;$A68,'Master Data'!$A$2:$A$2436,0)),"")</f>
        <v>Belum terisi</v>
      </c>
      <c r="Y68" s="61" t="str">
        <f aca="false">IFERROR(INDEX('Master Data'!$L$2:$L$2436,MATCH($B$3&amp;"|4|"&amp;G$59&amp;"|"&amp;$A68,'Master Data'!$A$2:$A$2436,0)),"")</f>
        <v>Belum terisi</v>
      </c>
      <c r="Z68" s="61" t="str">
        <f aca="false">IFERROR(INDEX('Master Data'!$L$2:$L$2436,MATCH($B$3&amp;"|4|"&amp;H$59&amp;"|"&amp;$A68,'Master Data'!$A$2:$A$2436,0)),"")</f>
        <v>Belum terisi</v>
      </c>
    </row>
    <row r="69" customFormat="false" ht="30" hidden="false" customHeight="true" outlineLevel="0" collapsed="false">
      <c r="A69" s="59" t="s">
        <v>105</v>
      </c>
      <c r="B69" s="60" t="str">
        <f aca="false">IFERROR(INDEX('Master Data'!$M$2:$M$2436,MATCH($B$3&amp;"|4|"&amp;B$59&amp;"|"&amp;$A69,'Master Data'!$A$2:$A$2436,0)),"")</f>
        <v>Kids  0/4
coach: –</v>
      </c>
      <c r="C69" s="60" t="str">
        <f aca="false">IFERROR(INDEX('Master Data'!$M$2:$M$2436,MATCH($B$3&amp;"|4|"&amp;C$59&amp;"|"&amp;$A69,'Master Data'!$A$2:$A$2436,0)),"")</f>
        <v>Kids  0/4
coach: –</v>
      </c>
      <c r="D69" s="60" t="str">
        <f aca="false">IFERROR(INDEX('Master Data'!$M$2:$M$2436,MATCH($B$3&amp;"|4|"&amp;D$59&amp;"|"&amp;$A69,'Master Data'!$A$2:$A$2436,0)),"")</f>
        <v>Kids  0/4
coach: –</v>
      </c>
      <c r="E69" s="60" t="str">
        <f aca="false">IFERROR(INDEX('Master Data'!$M$2:$M$2436,MATCH($B$3&amp;"|4|"&amp;E$59&amp;"|"&amp;$A69,'Master Data'!$A$2:$A$2436,0)),"")</f>
        <v>Kids  0/4
coach: –</v>
      </c>
      <c r="F69" s="60" t="str">
        <f aca="false">IFERROR(INDEX('Master Data'!$M$2:$M$2436,MATCH($B$3&amp;"|4|"&amp;F$59&amp;"|"&amp;$A69,'Master Data'!$A$2:$A$2436,0)),"")</f>
        <v>Kids  0/4
coach: –</v>
      </c>
      <c r="G69" s="60" t="str">
        <f aca="false">IFERROR(INDEX('Master Data'!$M$2:$M$2436,MATCH($B$3&amp;"|4|"&amp;G$59&amp;"|"&amp;$A69,'Master Data'!$A$2:$A$2436,0)),"")</f>
        <v>Kids  0/4
coach: –</v>
      </c>
      <c r="H69" s="60" t="str">
        <f aca="false">IFERROR(INDEX('Master Data'!$M$2:$M$2436,MATCH($B$3&amp;"|4|"&amp;H$59&amp;"|"&amp;$A69,'Master Data'!$A$2:$A$2436,0)),"")</f>
        <v>Kids  0/4
coach: –</v>
      </c>
      <c r="T69" s="61" t="str">
        <f aca="false">IFERROR(INDEX('Master Data'!$L$2:$L$2436,MATCH($B$3&amp;"|4|"&amp;B$59&amp;"|"&amp;$A69,'Master Data'!$A$2:$A$2436,0)),"")</f>
        <v>Belum terisi</v>
      </c>
      <c r="U69" s="61" t="str">
        <f aca="false">IFERROR(INDEX('Master Data'!$L$2:$L$2436,MATCH($B$3&amp;"|4|"&amp;C$59&amp;"|"&amp;$A69,'Master Data'!$A$2:$A$2436,0)),"")</f>
        <v>Belum terisi</v>
      </c>
      <c r="V69" s="61" t="str">
        <f aca="false">IFERROR(INDEX('Master Data'!$L$2:$L$2436,MATCH($B$3&amp;"|4|"&amp;D$59&amp;"|"&amp;$A69,'Master Data'!$A$2:$A$2436,0)),"")</f>
        <v>Belum terisi</v>
      </c>
      <c r="W69" s="61" t="str">
        <f aca="false">IFERROR(INDEX('Master Data'!$L$2:$L$2436,MATCH($B$3&amp;"|4|"&amp;E$59&amp;"|"&amp;$A69,'Master Data'!$A$2:$A$2436,0)),"")</f>
        <v>Belum terisi</v>
      </c>
      <c r="X69" s="61" t="str">
        <f aca="false">IFERROR(INDEX('Master Data'!$L$2:$L$2436,MATCH($B$3&amp;"|4|"&amp;F$59&amp;"|"&amp;$A69,'Master Data'!$A$2:$A$2436,0)),"")</f>
        <v>Belum terisi</v>
      </c>
      <c r="Y69" s="61" t="str">
        <f aca="false">IFERROR(INDEX('Master Data'!$L$2:$L$2436,MATCH($B$3&amp;"|4|"&amp;G$59&amp;"|"&amp;$A69,'Master Data'!$A$2:$A$2436,0)),"")</f>
        <v>Belum terisi</v>
      </c>
      <c r="Z69" s="61" t="str">
        <f aca="false">IFERROR(INDEX('Master Data'!$L$2:$L$2436,MATCH($B$3&amp;"|4|"&amp;H$59&amp;"|"&amp;$A69,'Master Data'!$A$2:$A$2436,0)),"")</f>
        <v>Belum terisi</v>
      </c>
    </row>
    <row r="70" customFormat="false" ht="30" hidden="false" customHeight="true" outlineLevel="0" collapsed="false">
      <c r="A70" s="59" t="s">
        <v>106</v>
      </c>
      <c r="B70" s="60" t="str">
        <f aca="false">IFERROR(INDEX('Master Data'!$M$2:$M$2436,MATCH($B$3&amp;"|4|"&amp;B$59&amp;"|"&amp;$A70,'Master Data'!$A$2:$A$2436,0)),"")</f>
        <v>Kids  0/4
coach: –</v>
      </c>
      <c r="C70" s="60" t="str">
        <f aca="false">IFERROR(INDEX('Master Data'!$M$2:$M$2436,MATCH($B$3&amp;"|4|"&amp;C$59&amp;"|"&amp;$A70,'Master Data'!$A$2:$A$2436,0)),"")</f>
        <v>Kids  0/4
coach: –</v>
      </c>
      <c r="D70" s="60" t="str">
        <f aca="false">IFERROR(INDEX('Master Data'!$M$2:$M$2436,MATCH($B$3&amp;"|4|"&amp;D$59&amp;"|"&amp;$A70,'Master Data'!$A$2:$A$2436,0)),"")</f>
        <v>Kids  0/4
coach: –</v>
      </c>
      <c r="E70" s="60" t="str">
        <f aca="false">IFERROR(INDEX('Master Data'!$M$2:$M$2436,MATCH($B$3&amp;"|4|"&amp;E$59&amp;"|"&amp;$A70,'Master Data'!$A$2:$A$2436,0)),"")</f>
        <v>Kids  0/4
coach: –</v>
      </c>
      <c r="F70" s="60" t="str">
        <f aca="false">IFERROR(INDEX('Master Data'!$M$2:$M$2436,MATCH($B$3&amp;"|4|"&amp;F$59&amp;"|"&amp;$A70,'Master Data'!$A$2:$A$2436,0)),"")</f>
        <v>Kids  0/4
coach: –</v>
      </c>
      <c r="G70" s="60" t="str">
        <f aca="false">IFERROR(INDEX('Master Data'!$M$2:$M$2436,MATCH($B$3&amp;"|4|"&amp;G$59&amp;"|"&amp;$A70,'Master Data'!$A$2:$A$2436,0)),"")</f>
        <v>Kids  0/4
coach: –</v>
      </c>
      <c r="H70" s="60" t="str">
        <f aca="false">IFERROR(INDEX('Master Data'!$M$2:$M$2436,MATCH($B$3&amp;"|4|"&amp;H$59&amp;"|"&amp;$A70,'Master Data'!$A$2:$A$2436,0)),"")</f>
        <v>Kids  0/4
coach: –</v>
      </c>
      <c r="T70" s="61" t="str">
        <f aca="false">IFERROR(INDEX('Master Data'!$L$2:$L$2436,MATCH($B$3&amp;"|4|"&amp;B$59&amp;"|"&amp;$A70,'Master Data'!$A$2:$A$2436,0)),"")</f>
        <v>Belum terisi</v>
      </c>
      <c r="U70" s="61" t="str">
        <f aca="false">IFERROR(INDEX('Master Data'!$L$2:$L$2436,MATCH($B$3&amp;"|4|"&amp;C$59&amp;"|"&amp;$A70,'Master Data'!$A$2:$A$2436,0)),"")</f>
        <v>Belum terisi</v>
      </c>
      <c r="V70" s="61" t="str">
        <f aca="false">IFERROR(INDEX('Master Data'!$L$2:$L$2436,MATCH($B$3&amp;"|4|"&amp;D$59&amp;"|"&amp;$A70,'Master Data'!$A$2:$A$2436,0)),"")</f>
        <v>Belum terisi</v>
      </c>
      <c r="W70" s="61" t="str">
        <f aca="false">IFERROR(INDEX('Master Data'!$L$2:$L$2436,MATCH($B$3&amp;"|4|"&amp;E$59&amp;"|"&amp;$A70,'Master Data'!$A$2:$A$2436,0)),"")</f>
        <v>Belum terisi</v>
      </c>
      <c r="X70" s="61" t="str">
        <f aca="false">IFERROR(INDEX('Master Data'!$L$2:$L$2436,MATCH($B$3&amp;"|4|"&amp;F$59&amp;"|"&amp;$A70,'Master Data'!$A$2:$A$2436,0)),"")</f>
        <v>Belum terisi</v>
      </c>
      <c r="Y70" s="61" t="str">
        <f aca="false">IFERROR(INDEX('Master Data'!$L$2:$L$2436,MATCH($B$3&amp;"|4|"&amp;G$59&amp;"|"&amp;$A70,'Master Data'!$A$2:$A$2436,0)),"")</f>
        <v>Belum terisi</v>
      </c>
      <c r="Z70" s="61" t="str">
        <f aca="false">IFERROR(INDEX('Master Data'!$L$2:$L$2436,MATCH($B$3&amp;"|4|"&amp;H$59&amp;"|"&amp;$A70,'Master Data'!$A$2:$A$2436,0)),"")</f>
        <v>Belum terisi</v>
      </c>
    </row>
    <row r="71" customFormat="false" ht="30" hidden="false" customHeight="true" outlineLevel="0" collapsed="false">
      <c r="A71" s="59" t="s">
        <v>107</v>
      </c>
      <c r="B71" s="60" t="str">
        <f aca="false">IFERROR(INDEX('Master Data'!$M$2:$M$2436,MATCH($B$3&amp;"|4|"&amp;B$59&amp;"|"&amp;$A71,'Master Data'!$A$2:$A$2436,0)),"")</f>
        <v>Kids  0/4
coach: –</v>
      </c>
      <c r="C71" s="60" t="str">
        <f aca="false">IFERROR(INDEX('Master Data'!$M$2:$M$2436,MATCH($B$3&amp;"|4|"&amp;C$59&amp;"|"&amp;$A71,'Master Data'!$A$2:$A$2436,0)),"")</f>
        <v>Kids  0/4
coach: –</v>
      </c>
      <c r="D71" s="60" t="str">
        <f aca="false">IFERROR(INDEX('Master Data'!$M$2:$M$2436,MATCH($B$3&amp;"|4|"&amp;D$59&amp;"|"&amp;$A71,'Master Data'!$A$2:$A$2436,0)),"")</f>
        <v>Kids  0/4
coach: –</v>
      </c>
      <c r="E71" s="60" t="str">
        <f aca="false">IFERROR(INDEX('Master Data'!$M$2:$M$2436,MATCH($B$3&amp;"|4|"&amp;E$59&amp;"|"&amp;$A71,'Master Data'!$A$2:$A$2436,0)),"")</f>
        <v>Kids  0/4
coach: –</v>
      </c>
      <c r="F71" s="60" t="str">
        <f aca="false">IFERROR(INDEX('Master Data'!$M$2:$M$2436,MATCH($B$3&amp;"|4|"&amp;F$59&amp;"|"&amp;$A71,'Master Data'!$A$2:$A$2436,0)),"")</f>
        <v>Kids  0/4
coach: –</v>
      </c>
      <c r="G71" s="60" t="str">
        <f aca="false">IFERROR(INDEX('Master Data'!$M$2:$M$2436,MATCH($B$3&amp;"|4|"&amp;G$59&amp;"|"&amp;$A71,'Master Data'!$A$2:$A$2436,0)),"")</f>
        <v>Kids  0/4
coach: –</v>
      </c>
      <c r="H71" s="60" t="str">
        <f aca="false">IFERROR(INDEX('Master Data'!$M$2:$M$2436,MATCH($B$3&amp;"|4|"&amp;H$59&amp;"|"&amp;$A71,'Master Data'!$A$2:$A$2436,0)),"")</f>
        <v>Kids  0/4
coach: –</v>
      </c>
      <c r="T71" s="61" t="str">
        <f aca="false">IFERROR(INDEX('Master Data'!$L$2:$L$2436,MATCH($B$3&amp;"|4|"&amp;B$59&amp;"|"&amp;$A71,'Master Data'!$A$2:$A$2436,0)),"")</f>
        <v>Belum terisi</v>
      </c>
      <c r="U71" s="61" t="str">
        <f aca="false">IFERROR(INDEX('Master Data'!$L$2:$L$2436,MATCH($B$3&amp;"|4|"&amp;C$59&amp;"|"&amp;$A71,'Master Data'!$A$2:$A$2436,0)),"")</f>
        <v>Belum terisi</v>
      </c>
      <c r="V71" s="61" t="str">
        <f aca="false">IFERROR(INDEX('Master Data'!$L$2:$L$2436,MATCH($B$3&amp;"|4|"&amp;D$59&amp;"|"&amp;$A71,'Master Data'!$A$2:$A$2436,0)),"")</f>
        <v>Belum terisi</v>
      </c>
      <c r="W71" s="61" t="str">
        <f aca="false">IFERROR(INDEX('Master Data'!$L$2:$L$2436,MATCH($B$3&amp;"|4|"&amp;E$59&amp;"|"&amp;$A71,'Master Data'!$A$2:$A$2436,0)),"")</f>
        <v>Belum terisi</v>
      </c>
      <c r="X71" s="61" t="str">
        <f aca="false">IFERROR(INDEX('Master Data'!$L$2:$L$2436,MATCH($B$3&amp;"|4|"&amp;F$59&amp;"|"&amp;$A71,'Master Data'!$A$2:$A$2436,0)),"")</f>
        <v>Belum terisi</v>
      </c>
      <c r="Y71" s="61" t="str">
        <f aca="false">IFERROR(INDEX('Master Data'!$L$2:$L$2436,MATCH($B$3&amp;"|4|"&amp;G$59&amp;"|"&amp;$A71,'Master Data'!$A$2:$A$2436,0)),"")</f>
        <v>Belum terisi</v>
      </c>
      <c r="Z71" s="61" t="str">
        <f aca="false">IFERROR(INDEX('Master Data'!$L$2:$L$2436,MATCH($B$3&amp;"|4|"&amp;H$59&amp;"|"&amp;$A71,'Master Data'!$A$2:$A$2436,0)),"")</f>
        <v>Belum terisi</v>
      </c>
    </row>
    <row r="74" customFormat="false" ht="16.15" hidden="false" customHeight="false" outlineLevel="0" collapsed="false">
      <c r="A74" s="62" t="s">
        <v>124</v>
      </c>
      <c r="B74" s="63"/>
      <c r="C74" s="63"/>
      <c r="D74" s="63"/>
      <c r="E74" s="63"/>
      <c r="F74" s="63"/>
      <c r="G74" s="63"/>
      <c r="H74" s="63"/>
      <c r="I74" s="63"/>
      <c r="J74" s="63"/>
      <c r="K74" s="63"/>
      <c r="L74" s="63"/>
      <c r="M74" s="63"/>
      <c r="N74" s="63"/>
    </row>
    <row r="75" customFormat="false" ht="15" hidden="false" customHeight="false" outlineLevel="0" collapsed="false">
      <c r="A75" s="52" t="s">
        <v>125</v>
      </c>
    </row>
    <row r="76" customFormat="false" ht="31.5" hidden="false" customHeight="true" outlineLevel="0" collapsed="false">
      <c r="A76" s="64" t="s">
        <v>126</v>
      </c>
      <c r="B76" s="64" t="s">
        <v>127</v>
      </c>
      <c r="C76" s="64" t="s">
        <v>89</v>
      </c>
      <c r="D76" s="64" t="s">
        <v>128</v>
      </c>
      <c r="E76" s="64" t="s">
        <v>36</v>
      </c>
      <c r="F76" s="64" t="s">
        <v>129</v>
      </c>
      <c r="G76" s="64" t="s">
        <v>57</v>
      </c>
      <c r="H76" s="64" t="s">
        <v>130</v>
      </c>
      <c r="I76" s="64" t="s">
        <v>131</v>
      </c>
      <c r="J76" s="64" t="s">
        <v>132</v>
      </c>
      <c r="K76" s="65" t="s">
        <v>39</v>
      </c>
      <c r="L76" s="65" t="s">
        <v>41</v>
      </c>
      <c r="M76" s="65" t="s">
        <v>43</v>
      </c>
      <c r="N76" s="65" t="s">
        <v>45</v>
      </c>
      <c r="O76" s="65" t="s">
        <v>46</v>
      </c>
    </row>
    <row r="77" customFormat="false" ht="27.75" hidden="false" customHeight="true" outlineLevel="0" collapsed="false">
      <c r="A77" s="66" t="n">
        <v>1</v>
      </c>
      <c r="B77" s="67" t="s">
        <v>90</v>
      </c>
      <c r="C77" s="66" t="s">
        <v>110</v>
      </c>
      <c r="D77" s="66" t="n">
        <v>1</v>
      </c>
      <c r="E77" s="67" t="str">
        <f aca="false">IFERROR(INDEX('Master Data'!$L$2:$L$2436,MATCH($B$3&amp;"|"&amp;D77&amp;"|"&amp;B77&amp;"|"&amp;C77,'Master Data'!$A$2:$A$2436,0)),"")</f>
        <v>Belum terisi</v>
      </c>
      <c r="F77" s="67" t="str">
        <f aca="false">IFERROR(INDEX('Master Data'!$F$2:$F$2436,MATCH($B$3&amp;"|"&amp;D77&amp;"|"&amp;B77&amp;"|"&amp;C77,'Master Data'!$A$2:$A$2436,0))&amp;"","")</f>
        <v>Tiny</v>
      </c>
      <c r="G77" s="66" t="n">
        <f aca="false">IFERROR(INDEX('Master Data'!$G$2:$G$2436,MATCH($B$3&amp;"|"&amp;D77&amp;"|"&amp;B77&amp;"|"&amp;C77,'Master Data'!$A$2:$A$2436,0)),"")</f>
        <v>5</v>
      </c>
      <c r="H77" s="67" t="str">
        <f aca="false">IFERROR(INDEX('Master Data'!$K$2:$K$2436,MATCH($B$3&amp;"|"&amp;D77&amp;"|"&amp;B77&amp;"|"&amp;C77,'Master Data'!$A$2:$A$2436,0))&amp;"","")</f>
        <v/>
      </c>
      <c r="I77" s="67" t="s">
        <v>342</v>
      </c>
      <c r="J77" s="67" t="s">
        <v>134</v>
      </c>
      <c r="K77" s="68"/>
      <c r="L77" s="68"/>
      <c r="M77" s="68"/>
      <c r="N77" s="69"/>
      <c r="O77" s="68"/>
    </row>
    <row r="78" customFormat="false" ht="27.75" hidden="false" customHeight="true" outlineLevel="0" collapsed="false">
      <c r="A78" s="66" t="n">
        <v>2</v>
      </c>
      <c r="B78" s="67" t="s">
        <v>90</v>
      </c>
      <c r="C78" s="66" t="s">
        <v>110</v>
      </c>
      <c r="D78" s="66" t="n">
        <v>2</v>
      </c>
      <c r="E78" s="67" t="str">
        <f aca="false">IFERROR(INDEX('Master Data'!$L$2:$L$2436,MATCH($B$3&amp;"|"&amp;D78&amp;"|"&amp;B78&amp;"|"&amp;C78,'Master Data'!$A$2:$A$2436,0)),"")</f>
        <v>Belum terisi</v>
      </c>
      <c r="F78" s="67" t="str">
        <f aca="false">IFERROR(INDEX('Master Data'!$F$2:$F$2436,MATCH($B$3&amp;"|"&amp;D78&amp;"|"&amp;B78&amp;"|"&amp;C78,'Master Data'!$A$2:$A$2436,0))&amp;"","")</f>
        <v>Little</v>
      </c>
      <c r="G78" s="66" t="n">
        <f aca="false">IFERROR(INDEX('Master Data'!$G$2:$G$2436,MATCH($B$3&amp;"|"&amp;D78&amp;"|"&amp;B78&amp;"|"&amp;C78,'Master Data'!$A$2:$A$2436,0)),"")</f>
        <v>5</v>
      </c>
      <c r="H78" s="67" t="str">
        <f aca="false">IFERROR(INDEX('Master Data'!$K$2:$K$2436,MATCH($B$3&amp;"|"&amp;D78&amp;"|"&amp;B78&amp;"|"&amp;C78,'Master Data'!$A$2:$A$2436,0))&amp;"","")</f>
        <v/>
      </c>
      <c r="I78" s="67" t="s">
        <v>342</v>
      </c>
      <c r="J78" s="67" t="s">
        <v>134</v>
      </c>
      <c r="K78" s="68"/>
      <c r="L78" s="68"/>
      <c r="M78" s="68"/>
      <c r="N78" s="69"/>
      <c r="O78" s="68"/>
    </row>
    <row r="79" customFormat="false" ht="27.75" hidden="false" customHeight="true" outlineLevel="0" collapsed="false">
      <c r="A79" s="66" t="n">
        <v>3</v>
      </c>
      <c r="B79" s="67" t="s">
        <v>90</v>
      </c>
      <c r="C79" s="66" t="s">
        <v>96</v>
      </c>
      <c r="D79" s="66" t="n">
        <v>3</v>
      </c>
      <c r="E79" s="67" t="str">
        <f aca="false">IFERROR(INDEX('Master Data'!$L$2:$L$2436,MATCH($B$3&amp;"|"&amp;D79&amp;"|"&amp;B79&amp;"|"&amp;C79,'Master Data'!$A$2:$A$2436,0)),"")</f>
        <v>Belum terisi</v>
      </c>
      <c r="F79" s="67" t="str">
        <f aca="false">IFERROR(INDEX('Master Data'!$F$2:$F$2436,MATCH($B$3&amp;"|"&amp;D79&amp;"|"&amp;B79&amp;"|"&amp;C79,'Master Data'!$A$2:$A$2436,0))&amp;"","")</f>
        <v>Kids</v>
      </c>
      <c r="G79" s="66" t="n">
        <f aca="false">IFERROR(INDEX('Master Data'!$G$2:$G$2436,MATCH($B$3&amp;"|"&amp;D79&amp;"|"&amp;B79&amp;"|"&amp;C79,'Master Data'!$A$2:$A$2436,0)),"")</f>
        <v>4</v>
      </c>
      <c r="H79" s="67" t="str">
        <f aca="false">IFERROR(INDEX('Master Data'!$K$2:$K$2436,MATCH($B$3&amp;"|"&amp;D79&amp;"|"&amp;B79&amp;"|"&amp;C79,'Master Data'!$A$2:$A$2436,0))&amp;"","")</f>
        <v/>
      </c>
      <c r="I79" s="67" t="s">
        <v>342</v>
      </c>
      <c r="J79" s="67" t="s">
        <v>134</v>
      </c>
      <c r="K79" s="68"/>
      <c r="L79" s="68"/>
      <c r="M79" s="68"/>
      <c r="N79" s="69"/>
      <c r="O79" s="68"/>
    </row>
    <row r="80" customFormat="false" ht="27.75" hidden="false" customHeight="true" outlineLevel="0" collapsed="false">
      <c r="A80" s="66" t="n">
        <v>4</v>
      </c>
      <c r="B80" s="67" t="s">
        <v>90</v>
      </c>
      <c r="C80" s="66" t="s">
        <v>96</v>
      </c>
      <c r="D80" s="66" t="n">
        <v>4</v>
      </c>
      <c r="E80" s="67" t="str">
        <f aca="false">IFERROR(INDEX('Master Data'!$L$2:$L$2436,MATCH($B$3&amp;"|"&amp;D80&amp;"|"&amp;B80&amp;"|"&amp;C80,'Master Data'!$A$2:$A$2436,0)),"")</f>
        <v>Belum terisi</v>
      </c>
      <c r="F80" s="67" t="str">
        <f aca="false">IFERROR(INDEX('Master Data'!$F$2:$F$2436,MATCH($B$3&amp;"|"&amp;D80&amp;"|"&amp;B80&amp;"|"&amp;C80,'Master Data'!$A$2:$A$2436,0))&amp;"","")</f>
        <v>Kids</v>
      </c>
      <c r="G80" s="66" t="n">
        <f aca="false">IFERROR(INDEX('Master Data'!$G$2:$G$2436,MATCH($B$3&amp;"|"&amp;D80&amp;"|"&amp;B80&amp;"|"&amp;C80,'Master Data'!$A$2:$A$2436,0)),"")</f>
        <v>4</v>
      </c>
      <c r="H80" s="67" t="str">
        <f aca="false">IFERROR(INDEX('Master Data'!$K$2:$K$2436,MATCH($B$3&amp;"|"&amp;D80&amp;"|"&amp;B80&amp;"|"&amp;C80,'Master Data'!$A$2:$A$2436,0))&amp;"","")</f>
        <v/>
      </c>
      <c r="I80" s="67" t="s">
        <v>342</v>
      </c>
      <c r="J80" s="67" t="s">
        <v>134</v>
      </c>
      <c r="K80" s="68"/>
      <c r="L80" s="68"/>
      <c r="M80" s="68"/>
      <c r="N80" s="69"/>
      <c r="O80" s="68"/>
    </row>
    <row r="81" customFormat="false" ht="27.75" hidden="false" customHeight="true" outlineLevel="0" collapsed="false">
      <c r="A81" s="66" t="n">
        <v>5</v>
      </c>
      <c r="B81" s="67" t="s">
        <v>90</v>
      </c>
      <c r="C81" s="66" t="s">
        <v>111</v>
      </c>
      <c r="D81" s="66" t="n">
        <v>1</v>
      </c>
      <c r="E81" s="67" t="str">
        <f aca="false">IFERROR(INDEX('Master Data'!$L$2:$L$2436,MATCH($B$3&amp;"|"&amp;D81&amp;"|"&amp;B81&amp;"|"&amp;C81,'Master Data'!$A$2:$A$2436,0)),"")</f>
        <v>Belum terisi</v>
      </c>
      <c r="F81" s="67" t="str">
        <f aca="false">IFERROR(INDEX('Master Data'!$F$2:$F$2436,MATCH($B$3&amp;"|"&amp;D81&amp;"|"&amp;B81&amp;"|"&amp;C81,'Master Data'!$A$2:$A$2436,0))&amp;"","")</f>
        <v>Baby</v>
      </c>
      <c r="G81" s="66" t="n">
        <f aca="false">IFERROR(INDEX('Master Data'!$G$2:$G$2436,MATCH($B$3&amp;"|"&amp;D81&amp;"|"&amp;B81&amp;"|"&amp;C81,'Master Data'!$A$2:$A$2436,0)),"")</f>
        <v>5</v>
      </c>
      <c r="H81" s="67" t="str">
        <f aca="false">IFERROR(INDEX('Master Data'!$K$2:$K$2436,MATCH($B$3&amp;"|"&amp;D81&amp;"|"&amp;B81&amp;"|"&amp;C81,'Master Data'!$A$2:$A$2436,0))&amp;"","")</f>
        <v/>
      </c>
      <c r="I81" s="67" t="s">
        <v>342</v>
      </c>
      <c r="J81" s="67" t="s">
        <v>134</v>
      </c>
      <c r="K81" s="68"/>
      <c r="L81" s="68"/>
      <c r="M81" s="68"/>
      <c r="N81" s="69"/>
      <c r="O81" s="68"/>
    </row>
    <row r="82" customFormat="false" ht="27.75" hidden="false" customHeight="true" outlineLevel="0" collapsed="false">
      <c r="A82" s="66" t="n">
        <v>6</v>
      </c>
      <c r="B82" s="67" t="s">
        <v>90</v>
      </c>
      <c r="C82" s="66" t="s">
        <v>111</v>
      </c>
      <c r="D82" s="66" t="n">
        <v>2</v>
      </c>
      <c r="E82" s="67" t="str">
        <f aca="false">IFERROR(INDEX('Master Data'!$L$2:$L$2436,MATCH($B$3&amp;"|"&amp;D82&amp;"|"&amp;B82&amp;"|"&amp;C82,'Master Data'!$A$2:$A$2436,0)),"")</f>
        <v>Belum terisi</v>
      </c>
      <c r="F82" s="67" t="str">
        <f aca="false">IFERROR(INDEX('Master Data'!$F$2:$F$2436,MATCH($B$3&amp;"|"&amp;D82&amp;"|"&amp;B82&amp;"|"&amp;C82,'Master Data'!$A$2:$A$2436,0))&amp;"","")</f>
        <v>Little</v>
      </c>
      <c r="G82" s="66" t="n">
        <f aca="false">IFERROR(INDEX('Master Data'!$G$2:$G$2436,MATCH($B$3&amp;"|"&amp;D82&amp;"|"&amp;B82&amp;"|"&amp;C82,'Master Data'!$A$2:$A$2436,0)),"")</f>
        <v>5</v>
      </c>
      <c r="H82" s="67" t="str">
        <f aca="false">IFERROR(INDEX('Master Data'!$K$2:$K$2436,MATCH($B$3&amp;"|"&amp;D82&amp;"|"&amp;B82&amp;"|"&amp;C82,'Master Data'!$A$2:$A$2436,0))&amp;"","")</f>
        <v/>
      </c>
      <c r="I82" s="67" t="s">
        <v>342</v>
      </c>
      <c r="J82" s="67" t="s">
        <v>134</v>
      </c>
      <c r="K82" s="68"/>
      <c r="L82" s="68"/>
      <c r="M82" s="68"/>
      <c r="N82" s="69"/>
      <c r="O82" s="68"/>
    </row>
    <row r="83" customFormat="false" ht="27.75" hidden="false" customHeight="true" outlineLevel="0" collapsed="false">
      <c r="A83" s="66" t="n">
        <v>7</v>
      </c>
      <c r="B83" s="67" t="s">
        <v>90</v>
      </c>
      <c r="C83" s="66" t="s">
        <v>97</v>
      </c>
      <c r="D83" s="66" t="n">
        <v>3</v>
      </c>
      <c r="E83" s="67" t="str">
        <f aca="false">IFERROR(INDEX('Master Data'!$L$2:$L$2436,MATCH($B$3&amp;"|"&amp;D83&amp;"|"&amp;B83&amp;"|"&amp;C83,'Master Data'!$A$2:$A$2436,0)),"")</f>
        <v>Belum terisi</v>
      </c>
      <c r="F83" s="67" t="str">
        <f aca="false">IFERROR(INDEX('Master Data'!$F$2:$F$2436,MATCH($B$3&amp;"|"&amp;D83&amp;"|"&amp;B83&amp;"|"&amp;C83,'Master Data'!$A$2:$A$2436,0))&amp;"","")</f>
        <v>Kids</v>
      </c>
      <c r="G83" s="66" t="n">
        <f aca="false">IFERROR(INDEX('Master Data'!$G$2:$G$2436,MATCH($B$3&amp;"|"&amp;D83&amp;"|"&amp;B83&amp;"|"&amp;C83,'Master Data'!$A$2:$A$2436,0)),"")</f>
        <v>4</v>
      </c>
      <c r="H83" s="67" t="str">
        <f aca="false">IFERROR(INDEX('Master Data'!$K$2:$K$2436,MATCH($B$3&amp;"|"&amp;D83&amp;"|"&amp;B83&amp;"|"&amp;C83,'Master Data'!$A$2:$A$2436,0))&amp;"","")</f>
        <v/>
      </c>
      <c r="I83" s="67" t="s">
        <v>342</v>
      </c>
      <c r="J83" s="67" t="s">
        <v>134</v>
      </c>
      <c r="K83" s="68"/>
      <c r="L83" s="68"/>
      <c r="M83" s="68"/>
      <c r="N83" s="69"/>
      <c r="O83" s="68"/>
    </row>
    <row r="84" customFormat="false" ht="27.75" hidden="false" customHeight="true" outlineLevel="0" collapsed="false">
      <c r="A84" s="66" t="n">
        <v>8</v>
      </c>
      <c r="B84" s="67" t="s">
        <v>90</v>
      </c>
      <c r="C84" s="66" t="s">
        <v>97</v>
      </c>
      <c r="D84" s="66" t="n">
        <v>4</v>
      </c>
      <c r="E84" s="67" t="str">
        <f aca="false">IFERROR(INDEX('Master Data'!$L$2:$L$2436,MATCH($B$3&amp;"|"&amp;D84&amp;"|"&amp;B84&amp;"|"&amp;C84,'Master Data'!$A$2:$A$2436,0)),"")</f>
        <v>Belum terisi</v>
      </c>
      <c r="F84" s="67" t="str">
        <f aca="false">IFERROR(INDEX('Master Data'!$F$2:$F$2436,MATCH($B$3&amp;"|"&amp;D84&amp;"|"&amp;B84&amp;"|"&amp;C84,'Master Data'!$A$2:$A$2436,0))&amp;"","")</f>
        <v>Kids</v>
      </c>
      <c r="G84" s="66" t="n">
        <f aca="false">IFERROR(INDEX('Master Data'!$G$2:$G$2436,MATCH($B$3&amp;"|"&amp;D84&amp;"|"&amp;B84&amp;"|"&amp;C84,'Master Data'!$A$2:$A$2436,0)),"")</f>
        <v>4</v>
      </c>
      <c r="H84" s="67" t="str">
        <f aca="false">IFERROR(INDEX('Master Data'!$K$2:$K$2436,MATCH($B$3&amp;"|"&amp;D84&amp;"|"&amp;B84&amp;"|"&amp;C84,'Master Data'!$A$2:$A$2436,0))&amp;"","")</f>
        <v/>
      </c>
      <c r="I84" s="67" t="s">
        <v>342</v>
      </c>
      <c r="J84" s="67" t="s">
        <v>134</v>
      </c>
      <c r="K84" s="68"/>
      <c r="L84" s="68"/>
      <c r="M84" s="68"/>
      <c r="N84" s="69"/>
      <c r="O84" s="68"/>
    </row>
    <row r="85" customFormat="false" ht="27.75" hidden="false" customHeight="true" outlineLevel="0" collapsed="false">
      <c r="A85" s="66" t="n">
        <v>9</v>
      </c>
      <c r="B85" s="67" t="s">
        <v>90</v>
      </c>
      <c r="C85" s="66" t="s">
        <v>112</v>
      </c>
      <c r="D85" s="66" t="n">
        <v>1</v>
      </c>
      <c r="E85" s="67" t="str">
        <f aca="false">IFERROR(INDEX('Master Data'!$L$2:$L$2436,MATCH($B$3&amp;"|"&amp;D85&amp;"|"&amp;B85&amp;"|"&amp;C85,'Master Data'!$A$2:$A$2436,0)),"")</f>
        <v>Belum terisi</v>
      </c>
      <c r="F85" s="67" t="str">
        <f aca="false">IFERROR(INDEX('Master Data'!$F$2:$F$2436,MATCH($B$3&amp;"|"&amp;D85&amp;"|"&amp;B85&amp;"|"&amp;C85,'Master Data'!$A$2:$A$2436,0))&amp;"","")</f>
        <v>Tiny</v>
      </c>
      <c r="G85" s="66" t="n">
        <f aca="false">IFERROR(INDEX('Master Data'!$G$2:$G$2436,MATCH($B$3&amp;"|"&amp;D85&amp;"|"&amp;B85&amp;"|"&amp;C85,'Master Data'!$A$2:$A$2436,0)),"")</f>
        <v>5</v>
      </c>
      <c r="H85" s="67" t="str">
        <f aca="false">IFERROR(INDEX('Master Data'!$K$2:$K$2436,MATCH($B$3&amp;"|"&amp;D85&amp;"|"&amp;B85&amp;"|"&amp;C85,'Master Data'!$A$2:$A$2436,0))&amp;"","")</f>
        <v/>
      </c>
      <c r="I85" s="67" t="s">
        <v>342</v>
      </c>
      <c r="J85" s="67" t="s">
        <v>134</v>
      </c>
      <c r="K85" s="68"/>
      <c r="L85" s="68"/>
      <c r="M85" s="68"/>
      <c r="N85" s="69"/>
      <c r="O85" s="68"/>
    </row>
    <row r="86" customFormat="false" ht="27.75" hidden="false" customHeight="true" outlineLevel="0" collapsed="false">
      <c r="A86" s="66" t="n">
        <v>10</v>
      </c>
      <c r="B86" s="67" t="s">
        <v>90</v>
      </c>
      <c r="C86" s="66" t="s">
        <v>112</v>
      </c>
      <c r="D86" s="66" t="n">
        <v>2</v>
      </c>
      <c r="E86" s="67" t="str">
        <f aca="false">IFERROR(INDEX('Master Data'!$L$2:$L$2436,MATCH($B$3&amp;"|"&amp;D86&amp;"|"&amp;B86&amp;"|"&amp;C86,'Master Data'!$A$2:$A$2436,0)),"")</f>
        <v>Belum terisi</v>
      </c>
      <c r="F86" s="67" t="str">
        <f aca="false">IFERROR(INDEX('Master Data'!$F$2:$F$2436,MATCH($B$3&amp;"|"&amp;D86&amp;"|"&amp;B86&amp;"|"&amp;C86,'Master Data'!$A$2:$A$2436,0))&amp;"","")</f>
        <v>Little</v>
      </c>
      <c r="G86" s="66" t="n">
        <f aca="false">IFERROR(INDEX('Master Data'!$G$2:$G$2436,MATCH($B$3&amp;"|"&amp;D86&amp;"|"&amp;B86&amp;"|"&amp;C86,'Master Data'!$A$2:$A$2436,0)),"")</f>
        <v>5</v>
      </c>
      <c r="H86" s="67" t="str">
        <f aca="false">IFERROR(INDEX('Master Data'!$K$2:$K$2436,MATCH($B$3&amp;"|"&amp;D86&amp;"|"&amp;B86&amp;"|"&amp;C86,'Master Data'!$A$2:$A$2436,0))&amp;"","")</f>
        <v/>
      </c>
      <c r="I86" s="67" t="s">
        <v>342</v>
      </c>
      <c r="J86" s="67" t="s">
        <v>134</v>
      </c>
      <c r="K86" s="68"/>
      <c r="L86" s="68"/>
      <c r="M86" s="68"/>
      <c r="N86" s="69"/>
      <c r="O86" s="68"/>
    </row>
    <row r="87" customFormat="false" ht="27.75" hidden="false" customHeight="true" outlineLevel="0" collapsed="false">
      <c r="A87" s="66" t="n">
        <v>11</v>
      </c>
      <c r="B87" s="67" t="s">
        <v>90</v>
      </c>
      <c r="C87" s="66" t="s">
        <v>98</v>
      </c>
      <c r="D87" s="66" t="n">
        <v>3</v>
      </c>
      <c r="E87" s="67" t="str">
        <f aca="false">IFERROR(INDEX('Master Data'!$L$2:$L$2436,MATCH($B$3&amp;"|"&amp;D87&amp;"|"&amp;B87&amp;"|"&amp;C87,'Master Data'!$A$2:$A$2436,0)),"")</f>
        <v>Belum terisi</v>
      </c>
      <c r="F87" s="67" t="str">
        <f aca="false">IFERROR(INDEX('Master Data'!$F$2:$F$2436,MATCH($B$3&amp;"|"&amp;D87&amp;"|"&amp;B87&amp;"|"&amp;C87,'Master Data'!$A$2:$A$2436,0))&amp;"","")</f>
        <v>Kids</v>
      </c>
      <c r="G87" s="66" t="n">
        <f aca="false">IFERROR(INDEX('Master Data'!$G$2:$G$2436,MATCH($B$3&amp;"|"&amp;D87&amp;"|"&amp;B87&amp;"|"&amp;C87,'Master Data'!$A$2:$A$2436,0)),"")</f>
        <v>4</v>
      </c>
      <c r="H87" s="67" t="str">
        <f aca="false">IFERROR(INDEX('Master Data'!$K$2:$K$2436,MATCH($B$3&amp;"|"&amp;D87&amp;"|"&amp;B87&amp;"|"&amp;C87,'Master Data'!$A$2:$A$2436,0))&amp;"","")</f>
        <v/>
      </c>
      <c r="I87" s="67" t="s">
        <v>342</v>
      </c>
      <c r="J87" s="67" t="s">
        <v>134</v>
      </c>
      <c r="K87" s="68"/>
      <c r="L87" s="68"/>
      <c r="M87" s="68"/>
      <c r="N87" s="69"/>
      <c r="O87" s="68"/>
    </row>
    <row r="88" customFormat="false" ht="27.75" hidden="false" customHeight="true" outlineLevel="0" collapsed="false">
      <c r="A88" s="66" t="n">
        <v>12</v>
      </c>
      <c r="B88" s="67" t="s">
        <v>90</v>
      </c>
      <c r="C88" s="66" t="s">
        <v>98</v>
      </c>
      <c r="D88" s="66" t="n">
        <v>4</v>
      </c>
      <c r="E88" s="67" t="str">
        <f aca="false">IFERROR(INDEX('Master Data'!$L$2:$L$2436,MATCH($B$3&amp;"|"&amp;D88&amp;"|"&amp;B88&amp;"|"&amp;C88,'Master Data'!$A$2:$A$2436,0)),"")</f>
        <v>Belum terisi</v>
      </c>
      <c r="F88" s="67" t="str">
        <f aca="false">IFERROR(INDEX('Master Data'!$F$2:$F$2436,MATCH($B$3&amp;"|"&amp;D88&amp;"|"&amp;B88&amp;"|"&amp;C88,'Master Data'!$A$2:$A$2436,0))&amp;"","")</f>
        <v>Kids</v>
      </c>
      <c r="G88" s="66" t="n">
        <f aca="false">IFERROR(INDEX('Master Data'!$G$2:$G$2436,MATCH($B$3&amp;"|"&amp;D88&amp;"|"&amp;B88&amp;"|"&amp;C88,'Master Data'!$A$2:$A$2436,0)),"")</f>
        <v>4</v>
      </c>
      <c r="H88" s="67" t="str">
        <f aca="false">IFERROR(INDEX('Master Data'!$K$2:$K$2436,MATCH($B$3&amp;"|"&amp;D88&amp;"|"&amp;B88&amp;"|"&amp;C88,'Master Data'!$A$2:$A$2436,0))&amp;"","")</f>
        <v/>
      </c>
      <c r="I88" s="67" t="s">
        <v>342</v>
      </c>
      <c r="J88" s="67" t="s">
        <v>134</v>
      </c>
      <c r="K88" s="68"/>
      <c r="L88" s="68"/>
      <c r="M88" s="68"/>
      <c r="N88" s="69"/>
      <c r="O88" s="68"/>
    </row>
    <row r="89" customFormat="false" ht="27.75" hidden="false" customHeight="true" outlineLevel="0" collapsed="false">
      <c r="A89" s="66" t="n">
        <v>13</v>
      </c>
      <c r="B89" s="67" t="s">
        <v>90</v>
      </c>
      <c r="C89" s="66" t="s">
        <v>113</v>
      </c>
      <c r="D89" s="66" t="n">
        <v>1</v>
      </c>
      <c r="E89" s="67" t="str">
        <f aca="false">IFERROR(INDEX('Master Data'!$L$2:$L$2436,MATCH($B$3&amp;"|"&amp;D89&amp;"|"&amp;B89&amp;"|"&amp;C89,'Master Data'!$A$2:$A$2436,0)),"")</f>
        <v>Belum terisi</v>
      </c>
      <c r="F89" s="67" t="str">
        <f aca="false">IFERROR(INDEX('Master Data'!$F$2:$F$2436,MATCH($B$3&amp;"|"&amp;D89&amp;"|"&amp;B89&amp;"|"&amp;C89,'Master Data'!$A$2:$A$2436,0))&amp;"","")</f>
        <v>Baby</v>
      </c>
      <c r="G89" s="66" t="n">
        <f aca="false">IFERROR(INDEX('Master Data'!$G$2:$G$2436,MATCH($B$3&amp;"|"&amp;D89&amp;"|"&amp;B89&amp;"|"&amp;C89,'Master Data'!$A$2:$A$2436,0)),"")</f>
        <v>5</v>
      </c>
      <c r="H89" s="67" t="str">
        <f aca="false">IFERROR(INDEX('Master Data'!$K$2:$K$2436,MATCH($B$3&amp;"|"&amp;D89&amp;"|"&amp;B89&amp;"|"&amp;C89,'Master Data'!$A$2:$A$2436,0))&amp;"","")</f>
        <v/>
      </c>
      <c r="I89" s="67" t="s">
        <v>342</v>
      </c>
      <c r="J89" s="67" t="s">
        <v>134</v>
      </c>
      <c r="K89" s="68"/>
      <c r="L89" s="68"/>
      <c r="M89" s="68"/>
      <c r="N89" s="69"/>
      <c r="O89" s="68"/>
    </row>
    <row r="90" customFormat="false" ht="27.75" hidden="false" customHeight="true" outlineLevel="0" collapsed="false">
      <c r="A90" s="66" t="n">
        <v>14</v>
      </c>
      <c r="B90" s="67" t="s">
        <v>90</v>
      </c>
      <c r="C90" s="66" t="s">
        <v>113</v>
      </c>
      <c r="D90" s="66" t="n">
        <v>2</v>
      </c>
      <c r="E90" s="67" t="str">
        <f aca="false">IFERROR(INDEX('Master Data'!$L$2:$L$2436,MATCH($B$3&amp;"|"&amp;D90&amp;"|"&amp;B90&amp;"|"&amp;C90,'Master Data'!$A$2:$A$2436,0)),"")</f>
        <v>Belum terisi</v>
      </c>
      <c r="F90" s="67" t="str">
        <f aca="false">IFERROR(INDEX('Master Data'!$F$2:$F$2436,MATCH($B$3&amp;"|"&amp;D90&amp;"|"&amp;B90&amp;"|"&amp;C90,'Master Data'!$A$2:$A$2436,0))&amp;"","")</f>
        <v>Little</v>
      </c>
      <c r="G90" s="66" t="n">
        <f aca="false">IFERROR(INDEX('Master Data'!$G$2:$G$2436,MATCH($B$3&amp;"|"&amp;D90&amp;"|"&amp;B90&amp;"|"&amp;C90,'Master Data'!$A$2:$A$2436,0)),"")</f>
        <v>5</v>
      </c>
      <c r="H90" s="67" t="str">
        <f aca="false">IFERROR(INDEX('Master Data'!$K$2:$K$2436,MATCH($B$3&amp;"|"&amp;D90&amp;"|"&amp;B90&amp;"|"&amp;C90,'Master Data'!$A$2:$A$2436,0))&amp;"","")</f>
        <v/>
      </c>
      <c r="I90" s="67" t="s">
        <v>342</v>
      </c>
      <c r="J90" s="67" t="s">
        <v>134</v>
      </c>
      <c r="K90" s="68"/>
      <c r="L90" s="68"/>
      <c r="M90" s="68"/>
      <c r="N90" s="69"/>
      <c r="O90" s="68"/>
    </row>
    <row r="91" customFormat="false" ht="27.75" hidden="false" customHeight="true" outlineLevel="0" collapsed="false">
      <c r="A91" s="66" t="n">
        <v>15</v>
      </c>
      <c r="B91" s="67" t="s">
        <v>90</v>
      </c>
      <c r="C91" s="66" t="s">
        <v>99</v>
      </c>
      <c r="D91" s="66" t="n">
        <v>3</v>
      </c>
      <c r="E91" s="67" t="str">
        <f aca="false">IFERROR(INDEX('Master Data'!$L$2:$L$2436,MATCH($B$3&amp;"|"&amp;D91&amp;"|"&amp;B91&amp;"|"&amp;C91,'Master Data'!$A$2:$A$2436,0)),"")</f>
        <v>Belum terisi</v>
      </c>
      <c r="F91" s="67" t="str">
        <f aca="false">IFERROR(INDEX('Master Data'!$F$2:$F$2436,MATCH($B$3&amp;"|"&amp;D91&amp;"|"&amp;B91&amp;"|"&amp;C91,'Master Data'!$A$2:$A$2436,0))&amp;"","")</f>
        <v>Kids</v>
      </c>
      <c r="G91" s="66" t="n">
        <f aca="false">IFERROR(INDEX('Master Data'!$G$2:$G$2436,MATCH($B$3&amp;"|"&amp;D91&amp;"|"&amp;B91&amp;"|"&amp;C91,'Master Data'!$A$2:$A$2436,0)),"")</f>
        <v>4</v>
      </c>
      <c r="H91" s="67" t="str">
        <f aca="false">IFERROR(INDEX('Master Data'!$K$2:$K$2436,MATCH($B$3&amp;"|"&amp;D91&amp;"|"&amp;B91&amp;"|"&amp;C91,'Master Data'!$A$2:$A$2436,0))&amp;"","")</f>
        <v/>
      </c>
      <c r="I91" s="67" t="s">
        <v>342</v>
      </c>
      <c r="J91" s="67" t="s">
        <v>134</v>
      </c>
      <c r="K91" s="68"/>
      <c r="L91" s="68"/>
      <c r="M91" s="68"/>
      <c r="N91" s="69"/>
      <c r="O91" s="68"/>
    </row>
    <row r="92" customFormat="false" ht="27.75" hidden="false" customHeight="true" outlineLevel="0" collapsed="false">
      <c r="A92" s="66" t="n">
        <v>16</v>
      </c>
      <c r="B92" s="67" t="s">
        <v>90</v>
      </c>
      <c r="C92" s="66" t="s">
        <v>99</v>
      </c>
      <c r="D92" s="66" t="n">
        <v>4</v>
      </c>
      <c r="E92" s="67" t="str">
        <f aca="false">IFERROR(INDEX('Master Data'!$L$2:$L$2436,MATCH($B$3&amp;"|"&amp;D92&amp;"|"&amp;B92&amp;"|"&amp;C92,'Master Data'!$A$2:$A$2436,0)),"")</f>
        <v>Belum terisi</v>
      </c>
      <c r="F92" s="67" t="str">
        <f aca="false">IFERROR(INDEX('Master Data'!$F$2:$F$2436,MATCH($B$3&amp;"|"&amp;D92&amp;"|"&amp;B92&amp;"|"&amp;C92,'Master Data'!$A$2:$A$2436,0))&amp;"","")</f>
        <v>Kids</v>
      </c>
      <c r="G92" s="66" t="n">
        <f aca="false">IFERROR(INDEX('Master Data'!$G$2:$G$2436,MATCH($B$3&amp;"|"&amp;D92&amp;"|"&amp;B92&amp;"|"&amp;C92,'Master Data'!$A$2:$A$2436,0)),"")</f>
        <v>4</v>
      </c>
      <c r="H92" s="67" t="str">
        <f aca="false">IFERROR(INDEX('Master Data'!$K$2:$K$2436,MATCH($B$3&amp;"|"&amp;D92&amp;"|"&amp;B92&amp;"|"&amp;C92,'Master Data'!$A$2:$A$2436,0))&amp;"","")</f>
        <v/>
      </c>
      <c r="I92" s="67" t="s">
        <v>342</v>
      </c>
      <c r="J92" s="67" t="s">
        <v>134</v>
      </c>
      <c r="K92" s="68"/>
      <c r="L92" s="68"/>
      <c r="M92" s="68"/>
      <c r="N92" s="69"/>
      <c r="O92" s="68"/>
    </row>
    <row r="93" customFormat="false" ht="27.75" hidden="false" customHeight="true" outlineLevel="0" collapsed="false">
      <c r="A93" s="66" t="n">
        <v>17</v>
      </c>
      <c r="B93" s="67" t="s">
        <v>90</v>
      </c>
      <c r="C93" s="66" t="s">
        <v>114</v>
      </c>
      <c r="D93" s="66" t="n">
        <v>1</v>
      </c>
      <c r="E93" s="67" t="str">
        <f aca="false">IFERROR(INDEX('Master Data'!$L$2:$L$2436,MATCH($B$3&amp;"|"&amp;D93&amp;"|"&amp;B93&amp;"|"&amp;C93,'Master Data'!$A$2:$A$2436,0)),"")</f>
        <v>Belum terisi</v>
      </c>
      <c r="F93" s="67" t="str">
        <f aca="false">IFERROR(INDEX('Master Data'!$F$2:$F$2436,MATCH($B$3&amp;"|"&amp;D93&amp;"|"&amp;B93&amp;"|"&amp;C93,'Master Data'!$A$2:$A$2436,0))&amp;"","")</f>
        <v>Tiny</v>
      </c>
      <c r="G93" s="66" t="n">
        <f aca="false">IFERROR(INDEX('Master Data'!$G$2:$G$2436,MATCH($B$3&amp;"|"&amp;D93&amp;"|"&amp;B93&amp;"|"&amp;C93,'Master Data'!$A$2:$A$2436,0)),"")</f>
        <v>5</v>
      </c>
      <c r="H93" s="67" t="str">
        <f aca="false">IFERROR(INDEX('Master Data'!$K$2:$K$2436,MATCH($B$3&amp;"|"&amp;D93&amp;"|"&amp;B93&amp;"|"&amp;C93,'Master Data'!$A$2:$A$2436,0))&amp;"","")</f>
        <v/>
      </c>
      <c r="I93" s="67" t="s">
        <v>342</v>
      </c>
      <c r="J93" s="67" t="s">
        <v>134</v>
      </c>
      <c r="K93" s="68"/>
      <c r="L93" s="68"/>
      <c r="M93" s="68"/>
      <c r="N93" s="69"/>
      <c r="O93" s="68"/>
    </row>
    <row r="94" customFormat="false" ht="27.75" hidden="false" customHeight="true" outlineLevel="0" collapsed="false">
      <c r="A94" s="66" t="n">
        <v>18</v>
      </c>
      <c r="B94" s="67" t="s">
        <v>90</v>
      </c>
      <c r="C94" s="66" t="s">
        <v>114</v>
      </c>
      <c r="D94" s="66" t="n">
        <v>2</v>
      </c>
      <c r="E94" s="67" t="str">
        <f aca="false">IFERROR(INDEX('Master Data'!$L$2:$L$2436,MATCH($B$3&amp;"|"&amp;D94&amp;"|"&amp;B94&amp;"|"&amp;C94,'Master Data'!$A$2:$A$2436,0)),"")</f>
        <v>Belum terisi</v>
      </c>
      <c r="F94" s="67" t="str">
        <f aca="false">IFERROR(INDEX('Master Data'!$F$2:$F$2436,MATCH($B$3&amp;"|"&amp;D94&amp;"|"&amp;B94&amp;"|"&amp;C94,'Master Data'!$A$2:$A$2436,0))&amp;"","")</f>
        <v>Little</v>
      </c>
      <c r="G94" s="66" t="n">
        <f aca="false">IFERROR(INDEX('Master Data'!$G$2:$G$2436,MATCH($B$3&amp;"|"&amp;D94&amp;"|"&amp;B94&amp;"|"&amp;C94,'Master Data'!$A$2:$A$2436,0)),"")</f>
        <v>5</v>
      </c>
      <c r="H94" s="67" t="str">
        <f aca="false">IFERROR(INDEX('Master Data'!$K$2:$K$2436,MATCH($B$3&amp;"|"&amp;D94&amp;"|"&amp;B94&amp;"|"&amp;C94,'Master Data'!$A$2:$A$2436,0))&amp;"","")</f>
        <v/>
      </c>
      <c r="I94" s="67" t="s">
        <v>342</v>
      </c>
      <c r="J94" s="67" t="s">
        <v>134</v>
      </c>
      <c r="K94" s="68"/>
      <c r="L94" s="68"/>
      <c r="M94" s="68"/>
      <c r="N94" s="69"/>
      <c r="O94" s="68"/>
    </row>
    <row r="95" customFormat="false" ht="27.75" hidden="false" customHeight="true" outlineLevel="0" collapsed="false">
      <c r="A95" s="66" t="n">
        <v>19</v>
      </c>
      <c r="B95" s="67" t="s">
        <v>90</v>
      </c>
      <c r="C95" s="66" t="s">
        <v>100</v>
      </c>
      <c r="D95" s="66" t="n">
        <v>3</v>
      </c>
      <c r="E95" s="67" t="str">
        <f aca="false">IFERROR(INDEX('Master Data'!$L$2:$L$2436,MATCH($B$3&amp;"|"&amp;D95&amp;"|"&amp;B95&amp;"|"&amp;C95,'Master Data'!$A$2:$A$2436,0)),"")</f>
        <v>Belum terisi</v>
      </c>
      <c r="F95" s="67" t="str">
        <f aca="false">IFERROR(INDEX('Master Data'!$F$2:$F$2436,MATCH($B$3&amp;"|"&amp;D95&amp;"|"&amp;B95&amp;"|"&amp;C95,'Master Data'!$A$2:$A$2436,0))&amp;"","")</f>
        <v>Kids</v>
      </c>
      <c r="G95" s="66" t="n">
        <f aca="false">IFERROR(INDEX('Master Data'!$G$2:$G$2436,MATCH($B$3&amp;"|"&amp;D95&amp;"|"&amp;B95&amp;"|"&amp;C95,'Master Data'!$A$2:$A$2436,0)),"")</f>
        <v>4</v>
      </c>
      <c r="H95" s="67" t="str">
        <f aca="false">IFERROR(INDEX('Master Data'!$K$2:$K$2436,MATCH($B$3&amp;"|"&amp;D95&amp;"|"&amp;B95&amp;"|"&amp;C95,'Master Data'!$A$2:$A$2436,0))&amp;"","")</f>
        <v/>
      </c>
      <c r="I95" s="67" t="s">
        <v>342</v>
      </c>
      <c r="J95" s="67" t="s">
        <v>134</v>
      </c>
      <c r="K95" s="68"/>
      <c r="L95" s="68"/>
      <c r="M95" s="68"/>
      <c r="N95" s="69"/>
      <c r="O95" s="68"/>
    </row>
    <row r="96" customFormat="false" ht="27.75" hidden="false" customHeight="true" outlineLevel="0" collapsed="false">
      <c r="A96" s="66" t="n">
        <v>20</v>
      </c>
      <c r="B96" s="67" t="s">
        <v>90</v>
      </c>
      <c r="C96" s="66" t="s">
        <v>100</v>
      </c>
      <c r="D96" s="66" t="n">
        <v>4</v>
      </c>
      <c r="E96" s="67" t="str">
        <f aca="false">IFERROR(INDEX('Master Data'!$L$2:$L$2436,MATCH($B$3&amp;"|"&amp;D96&amp;"|"&amp;B96&amp;"|"&amp;C96,'Master Data'!$A$2:$A$2436,0)),"")</f>
        <v>Belum terisi</v>
      </c>
      <c r="F96" s="67" t="str">
        <f aca="false">IFERROR(INDEX('Master Data'!$F$2:$F$2436,MATCH($B$3&amp;"|"&amp;D96&amp;"|"&amp;B96&amp;"|"&amp;C96,'Master Data'!$A$2:$A$2436,0))&amp;"","")</f>
        <v>Kids</v>
      </c>
      <c r="G96" s="66" t="n">
        <f aca="false">IFERROR(INDEX('Master Data'!$G$2:$G$2436,MATCH($B$3&amp;"|"&amp;D96&amp;"|"&amp;B96&amp;"|"&amp;C96,'Master Data'!$A$2:$A$2436,0)),"")</f>
        <v>4</v>
      </c>
      <c r="H96" s="67" t="str">
        <f aca="false">IFERROR(INDEX('Master Data'!$K$2:$K$2436,MATCH($B$3&amp;"|"&amp;D96&amp;"|"&amp;B96&amp;"|"&amp;C96,'Master Data'!$A$2:$A$2436,0))&amp;"","")</f>
        <v/>
      </c>
      <c r="I96" s="67" t="s">
        <v>342</v>
      </c>
      <c r="J96" s="67" t="s">
        <v>134</v>
      </c>
      <c r="K96" s="68"/>
      <c r="L96" s="68"/>
      <c r="M96" s="68"/>
      <c r="N96" s="69"/>
      <c r="O96" s="68"/>
    </row>
    <row r="97" customFormat="false" ht="27.75" hidden="false" customHeight="true" outlineLevel="0" collapsed="false">
      <c r="A97" s="66" t="n">
        <v>21</v>
      </c>
      <c r="B97" s="67" t="s">
        <v>90</v>
      </c>
      <c r="C97" s="66" t="s">
        <v>115</v>
      </c>
      <c r="D97" s="66" t="n">
        <v>1</v>
      </c>
      <c r="E97" s="67" t="str">
        <f aca="false">IFERROR(INDEX('Master Data'!$L$2:$L$2436,MATCH($B$3&amp;"|"&amp;D97&amp;"|"&amp;B97&amp;"|"&amp;C97,'Master Data'!$A$2:$A$2436,0)),"")</f>
        <v>Belum terisi</v>
      </c>
      <c r="F97" s="67" t="str">
        <f aca="false">IFERROR(INDEX('Master Data'!$F$2:$F$2436,MATCH($B$3&amp;"|"&amp;D97&amp;"|"&amp;B97&amp;"|"&amp;C97,'Master Data'!$A$2:$A$2436,0))&amp;"","")</f>
        <v>Baby</v>
      </c>
      <c r="G97" s="66" t="n">
        <f aca="false">IFERROR(INDEX('Master Data'!$G$2:$G$2436,MATCH($B$3&amp;"|"&amp;D97&amp;"|"&amp;B97&amp;"|"&amp;C97,'Master Data'!$A$2:$A$2436,0)),"")</f>
        <v>5</v>
      </c>
      <c r="H97" s="67" t="str">
        <f aca="false">IFERROR(INDEX('Master Data'!$K$2:$K$2436,MATCH($B$3&amp;"|"&amp;D97&amp;"|"&amp;B97&amp;"|"&amp;C97,'Master Data'!$A$2:$A$2436,0))&amp;"","")</f>
        <v/>
      </c>
      <c r="I97" s="67" t="s">
        <v>342</v>
      </c>
      <c r="J97" s="67" t="s">
        <v>134</v>
      </c>
      <c r="K97" s="68"/>
      <c r="L97" s="68"/>
      <c r="M97" s="68"/>
      <c r="N97" s="69"/>
      <c r="O97" s="68"/>
    </row>
    <row r="98" customFormat="false" ht="27.75" hidden="false" customHeight="true" outlineLevel="0" collapsed="false">
      <c r="A98" s="66" t="n">
        <v>22</v>
      </c>
      <c r="B98" s="67" t="s">
        <v>90</v>
      </c>
      <c r="C98" s="66" t="s">
        <v>115</v>
      </c>
      <c r="D98" s="66" t="n">
        <v>2</v>
      </c>
      <c r="E98" s="67" t="str">
        <f aca="false">IFERROR(INDEX('Master Data'!$L$2:$L$2436,MATCH($B$3&amp;"|"&amp;D98&amp;"|"&amp;B98&amp;"|"&amp;C98,'Master Data'!$A$2:$A$2436,0)),"")</f>
        <v>Belum terisi</v>
      </c>
      <c r="F98" s="67" t="str">
        <f aca="false">IFERROR(INDEX('Master Data'!$F$2:$F$2436,MATCH($B$3&amp;"|"&amp;D98&amp;"|"&amp;B98&amp;"|"&amp;C98,'Master Data'!$A$2:$A$2436,0))&amp;"","")</f>
        <v>Little</v>
      </c>
      <c r="G98" s="66" t="n">
        <f aca="false">IFERROR(INDEX('Master Data'!$G$2:$G$2436,MATCH($B$3&amp;"|"&amp;D98&amp;"|"&amp;B98&amp;"|"&amp;C98,'Master Data'!$A$2:$A$2436,0)),"")</f>
        <v>5</v>
      </c>
      <c r="H98" s="67" t="str">
        <f aca="false">IFERROR(INDEX('Master Data'!$K$2:$K$2436,MATCH($B$3&amp;"|"&amp;D98&amp;"|"&amp;B98&amp;"|"&amp;C98,'Master Data'!$A$2:$A$2436,0))&amp;"","")</f>
        <v/>
      </c>
      <c r="I98" s="67" t="s">
        <v>342</v>
      </c>
      <c r="J98" s="67" t="s">
        <v>134</v>
      </c>
      <c r="K98" s="68"/>
      <c r="L98" s="68"/>
      <c r="M98" s="68"/>
      <c r="N98" s="69"/>
      <c r="O98" s="68"/>
    </row>
    <row r="99" customFormat="false" ht="27.75" hidden="false" customHeight="true" outlineLevel="0" collapsed="false">
      <c r="A99" s="66" t="n">
        <v>23</v>
      </c>
      <c r="B99" s="67" t="s">
        <v>90</v>
      </c>
      <c r="C99" s="66" t="s">
        <v>101</v>
      </c>
      <c r="D99" s="66" t="n">
        <v>3</v>
      </c>
      <c r="E99" s="67" t="str">
        <f aca="false">IFERROR(INDEX('Master Data'!$L$2:$L$2436,MATCH($B$3&amp;"|"&amp;D99&amp;"|"&amp;B99&amp;"|"&amp;C99,'Master Data'!$A$2:$A$2436,0)),"")</f>
        <v>Belum terisi</v>
      </c>
      <c r="F99" s="67" t="str">
        <f aca="false">IFERROR(INDEX('Master Data'!$F$2:$F$2436,MATCH($B$3&amp;"|"&amp;D99&amp;"|"&amp;B99&amp;"|"&amp;C99,'Master Data'!$A$2:$A$2436,0))&amp;"","")</f>
        <v>Kids</v>
      </c>
      <c r="G99" s="66" t="n">
        <f aca="false">IFERROR(INDEX('Master Data'!$G$2:$G$2436,MATCH($B$3&amp;"|"&amp;D99&amp;"|"&amp;B99&amp;"|"&amp;C99,'Master Data'!$A$2:$A$2436,0)),"")</f>
        <v>4</v>
      </c>
      <c r="H99" s="67" t="str">
        <f aca="false">IFERROR(INDEX('Master Data'!$K$2:$K$2436,MATCH($B$3&amp;"|"&amp;D99&amp;"|"&amp;B99&amp;"|"&amp;C99,'Master Data'!$A$2:$A$2436,0))&amp;"","")</f>
        <v/>
      </c>
      <c r="I99" s="67" t="s">
        <v>342</v>
      </c>
      <c r="J99" s="67" t="s">
        <v>134</v>
      </c>
      <c r="K99" s="68"/>
      <c r="L99" s="68"/>
      <c r="M99" s="68"/>
      <c r="N99" s="69"/>
      <c r="O99" s="68"/>
    </row>
    <row r="100" customFormat="false" ht="27.75" hidden="false" customHeight="true" outlineLevel="0" collapsed="false">
      <c r="A100" s="66" t="n">
        <v>24</v>
      </c>
      <c r="B100" s="67" t="s">
        <v>90</v>
      </c>
      <c r="C100" s="66" t="s">
        <v>101</v>
      </c>
      <c r="D100" s="66" t="n">
        <v>4</v>
      </c>
      <c r="E100" s="67" t="str">
        <f aca="false">IFERROR(INDEX('Master Data'!$L$2:$L$2436,MATCH($B$3&amp;"|"&amp;D100&amp;"|"&amp;B100&amp;"|"&amp;C100,'Master Data'!$A$2:$A$2436,0)),"")</f>
        <v>Belum terisi</v>
      </c>
      <c r="F100" s="67" t="str">
        <f aca="false">IFERROR(INDEX('Master Data'!$F$2:$F$2436,MATCH($B$3&amp;"|"&amp;D100&amp;"|"&amp;B100&amp;"|"&amp;C100,'Master Data'!$A$2:$A$2436,0))&amp;"","")</f>
        <v>Kids</v>
      </c>
      <c r="G100" s="66" t="n">
        <f aca="false">IFERROR(INDEX('Master Data'!$G$2:$G$2436,MATCH($B$3&amp;"|"&amp;D100&amp;"|"&amp;B100&amp;"|"&amp;C100,'Master Data'!$A$2:$A$2436,0)),"")</f>
        <v>4</v>
      </c>
      <c r="H100" s="67" t="str">
        <f aca="false">IFERROR(INDEX('Master Data'!$K$2:$K$2436,MATCH($B$3&amp;"|"&amp;D100&amp;"|"&amp;B100&amp;"|"&amp;C100,'Master Data'!$A$2:$A$2436,0))&amp;"","")</f>
        <v/>
      </c>
      <c r="I100" s="67" t="s">
        <v>342</v>
      </c>
      <c r="J100" s="67" t="s">
        <v>134</v>
      </c>
      <c r="K100" s="68"/>
      <c r="L100" s="68"/>
      <c r="M100" s="68"/>
      <c r="N100" s="69"/>
      <c r="O100" s="68"/>
    </row>
    <row r="101" customFormat="false" ht="27.75" hidden="false" customHeight="true" outlineLevel="0" collapsed="false">
      <c r="A101" s="66" t="n">
        <v>25</v>
      </c>
      <c r="B101" s="67" t="s">
        <v>90</v>
      </c>
      <c r="C101" s="66" t="s">
        <v>116</v>
      </c>
      <c r="D101" s="66" t="n">
        <v>1</v>
      </c>
      <c r="E101" s="67" t="str">
        <f aca="false">IFERROR(INDEX('Master Data'!$L$2:$L$2436,MATCH($B$3&amp;"|"&amp;D101&amp;"|"&amp;B101&amp;"|"&amp;C101,'Master Data'!$A$2:$A$2436,0)),"")</f>
        <v>Belum terisi</v>
      </c>
      <c r="F101" s="67" t="str">
        <f aca="false">IFERROR(INDEX('Master Data'!$F$2:$F$2436,MATCH($B$3&amp;"|"&amp;D101&amp;"|"&amp;B101&amp;"|"&amp;C101,'Master Data'!$A$2:$A$2436,0))&amp;"","")</f>
        <v>Tiny</v>
      </c>
      <c r="G101" s="66" t="n">
        <f aca="false">IFERROR(INDEX('Master Data'!$G$2:$G$2436,MATCH($B$3&amp;"|"&amp;D101&amp;"|"&amp;B101&amp;"|"&amp;C101,'Master Data'!$A$2:$A$2436,0)),"")</f>
        <v>5</v>
      </c>
      <c r="H101" s="67" t="str">
        <f aca="false">IFERROR(INDEX('Master Data'!$K$2:$K$2436,MATCH($B$3&amp;"|"&amp;D101&amp;"|"&amp;B101&amp;"|"&amp;C101,'Master Data'!$A$2:$A$2436,0))&amp;"","")</f>
        <v/>
      </c>
      <c r="I101" s="67" t="s">
        <v>342</v>
      </c>
      <c r="J101" s="67" t="s">
        <v>134</v>
      </c>
      <c r="K101" s="68"/>
      <c r="L101" s="68"/>
      <c r="M101" s="68"/>
      <c r="N101" s="69"/>
      <c r="O101" s="68"/>
    </row>
    <row r="102" customFormat="false" ht="27.75" hidden="false" customHeight="true" outlineLevel="0" collapsed="false">
      <c r="A102" s="66" t="n">
        <v>26</v>
      </c>
      <c r="B102" s="67" t="s">
        <v>90</v>
      </c>
      <c r="C102" s="66" t="s">
        <v>116</v>
      </c>
      <c r="D102" s="66" t="n">
        <v>2</v>
      </c>
      <c r="E102" s="67" t="str">
        <f aca="false">IFERROR(INDEX('Master Data'!$L$2:$L$2436,MATCH($B$3&amp;"|"&amp;D102&amp;"|"&amp;B102&amp;"|"&amp;C102,'Master Data'!$A$2:$A$2436,0)),"")</f>
        <v>Belum terisi</v>
      </c>
      <c r="F102" s="67" t="str">
        <f aca="false">IFERROR(INDEX('Master Data'!$F$2:$F$2436,MATCH($B$3&amp;"|"&amp;D102&amp;"|"&amp;B102&amp;"|"&amp;C102,'Master Data'!$A$2:$A$2436,0))&amp;"","")</f>
        <v>Little</v>
      </c>
      <c r="G102" s="66" t="n">
        <f aca="false">IFERROR(INDEX('Master Data'!$G$2:$G$2436,MATCH($B$3&amp;"|"&amp;D102&amp;"|"&amp;B102&amp;"|"&amp;C102,'Master Data'!$A$2:$A$2436,0)),"")</f>
        <v>5</v>
      </c>
      <c r="H102" s="67" t="str">
        <f aca="false">IFERROR(INDEX('Master Data'!$K$2:$K$2436,MATCH($B$3&amp;"|"&amp;D102&amp;"|"&amp;B102&amp;"|"&amp;C102,'Master Data'!$A$2:$A$2436,0))&amp;"","")</f>
        <v/>
      </c>
      <c r="I102" s="67" t="s">
        <v>342</v>
      </c>
      <c r="J102" s="67" t="s">
        <v>134</v>
      </c>
      <c r="K102" s="68"/>
      <c r="L102" s="68"/>
      <c r="M102" s="68"/>
      <c r="N102" s="69"/>
      <c r="O102" s="68"/>
    </row>
    <row r="103" customFormat="false" ht="27.75" hidden="false" customHeight="true" outlineLevel="0" collapsed="false">
      <c r="A103" s="66" t="n">
        <v>27</v>
      </c>
      <c r="B103" s="67" t="s">
        <v>90</v>
      </c>
      <c r="C103" s="66" t="s">
        <v>102</v>
      </c>
      <c r="D103" s="66" t="n">
        <v>3</v>
      </c>
      <c r="E103" s="67" t="str">
        <f aca="false">IFERROR(INDEX('Master Data'!$L$2:$L$2436,MATCH($B$3&amp;"|"&amp;D103&amp;"|"&amp;B103&amp;"|"&amp;C103,'Master Data'!$A$2:$A$2436,0)),"")</f>
        <v>Belum terisi</v>
      </c>
      <c r="F103" s="67" t="str">
        <f aca="false">IFERROR(INDEX('Master Data'!$F$2:$F$2436,MATCH($B$3&amp;"|"&amp;D103&amp;"|"&amp;B103&amp;"|"&amp;C103,'Master Data'!$A$2:$A$2436,0))&amp;"","")</f>
        <v>Kids</v>
      </c>
      <c r="G103" s="66" t="n">
        <f aca="false">IFERROR(INDEX('Master Data'!$G$2:$G$2436,MATCH($B$3&amp;"|"&amp;D103&amp;"|"&amp;B103&amp;"|"&amp;C103,'Master Data'!$A$2:$A$2436,0)),"")</f>
        <v>4</v>
      </c>
      <c r="H103" s="67" t="str">
        <f aca="false">IFERROR(INDEX('Master Data'!$K$2:$K$2436,MATCH($B$3&amp;"|"&amp;D103&amp;"|"&amp;B103&amp;"|"&amp;C103,'Master Data'!$A$2:$A$2436,0))&amp;"","")</f>
        <v/>
      </c>
      <c r="I103" s="67" t="s">
        <v>342</v>
      </c>
      <c r="J103" s="67" t="s">
        <v>134</v>
      </c>
      <c r="K103" s="68"/>
      <c r="L103" s="68"/>
      <c r="M103" s="68"/>
      <c r="N103" s="69"/>
      <c r="O103" s="68"/>
    </row>
    <row r="104" customFormat="false" ht="27.75" hidden="false" customHeight="true" outlineLevel="0" collapsed="false">
      <c r="A104" s="66" t="n">
        <v>28</v>
      </c>
      <c r="B104" s="67" t="s">
        <v>90</v>
      </c>
      <c r="C104" s="66" t="s">
        <v>102</v>
      </c>
      <c r="D104" s="66" t="n">
        <v>4</v>
      </c>
      <c r="E104" s="67" t="str">
        <f aca="false">IFERROR(INDEX('Master Data'!$L$2:$L$2436,MATCH($B$3&amp;"|"&amp;D104&amp;"|"&amp;B104&amp;"|"&amp;C104,'Master Data'!$A$2:$A$2436,0)),"")</f>
        <v>Belum terisi</v>
      </c>
      <c r="F104" s="67" t="str">
        <f aca="false">IFERROR(INDEX('Master Data'!$F$2:$F$2436,MATCH($B$3&amp;"|"&amp;D104&amp;"|"&amp;B104&amp;"|"&amp;C104,'Master Data'!$A$2:$A$2436,0))&amp;"","")</f>
        <v>Kids</v>
      </c>
      <c r="G104" s="66" t="n">
        <f aca="false">IFERROR(INDEX('Master Data'!$G$2:$G$2436,MATCH($B$3&amp;"|"&amp;D104&amp;"|"&amp;B104&amp;"|"&amp;C104,'Master Data'!$A$2:$A$2436,0)),"")</f>
        <v>4</v>
      </c>
      <c r="H104" s="67" t="str">
        <f aca="false">IFERROR(INDEX('Master Data'!$K$2:$K$2436,MATCH($B$3&amp;"|"&amp;D104&amp;"|"&amp;B104&amp;"|"&amp;C104,'Master Data'!$A$2:$A$2436,0))&amp;"","")</f>
        <v/>
      </c>
      <c r="I104" s="67" t="s">
        <v>342</v>
      </c>
      <c r="J104" s="67" t="s">
        <v>134</v>
      </c>
      <c r="K104" s="68"/>
      <c r="L104" s="68"/>
      <c r="M104" s="68"/>
      <c r="N104" s="69"/>
      <c r="O104" s="68"/>
    </row>
    <row r="105" customFormat="false" ht="15.75" hidden="false" customHeight="true" outlineLevel="0" collapsed="false">
      <c r="A105" s="66" t="n">
        <v>29</v>
      </c>
      <c r="B105" s="67" t="s">
        <v>90</v>
      </c>
      <c r="C105" s="66" t="s">
        <v>117</v>
      </c>
      <c r="D105" s="66" t="n">
        <v>1</v>
      </c>
      <c r="E105" s="67" t="str">
        <f aca="false">IFERROR(INDEX('Master Data'!$L$2:$L$2436,MATCH($B$3&amp;"|"&amp;D105&amp;"|"&amp;B105&amp;"|"&amp;C105,'Master Data'!$A$2:$A$2436,0)),"")</f>
        <v>Belum terisi</v>
      </c>
      <c r="F105" s="67" t="str">
        <f aca="false">IFERROR(INDEX('Master Data'!$F$2:$F$2436,MATCH($B$3&amp;"|"&amp;D105&amp;"|"&amp;B105&amp;"|"&amp;C105,'Master Data'!$A$2:$A$2436,0))&amp;"","")</f>
        <v>Baby</v>
      </c>
      <c r="G105" s="66" t="n">
        <f aca="false">IFERROR(INDEX('Master Data'!$G$2:$G$2436,MATCH($B$3&amp;"|"&amp;D105&amp;"|"&amp;B105&amp;"|"&amp;C105,'Master Data'!$A$2:$A$2436,0)),"")</f>
        <v>5</v>
      </c>
      <c r="H105" s="67" t="str">
        <f aca="false">IFERROR(INDEX('Master Data'!$K$2:$K$2436,MATCH($B$3&amp;"|"&amp;D105&amp;"|"&amp;B105&amp;"|"&amp;C105,'Master Data'!$A$2:$A$2436,0))&amp;"","")</f>
        <v/>
      </c>
      <c r="I105" s="67" t="s">
        <v>343</v>
      </c>
      <c r="J105" s="67" t="s">
        <v>221</v>
      </c>
      <c r="K105" s="68"/>
      <c r="L105" s="68"/>
      <c r="M105" s="68"/>
      <c r="N105" s="69"/>
      <c r="O105" s="68"/>
    </row>
    <row r="106" customFormat="false" ht="15.75" hidden="false" customHeight="true" outlineLevel="0" collapsed="false">
      <c r="A106" s="66" t="n">
        <v>30</v>
      </c>
      <c r="B106" s="67" t="s">
        <v>90</v>
      </c>
      <c r="C106" s="66" t="s">
        <v>117</v>
      </c>
      <c r="D106" s="66" t="n">
        <v>2</v>
      </c>
      <c r="E106" s="67" t="str">
        <f aca="false">IFERROR(INDEX('Master Data'!$L$2:$L$2436,MATCH($B$3&amp;"|"&amp;D106&amp;"|"&amp;B106&amp;"|"&amp;C106,'Master Data'!$A$2:$A$2436,0)),"")</f>
        <v>Belum terisi</v>
      </c>
      <c r="F106" s="67" t="str">
        <f aca="false">IFERROR(INDEX('Master Data'!$F$2:$F$2436,MATCH($B$3&amp;"|"&amp;D106&amp;"|"&amp;B106&amp;"|"&amp;C106,'Master Data'!$A$2:$A$2436,0))&amp;"","")</f>
        <v>Little</v>
      </c>
      <c r="G106" s="66" t="n">
        <f aca="false">IFERROR(INDEX('Master Data'!$G$2:$G$2436,MATCH($B$3&amp;"|"&amp;D106&amp;"|"&amp;B106&amp;"|"&amp;C106,'Master Data'!$A$2:$A$2436,0)),"")</f>
        <v>5</v>
      </c>
      <c r="H106" s="67" t="str">
        <f aca="false">IFERROR(INDEX('Master Data'!$K$2:$K$2436,MATCH($B$3&amp;"|"&amp;D106&amp;"|"&amp;B106&amp;"|"&amp;C106,'Master Data'!$A$2:$A$2436,0))&amp;"","")</f>
        <v/>
      </c>
      <c r="I106" s="67" t="s">
        <v>343</v>
      </c>
      <c r="J106" s="67" t="s">
        <v>203</v>
      </c>
      <c r="K106" s="68"/>
      <c r="L106" s="68"/>
      <c r="M106" s="68"/>
      <c r="N106" s="69"/>
      <c r="O106" s="68"/>
    </row>
    <row r="107" customFormat="false" ht="15.75" hidden="false" customHeight="true" outlineLevel="0" collapsed="false">
      <c r="A107" s="66" t="n">
        <v>31</v>
      </c>
      <c r="B107" s="67" t="s">
        <v>90</v>
      </c>
      <c r="C107" s="66" t="s">
        <v>103</v>
      </c>
      <c r="D107" s="66" t="n">
        <v>4</v>
      </c>
      <c r="E107" s="67" t="str">
        <f aca="false">IFERROR(INDEX('Master Data'!$L$2:$L$2436,MATCH($B$3&amp;"|"&amp;D107&amp;"|"&amp;B107&amp;"|"&amp;C107,'Master Data'!$A$2:$A$2436,0)),"")</f>
        <v>Belum terisi</v>
      </c>
      <c r="F107" s="67" t="str">
        <f aca="false">IFERROR(INDEX('Master Data'!$F$2:$F$2436,MATCH($B$3&amp;"|"&amp;D107&amp;"|"&amp;B107&amp;"|"&amp;C107,'Master Data'!$A$2:$A$2436,0))&amp;"","")</f>
        <v>Kids</v>
      </c>
      <c r="G107" s="66" t="n">
        <f aca="false">IFERROR(INDEX('Master Data'!$G$2:$G$2436,MATCH($B$3&amp;"|"&amp;D107&amp;"|"&amp;B107&amp;"|"&amp;C107,'Master Data'!$A$2:$A$2436,0)),"")</f>
        <v>4</v>
      </c>
      <c r="H107" s="67" t="str">
        <f aca="false">IFERROR(INDEX('Master Data'!$K$2:$K$2436,MATCH($B$3&amp;"|"&amp;D107&amp;"|"&amp;B107&amp;"|"&amp;C107,'Master Data'!$A$2:$A$2436,0))&amp;"","")</f>
        <v/>
      </c>
      <c r="I107" s="67" t="s">
        <v>343</v>
      </c>
      <c r="J107" s="67" t="s">
        <v>203</v>
      </c>
      <c r="K107" s="68"/>
      <c r="L107" s="68"/>
      <c r="M107" s="68"/>
      <c r="N107" s="69"/>
      <c r="O107" s="68"/>
    </row>
    <row r="108" customFormat="false" ht="15.75" hidden="false" customHeight="true" outlineLevel="0" collapsed="false">
      <c r="A108" s="66" t="n">
        <v>32</v>
      </c>
      <c r="B108" s="67" t="s">
        <v>90</v>
      </c>
      <c r="C108" s="66" t="s">
        <v>118</v>
      </c>
      <c r="D108" s="66" t="n">
        <v>1</v>
      </c>
      <c r="E108" s="67" t="str">
        <f aca="false">IFERROR(INDEX('Master Data'!$L$2:$L$2436,MATCH($B$3&amp;"|"&amp;D108&amp;"|"&amp;B108&amp;"|"&amp;C108,'Master Data'!$A$2:$A$2436,0)),"")</f>
        <v>Belum terisi</v>
      </c>
      <c r="F108" s="67" t="str">
        <f aca="false">IFERROR(INDEX('Master Data'!$F$2:$F$2436,MATCH($B$3&amp;"|"&amp;D108&amp;"|"&amp;B108&amp;"|"&amp;C108,'Master Data'!$A$2:$A$2436,0))&amp;"","")</f>
        <v>Tiny</v>
      </c>
      <c r="G108" s="66" t="n">
        <f aca="false">IFERROR(INDEX('Master Data'!$G$2:$G$2436,MATCH($B$3&amp;"|"&amp;D108&amp;"|"&amp;B108&amp;"|"&amp;C108,'Master Data'!$A$2:$A$2436,0)),"")</f>
        <v>5</v>
      </c>
      <c r="H108" s="67" t="str">
        <f aca="false">IFERROR(INDEX('Master Data'!$K$2:$K$2436,MATCH($B$3&amp;"|"&amp;D108&amp;"|"&amp;B108&amp;"|"&amp;C108,'Master Data'!$A$2:$A$2436,0))&amp;"","")</f>
        <v/>
      </c>
      <c r="I108" s="70" t="s">
        <v>154</v>
      </c>
      <c r="J108" s="67" t="s">
        <v>42</v>
      </c>
      <c r="K108" s="68"/>
      <c r="L108" s="68"/>
      <c r="M108" s="68"/>
      <c r="N108" s="69"/>
      <c r="O108" s="68"/>
    </row>
    <row r="109" customFormat="false" ht="15.75" hidden="false" customHeight="true" outlineLevel="0" collapsed="false">
      <c r="A109" s="66" t="n">
        <v>33</v>
      </c>
      <c r="B109" s="67" t="s">
        <v>90</v>
      </c>
      <c r="C109" s="66" t="s">
        <v>118</v>
      </c>
      <c r="D109" s="66" t="n">
        <v>2</v>
      </c>
      <c r="E109" s="67" t="str">
        <f aca="false">IFERROR(INDEX('Master Data'!$L$2:$L$2436,MATCH($B$3&amp;"|"&amp;D109&amp;"|"&amp;B109&amp;"|"&amp;C109,'Master Data'!$A$2:$A$2436,0)),"")</f>
        <v>Belum terisi</v>
      </c>
      <c r="F109" s="67" t="str">
        <f aca="false">IFERROR(INDEX('Master Data'!$F$2:$F$2436,MATCH($B$3&amp;"|"&amp;D109&amp;"|"&amp;B109&amp;"|"&amp;C109,'Master Data'!$A$2:$A$2436,0))&amp;"","")</f>
        <v>Little</v>
      </c>
      <c r="G109" s="66" t="n">
        <f aca="false">IFERROR(INDEX('Master Data'!$G$2:$G$2436,MATCH($B$3&amp;"|"&amp;D109&amp;"|"&amp;B109&amp;"|"&amp;C109,'Master Data'!$A$2:$A$2436,0)),"")</f>
        <v>5</v>
      </c>
      <c r="H109" s="67" t="str">
        <f aca="false">IFERROR(INDEX('Master Data'!$K$2:$K$2436,MATCH($B$3&amp;"|"&amp;D109&amp;"|"&amp;B109&amp;"|"&amp;C109,'Master Data'!$A$2:$A$2436,0))&amp;"","")</f>
        <v/>
      </c>
      <c r="I109" s="70" t="s">
        <v>154</v>
      </c>
      <c r="J109" s="67" t="s">
        <v>277</v>
      </c>
      <c r="K109" s="68"/>
      <c r="L109" s="68"/>
      <c r="M109" s="68"/>
      <c r="N109" s="69"/>
      <c r="O109" s="68"/>
    </row>
    <row r="110" customFormat="false" ht="15.75" hidden="false" customHeight="true" outlineLevel="0" collapsed="false">
      <c r="A110" s="66" t="n">
        <v>34</v>
      </c>
      <c r="B110" s="67" t="s">
        <v>90</v>
      </c>
      <c r="C110" s="66" t="s">
        <v>104</v>
      </c>
      <c r="D110" s="66" t="n">
        <v>4</v>
      </c>
      <c r="E110" s="67" t="str">
        <f aca="false">IFERROR(INDEX('Master Data'!$L$2:$L$2436,MATCH($B$3&amp;"|"&amp;D110&amp;"|"&amp;B110&amp;"|"&amp;C110,'Master Data'!$A$2:$A$2436,0)),"")</f>
        <v>Belum terisi</v>
      </c>
      <c r="F110" s="67" t="str">
        <f aca="false">IFERROR(INDEX('Master Data'!$F$2:$F$2436,MATCH($B$3&amp;"|"&amp;D110&amp;"|"&amp;B110&amp;"|"&amp;C110,'Master Data'!$A$2:$A$2436,0))&amp;"","")</f>
        <v>Kids</v>
      </c>
      <c r="G110" s="66" t="n">
        <f aca="false">IFERROR(INDEX('Master Data'!$G$2:$G$2436,MATCH($B$3&amp;"|"&amp;D110&amp;"|"&amp;B110&amp;"|"&amp;C110,'Master Data'!$A$2:$A$2436,0)),"")</f>
        <v>4</v>
      </c>
      <c r="H110" s="67" t="str">
        <f aca="false">IFERROR(INDEX('Master Data'!$K$2:$K$2436,MATCH($B$3&amp;"|"&amp;D110&amp;"|"&amp;B110&amp;"|"&amp;C110,'Master Data'!$A$2:$A$2436,0))&amp;"","")</f>
        <v/>
      </c>
      <c r="I110" s="67" t="s">
        <v>344</v>
      </c>
      <c r="J110" s="67" t="s">
        <v>134</v>
      </c>
      <c r="K110" s="68"/>
      <c r="L110" s="68"/>
      <c r="M110" s="68"/>
      <c r="N110" s="69"/>
      <c r="O110" s="68"/>
    </row>
    <row r="111" customFormat="false" ht="15.75" hidden="false" customHeight="true" outlineLevel="0" collapsed="false">
      <c r="A111" s="66" t="n">
        <v>35</v>
      </c>
      <c r="B111" s="67" t="s">
        <v>90</v>
      </c>
      <c r="C111" s="66" t="s">
        <v>119</v>
      </c>
      <c r="D111" s="66" t="n">
        <v>1</v>
      </c>
      <c r="E111" s="67" t="str">
        <f aca="false">IFERROR(INDEX('Master Data'!$L$2:$L$2436,MATCH($B$3&amp;"|"&amp;D111&amp;"|"&amp;B111&amp;"|"&amp;C111,'Master Data'!$A$2:$A$2436,0)),"")</f>
        <v>Belum terisi</v>
      </c>
      <c r="F111" s="67" t="str">
        <f aca="false">IFERROR(INDEX('Master Data'!$F$2:$F$2436,MATCH($B$3&amp;"|"&amp;D111&amp;"|"&amp;B111&amp;"|"&amp;C111,'Master Data'!$A$2:$A$2436,0))&amp;"","")</f>
        <v>Baby</v>
      </c>
      <c r="G111" s="66" t="n">
        <f aca="false">IFERROR(INDEX('Master Data'!$G$2:$G$2436,MATCH($B$3&amp;"|"&amp;D111&amp;"|"&amp;B111&amp;"|"&amp;C111,'Master Data'!$A$2:$A$2436,0)),"")</f>
        <v>5</v>
      </c>
      <c r="H111" s="67" t="str">
        <f aca="false">IFERROR(INDEX('Master Data'!$K$2:$K$2436,MATCH($B$3&amp;"|"&amp;D111&amp;"|"&amp;B111&amp;"|"&amp;C111,'Master Data'!$A$2:$A$2436,0))&amp;"","")</f>
        <v/>
      </c>
      <c r="I111" s="70" t="s">
        <v>154</v>
      </c>
      <c r="J111" s="67" t="s">
        <v>242</v>
      </c>
      <c r="K111" s="68"/>
      <c r="L111" s="68"/>
      <c r="M111" s="68"/>
      <c r="N111" s="69"/>
      <c r="O111" s="68"/>
    </row>
    <row r="112" customFormat="false" ht="15.75" hidden="false" customHeight="true" outlineLevel="0" collapsed="false">
      <c r="A112" s="66" t="n">
        <v>36</v>
      </c>
      <c r="B112" s="67" t="s">
        <v>90</v>
      </c>
      <c r="C112" s="66" t="s">
        <v>119</v>
      </c>
      <c r="D112" s="66" t="n">
        <v>2</v>
      </c>
      <c r="E112" s="67" t="str">
        <f aca="false">IFERROR(INDEX('Master Data'!$L$2:$L$2436,MATCH($B$3&amp;"|"&amp;D112&amp;"|"&amp;B112&amp;"|"&amp;C112,'Master Data'!$A$2:$A$2436,0)),"")</f>
        <v>Belum terisi</v>
      </c>
      <c r="F112" s="67" t="str">
        <f aca="false">IFERROR(INDEX('Master Data'!$F$2:$F$2436,MATCH($B$3&amp;"|"&amp;D112&amp;"|"&amp;B112&amp;"|"&amp;C112,'Master Data'!$A$2:$A$2436,0))&amp;"","")</f>
        <v>Little</v>
      </c>
      <c r="G112" s="66" t="n">
        <f aca="false">IFERROR(INDEX('Master Data'!$G$2:$G$2436,MATCH($B$3&amp;"|"&amp;D112&amp;"|"&amp;B112&amp;"|"&amp;C112,'Master Data'!$A$2:$A$2436,0)),"")</f>
        <v>5</v>
      </c>
      <c r="H112" s="67" t="str">
        <f aca="false">IFERROR(INDEX('Master Data'!$K$2:$K$2436,MATCH($B$3&amp;"|"&amp;D112&amp;"|"&amp;B112&amp;"|"&amp;C112,'Master Data'!$A$2:$A$2436,0))&amp;"","")</f>
        <v/>
      </c>
      <c r="I112" s="70" t="s">
        <v>154</v>
      </c>
      <c r="J112" s="67" t="s">
        <v>277</v>
      </c>
      <c r="K112" s="68"/>
      <c r="L112" s="68"/>
      <c r="M112" s="68"/>
      <c r="N112" s="69"/>
      <c r="O112" s="68"/>
    </row>
    <row r="113" customFormat="false" ht="15.75" hidden="false" customHeight="true" outlineLevel="0" collapsed="false">
      <c r="A113" s="66" t="n">
        <v>37</v>
      </c>
      <c r="B113" s="67" t="s">
        <v>90</v>
      </c>
      <c r="C113" s="66" t="s">
        <v>105</v>
      </c>
      <c r="D113" s="66" t="n">
        <v>4</v>
      </c>
      <c r="E113" s="67" t="str">
        <f aca="false">IFERROR(INDEX('Master Data'!$L$2:$L$2436,MATCH($B$3&amp;"|"&amp;D113&amp;"|"&amp;B113&amp;"|"&amp;C113,'Master Data'!$A$2:$A$2436,0)),"")</f>
        <v>Belum terisi</v>
      </c>
      <c r="F113" s="67" t="str">
        <f aca="false">IFERROR(INDEX('Master Data'!$F$2:$F$2436,MATCH($B$3&amp;"|"&amp;D113&amp;"|"&amp;B113&amp;"|"&amp;C113,'Master Data'!$A$2:$A$2436,0))&amp;"","")</f>
        <v>Kids</v>
      </c>
      <c r="G113" s="66" t="n">
        <f aca="false">IFERROR(INDEX('Master Data'!$G$2:$G$2436,MATCH($B$3&amp;"|"&amp;D113&amp;"|"&amp;B113&amp;"|"&amp;C113,'Master Data'!$A$2:$A$2436,0)),"")</f>
        <v>4</v>
      </c>
      <c r="H113" s="67" t="str">
        <f aca="false">IFERROR(INDEX('Master Data'!$K$2:$K$2436,MATCH($B$3&amp;"|"&amp;D113&amp;"|"&amp;B113&amp;"|"&amp;C113,'Master Data'!$A$2:$A$2436,0))&amp;"","")</f>
        <v/>
      </c>
      <c r="I113" s="67" t="s">
        <v>343</v>
      </c>
      <c r="J113" s="67" t="s">
        <v>203</v>
      </c>
      <c r="K113" s="68"/>
      <c r="L113" s="68"/>
      <c r="M113" s="68"/>
      <c r="N113" s="69"/>
      <c r="O113" s="68"/>
    </row>
    <row r="114" customFormat="false" ht="15.75" hidden="false" customHeight="true" outlineLevel="0" collapsed="false">
      <c r="A114" s="66" t="n">
        <v>38</v>
      </c>
      <c r="B114" s="67" t="s">
        <v>90</v>
      </c>
      <c r="C114" s="66" t="s">
        <v>120</v>
      </c>
      <c r="D114" s="66" t="n">
        <v>1</v>
      </c>
      <c r="E114" s="67" t="str">
        <f aca="false">IFERROR(INDEX('Master Data'!$L$2:$L$2436,MATCH($B$3&amp;"|"&amp;D114&amp;"|"&amp;B114&amp;"|"&amp;C114,'Master Data'!$A$2:$A$2436,0)),"")</f>
        <v>Belum terisi</v>
      </c>
      <c r="F114" s="67" t="str">
        <f aca="false">IFERROR(INDEX('Master Data'!$F$2:$F$2436,MATCH($B$3&amp;"|"&amp;D114&amp;"|"&amp;B114&amp;"|"&amp;C114,'Master Data'!$A$2:$A$2436,0))&amp;"","")</f>
        <v>Tiny</v>
      </c>
      <c r="G114" s="66" t="n">
        <f aca="false">IFERROR(INDEX('Master Data'!$G$2:$G$2436,MATCH($B$3&amp;"|"&amp;D114&amp;"|"&amp;B114&amp;"|"&amp;C114,'Master Data'!$A$2:$A$2436,0)),"")</f>
        <v>5</v>
      </c>
      <c r="H114" s="67" t="str">
        <f aca="false">IFERROR(INDEX('Master Data'!$K$2:$K$2436,MATCH($B$3&amp;"|"&amp;D114&amp;"|"&amp;B114&amp;"|"&amp;C114,'Master Data'!$A$2:$A$2436,0))&amp;"","")</f>
        <v/>
      </c>
      <c r="I114" s="67" t="s">
        <v>343</v>
      </c>
      <c r="J114" s="67" t="s">
        <v>144</v>
      </c>
      <c r="K114" s="68"/>
      <c r="L114" s="68"/>
      <c r="M114" s="68"/>
      <c r="N114" s="69"/>
      <c r="O114" s="68"/>
    </row>
    <row r="115" customFormat="false" ht="15.75" hidden="false" customHeight="true" outlineLevel="0" collapsed="false">
      <c r="A115" s="66" t="n">
        <v>39</v>
      </c>
      <c r="B115" s="67" t="s">
        <v>90</v>
      </c>
      <c r="C115" s="66" t="s">
        <v>120</v>
      </c>
      <c r="D115" s="66" t="n">
        <v>2</v>
      </c>
      <c r="E115" s="67" t="str">
        <f aca="false">IFERROR(INDEX('Master Data'!$L$2:$L$2436,MATCH($B$3&amp;"|"&amp;D115&amp;"|"&amp;B115&amp;"|"&amp;C115,'Master Data'!$A$2:$A$2436,0)),"")</f>
        <v>Belum terisi</v>
      </c>
      <c r="F115" s="67" t="str">
        <f aca="false">IFERROR(INDEX('Master Data'!$F$2:$F$2436,MATCH($B$3&amp;"|"&amp;D115&amp;"|"&amp;B115&amp;"|"&amp;C115,'Master Data'!$A$2:$A$2436,0))&amp;"","")</f>
        <v>Little</v>
      </c>
      <c r="G115" s="66" t="n">
        <f aca="false">IFERROR(INDEX('Master Data'!$G$2:$G$2436,MATCH($B$3&amp;"|"&amp;D115&amp;"|"&amp;B115&amp;"|"&amp;C115,'Master Data'!$A$2:$A$2436,0)),"")</f>
        <v>5</v>
      </c>
      <c r="H115" s="67" t="str">
        <f aca="false">IFERROR(INDEX('Master Data'!$K$2:$K$2436,MATCH($B$3&amp;"|"&amp;D115&amp;"|"&amp;B115&amp;"|"&amp;C115,'Master Data'!$A$2:$A$2436,0))&amp;"","")</f>
        <v/>
      </c>
      <c r="I115" s="67" t="s">
        <v>343</v>
      </c>
      <c r="J115" s="67" t="s">
        <v>203</v>
      </c>
      <c r="K115" s="68"/>
      <c r="L115" s="68"/>
      <c r="M115" s="68"/>
      <c r="N115" s="69"/>
      <c r="O115" s="68"/>
    </row>
    <row r="116" customFormat="false" ht="15.75" hidden="false" customHeight="true" outlineLevel="0" collapsed="false">
      <c r="A116" s="66" t="n">
        <v>40</v>
      </c>
      <c r="B116" s="67" t="s">
        <v>90</v>
      </c>
      <c r="C116" s="66" t="s">
        <v>106</v>
      </c>
      <c r="D116" s="66" t="n">
        <v>4</v>
      </c>
      <c r="E116" s="67" t="str">
        <f aca="false">IFERROR(INDEX('Master Data'!$L$2:$L$2436,MATCH($B$3&amp;"|"&amp;D116&amp;"|"&amp;B116&amp;"|"&amp;C116,'Master Data'!$A$2:$A$2436,0)),"")</f>
        <v>Belum terisi</v>
      </c>
      <c r="F116" s="67" t="str">
        <f aca="false">IFERROR(INDEX('Master Data'!$F$2:$F$2436,MATCH($B$3&amp;"|"&amp;D116&amp;"|"&amp;B116&amp;"|"&amp;C116,'Master Data'!$A$2:$A$2436,0))&amp;"","")</f>
        <v>Kids</v>
      </c>
      <c r="G116" s="66" t="n">
        <f aca="false">IFERROR(INDEX('Master Data'!$G$2:$G$2436,MATCH($B$3&amp;"|"&amp;D116&amp;"|"&amp;B116&amp;"|"&amp;C116,'Master Data'!$A$2:$A$2436,0)),"")</f>
        <v>4</v>
      </c>
      <c r="H116" s="67" t="str">
        <f aca="false">IFERROR(INDEX('Master Data'!$K$2:$K$2436,MATCH($B$3&amp;"|"&amp;D116&amp;"|"&amp;B116&amp;"|"&amp;C116,'Master Data'!$A$2:$A$2436,0))&amp;"","")</f>
        <v/>
      </c>
      <c r="I116" s="67" t="s">
        <v>343</v>
      </c>
      <c r="J116" s="67" t="s">
        <v>203</v>
      </c>
      <c r="K116" s="68"/>
      <c r="L116" s="68"/>
      <c r="M116" s="68"/>
      <c r="N116" s="69"/>
      <c r="O116" s="68"/>
    </row>
    <row r="117" customFormat="false" ht="15.75" hidden="false" customHeight="true" outlineLevel="0" collapsed="false">
      <c r="A117" s="66" t="n">
        <v>41</v>
      </c>
      <c r="B117" s="67" t="s">
        <v>90</v>
      </c>
      <c r="C117" s="66" t="s">
        <v>121</v>
      </c>
      <c r="D117" s="66" t="n">
        <v>1</v>
      </c>
      <c r="E117" s="67" t="str">
        <f aca="false">IFERROR(INDEX('Master Data'!$L$2:$L$2436,MATCH($B$3&amp;"|"&amp;D117&amp;"|"&amp;B117&amp;"|"&amp;C117,'Master Data'!$A$2:$A$2436,0)),"")</f>
        <v>Belum terisi</v>
      </c>
      <c r="F117" s="67" t="str">
        <f aca="false">IFERROR(INDEX('Master Data'!$F$2:$F$2436,MATCH($B$3&amp;"|"&amp;D117&amp;"|"&amp;B117&amp;"|"&amp;C117,'Master Data'!$A$2:$A$2436,0))&amp;"","")</f>
        <v>Baby</v>
      </c>
      <c r="G117" s="66" t="n">
        <f aca="false">IFERROR(INDEX('Master Data'!$G$2:$G$2436,MATCH($B$3&amp;"|"&amp;D117&amp;"|"&amp;B117&amp;"|"&amp;C117,'Master Data'!$A$2:$A$2436,0)),"")</f>
        <v>5</v>
      </c>
      <c r="H117" s="67" t="str">
        <f aca="false">IFERROR(INDEX('Master Data'!$K$2:$K$2436,MATCH($B$3&amp;"|"&amp;D117&amp;"|"&amp;B117&amp;"|"&amp;C117,'Master Data'!$A$2:$A$2436,0))&amp;"","")</f>
        <v/>
      </c>
      <c r="I117" s="67" t="s">
        <v>343</v>
      </c>
      <c r="J117" s="67" t="s">
        <v>221</v>
      </c>
      <c r="K117" s="68"/>
      <c r="L117" s="68"/>
      <c r="M117" s="68"/>
      <c r="N117" s="69"/>
      <c r="O117" s="68"/>
    </row>
    <row r="118" customFormat="false" ht="15.75" hidden="false" customHeight="true" outlineLevel="0" collapsed="false">
      <c r="A118" s="66" t="n">
        <v>42</v>
      </c>
      <c r="B118" s="67" t="s">
        <v>90</v>
      </c>
      <c r="C118" s="66" t="s">
        <v>121</v>
      </c>
      <c r="D118" s="66" t="n">
        <v>2</v>
      </c>
      <c r="E118" s="67" t="str">
        <f aca="false">IFERROR(INDEX('Master Data'!$L$2:$L$2436,MATCH($B$3&amp;"|"&amp;D118&amp;"|"&amp;B118&amp;"|"&amp;C118,'Master Data'!$A$2:$A$2436,0)),"")</f>
        <v>Belum terisi</v>
      </c>
      <c r="F118" s="67" t="str">
        <f aca="false">IFERROR(INDEX('Master Data'!$F$2:$F$2436,MATCH($B$3&amp;"|"&amp;D118&amp;"|"&amp;B118&amp;"|"&amp;C118,'Master Data'!$A$2:$A$2436,0))&amp;"","")</f>
        <v>Little</v>
      </c>
      <c r="G118" s="66" t="n">
        <f aca="false">IFERROR(INDEX('Master Data'!$G$2:$G$2436,MATCH($B$3&amp;"|"&amp;D118&amp;"|"&amp;B118&amp;"|"&amp;C118,'Master Data'!$A$2:$A$2436,0)),"")</f>
        <v>5</v>
      </c>
      <c r="H118" s="67" t="str">
        <f aca="false">IFERROR(INDEX('Master Data'!$K$2:$K$2436,MATCH($B$3&amp;"|"&amp;D118&amp;"|"&amp;B118&amp;"|"&amp;C118,'Master Data'!$A$2:$A$2436,0))&amp;"","")</f>
        <v/>
      </c>
      <c r="I118" s="67" t="s">
        <v>343</v>
      </c>
      <c r="J118" s="67" t="s">
        <v>203</v>
      </c>
      <c r="K118" s="68"/>
      <c r="L118" s="68"/>
      <c r="M118" s="68"/>
      <c r="N118" s="69"/>
      <c r="O118" s="68"/>
    </row>
    <row r="119" customFormat="false" ht="27.75" hidden="false" customHeight="true" outlineLevel="0" collapsed="false">
      <c r="A119" s="66" t="n">
        <v>43</v>
      </c>
      <c r="B119" s="67" t="s">
        <v>90</v>
      </c>
      <c r="C119" s="66" t="s">
        <v>107</v>
      </c>
      <c r="D119" s="66" t="n">
        <v>3</v>
      </c>
      <c r="E119" s="67" t="str">
        <f aca="false">IFERROR(INDEX('Master Data'!$L$2:$L$2436,MATCH($B$3&amp;"|"&amp;D119&amp;"|"&amp;B119&amp;"|"&amp;C119,'Master Data'!$A$2:$A$2436,0)),"")</f>
        <v>Belum terisi</v>
      </c>
      <c r="F119" s="67" t="str">
        <f aca="false">IFERROR(INDEX('Master Data'!$F$2:$F$2436,MATCH($B$3&amp;"|"&amp;D119&amp;"|"&amp;B119&amp;"|"&amp;C119,'Master Data'!$A$2:$A$2436,0))&amp;"","")</f>
        <v>Kids</v>
      </c>
      <c r="G119" s="66" t="n">
        <f aca="false">IFERROR(INDEX('Master Data'!$G$2:$G$2436,MATCH($B$3&amp;"|"&amp;D119&amp;"|"&amp;B119&amp;"|"&amp;C119,'Master Data'!$A$2:$A$2436,0)),"")</f>
        <v>4</v>
      </c>
      <c r="H119" s="67" t="str">
        <f aca="false">IFERROR(INDEX('Master Data'!$K$2:$K$2436,MATCH($B$3&amp;"|"&amp;D119&amp;"|"&amp;B119&amp;"|"&amp;C119,'Master Data'!$A$2:$A$2436,0))&amp;"","")</f>
        <v/>
      </c>
      <c r="I119" s="67" t="s">
        <v>342</v>
      </c>
      <c r="J119" s="67" t="s">
        <v>134</v>
      </c>
      <c r="K119" s="68"/>
      <c r="L119" s="68"/>
      <c r="M119" s="68"/>
      <c r="N119" s="69"/>
      <c r="O119" s="68"/>
    </row>
    <row r="120" customFormat="false" ht="27.75" hidden="false" customHeight="true" outlineLevel="0" collapsed="false">
      <c r="A120" s="66" t="n">
        <v>44</v>
      </c>
      <c r="B120" s="67" t="s">
        <v>90</v>
      </c>
      <c r="C120" s="66" t="s">
        <v>107</v>
      </c>
      <c r="D120" s="66" t="n">
        <v>4</v>
      </c>
      <c r="E120" s="67" t="str">
        <f aca="false">IFERROR(INDEX('Master Data'!$L$2:$L$2436,MATCH($B$3&amp;"|"&amp;D120&amp;"|"&amp;B120&amp;"|"&amp;C120,'Master Data'!$A$2:$A$2436,0)),"")</f>
        <v>Belum terisi</v>
      </c>
      <c r="F120" s="67" t="str">
        <f aca="false">IFERROR(INDEX('Master Data'!$F$2:$F$2436,MATCH($B$3&amp;"|"&amp;D120&amp;"|"&amp;B120&amp;"|"&amp;C120,'Master Data'!$A$2:$A$2436,0))&amp;"","")</f>
        <v>Kids</v>
      </c>
      <c r="G120" s="66" t="n">
        <f aca="false">IFERROR(INDEX('Master Data'!$G$2:$G$2436,MATCH($B$3&amp;"|"&amp;D120&amp;"|"&amp;B120&amp;"|"&amp;C120,'Master Data'!$A$2:$A$2436,0)),"")</f>
        <v>4</v>
      </c>
      <c r="H120" s="67" t="str">
        <f aca="false">IFERROR(INDEX('Master Data'!$K$2:$K$2436,MATCH($B$3&amp;"|"&amp;D120&amp;"|"&amp;B120&amp;"|"&amp;C120,'Master Data'!$A$2:$A$2436,0))&amp;"","")</f>
        <v/>
      </c>
      <c r="I120" s="67" t="s">
        <v>342</v>
      </c>
      <c r="J120" s="67" t="s">
        <v>134</v>
      </c>
      <c r="K120" s="68"/>
      <c r="L120" s="68"/>
      <c r="M120" s="68"/>
      <c r="N120" s="69"/>
      <c r="O120" s="68"/>
    </row>
    <row r="121" customFormat="false" ht="27.75" hidden="false" customHeight="true" outlineLevel="0" collapsed="false">
      <c r="A121" s="66" t="n">
        <v>45</v>
      </c>
      <c r="B121" s="67" t="s">
        <v>91</v>
      </c>
      <c r="C121" s="66" t="s">
        <v>110</v>
      </c>
      <c r="D121" s="66" t="n">
        <v>1</v>
      </c>
      <c r="E121" s="67" t="str">
        <f aca="false">IFERROR(INDEX('Master Data'!$L$2:$L$2436,MATCH($B$3&amp;"|"&amp;D121&amp;"|"&amp;B121&amp;"|"&amp;C121,'Master Data'!$A$2:$A$2436,0)),"")</f>
        <v>Belum terisi</v>
      </c>
      <c r="F121" s="67" t="str">
        <f aca="false">IFERROR(INDEX('Master Data'!$F$2:$F$2436,MATCH($B$3&amp;"|"&amp;D121&amp;"|"&amp;B121&amp;"|"&amp;C121,'Master Data'!$A$2:$A$2436,0))&amp;"","")</f>
        <v>Tiny</v>
      </c>
      <c r="G121" s="66" t="n">
        <f aca="false">IFERROR(INDEX('Master Data'!$G$2:$G$2436,MATCH($B$3&amp;"|"&amp;D121&amp;"|"&amp;B121&amp;"|"&amp;C121,'Master Data'!$A$2:$A$2436,0)),"")</f>
        <v>5</v>
      </c>
      <c r="H121" s="67" t="str">
        <f aca="false">IFERROR(INDEX('Master Data'!$K$2:$K$2436,MATCH($B$3&amp;"|"&amp;D121&amp;"|"&amp;B121&amp;"|"&amp;C121,'Master Data'!$A$2:$A$2436,0))&amp;"","")</f>
        <v/>
      </c>
      <c r="I121" s="67" t="s">
        <v>345</v>
      </c>
      <c r="J121" s="67" t="s">
        <v>134</v>
      </c>
      <c r="K121" s="68"/>
      <c r="L121" s="68"/>
      <c r="M121" s="68"/>
      <c r="N121" s="69"/>
      <c r="O121" s="68"/>
    </row>
    <row r="122" customFormat="false" ht="27.75" hidden="false" customHeight="true" outlineLevel="0" collapsed="false">
      <c r="A122" s="66" t="n">
        <v>46</v>
      </c>
      <c r="B122" s="67" t="s">
        <v>91</v>
      </c>
      <c r="C122" s="66" t="s">
        <v>110</v>
      </c>
      <c r="D122" s="66" t="n">
        <v>2</v>
      </c>
      <c r="E122" s="67" t="str">
        <f aca="false">IFERROR(INDEX('Master Data'!$L$2:$L$2436,MATCH($B$3&amp;"|"&amp;D122&amp;"|"&amp;B122&amp;"|"&amp;C122,'Master Data'!$A$2:$A$2436,0)),"")</f>
        <v>Belum terisi</v>
      </c>
      <c r="F122" s="67" t="str">
        <f aca="false">IFERROR(INDEX('Master Data'!$F$2:$F$2436,MATCH($B$3&amp;"|"&amp;D122&amp;"|"&amp;B122&amp;"|"&amp;C122,'Master Data'!$A$2:$A$2436,0))&amp;"","")</f>
        <v>Little</v>
      </c>
      <c r="G122" s="66" t="n">
        <f aca="false">IFERROR(INDEX('Master Data'!$G$2:$G$2436,MATCH($B$3&amp;"|"&amp;D122&amp;"|"&amp;B122&amp;"|"&amp;C122,'Master Data'!$A$2:$A$2436,0)),"")</f>
        <v>5</v>
      </c>
      <c r="H122" s="67" t="str">
        <f aca="false">IFERROR(INDEX('Master Data'!$K$2:$K$2436,MATCH($B$3&amp;"|"&amp;D122&amp;"|"&amp;B122&amp;"|"&amp;C122,'Master Data'!$A$2:$A$2436,0))&amp;"","")</f>
        <v/>
      </c>
      <c r="I122" s="67" t="s">
        <v>345</v>
      </c>
      <c r="J122" s="67" t="s">
        <v>134</v>
      </c>
      <c r="K122" s="68"/>
      <c r="L122" s="68"/>
      <c r="M122" s="68"/>
      <c r="N122" s="69"/>
      <c r="O122" s="68"/>
    </row>
    <row r="123" customFormat="false" ht="27.75" hidden="false" customHeight="true" outlineLevel="0" collapsed="false">
      <c r="A123" s="66" t="n">
        <v>47</v>
      </c>
      <c r="B123" s="67" t="s">
        <v>91</v>
      </c>
      <c r="C123" s="66" t="s">
        <v>96</v>
      </c>
      <c r="D123" s="66" t="n">
        <v>3</v>
      </c>
      <c r="E123" s="67" t="str">
        <f aca="false">IFERROR(INDEX('Master Data'!$L$2:$L$2436,MATCH($B$3&amp;"|"&amp;D123&amp;"|"&amp;B123&amp;"|"&amp;C123,'Master Data'!$A$2:$A$2436,0)),"")</f>
        <v>Belum terisi</v>
      </c>
      <c r="F123" s="67" t="str">
        <f aca="false">IFERROR(INDEX('Master Data'!$F$2:$F$2436,MATCH($B$3&amp;"|"&amp;D123&amp;"|"&amp;B123&amp;"|"&amp;C123,'Master Data'!$A$2:$A$2436,0))&amp;"","")</f>
        <v>Kids</v>
      </c>
      <c r="G123" s="66" t="n">
        <f aca="false">IFERROR(INDEX('Master Data'!$G$2:$G$2436,MATCH($B$3&amp;"|"&amp;D123&amp;"|"&amp;B123&amp;"|"&amp;C123,'Master Data'!$A$2:$A$2436,0)),"")</f>
        <v>4</v>
      </c>
      <c r="H123" s="67" t="str">
        <f aca="false">IFERROR(INDEX('Master Data'!$K$2:$K$2436,MATCH($B$3&amp;"|"&amp;D123&amp;"|"&amp;B123&amp;"|"&amp;C123,'Master Data'!$A$2:$A$2436,0))&amp;"","")</f>
        <v/>
      </c>
      <c r="I123" s="67" t="s">
        <v>345</v>
      </c>
      <c r="J123" s="67" t="s">
        <v>134</v>
      </c>
      <c r="K123" s="68"/>
      <c r="L123" s="68"/>
      <c r="M123" s="68"/>
      <c r="N123" s="69"/>
      <c r="O123" s="68"/>
    </row>
    <row r="124" customFormat="false" ht="27.75" hidden="false" customHeight="true" outlineLevel="0" collapsed="false">
      <c r="A124" s="66" t="n">
        <v>48</v>
      </c>
      <c r="B124" s="67" t="s">
        <v>91</v>
      </c>
      <c r="C124" s="66" t="s">
        <v>96</v>
      </c>
      <c r="D124" s="66" t="n">
        <v>4</v>
      </c>
      <c r="E124" s="67" t="str">
        <f aca="false">IFERROR(INDEX('Master Data'!$L$2:$L$2436,MATCH($B$3&amp;"|"&amp;D124&amp;"|"&amp;B124&amp;"|"&amp;C124,'Master Data'!$A$2:$A$2436,0)),"")</f>
        <v>Belum terisi</v>
      </c>
      <c r="F124" s="67" t="str">
        <f aca="false">IFERROR(INDEX('Master Data'!$F$2:$F$2436,MATCH($B$3&amp;"|"&amp;D124&amp;"|"&amp;B124&amp;"|"&amp;C124,'Master Data'!$A$2:$A$2436,0))&amp;"","")</f>
        <v>Kids</v>
      </c>
      <c r="G124" s="66" t="n">
        <f aca="false">IFERROR(INDEX('Master Data'!$G$2:$G$2436,MATCH($B$3&amp;"|"&amp;D124&amp;"|"&amp;B124&amp;"|"&amp;C124,'Master Data'!$A$2:$A$2436,0)),"")</f>
        <v>4</v>
      </c>
      <c r="H124" s="67" t="str">
        <f aca="false">IFERROR(INDEX('Master Data'!$K$2:$K$2436,MATCH($B$3&amp;"|"&amp;D124&amp;"|"&amp;B124&amp;"|"&amp;C124,'Master Data'!$A$2:$A$2436,0))&amp;"","")</f>
        <v/>
      </c>
      <c r="I124" s="67" t="s">
        <v>345</v>
      </c>
      <c r="J124" s="67" t="s">
        <v>134</v>
      </c>
      <c r="K124" s="68"/>
      <c r="L124" s="68"/>
      <c r="M124" s="68"/>
      <c r="N124" s="69"/>
      <c r="O124" s="68"/>
    </row>
    <row r="125" customFormat="false" ht="27.75" hidden="false" customHeight="true" outlineLevel="0" collapsed="false">
      <c r="A125" s="66" t="n">
        <v>49</v>
      </c>
      <c r="B125" s="67" t="s">
        <v>91</v>
      </c>
      <c r="C125" s="66" t="s">
        <v>111</v>
      </c>
      <c r="D125" s="66" t="n">
        <v>1</v>
      </c>
      <c r="E125" s="67" t="str">
        <f aca="false">IFERROR(INDEX('Master Data'!$L$2:$L$2436,MATCH($B$3&amp;"|"&amp;D125&amp;"|"&amp;B125&amp;"|"&amp;C125,'Master Data'!$A$2:$A$2436,0)),"")</f>
        <v>Belum terisi</v>
      </c>
      <c r="F125" s="67" t="str">
        <f aca="false">IFERROR(INDEX('Master Data'!$F$2:$F$2436,MATCH($B$3&amp;"|"&amp;D125&amp;"|"&amp;B125&amp;"|"&amp;C125,'Master Data'!$A$2:$A$2436,0))&amp;"","")</f>
        <v>Baby</v>
      </c>
      <c r="G125" s="66" t="n">
        <f aca="false">IFERROR(INDEX('Master Data'!$G$2:$G$2436,MATCH($B$3&amp;"|"&amp;D125&amp;"|"&amp;B125&amp;"|"&amp;C125,'Master Data'!$A$2:$A$2436,0)),"")</f>
        <v>5</v>
      </c>
      <c r="H125" s="67" t="str">
        <f aca="false">IFERROR(INDEX('Master Data'!$K$2:$K$2436,MATCH($B$3&amp;"|"&amp;D125&amp;"|"&amp;B125&amp;"|"&amp;C125,'Master Data'!$A$2:$A$2436,0))&amp;"","")</f>
        <v/>
      </c>
      <c r="I125" s="67" t="s">
        <v>345</v>
      </c>
      <c r="J125" s="67" t="s">
        <v>134</v>
      </c>
      <c r="K125" s="68"/>
      <c r="L125" s="68"/>
      <c r="M125" s="68"/>
      <c r="N125" s="69"/>
      <c r="O125" s="68"/>
    </row>
    <row r="126" customFormat="false" ht="27.75" hidden="false" customHeight="true" outlineLevel="0" collapsed="false">
      <c r="A126" s="66" t="n">
        <v>50</v>
      </c>
      <c r="B126" s="67" t="s">
        <v>91</v>
      </c>
      <c r="C126" s="66" t="s">
        <v>111</v>
      </c>
      <c r="D126" s="66" t="n">
        <v>2</v>
      </c>
      <c r="E126" s="67" t="str">
        <f aca="false">IFERROR(INDEX('Master Data'!$L$2:$L$2436,MATCH($B$3&amp;"|"&amp;D126&amp;"|"&amp;B126&amp;"|"&amp;C126,'Master Data'!$A$2:$A$2436,0)),"")</f>
        <v>Belum terisi</v>
      </c>
      <c r="F126" s="67" t="str">
        <f aca="false">IFERROR(INDEX('Master Data'!$F$2:$F$2436,MATCH($B$3&amp;"|"&amp;D126&amp;"|"&amp;B126&amp;"|"&amp;C126,'Master Data'!$A$2:$A$2436,0))&amp;"","")</f>
        <v>Little</v>
      </c>
      <c r="G126" s="66" t="n">
        <f aca="false">IFERROR(INDEX('Master Data'!$G$2:$G$2436,MATCH($B$3&amp;"|"&amp;D126&amp;"|"&amp;B126&amp;"|"&amp;C126,'Master Data'!$A$2:$A$2436,0)),"")</f>
        <v>5</v>
      </c>
      <c r="H126" s="67" t="str">
        <f aca="false">IFERROR(INDEX('Master Data'!$K$2:$K$2436,MATCH($B$3&amp;"|"&amp;D126&amp;"|"&amp;B126&amp;"|"&amp;C126,'Master Data'!$A$2:$A$2436,0))&amp;"","")</f>
        <v/>
      </c>
      <c r="I126" s="67" t="s">
        <v>345</v>
      </c>
      <c r="J126" s="67" t="s">
        <v>134</v>
      </c>
      <c r="K126" s="68"/>
      <c r="L126" s="68"/>
      <c r="M126" s="68"/>
      <c r="N126" s="69"/>
      <c r="O126" s="68"/>
    </row>
    <row r="127" customFormat="false" ht="27.75" hidden="false" customHeight="true" outlineLevel="0" collapsed="false">
      <c r="A127" s="66" t="n">
        <v>51</v>
      </c>
      <c r="B127" s="67" t="s">
        <v>91</v>
      </c>
      <c r="C127" s="66" t="s">
        <v>97</v>
      </c>
      <c r="D127" s="66" t="n">
        <v>3</v>
      </c>
      <c r="E127" s="67" t="str">
        <f aca="false">IFERROR(INDEX('Master Data'!$L$2:$L$2436,MATCH($B$3&amp;"|"&amp;D127&amp;"|"&amp;B127&amp;"|"&amp;C127,'Master Data'!$A$2:$A$2436,0)),"")</f>
        <v>Belum terisi</v>
      </c>
      <c r="F127" s="67" t="str">
        <f aca="false">IFERROR(INDEX('Master Data'!$F$2:$F$2436,MATCH($B$3&amp;"|"&amp;D127&amp;"|"&amp;B127&amp;"|"&amp;C127,'Master Data'!$A$2:$A$2436,0))&amp;"","")</f>
        <v>Kids</v>
      </c>
      <c r="G127" s="66" t="n">
        <f aca="false">IFERROR(INDEX('Master Data'!$G$2:$G$2436,MATCH($B$3&amp;"|"&amp;D127&amp;"|"&amp;B127&amp;"|"&amp;C127,'Master Data'!$A$2:$A$2436,0)),"")</f>
        <v>4</v>
      </c>
      <c r="H127" s="67" t="str">
        <f aca="false">IFERROR(INDEX('Master Data'!$K$2:$K$2436,MATCH($B$3&amp;"|"&amp;D127&amp;"|"&amp;B127&amp;"|"&amp;C127,'Master Data'!$A$2:$A$2436,0))&amp;"","")</f>
        <v/>
      </c>
      <c r="I127" s="67" t="s">
        <v>346</v>
      </c>
      <c r="J127" s="67" t="s">
        <v>134</v>
      </c>
      <c r="K127" s="68"/>
      <c r="L127" s="68"/>
      <c r="M127" s="68"/>
      <c r="N127" s="69"/>
      <c r="O127" s="68"/>
    </row>
    <row r="128" customFormat="false" ht="27.75" hidden="false" customHeight="true" outlineLevel="0" collapsed="false">
      <c r="A128" s="66" t="n">
        <v>52</v>
      </c>
      <c r="B128" s="67" t="s">
        <v>91</v>
      </c>
      <c r="C128" s="66" t="s">
        <v>97</v>
      </c>
      <c r="D128" s="66" t="n">
        <v>4</v>
      </c>
      <c r="E128" s="67" t="str">
        <f aca="false">IFERROR(INDEX('Master Data'!$L$2:$L$2436,MATCH($B$3&amp;"|"&amp;D128&amp;"|"&amp;B128&amp;"|"&amp;C128,'Master Data'!$A$2:$A$2436,0)),"")</f>
        <v>Belum terisi</v>
      </c>
      <c r="F128" s="67" t="str">
        <f aca="false">IFERROR(INDEX('Master Data'!$F$2:$F$2436,MATCH($B$3&amp;"|"&amp;D128&amp;"|"&amp;B128&amp;"|"&amp;C128,'Master Data'!$A$2:$A$2436,0))&amp;"","")</f>
        <v>Kids</v>
      </c>
      <c r="G128" s="66" t="n">
        <f aca="false">IFERROR(INDEX('Master Data'!$G$2:$G$2436,MATCH($B$3&amp;"|"&amp;D128&amp;"|"&amp;B128&amp;"|"&amp;C128,'Master Data'!$A$2:$A$2436,0)),"")</f>
        <v>4</v>
      </c>
      <c r="H128" s="67" t="str">
        <f aca="false">IFERROR(INDEX('Master Data'!$K$2:$K$2436,MATCH($B$3&amp;"|"&amp;D128&amp;"|"&amp;B128&amp;"|"&amp;C128,'Master Data'!$A$2:$A$2436,0))&amp;"","")</f>
        <v/>
      </c>
      <c r="I128" s="67" t="s">
        <v>346</v>
      </c>
      <c r="J128" s="67" t="s">
        <v>134</v>
      </c>
      <c r="K128" s="68"/>
      <c r="L128" s="68"/>
      <c r="M128" s="68"/>
      <c r="N128" s="69"/>
      <c r="O128" s="68"/>
    </row>
    <row r="129" customFormat="false" ht="27.75" hidden="false" customHeight="true" outlineLevel="0" collapsed="false">
      <c r="A129" s="66" t="n">
        <v>53</v>
      </c>
      <c r="B129" s="67" t="s">
        <v>91</v>
      </c>
      <c r="C129" s="66" t="s">
        <v>112</v>
      </c>
      <c r="D129" s="66" t="n">
        <v>1</v>
      </c>
      <c r="E129" s="67" t="str">
        <f aca="false">IFERROR(INDEX('Master Data'!$L$2:$L$2436,MATCH($B$3&amp;"|"&amp;D129&amp;"|"&amp;B129&amp;"|"&amp;C129,'Master Data'!$A$2:$A$2436,0)),"")</f>
        <v>Belum terisi</v>
      </c>
      <c r="F129" s="67" t="str">
        <f aca="false">IFERROR(INDEX('Master Data'!$F$2:$F$2436,MATCH($B$3&amp;"|"&amp;D129&amp;"|"&amp;B129&amp;"|"&amp;C129,'Master Data'!$A$2:$A$2436,0))&amp;"","")</f>
        <v>Tiny</v>
      </c>
      <c r="G129" s="66" t="n">
        <f aca="false">IFERROR(INDEX('Master Data'!$G$2:$G$2436,MATCH($B$3&amp;"|"&amp;D129&amp;"|"&amp;B129&amp;"|"&amp;C129,'Master Data'!$A$2:$A$2436,0)),"")</f>
        <v>5</v>
      </c>
      <c r="H129" s="67" t="str">
        <f aca="false">IFERROR(INDEX('Master Data'!$K$2:$K$2436,MATCH($B$3&amp;"|"&amp;D129&amp;"|"&amp;B129&amp;"|"&amp;C129,'Master Data'!$A$2:$A$2436,0))&amp;"","")</f>
        <v/>
      </c>
      <c r="I129" s="67" t="s">
        <v>346</v>
      </c>
      <c r="J129" s="67" t="s">
        <v>134</v>
      </c>
      <c r="K129" s="68"/>
      <c r="L129" s="68"/>
      <c r="M129" s="68"/>
      <c r="N129" s="69"/>
      <c r="O129" s="68"/>
    </row>
    <row r="130" customFormat="false" ht="15.75" hidden="false" customHeight="true" outlineLevel="0" collapsed="false">
      <c r="A130" s="66" t="n">
        <v>54</v>
      </c>
      <c r="B130" s="67" t="s">
        <v>91</v>
      </c>
      <c r="C130" s="66" t="s">
        <v>98</v>
      </c>
      <c r="D130" s="66" t="n">
        <v>3</v>
      </c>
      <c r="E130" s="67" t="str">
        <f aca="false">IFERROR(INDEX('Master Data'!$L$2:$L$2436,MATCH($B$3&amp;"|"&amp;D130&amp;"|"&amp;B130&amp;"|"&amp;C130,'Master Data'!$A$2:$A$2436,0)),"")</f>
        <v>Belum terisi</v>
      </c>
      <c r="F130" s="67" t="str">
        <f aca="false">IFERROR(INDEX('Master Data'!$F$2:$F$2436,MATCH($B$3&amp;"|"&amp;D130&amp;"|"&amp;B130&amp;"|"&amp;C130,'Master Data'!$A$2:$A$2436,0))&amp;"","")</f>
        <v>Kids</v>
      </c>
      <c r="G130" s="66" t="n">
        <f aca="false">IFERROR(INDEX('Master Data'!$G$2:$G$2436,MATCH($B$3&amp;"|"&amp;D130&amp;"|"&amp;B130&amp;"|"&amp;C130,'Master Data'!$A$2:$A$2436,0)),"")</f>
        <v>4</v>
      </c>
      <c r="H130" s="67" t="str">
        <f aca="false">IFERROR(INDEX('Master Data'!$K$2:$K$2436,MATCH($B$3&amp;"|"&amp;D130&amp;"|"&amp;B130&amp;"|"&amp;C130,'Master Data'!$A$2:$A$2436,0))&amp;"","")</f>
        <v/>
      </c>
      <c r="I130" s="67" t="s">
        <v>347</v>
      </c>
      <c r="J130" s="67" t="s">
        <v>210</v>
      </c>
      <c r="K130" s="68"/>
      <c r="L130" s="68"/>
      <c r="M130" s="68"/>
      <c r="N130" s="69"/>
      <c r="O130" s="68"/>
    </row>
    <row r="131" customFormat="false" ht="15.75" hidden="false" customHeight="true" outlineLevel="0" collapsed="false">
      <c r="A131" s="66" t="n">
        <v>55</v>
      </c>
      <c r="B131" s="67" t="s">
        <v>91</v>
      </c>
      <c r="C131" s="66" t="s">
        <v>98</v>
      </c>
      <c r="D131" s="66" t="n">
        <v>4</v>
      </c>
      <c r="E131" s="67" t="str">
        <f aca="false">IFERROR(INDEX('Master Data'!$L$2:$L$2436,MATCH($B$3&amp;"|"&amp;D131&amp;"|"&amp;B131&amp;"|"&amp;C131,'Master Data'!$A$2:$A$2436,0)),"")</f>
        <v>Belum terisi</v>
      </c>
      <c r="F131" s="67" t="str">
        <f aca="false">IFERROR(INDEX('Master Data'!$F$2:$F$2436,MATCH($B$3&amp;"|"&amp;D131&amp;"|"&amp;B131&amp;"|"&amp;C131,'Master Data'!$A$2:$A$2436,0))&amp;"","")</f>
        <v>Kids</v>
      </c>
      <c r="G131" s="66" t="n">
        <f aca="false">IFERROR(INDEX('Master Data'!$G$2:$G$2436,MATCH($B$3&amp;"|"&amp;D131&amp;"|"&amp;B131&amp;"|"&amp;C131,'Master Data'!$A$2:$A$2436,0)),"")</f>
        <v>4</v>
      </c>
      <c r="H131" s="67" t="str">
        <f aca="false">IFERROR(INDEX('Master Data'!$K$2:$K$2436,MATCH($B$3&amp;"|"&amp;D131&amp;"|"&amp;B131&amp;"|"&amp;C131,'Master Data'!$A$2:$A$2436,0))&amp;"","")</f>
        <v/>
      </c>
      <c r="I131" s="67" t="s">
        <v>347</v>
      </c>
      <c r="J131" s="67" t="s">
        <v>210</v>
      </c>
      <c r="K131" s="68"/>
      <c r="L131" s="68"/>
      <c r="M131" s="68"/>
      <c r="N131" s="69"/>
      <c r="O131" s="68"/>
    </row>
    <row r="132" customFormat="false" ht="27.75" hidden="false" customHeight="true" outlineLevel="0" collapsed="false">
      <c r="A132" s="66" t="n">
        <v>56</v>
      </c>
      <c r="B132" s="67" t="s">
        <v>91</v>
      </c>
      <c r="C132" s="66" t="s">
        <v>113</v>
      </c>
      <c r="D132" s="66" t="n">
        <v>2</v>
      </c>
      <c r="E132" s="67" t="str">
        <f aca="false">IFERROR(INDEX('Master Data'!$L$2:$L$2436,MATCH($B$3&amp;"|"&amp;D132&amp;"|"&amp;B132&amp;"|"&amp;C132,'Master Data'!$A$2:$A$2436,0)),"")</f>
        <v>Belum terisi</v>
      </c>
      <c r="F132" s="67" t="str">
        <f aca="false">IFERROR(INDEX('Master Data'!$F$2:$F$2436,MATCH($B$3&amp;"|"&amp;D132&amp;"|"&amp;B132&amp;"|"&amp;C132,'Master Data'!$A$2:$A$2436,0))&amp;"","")</f>
        <v>Little</v>
      </c>
      <c r="G132" s="66" t="n">
        <f aca="false">IFERROR(INDEX('Master Data'!$G$2:$G$2436,MATCH($B$3&amp;"|"&amp;D132&amp;"|"&amp;B132&amp;"|"&amp;C132,'Master Data'!$A$2:$A$2436,0)),"")</f>
        <v>5</v>
      </c>
      <c r="H132" s="67" t="str">
        <f aca="false">IFERROR(INDEX('Master Data'!$K$2:$K$2436,MATCH($B$3&amp;"|"&amp;D132&amp;"|"&amp;B132&amp;"|"&amp;C132,'Master Data'!$A$2:$A$2436,0))&amp;"","")</f>
        <v/>
      </c>
      <c r="I132" s="67" t="s">
        <v>348</v>
      </c>
      <c r="J132" s="67" t="s">
        <v>203</v>
      </c>
      <c r="K132" s="68"/>
      <c r="L132" s="68"/>
      <c r="M132" s="68"/>
      <c r="N132" s="69"/>
      <c r="O132" s="68"/>
    </row>
    <row r="133" customFormat="false" ht="27.75" hidden="false" customHeight="true" outlineLevel="0" collapsed="false">
      <c r="A133" s="66" t="n">
        <v>57</v>
      </c>
      <c r="B133" s="67" t="s">
        <v>91</v>
      </c>
      <c r="C133" s="66" t="s">
        <v>99</v>
      </c>
      <c r="D133" s="66" t="n">
        <v>3</v>
      </c>
      <c r="E133" s="67" t="str">
        <f aca="false">IFERROR(INDEX('Master Data'!$L$2:$L$2436,MATCH($B$3&amp;"|"&amp;D133&amp;"|"&amp;B133&amp;"|"&amp;C133,'Master Data'!$A$2:$A$2436,0)),"")</f>
        <v>Belum terisi</v>
      </c>
      <c r="F133" s="67" t="str">
        <f aca="false">IFERROR(INDEX('Master Data'!$F$2:$F$2436,MATCH($B$3&amp;"|"&amp;D133&amp;"|"&amp;B133&amp;"|"&amp;C133,'Master Data'!$A$2:$A$2436,0))&amp;"","")</f>
        <v>Kids</v>
      </c>
      <c r="G133" s="66" t="n">
        <f aca="false">IFERROR(INDEX('Master Data'!$G$2:$G$2436,MATCH($B$3&amp;"|"&amp;D133&amp;"|"&amp;B133&amp;"|"&amp;C133,'Master Data'!$A$2:$A$2436,0)),"")</f>
        <v>4</v>
      </c>
      <c r="H133" s="67" t="str">
        <f aca="false">IFERROR(INDEX('Master Data'!$K$2:$K$2436,MATCH($B$3&amp;"|"&amp;D133&amp;"|"&amp;B133&amp;"|"&amp;C133,'Master Data'!$A$2:$A$2436,0))&amp;"","")</f>
        <v/>
      </c>
      <c r="I133" s="67" t="s">
        <v>348</v>
      </c>
      <c r="J133" s="67" t="s">
        <v>203</v>
      </c>
      <c r="K133" s="68"/>
      <c r="L133" s="68"/>
      <c r="M133" s="68"/>
      <c r="N133" s="69"/>
      <c r="O133" s="68"/>
    </row>
    <row r="134" customFormat="false" ht="27.75" hidden="false" customHeight="true" outlineLevel="0" collapsed="false">
      <c r="A134" s="66" t="n">
        <v>58</v>
      </c>
      <c r="B134" s="67" t="s">
        <v>91</v>
      </c>
      <c r="C134" s="66" t="s">
        <v>99</v>
      </c>
      <c r="D134" s="66" t="n">
        <v>4</v>
      </c>
      <c r="E134" s="67" t="str">
        <f aca="false">IFERROR(INDEX('Master Data'!$L$2:$L$2436,MATCH($B$3&amp;"|"&amp;D134&amp;"|"&amp;B134&amp;"|"&amp;C134,'Master Data'!$A$2:$A$2436,0)),"")</f>
        <v>Belum terisi</v>
      </c>
      <c r="F134" s="67" t="str">
        <f aca="false">IFERROR(INDEX('Master Data'!$F$2:$F$2436,MATCH($B$3&amp;"|"&amp;D134&amp;"|"&amp;B134&amp;"|"&amp;C134,'Master Data'!$A$2:$A$2436,0))&amp;"","")</f>
        <v>Kids</v>
      </c>
      <c r="G134" s="66" t="n">
        <f aca="false">IFERROR(INDEX('Master Data'!$G$2:$G$2436,MATCH($B$3&amp;"|"&amp;D134&amp;"|"&amp;B134&amp;"|"&amp;C134,'Master Data'!$A$2:$A$2436,0)),"")</f>
        <v>4</v>
      </c>
      <c r="H134" s="67" t="str">
        <f aca="false">IFERROR(INDEX('Master Data'!$K$2:$K$2436,MATCH($B$3&amp;"|"&amp;D134&amp;"|"&amp;B134&amp;"|"&amp;C134,'Master Data'!$A$2:$A$2436,0))&amp;"","")</f>
        <v/>
      </c>
      <c r="I134" s="67" t="s">
        <v>348</v>
      </c>
      <c r="J134" s="67" t="s">
        <v>203</v>
      </c>
      <c r="K134" s="68"/>
      <c r="L134" s="68"/>
      <c r="M134" s="68"/>
      <c r="N134" s="69"/>
      <c r="O134" s="68"/>
    </row>
    <row r="135" customFormat="false" ht="15.75" hidden="false" customHeight="true" outlineLevel="0" collapsed="false">
      <c r="A135" s="66" t="n">
        <v>59</v>
      </c>
      <c r="B135" s="67" t="s">
        <v>91</v>
      </c>
      <c r="C135" s="66" t="s">
        <v>114</v>
      </c>
      <c r="D135" s="66" t="n">
        <v>1</v>
      </c>
      <c r="E135" s="67" t="str">
        <f aca="false">IFERROR(INDEX('Master Data'!$L$2:$L$2436,MATCH($B$3&amp;"|"&amp;D135&amp;"|"&amp;B135&amp;"|"&amp;C135,'Master Data'!$A$2:$A$2436,0)),"")</f>
        <v>Belum terisi</v>
      </c>
      <c r="F135" s="67" t="str">
        <f aca="false">IFERROR(INDEX('Master Data'!$F$2:$F$2436,MATCH($B$3&amp;"|"&amp;D135&amp;"|"&amp;B135&amp;"|"&amp;C135,'Master Data'!$A$2:$A$2436,0))&amp;"","")</f>
        <v>Tiny</v>
      </c>
      <c r="G135" s="66" t="n">
        <f aca="false">IFERROR(INDEX('Master Data'!$G$2:$G$2436,MATCH($B$3&amp;"|"&amp;D135&amp;"|"&amp;B135&amp;"|"&amp;C135,'Master Data'!$A$2:$A$2436,0)),"")</f>
        <v>5</v>
      </c>
      <c r="H135" s="67" t="str">
        <f aca="false">IFERROR(INDEX('Master Data'!$K$2:$K$2436,MATCH($B$3&amp;"|"&amp;D135&amp;"|"&amp;B135&amp;"|"&amp;C135,'Master Data'!$A$2:$A$2436,0))&amp;"","")</f>
        <v/>
      </c>
      <c r="I135" s="67" t="s">
        <v>343</v>
      </c>
      <c r="J135" s="67" t="s">
        <v>144</v>
      </c>
      <c r="K135" s="68"/>
      <c r="L135" s="68"/>
      <c r="M135" s="68"/>
      <c r="N135" s="69"/>
      <c r="O135" s="68"/>
    </row>
    <row r="136" customFormat="false" ht="15.75" hidden="false" customHeight="true" outlineLevel="0" collapsed="false">
      <c r="A136" s="66" t="n">
        <v>60</v>
      </c>
      <c r="B136" s="67" t="s">
        <v>91</v>
      </c>
      <c r="C136" s="66" t="s">
        <v>100</v>
      </c>
      <c r="D136" s="66" t="n">
        <v>3</v>
      </c>
      <c r="E136" s="67" t="str">
        <f aca="false">IFERROR(INDEX('Master Data'!$L$2:$L$2436,MATCH($B$3&amp;"|"&amp;D136&amp;"|"&amp;B136&amp;"|"&amp;C136,'Master Data'!$A$2:$A$2436,0)),"")</f>
        <v>Belum terisi</v>
      </c>
      <c r="F136" s="67" t="str">
        <f aca="false">IFERROR(INDEX('Master Data'!$F$2:$F$2436,MATCH($B$3&amp;"|"&amp;D136&amp;"|"&amp;B136&amp;"|"&amp;C136,'Master Data'!$A$2:$A$2436,0))&amp;"","")</f>
        <v>Kids</v>
      </c>
      <c r="G136" s="66" t="n">
        <f aca="false">IFERROR(INDEX('Master Data'!$G$2:$G$2436,MATCH($B$3&amp;"|"&amp;D136&amp;"|"&amp;B136&amp;"|"&amp;C136,'Master Data'!$A$2:$A$2436,0)),"")</f>
        <v>4</v>
      </c>
      <c r="H136" s="67" t="str">
        <f aca="false">IFERROR(INDEX('Master Data'!$K$2:$K$2436,MATCH($B$3&amp;"|"&amp;D136&amp;"|"&amp;B136&amp;"|"&amp;C136,'Master Data'!$A$2:$A$2436,0))&amp;"","")</f>
        <v>Soon Book Coach Irvan</v>
      </c>
      <c r="I136" s="67" t="s">
        <v>343</v>
      </c>
      <c r="J136" s="67" t="s">
        <v>203</v>
      </c>
      <c r="K136" s="68"/>
      <c r="L136" s="68"/>
      <c r="M136" s="68"/>
      <c r="N136" s="69"/>
      <c r="O136" s="68"/>
    </row>
    <row r="137" customFormat="false" ht="15.75" hidden="false" customHeight="true" outlineLevel="0" collapsed="false">
      <c r="A137" s="66" t="n">
        <v>61</v>
      </c>
      <c r="B137" s="67" t="s">
        <v>91</v>
      </c>
      <c r="C137" s="66" t="s">
        <v>100</v>
      </c>
      <c r="D137" s="66" t="n">
        <v>4</v>
      </c>
      <c r="E137" s="67" t="str">
        <f aca="false">IFERROR(INDEX('Master Data'!$L$2:$L$2436,MATCH($B$3&amp;"|"&amp;D137&amp;"|"&amp;B137&amp;"|"&amp;C137,'Master Data'!$A$2:$A$2436,0)),"")</f>
        <v>Belum terisi</v>
      </c>
      <c r="F137" s="67" t="str">
        <f aca="false">IFERROR(INDEX('Master Data'!$F$2:$F$2436,MATCH($B$3&amp;"|"&amp;D137&amp;"|"&amp;B137&amp;"|"&amp;C137,'Master Data'!$A$2:$A$2436,0))&amp;"","")</f>
        <v>Kids</v>
      </c>
      <c r="G137" s="66" t="n">
        <f aca="false">IFERROR(INDEX('Master Data'!$G$2:$G$2436,MATCH($B$3&amp;"|"&amp;D137&amp;"|"&amp;B137&amp;"|"&amp;C137,'Master Data'!$A$2:$A$2436,0)),"")</f>
        <v>4</v>
      </c>
      <c r="H137" s="67" t="str">
        <f aca="false">IFERROR(INDEX('Master Data'!$K$2:$K$2436,MATCH($B$3&amp;"|"&amp;D137&amp;"|"&amp;B137&amp;"|"&amp;C137,'Master Data'!$A$2:$A$2436,0))&amp;"","")</f>
        <v/>
      </c>
      <c r="I137" s="67" t="s">
        <v>343</v>
      </c>
      <c r="J137" s="67" t="s">
        <v>203</v>
      </c>
      <c r="K137" s="68"/>
      <c r="L137" s="68"/>
      <c r="M137" s="68"/>
      <c r="N137" s="69"/>
      <c r="O137" s="68"/>
    </row>
    <row r="138" customFormat="false" ht="27.75" hidden="false" customHeight="true" outlineLevel="0" collapsed="false">
      <c r="A138" s="66" t="n">
        <v>62</v>
      </c>
      <c r="B138" s="67" t="s">
        <v>91</v>
      </c>
      <c r="C138" s="66" t="s">
        <v>115</v>
      </c>
      <c r="D138" s="66" t="n">
        <v>1</v>
      </c>
      <c r="E138" s="67" t="str">
        <f aca="false">IFERROR(INDEX('Master Data'!$L$2:$L$2436,MATCH($B$3&amp;"|"&amp;D138&amp;"|"&amp;B138&amp;"|"&amp;C138,'Master Data'!$A$2:$A$2436,0)),"")</f>
        <v>Belum terisi</v>
      </c>
      <c r="F138" s="67" t="str">
        <f aca="false">IFERROR(INDEX('Master Data'!$F$2:$F$2436,MATCH($B$3&amp;"|"&amp;D138&amp;"|"&amp;B138&amp;"|"&amp;C138,'Master Data'!$A$2:$A$2436,0))&amp;"","")</f>
        <v>Baby</v>
      </c>
      <c r="G138" s="66" t="n">
        <f aca="false">IFERROR(INDEX('Master Data'!$G$2:$G$2436,MATCH($B$3&amp;"|"&amp;D138&amp;"|"&amp;B138&amp;"|"&amp;C138,'Master Data'!$A$2:$A$2436,0)),"")</f>
        <v>5</v>
      </c>
      <c r="H138" s="67" t="str">
        <f aca="false">IFERROR(INDEX('Master Data'!$K$2:$K$2436,MATCH($B$3&amp;"|"&amp;D138&amp;"|"&amp;B138&amp;"|"&amp;C138,'Master Data'!$A$2:$A$2436,0))&amp;"","")</f>
        <v/>
      </c>
      <c r="I138" s="67" t="s">
        <v>342</v>
      </c>
      <c r="J138" s="67" t="s">
        <v>134</v>
      </c>
      <c r="K138" s="68"/>
      <c r="L138" s="68"/>
      <c r="M138" s="68"/>
      <c r="N138" s="69"/>
      <c r="O138" s="68"/>
    </row>
    <row r="139" customFormat="false" ht="27.75" hidden="false" customHeight="true" outlineLevel="0" collapsed="false">
      <c r="A139" s="66" t="n">
        <v>63</v>
      </c>
      <c r="B139" s="67" t="s">
        <v>91</v>
      </c>
      <c r="C139" s="66" t="s">
        <v>115</v>
      </c>
      <c r="D139" s="66" t="n">
        <v>2</v>
      </c>
      <c r="E139" s="67" t="str">
        <f aca="false">IFERROR(INDEX('Master Data'!$L$2:$L$2436,MATCH($B$3&amp;"|"&amp;D139&amp;"|"&amp;B139&amp;"|"&amp;C139,'Master Data'!$A$2:$A$2436,0)),"")</f>
        <v>Belum terisi</v>
      </c>
      <c r="F139" s="67" t="str">
        <f aca="false">IFERROR(INDEX('Master Data'!$F$2:$F$2436,MATCH($B$3&amp;"|"&amp;D139&amp;"|"&amp;B139&amp;"|"&amp;C139,'Master Data'!$A$2:$A$2436,0))&amp;"","")</f>
        <v>Little</v>
      </c>
      <c r="G139" s="66" t="n">
        <f aca="false">IFERROR(INDEX('Master Data'!$G$2:$G$2436,MATCH($B$3&amp;"|"&amp;D139&amp;"|"&amp;B139&amp;"|"&amp;C139,'Master Data'!$A$2:$A$2436,0)),"")</f>
        <v>5</v>
      </c>
      <c r="H139" s="67" t="str">
        <f aca="false">IFERROR(INDEX('Master Data'!$K$2:$K$2436,MATCH($B$3&amp;"|"&amp;D139&amp;"|"&amp;B139&amp;"|"&amp;C139,'Master Data'!$A$2:$A$2436,0))&amp;"","")</f>
        <v/>
      </c>
      <c r="I139" s="67" t="s">
        <v>342</v>
      </c>
      <c r="J139" s="67" t="s">
        <v>134</v>
      </c>
      <c r="K139" s="68"/>
      <c r="L139" s="68"/>
      <c r="M139" s="68"/>
      <c r="N139" s="69"/>
      <c r="O139" s="68"/>
    </row>
    <row r="140" customFormat="false" ht="27.75" hidden="false" customHeight="true" outlineLevel="0" collapsed="false">
      <c r="A140" s="66" t="n">
        <v>64</v>
      </c>
      <c r="B140" s="67" t="s">
        <v>91</v>
      </c>
      <c r="C140" s="66" t="s">
        <v>101</v>
      </c>
      <c r="D140" s="66" t="n">
        <v>3</v>
      </c>
      <c r="E140" s="67" t="str">
        <f aca="false">IFERROR(INDEX('Master Data'!$L$2:$L$2436,MATCH($B$3&amp;"|"&amp;D140&amp;"|"&amp;B140&amp;"|"&amp;C140,'Master Data'!$A$2:$A$2436,0)),"")</f>
        <v>Belum terisi</v>
      </c>
      <c r="F140" s="67" t="str">
        <f aca="false">IFERROR(INDEX('Master Data'!$F$2:$F$2436,MATCH($B$3&amp;"|"&amp;D140&amp;"|"&amp;B140&amp;"|"&amp;C140,'Master Data'!$A$2:$A$2436,0))&amp;"","")</f>
        <v>Kids</v>
      </c>
      <c r="G140" s="66" t="n">
        <f aca="false">IFERROR(INDEX('Master Data'!$G$2:$G$2436,MATCH($B$3&amp;"|"&amp;D140&amp;"|"&amp;B140&amp;"|"&amp;C140,'Master Data'!$A$2:$A$2436,0)),"")</f>
        <v>4</v>
      </c>
      <c r="H140" s="67" t="str">
        <f aca="false">IFERROR(INDEX('Master Data'!$K$2:$K$2436,MATCH($B$3&amp;"|"&amp;D140&amp;"|"&amp;B140&amp;"|"&amp;C140,'Master Data'!$A$2:$A$2436,0))&amp;"","")</f>
        <v/>
      </c>
      <c r="I140" s="67" t="s">
        <v>345</v>
      </c>
      <c r="J140" s="67" t="s">
        <v>134</v>
      </c>
      <c r="K140" s="68"/>
      <c r="L140" s="68"/>
      <c r="M140" s="68"/>
      <c r="N140" s="69"/>
      <c r="O140" s="68"/>
    </row>
    <row r="141" customFormat="false" ht="27.75" hidden="false" customHeight="true" outlineLevel="0" collapsed="false">
      <c r="A141" s="66" t="n">
        <v>65</v>
      </c>
      <c r="B141" s="67" t="s">
        <v>91</v>
      </c>
      <c r="C141" s="66" t="s">
        <v>101</v>
      </c>
      <c r="D141" s="66" t="n">
        <v>4</v>
      </c>
      <c r="E141" s="67" t="str">
        <f aca="false">IFERROR(INDEX('Master Data'!$L$2:$L$2436,MATCH($B$3&amp;"|"&amp;D141&amp;"|"&amp;B141&amp;"|"&amp;C141,'Master Data'!$A$2:$A$2436,0)),"")</f>
        <v>Belum terisi</v>
      </c>
      <c r="F141" s="67" t="str">
        <f aca="false">IFERROR(INDEX('Master Data'!$F$2:$F$2436,MATCH($B$3&amp;"|"&amp;D141&amp;"|"&amp;B141&amp;"|"&amp;C141,'Master Data'!$A$2:$A$2436,0))&amp;"","")</f>
        <v>Kids</v>
      </c>
      <c r="G141" s="66" t="n">
        <f aca="false">IFERROR(INDEX('Master Data'!$G$2:$G$2436,MATCH($B$3&amp;"|"&amp;D141&amp;"|"&amp;B141&amp;"|"&amp;C141,'Master Data'!$A$2:$A$2436,0)),"")</f>
        <v>4</v>
      </c>
      <c r="H141" s="67" t="str">
        <f aca="false">IFERROR(INDEX('Master Data'!$K$2:$K$2436,MATCH($B$3&amp;"|"&amp;D141&amp;"|"&amp;B141&amp;"|"&amp;C141,'Master Data'!$A$2:$A$2436,0))&amp;"","")</f>
        <v/>
      </c>
      <c r="I141" s="67" t="s">
        <v>345</v>
      </c>
      <c r="J141" s="67" t="s">
        <v>134</v>
      </c>
      <c r="K141" s="68"/>
      <c r="L141" s="68"/>
      <c r="M141" s="68"/>
      <c r="N141" s="69"/>
      <c r="O141" s="68"/>
    </row>
    <row r="142" customFormat="false" ht="27.75" hidden="false" customHeight="true" outlineLevel="0" collapsed="false">
      <c r="A142" s="66" t="n">
        <v>66</v>
      </c>
      <c r="B142" s="67" t="s">
        <v>91</v>
      </c>
      <c r="C142" s="66" t="s">
        <v>116</v>
      </c>
      <c r="D142" s="66" t="n">
        <v>1</v>
      </c>
      <c r="E142" s="67" t="str">
        <f aca="false">IFERROR(INDEX('Master Data'!$L$2:$L$2436,MATCH($B$3&amp;"|"&amp;D142&amp;"|"&amp;B142&amp;"|"&amp;C142,'Master Data'!$A$2:$A$2436,0)),"")</f>
        <v>Belum terisi</v>
      </c>
      <c r="F142" s="67" t="str">
        <f aca="false">IFERROR(INDEX('Master Data'!$F$2:$F$2436,MATCH($B$3&amp;"|"&amp;D142&amp;"|"&amp;B142&amp;"|"&amp;C142,'Master Data'!$A$2:$A$2436,0))&amp;"","")</f>
        <v>Tiny</v>
      </c>
      <c r="G142" s="66" t="n">
        <f aca="false">IFERROR(INDEX('Master Data'!$G$2:$G$2436,MATCH($B$3&amp;"|"&amp;D142&amp;"|"&amp;B142&amp;"|"&amp;C142,'Master Data'!$A$2:$A$2436,0)),"")</f>
        <v>5</v>
      </c>
      <c r="H142" s="67" t="str">
        <f aca="false">IFERROR(INDEX('Master Data'!$K$2:$K$2436,MATCH($B$3&amp;"|"&amp;D142&amp;"|"&amp;B142&amp;"|"&amp;C142,'Master Data'!$A$2:$A$2436,0))&amp;"","")</f>
        <v/>
      </c>
      <c r="I142" s="67" t="s">
        <v>345</v>
      </c>
      <c r="J142" s="67" t="s">
        <v>134</v>
      </c>
      <c r="K142" s="68"/>
      <c r="L142" s="68"/>
      <c r="M142" s="68"/>
      <c r="N142" s="69"/>
      <c r="O142" s="68"/>
    </row>
    <row r="143" customFormat="false" ht="27.75" hidden="false" customHeight="true" outlineLevel="0" collapsed="false">
      <c r="A143" s="66" t="n">
        <v>67</v>
      </c>
      <c r="B143" s="67" t="s">
        <v>91</v>
      </c>
      <c r="C143" s="66" t="s">
        <v>116</v>
      </c>
      <c r="D143" s="66" t="n">
        <v>2</v>
      </c>
      <c r="E143" s="67" t="str">
        <f aca="false">IFERROR(INDEX('Master Data'!$L$2:$L$2436,MATCH($B$3&amp;"|"&amp;D143&amp;"|"&amp;B143&amp;"|"&amp;C143,'Master Data'!$A$2:$A$2436,0)),"")</f>
        <v>Belum terisi</v>
      </c>
      <c r="F143" s="67" t="str">
        <f aca="false">IFERROR(INDEX('Master Data'!$F$2:$F$2436,MATCH($B$3&amp;"|"&amp;D143&amp;"|"&amp;B143&amp;"|"&amp;C143,'Master Data'!$A$2:$A$2436,0))&amp;"","")</f>
        <v>Little</v>
      </c>
      <c r="G143" s="66" t="n">
        <f aca="false">IFERROR(INDEX('Master Data'!$G$2:$G$2436,MATCH($B$3&amp;"|"&amp;D143&amp;"|"&amp;B143&amp;"|"&amp;C143,'Master Data'!$A$2:$A$2436,0)),"")</f>
        <v>5</v>
      </c>
      <c r="H143" s="67" t="str">
        <f aca="false">IFERROR(INDEX('Master Data'!$K$2:$K$2436,MATCH($B$3&amp;"|"&amp;D143&amp;"|"&amp;B143&amp;"|"&amp;C143,'Master Data'!$A$2:$A$2436,0))&amp;"","")</f>
        <v/>
      </c>
      <c r="I143" s="67" t="s">
        <v>345</v>
      </c>
      <c r="J143" s="67" t="s">
        <v>134</v>
      </c>
      <c r="K143" s="68"/>
      <c r="L143" s="68"/>
      <c r="M143" s="68"/>
      <c r="N143" s="69"/>
      <c r="O143" s="68"/>
    </row>
    <row r="144" customFormat="false" ht="27.75" hidden="false" customHeight="true" outlineLevel="0" collapsed="false">
      <c r="A144" s="66" t="n">
        <v>68</v>
      </c>
      <c r="B144" s="67" t="s">
        <v>91</v>
      </c>
      <c r="C144" s="66" t="s">
        <v>102</v>
      </c>
      <c r="D144" s="66" t="n">
        <v>3</v>
      </c>
      <c r="E144" s="67" t="str">
        <f aca="false">IFERROR(INDEX('Master Data'!$L$2:$L$2436,MATCH($B$3&amp;"|"&amp;D144&amp;"|"&amp;B144&amp;"|"&amp;C144,'Master Data'!$A$2:$A$2436,0)),"")</f>
        <v>Belum terisi</v>
      </c>
      <c r="F144" s="67" t="str">
        <f aca="false">IFERROR(INDEX('Master Data'!$F$2:$F$2436,MATCH($B$3&amp;"|"&amp;D144&amp;"|"&amp;B144&amp;"|"&amp;C144,'Master Data'!$A$2:$A$2436,0))&amp;"","")</f>
        <v>Kids</v>
      </c>
      <c r="G144" s="66" t="n">
        <f aca="false">IFERROR(INDEX('Master Data'!$G$2:$G$2436,MATCH($B$3&amp;"|"&amp;D144&amp;"|"&amp;B144&amp;"|"&amp;C144,'Master Data'!$A$2:$A$2436,0)),"")</f>
        <v>4</v>
      </c>
      <c r="H144" s="67" t="str">
        <f aca="false">IFERROR(INDEX('Master Data'!$K$2:$K$2436,MATCH($B$3&amp;"|"&amp;D144&amp;"|"&amp;B144&amp;"|"&amp;C144,'Master Data'!$A$2:$A$2436,0))&amp;"","")</f>
        <v/>
      </c>
      <c r="I144" s="67" t="s">
        <v>345</v>
      </c>
      <c r="J144" s="67" t="s">
        <v>134</v>
      </c>
      <c r="K144" s="68"/>
      <c r="L144" s="68"/>
      <c r="M144" s="68"/>
      <c r="N144" s="69"/>
      <c r="O144" s="68"/>
    </row>
    <row r="145" customFormat="false" ht="27.75" hidden="false" customHeight="true" outlineLevel="0" collapsed="false">
      <c r="A145" s="66" t="n">
        <v>69</v>
      </c>
      <c r="B145" s="67" t="s">
        <v>91</v>
      </c>
      <c r="C145" s="66" t="s">
        <v>102</v>
      </c>
      <c r="D145" s="66" t="n">
        <v>4</v>
      </c>
      <c r="E145" s="67" t="str">
        <f aca="false">IFERROR(INDEX('Master Data'!$L$2:$L$2436,MATCH($B$3&amp;"|"&amp;D145&amp;"|"&amp;B145&amp;"|"&amp;C145,'Master Data'!$A$2:$A$2436,0)),"")</f>
        <v>Belum terisi</v>
      </c>
      <c r="F145" s="67" t="str">
        <f aca="false">IFERROR(INDEX('Master Data'!$F$2:$F$2436,MATCH($B$3&amp;"|"&amp;D145&amp;"|"&amp;B145&amp;"|"&amp;C145,'Master Data'!$A$2:$A$2436,0))&amp;"","")</f>
        <v>Kids</v>
      </c>
      <c r="G145" s="66" t="n">
        <f aca="false">IFERROR(INDEX('Master Data'!$G$2:$G$2436,MATCH($B$3&amp;"|"&amp;D145&amp;"|"&amp;B145&amp;"|"&amp;C145,'Master Data'!$A$2:$A$2436,0)),"")</f>
        <v>4</v>
      </c>
      <c r="H145" s="67" t="str">
        <f aca="false">IFERROR(INDEX('Master Data'!$K$2:$K$2436,MATCH($B$3&amp;"|"&amp;D145&amp;"|"&amp;B145&amp;"|"&amp;C145,'Master Data'!$A$2:$A$2436,0))&amp;"","")</f>
        <v/>
      </c>
      <c r="I145" s="67" t="s">
        <v>345</v>
      </c>
      <c r="J145" s="67" t="s">
        <v>134</v>
      </c>
      <c r="K145" s="68"/>
      <c r="L145" s="68"/>
      <c r="M145" s="68"/>
      <c r="N145" s="69"/>
      <c r="O145" s="68"/>
    </row>
    <row r="146" customFormat="false" ht="27.75" hidden="false" customHeight="true" outlineLevel="0" collapsed="false">
      <c r="A146" s="66" t="n">
        <v>70</v>
      </c>
      <c r="B146" s="67" t="s">
        <v>91</v>
      </c>
      <c r="C146" s="66" t="s">
        <v>117</v>
      </c>
      <c r="D146" s="66" t="n">
        <v>1</v>
      </c>
      <c r="E146" s="67" t="str">
        <f aca="false">IFERROR(INDEX('Master Data'!$L$2:$L$2436,MATCH($B$3&amp;"|"&amp;D146&amp;"|"&amp;B146&amp;"|"&amp;C146,'Master Data'!$A$2:$A$2436,0)),"")</f>
        <v>Belum terisi</v>
      </c>
      <c r="F146" s="67" t="str">
        <f aca="false">IFERROR(INDEX('Master Data'!$F$2:$F$2436,MATCH($B$3&amp;"|"&amp;D146&amp;"|"&amp;B146&amp;"|"&amp;C146,'Master Data'!$A$2:$A$2436,0))&amp;"","")</f>
        <v>Baby</v>
      </c>
      <c r="G146" s="66" t="n">
        <f aca="false">IFERROR(INDEX('Master Data'!$G$2:$G$2436,MATCH($B$3&amp;"|"&amp;D146&amp;"|"&amp;B146&amp;"|"&amp;C146,'Master Data'!$A$2:$A$2436,0)),"")</f>
        <v>5</v>
      </c>
      <c r="H146" s="67" t="str">
        <f aca="false">IFERROR(INDEX('Master Data'!$K$2:$K$2436,MATCH($B$3&amp;"|"&amp;D146&amp;"|"&amp;B146&amp;"|"&amp;C146,'Master Data'!$A$2:$A$2436,0))&amp;"","")</f>
        <v/>
      </c>
      <c r="I146" s="67" t="s">
        <v>348</v>
      </c>
      <c r="J146" s="67" t="s">
        <v>221</v>
      </c>
      <c r="K146" s="68"/>
      <c r="L146" s="68"/>
      <c r="M146" s="68"/>
      <c r="N146" s="69"/>
      <c r="O146" s="68"/>
    </row>
    <row r="147" customFormat="false" ht="27.75" hidden="false" customHeight="true" outlineLevel="0" collapsed="false">
      <c r="A147" s="66" t="n">
        <v>71</v>
      </c>
      <c r="B147" s="67" t="s">
        <v>91</v>
      </c>
      <c r="C147" s="66" t="s">
        <v>117</v>
      </c>
      <c r="D147" s="66" t="n">
        <v>2</v>
      </c>
      <c r="E147" s="67" t="str">
        <f aca="false">IFERROR(INDEX('Master Data'!$L$2:$L$2436,MATCH($B$3&amp;"|"&amp;D147&amp;"|"&amp;B147&amp;"|"&amp;C147,'Master Data'!$A$2:$A$2436,0)),"")</f>
        <v>Belum terisi</v>
      </c>
      <c r="F147" s="67" t="str">
        <f aca="false">IFERROR(INDEX('Master Data'!$F$2:$F$2436,MATCH($B$3&amp;"|"&amp;D147&amp;"|"&amp;B147&amp;"|"&amp;C147,'Master Data'!$A$2:$A$2436,0))&amp;"","")</f>
        <v>Little</v>
      </c>
      <c r="G147" s="66" t="n">
        <f aca="false">IFERROR(INDEX('Master Data'!$G$2:$G$2436,MATCH($B$3&amp;"|"&amp;D147&amp;"|"&amp;B147&amp;"|"&amp;C147,'Master Data'!$A$2:$A$2436,0)),"")</f>
        <v>5</v>
      </c>
      <c r="H147" s="67" t="str">
        <f aca="false">IFERROR(INDEX('Master Data'!$K$2:$K$2436,MATCH($B$3&amp;"|"&amp;D147&amp;"|"&amp;B147&amp;"|"&amp;C147,'Master Data'!$A$2:$A$2436,0))&amp;"","")</f>
        <v/>
      </c>
      <c r="I147" s="67" t="s">
        <v>348</v>
      </c>
      <c r="J147" s="67" t="s">
        <v>203</v>
      </c>
      <c r="K147" s="68"/>
      <c r="L147" s="68"/>
      <c r="M147" s="68"/>
      <c r="N147" s="69"/>
      <c r="O147" s="68"/>
    </row>
    <row r="148" customFormat="false" ht="27.75" hidden="false" customHeight="true" outlineLevel="0" collapsed="false">
      <c r="A148" s="66" t="n">
        <v>72</v>
      </c>
      <c r="B148" s="67" t="s">
        <v>91</v>
      </c>
      <c r="C148" s="66" t="s">
        <v>103</v>
      </c>
      <c r="D148" s="66" t="n">
        <v>4</v>
      </c>
      <c r="E148" s="67" t="str">
        <f aca="false">IFERROR(INDEX('Master Data'!$L$2:$L$2436,MATCH($B$3&amp;"|"&amp;D148&amp;"|"&amp;B148&amp;"|"&amp;C148,'Master Data'!$A$2:$A$2436,0)),"")</f>
        <v>Belum terisi</v>
      </c>
      <c r="F148" s="67" t="str">
        <f aca="false">IFERROR(INDEX('Master Data'!$F$2:$F$2436,MATCH($B$3&amp;"|"&amp;D148&amp;"|"&amp;B148&amp;"|"&amp;C148,'Master Data'!$A$2:$A$2436,0))&amp;"","")</f>
        <v>Kids</v>
      </c>
      <c r="G148" s="66" t="n">
        <f aca="false">IFERROR(INDEX('Master Data'!$G$2:$G$2436,MATCH($B$3&amp;"|"&amp;D148&amp;"|"&amp;B148&amp;"|"&amp;C148,'Master Data'!$A$2:$A$2436,0)),"")</f>
        <v>4</v>
      </c>
      <c r="H148" s="67" t="str">
        <f aca="false">IFERROR(INDEX('Master Data'!$K$2:$K$2436,MATCH($B$3&amp;"|"&amp;D148&amp;"|"&amp;B148&amp;"|"&amp;C148,'Master Data'!$A$2:$A$2436,0))&amp;"","")</f>
        <v/>
      </c>
      <c r="I148" s="67" t="s">
        <v>348</v>
      </c>
      <c r="J148" s="67" t="s">
        <v>203</v>
      </c>
      <c r="K148" s="68"/>
      <c r="L148" s="68"/>
      <c r="M148" s="68"/>
      <c r="N148" s="69"/>
      <c r="O148" s="68"/>
    </row>
    <row r="149" customFormat="false" ht="27.75" hidden="false" customHeight="true" outlineLevel="0" collapsed="false">
      <c r="A149" s="66" t="n">
        <v>73</v>
      </c>
      <c r="B149" s="67" t="s">
        <v>91</v>
      </c>
      <c r="C149" s="66" t="s">
        <v>118</v>
      </c>
      <c r="D149" s="66" t="n">
        <v>1</v>
      </c>
      <c r="E149" s="67" t="str">
        <f aca="false">IFERROR(INDEX('Master Data'!$L$2:$L$2436,MATCH($B$3&amp;"|"&amp;D149&amp;"|"&amp;B149&amp;"|"&amp;C149,'Master Data'!$A$2:$A$2436,0)),"")</f>
        <v>Belum terisi</v>
      </c>
      <c r="F149" s="67" t="str">
        <f aca="false">IFERROR(INDEX('Master Data'!$F$2:$F$2436,MATCH($B$3&amp;"|"&amp;D149&amp;"|"&amp;B149&amp;"|"&amp;C149,'Master Data'!$A$2:$A$2436,0))&amp;"","")</f>
        <v>Tiny</v>
      </c>
      <c r="G149" s="66" t="n">
        <f aca="false">IFERROR(INDEX('Master Data'!$G$2:$G$2436,MATCH($B$3&amp;"|"&amp;D149&amp;"|"&amp;B149&amp;"|"&amp;C149,'Master Data'!$A$2:$A$2436,0)),"")</f>
        <v>5</v>
      </c>
      <c r="H149" s="67" t="str">
        <f aca="false">IFERROR(INDEX('Master Data'!$K$2:$K$2436,MATCH($B$3&amp;"|"&amp;D149&amp;"|"&amp;B149&amp;"|"&amp;C149,'Master Data'!$A$2:$A$2436,0))&amp;"","")</f>
        <v/>
      </c>
      <c r="I149" s="67" t="s">
        <v>348</v>
      </c>
      <c r="J149" s="67" t="s">
        <v>144</v>
      </c>
      <c r="K149" s="68"/>
      <c r="L149" s="68"/>
      <c r="M149" s="68"/>
      <c r="N149" s="69"/>
      <c r="O149" s="68"/>
    </row>
    <row r="150" customFormat="false" ht="27.75" hidden="false" customHeight="true" outlineLevel="0" collapsed="false">
      <c r="A150" s="66" t="n">
        <v>74</v>
      </c>
      <c r="B150" s="67" t="s">
        <v>91</v>
      </c>
      <c r="C150" s="66" t="s">
        <v>118</v>
      </c>
      <c r="D150" s="66" t="n">
        <v>2</v>
      </c>
      <c r="E150" s="67" t="str">
        <f aca="false">IFERROR(INDEX('Master Data'!$L$2:$L$2436,MATCH($B$3&amp;"|"&amp;D150&amp;"|"&amp;B150&amp;"|"&amp;C150,'Master Data'!$A$2:$A$2436,0)),"")</f>
        <v>Belum terisi</v>
      </c>
      <c r="F150" s="67" t="str">
        <f aca="false">IFERROR(INDEX('Master Data'!$F$2:$F$2436,MATCH($B$3&amp;"|"&amp;D150&amp;"|"&amp;B150&amp;"|"&amp;C150,'Master Data'!$A$2:$A$2436,0))&amp;"","")</f>
        <v>Little</v>
      </c>
      <c r="G150" s="66" t="n">
        <f aca="false">IFERROR(INDEX('Master Data'!$G$2:$G$2436,MATCH($B$3&amp;"|"&amp;D150&amp;"|"&amp;B150&amp;"|"&amp;C150,'Master Data'!$A$2:$A$2436,0)),"")</f>
        <v>5</v>
      </c>
      <c r="H150" s="67" t="str">
        <f aca="false">IFERROR(INDEX('Master Data'!$K$2:$K$2436,MATCH($B$3&amp;"|"&amp;D150&amp;"|"&amp;B150&amp;"|"&amp;C150,'Master Data'!$A$2:$A$2436,0))&amp;"","")</f>
        <v/>
      </c>
      <c r="I150" s="67" t="s">
        <v>348</v>
      </c>
      <c r="J150" s="67" t="s">
        <v>203</v>
      </c>
      <c r="K150" s="68"/>
      <c r="L150" s="68"/>
      <c r="M150" s="68"/>
      <c r="N150" s="69"/>
      <c r="O150" s="68"/>
    </row>
    <row r="151" customFormat="false" ht="27.75" hidden="false" customHeight="true" outlineLevel="0" collapsed="false">
      <c r="A151" s="66" t="n">
        <v>75</v>
      </c>
      <c r="B151" s="67" t="s">
        <v>91</v>
      </c>
      <c r="C151" s="66" t="s">
        <v>104</v>
      </c>
      <c r="D151" s="66" t="n">
        <v>4</v>
      </c>
      <c r="E151" s="67" t="str">
        <f aca="false">IFERROR(INDEX('Master Data'!$L$2:$L$2436,MATCH($B$3&amp;"|"&amp;D151&amp;"|"&amp;B151&amp;"|"&amp;C151,'Master Data'!$A$2:$A$2436,0)),"")</f>
        <v>Belum terisi</v>
      </c>
      <c r="F151" s="67" t="str">
        <f aca="false">IFERROR(INDEX('Master Data'!$F$2:$F$2436,MATCH($B$3&amp;"|"&amp;D151&amp;"|"&amp;B151&amp;"|"&amp;C151,'Master Data'!$A$2:$A$2436,0))&amp;"","")</f>
        <v>Kids</v>
      </c>
      <c r="G151" s="66" t="n">
        <f aca="false">IFERROR(INDEX('Master Data'!$G$2:$G$2436,MATCH($B$3&amp;"|"&amp;D151&amp;"|"&amp;B151&amp;"|"&amp;C151,'Master Data'!$A$2:$A$2436,0)),"")</f>
        <v>4</v>
      </c>
      <c r="H151" s="67" t="str">
        <f aca="false">IFERROR(INDEX('Master Data'!$K$2:$K$2436,MATCH($B$3&amp;"|"&amp;D151&amp;"|"&amp;B151&amp;"|"&amp;C151,'Master Data'!$A$2:$A$2436,0))&amp;"","")</f>
        <v/>
      </c>
      <c r="I151" s="67" t="s">
        <v>348</v>
      </c>
      <c r="J151" s="67" t="s">
        <v>203</v>
      </c>
      <c r="K151" s="68"/>
      <c r="L151" s="68"/>
      <c r="M151" s="68"/>
      <c r="N151" s="69"/>
      <c r="O151" s="68"/>
    </row>
    <row r="152" customFormat="false" ht="27.75" hidden="false" customHeight="true" outlineLevel="0" collapsed="false">
      <c r="A152" s="66" t="n">
        <v>76</v>
      </c>
      <c r="B152" s="67" t="s">
        <v>91</v>
      </c>
      <c r="C152" s="66" t="s">
        <v>119</v>
      </c>
      <c r="D152" s="66" t="n">
        <v>1</v>
      </c>
      <c r="E152" s="67" t="str">
        <f aca="false">IFERROR(INDEX('Master Data'!$L$2:$L$2436,MATCH($B$3&amp;"|"&amp;D152&amp;"|"&amp;B152&amp;"|"&amp;C152,'Master Data'!$A$2:$A$2436,0)),"")</f>
        <v>Belum terisi</v>
      </c>
      <c r="F152" s="67" t="str">
        <f aca="false">IFERROR(INDEX('Master Data'!$F$2:$F$2436,MATCH($B$3&amp;"|"&amp;D152&amp;"|"&amp;B152&amp;"|"&amp;C152,'Master Data'!$A$2:$A$2436,0))&amp;"","")</f>
        <v>Baby</v>
      </c>
      <c r="G152" s="66" t="n">
        <f aca="false">IFERROR(INDEX('Master Data'!$G$2:$G$2436,MATCH($B$3&amp;"|"&amp;D152&amp;"|"&amp;B152&amp;"|"&amp;C152,'Master Data'!$A$2:$A$2436,0)),"")</f>
        <v>5</v>
      </c>
      <c r="H152" s="67" t="str">
        <f aca="false">IFERROR(INDEX('Master Data'!$K$2:$K$2436,MATCH($B$3&amp;"|"&amp;D152&amp;"|"&amp;B152&amp;"|"&amp;C152,'Master Data'!$A$2:$A$2436,0))&amp;"","")</f>
        <v/>
      </c>
      <c r="I152" s="67" t="s">
        <v>348</v>
      </c>
      <c r="J152" s="67" t="s">
        <v>221</v>
      </c>
      <c r="K152" s="68"/>
      <c r="L152" s="68"/>
      <c r="M152" s="68"/>
      <c r="N152" s="69"/>
      <c r="O152" s="68"/>
    </row>
    <row r="153" customFormat="false" ht="27.75" hidden="false" customHeight="true" outlineLevel="0" collapsed="false">
      <c r="A153" s="66" t="n">
        <v>77</v>
      </c>
      <c r="B153" s="67" t="s">
        <v>91</v>
      </c>
      <c r="C153" s="66" t="s">
        <v>119</v>
      </c>
      <c r="D153" s="66" t="n">
        <v>2</v>
      </c>
      <c r="E153" s="67" t="str">
        <f aca="false">IFERROR(INDEX('Master Data'!$L$2:$L$2436,MATCH($B$3&amp;"|"&amp;D153&amp;"|"&amp;B153&amp;"|"&amp;C153,'Master Data'!$A$2:$A$2436,0)),"")</f>
        <v>Belum terisi</v>
      </c>
      <c r="F153" s="67" t="str">
        <f aca="false">IFERROR(INDEX('Master Data'!$F$2:$F$2436,MATCH($B$3&amp;"|"&amp;D153&amp;"|"&amp;B153&amp;"|"&amp;C153,'Master Data'!$A$2:$A$2436,0))&amp;"","")</f>
        <v>Little</v>
      </c>
      <c r="G153" s="66" t="n">
        <f aca="false">IFERROR(INDEX('Master Data'!$G$2:$G$2436,MATCH($B$3&amp;"|"&amp;D153&amp;"|"&amp;B153&amp;"|"&amp;C153,'Master Data'!$A$2:$A$2436,0)),"")</f>
        <v>5</v>
      </c>
      <c r="H153" s="67" t="str">
        <f aca="false">IFERROR(INDEX('Master Data'!$K$2:$K$2436,MATCH($B$3&amp;"|"&amp;D153&amp;"|"&amp;B153&amp;"|"&amp;C153,'Master Data'!$A$2:$A$2436,0))&amp;"","")</f>
        <v/>
      </c>
      <c r="I153" s="67" t="s">
        <v>348</v>
      </c>
      <c r="J153" s="67" t="s">
        <v>203</v>
      </c>
      <c r="K153" s="68"/>
      <c r="L153" s="68"/>
      <c r="M153" s="68"/>
      <c r="N153" s="69"/>
      <c r="O153" s="68"/>
    </row>
    <row r="154" customFormat="false" ht="27.75" hidden="false" customHeight="true" outlineLevel="0" collapsed="false">
      <c r="A154" s="66" t="n">
        <v>78</v>
      </c>
      <c r="B154" s="67" t="s">
        <v>91</v>
      </c>
      <c r="C154" s="66" t="s">
        <v>105</v>
      </c>
      <c r="D154" s="66" t="n">
        <v>3</v>
      </c>
      <c r="E154" s="67" t="str">
        <f aca="false">IFERROR(INDEX('Master Data'!$L$2:$L$2436,MATCH($B$3&amp;"|"&amp;D154&amp;"|"&amp;B154&amp;"|"&amp;C154,'Master Data'!$A$2:$A$2436,0)),"")</f>
        <v>Belum terisi</v>
      </c>
      <c r="F154" s="67" t="str">
        <f aca="false">IFERROR(INDEX('Master Data'!$F$2:$F$2436,MATCH($B$3&amp;"|"&amp;D154&amp;"|"&amp;B154&amp;"|"&amp;C154,'Master Data'!$A$2:$A$2436,0))&amp;"","")</f>
        <v>Kids</v>
      </c>
      <c r="G154" s="66" t="n">
        <f aca="false">IFERROR(INDEX('Master Data'!$G$2:$G$2436,MATCH($B$3&amp;"|"&amp;D154&amp;"|"&amp;B154&amp;"|"&amp;C154,'Master Data'!$A$2:$A$2436,0)),"")</f>
        <v>4</v>
      </c>
      <c r="H154" s="67" t="str">
        <f aca="false">IFERROR(INDEX('Master Data'!$K$2:$K$2436,MATCH($B$3&amp;"|"&amp;D154&amp;"|"&amp;B154&amp;"|"&amp;C154,'Master Data'!$A$2:$A$2436,0))&amp;"","")</f>
        <v/>
      </c>
      <c r="I154" s="67" t="s">
        <v>346</v>
      </c>
      <c r="J154" s="67" t="s">
        <v>134</v>
      </c>
      <c r="K154" s="68"/>
      <c r="L154" s="68"/>
      <c r="M154" s="68"/>
      <c r="N154" s="69"/>
      <c r="O154" s="68"/>
    </row>
    <row r="155" customFormat="false" ht="27.75" hidden="false" customHeight="true" outlineLevel="0" collapsed="false">
      <c r="A155" s="66" t="n">
        <v>79</v>
      </c>
      <c r="B155" s="67" t="s">
        <v>91</v>
      </c>
      <c r="C155" s="66" t="s">
        <v>105</v>
      </c>
      <c r="D155" s="66" t="n">
        <v>4</v>
      </c>
      <c r="E155" s="67" t="str">
        <f aca="false">IFERROR(INDEX('Master Data'!$L$2:$L$2436,MATCH($B$3&amp;"|"&amp;D155&amp;"|"&amp;B155&amp;"|"&amp;C155,'Master Data'!$A$2:$A$2436,0)),"")</f>
        <v>Belum terisi</v>
      </c>
      <c r="F155" s="67" t="str">
        <f aca="false">IFERROR(INDEX('Master Data'!$F$2:$F$2436,MATCH($B$3&amp;"|"&amp;D155&amp;"|"&amp;B155&amp;"|"&amp;C155,'Master Data'!$A$2:$A$2436,0))&amp;"","")</f>
        <v>Kids</v>
      </c>
      <c r="G155" s="66" t="n">
        <f aca="false">IFERROR(INDEX('Master Data'!$G$2:$G$2436,MATCH($B$3&amp;"|"&amp;D155&amp;"|"&amp;B155&amp;"|"&amp;C155,'Master Data'!$A$2:$A$2436,0)),"")</f>
        <v>4</v>
      </c>
      <c r="H155" s="67" t="str">
        <f aca="false">IFERROR(INDEX('Master Data'!$K$2:$K$2436,MATCH($B$3&amp;"|"&amp;D155&amp;"|"&amp;B155&amp;"|"&amp;C155,'Master Data'!$A$2:$A$2436,0))&amp;"","")</f>
        <v/>
      </c>
      <c r="I155" s="67" t="s">
        <v>346</v>
      </c>
      <c r="J155" s="67" t="s">
        <v>134</v>
      </c>
      <c r="K155" s="68"/>
      <c r="L155" s="68"/>
      <c r="M155" s="68"/>
      <c r="N155" s="69"/>
      <c r="O155" s="68"/>
    </row>
    <row r="156" customFormat="false" ht="27.75" hidden="false" customHeight="true" outlineLevel="0" collapsed="false">
      <c r="A156" s="66" t="n">
        <v>80</v>
      </c>
      <c r="B156" s="67" t="s">
        <v>91</v>
      </c>
      <c r="C156" s="66" t="s">
        <v>120</v>
      </c>
      <c r="D156" s="66" t="n">
        <v>1</v>
      </c>
      <c r="E156" s="67" t="str">
        <f aca="false">IFERROR(INDEX('Master Data'!$L$2:$L$2436,MATCH($B$3&amp;"|"&amp;D156&amp;"|"&amp;B156&amp;"|"&amp;C156,'Master Data'!$A$2:$A$2436,0)),"")</f>
        <v>Belum terisi</v>
      </c>
      <c r="F156" s="67" t="str">
        <f aca="false">IFERROR(INDEX('Master Data'!$F$2:$F$2436,MATCH($B$3&amp;"|"&amp;D156&amp;"|"&amp;B156&amp;"|"&amp;C156,'Master Data'!$A$2:$A$2436,0))&amp;"","")</f>
        <v>Tiny</v>
      </c>
      <c r="G156" s="66" t="n">
        <f aca="false">IFERROR(INDEX('Master Data'!$G$2:$G$2436,MATCH($B$3&amp;"|"&amp;D156&amp;"|"&amp;B156&amp;"|"&amp;C156,'Master Data'!$A$2:$A$2436,0)),"")</f>
        <v>5</v>
      </c>
      <c r="H156" s="67" t="str">
        <f aca="false">IFERROR(INDEX('Master Data'!$K$2:$K$2436,MATCH($B$3&amp;"|"&amp;D156&amp;"|"&amp;B156&amp;"|"&amp;C156,'Master Data'!$A$2:$A$2436,0))&amp;"","")</f>
        <v/>
      </c>
      <c r="I156" s="67" t="s">
        <v>346</v>
      </c>
      <c r="J156" s="67" t="s">
        <v>134</v>
      </c>
      <c r="K156" s="68"/>
      <c r="L156" s="68"/>
      <c r="M156" s="68"/>
      <c r="N156" s="69"/>
      <c r="O156" s="68"/>
    </row>
    <row r="157" customFormat="false" ht="27.75" hidden="false" customHeight="true" outlineLevel="0" collapsed="false">
      <c r="A157" s="66" t="n">
        <v>81</v>
      </c>
      <c r="B157" s="67" t="s">
        <v>91</v>
      </c>
      <c r="C157" s="66" t="s">
        <v>106</v>
      </c>
      <c r="D157" s="66" t="n">
        <v>3</v>
      </c>
      <c r="E157" s="67" t="str">
        <f aca="false">IFERROR(INDEX('Master Data'!$L$2:$L$2436,MATCH($B$3&amp;"|"&amp;D157&amp;"|"&amp;B157&amp;"|"&amp;C157,'Master Data'!$A$2:$A$2436,0)),"")</f>
        <v>Belum terisi</v>
      </c>
      <c r="F157" s="67" t="str">
        <f aca="false">IFERROR(INDEX('Master Data'!$F$2:$F$2436,MATCH($B$3&amp;"|"&amp;D157&amp;"|"&amp;B157&amp;"|"&amp;C157,'Master Data'!$A$2:$A$2436,0))&amp;"","")</f>
        <v>Kids</v>
      </c>
      <c r="G157" s="66" t="n">
        <f aca="false">IFERROR(INDEX('Master Data'!$G$2:$G$2436,MATCH($B$3&amp;"|"&amp;D157&amp;"|"&amp;B157&amp;"|"&amp;C157,'Master Data'!$A$2:$A$2436,0)),"")</f>
        <v>4</v>
      </c>
      <c r="H157" s="67" t="str">
        <f aca="false">IFERROR(INDEX('Master Data'!$K$2:$K$2436,MATCH($B$3&amp;"|"&amp;D157&amp;"|"&amp;B157&amp;"|"&amp;C157,'Master Data'!$A$2:$A$2436,0))&amp;"","")</f>
        <v/>
      </c>
      <c r="I157" s="67" t="s">
        <v>346</v>
      </c>
      <c r="J157" s="67" t="s">
        <v>134</v>
      </c>
      <c r="K157" s="68"/>
      <c r="L157" s="68"/>
      <c r="M157" s="68"/>
      <c r="N157" s="69"/>
      <c r="O157" s="68"/>
    </row>
    <row r="158" customFormat="false" ht="27.75" hidden="false" customHeight="true" outlineLevel="0" collapsed="false">
      <c r="A158" s="66" t="n">
        <v>82</v>
      </c>
      <c r="B158" s="67" t="s">
        <v>91</v>
      </c>
      <c r="C158" s="66" t="s">
        <v>106</v>
      </c>
      <c r="D158" s="66" t="n">
        <v>4</v>
      </c>
      <c r="E158" s="67" t="str">
        <f aca="false">IFERROR(INDEX('Master Data'!$L$2:$L$2436,MATCH($B$3&amp;"|"&amp;D158&amp;"|"&amp;B158&amp;"|"&amp;C158,'Master Data'!$A$2:$A$2436,0)),"")</f>
        <v>Belum terisi</v>
      </c>
      <c r="F158" s="67" t="str">
        <f aca="false">IFERROR(INDEX('Master Data'!$F$2:$F$2436,MATCH($B$3&amp;"|"&amp;D158&amp;"|"&amp;B158&amp;"|"&amp;C158,'Master Data'!$A$2:$A$2436,0))&amp;"","")</f>
        <v>Kids</v>
      </c>
      <c r="G158" s="66" t="n">
        <f aca="false">IFERROR(INDEX('Master Data'!$G$2:$G$2436,MATCH($B$3&amp;"|"&amp;D158&amp;"|"&amp;B158&amp;"|"&amp;C158,'Master Data'!$A$2:$A$2436,0)),"")</f>
        <v>4</v>
      </c>
      <c r="H158" s="67" t="str">
        <f aca="false">IFERROR(INDEX('Master Data'!$K$2:$K$2436,MATCH($B$3&amp;"|"&amp;D158&amp;"|"&amp;B158&amp;"|"&amp;C158,'Master Data'!$A$2:$A$2436,0))&amp;"","")</f>
        <v/>
      </c>
      <c r="I158" s="67" t="s">
        <v>346</v>
      </c>
      <c r="J158" s="67" t="s">
        <v>134</v>
      </c>
      <c r="K158" s="68"/>
      <c r="L158" s="68"/>
      <c r="M158" s="68"/>
      <c r="N158" s="69"/>
      <c r="O158" s="68"/>
    </row>
    <row r="159" customFormat="false" ht="27.75" hidden="false" customHeight="true" outlineLevel="0" collapsed="false">
      <c r="A159" s="66" t="n">
        <v>83</v>
      </c>
      <c r="B159" s="67" t="s">
        <v>91</v>
      </c>
      <c r="C159" s="66" t="s">
        <v>121</v>
      </c>
      <c r="D159" s="66" t="n">
        <v>1</v>
      </c>
      <c r="E159" s="67" t="str">
        <f aca="false">IFERROR(INDEX('Master Data'!$L$2:$L$2436,MATCH($B$3&amp;"|"&amp;D159&amp;"|"&amp;B159&amp;"|"&amp;C159,'Master Data'!$A$2:$A$2436,0)),"")</f>
        <v>Belum terisi</v>
      </c>
      <c r="F159" s="67" t="str">
        <f aca="false">IFERROR(INDEX('Master Data'!$F$2:$F$2436,MATCH($B$3&amp;"|"&amp;D159&amp;"|"&amp;B159&amp;"|"&amp;C159,'Master Data'!$A$2:$A$2436,0))&amp;"","")</f>
        <v>Baby</v>
      </c>
      <c r="G159" s="66" t="n">
        <f aca="false">IFERROR(INDEX('Master Data'!$G$2:$G$2436,MATCH($B$3&amp;"|"&amp;D159&amp;"|"&amp;B159&amp;"|"&amp;C159,'Master Data'!$A$2:$A$2436,0)),"")</f>
        <v>5</v>
      </c>
      <c r="H159" s="67" t="str">
        <f aca="false">IFERROR(INDEX('Master Data'!$K$2:$K$2436,MATCH($B$3&amp;"|"&amp;D159&amp;"|"&amp;B159&amp;"|"&amp;C159,'Master Data'!$A$2:$A$2436,0))&amp;"","")</f>
        <v/>
      </c>
      <c r="I159" s="67" t="s">
        <v>346</v>
      </c>
      <c r="J159" s="67" t="s">
        <v>134</v>
      </c>
      <c r="K159" s="68"/>
      <c r="L159" s="68"/>
      <c r="M159" s="68"/>
      <c r="N159" s="69"/>
      <c r="O159" s="68"/>
    </row>
    <row r="160" customFormat="false" ht="27.75" hidden="false" customHeight="true" outlineLevel="0" collapsed="false">
      <c r="A160" s="66" t="n">
        <v>84</v>
      </c>
      <c r="B160" s="67" t="s">
        <v>91</v>
      </c>
      <c r="C160" s="66" t="s">
        <v>121</v>
      </c>
      <c r="D160" s="66" t="n">
        <v>2</v>
      </c>
      <c r="E160" s="67" t="str">
        <f aca="false">IFERROR(INDEX('Master Data'!$L$2:$L$2436,MATCH($B$3&amp;"|"&amp;D160&amp;"|"&amp;B160&amp;"|"&amp;C160,'Master Data'!$A$2:$A$2436,0)),"")</f>
        <v>Belum terisi</v>
      </c>
      <c r="F160" s="67" t="str">
        <f aca="false">IFERROR(INDEX('Master Data'!$F$2:$F$2436,MATCH($B$3&amp;"|"&amp;D160&amp;"|"&amp;B160&amp;"|"&amp;C160,'Master Data'!$A$2:$A$2436,0))&amp;"","")</f>
        <v>Little</v>
      </c>
      <c r="G160" s="66" t="n">
        <f aca="false">IFERROR(INDEX('Master Data'!$G$2:$G$2436,MATCH($B$3&amp;"|"&amp;D160&amp;"|"&amp;B160&amp;"|"&amp;C160,'Master Data'!$A$2:$A$2436,0)),"")</f>
        <v>5</v>
      </c>
      <c r="H160" s="67" t="str">
        <f aca="false">IFERROR(INDEX('Master Data'!$K$2:$K$2436,MATCH($B$3&amp;"|"&amp;D160&amp;"|"&amp;B160&amp;"|"&amp;C160,'Master Data'!$A$2:$A$2436,0))&amp;"","")</f>
        <v/>
      </c>
      <c r="I160" s="67" t="s">
        <v>346</v>
      </c>
      <c r="J160" s="67" t="s">
        <v>134</v>
      </c>
      <c r="K160" s="68"/>
      <c r="L160" s="68"/>
      <c r="M160" s="68"/>
      <c r="N160" s="69"/>
      <c r="O160" s="68"/>
    </row>
    <row r="161" customFormat="false" ht="27.75" hidden="false" customHeight="true" outlineLevel="0" collapsed="false">
      <c r="A161" s="66" t="n">
        <v>85</v>
      </c>
      <c r="B161" s="67" t="s">
        <v>91</v>
      </c>
      <c r="C161" s="66" t="s">
        <v>107</v>
      </c>
      <c r="D161" s="66" t="n">
        <v>4</v>
      </c>
      <c r="E161" s="67" t="str">
        <f aca="false">IFERROR(INDEX('Master Data'!$L$2:$L$2436,MATCH($B$3&amp;"|"&amp;D161&amp;"|"&amp;B161&amp;"|"&amp;C161,'Master Data'!$A$2:$A$2436,0)),"")</f>
        <v>Belum terisi</v>
      </c>
      <c r="F161" s="67" t="str">
        <f aca="false">IFERROR(INDEX('Master Data'!$F$2:$F$2436,MATCH($B$3&amp;"|"&amp;D161&amp;"|"&amp;B161&amp;"|"&amp;C161,'Master Data'!$A$2:$A$2436,0))&amp;"","")</f>
        <v>Kids</v>
      </c>
      <c r="G161" s="66" t="n">
        <f aca="false">IFERROR(INDEX('Master Data'!$G$2:$G$2436,MATCH($B$3&amp;"|"&amp;D161&amp;"|"&amp;B161&amp;"|"&amp;C161,'Master Data'!$A$2:$A$2436,0)),"")</f>
        <v>4</v>
      </c>
      <c r="H161" s="67" t="str">
        <f aca="false">IFERROR(INDEX('Master Data'!$K$2:$K$2436,MATCH($B$3&amp;"|"&amp;D161&amp;"|"&amp;B161&amp;"|"&amp;C161,'Master Data'!$A$2:$A$2436,0))&amp;"","")</f>
        <v/>
      </c>
      <c r="I161" s="67" t="s">
        <v>346</v>
      </c>
      <c r="J161" s="67" t="s">
        <v>134</v>
      </c>
      <c r="K161" s="68"/>
      <c r="L161" s="68"/>
      <c r="M161" s="68"/>
      <c r="N161" s="69"/>
      <c r="O161" s="68"/>
    </row>
    <row r="162" customFormat="false" ht="27.75" hidden="false" customHeight="true" outlineLevel="0" collapsed="false">
      <c r="A162" s="66" t="n">
        <v>86</v>
      </c>
      <c r="B162" s="67" t="s">
        <v>92</v>
      </c>
      <c r="C162" s="66" t="s">
        <v>110</v>
      </c>
      <c r="D162" s="66" t="n">
        <v>1</v>
      </c>
      <c r="E162" s="67" t="str">
        <f aca="false">IFERROR(INDEX('Master Data'!$L$2:$L$2436,MATCH($B$3&amp;"|"&amp;D162&amp;"|"&amp;B162&amp;"|"&amp;C162,'Master Data'!$A$2:$A$2436,0)),"")</f>
        <v>Belum terisi</v>
      </c>
      <c r="F162" s="67" t="str">
        <f aca="false">IFERROR(INDEX('Master Data'!$F$2:$F$2436,MATCH($B$3&amp;"|"&amp;D162&amp;"|"&amp;B162&amp;"|"&amp;C162,'Master Data'!$A$2:$A$2436,0))&amp;"","")</f>
        <v>Tiny</v>
      </c>
      <c r="G162" s="66" t="n">
        <f aca="false">IFERROR(INDEX('Master Data'!$G$2:$G$2436,MATCH($B$3&amp;"|"&amp;D162&amp;"|"&amp;B162&amp;"|"&amp;C162,'Master Data'!$A$2:$A$2436,0)),"")</f>
        <v>5</v>
      </c>
      <c r="H162" s="67" t="str">
        <f aca="false">IFERROR(INDEX('Master Data'!$K$2:$K$2436,MATCH($B$3&amp;"|"&amp;D162&amp;"|"&amp;B162&amp;"|"&amp;C162,'Master Data'!$A$2:$A$2436,0))&amp;"","")</f>
        <v/>
      </c>
      <c r="I162" s="67" t="s">
        <v>349</v>
      </c>
      <c r="J162" s="67" t="s">
        <v>134</v>
      </c>
      <c r="K162" s="68"/>
      <c r="L162" s="68"/>
      <c r="M162" s="68"/>
      <c r="N162" s="69"/>
      <c r="O162" s="68"/>
    </row>
    <row r="163" customFormat="false" ht="27.75" hidden="false" customHeight="true" outlineLevel="0" collapsed="false">
      <c r="A163" s="66" t="n">
        <v>87</v>
      </c>
      <c r="B163" s="67" t="s">
        <v>92</v>
      </c>
      <c r="C163" s="66" t="s">
        <v>110</v>
      </c>
      <c r="D163" s="66" t="n">
        <v>2</v>
      </c>
      <c r="E163" s="67" t="str">
        <f aca="false">IFERROR(INDEX('Master Data'!$L$2:$L$2436,MATCH($B$3&amp;"|"&amp;D163&amp;"|"&amp;B163&amp;"|"&amp;C163,'Master Data'!$A$2:$A$2436,0)),"")</f>
        <v>Belum terisi</v>
      </c>
      <c r="F163" s="67" t="str">
        <f aca="false">IFERROR(INDEX('Master Data'!$F$2:$F$2436,MATCH($B$3&amp;"|"&amp;D163&amp;"|"&amp;B163&amp;"|"&amp;C163,'Master Data'!$A$2:$A$2436,0))&amp;"","")</f>
        <v>Little</v>
      </c>
      <c r="G163" s="66" t="n">
        <f aca="false">IFERROR(INDEX('Master Data'!$G$2:$G$2436,MATCH($B$3&amp;"|"&amp;D163&amp;"|"&amp;B163&amp;"|"&amp;C163,'Master Data'!$A$2:$A$2436,0)),"")</f>
        <v>5</v>
      </c>
      <c r="H163" s="67" t="str">
        <f aca="false">IFERROR(INDEX('Master Data'!$K$2:$K$2436,MATCH($B$3&amp;"|"&amp;D163&amp;"|"&amp;B163&amp;"|"&amp;C163,'Master Data'!$A$2:$A$2436,0))&amp;"","")</f>
        <v/>
      </c>
      <c r="I163" s="67" t="s">
        <v>349</v>
      </c>
      <c r="J163" s="67" t="s">
        <v>134</v>
      </c>
      <c r="K163" s="68"/>
      <c r="L163" s="68"/>
      <c r="M163" s="68"/>
      <c r="N163" s="69"/>
      <c r="O163" s="68"/>
    </row>
    <row r="164" customFormat="false" ht="27.75" hidden="false" customHeight="true" outlineLevel="0" collapsed="false">
      <c r="A164" s="66" t="n">
        <v>88</v>
      </c>
      <c r="B164" s="67" t="s">
        <v>92</v>
      </c>
      <c r="C164" s="66" t="s">
        <v>96</v>
      </c>
      <c r="D164" s="66" t="n">
        <v>3</v>
      </c>
      <c r="E164" s="67" t="str">
        <f aca="false">IFERROR(INDEX('Master Data'!$L$2:$L$2436,MATCH($B$3&amp;"|"&amp;D164&amp;"|"&amp;B164&amp;"|"&amp;C164,'Master Data'!$A$2:$A$2436,0)),"")</f>
        <v>Belum terisi</v>
      </c>
      <c r="F164" s="67" t="str">
        <f aca="false">IFERROR(INDEX('Master Data'!$F$2:$F$2436,MATCH($B$3&amp;"|"&amp;D164&amp;"|"&amp;B164&amp;"|"&amp;C164,'Master Data'!$A$2:$A$2436,0))&amp;"","")</f>
        <v>Kids</v>
      </c>
      <c r="G164" s="66" t="n">
        <f aca="false">IFERROR(INDEX('Master Data'!$G$2:$G$2436,MATCH($B$3&amp;"|"&amp;D164&amp;"|"&amp;B164&amp;"|"&amp;C164,'Master Data'!$A$2:$A$2436,0)),"")</f>
        <v>4</v>
      </c>
      <c r="H164" s="67" t="str">
        <f aca="false">IFERROR(INDEX('Master Data'!$K$2:$K$2436,MATCH($B$3&amp;"|"&amp;D164&amp;"|"&amp;B164&amp;"|"&amp;C164,'Master Data'!$A$2:$A$2436,0))&amp;"","")</f>
        <v/>
      </c>
      <c r="I164" s="67" t="s">
        <v>350</v>
      </c>
      <c r="J164" s="67" t="s">
        <v>134</v>
      </c>
      <c r="K164" s="68"/>
      <c r="L164" s="68"/>
      <c r="M164" s="68"/>
      <c r="N164" s="69"/>
      <c r="O164" s="68"/>
    </row>
    <row r="165" customFormat="false" ht="27.75" hidden="false" customHeight="true" outlineLevel="0" collapsed="false">
      <c r="A165" s="66" t="n">
        <v>89</v>
      </c>
      <c r="B165" s="67" t="s">
        <v>92</v>
      </c>
      <c r="C165" s="66" t="s">
        <v>96</v>
      </c>
      <c r="D165" s="66" t="n">
        <v>4</v>
      </c>
      <c r="E165" s="67" t="str">
        <f aca="false">IFERROR(INDEX('Master Data'!$L$2:$L$2436,MATCH($B$3&amp;"|"&amp;D165&amp;"|"&amp;B165&amp;"|"&amp;C165,'Master Data'!$A$2:$A$2436,0)),"")</f>
        <v>Belum terisi</v>
      </c>
      <c r="F165" s="67" t="str">
        <f aca="false">IFERROR(INDEX('Master Data'!$F$2:$F$2436,MATCH($B$3&amp;"|"&amp;D165&amp;"|"&amp;B165&amp;"|"&amp;C165,'Master Data'!$A$2:$A$2436,0))&amp;"","")</f>
        <v>Kids</v>
      </c>
      <c r="G165" s="66" t="n">
        <f aca="false">IFERROR(INDEX('Master Data'!$G$2:$G$2436,MATCH($B$3&amp;"|"&amp;D165&amp;"|"&amp;B165&amp;"|"&amp;C165,'Master Data'!$A$2:$A$2436,0)),"")</f>
        <v>4</v>
      </c>
      <c r="H165" s="67" t="str">
        <f aca="false">IFERROR(INDEX('Master Data'!$K$2:$K$2436,MATCH($B$3&amp;"|"&amp;D165&amp;"|"&amp;B165&amp;"|"&amp;C165,'Master Data'!$A$2:$A$2436,0))&amp;"","")</f>
        <v/>
      </c>
      <c r="I165" s="67" t="s">
        <v>350</v>
      </c>
      <c r="J165" s="67" t="s">
        <v>134</v>
      </c>
      <c r="K165" s="68"/>
      <c r="L165" s="68"/>
      <c r="M165" s="68"/>
      <c r="N165" s="69"/>
      <c r="O165" s="68"/>
    </row>
    <row r="166" customFormat="false" ht="27.75" hidden="false" customHeight="true" outlineLevel="0" collapsed="false">
      <c r="A166" s="66" t="n">
        <v>90</v>
      </c>
      <c r="B166" s="67" t="s">
        <v>92</v>
      </c>
      <c r="C166" s="66" t="s">
        <v>111</v>
      </c>
      <c r="D166" s="66" t="n">
        <v>2</v>
      </c>
      <c r="E166" s="67" t="str">
        <f aca="false">IFERROR(INDEX('Master Data'!$L$2:$L$2436,MATCH($B$3&amp;"|"&amp;D166&amp;"|"&amp;B166&amp;"|"&amp;C166,'Master Data'!$A$2:$A$2436,0)),"")</f>
        <v>Belum terisi</v>
      </c>
      <c r="F166" s="67" t="str">
        <f aca="false">IFERROR(INDEX('Master Data'!$F$2:$F$2436,MATCH($B$3&amp;"|"&amp;D166&amp;"|"&amp;B166&amp;"|"&amp;C166,'Master Data'!$A$2:$A$2436,0))&amp;"","")</f>
        <v>Little</v>
      </c>
      <c r="G166" s="66" t="n">
        <f aca="false">IFERROR(INDEX('Master Data'!$G$2:$G$2436,MATCH($B$3&amp;"|"&amp;D166&amp;"|"&amp;B166&amp;"|"&amp;C166,'Master Data'!$A$2:$A$2436,0)),"")</f>
        <v>5</v>
      </c>
      <c r="H166" s="67" t="str">
        <f aca="false">IFERROR(INDEX('Master Data'!$K$2:$K$2436,MATCH($B$3&amp;"|"&amp;D166&amp;"|"&amp;B166&amp;"|"&amp;C166,'Master Data'!$A$2:$A$2436,0))&amp;"","")</f>
        <v/>
      </c>
      <c r="I166" s="67" t="s">
        <v>350</v>
      </c>
      <c r="J166" s="67" t="s">
        <v>134</v>
      </c>
      <c r="K166" s="68"/>
      <c r="L166" s="68"/>
      <c r="M166" s="68"/>
      <c r="N166" s="69"/>
      <c r="O166" s="68"/>
    </row>
    <row r="167" customFormat="false" ht="27.75" hidden="false" customHeight="true" outlineLevel="0" collapsed="false">
      <c r="A167" s="66" t="n">
        <v>91</v>
      </c>
      <c r="B167" s="67" t="s">
        <v>92</v>
      </c>
      <c r="C167" s="66" t="s">
        <v>97</v>
      </c>
      <c r="D167" s="66" t="n">
        <v>3</v>
      </c>
      <c r="E167" s="67" t="str">
        <f aca="false">IFERROR(INDEX('Master Data'!$L$2:$L$2436,MATCH($B$3&amp;"|"&amp;D167&amp;"|"&amp;B167&amp;"|"&amp;C167,'Master Data'!$A$2:$A$2436,0)),"")</f>
        <v>Belum terisi</v>
      </c>
      <c r="F167" s="67" t="str">
        <f aca="false">IFERROR(INDEX('Master Data'!$F$2:$F$2436,MATCH($B$3&amp;"|"&amp;D167&amp;"|"&amp;B167&amp;"|"&amp;C167,'Master Data'!$A$2:$A$2436,0))&amp;"","")</f>
        <v>Kids</v>
      </c>
      <c r="G167" s="66" t="n">
        <f aca="false">IFERROR(INDEX('Master Data'!$G$2:$G$2436,MATCH($B$3&amp;"|"&amp;D167&amp;"|"&amp;B167&amp;"|"&amp;C167,'Master Data'!$A$2:$A$2436,0)),"")</f>
        <v>4</v>
      </c>
      <c r="H167" s="67" t="str">
        <f aca="false">IFERROR(INDEX('Master Data'!$K$2:$K$2436,MATCH($B$3&amp;"|"&amp;D167&amp;"|"&amp;B167&amp;"|"&amp;C167,'Master Data'!$A$2:$A$2436,0))&amp;"","")</f>
        <v/>
      </c>
      <c r="I167" s="67" t="s">
        <v>350</v>
      </c>
      <c r="J167" s="67" t="s">
        <v>134</v>
      </c>
      <c r="K167" s="68"/>
      <c r="L167" s="68"/>
      <c r="M167" s="68"/>
      <c r="N167" s="69"/>
      <c r="O167" s="68"/>
    </row>
    <row r="168" customFormat="false" ht="27.75" hidden="false" customHeight="true" outlineLevel="0" collapsed="false">
      <c r="A168" s="66" t="n">
        <v>92</v>
      </c>
      <c r="B168" s="67" t="s">
        <v>92</v>
      </c>
      <c r="C168" s="66" t="s">
        <v>97</v>
      </c>
      <c r="D168" s="66" t="n">
        <v>4</v>
      </c>
      <c r="E168" s="67" t="str">
        <f aca="false">IFERROR(INDEX('Master Data'!$L$2:$L$2436,MATCH($B$3&amp;"|"&amp;D168&amp;"|"&amp;B168&amp;"|"&amp;C168,'Master Data'!$A$2:$A$2436,0)),"")</f>
        <v>Belum terisi</v>
      </c>
      <c r="F168" s="67" t="str">
        <f aca="false">IFERROR(INDEX('Master Data'!$F$2:$F$2436,MATCH($B$3&amp;"|"&amp;D168&amp;"|"&amp;B168&amp;"|"&amp;C168,'Master Data'!$A$2:$A$2436,0))&amp;"","")</f>
        <v>Kids</v>
      </c>
      <c r="G168" s="66" t="n">
        <f aca="false">IFERROR(INDEX('Master Data'!$G$2:$G$2436,MATCH($B$3&amp;"|"&amp;D168&amp;"|"&amp;B168&amp;"|"&amp;C168,'Master Data'!$A$2:$A$2436,0)),"")</f>
        <v>4</v>
      </c>
      <c r="H168" s="67" t="str">
        <f aca="false">IFERROR(INDEX('Master Data'!$K$2:$K$2436,MATCH($B$3&amp;"|"&amp;D168&amp;"|"&amp;B168&amp;"|"&amp;C168,'Master Data'!$A$2:$A$2436,0))&amp;"","")</f>
        <v/>
      </c>
      <c r="I168" s="67" t="s">
        <v>350</v>
      </c>
      <c r="J168" s="67" t="s">
        <v>134</v>
      </c>
      <c r="K168" s="68"/>
      <c r="L168" s="68"/>
      <c r="M168" s="68"/>
      <c r="N168" s="69"/>
      <c r="O168" s="68"/>
    </row>
    <row r="169" customFormat="false" ht="27.75" hidden="false" customHeight="true" outlineLevel="0" collapsed="false">
      <c r="A169" s="66" t="n">
        <v>93</v>
      </c>
      <c r="B169" s="67" t="s">
        <v>92</v>
      </c>
      <c r="C169" s="66" t="s">
        <v>112</v>
      </c>
      <c r="D169" s="66" t="n">
        <v>2</v>
      </c>
      <c r="E169" s="67" t="str">
        <f aca="false">IFERROR(INDEX('Master Data'!$L$2:$L$2436,MATCH($B$3&amp;"|"&amp;D169&amp;"|"&amp;B169&amp;"|"&amp;C169,'Master Data'!$A$2:$A$2436,0)),"")</f>
        <v>Belum terisi</v>
      </c>
      <c r="F169" s="67" t="str">
        <f aca="false">IFERROR(INDEX('Master Data'!$F$2:$F$2436,MATCH($B$3&amp;"|"&amp;D169&amp;"|"&amp;B169&amp;"|"&amp;C169,'Master Data'!$A$2:$A$2436,0))&amp;"","")</f>
        <v>Little</v>
      </c>
      <c r="G169" s="66" t="n">
        <f aca="false">IFERROR(INDEX('Master Data'!$G$2:$G$2436,MATCH($B$3&amp;"|"&amp;D169&amp;"|"&amp;B169&amp;"|"&amp;C169,'Master Data'!$A$2:$A$2436,0)),"")</f>
        <v>5</v>
      </c>
      <c r="H169" s="67" t="str">
        <f aca="false">IFERROR(INDEX('Master Data'!$K$2:$K$2436,MATCH($B$3&amp;"|"&amp;D169&amp;"|"&amp;B169&amp;"|"&amp;C169,'Master Data'!$A$2:$A$2436,0))&amp;"","")</f>
        <v/>
      </c>
      <c r="I169" s="67" t="s">
        <v>350</v>
      </c>
      <c r="J169" s="67" t="s">
        <v>134</v>
      </c>
      <c r="K169" s="68"/>
      <c r="L169" s="68"/>
      <c r="M169" s="68"/>
      <c r="N169" s="69"/>
      <c r="O169" s="68"/>
    </row>
    <row r="170" customFormat="false" ht="27.75" hidden="false" customHeight="true" outlineLevel="0" collapsed="false">
      <c r="A170" s="66" t="n">
        <v>94</v>
      </c>
      <c r="B170" s="67" t="s">
        <v>92</v>
      </c>
      <c r="C170" s="66" t="s">
        <v>98</v>
      </c>
      <c r="D170" s="66" t="n">
        <v>3</v>
      </c>
      <c r="E170" s="67" t="str">
        <f aca="false">IFERROR(INDEX('Master Data'!$L$2:$L$2436,MATCH($B$3&amp;"|"&amp;D170&amp;"|"&amp;B170&amp;"|"&amp;C170,'Master Data'!$A$2:$A$2436,0)),"")</f>
        <v>Belum terisi</v>
      </c>
      <c r="F170" s="67" t="str">
        <f aca="false">IFERROR(INDEX('Master Data'!$F$2:$F$2436,MATCH($B$3&amp;"|"&amp;D170&amp;"|"&amp;B170&amp;"|"&amp;C170,'Master Data'!$A$2:$A$2436,0))&amp;"","")</f>
        <v>Kids</v>
      </c>
      <c r="G170" s="66" t="n">
        <f aca="false">IFERROR(INDEX('Master Data'!$G$2:$G$2436,MATCH($B$3&amp;"|"&amp;D170&amp;"|"&amp;B170&amp;"|"&amp;C170,'Master Data'!$A$2:$A$2436,0)),"")</f>
        <v>4</v>
      </c>
      <c r="H170" s="67" t="str">
        <f aca="false">IFERROR(INDEX('Master Data'!$K$2:$K$2436,MATCH($B$3&amp;"|"&amp;D170&amp;"|"&amp;B170&amp;"|"&amp;C170,'Master Data'!$A$2:$A$2436,0))&amp;"","")</f>
        <v/>
      </c>
      <c r="I170" s="67" t="s">
        <v>350</v>
      </c>
      <c r="J170" s="67" t="s">
        <v>134</v>
      </c>
      <c r="K170" s="68"/>
      <c r="L170" s="68"/>
      <c r="M170" s="68"/>
      <c r="N170" s="69"/>
      <c r="O170" s="68"/>
    </row>
    <row r="171" customFormat="false" ht="27.75" hidden="false" customHeight="true" outlineLevel="0" collapsed="false">
      <c r="A171" s="66" t="n">
        <v>95</v>
      </c>
      <c r="B171" s="67" t="s">
        <v>92</v>
      </c>
      <c r="C171" s="66" t="s">
        <v>98</v>
      </c>
      <c r="D171" s="66" t="n">
        <v>4</v>
      </c>
      <c r="E171" s="67" t="str">
        <f aca="false">IFERROR(INDEX('Master Data'!$L$2:$L$2436,MATCH($B$3&amp;"|"&amp;D171&amp;"|"&amp;B171&amp;"|"&amp;C171,'Master Data'!$A$2:$A$2436,0)),"")</f>
        <v>Belum terisi</v>
      </c>
      <c r="F171" s="67" t="str">
        <f aca="false">IFERROR(INDEX('Master Data'!$F$2:$F$2436,MATCH($B$3&amp;"|"&amp;D171&amp;"|"&amp;B171&amp;"|"&amp;C171,'Master Data'!$A$2:$A$2436,0))&amp;"","")</f>
        <v>Kids</v>
      </c>
      <c r="G171" s="66" t="n">
        <f aca="false">IFERROR(INDEX('Master Data'!$G$2:$G$2436,MATCH($B$3&amp;"|"&amp;D171&amp;"|"&amp;B171&amp;"|"&amp;C171,'Master Data'!$A$2:$A$2436,0)),"")</f>
        <v>4</v>
      </c>
      <c r="H171" s="67" t="str">
        <f aca="false">IFERROR(INDEX('Master Data'!$K$2:$K$2436,MATCH($B$3&amp;"|"&amp;D171&amp;"|"&amp;B171&amp;"|"&amp;C171,'Master Data'!$A$2:$A$2436,0))&amp;"","")</f>
        <v/>
      </c>
      <c r="I171" s="67" t="s">
        <v>350</v>
      </c>
      <c r="J171" s="67" t="s">
        <v>134</v>
      </c>
      <c r="K171" s="68"/>
      <c r="L171" s="68"/>
      <c r="M171" s="68"/>
      <c r="N171" s="69"/>
      <c r="O171" s="68"/>
    </row>
    <row r="172" customFormat="false" ht="27.75" hidden="false" customHeight="true" outlineLevel="0" collapsed="false">
      <c r="A172" s="66" t="n">
        <v>96</v>
      </c>
      <c r="B172" s="67" t="s">
        <v>92</v>
      </c>
      <c r="C172" s="66" t="s">
        <v>113</v>
      </c>
      <c r="D172" s="66" t="n">
        <v>1</v>
      </c>
      <c r="E172" s="67" t="str">
        <f aca="false">IFERROR(INDEX('Master Data'!$L$2:$L$2436,MATCH($B$3&amp;"|"&amp;D172&amp;"|"&amp;B172&amp;"|"&amp;C172,'Master Data'!$A$2:$A$2436,0)),"")</f>
        <v>Belum terisi</v>
      </c>
      <c r="F172" s="67" t="str">
        <f aca="false">IFERROR(INDEX('Master Data'!$F$2:$F$2436,MATCH($B$3&amp;"|"&amp;D172&amp;"|"&amp;B172&amp;"|"&amp;C172,'Master Data'!$A$2:$A$2436,0))&amp;"","")</f>
        <v>Baby</v>
      </c>
      <c r="G172" s="66" t="n">
        <f aca="false">IFERROR(INDEX('Master Data'!$G$2:$G$2436,MATCH($B$3&amp;"|"&amp;D172&amp;"|"&amp;B172&amp;"|"&amp;C172,'Master Data'!$A$2:$A$2436,0)),"")</f>
        <v>5</v>
      </c>
      <c r="H172" s="67" t="str">
        <f aca="false">IFERROR(INDEX('Master Data'!$K$2:$K$2436,MATCH($B$3&amp;"|"&amp;D172&amp;"|"&amp;B172&amp;"|"&amp;C172,'Master Data'!$A$2:$A$2436,0))&amp;"","")</f>
        <v/>
      </c>
      <c r="I172" s="67" t="s">
        <v>349</v>
      </c>
      <c r="J172" s="67" t="s">
        <v>134</v>
      </c>
      <c r="K172" s="68"/>
      <c r="L172" s="68"/>
      <c r="M172" s="68"/>
      <c r="N172" s="69"/>
      <c r="O172" s="68"/>
    </row>
    <row r="173" customFormat="false" ht="27.75" hidden="false" customHeight="true" outlineLevel="0" collapsed="false">
      <c r="A173" s="66" t="n">
        <v>97</v>
      </c>
      <c r="B173" s="67" t="s">
        <v>92</v>
      </c>
      <c r="C173" s="66" t="s">
        <v>113</v>
      </c>
      <c r="D173" s="66" t="n">
        <v>2</v>
      </c>
      <c r="E173" s="67" t="str">
        <f aca="false">IFERROR(INDEX('Master Data'!$L$2:$L$2436,MATCH($B$3&amp;"|"&amp;D173&amp;"|"&amp;B173&amp;"|"&amp;C173,'Master Data'!$A$2:$A$2436,0)),"")</f>
        <v>Belum terisi</v>
      </c>
      <c r="F173" s="67" t="str">
        <f aca="false">IFERROR(INDEX('Master Data'!$F$2:$F$2436,MATCH($B$3&amp;"|"&amp;D173&amp;"|"&amp;B173&amp;"|"&amp;C173,'Master Data'!$A$2:$A$2436,0))&amp;"","")</f>
        <v>Little</v>
      </c>
      <c r="G173" s="66" t="n">
        <f aca="false">IFERROR(INDEX('Master Data'!$G$2:$G$2436,MATCH($B$3&amp;"|"&amp;D173&amp;"|"&amp;B173&amp;"|"&amp;C173,'Master Data'!$A$2:$A$2436,0)),"")</f>
        <v>5</v>
      </c>
      <c r="H173" s="67" t="str">
        <f aca="false">IFERROR(INDEX('Master Data'!$K$2:$K$2436,MATCH($B$3&amp;"|"&amp;D173&amp;"|"&amp;B173&amp;"|"&amp;C173,'Master Data'!$A$2:$A$2436,0))&amp;"","")</f>
        <v/>
      </c>
      <c r="I173" s="67" t="s">
        <v>349</v>
      </c>
      <c r="J173" s="67" t="s">
        <v>134</v>
      </c>
      <c r="K173" s="68"/>
      <c r="L173" s="68"/>
      <c r="M173" s="68"/>
      <c r="N173" s="69"/>
      <c r="O173" s="68"/>
    </row>
    <row r="174" customFormat="false" ht="27.75" hidden="false" customHeight="true" outlineLevel="0" collapsed="false">
      <c r="A174" s="66" t="n">
        <v>98</v>
      </c>
      <c r="B174" s="67" t="s">
        <v>92</v>
      </c>
      <c r="C174" s="66" t="s">
        <v>99</v>
      </c>
      <c r="D174" s="66" t="n">
        <v>3</v>
      </c>
      <c r="E174" s="67" t="str">
        <f aca="false">IFERROR(INDEX('Master Data'!$L$2:$L$2436,MATCH($B$3&amp;"|"&amp;D174&amp;"|"&amp;B174&amp;"|"&amp;C174,'Master Data'!$A$2:$A$2436,0)),"")</f>
        <v>Belum terisi</v>
      </c>
      <c r="F174" s="67" t="str">
        <f aca="false">IFERROR(INDEX('Master Data'!$F$2:$F$2436,MATCH($B$3&amp;"|"&amp;D174&amp;"|"&amp;B174&amp;"|"&amp;C174,'Master Data'!$A$2:$A$2436,0))&amp;"","")</f>
        <v>Kids</v>
      </c>
      <c r="G174" s="66" t="n">
        <f aca="false">IFERROR(INDEX('Master Data'!$G$2:$G$2436,MATCH($B$3&amp;"|"&amp;D174&amp;"|"&amp;B174&amp;"|"&amp;C174,'Master Data'!$A$2:$A$2436,0)),"")</f>
        <v>4</v>
      </c>
      <c r="H174" s="67" t="str">
        <f aca="false">IFERROR(INDEX('Master Data'!$K$2:$K$2436,MATCH($B$3&amp;"|"&amp;D174&amp;"|"&amp;B174&amp;"|"&amp;C174,'Master Data'!$A$2:$A$2436,0))&amp;"","")</f>
        <v/>
      </c>
      <c r="I174" s="67" t="s">
        <v>351</v>
      </c>
      <c r="J174" s="67" t="s">
        <v>134</v>
      </c>
      <c r="K174" s="68"/>
      <c r="L174" s="68"/>
      <c r="M174" s="68"/>
      <c r="N174" s="69"/>
      <c r="O174" s="68"/>
    </row>
    <row r="175" customFormat="false" ht="27.75" hidden="false" customHeight="true" outlineLevel="0" collapsed="false">
      <c r="A175" s="66" t="n">
        <v>99</v>
      </c>
      <c r="B175" s="67" t="s">
        <v>92</v>
      </c>
      <c r="C175" s="66" t="s">
        <v>99</v>
      </c>
      <c r="D175" s="66" t="n">
        <v>4</v>
      </c>
      <c r="E175" s="67" t="str">
        <f aca="false">IFERROR(INDEX('Master Data'!$L$2:$L$2436,MATCH($B$3&amp;"|"&amp;D175&amp;"|"&amp;B175&amp;"|"&amp;C175,'Master Data'!$A$2:$A$2436,0)),"")</f>
        <v>Belum terisi</v>
      </c>
      <c r="F175" s="67" t="str">
        <f aca="false">IFERROR(INDEX('Master Data'!$F$2:$F$2436,MATCH($B$3&amp;"|"&amp;D175&amp;"|"&amp;B175&amp;"|"&amp;C175,'Master Data'!$A$2:$A$2436,0))&amp;"","")</f>
        <v>Kids</v>
      </c>
      <c r="G175" s="66" t="n">
        <f aca="false">IFERROR(INDEX('Master Data'!$G$2:$G$2436,MATCH($B$3&amp;"|"&amp;D175&amp;"|"&amp;B175&amp;"|"&amp;C175,'Master Data'!$A$2:$A$2436,0)),"")</f>
        <v>4</v>
      </c>
      <c r="H175" s="67" t="str">
        <f aca="false">IFERROR(INDEX('Master Data'!$K$2:$K$2436,MATCH($B$3&amp;"|"&amp;D175&amp;"|"&amp;B175&amp;"|"&amp;C175,'Master Data'!$A$2:$A$2436,0))&amp;"","")</f>
        <v/>
      </c>
      <c r="I175" s="67" t="s">
        <v>351</v>
      </c>
      <c r="J175" s="67" t="s">
        <v>134</v>
      </c>
      <c r="K175" s="68"/>
      <c r="L175" s="68"/>
      <c r="M175" s="68"/>
      <c r="N175" s="69"/>
      <c r="O175" s="68"/>
    </row>
    <row r="176" customFormat="false" ht="27.75" hidden="false" customHeight="true" outlineLevel="0" collapsed="false">
      <c r="A176" s="66" t="n">
        <v>100</v>
      </c>
      <c r="B176" s="67" t="s">
        <v>92</v>
      </c>
      <c r="C176" s="66" t="s">
        <v>114</v>
      </c>
      <c r="D176" s="66" t="n">
        <v>1</v>
      </c>
      <c r="E176" s="67" t="str">
        <f aca="false">IFERROR(INDEX('Master Data'!$L$2:$L$2436,MATCH($B$3&amp;"|"&amp;D176&amp;"|"&amp;B176&amp;"|"&amp;C176,'Master Data'!$A$2:$A$2436,0)),"")</f>
        <v>Belum terisi</v>
      </c>
      <c r="F176" s="67" t="str">
        <f aca="false">IFERROR(INDEX('Master Data'!$F$2:$F$2436,MATCH($B$3&amp;"|"&amp;D176&amp;"|"&amp;B176&amp;"|"&amp;C176,'Master Data'!$A$2:$A$2436,0))&amp;"","")</f>
        <v>Tiny</v>
      </c>
      <c r="G176" s="66" t="n">
        <f aca="false">IFERROR(INDEX('Master Data'!$G$2:$G$2436,MATCH($B$3&amp;"|"&amp;D176&amp;"|"&amp;B176&amp;"|"&amp;C176,'Master Data'!$A$2:$A$2436,0)),"")</f>
        <v>5</v>
      </c>
      <c r="H176" s="67" t="str">
        <f aca="false">IFERROR(INDEX('Master Data'!$K$2:$K$2436,MATCH($B$3&amp;"|"&amp;D176&amp;"|"&amp;B176&amp;"|"&amp;C176,'Master Data'!$A$2:$A$2436,0))&amp;"","")</f>
        <v/>
      </c>
      <c r="I176" s="67" t="s">
        <v>351</v>
      </c>
      <c r="J176" s="67" t="s">
        <v>134</v>
      </c>
      <c r="K176" s="68"/>
      <c r="L176" s="68"/>
      <c r="M176" s="68"/>
      <c r="N176" s="69"/>
      <c r="O176" s="68"/>
    </row>
    <row r="177" customFormat="false" ht="27.75" hidden="false" customHeight="true" outlineLevel="0" collapsed="false">
      <c r="A177" s="66" t="n">
        <v>101</v>
      </c>
      <c r="B177" s="67" t="s">
        <v>92</v>
      </c>
      <c r="C177" s="66" t="s">
        <v>100</v>
      </c>
      <c r="D177" s="66" t="n">
        <v>3</v>
      </c>
      <c r="E177" s="67" t="str">
        <f aca="false">IFERROR(INDEX('Master Data'!$L$2:$L$2436,MATCH($B$3&amp;"|"&amp;D177&amp;"|"&amp;B177&amp;"|"&amp;C177,'Master Data'!$A$2:$A$2436,0)),"")</f>
        <v>Belum terisi</v>
      </c>
      <c r="F177" s="67" t="str">
        <f aca="false">IFERROR(INDEX('Master Data'!$F$2:$F$2436,MATCH($B$3&amp;"|"&amp;D177&amp;"|"&amp;B177&amp;"|"&amp;C177,'Master Data'!$A$2:$A$2436,0))&amp;"","")</f>
        <v>Kids</v>
      </c>
      <c r="G177" s="66" t="n">
        <f aca="false">IFERROR(INDEX('Master Data'!$G$2:$G$2436,MATCH($B$3&amp;"|"&amp;D177&amp;"|"&amp;B177&amp;"|"&amp;C177,'Master Data'!$A$2:$A$2436,0)),"")</f>
        <v>4</v>
      </c>
      <c r="H177" s="67" t="str">
        <f aca="false">IFERROR(INDEX('Master Data'!$K$2:$K$2436,MATCH($B$3&amp;"|"&amp;D177&amp;"|"&amp;B177&amp;"|"&amp;C177,'Master Data'!$A$2:$A$2436,0))&amp;"","")</f>
        <v/>
      </c>
      <c r="I177" s="67" t="s">
        <v>351</v>
      </c>
      <c r="J177" s="67" t="s">
        <v>134</v>
      </c>
      <c r="K177" s="68"/>
      <c r="L177" s="68"/>
      <c r="M177" s="68"/>
      <c r="N177" s="69"/>
      <c r="O177" s="68"/>
    </row>
    <row r="178" customFormat="false" ht="27.75" hidden="false" customHeight="true" outlineLevel="0" collapsed="false">
      <c r="A178" s="66" t="n">
        <v>102</v>
      </c>
      <c r="B178" s="67" t="s">
        <v>92</v>
      </c>
      <c r="C178" s="66" t="s">
        <v>100</v>
      </c>
      <c r="D178" s="66" t="n">
        <v>4</v>
      </c>
      <c r="E178" s="67" t="str">
        <f aca="false">IFERROR(INDEX('Master Data'!$L$2:$L$2436,MATCH($B$3&amp;"|"&amp;D178&amp;"|"&amp;B178&amp;"|"&amp;C178,'Master Data'!$A$2:$A$2436,0)),"")</f>
        <v>Belum terisi</v>
      </c>
      <c r="F178" s="67" t="str">
        <f aca="false">IFERROR(INDEX('Master Data'!$F$2:$F$2436,MATCH($B$3&amp;"|"&amp;D178&amp;"|"&amp;B178&amp;"|"&amp;C178,'Master Data'!$A$2:$A$2436,0))&amp;"","")</f>
        <v>Kids</v>
      </c>
      <c r="G178" s="66" t="n">
        <f aca="false">IFERROR(INDEX('Master Data'!$G$2:$G$2436,MATCH($B$3&amp;"|"&amp;D178&amp;"|"&amp;B178&amp;"|"&amp;C178,'Master Data'!$A$2:$A$2436,0)),"")</f>
        <v>4</v>
      </c>
      <c r="H178" s="67" t="str">
        <f aca="false">IFERROR(INDEX('Master Data'!$K$2:$K$2436,MATCH($B$3&amp;"|"&amp;D178&amp;"|"&amp;B178&amp;"|"&amp;C178,'Master Data'!$A$2:$A$2436,0))&amp;"","")</f>
        <v/>
      </c>
      <c r="I178" s="67" t="s">
        <v>351</v>
      </c>
      <c r="J178" s="67" t="s">
        <v>134</v>
      </c>
      <c r="K178" s="68"/>
      <c r="L178" s="68"/>
      <c r="M178" s="68"/>
      <c r="N178" s="69"/>
      <c r="O178" s="68"/>
    </row>
    <row r="179" customFormat="false" ht="27.75" hidden="false" customHeight="true" outlineLevel="0" collapsed="false">
      <c r="A179" s="66" t="n">
        <v>103</v>
      </c>
      <c r="B179" s="67" t="s">
        <v>92</v>
      </c>
      <c r="C179" s="66" t="s">
        <v>115</v>
      </c>
      <c r="D179" s="66" t="n">
        <v>1</v>
      </c>
      <c r="E179" s="67" t="str">
        <f aca="false">IFERROR(INDEX('Master Data'!$L$2:$L$2436,MATCH($B$3&amp;"|"&amp;D179&amp;"|"&amp;B179&amp;"|"&amp;C179,'Master Data'!$A$2:$A$2436,0)),"")</f>
        <v>Belum terisi</v>
      </c>
      <c r="F179" s="67" t="str">
        <f aca="false">IFERROR(INDEX('Master Data'!$F$2:$F$2436,MATCH($B$3&amp;"|"&amp;D179&amp;"|"&amp;B179&amp;"|"&amp;C179,'Master Data'!$A$2:$A$2436,0))&amp;"","")</f>
        <v>Baby</v>
      </c>
      <c r="G179" s="66" t="n">
        <f aca="false">IFERROR(INDEX('Master Data'!$G$2:$G$2436,MATCH($B$3&amp;"|"&amp;D179&amp;"|"&amp;B179&amp;"|"&amp;C179,'Master Data'!$A$2:$A$2436,0)),"")</f>
        <v>5</v>
      </c>
      <c r="H179" s="67" t="str">
        <f aca="false">IFERROR(INDEX('Master Data'!$K$2:$K$2436,MATCH($B$3&amp;"|"&amp;D179&amp;"|"&amp;B179&amp;"|"&amp;C179,'Master Data'!$A$2:$A$2436,0))&amp;"","")</f>
        <v/>
      </c>
      <c r="I179" s="67" t="s">
        <v>349</v>
      </c>
      <c r="J179" s="67" t="s">
        <v>134</v>
      </c>
      <c r="K179" s="68"/>
      <c r="L179" s="68"/>
      <c r="M179" s="68"/>
      <c r="N179" s="69"/>
      <c r="O179" s="68"/>
    </row>
    <row r="180" customFormat="false" ht="27.75" hidden="false" customHeight="true" outlineLevel="0" collapsed="false">
      <c r="A180" s="66" t="n">
        <v>104</v>
      </c>
      <c r="B180" s="67" t="s">
        <v>92</v>
      </c>
      <c r="C180" s="66" t="s">
        <v>115</v>
      </c>
      <c r="D180" s="66" t="n">
        <v>2</v>
      </c>
      <c r="E180" s="67" t="str">
        <f aca="false">IFERROR(INDEX('Master Data'!$L$2:$L$2436,MATCH($B$3&amp;"|"&amp;D180&amp;"|"&amp;B180&amp;"|"&amp;C180,'Master Data'!$A$2:$A$2436,0)),"")</f>
        <v>Belum terisi</v>
      </c>
      <c r="F180" s="67" t="str">
        <f aca="false">IFERROR(INDEX('Master Data'!$F$2:$F$2436,MATCH($B$3&amp;"|"&amp;D180&amp;"|"&amp;B180&amp;"|"&amp;C180,'Master Data'!$A$2:$A$2436,0))&amp;"","")</f>
        <v>Little</v>
      </c>
      <c r="G180" s="66" t="n">
        <f aca="false">IFERROR(INDEX('Master Data'!$G$2:$G$2436,MATCH($B$3&amp;"|"&amp;D180&amp;"|"&amp;B180&amp;"|"&amp;C180,'Master Data'!$A$2:$A$2436,0)),"")</f>
        <v>5</v>
      </c>
      <c r="H180" s="67" t="str">
        <f aca="false">IFERROR(INDEX('Master Data'!$K$2:$K$2436,MATCH($B$3&amp;"|"&amp;D180&amp;"|"&amp;B180&amp;"|"&amp;C180,'Master Data'!$A$2:$A$2436,0))&amp;"","")</f>
        <v/>
      </c>
      <c r="I180" s="67" t="s">
        <v>349</v>
      </c>
      <c r="J180" s="67" t="s">
        <v>134</v>
      </c>
      <c r="K180" s="68"/>
      <c r="L180" s="68"/>
      <c r="M180" s="68"/>
      <c r="N180" s="69"/>
      <c r="O180" s="68"/>
    </row>
    <row r="181" customFormat="false" ht="27.75" hidden="false" customHeight="true" outlineLevel="0" collapsed="false">
      <c r="A181" s="66" t="n">
        <v>105</v>
      </c>
      <c r="B181" s="67" t="s">
        <v>92</v>
      </c>
      <c r="C181" s="66" t="s">
        <v>101</v>
      </c>
      <c r="D181" s="66" t="n">
        <v>3</v>
      </c>
      <c r="E181" s="67" t="str">
        <f aca="false">IFERROR(INDEX('Master Data'!$L$2:$L$2436,MATCH($B$3&amp;"|"&amp;D181&amp;"|"&amp;B181&amp;"|"&amp;C181,'Master Data'!$A$2:$A$2436,0)),"")</f>
        <v>Belum terisi</v>
      </c>
      <c r="F181" s="67" t="str">
        <f aca="false">IFERROR(INDEX('Master Data'!$F$2:$F$2436,MATCH($B$3&amp;"|"&amp;D181&amp;"|"&amp;B181&amp;"|"&amp;C181,'Master Data'!$A$2:$A$2436,0))&amp;"","")</f>
        <v>Kids</v>
      </c>
      <c r="G181" s="66" t="n">
        <f aca="false">IFERROR(INDEX('Master Data'!$G$2:$G$2436,MATCH($B$3&amp;"|"&amp;D181&amp;"|"&amp;B181&amp;"|"&amp;C181,'Master Data'!$A$2:$A$2436,0)),"")</f>
        <v>4</v>
      </c>
      <c r="H181" s="67" t="str">
        <f aca="false">IFERROR(INDEX('Master Data'!$K$2:$K$2436,MATCH($B$3&amp;"|"&amp;D181&amp;"|"&amp;B181&amp;"|"&amp;C181,'Master Data'!$A$2:$A$2436,0))&amp;"","")</f>
        <v/>
      </c>
      <c r="I181" s="67" t="s">
        <v>349</v>
      </c>
      <c r="J181" s="67" t="s">
        <v>134</v>
      </c>
      <c r="K181" s="68"/>
      <c r="L181" s="68"/>
      <c r="M181" s="68"/>
      <c r="N181" s="69"/>
      <c r="O181" s="68"/>
    </row>
    <row r="182" customFormat="false" ht="27.75" hidden="false" customHeight="true" outlineLevel="0" collapsed="false">
      <c r="A182" s="66" t="n">
        <v>106</v>
      </c>
      <c r="B182" s="67" t="s">
        <v>92</v>
      </c>
      <c r="C182" s="66" t="s">
        <v>101</v>
      </c>
      <c r="D182" s="66" t="n">
        <v>4</v>
      </c>
      <c r="E182" s="67" t="str">
        <f aca="false">IFERROR(INDEX('Master Data'!$L$2:$L$2436,MATCH($B$3&amp;"|"&amp;D182&amp;"|"&amp;B182&amp;"|"&amp;C182,'Master Data'!$A$2:$A$2436,0)),"")</f>
        <v>Belum terisi</v>
      </c>
      <c r="F182" s="67" t="str">
        <f aca="false">IFERROR(INDEX('Master Data'!$F$2:$F$2436,MATCH($B$3&amp;"|"&amp;D182&amp;"|"&amp;B182&amp;"|"&amp;C182,'Master Data'!$A$2:$A$2436,0))&amp;"","")</f>
        <v>Kids</v>
      </c>
      <c r="G182" s="66" t="n">
        <f aca="false">IFERROR(INDEX('Master Data'!$G$2:$G$2436,MATCH($B$3&amp;"|"&amp;D182&amp;"|"&amp;B182&amp;"|"&amp;C182,'Master Data'!$A$2:$A$2436,0)),"")</f>
        <v>4</v>
      </c>
      <c r="H182" s="67" t="str">
        <f aca="false">IFERROR(INDEX('Master Data'!$K$2:$K$2436,MATCH($B$3&amp;"|"&amp;D182&amp;"|"&amp;B182&amp;"|"&amp;C182,'Master Data'!$A$2:$A$2436,0))&amp;"","")</f>
        <v/>
      </c>
      <c r="I182" s="67" t="s">
        <v>349</v>
      </c>
      <c r="J182" s="67" t="s">
        <v>134</v>
      </c>
      <c r="K182" s="68"/>
      <c r="L182" s="68"/>
      <c r="M182" s="68"/>
      <c r="N182" s="69"/>
      <c r="O182" s="68"/>
    </row>
    <row r="183" customFormat="false" ht="27.75" hidden="false" customHeight="true" outlineLevel="0" collapsed="false">
      <c r="A183" s="66" t="n">
        <v>107</v>
      </c>
      <c r="B183" s="67" t="s">
        <v>92</v>
      </c>
      <c r="C183" s="66" t="s">
        <v>116</v>
      </c>
      <c r="D183" s="66" t="n">
        <v>1</v>
      </c>
      <c r="E183" s="67" t="str">
        <f aca="false">IFERROR(INDEX('Master Data'!$L$2:$L$2436,MATCH($B$3&amp;"|"&amp;D183&amp;"|"&amp;B183&amp;"|"&amp;C183,'Master Data'!$A$2:$A$2436,0)),"")</f>
        <v>Belum terisi</v>
      </c>
      <c r="F183" s="67" t="str">
        <f aca="false">IFERROR(INDEX('Master Data'!$F$2:$F$2436,MATCH($B$3&amp;"|"&amp;D183&amp;"|"&amp;B183&amp;"|"&amp;C183,'Master Data'!$A$2:$A$2436,0))&amp;"","")</f>
        <v>Tiny</v>
      </c>
      <c r="G183" s="66" t="n">
        <f aca="false">IFERROR(INDEX('Master Data'!$G$2:$G$2436,MATCH($B$3&amp;"|"&amp;D183&amp;"|"&amp;B183&amp;"|"&amp;C183,'Master Data'!$A$2:$A$2436,0)),"")</f>
        <v>5</v>
      </c>
      <c r="H183" s="67" t="str">
        <f aca="false">IFERROR(INDEX('Master Data'!$K$2:$K$2436,MATCH($B$3&amp;"|"&amp;D183&amp;"|"&amp;B183&amp;"|"&amp;C183,'Master Data'!$A$2:$A$2436,0))&amp;"","")</f>
        <v/>
      </c>
      <c r="I183" s="67" t="s">
        <v>351</v>
      </c>
      <c r="J183" s="67" t="s">
        <v>134</v>
      </c>
      <c r="K183" s="68"/>
      <c r="L183" s="68"/>
      <c r="M183" s="68"/>
      <c r="N183" s="69"/>
      <c r="O183" s="68"/>
    </row>
    <row r="184" customFormat="false" ht="27.75" hidden="false" customHeight="true" outlineLevel="0" collapsed="false">
      <c r="A184" s="66" t="n">
        <v>108</v>
      </c>
      <c r="B184" s="67" t="s">
        <v>92</v>
      </c>
      <c r="C184" s="66" t="s">
        <v>102</v>
      </c>
      <c r="D184" s="66" t="n">
        <v>3</v>
      </c>
      <c r="E184" s="67" t="str">
        <f aca="false">IFERROR(INDEX('Master Data'!$L$2:$L$2436,MATCH($B$3&amp;"|"&amp;D184&amp;"|"&amp;B184&amp;"|"&amp;C184,'Master Data'!$A$2:$A$2436,0)),"")</f>
        <v>Belum terisi</v>
      </c>
      <c r="F184" s="67" t="str">
        <f aca="false">IFERROR(INDEX('Master Data'!$F$2:$F$2436,MATCH($B$3&amp;"|"&amp;D184&amp;"|"&amp;B184&amp;"|"&amp;C184,'Master Data'!$A$2:$A$2436,0))&amp;"","")</f>
        <v>Kids</v>
      </c>
      <c r="G184" s="66" t="n">
        <f aca="false">IFERROR(INDEX('Master Data'!$G$2:$G$2436,MATCH($B$3&amp;"|"&amp;D184&amp;"|"&amp;B184&amp;"|"&amp;C184,'Master Data'!$A$2:$A$2436,0)),"")</f>
        <v>4</v>
      </c>
      <c r="H184" s="67" t="str">
        <f aca="false">IFERROR(INDEX('Master Data'!$K$2:$K$2436,MATCH($B$3&amp;"|"&amp;D184&amp;"|"&amp;B184&amp;"|"&amp;C184,'Master Data'!$A$2:$A$2436,0))&amp;"","")</f>
        <v/>
      </c>
      <c r="I184" s="67" t="s">
        <v>351</v>
      </c>
      <c r="J184" s="67" t="s">
        <v>134</v>
      </c>
      <c r="K184" s="68"/>
      <c r="L184" s="68"/>
      <c r="M184" s="68"/>
      <c r="N184" s="69"/>
      <c r="O184" s="68"/>
    </row>
    <row r="185" customFormat="false" ht="27.75" hidden="false" customHeight="true" outlineLevel="0" collapsed="false">
      <c r="A185" s="66" t="n">
        <v>109</v>
      </c>
      <c r="B185" s="67" t="s">
        <v>92</v>
      </c>
      <c r="C185" s="66" t="s">
        <v>102</v>
      </c>
      <c r="D185" s="66" t="n">
        <v>4</v>
      </c>
      <c r="E185" s="67" t="str">
        <f aca="false">IFERROR(INDEX('Master Data'!$L$2:$L$2436,MATCH($B$3&amp;"|"&amp;D185&amp;"|"&amp;B185&amp;"|"&amp;C185,'Master Data'!$A$2:$A$2436,0)),"")</f>
        <v>Belum terisi</v>
      </c>
      <c r="F185" s="67" t="str">
        <f aca="false">IFERROR(INDEX('Master Data'!$F$2:$F$2436,MATCH($B$3&amp;"|"&amp;D185&amp;"|"&amp;B185&amp;"|"&amp;C185,'Master Data'!$A$2:$A$2436,0))&amp;"","")</f>
        <v>Kids</v>
      </c>
      <c r="G185" s="66" t="n">
        <f aca="false">IFERROR(INDEX('Master Data'!$G$2:$G$2436,MATCH($B$3&amp;"|"&amp;D185&amp;"|"&amp;B185&amp;"|"&amp;C185,'Master Data'!$A$2:$A$2436,0)),"")</f>
        <v>4</v>
      </c>
      <c r="H185" s="67" t="str">
        <f aca="false">IFERROR(INDEX('Master Data'!$K$2:$K$2436,MATCH($B$3&amp;"|"&amp;D185&amp;"|"&amp;B185&amp;"|"&amp;C185,'Master Data'!$A$2:$A$2436,0))&amp;"","")</f>
        <v/>
      </c>
      <c r="I185" s="67" t="s">
        <v>351</v>
      </c>
      <c r="J185" s="67" t="s">
        <v>134</v>
      </c>
      <c r="K185" s="68"/>
      <c r="L185" s="68"/>
      <c r="M185" s="68"/>
      <c r="N185" s="69"/>
      <c r="O185" s="68"/>
    </row>
    <row r="186" customFormat="false" ht="27.75" hidden="false" customHeight="true" outlineLevel="0" collapsed="false">
      <c r="A186" s="66" t="n">
        <v>110</v>
      </c>
      <c r="B186" s="67" t="s">
        <v>92</v>
      </c>
      <c r="C186" s="66" t="s">
        <v>117</v>
      </c>
      <c r="D186" s="66" t="n">
        <v>1</v>
      </c>
      <c r="E186" s="67" t="str">
        <f aca="false">IFERROR(INDEX('Master Data'!$L$2:$L$2436,MATCH($B$3&amp;"|"&amp;D186&amp;"|"&amp;B186&amp;"|"&amp;C186,'Master Data'!$A$2:$A$2436,0)),"")</f>
        <v>Belum terisi</v>
      </c>
      <c r="F186" s="67" t="str">
        <f aca="false">IFERROR(INDEX('Master Data'!$F$2:$F$2436,MATCH($B$3&amp;"|"&amp;D186&amp;"|"&amp;B186&amp;"|"&amp;C186,'Master Data'!$A$2:$A$2436,0))&amp;"","")</f>
        <v>Baby</v>
      </c>
      <c r="G186" s="66" t="n">
        <f aca="false">IFERROR(INDEX('Master Data'!$G$2:$G$2436,MATCH($B$3&amp;"|"&amp;D186&amp;"|"&amp;B186&amp;"|"&amp;C186,'Master Data'!$A$2:$A$2436,0)),"")</f>
        <v>5</v>
      </c>
      <c r="H186" s="67" t="str">
        <f aca="false">IFERROR(INDEX('Master Data'!$K$2:$K$2436,MATCH($B$3&amp;"|"&amp;D186&amp;"|"&amp;B186&amp;"|"&amp;C186,'Master Data'!$A$2:$A$2436,0))&amp;"","")</f>
        <v/>
      </c>
      <c r="I186" s="67" t="s">
        <v>349</v>
      </c>
      <c r="J186" s="67" t="s">
        <v>134</v>
      </c>
      <c r="K186" s="68"/>
      <c r="L186" s="68"/>
      <c r="M186" s="68"/>
      <c r="N186" s="69"/>
      <c r="O186" s="68"/>
    </row>
    <row r="187" customFormat="false" ht="27.75" hidden="false" customHeight="true" outlineLevel="0" collapsed="false">
      <c r="A187" s="66" t="n">
        <v>111</v>
      </c>
      <c r="B187" s="67" t="s">
        <v>92</v>
      </c>
      <c r="C187" s="66" t="s">
        <v>117</v>
      </c>
      <c r="D187" s="66" t="n">
        <v>2</v>
      </c>
      <c r="E187" s="67" t="str">
        <f aca="false">IFERROR(INDEX('Master Data'!$L$2:$L$2436,MATCH($B$3&amp;"|"&amp;D187&amp;"|"&amp;B187&amp;"|"&amp;C187,'Master Data'!$A$2:$A$2436,0)),"")</f>
        <v>Belum terisi</v>
      </c>
      <c r="F187" s="67" t="str">
        <f aca="false">IFERROR(INDEX('Master Data'!$F$2:$F$2436,MATCH($B$3&amp;"|"&amp;D187&amp;"|"&amp;B187&amp;"|"&amp;C187,'Master Data'!$A$2:$A$2436,0))&amp;"","")</f>
        <v>Little</v>
      </c>
      <c r="G187" s="66" t="n">
        <f aca="false">IFERROR(INDEX('Master Data'!$G$2:$G$2436,MATCH($B$3&amp;"|"&amp;D187&amp;"|"&amp;B187&amp;"|"&amp;C187,'Master Data'!$A$2:$A$2436,0)),"")</f>
        <v>5</v>
      </c>
      <c r="H187" s="67" t="str">
        <f aca="false">IFERROR(INDEX('Master Data'!$K$2:$K$2436,MATCH($B$3&amp;"|"&amp;D187&amp;"|"&amp;B187&amp;"|"&amp;C187,'Master Data'!$A$2:$A$2436,0))&amp;"","")</f>
        <v/>
      </c>
      <c r="I187" s="67" t="s">
        <v>349</v>
      </c>
      <c r="J187" s="67" t="s">
        <v>134</v>
      </c>
      <c r="K187" s="68"/>
      <c r="L187" s="68"/>
      <c r="M187" s="68"/>
      <c r="N187" s="69"/>
      <c r="O187" s="68"/>
    </row>
    <row r="188" customFormat="false" ht="27.75" hidden="false" customHeight="true" outlineLevel="0" collapsed="false">
      <c r="A188" s="66" t="n">
        <v>112</v>
      </c>
      <c r="B188" s="67" t="s">
        <v>92</v>
      </c>
      <c r="C188" s="66" t="s">
        <v>103</v>
      </c>
      <c r="D188" s="66" t="n">
        <v>3</v>
      </c>
      <c r="E188" s="67" t="str">
        <f aca="false">IFERROR(INDEX('Master Data'!$L$2:$L$2436,MATCH($B$3&amp;"|"&amp;D188&amp;"|"&amp;B188&amp;"|"&amp;C188,'Master Data'!$A$2:$A$2436,0)),"")</f>
        <v>Belum terisi</v>
      </c>
      <c r="F188" s="67" t="str">
        <f aca="false">IFERROR(INDEX('Master Data'!$F$2:$F$2436,MATCH($B$3&amp;"|"&amp;D188&amp;"|"&amp;B188&amp;"|"&amp;C188,'Master Data'!$A$2:$A$2436,0))&amp;"","")</f>
        <v>Kids</v>
      </c>
      <c r="G188" s="66" t="n">
        <f aca="false">IFERROR(INDEX('Master Data'!$G$2:$G$2436,MATCH($B$3&amp;"|"&amp;D188&amp;"|"&amp;B188&amp;"|"&amp;C188,'Master Data'!$A$2:$A$2436,0)),"")</f>
        <v>4</v>
      </c>
      <c r="H188" s="67" t="str">
        <f aca="false">IFERROR(INDEX('Master Data'!$K$2:$K$2436,MATCH($B$3&amp;"|"&amp;D188&amp;"|"&amp;B188&amp;"|"&amp;C188,'Master Data'!$A$2:$A$2436,0))&amp;"","")</f>
        <v/>
      </c>
      <c r="I188" s="67" t="s">
        <v>352</v>
      </c>
      <c r="J188" s="67" t="s">
        <v>134</v>
      </c>
      <c r="K188" s="68"/>
      <c r="L188" s="68"/>
      <c r="M188" s="68"/>
      <c r="N188" s="69"/>
      <c r="O188" s="68"/>
    </row>
    <row r="189" customFormat="false" ht="27.75" hidden="false" customHeight="true" outlineLevel="0" collapsed="false">
      <c r="A189" s="66" t="n">
        <v>113</v>
      </c>
      <c r="B189" s="67" t="s">
        <v>92</v>
      </c>
      <c r="C189" s="66" t="s">
        <v>103</v>
      </c>
      <c r="D189" s="66" t="n">
        <v>4</v>
      </c>
      <c r="E189" s="67" t="str">
        <f aca="false">IFERROR(INDEX('Master Data'!$L$2:$L$2436,MATCH($B$3&amp;"|"&amp;D189&amp;"|"&amp;B189&amp;"|"&amp;C189,'Master Data'!$A$2:$A$2436,0)),"")</f>
        <v>Belum terisi</v>
      </c>
      <c r="F189" s="67" t="str">
        <f aca="false">IFERROR(INDEX('Master Data'!$F$2:$F$2436,MATCH($B$3&amp;"|"&amp;D189&amp;"|"&amp;B189&amp;"|"&amp;C189,'Master Data'!$A$2:$A$2436,0))&amp;"","")</f>
        <v>Kids</v>
      </c>
      <c r="G189" s="66" t="n">
        <f aca="false">IFERROR(INDEX('Master Data'!$G$2:$G$2436,MATCH($B$3&amp;"|"&amp;D189&amp;"|"&amp;B189&amp;"|"&amp;C189,'Master Data'!$A$2:$A$2436,0)),"")</f>
        <v>4</v>
      </c>
      <c r="H189" s="67" t="str">
        <f aca="false">IFERROR(INDEX('Master Data'!$K$2:$K$2436,MATCH($B$3&amp;"|"&amp;D189&amp;"|"&amp;B189&amp;"|"&amp;C189,'Master Data'!$A$2:$A$2436,0))&amp;"","")</f>
        <v/>
      </c>
      <c r="I189" s="67" t="s">
        <v>352</v>
      </c>
      <c r="J189" s="67" t="s">
        <v>134</v>
      </c>
      <c r="K189" s="68"/>
      <c r="L189" s="68"/>
      <c r="M189" s="68"/>
      <c r="N189" s="69"/>
      <c r="O189" s="68"/>
    </row>
    <row r="190" customFormat="false" ht="27.75" hidden="false" customHeight="true" outlineLevel="0" collapsed="false">
      <c r="A190" s="66" t="n">
        <v>114</v>
      </c>
      <c r="B190" s="67" t="s">
        <v>92</v>
      </c>
      <c r="C190" s="66" t="s">
        <v>118</v>
      </c>
      <c r="D190" s="66" t="n">
        <v>1</v>
      </c>
      <c r="E190" s="67" t="str">
        <f aca="false">IFERROR(INDEX('Master Data'!$L$2:$L$2436,MATCH($B$3&amp;"|"&amp;D190&amp;"|"&amp;B190&amp;"|"&amp;C190,'Master Data'!$A$2:$A$2436,0)),"")</f>
        <v>Belum terisi</v>
      </c>
      <c r="F190" s="67" t="str">
        <f aca="false">IFERROR(INDEX('Master Data'!$F$2:$F$2436,MATCH($B$3&amp;"|"&amp;D190&amp;"|"&amp;B190&amp;"|"&amp;C190,'Master Data'!$A$2:$A$2436,0))&amp;"","")</f>
        <v>Tiny</v>
      </c>
      <c r="G190" s="66" t="n">
        <f aca="false">IFERROR(INDEX('Master Data'!$G$2:$G$2436,MATCH($B$3&amp;"|"&amp;D190&amp;"|"&amp;B190&amp;"|"&amp;C190,'Master Data'!$A$2:$A$2436,0)),"")</f>
        <v>5</v>
      </c>
      <c r="H190" s="67" t="str">
        <f aca="false">IFERROR(INDEX('Master Data'!$K$2:$K$2436,MATCH($B$3&amp;"|"&amp;D190&amp;"|"&amp;B190&amp;"|"&amp;C190,'Master Data'!$A$2:$A$2436,0))&amp;"","")</f>
        <v/>
      </c>
      <c r="I190" s="67" t="s">
        <v>352</v>
      </c>
      <c r="J190" s="67" t="s">
        <v>134</v>
      </c>
      <c r="K190" s="68"/>
      <c r="L190" s="68"/>
      <c r="M190" s="68"/>
      <c r="N190" s="69"/>
      <c r="O190" s="68"/>
    </row>
    <row r="191" customFormat="false" ht="27.75" hidden="false" customHeight="true" outlineLevel="0" collapsed="false">
      <c r="A191" s="66" t="n">
        <v>115</v>
      </c>
      <c r="B191" s="67" t="s">
        <v>92</v>
      </c>
      <c r="C191" s="66" t="s">
        <v>104</v>
      </c>
      <c r="D191" s="66" t="n">
        <v>3</v>
      </c>
      <c r="E191" s="67" t="str">
        <f aca="false">IFERROR(INDEX('Master Data'!$L$2:$L$2436,MATCH($B$3&amp;"|"&amp;D191&amp;"|"&amp;B191&amp;"|"&amp;C191,'Master Data'!$A$2:$A$2436,0)),"")</f>
        <v>Belum terisi</v>
      </c>
      <c r="F191" s="67" t="str">
        <f aca="false">IFERROR(INDEX('Master Data'!$F$2:$F$2436,MATCH($B$3&amp;"|"&amp;D191&amp;"|"&amp;B191&amp;"|"&amp;C191,'Master Data'!$A$2:$A$2436,0))&amp;"","")</f>
        <v>Kids</v>
      </c>
      <c r="G191" s="66" t="n">
        <f aca="false">IFERROR(INDEX('Master Data'!$G$2:$G$2436,MATCH($B$3&amp;"|"&amp;D191&amp;"|"&amp;B191&amp;"|"&amp;C191,'Master Data'!$A$2:$A$2436,0)),"")</f>
        <v>4</v>
      </c>
      <c r="H191" s="67" t="str">
        <f aca="false">IFERROR(INDEX('Master Data'!$K$2:$K$2436,MATCH($B$3&amp;"|"&amp;D191&amp;"|"&amp;B191&amp;"|"&amp;C191,'Master Data'!$A$2:$A$2436,0))&amp;"","")</f>
        <v/>
      </c>
      <c r="I191" s="67" t="s">
        <v>352</v>
      </c>
      <c r="J191" s="67" t="s">
        <v>134</v>
      </c>
      <c r="K191" s="68"/>
      <c r="L191" s="68"/>
      <c r="M191" s="68"/>
      <c r="N191" s="69"/>
      <c r="O191" s="68"/>
    </row>
    <row r="192" customFormat="false" ht="27.75" hidden="false" customHeight="true" outlineLevel="0" collapsed="false">
      <c r="A192" s="66" t="n">
        <v>116</v>
      </c>
      <c r="B192" s="67" t="s">
        <v>92</v>
      </c>
      <c r="C192" s="66" t="s">
        <v>104</v>
      </c>
      <c r="D192" s="66" t="n">
        <v>4</v>
      </c>
      <c r="E192" s="67" t="str">
        <f aca="false">IFERROR(INDEX('Master Data'!$L$2:$L$2436,MATCH($B$3&amp;"|"&amp;D192&amp;"|"&amp;B192&amp;"|"&amp;C192,'Master Data'!$A$2:$A$2436,0)),"")</f>
        <v>Belum terisi</v>
      </c>
      <c r="F192" s="67" t="str">
        <f aca="false">IFERROR(INDEX('Master Data'!$F$2:$F$2436,MATCH($B$3&amp;"|"&amp;D192&amp;"|"&amp;B192&amp;"|"&amp;C192,'Master Data'!$A$2:$A$2436,0))&amp;"","")</f>
        <v>Kids</v>
      </c>
      <c r="G192" s="66" t="n">
        <f aca="false">IFERROR(INDEX('Master Data'!$G$2:$G$2436,MATCH($B$3&amp;"|"&amp;D192&amp;"|"&amp;B192&amp;"|"&amp;C192,'Master Data'!$A$2:$A$2436,0)),"")</f>
        <v>4</v>
      </c>
      <c r="H192" s="67" t="str">
        <f aca="false">IFERROR(INDEX('Master Data'!$K$2:$K$2436,MATCH($B$3&amp;"|"&amp;D192&amp;"|"&amp;B192&amp;"|"&amp;C192,'Master Data'!$A$2:$A$2436,0))&amp;"","")</f>
        <v/>
      </c>
      <c r="I192" s="67" t="s">
        <v>352</v>
      </c>
      <c r="J192" s="67" t="s">
        <v>134</v>
      </c>
      <c r="K192" s="68"/>
      <c r="L192" s="68"/>
      <c r="M192" s="68"/>
      <c r="N192" s="69"/>
      <c r="O192" s="68"/>
    </row>
    <row r="193" customFormat="false" ht="27.75" hidden="false" customHeight="true" outlineLevel="0" collapsed="false">
      <c r="A193" s="66" t="n">
        <v>117</v>
      </c>
      <c r="B193" s="67" t="s">
        <v>92</v>
      </c>
      <c r="C193" s="66" t="s">
        <v>119</v>
      </c>
      <c r="D193" s="66" t="n">
        <v>1</v>
      </c>
      <c r="E193" s="67" t="str">
        <f aca="false">IFERROR(INDEX('Master Data'!$L$2:$L$2436,MATCH($B$3&amp;"|"&amp;D193&amp;"|"&amp;B193&amp;"|"&amp;C193,'Master Data'!$A$2:$A$2436,0)),"")</f>
        <v>Belum terisi</v>
      </c>
      <c r="F193" s="67" t="str">
        <f aca="false">IFERROR(INDEX('Master Data'!$F$2:$F$2436,MATCH($B$3&amp;"|"&amp;D193&amp;"|"&amp;B193&amp;"|"&amp;C193,'Master Data'!$A$2:$A$2436,0))&amp;"","")</f>
        <v>Baby</v>
      </c>
      <c r="G193" s="66" t="n">
        <f aca="false">IFERROR(INDEX('Master Data'!$G$2:$G$2436,MATCH($B$3&amp;"|"&amp;D193&amp;"|"&amp;B193&amp;"|"&amp;C193,'Master Data'!$A$2:$A$2436,0)),"")</f>
        <v>5</v>
      </c>
      <c r="H193" s="67" t="str">
        <f aca="false">IFERROR(INDEX('Master Data'!$K$2:$K$2436,MATCH($B$3&amp;"|"&amp;D193&amp;"|"&amp;B193&amp;"|"&amp;C193,'Master Data'!$A$2:$A$2436,0))&amp;"","")</f>
        <v/>
      </c>
      <c r="I193" s="67" t="s">
        <v>352</v>
      </c>
      <c r="J193" s="67" t="s">
        <v>134</v>
      </c>
      <c r="K193" s="68"/>
      <c r="L193" s="68"/>
      <c r="M193" s="68"/>
      <c r="N193" s="69"/>
      <c r="O193" s="68"/>
    </row>
    <row r="194" customFormat="false" ht="27.75" hidden="false" customHeight="true" outlineLevel="0" collapsed="false">
      <c r="A194" s="66" t="n">
        <v>118</v>
      </c>
      <c r="B194" s="67" t="s">
        <v>92</v>
      </c>
      <c r="C194" s="66" t="s">
        <v>119</v>
      </c>
      <c r="D194" s="66" t="n">
        <v>2</v>
      </c>
      <c r="E194" s="67" t="str">
        <f aca="false">IFERROR(INDEX('Master Data'!$L$2:$L$2436,MATCH($B$3&amp;"|"&amp;D194&amp;"|"&amp;B194&amp;"|"&amp;C194,'Master Data'!$A$2:$A$2436,0)),"")</f>
        <v>Belum terisi</v>
      </c>
      <c r="F194" s="67" t="str">
        <f aca="false">IFERROR(INDEX('Master Data'!$F$2:$F$2436,MATCH($B$3&amp;"|"&amp;D194&amp;"|"&amp;B194&amp;"|"&amp;C194,'Master Data'!$A$2:$A$2436,0))&amp;"","")</f>
        <v>Little</v>
      </c>
      <c r="G194" s="66" t="n">
        <f aca="false">IFERROR(INDEX('Master Data'!$G$2:$G$2436,MATCH($B$3&amp;"|"&amp;D194&amp;"|"&amp;B194&amp;"|"&amp;C194,'Master Data'!$A$2:$A$2436,0)),"")</f>
        <v>5</v>
      </c>
      <c r="H194" s="67" t="str">
        <f aca="false">IFERROR(INDEX('Master Data'!$K$2:$K$2436,MATCH($B$3&amp;"|"&amp;D194&amp;"|"&amp;B194&amp;"|"&amp;C194,'Master Data'!$A$2:$A$2436,0))&amp;"","")</f>
        <v/>
      </c>
      <c r="I194" s="67" t="s">
        <v>352</v>
      </c>
      <c r="J194" s="67" t="s">
        <v>134</v>
      </c>
      <c r="K194" s="68"/>
      <c r="L194" s="68"/>
      <c r="M194" s="68"/>
      <c r="N194" s="69"/>
      <c r="O194" s="68"/>
    </row>
    <row r="195" customFormat="false" ht="15.75" hidden="false" customHeight="true" outlineLevel="0" collapsed="false">
      <c r="A195" s="66" t="n">
        <v>119</v>
      </c>
      <c r="B195" s="67" t="s">
        <v>92</v>
      </c>
      <c r="C195" s="66" t="s">
        <v>105</v>
      </c>
      <c r="D195" s="66" t="n">
        <v>4</v>
      </c>
      <c r="E195" s="67" t="str">
        <f aca="false">IFERROR(INDEX('Master Data'!$L$2:$L$2436,MATCH($B$3&amp;"|"&amp;D195&amp;"|"&amp;B195&amp;"|"&amp;C195,'Master Data'!$A$2:$A$2436,0)),"")</f>
        <v>Belum terisi</v>
      </c>
      <c r="F195" s="67" t="str">
        <f aca="false">IFERROR(INDEX('Master Data'!$F$2:$F$2436,MATCH($B$3&amp;"|"&amp;D195&amp;"|"&amp;B195&amp;"|"&amp;C195,'Master Data'!$A$2:$A$2436,0))&amp;"","")</f>
        <v>Kids</v>
      </c>
      <c r="G195" s="66" t="n">
        <f aca="false">IFERROR(INDEX('Master Data'!$G$2:$G$2436,MATCH($B$3&amp;"|"&amp;D195&amp;"|"&amp;B195&amp;"|"&amp;C195,'Master Data'!$A$2:$A$2436,0)),"")</f>
        <v>4</v>
      </c>
      <c r="H195" s="67" t="str">
        <f aca="false">IFERROR(INDEX('Master Data'!$K$2:$K$2436,MATCH($B$3&amp;"|"&amp;D195&amp;"|"&amp;B195&amp;"|"&amp;C195,'Master Data'!$A$2:$A$2436,0))&amp;"","")</f>
        <v/>
      </c>
      <c r="I195" s="70" t="s">
        <v>154</v>
      </c>
      <c r="J195" s="67" t="s">
        <v>210</v>
      </c>
      <c r="K195" s="68"/>
      <c r="L195" s="68"/>
      <c r="M195" s="68"/>
      <c r="N195" s="69"/>
      <c r="O195" s="68"/>
    </row>
    <row r="196" customFormat="false" ht="15.75" hidden="false" customHeight="true" outlineLevel="0" collapsed="false">
      <c r="A196" s="66" t="n">
        <v>120</v>
      </c>
      <c r="B196" s="67" t="s">
        <v>92</v>
      </c>
      <c r="C196" s="66" t="s">
        <v>106</v>
      </c>
      <c r="D196" s="66" t="n">
        <v>3</v>
      </c>
      <c r="E196" s="67" t="str">
        <f aca="false">IFERROR(INDEX('Master Data'!$L$2:$L$2436,MATCH($B$3&amp;"|"&amp;D196&amp;"|"&amp;B196&amp;"|"&amp;C196,'Master Data'!$A$2:$A$2436,0)),"")</f>
        <v>Belum terisi</v>
      </c>
      <c r="F196" s="67" t="str">
        <f aca="false">IFERROR(INDEX('Master Data'!$F$2:$F$2436,MATCH($B$3&amp;"|"&amp;D196&amp;"|"&amp;B196&amp;"|"&amp;C196,'Master Data'!$A$2:$A$2436,0))&amp;"","")</f>
        <v>Kids</v>
      </c>
      <c r="G196" s="66" t="n">
        <f aca="false">IFERROR(INDEX('Master Data'!$G$2:$G$2436,MATCH($B$3&amp;"|"&amp;D196&amp;"|"&amp;B196&amp;"|"&amp;C196,'Master Data'!$A$2:$A$2436,0)),"")</f>
        <v>4</v>
      </c>
      <c r="H196" s="67" t="str">
        <f aca="false">IFERROR(INDEX('Master Data'!$K$2:$K$2436,MATCH($B$3&amp;"|"&amp;D196&amp;"|"&amp;B196&amp;"|"&amp;C196,'Master Data'!$A$2:$A$2436,0))&amp;"","")</f>
        <v/>
      </c>
      <c r="I196" s="67" t="s">
        <v>353</v>
      </c>
      <c r="J196" s="67" t="s">
        <v>203</v>
      </c>
      <c r="K196" s="68"/>
      <c r="L196" s="68"/>
      <c r="M196" s="68"/>
      <c r="N196" s="69"/>
      <c r="O196" s="68"/>
    </row>
    <row r="197" customFormat="false" ht="15.75" hidden="false" customHeight="true" outlineLevel="0" collapsed="false">
      <c r="A197" s="66" t="n">
        <v>121</v>
      </c>
      <c r="B197" s="67" t="s">
        <v>92</v>
      </c>
      <c r="C197" s="66" t="s">
        <v>106</v>
      </c>
      <c r="D197" s="66" t="n">
        <v>4</v>
      </c>
      <c r="E197" s="67" t="str">
        <f aca="false">IFERROR(INDEX('Master Data'!$L$2:$L$2436,MATCH($B$3&amp;"|"&amp;D197&amp;"|"&amp;B197&amp;"|"&amp;C197,'Master Data'!$A$2:$A$2436,0)),"")</f>
        <v>Belum terisi</v>
      </c>
      <c r="F197" s="67" t="str">
        <f aca="false">IFERROR(INDEX('Master Data'!$F$2:$F$2436,MATCH($B$3&amp;"|"&amp;D197&amp;"|"&amp;B197&amp;"|"&amp;C197,'Master Data'!$A$2:$A$2436,0))&amp;"","")</f>
        <v>Kids</v>
      </c>
      <c r="G197" s="66" t="n">
        <f aca="false">IFERROR(INDEX('Master Data'!$G$2:$G$2436,MATCH($B$3&amp;"|"&amp;D197&amp;"|"&amp;B197&amp;"|"&amp;C197,'Master Data'!$A$2:$A$2436,0)),"")</f>
        <v>4</v>
      </c>
      <c r="H197" s="67" t="str">
        <f aca="false">IFERROR(INDEX('Master Data'!$K$2:$K$2436,MATCH($B$3&amp;"|"&amp;D197&amp;"|"&amp;B197&amp;"|"&amp;C197,'Master Data'!$A$2:$A$2436,0))&amp;"","")</f>
        <v/>
      </c>
      <c r="I197" s="67" t="s">
        <v>353</v>
      </c>
      <c r="J197" s="67" t="s">
        <v>203</v>
      </c>
      <c r="K197" s="68"/>
      <c r="L197" s="68"/>
      <c r="M197" s="68"/>
      <c r="N197" s="69"/>
      <c r="O197" s="68"/>
    </row>
    <row r="198" customFormat="false" ht="27.75" hidden="false" customHeight="true" outlineLevel="0" collapsed="false">
      <c r="A198" s="66" t="n">
        <v>122</v>
      </c>
      <c r="B198" s="67" t="s">
        <v>92</v>
      </c>
      <c r="C198" s="66" t="s">
        <v>121</v>
      </c>
      <c r="D198" s="66" t="n">
        <v>1</v>
      </c>
      <c r="E198" s="67" t="str">
        <f aca="false">IFERROR(INDEX('Master Data'!$L$2:$L$2436,MATCH($B$3&amp;"|"&amp;D198&amp;"|"&amp;B198&amp;"|"&amp;C198,'Master Data'!$A$2:$A$2436,0)),"")</f>
        <v>Belum terisi</v>
      </c>
      <c r="F198" s="67" t="str">
        <f aca="false">IFERROR(INDEX('Master Data'!$F$2:$F$2436,MATCH($B$3&amp;"|"&amp;D198&amp;"|"&amp;B198&amp;"|"&amp;C198,'Master Data'!$A$2:$A$2436,0))&amp;"","")</f>
        <v>Baby</v>
      </c>
      <c r="G198" s="66" t="n">
        <f aca="false">IFERROR(INDEX('Master Data'!$G$2:$G$2436,MATCH($B$3&amp;"|"&amp;D198&amp;"|"&amp;B198&amp;"|"&amp;C198,'Master Data'!$A$2:$A$2436,0)),"")</f>
        <v>5</v>
      </c>
      <c r="H198" s="67" t="str">
        <f aca="false">IFERROR(INDEX('Master Data'!$K$2:$K$2436,MATCH($B$3&amp;"|"&amp;D198&amp;"|"&amp;B198&amp;"|"&amp;C198,'Master Data'!$A$2:$A$2436,0))&amp;"","")</f>
        <v/>
      </c>
      <c r="I198" s="67" t="s">
        <v>351</v>
      </c>
      <c r="J198" s="67" t="s">
        <v>134</v>
      </c>
      <c r="K198" s="68"/>
      <c r="L198" s="68"/>
      <c r="M198" s="68"/>
      <c r="N198" s="69"/>
      <c r="O198" s="68"/>
    </row>
    <row r="199" customFormat="false" ht="27.75" hidden="false" customHeight="true" outlineLevel="0" collapsed="false">
      <c r="A199" s="66" t="n">
        <v>123</v>
      </c>
      <c r="B199" s="67" t="s">
        <v>92</v>
      </c>
      <c r="C199" s="66" t="s">
        <v>121</v>
      </c>
      <c r="D199" s="66" t="n">
        <v>2</v>
      </c>
      <c r="E199" s="67" t="str">
        <f aca="false">IFERROR(INDEX('Master Data'!$L$2:$L$2436,MATCH($B$3&amp;"|"&amp;D199&amp;"|"&amp;B199&amp;"|"&amp;C199,'Master Data'!$A$2:$A$2436,0)),"")</f>
        <v>Belum terisi</v>
      </c>
      <c r="F199" s="67" t="str">
        <f aca="false">IFERROR(INDEX('Master Data'!$F$2:$F$2436,MATCH($B$3&amp;"|"&amp;D199&amp;"|"&amp;B199&amp;"|"&amp;C199,'Master Data'!$A$2:$A$2436,0))&amp;"","")</f>
        <v>Little</v>
      </c>
      <c r="G199" s="66" t="n">
        <f aca="false">IFERROR(INDEX('Master Data'!$G$2:$G$2436,MATCH($B$3&amp;"|"&amp;D199&amp;"|"&amp;B199&amp;"|"&amp;C199,'Master Data'!$A$2:$A$2436,0)),"")</f>
        <v>5</v>
      </c>
      <c r="H199" s="67" t="str">
        <f aca="false">IFERROR(INDEX('Master Data'!$K$2:$K$2436,MATCH($B$3&amp;"|"&amp;D199&amp;"|"&amp;B199&amp;"|"&amp;C199,'Master Data'!$A$2:$A$2436,0))&amp;"","")</f>
        <v/>
      </c>
      <c r="I199" s="67" t="s">
        <v>351</v>
      </c>
      <c r="J199" s="67" t="s">
        <v>134</v>
      </c>
      <c r="K199" s="68"/>
      <c r="L199" s="68"/>
      <c r="M199" s="68"/>
      <c r="N199" s="69"/>
      <c r="O199" s="68"/>
    </row>
    <row r="200" customFormat="false" ht="27.75" hidden="false" customHeight="true" outlineLevel="0" collapsed="false">
      <c r="A200" s="66" t="n">
        <v>124</v>
      </c>
      <c r="B200" s="67" t="s">
        <v>92</v>
      </c>
      <c r="C200" s="66" t="s">
        <v>107</v>
      </c>
      <c r="D200" s="66" t="n">
        <v>4</v>
      </c>
      <c r="E200" s="67" t="str">
        <f aca="false">IFERROR(INDEX('Master Data'!$L$2:$L$2436,MATCH($B$3&amp;"|"&amp;D200&amp;"|"&amp;B200&amp;"|"&amp;C200,'Master Data'!$A$2:$A$2436,0)),"")</f>
        <v>Belum terisi</v>
      </c>
      <c r="F200" s="67" t="str">
        <f aca="false">IFERROR(INDEX('Master Data'!$F$2:$F$2436,MATCH($B$3&amp;"|"&amp;D200&amp;"|"&amp;B200&amp;"|"&amp;C200,'Master Data'!$A$2:$A$2436,0))&amp;"","")</f>
        <v>Kids</v>
      </c>
      <c r="G200" s="66" t="n">
        <f aca="false">IFERROR(INDEX('Master Data'!$G$2:$G$2436,MATCH($B$3&amp;"|"&amp;D200&amp;"|"&amp;B200&amp;"|"&amp;C200,'Master Data'!$A$2:$A$2436,0)),"")</f>
        <v>4</v>
      </c>
      <c r="H200" s="67" t="str">
        <f aca="false">IFERROR(INDEX('Master Data'!$K$2:$K$2436,MATCH($B$3&amp;"|"&amp;D200&amp;"|"&amp;B200&amp;"|"&amp;C200,'Master Data'!$A$2:$A$2436,0))&amp;"","")</f>
        <v/>
      </c>
      <c r="I200" s="67" t="s">
        <v>351</v>
      </c>
      <c r="J200" s="67" t="s">
        <v>134</v>
      </c>
      <c r="K200" s="68"/>
      <c r="L200" s="68"/>
      <c r="M200" s="68"/>
      <c r="N200" s="69"/>
      <c r="O200" s="68"/>
    </row>
    <row r="201" customFormat="false" ht="27.75" hidden="false" customHeight="true" outlineLevel="0" collapsed="false">
      <c r="A201" s="66" t="n">
        <v>125</v>
      </c>
      <c r="B201" s="67" t="s">
        <v>93</v>
      </c>
      <c r="C201" s="66" t="s">
        <v>110</v>
      </c>
      <c r="D201" s="66" t="n">
        <v>1</v>
      </c>
      <c r="E201" s="67" t="str">
        <f aca="false">IFERROR(INDEX('Master Data'!$L$2:$L$2436,MATCH($B$3&amp;"|"&amp;D201&amp;"|"&amp;B201&amp;"|"&amp;C201,'Master Data'!$A$2:$A$2436,0)),"")</f>
        <v>Belum terisi</v>
      </c>
      <c r="F201" s="67" t="str">
        <f aca="false">IFERROR(INDEX('Master Data'!$F$2:$F$2436,MATCH($B$3&amp;"|"&amp;D201&amp;"|"&amp;B201&amp;"|"&amp;C201,'Master Data'!$A$2:$A$2436,0))&amp;"","")</f>
        <v>Tiny</v>
      </c>
      <c r="G201" s="66" t="n">
        <f aca="false">IFERROR(INDEX('Master Data'!$G$2:$G$2436,MATCH($B$3&amp;"|"&amp;D201&amp;"|"&amp;B201&amp;"|"&amp;C201,'Master Data'!$A$2:$A$2436,0)),"")</f>
        <v>5</v>
      </c>
      <c r="H201" s="67" t="str">
        <f aca="false">IFERROR(INDEX('Master Data'!$K$2:$K$2436,MATCH($B$3&amp;"|"&amp;D201&amp;"|"&amp;B201&amp;"|"&amp;C201,'Master Data'!$A$2:$A$2436,0))&amp;"","")</f>
        <v/>
      </c>
      <c r="I201" s="67" t="s">
        <v>354</v>
      </c>
      <c r="J201" s="67" t="s">
        <v>134</v>
      </c>
      <c r="K201" s="68"/>
      <c r="L201" s="68"/>
      <c r="M201" s="68"/>
      <c r="N201" s="69"/>
      <c r="O201" s="68"/>
    </row>
    <row r="202" customFormat="false" ht="27.75" hidden="false" customHeight="true" outlineLevel="0" collapsed="false">
      <c r="A202" s="66" t="n">
        <v>126</v>
      </c>
      <c r="B202" s="67" t="s">
        <v>93</v>
      </c>
      <c r="C202" s="66" t="s">
        <v>110</v>
      </c>
      <c r="D202" s="66" t="n">
        <v>2</v>
      </c>
      <c r="E202" s="67" t="str">
        <f aca="false">IFERROR(INDEX('Master Data'!$L$2:$L$2436,MATCH($B$3&amp;"|"&amp;D202&amp;"|"&amp;B202&amp;"|"&amp;C202,'Master Data'!$A$2:$A$2436,0)),"")</f>
        <v>Belum terisi</v>
      </c>
      <c r="F202" s="67" t="str">
        <f aca="false">IFERROR(INDEX('Master Data'!$F$2:$F$2436,MATCH($B$3&amp;"|"&amp;D202&amp;"|"&amp;B202&amp;"|"&amp;C202,'Master Data'!$A$2:$A$2436,0))&amp;"","")</f>
        <v>Little</v>
      </c>
      <c r="G202" s="66" t="n">
        <f aca="false">IFERROR(INDEX('Master Data'!$G$2:$G$2436,MATCH($B$3&amp;"|"&amp;D202&amp;"|"&amp;B202&amp;"|"&amp;C202,'Master Data'!$A$2:$A$2436,0)),"")</f>
        <v>5</v>
      </c>
      <c r="H202" s="67" t="str">
        <f aca="false">IFERROR(INDEX('Master Data'!$K$2:$K$2436,MATCH($B$3&amp;"|"&amp;D202&amp;"|"&amp;B202&amp;"|"&amp;C202,'Master Data'!$A$2:$A$2436,0))&amp;"","")</f>
        <v/>
      </c>
      <c r="I202" s="67" t="s">
        <v>354</v>
      </c>
      <c r="J202" s="67" t="s">
        <v>134</v>
      </c>
      <c r="K202" s="68"/>
      <c r="L202" s="68"/>
      <c r="M202" s="68"/>
      <c r="N202" s="69"/>
      <c r="O202" s="68"/>
    </row>
    <row r="203" customFormat="false" ht="27.75" hidden="false" customHeight="true" outlineLevel="0" collapsed="false">
      <c r="A203" s="66" t="n">
        <v>127</v>
      </c>
      <c r="B203" s="67" t="s">
        <v>93</v>
      </c>
      <c r="C203" s="66" t="s">
        <v>96</v>
      </c>
      <c r="D203" s="66" t="n">
        <v>3</v>
      </c>
      <c r="E203" s="67" t="str">
        <f aca="false">IFERROR(INDEX('Master Data'!$L$2:$L$2436,MATCH($B$3&amp;"|"&amp;D203&amp;"|"&amp;B203&amp;"|"&amp;C203,'Master Data'!$A$2:$A$2436,0)),"")</f>
        <v>Belum terisi</v>
      </c>
      <c r="F203" s="67" t="str">
        <f aca="false">IFERROR(INDEX('Master Data'!$F$2:$F$2436,MATCH($B$3&amp;"|"&amp;D203&amp;"|"&amp;B203&amp;"|"&amp;C203,'Master Data'!$A$2:$A$2436,0))&amp;"","")</f>
        <v>Kids</v>
      </c>
      <c r="G203" s="66" t="n">
        <f aca="false">IFERROR(INDEX('Master Data'!$G$2:$G$2436,MATCH($B$3&amp;"|"&amp;D203&amp;"|"&amp;B203&amp;"|"&amp;C203,'Master Data'!$A$2:$A$2436,0)),"")</f>
        <v>4</v>
      </c>
      <c r="H203" s="67" t="str">
        <f aca="false">IFERROR(INDEX('Master Data'!$K$2:$K$2436,MATCH($B$3&amp;"|"&amp;D203&amp;"|"&amp;B203&amp;"|"&amp;C203,'Master Data'!$A$2:$A$2436,0))&amp;"","")</f>
        <v/>
      </c>
      <c r="I203" s="67" t="s">
        <v>354</v>
      </c>
      <c r="J203" s="67" t="s">
        <v>134</v>
      </c>
      <c r="K203" s="68"/>
      <c r="L203" s="68"/>
      <c r="M203" s="68"/>
      <c r="N203" s="69"/>
      <c r="O203" s="68"/>
    </row>
    <row r="204" customFormat="false" ht="27.75" hidden="false" customHeight="true" outlineLevel="0" collapsed="false">
      <c r="A204" s="66" t="n">
        <v>128</v>
      </c>
      <c r="B204" s="67" t="s">
        <v>93</v>
      </c>
      <c r="C204" s="66" t="s">
        <v>96</v>
      </c>
      <c r="D204" s="66" t="n">
        <v>4</v>
      </c>
      <c r="E204" s="67" t="str">
        <f aca="false">IFERROR(INDEX('Master Data'!$L$2:$L$2436,MATCH($B$3&amp;"|"&amp;D204&amp;"|"&amp;B204&amp;"|"&amp;C204,'Master Data'!$A$2:$A$2436,0)),"")</f>
        <v>Belum terisi</v>
      </c>
      <c r="F204" s="67" t="str">
        <f aca="false">IFERROR(INDEX('Master Data'!$F$2:$F$2436,MATCH($B$3&amp;"|"&amp;D204&amp;"|"&amp;B204&amp;"|"&amp;C204,'Master Data'!$A$2:$A$2436,0))&amp;"","")</f>
        <v>Kids</v>
      </c>
      <c r="G204" s="66" t="n">
        <f aca="false">IFERROR(INDEX('Master Data'!$G$2:$G$2436,MATCH($B$3&amp;"|"&amp;D204&amp;"|"&amp;B204&amp;"|"&amp;C204,'Master Data'!$A$2:$A$2436,0)),"")</f>
        <v>4</v>
      </c>
      <c r="H204" s="67" t="str">
        <f aca="false">IFERROR(INDEX('Master Data'!$K$2:$K$2436,MATCH($B$3&amp;"|"&amp;D204&amp;"|"&amp;B204&amp;"|"&amp;C204,'Master Data'!$A$2:$A$2436,0))&amp;"","")</f>
        <v/>
      </c>
      <c r="I204" s="67" t="s">
        <v>354</v>
      </c>
      <c r="J204" s="67" t="s">
        <v>134</v>
      </c>
      <c r="K204" s="68"/>
      <c r="L204" s="68"/>
      <c r="M204" s="68"/>
      <c r="N204" s="69"/>
      <c r="O204" s="68"/>
    </row>
    <row r="205" customFormat="false" ht="27.75" hidden="false" customHeight="true" outlineLevel="0" collapsed="false">
      <c r="A205" s="66" t="n">
        <v>129</v>
      </c>
      <c r="B205" s="67" t="s">
        <v>93</v>
      </c>
      <c r="C205" s="66" t="s">
        <v>111</v>
      </c>
      <c r="D205" s="66" t="n">
        <v>1</v>
      </c>
      <c r="E205" s="67" t="str">
        <f aca="false">IFERROR(INDEX('Master Data'!$L$2:$L$2436,MATCH($B$3&amp;"|"&amp;D205&amp;"|"&amp;B205&amp;"|"&amp;C205,'Master Data'!$A$2:$A$2436,0)),"")</f>
        <v>Belum terisi</v>
      </c>
      <c r="F205" s="67" t="str">
        <f aca="false">IFERROR(INDEX('Master Data'!$F$2:$F$2436,MATCH($B$3&amp;"|"&amp;D205&amp;"|"&amp;B205&amp;"|"&amp;C205,'Master Data'!$A$2:$A$2436,0))&amp;"","")</f>
        <v>Baby</v>
      </c>
      <c r="G205" s="66" t="n">
        <f aca="false">IFERROR(INDEX('Master Data'!$G$2:$G$2436,MATCH($B$3&amp;"|"&amp;D205&amp;"|"&amp;B205&amp;"|"&amp;C205,'Master Data'!$A$2:$A$2436,0)),"")</f>
        <v>5</v>
      </c>
      <c r="H205" s="67" t="str">
        <f aca="false">IFERROR(INDEX('Master Data'!$K$2:$K$2436,MATCH($B$3&amp;"|"&amp;D205&amp;"|"&amp;B205&amp;"|"&amp;C205,'Master Data'!$A$2:$A$2436,0))&amp;"","")</f>
        <v/>
      </c>
      <c r="I205" s="67" t="s">
        <v>354</v>
      </c>
      <c r="J205" s="67" t="s">
        <v>134</v>
      </c>
      <c r="K205" s="68"/>
      <c r="L205" s="68"/>
      <c r="M205" s="68"/>
      <c r="N205" s="69"/>
      <c r="O205" s="68"/>
    </row>
    <row r="206" customFormat="false" ht="27.75" hidden="false" customHeight="true" outlineLevel="0" collapsed="false">
      <c r="A206" s="66" t="n">
        <v>130</v>
      </c>
      <c r="B206" s="67" t="s">
        <v>93</v>
      </c>
      <c r="C206" s="66" t="s">
        <v>111</v>
      </c>
      <c r="D206" s="66" t="n">
        <v>2</v>
      </c>
      <c r="E206" s="67" t="str">
        <f aca="false">IFERROR(INDEX('Master Data'!$L$2:$L$2436,MATCH($B$3&amp;"|"&amp;D206&amp;"|"&amp;B206&amp;"|"&amp;C206,'Master Data'!$A$2:$A$2436,0)),"")</f>
        <v>Belum terisi</v>
      </c>
      <c r="F206" s="67" t="str">
        <f aca="false">IFERROR(INDEX('Master Data'!$F$2:$F$2436,MATCH($B$3&amp;"|"&amp;D206&amp;"|"&amp;B206&amp;"|"&amp;C206,'Master Data'!$A$2:$A$2436,0))&amp;"","")</f>
        <v>Little</v>
      </c>
      <c r="G206" s="66" t="n">
        <f aca="false">IFERROR(INDEX('Master Data'!$G$2:$G$2436,MATCH($B$3&amp;"|"&amp;D206&amp;"|"&amp;B206&amp;"|"&amp;C206,'Master Data'!$A$2:$A$2436,0)),"")</f>
        <v>5</v>
      </c>
      <c r="H206" s="67" t="str">
        <f aca="false">IFERROR(INDEX('Master Data'!$K$2:$K$2436,MATCH($B$3&amp;"|"&amp;D206&amp;"|"&amp;B206&amp;"|"&amp;C206,'Master Data'!$A$2:$A$2436,0))&amp;"","")</f>
        <v/>
      </c>
      <c r="I206" s="67" t="s">
        <v>354</v>
      </c>
      <c r="J206" s="67" t="s">
        <v>134</v>
      </c>
      <c r="K206" s="68"/>
      <c r="L206" s="68"/>
      <c r="M206" s="68"/>
      <c r="N206" s="69"/>
      <c r="O206" s="68"/>
    </row>
    <row r="207" customFormat="false" ht="27.75" hidden="false" customHeight="true" outlineLevel="0" collapsed="false">
      <c r="A207" s="66" t="n">
        <v>131</v>
      </c>
      <c r="B207" s="67" t="s">
        <v>93</v>
      </c>
      <c r="C207" s="66" t="s">
        <v>97</v>
      </c>
      <c r="D207" s="66" t="n">
        <v>3</v>
      </c>
      <c r="E207" s="67" t="str">
        <f aca="false">IFERROR(INDEX('Master Data'!$L$2:$L$2436,MATCH($B$3&amp;"|"&amp;D207&amp;"|"&amp;B207&amp;"|"&amp;C207,'Master Data'!$A$2:$A$2436,0)),"")</f>
        <v>Belum terisi</v>
      </c>
      <c r="F207" s="67" t="str">
        <f aca="false">IFERROR(INDEX('Master Data'!$F$2:$F$2436,MATCH($B$3&amp;"|"&amp;D207&amp;"|"&amp;B207&amp;"|"&amp;C207,'Master Data'!$A$2:$A$2436,0))&amp;"","")</f>
        <v>Kids</v>
      </c>
      <c r="G207" s="66" t="n">
        <f aca="false">IFERROR(INDEX('Master Data'!$G$2:$G$2436,MATCH($B$3&amp;"|"&amp;D207&amp;"|"&amp;B207&amp;"|"&amp;C207,'Master Data'!$A$2:$A$2436,0)),"")</f>
        <v>4</v>
      </c>
      <c r="H207" s="67" t="str">
        <f aca="false">IFERROR(INDEX('Master Data'!$K$2:$K$2436,MATCH($B$3&amp;"|"&amp;D207&amp;"|"&amp;B207&amp;"|"&amp;C207,'Master Data'!$A$2:$A$2436,0))&amp;"","")</f>
        <v/>
      </c>
      <c r="I207" s="67" t="s">
        <v>354</v>
      </c>
      <c r="J207" s="67" t="s">
        <v>134</v>
      </c>
      <c r="K207" s="68"/>
      <c r="L207" s="68"/>
      <c r="M207" s="68"/>
      <c r="N207" s="69"/>
      <c r="O207" s="68"/>
    </row>
    <row r="208" customFormat="false" ht="27.75" hidden="false" customHeight="true" outlineLevel="0" collapsed="false">
      <c r="A208" s="66" t="n">
        <v>132</v>
      </c>
      <c r="B208" s="67" t="s">
        <v>93</v>
      </c>
      <c r="C208" s="66" t="s">
        <v>97</v>
      </c>
      <c r="D208" s="66" t="n">
        <v>4</v>
      </c>
      <c r="E208" s="67" t="str">
        <f aca="false">IFERROR(INDEX('Master Data'!$L$2:$L$2436,MATCH($B$3&amp;"|"&amp;D208&amp;"|"&amp;B208&amp;"|"&amp;C208,'Master Data'!$A$2:$A$2436,0)),"")</f>
        <v>Belum terisi</v>
      </c>
      <c r="F208" s="67" t="str">
        <f aca="false">IFERROR(INDEX('Master Data'!$F$2:$F$2436,MATCH($B$3&amp;"|"&amp;D208&amp;"|"&amp;B208&amp;"|"&amp;C208,'Master Data'!$A$2:$A$2436,0))&amp;"","")</f>
        <v>Kids</v>
      </c>
      <c r="G208" s="66" t="n">
        <f aca="false">IFERROR(INDEX('Master Data'!$G$2:$G$2436,MATCH($B$3&amp;"|"&amp;D208&amp;"|"&amp;B208&amp;"|"&amp;C208,'Master Data'!$A$2:$A$2436,0)),"")</f>
        <v>4</v>
      </c>
      <c r="H208" s="67" t="str">
        <f aca="false">IFERROR(INDEX('Master Data'!$K$2:$K$2436,MATCH($B$3&amp;"|"&amp;D208&amp;"|"&amp;B208&amp;"|"&amp;C208,'Master Data'!$A$2:$A$2436,0))&amp;"","")</f>
        <v/>
      </c>
      <c r="I208" s="67" t="s">
        <v>354</v>
      </c>
      <c r="J208" s="67" t="s">
        <v>134</v>
      </c>
      <c r="K208" s="68"/>
      <c r="L208" s="68"/>
      <c r="M208" s="68"/>
      <c r="N208" s="69"/>
      <c r="O208" s="68"/>
    </row>
    <row r="209" customFormat="false" ht="27.75" hidden="false" customHeight="true" outlineLevel="0" collapsed="false">
      <c r="A209" s="66" t="n">
        <v>133</v>
      </c>
      <c r="B209" s="67" t="s">
        <v>93</v>
      </c>
      <c r="C209" s="66" t="s">
        <v>112</v>
      </c>
      <c r="D209" s="66" t="n">
        <v>1</v>
      </c>
      <c r="E209" s="67" t="str">
        <f aca="false">IFERROR(INDEX('Master Data'!$L$2:$L$2436,MATCH($B$3&amp;"|"&amp;D209&amp;"|"&amp;B209&amp;"|"&amp;C209,'Master Data'!$A$2:$A$2436,0)),"")</f>
        <v>Belum terisi</v>
      </c>
      <c r="F209" s="67" t="str">
        <f aca="false">IFERROR(INDEX('Master Data'!$F$2:$F$2436,MATCH($B$3&amp;"|"&amp;D209&amp;"|"&amp;B209&amp;"|"&amp;C209,'Master Data'!$A$2:$A$2436,0))&amp;"","")</f>
        <v>Tiny</v>
      </c>
      <c r="G209" s="66" t="n">
        <f aca="false">IFERROR(INDEX('Master Data'!$G$2:$G$2436,MATCH($B$3&amp;"|"&amp;D209&amp;"|"&amp;B209&amp;"|"&amp;C209,'Master Data'!$A$2:$A$2436,0)),"")</f>
        <v>5</v>
      </c>
      <c r="H209" s="67" t="str">
        <f aca="false">IFERROR(INDEX('Master Data'!$K$2:$K$2436,MATCH($B$3&amp;"|"&amp;D209&amp;"|"&amp;B209&amp;"|"&amp;C209,'Master Data'!$A$2:$A$2436,0))&amp;"","")</f>
        <v/>
      </c>
      <c r="I209" s="67" t="s">
        <v>354</v>
      </c>
      <c r="J209" s="67" t="s">
        <v>134</v>
      </c>
      <c r="K209" s="68"/>
      <c r="L209" s="68"/>
      <c r="M209" s="68"/>
      <c r="N209" s="69"/>
      <c r="O209" s="68"/>
    </row>
    <row r="210" customFormat="false" ht="27.75" hidden="false" customHeight="true" outlineLevel="0" collapsed="false">
      <c r="A210" s="66" t="n">
        <v>134</v>
      </c>
      <c r="B210" s="67" t="s">
        <v>93</v>
      </c>
      <c r="C210" s="66" t="s">
        <v>112</v>
      </c>
      <c r="D210" s="66" t="n">
        <v>2</v>
      </c>
      <c r="E210" s="67" t="str">
        <f aca="false">IFERROR(INDEX('Master Data'!$L$2:$L$2436,MATCH($B$3&amp;"|"&amp;D210&amp;"|"&amp;B210&amp;"|"&amp;C210,'Master Data'!$A$2:$A$2436,0)),"")</f>
        <v>Belum terisi</v>
      </c>
      <c r="F210" s="67" t="str">
        <f aca="false">IFERROR(INDEX('Master Data'!$F$2:$F$2436,MATCH($B$3&amp;"|"&amp;D210&amp;"|"&amp;B210&amp;"|"&amp;C210,'Master Data'!$A$2:$A$2436,0))&amp;"","")</f>
        <v>Little</v>
      </c>
      <c r="G210" s="66" t="n">
        <f aca="false">IFERROR(INDEX('Master Data'!$G$2:$G$2436,MATCH($B$3&amp;"|"&amp;D210&amp;"|"&amp;B210&amp;"|"&amp;C210,'Master Data'!$A$2:$A$2436,0)),"")</f>
        <v>5</v>
      </c>
      <c r="H210" s="67" t="str">
        <f aca="false">IFERROR(INDEX('Master Data'!$K$2:$K$2436,MATCH($B$3&amp;"|"&amp;D210&amp;"|"&amp;B210&amp;"|"&amp;C210,'Master Data'!$A$2:$A$2436,0))&amp;"","")</f>
        <v/>
      </c>
      <c r="I210" s="67" t="s">
        <v>354</v>
      </c>
      <c r="J210" s="67" t="s">
        <v>134</v>
      </c>
      <c r="K210" s="68"/>
      <c r="L210" s="68"/>
      <c r="M210" s="68"/>
      <c r="N210" s="69"/>
      <c r="O210" s="68"/>
    </row>
    <row r="211" customFormat="false" ht="15.75" hidden="false" customHeight="true" outlineLevel="0" collapsed="false">
      <c r="A211" s="66" t="n">
        <v>135</v>
      </c>
      <c r="B211" s="67" t="s">
        <v>93</v>
      </c>
      <c r="C211" s="66" t="s">
        <v>98</v>
      </c>
      <c r="D211" s="66" t="n">
        <v>3</v>
      </c>
      <c r="E211" s="67" t="str">
        <f aca="false">IFERROR(INDEX('Master Data'!$L$2:$L$2436,MATCH($B$3&amp;"|"&amp;D211&amp;"|"&amp;B211&amp;"|"&amp;C211,'Master Data'!$A$2:$A$2436,0)),"")</f>
        <v>Belum terisi</v>
      </c>
      <c r="F211" s="67" t="str">
        <f aca="false">IFERROR(INDEX('Master Data'!$F$2:$F$2436,MATCH($B$3&amp;"|"&amp;D211&amp;"|"&amp;B211&amp;"|"&amp;C211,'Master Data'!$A$2:$A$2436,0))&amp;"","")</f>
        <v>Kids</v>
      </c>
      <c r="G211" s="66" t="n">
        <f aca="false">IFERROR(INDEX('Master Data'!$G$2:$G$2436,MATCH($B$3&amp;"|"&amp;D211&amp;"|"&amp;B211&amp;"|"&amp;C211,'Master Data'!$A$2:$A$2436,0)),"")</f>
        <v>4</v>
      </c>
      <c r="H211" s="67" t="str">
        <f aca="false">IFERROR(INDEX('Master Data'!$K$2:$K$2436,MATCH($B$3&amp;"|"&amp;D211&amp;"|"&amp;B211&amp;"|"&amp;C211,'Master Data'!$A$2:$A$2436,0))&amp;"","")</f>
        <v/>
      </c>
      <c r="I211" s="67" t="s">
        <v>355</v>
      </c>
      <c r="J211" s="67" t="s">
        <v>134</v>
      </c>
      <c r="K211" s="68"/>
      <c r="L211" s="68"/>
      <c r="M211" s="68"/>
      <c r="N211" s="69"/>
      <c r="O211" s="68"/>
    </row>
    <row r="212" customFormat="false" ht="15.75" hidden="false" customHeight="true" outlineLevel="0" collapsed="false">
      <c r="A212" s="66" t="n">
        <v>136</v>
      </c>
      <c r="B212" s="67" t="s">
        <v>93</v>
      </c>
      <c r="C212" s="66" t="s">
        <v>98</v>
      </c>
      <c r="D212" s="66" t="n">
        <v>4</v>
      </c>
      <c r="E212" s="67" t="str">
        <f aca="false">IFERROR(INDEX('Master Data'!$L$2:$L$2436,MATCH($B$3&amp;"|"&amp;D212&amp;"|"&amp;B212&amp;"|"&amp;C212,'Master Data'!$A$2:$A$2436,0)),"")</f>
        <v>Belum terisi</v>
      </c>
      <c r="F212" s="67" t="str">
        <f aca="false">IFERROR(INDEX('Master Data'!$F$2:$F$2436,MATCH($B$3&amp;"|"&amp;D212&amp;"|"&amp;B212&amp;"|"&amp;C212,'Master Data'!$A$2:$A$2436,0))&amp;"","")</f>
        <v>Kids</v>
      </c>
      <c r="G212" s="66" t="n">
        <f aca="false">IFERROR(INDEX('Master Data'!$G$2:$G$2436,MATCH($B$3&amp;"|"&amp;D212&amp;"|"&amp;B212&amp;"|"&amp;C212,'Master Data'!$A$2:$A$2436,0)),"")</f>
        <v>4</v>
      </c>
      <c r="H212" s="67" t="str">
        <f aca="false">IFERROR(INDEX('Master Data'!$K$2:$K$2436,MATCH($B$3&amp;"|"&amp;D212&amp;"|"&amp;B212&amp;"|"&amp;C212,'Master Data'!$A$2:$A$2436,0))&amp;"","")</f>
        <v/>
      </c>
      <c r="I212" s="67" t="s">
        <v>355</v>
      </c>
      <c r="J212" s="67" t="s">
        <v>134</v>
      </c>
      <c r="K212" s="68"/>
      <c r="L212" s="68"/>
      <c r="M212" s="68"/>
      <c r="N212" s="69"/>
      <c r="O212" s="68"/>
    </row>
    <row r="213" customFormat="false" ht="15.75" hidden="false" customHeight="true" outlineLevel="0" collapsed="false">
      <c r="A213" s="66" t="n">
        <v>137</v>
      </c>
      <c r="B213" s="67" t="s">
        <v>93</v>
      </c>
      <c r="C213" s="66" t="s">
        <v>113</v>
      </c>
      <c r="D213" s="66" t="n">
        <v>1</v>
      </c>
      <c r="E213" s="67" t="str">
        <f aca="false">IFERROR(INDEX('Master Data'!$L$2:$L$2436,MATCH($B$3&amp;"|"&amp;D213&amp;"|"&amp;B213&amp;"|"&amp;C213,'Master Data'!$A$2:$A$2436,0)),"")</f>
        <v>Belum terisi</v>
      </c>
      <c r="F213" s="67" t="str">
        <f aca="false">IFERROR(INDEX('Master Data'!$F$2:$F$2436,MATCH($B$3&amp;"|"&amp;D213&amp;"|"&amp;B213&amp;"|"&amp;C213,'Master Data'!$A$2:$A$2436,0))&amp;"","")</f>
        <v>Baby</v>
      </c>
      <c r="G213" s="66" t="n">
        <f aca="false">IFERROR(INDEX('Master Data'!$G$2:$G$2436,MATCH($B$3&amp;"|"&amp;D213&amp;"|"&amp;B213&amp;"|"&amp;C213,'Master Data'!$A$2:$A$2436,0)),"")</f>
        <v>5</v>
      </c>
      <c r="H213" s="67" t="str">
        <f aca="false">IFERROR(INDEX('Master Data'!$K$2:$K$2436,MATCH($B$3&amp;"|"&amp;D213&amp;"|"&amp;B213&amp;"|"&amp;C213,'Master Data'!$A$2:$A$2436,0))&amp;"","")</f>
        <v/>
      </c>
      <c r="I213" s="67" t="s">
        <v>355</v>
      </c>
      <c r="J213" s="67" t="s">
        <v>134</v>
      </c>
      <c r="K213" s="68"/>
      <c r="L213" s="68"/>
      <c r="M213" s="68"/>
      <c r="N213" s="69"/>
      <c r="O213" s="68"/>
    </row>
    <row r="214" customFormat="false" ht="15.75" hidden="false" customHeight="true" outlineLevel="0" collapsed="false">
      <c r="A214" s="66" t="n">
        <v>138</v>
      </c>
      <c r="B214" s="67" t="s">
        <v>93</v>
      </c>
      <c r="C214" s="66" t="s">
        <v>99</v>
      </c>
      <c r="D214" s="66" t="n">
        <v>3</v>
      </c>
      <c r="E214" s="67" t="str">
        <f aca="false">IFERROR(INDEX('Master Data'!$L$2:$L$2436,MATCH($B$3&amp;"|"&amp;D214&amp;"|"&amp;B214&amp;"|"&amp;C214,'Master Data'!$A$2:$A$2436,0)),"")</f>
        <v>Belum terisi</v>
      </c>
      <c r="F214" s="67" t="str">
        <f aca="false">IFERROR(INDEX('Master Data'!$F$2:$F$2436,MATCH($B$3&amp;"|"&amp;D214&amp;"|"&amp;B214&amp;"|"&amp;C214,'Master Data'!$A$2:$A$2436,0))&amp;"","")</f>
        <v>Kids</v>
      </c>
      <c r="G214" s="66" t="n">
        <f aca="false">IFERROR(INDEX('Master Data'!$G$2:$G$2436,MATCH($B$3&amp;"|"&amp;D214&amp;"|"&amp;B214&amp;"|"&amp;C214,'Master Data'!$A$2:$A$2436,0)),"")</f>
        <v>4</v>
      </c>
      <c r="H214" s="67" t="str">
        <f aca="false">IFERROR(INDEX('Master Data'!$K$2:$K$2436,MATCH($B$3&amp;"|"&amp;D214&amp;"|"&amp;B214&amp;"|"&amp;C214,'Master Data'!$A$2:$A$2436,0))&amp;"","")</f>
        <v/>
      </c>
      <c r="I214" s="70" t="s">
        <v>154</v>
      </c>
      <c r="J214" s="67" t="s">
        <v>210</v>
      </c>
      <c r="K214" s="68"/>
      <c r="L214" s="68"/>
      <c r="M214" s="68"/>
      <c r="N214" s="69"/>
      <c r="O214" s="68"/>
    </row>
    <row r="215" customFormat="false" ht="15.75" hidden="false" customHeight="true" outlineLevel="0" collapsed="false">
      <c r="A215" s="66" t="n">
        <v>139</v>
      </c>
      <c r="B215" s="67" t="s">
        <v>93</v>
      </c>
      <c r="C215" s="66" t="s">
        <v>99</v>
      </c>
      <c r="D215" s="66" t="n">
        <v>4</v>
      </c>
      <c r="E215" s="67" t="str">
        <f aca="false">IFERROR(INDEX('Master Data'!$L$2:$L$2436,MATCH($B$3&amp;"|"&amp;D215&amp;"|"&amp;B215&amp;"|"&amp;C215,'Master Data'!$A$2:$A$2436,0)),"")</f>
        <v>Belum terisi</v>
      </c>
      <c r="F215" s="67" t="str">
        <f aca="false">IFERROR(INDEX('Master Data'!$F$2:$F$2436,MATCH($B$3&amp;"|"&amp;D215&amp;"|"&amp;B215&amp;"|"&amp;C215,'Master Data'!$A$2:$A$2436,0))&amp;"","")</f>
        <v>Kids</v>
      </c>
      <c r="G215" s="66" t="n">
        <f aca="false">IFERROR(INDEX('Master Data'!$G$2:$G$2436,MATCH($B$3&amp;"|"&amp;D215&amp;"|"&amp;B215&amp;"|"&amp;C215,'Master Data'!$A$2:$A$2436,0)),"")</f>
        <v>4</v>
      </c>
      <c r="H215" s="67" t="str">
        <f aca="false">IFERROR(INDEX('Master Data'!$K$2:$K$2436,MATCH($B$3&amp;"|"&amp;D215&amp;"|"&amp;B215&amp;"|"&amp;C215,'Master Data'!$A$2:$A$2436,0))&amp;"","")</f>
        <v/>
      </c>
      <c r="I215" s="70" t="s">
        <v>154</v>
      </c>
      <c r="J215" s="67" t="s">
        <v>210</v>
      </c>
      <c r="K215" s="68"/>
      <c r="L215" s="68"/>
      <c r="M215" s="68"/>
      <c r="N215" s="69"/>
      <c r="O215" s="68"/>
    </row>
    <row r="216" customFormat="false" ht="15.75" hidden="false" customHeight="true" outlineLevel="0" collapsed="false">
      <c r="A216" s="66" t="n">
        <v>140</v>
      </c>
      <c r="B216" s="67" t="s">
        <v>93</v>
      </c>
      <c r="C216" s="66" t="s">
        <v>114</v>
      </c>
      <c r="D216" s="66" t="n">
        <v>2</v>
      </c>
      <c r="E216" s="67" t="str">
        <f aca="false">IFERROR(INDEX('Master Data'!$L$2:$L$2436,MATCH($B$3&amp;"|"&amp;D216&amp;"|"&amp;B216&amp;"|"&amp;C216,'Master Data'!$A$2:$A$2436,0)),"")</f>
        <v>Belum terisi</v>
      </c>
      <c r="F216" s="67" t="str">
        <f aca="false">IFERROR(INDEX('Master Data'!$F$2:$F$2436,MATCH($B$3&amp;"|"&amp;D216&amp;"|"&amp;B216&amp;"|"&amp;C216,'Master Data'!$A$2:$A$2436,0))&amp;"","")</f>
        <v>Little</v>
      </c>
      <c r="G216" s="66" t="n">
        <f aca="false">IFERROR(INDEX('Master Data'!$G$2:$G$2436,MATCH($B$3&amp;"|"&amp;D216&amp;"|"&amp;B216&amp;"|"&amp;C216,'Master Data'!$A$2:$A$2436,0)),"")</f>
        <v>5</v>
      </c>
      <c r="H216" s="67" t="str">
        <f aca="false">IFERROR(INDEX('Master Data'!$K$2:$K$2436,MATCH($B$3&amp;"|"&amp;D216&amp;"|"&amp;B216&amp;"|"&amp;C216,'Master Data'!$A$2:$A$2436,0))&amp;"","")</f>
        <v/>
      </c>
      <c r="I216" s="67" t="s">
        <v>356</v>
      </c>
      <c r="J216" s="67" t="s">
        <v>357</v>
      </c>
      <c r="K216" s="68"/>
      <c r="L216" s="68"/>
      <c r="M216" s="68"/>
      <c r="N216" s="69"/>
      <c r="O216" s="68"/>
    </row>
    <row r="217" customFormat="false" ht="15.75" hidden="false" customHeight="true" outlineLevel="0" collapsed="false">
      <c r="A217" s="66" t="n">
        <v>141</v>
      </c>
      <c r="B217" s="67" t="s">
        <v>93</v>
      </c>
      <c r="C217" s="66" t="s">
        <v>100</v>
      </c>
      <c r="D217" s="66" t="n">
        <v>3</v>
      </c>
      <c r="E217" s="67" t="str">
        <f aca="false">IFERROR(INDEX('Master Data'!$L$2:$L$2436,MATCH($B$3&amp;"|"&amp;D217&amp;"|"&amp;B217&amp;"|"&amp;C217,'Master Data'!$A$2:$A$2436,0)),"")</f>
        <v>Belum terisi</v>
      </c>
      <c r="F217" s="67" t="str">
        <f aca="false">IFERROR(INDEX('Master Data'!$F$2:$F$2436,MATCH($B$3&amp;"|"&amp;D217&amp;"|"&amp;B217&amp;"|"&amp;C217,'Master Data'!$A$2:$A$2436,0))&amp;"","")</f>
        <v>Kids</v>
      </c>
      <c r="G217" s="66" t="n">
        <f aca="false">IFERROR(INDEX('Master Data'!$G$2:$G$2436,MATCH($B$3&amp;"|"&amp;D217&amp;"|"&amp;B217&amp;"|"&amp;C217,'Master Data'!$A$2:$A$2436,0)),"")</f>
        <v>4</v>
      </c>
      <c r="H217" s="67" t="str">
        <f aca="false">IFERROR(INDEX('Master Data'!$K$2:$K$2436,MATCH($B$3&amp;"|"&amp;D217&amp;"|"&amp;B217&amp;"|"&amp;C217,'Master Data'!$A$2:$A$2436,0))&amp;"","")</f>
        <v/>
      </c>
      <c r="I217" s="67" t="s">
        <v>356</v>
      </c>
      <c r="J217" s="67" t="s">
        <v>144</v>
      </c>
      <c r="K217" s="68"/>
      <c r="L217" s="68"/>
      <c r="M217" s="68"/>
      <c r="N217" s="69"/>
      <c r="O217" s="68"/>
    </row>
    <row r="218" customFormat="false" ht="15.75" hidden="false" customHeight="true" outlineLevel="0" collapsed="false">
      <c r="A218" s="66" t="n">
        <v>142</v>
      </c>
      <c r="B218" s="67" t="s">
        <v>93</v>
      </c>
      <c r="C218" s="66" t="s">
        <v>100</v>
      </c>
      <c r="D218" s="66" t="n">
        <v>4</v>
      </c>
      <c r="E218" s="67" t="str">
        <f aca="false">IFERROR(INDEX('Master Data'!$L$2:$L$2436,MATCH($B$3&amp;"|"&amp;D218&amp;"|"&amp;B218&amp;"|"&amp;C218,'Master Data'!$A$2:$A$2436,0)),"")</f>
        <v>Belum terisi</v>
      </c>
      <c r="F218" s="67" t="str">
        <f aca="false">IFERROR(INDEX('Master Data'!$F$2:$F$2436,MATCH($B$3&amp;"|"&amp;D218&amp;"|"&amp;B218&amp;"|"&amp;C218,'Master Data'!$A$2:$A$2436,0))&amp;"","")</f>
        <v>Kids</v>
      </c>
      <c r="G218" s="66" t="n">
        <f aca="false">IFERROR(INDEX('Master Data'!$G$2:$G$2436,MATCH($B$3&amp;"|"&amp;D218&amp;"|"&amp;B218&amp;"|"&amp;C218,'Master Data'!$A$2:$A$2436,0)),"")</f>
        <v>4</v>
      </c>
      <c r="H218" s="67" t="str">
        <f aca="false">IFERROR(INDEX('Master Data'!$K$2:$K$2436,MATCH($B$3&amp;"|"&amp;D218&amp;"|"&amp;B218&amp;"|"&amp;C218,'Master Data'!$A$2:$A$2436,0))&amp;"","")</f>
        <v/>
      </c>
      <c r="I218" s="67" t="s">
        <v>356</v>
      </c>
      <c r="J218" s="67" t="s">
        <v>144</v>
      </c>
      <c r="K218" s="68"/>
      <c r="L218" s="68"/>
      <c r="M218" s="68"/>
      <c r="N218" s="69"/>
      <c r="O218" s="68"/>
    </row>
    <row r="219" customFormat="false" ht="27.75" hidden="false" customHeight="true" outlineLevel="0" collapsed="false">
      <c r="A219" s="66" t="n">
        <v>143</v>
      </c>
      <c r="B219" s="67" t="s">
        <v>93</v>
      </c>
      <c r="C219" s="66" t="s">
        <v>115</v>
      </c>
      <c r="D219" s="66" t="n">
        <v>1</v>
      </c>
      <c r="E219" s="67" t="str">
        <f aca="false">IFERROR(INDEX('Master Data'!$L$2:$L$2436,MATCH($B$3&amp;"|"&amp;D219&amp;"|"&amp;B219&amp;"|"&amp;C219,'Master Data'!$A$2:$A$2436,0)),"")</f>
        <v>Belum terisi</v>
      </c>
      <c r="F219" s="67" t="str">
        <f aca="false">IFERROR(INDEX('Master Data'!$F$2:$F$2436,MATCH($B$3&amp;"|"&amp;D219&amp;"|"&amp;B219&amp;"|"&amp;C219,'Master Data'!$A$2:$A$2436,0))&amp;"","")</f>
        <v>Baby</v>
      </c>
      <c r="G219" s="66" t="n">
        <f aca="false">IFERROR(INDEX('Master Data'!$G$2:$G$2436,MATCH($B$3&amp;"|"&amp;D219&amp;"|"&amp;B219&amp;"|"&amp;C219,'Master Data'!$A$2:$A$2436,0)),"")</f>
        <v>5</v>
      </c>
      <c r="H219" s="67" t="str">
        <f aca="false">IFERROR(INDEX('Master Data'!$K$2:$K$2436,MATCH($B$3&amp;"|"&amp;D219&amp;"|"&amp;B219&amp;"|"&amp;C219,'Master Data'!$A$2:$A$2436,0))&amp;"","")</f>
        <v/>
      </c>
      <c r="I219" s="67" t="s">
        <v>354</v>
      </c>
      <c r="J219" s="67" t="s">
        <v>134</v>
      </c>
      <c r="K219" s="68"/>
      <c r="L219" s="68"/>
      <c r="M219" s="68"/>
      <c r="N219" s="69"/>
      <c r="O219" s="68"/>
    </row>
    <row r="220" customFormat="false" ht="27.75" hidden="false" customHeight="true" outlineLevel="0" collapsed="false">
      <c r="A220" s="66" t="n">
        <v>144</v>
      </c>
      <c r="B220" s="67" t="s">
        <v>93</v>
      </c>
      <c r="C220" s="66" t="s">
        <v>115</v>
      </c>
      <c r="D220" s="66" t="n">
        <v>2</v>
      </c>
      <c r="E220" s="67" t="str">
        <f aca="false">IFERROR(INDEX('Master Data'!$L$2:$L$2436,MATCH($B$3&amp;"|"&amp;D220&amp;"|"&amp;B220&amp;"|"&amp;C220,'Master Data'!$A$2:$A$2436,0)),"")</f>
        <v>Belum terisi</v>
      </c>
      <c r="F220" s="67" t="str">
        <f aca="false">IFERROR(INDEX('Master Data'!$F$2:$F$2436,MATCH($B$3&amp;"|"&amp;D220&amp;"|"&amp;B220&amp;"|"&amp;C220,'Master Data'!$A$2:$A$2436,0))&amp;"","")</f>
        <v>Little</v>
      </c>
      <c r="G220" s="66" t="n">
        <f aca="false">IFERROR(INDEX('Master Data'!$G$2:$G$2436,MATCH($B$3&amp;"|"&amp;D220&amp;"|"&amp;B220&amp;"|"&amp;C220,'Master Data'!$A$2:$A$2436,0)),"")</f>
        <v>5</v>
      </c>
      <c r="H220" s="67" t="str">
        <f aca="false">IFERROR(INDEX('Master Data'!$K$2:$K$2436,MATCH($B$3&amp;"|"&amp;D220&amp;"|"&amp;B220&amp;"|"&amp;C220,'Master Data'!$A$2:$A$2436,0))&amp;"","")</f>
        <v/>
      </c>
      <c r="I220" s="67" t="s">
        <v>354</v>
      </c>
      <c r="J220" s="67" t="s">
        <v>134</v>
      </c>
      <c r="K220" s="68"/>
      <c r="L220" s="68"/>
      <c r="M220" s="68"/>
      <c r="N220" s="69"/>
      <c r="O220" s="68"/>
    </row>
    <row r="221" customFormat="false" ht="27.75" hidden="false" customHeight="true" outlineLevel="0" collapsed="false">
      <c r="A221" s="66" t="n">
        <v>145</v>
      </c>
      <c r="B221" s="67" t="s">
        <v>93</v>
      </c>
      <c r="C221" s="66" t="s">
        <v>101</v>
      </c>
      <c r="D221" s="66" t="n">
        <v>3</v>
      </c>
      <c r="E221" s="67" t="str">
        <f aca="false">IFERROR(INDEX('Master Data'!$L$2:$L$2436,MATCH($B$3&amp;"|"&amp;D221&amp;"|"&amp;B221&amp;"|"&amp;C221,'Master Data'!$A$2:$A$2436,0)),"")</f>
        <v>Belum terisi</v>
      </c>
      <c r="F221" s="67" t="str">
        <f aca="false">IFERROR(INDEX('Master Data'!$F$2:$F$2436,MATCH($B$3&amp;"|"&amp;D221&amp;"|"&amp;B221&amp;"|"&amp;C221,'Master Data'!$A$2:$A$2436,0))&amp;"","")</f>
        <v>Kids</v>
      </c>
      <c r="G221" s="66" t="n">
        <f aca="false">IFERROR(INDEX('Master Data'!$G$2:$G$2436,MATCH($B$3&amp;"|"&amp;D221&amp;"|"&amp;B221&amp;"|"&amp;C221,'Master Data'!$A$2:$A$2436,0)),"")</f>
        <v>4</v>
      </c>
      <c r="H221" s="67" t="str">
        <f aca="false">IFERROR(INDEX('Master Data'!$K$2:$K$2436,MATCH($B$3&amp;"|"&amp;D221&amp;"|"&amp;B221&amp;"|"&amp;C221,'Master Data'!$A$2:$A$2436,0))&amp;"","")</f>
        <v/>
      </c>
      <c r="I221" s="67" t="s">
        <v>354</v>
      </c>
      <c r="J221" s="67" t="s">
        <v>134</v>
      </c>
      <c r="K221" s="68"/>
      <c r="L221" s="68"/>
      <c r="M221" s="68"/>
      <c r="N221" s="69"/>
      <c r="O221" s="68"/>
    </row>
    <row r="222" customFormat="false" ht="27.75" hidden="false" customHeight="true" outlineLevel="0" collapsed="false">
      <c r="A222" s="66" t="n">
        <v>146</v>
      </c>
      <c r="B222" s="67" t="s">
        <v>93</v>
      </c>
      <c r="C222" s="66" t="s">
        <v>101</v>
      </c>
      <c r="D222" s="66" t="n">
        <v>4</v>
      </c>
      <c r="E222" s="67" t="str">
        <f aca="false">IFERROR(INDEX('Master Data'!$L$2:$L$2436,MATCH($B$3&amp;"|"&amp;D222&amp;"|"&amp;B222&amp;"|"&amp;C222,'Master Data'!$A$2:$A$2436,0)),"")</f>
        <v>Belum terisi</v>
      </c>
      <c r="F222" s="67" t="str">
        <f aca="false">IFERROR(INDEX('Master Data'!$F$2:$F$2436,MATCH($B$3&amp;"|"&amp;D222&amp;"|"&amp;B222&amp;"|"&amp;C222,'Master Data'!$A$2:$A$2436,0))&amp;"","")</f>
        <v>Kids</v>
      </c>
      <c r="G222" s="66" t="n">
        <f aca="false">IFERROR(INDEX('Master Data'!$G$2:$G$2436,MATCH($B$3&amp;"|"&amp;D222&amp;"|"&amp;B222&amp;"|"&amp;C222,'Master Data'!$A$2:$A$2436,0)),"")</f>
        <v>4</v>
      </c>
      <c r="H222" s="67" t="str">
        <f aca="false">IFERROR(INDEX('Master Data'!$K$2:$K$2436,MATCH($B$3&amp;"|"&amp;D222&amp;"|"&amp;B222&amp;"|"&amp;C222,'Master Data'!$A$2:$A$2436,0))&amp;"","")</f>
        <v/>
      </c>
      <c r="I222" s="67" t="s">
        <v>354</v>
      </c>
      <c r="J222" s="67" t="s">
        <v>134</v>
      </c>
      <c r="K222" s="68"/>
      <c r="L222" s="68"/>
      <c r="M222" s="68"/>
      <c r="N222" s="69"/>
      <c r="O222" s="68"/>
    </row>
    <row r="223" customFormat="false" ht="15.75" hidden="false" customHeight="true" outlineLevel="0" collapsed="false">
      <c r="A223" s="66" t="n">
        <v>147</v>
      </c>
      <c r="B223" s="67" t="s">
        <v>93</v>
      </c>
      <c r="C223" s="66" t="s">
        <v>116</v>
      </c>
      <c r="D223" s="66" t="n">
        <v>1</v>
      </c>
      <c r="E223" s="67" t="str">
        <f aca="false">IFERROR(INDEX('Master Data'!$L$2:$L$2436,MATCH($B$3&amp;"|"&amp;D223&amp;"|"&amp;B223&amp;"|"&amp;C223,'Master Data'!$A$2:$A$2436,0)),"")</f>
        <v>Belum terisi</v>
      </c>
      <c r="F223" s="67" t="str">
        <f aca="false">IFERROR(INDEX('Master Data'!$F$2:$F$2436,MATCH($B$3&amp;"|"&amp;D223&amp;"|"&amp;B223&amp;"|"&amp;C223,'Master Data'!$A$2:$A$2436,0))&amp;"","")</f>
        <v>Tiny</v>
      </c>
      <c r="G223" s="66" t="n">
        <f aca="false">IFERROR(INDEX('Master Data'!$G$2:$G$2436,MATCH($B$3&amp;"|"&amp;D223&amp;"|"&amp;B223&amp;"|"&amp;C223,'Master Data'!$A$2:$A$2436,0)),"")</f>
        <v>5</v>
      </c>
      <c r="H223" s="67" t="str">
        <f aca="false">IFERROR(INDEX('Master Data'!$K$2:$K$2436,MATCH($B$3&amp;"|"&amp;D223&amp;"|"&amp;B223&amp;"|"&amp;C223,'Master Data'!$A$2:$A$2436,0))&amp;"","")</f>
        <v/>
      </c>
      <c r="I223" s="67" t="s">
        <v>356</v>
      </c>
      <c r="J223" s="67" t="s">
        <v>357</v>
      </c>
      <c r="K223" s="68"/>
      <c r="L223" s="68"/>
      <c r="M223" s="68"/>
      <c r="N223" s="69"/>
      <c r="O223" s="68"/>
    </row>
    <row r="224" customFormat="false" ht="15.75" hidden="false" customHeight="true" outlineLevel="0" collapsed="false">
      <c r="A224" s="66" t="n">
        <v>148</v>
      </c>
      <c r="B224" s="67" t="s">
        <v>93</v>
      </c>
      <c r="C224" s="66" t="s">
        <v>116</v>
      </c>
      <c r="D224" s="66" t="n">
        <v>2</v>
      </c>
      <c r="E224" s="67" t="str">
        <f aca="false">IFERROR(INDEX('Master Data'!$L$2:$L$2436,MATCH($B$3&amp;"|"&amp;D224&amp;"|"&amp;B224&amp;"|"&amp;C224,'Master Data'!$A$2:$A$2436,0)),"")</f>
        <v>Belum terisi</v>
      </c>
      <c r="F224" s="67" t="str">
        <f aca="false">IFERROR(INDEX('Master Data'!$F$2:$F$2436,MATCH($B$3&amp;"|"&amp;D224&amp;"|"&amp;B224&amp;"|"&amp;C224,'Master Data'!$A$2:$A$2436,0))&amp;"","")</f>
        <v>Little</v>
      </c>
      <c r="G224" s="66" t="n">
        <f aca="false">IFERROR(INDEX('Master Data'!$G$2:$G$2436,MATCH($B$3&amp;"|"&amp;D224&amp;"|"&amp;B224&amp;"|"&amp;C224,'Master Data'!$A$2:$A$2436,0)),"")</f>
        <v>5</v>
      </c>
      <c r="H224" s="67" t="str">
        <f aca="false">IFERROR(INDEX('Master Data'!$K$2:$K$2436,MATCH($B$3&amp;"|"&amp;D224&amp;"|"&amp;B224&amp;"|"&amp;C224,'Master Data'!$A$2:$A$2436,0))&amp;"","")</f>
        <v/>
      </c>
      <c r="I224" s="67" t="s">
        <v>356</v>
      </c>
      <c r="J224" s="67" t="s">
        <v>357</v>
      </c>
      <c r="K224" s="68"/>
      <c r="L224" s="68"/>
      <c r="M224" s="68"/>
      <c r="N224" s="69"/>
      <c r="O224" s="68"/>
    </row>
    <row r="225" customFormat="false" ht="15.75" hidden="false" customHeight="true" outlineLevel="0" collapsed="false">
      <c r="A225" s="66" t="n">
        <v>149</v>
      </c>
      <c r="B225" s="67" t="s">
        <v>93</v>
      </c>
      <c r="C225" s="66" t="s">
        <v>102</v>
      </c>
      <c r="D225" s="66" t="n">
        <v>4</v>
      </c>
      <c r="E225" s="67" t="str">
        <f aca="false">IFERROR(INDEX('Master Data'!$L$2:$L$2436,MATCH($B$3&amp;"|"&amp;D225&amp;"|"&amp;B225&amp;"|"&amp;C225,'Master Data'!$A$2:$A$2436,0)),"")</f>
        <v>Belum terisi</v>
      </c>
      <c r="F225" s="67" t="str">
        <f aca="false">IFERROR(INDEX('Master Data'!$F$2:$F$2436,MATCH($B$3&amp;"|"&amp;D225&amp;"|"&amp;B225&amp;"|"&amp;C225,'Master Data'!$A$2:$A$2436,0))&amp;"","")</f>
        <v>Kids</v>
      </c>
      <c r="G225" s="66" t="n">
        <f aca="false">IFERROR(INDEX('Master Data'!$G$2:$G$2436,MATCH($B$3&amp;"|"&amp;D225&amp;"|"&amp;B225&amp;"|"&amp;C225,'Master Data'!$A$2:$A$2436,0)),"")</f>
        <v>4</v>
      </c>
      <c r="H225" s="67" t="str">
        <f aca="false">IFERROR(INDEX('Master Data'!$K$2:$K$2436,MATCH($B$3&amp;"|"&amp;D225&amp;"|"&amp;B225&amp;"|"&amp;C225,'Master Data'!$A$2:$A$2436,0))&amp;"","")</f>
        <v/>
      </c>
      <c r="I225" s="67" t="s">
        <v>356</v>
      </c>
      <c r="J225" s="67" t="s">
        <v>144</v>
      </c>
      <c r="K225" s="68"/>
      <c r="L225" s="68"/>
      <c r="M225" s="68"/>
      <c r="N225" s="69"/>
      <c r="O225" s="68"/>
    </row>
    <row r="226" customFormat="false" ht="15.75" hidden="false" customHeight="true" outlineLevel="0" collapsed="false">
      <c r="A226" s="66" t="n">
        <v>150</v>
      </c>
      <c r="B226" s="67" t="s">
        <v>93</v>
      </c>
      <c r="C226" s="66" t="s">
        <v>117</v>
      </c>
      <c r="D226" s="66" t="n">
        <v>1</v>
      </c>
      <c r="E226" s="67" t="str">
        <f aca="false">IFERROR(INDEX('Master Data'!$L$2:$L$2436,MATCH($B$3&amp;"|"&amp;D226&amp;"|"&amp;B226&amp;"|"&amp;C226,'Master Data'!$A$2:$A$2436,0)),"")</f>
        <v>Belum terisi</v>
      </c>
      <c r="F226" s="67" t="str">
        <f aca="false">IFERROR(INDEX('Master Data'!$F$2:$F$2436,MATCH($B$3&amp;"|"&amp;D226&amp;"|"&amp;B226&amp;"|"&amp;C226,'Master Data'!$A$2:$A$2436,0))&amp;"","")</f>
        <v>Baby</v>
      </c>
      <c r="G226" s="66" t="n">
        <f aca="false">IFERROR(INDEX('Master Data'!$G$2:$G$2436,MATCH($B$3&amp;"|"&amp;D226&amp;"|"&amp;B226&amp;"|"&amp;C226,'Master Data'!$A$2:$A$2436,0)),"")</f>
        <v>5</v>
      </c>
      <c r="H226" s="67" t="str">
        <f aca="false">IFERROR(INDEX('Master Data'!$K$2:$K$2436,MATCH($B$3&amp;"|"&amp;D226&amp;"|"&amp;B226&amp;"|"&amp;C226,'Master Data'!$A$2:$A$2436,0))&amp;"","")</f>
        <v/>
      </c>
      <c r="I226" s="67" t="s">
        <v>356</v>
      </c>
      <c r="J226" s="67" t="s">
        <v>358</v>
      </c>
      <c r="K226" s="68"/>
      <c r="L226" s="68"/>
      <c r="M226" s="68"/>
      <c r="N226" s="69"/>
      <c r="O226" s="68"/>
    </row>
    <row r="227" customFormat="false" ht="15.75" hidden="false" customHeight="true" outlineLevel="0" collapsed="false">
      <c r="A227" s="66" t="n">
        <v>151</v>
      </c>
      <c r="B227" s="67" t="s">
        <v>93</v>
      </c>
      <c r="C227" s="66" t="s">
        <v>117</v>
      </c>
      <c r="D227" s="66" t="n">
        <v>2</v>
      </c>
      <c r="E227" s="67" t="str">
        <f aca="false">IFERROR(INDEX('Master Data'!$L$2:$L$2436,MATCH($B$3&amp;"|"&amp;D227&amp;"|"&amp;B227&amp;"|"&amp;C227,'Master Data'!$A$2:$A$2436,0)),"")</f>
        <v>Belum terisi</v>
      </c>
      <c r="F227" s="67" t="str">
        <f aca="false">IFERROR(INDEX('Master Data'!$F$2:$F$2436,MATCH($B$3&amp;"|"&amp;D227&amp;"|"&amp;B227&amp;"|"&amp;C227,'Master Data'!$A$2:$A$2436,0))&amp;"","")</f>
        <v>Little</v>
      </c>
      <c r="G227" s="66" t="n">
        <f aca="false">IFERROR(INDEX('Master Data'!$G$2:$G$2436,MATCH($B$3&amp;"|"&amp;D227&amp;"|"&amp;B227&amp;"|"&amp;C227,'Master Data'!$A$2:$A$2436,0)),"")</f>
        <v>5</v>
      </c>
      <c r="H227" s="67" t="str">
        <f aca="false">IFERROR(INDEX('Master Data'!$K$2:$K$2436,MATCH($B$3&amp;"|"&amp;D227&amp;"|"&amp;B227&amp;"|"&amp;C227,'Master Data'!$A$2:$A$2436,0))&amp;"","")</f>
        <v/>
      </c>
      <c r="I227" s="67" t="s">
        <v>356</v>
      </c>
      <c r="J227" s="67" t="s">
        <v>357</v>
      </c>
      <c r="K227" s="68"/>
      <c r="L227" s="68"/>
      <c r="M227" s="68"/>
      <c r="N227" s="69"/>
      <c r="O227" s="68"/>
    </row>
    <row r="228" customFormat="false" ht="15.75" hidden="false" customHeight="true" outlineLevel="0" collapsed="false">
      <c r="A228" s="66" t="n">
        <v>152</v>
      </c>
      <c r="B228" s="67" t="s">
        <v>93</v>
      </c>
      <c r="C228" s="66" t="s">
        <v>103</v>
      </c>
      <c r="D228" s="66" t="n">
        <v>4</v>
      </c>
      <c r="E228" s="67" t="str">
        <f aca="false">IFERROR(INDEX('Master Data'!$L$2:$L$2436,MATCH($B$3&amp;"|"&amp;D228&amp;"|"&amp;B228&amp;"|"&amp;C228,'Master Data'!$A$2:$A$2436,0)),"")</f>
        <v>Belum terisi</v>
      </c>
      <c r="F228" s="67" t="str">
        <f aca="false">IFERROR(INDEX('Master Data'!$F$2:$F$2436,MATCH($B$3&amp;"|"&amp;D228&amp;"|"&amp;B228&amp;"|"&amp;C228,'Master Data'!$A$2:$A$2436,0))&amp;"","")</f>
        <v>Kids</v>
      </c>
      <c r="G228" s="66" t="n">
        <f aca="false">IFERROR(INDEX('Master Data'!$G$2:$G$2436,MATCH($B$3&amp;"|"&amp;D228&amp;"|"&amp;B228&amp;"|"&amp;C228,'Master Data'!$A$2:$A$2436,0)),"")</f>
        <v>4</v>
      </c>
      <c r="H228" s="67" t="str">
        <f aca="false">IFERROR(INDEX('Master Data'!$K$2:$K$2436,MATCH($B$3&amp;"|"&amp;D228&amp;"|"&amp;B228&amp;"|"&amp;C228,'Master Data'!$A$2:$A$2436,0))&amp;"","")</f>
        <v/>
      </c>
      <c r="I228" s="67" t="s">
        <v>356</v>
      </c>
      <c r="J228" s="67" t="s">
        <v>144</v>
      </c>
      <c r="K228" s="68"/>
      <c r="L228" s="68"/>
      <c r="M228" s="68"/>
      <c r="N228" s="69"/>
      <c r="O228" s="68"/>
    </row>
    <row r="229" customFormat="false" ht="15.75" hidden="false" customHeight="true" outlineLevel="0" collapsed="false">
      <c r="A229" s="66" t="n">
        <v>153</v>
      </c>
      <c r="B229" s="67" t="s">
        <v>93</v>
      </c>
      <c r="C229" s="66" t="s">
        <v>118</v>
      </c>
      <c r="D229" s="66" t="n">
        <v>1</v>
      </c>
      <c r="E229" s="67" t="str">
        <f aca="false">IFERROR(INDEX('Master Data'!$L$2:$L$2436,MATCH($B$3&amp;"|"&amp;D229&amp;"|"&amp;B229&amp;"|"&amp;C229,'Master Data'!$A$2:$A$2436,0)),"")</f>
        <v>Belum terisi</v>
      </c>
      <c r="F229" s="67" t="str">
        <f aca="false">IFERROR(INDEX('Master Data'!$F$2:$F$2436,MATCH($B$3&amp;"|"&amp;D229&amp;"|"&amp;B229&amp;"|"&amp;C229,'Master Data'!$A$2:$A$2436,0))&amp;"","")</f>
        <v>Tiny</v>
      </c>
      <c r="G229" s="66" t="n">
        <f aca="false">IFERROR(INDEX('Master Data'!$G$2:$G$2436,MATCH($B$3&amp;"|"&amp;D229&amp;"|"&amp;B229&amp;"|"&amp;C229,'Master Data'!$A$2:$A$2436,0)),"")</f>
        <v>5</v>
      </c>
      <c r="H229" s="67" t="str">
        <f aca="false">IFERROR(INDEX('Master Data'!$K$2:$K$2436,MATCH($B$3&amp;"|"&amp;D229&amp;"|"&amp;B229&amp;"|"&amp;C229,'Master Data'!$A$2:$A$2436,0))&amp;"","")</f>
        <v/>
      </c>
      <c r="I229" s="67" t="s">
        <v>356</v>
      </c>
      <c r="J229" s="67" t="s">
        <v>357</v>
      </c>
      <c r="K229" s="68"/>
      <c r="L229" s="68"/>
      <c r="M229" s="68"/>
      <c r="N229" s="69"/>
      <c r="O229" s="68"/>
    </row>
    <row r="230" customFormat="false" ht="15.75" hidden="false" customHeight="true" outlineLevel="0" collapsed="false">
      <c r="A230" s="66" t="n">
        <v>154</v>
      </c>
      <c r="B230" s="67" t="s">
        <v>93</v>
      </c>
      <c r="C230" s="66" t="s">
        <v>118</v>
      </c>
      <c r="D230" s="66" t="n">
        <v>2</v>
      </c>
      <c r="E230" s="67" t="str">
        <f aca="false">IFERROR(INDEX('Master Data'!$L$2:$L$2436,MATCH($B$3&amp;"|"&amp;D230&amp;"|"&amp;B230&amp;"|"&amp;C230,'Master Data'!$A$2:$A$2436,0)),"")</f>
        <v>Belum terisi</v>
      </c>
      <c r="F230" s="67" t="str">
        <f aca="false">IFERROR(INDEX('Master Data'!$F$2:$F$2436,MATCH($B$3&amp;"|"&amp;D230&amp;"|"&amp;B230&amp;"|"&amp;C230,'Master Data'!$A$2:$A$2436,0))&amp;"","")</f>
        <v>Little</v>
      </c>
      <c r="G230" s="66" t="n">
        <f aca="false">IFERROR(INDEX('Master Data'!$G$2:$G$2436,MATCH($B$3&amp;"|"&amp;D230&amp;"|"&amp;B230&amp;"|"&amp;C230,'Master Data'!$A$2:$A$2436,0)),"")</f>
        <v>5</v>
      </c>
      <c r="H230" s="67" t="str">
        <f aca="false">IFERROR(INDEX('Master Data'!$K$2:$K$2436,MATCH($B$3&amp;"|"&amp;D230&amp;"|"&amp;B230&amp;"|"&amp;C230,'Master Data'!$A$2:$A$2436,0))&amp;"","")</f>
        <v/>
      </c>
      <c r="I230" s="67" t="s">
        <v>356</v>
      </c>
      <c r="J230" s="67" t="s">
        <v>357</v>
      </c>
      <c r="K230" s="68"/>
      <c r="L230" s="68"/>
      <c r="M230" s="68"/>
      <c r="N230" s="69"/>
      <c r="O230" s="68"/>
    </row>
    <row r="231" customFormat="false" ht="27.75" hidden="false" customHeight="true" outlineLevel="0" collapsed="false">
      <c r="A231" s="66" t="n">
        <v>155</v>
      </c>
      <c r="B231" s="67" t="s">
        <v>93</v>
      </c>
      <c r="C231" s="66" t="s">
        <v>104</v>
      </c>
      <c r="D231" s="66" t="n">
        <v>3</v>
      </c>
      <c r="E231" s="67" t="str">
        <f aca="false">IFERROR(INDEX('Master Data'!$L$2:$L$2436,MATCH($B$3&amp;"|"&amp;D231&amp;"|"&amp;B231&amp;"|"&amp;C231,'Master Data'!$A$2:$A$2436,0)),"")</f>
        <v>Belum terisi</v>
      </c>
      <c r="F231" s="67" t="str">
        <f aca="false">IFERROR(INDEX('Master Data'!$F$2:$F$2436,MATCH($B$3&amp;"|"&amp;D231&amp;"|"&amp;B231&amp;"|"&amp;C231,'Master Data'!$A$2:$A$2436,0))&amp;"","")</f>
        <v>Kids</v>
      </c>
      <c r="G231" s="66" t="n">
        <f aca="false">IFERROR(INDEX('Master Data'!$G$2:$G$2436,MATCH($B$3&amp;"|"&amp;D231&amp;"|"&amp;B231&amp;"|"&amp;C231,'Master Data'!$A$2:$A$2436,0)),"")</f>
        <v>4</v>
      </c>
      <c r="H231" s="67" t="str">
        <f aca="false">IFERROR(INDEX('Master Data'!$K$2:$K$2436,MATCH($B$3&amp;"|"&amp;D231&amp;"|"&amp;B231&amp;"|"&amp;C231,'Master Data'!$A$2:$A$2436,0))&amp;"","")</f>
        <v/>
      </c>
      <c r="I231" s="67" t="s">
        <v>354</v>
      </c>
      <c r="J231" s="67" t="s">
        <v>134</v>
      </c>
      <c r="K231" s="68"/>
      <c r="L231" s="68"/>
      <c r="M231" s="68"/>
      <c r="N231" s="69"/>
      <c r="O231" s="68"/>
    </row>
    <row r="232" customFormat="false" ht="27.75" hidden="false" customHeight="true" outlineLevel="0" collapsed="false">
      <c r="A232" s="66" t="n">
        <v>156</v>
      </c>
      <c r="B232" s="67" t="s">
        <v>93</v>
      </c>
      <c r="C232" s="66" t="s">
        <v>104</v>
      </c>
      <c r="D232" s="66" t="n">
        <v>4</v>
      </c>
      <c r="E232" s="67" t="str">
        <f aca="false">IFERROR(INDEX('Master Data'!$L$2:$L$2436,MATCH($B$3&amp;"|"&amp;D232&amp;"|"&amp;B232&amp;"|"&amp;C232,'Master Data'!$A$2:$A$2436,0)),"")</f>
        <v>Belum terisi</v>
      </c>
      <c r="F232" s="67" t="str">
        <f aca="false">IFERROR(INDEX('Master Data'!$F$2:$F$2436,MATCH($B$3&amp;"|"&amp;D232&amp;"|"&amp;B232&amp;"|"&amp;C232,'Master Data'!$A$2:$A$2436,0))&amp;"","")</f>
        <v>Kids</v>
      </c>
      <c r="G232" s="66" t="n">
        <f aca="false">IFERROR(INDEX('Master Data'!$G$2:$G$2436,MATCH($B$3&amp;"|"&amp;D232&amp;"|"&amp;B232&amp;"|"&amp;C232,'Master Data'!$A$2:$A$2436,0)),"")</f>
        <v>4</v>
      </c>
      <c r="H232" s="67" t="str">
        <f aca="false">IFERROR(INDEX('Master Data'!$K$2:$K$2436,MATCH($B$3&amp;"|"&amp;D232&amp;"|"&amp;B232&amp;"|"&amp;C232,'Master Data'!$A$2:$A$2436,0))&amp;"","")</f>
        <v/>
      </c>
      <c r="I232" s="67" t="s">
        <v>354</v>
      </c>
      <c r="J232" s="67" t="s">
        <v>134</v>
      </c>
      <c r="K232" s="68"/>
      <c r="L232" s="68"/>
      <c r="M232" s="68"/>
      <c r="N232" s="69"/>
      <c r="O232" s="68"/>
    </row>
    <row r="233" customFormat="false" ht="27.75" hidden="false" customHeight="true" outlineLevel="0" collapsed="false">
      <c r="A233" s="66" t="n">
        <v>157</v>
      </c>
      <c r="B233" s="67" t="s">
        <v>93</v>
      </c>
      <c r="C233" s="66" t="s">
        <v>119</v>
      </c>
      <c r="D233" s="66" t="n">
        <v>1</v>
      </c>
      <c r="E233" s="67" t="str">
        <f aca="false">IFERROR(INDEX('Master Data'!$L$2:$L$2436,MATCH($B$3&amp;"|"&amp;D233&amp;"|"&amp;B233&amp;"|"&amp;C233,'Master Data'!$A$2:$A$2436,0)),"")</f>
        <v>Belum terisi</v>
      </c>
      <c r="F233" s="67" t="str">
        <f aca="false">IFERROR(INDEX('Master Data'!$F$2:$F$2436,MATCH($B$3&amp;"|"&amp;D233&amp;"|"&amp;B233&amp;"|"&amp;C233,'Master Data'!$A$2:$A$2436,0))&amp;"","")</f>
        <v>Baby</v>
      </c>
      <c r="G233" s="66" t="n">
        <f aca="false">IFERROR(INDEX('Master Data'!$G$2:$G$2436,MATCH($B$3&amp;"|"&amp;D233&amp;"|"&amp;B233&amp;"|"&amp;C233,'Master Data'!$A$2:$A$2436,0)),"")</f>
        <v>5</v>
      </c>
      <c r="H233" s="67" t="str">
        <f aca="false">IFERROR(INDEX('Master Data'!$K$2:$K$2436,MATCH($B$3&amp;"|"&amp;D233&amp;"|"&amp;B233&amp;"|"&amp;C233,'Master Data'!$A$2:$A$2436,0))&amp;"","")</f>
        <v/>
      </c>
      <c r="I233" s="67" t="s">
        <v>354</v>
      </c>
      <c r="J233" s="67" t="s">
        <v>134</v>
      </c>
      <c r="K233" s="68"/>
      <c r="L233" s="68"/>
      <c r="M233" s="68"/>
      <c r="N233" s="69"/>
      <c r="O233" s="68"/>
    </row>
    <row r="234" customFormat="false" ht="27.75" hidden="false" customHeight="true" outlineLevel="0" collapsed="false">
      <c r="A234" s="66" t="n">
        <v>158</v>
      </c>
      <c r="B234" s="67" t="s">
        <v>93</v>
      </c>
      <c r="C234" s="66" t="s">
        <v>119</v>
      </c>
      <c r="D234" s="66" t="n">
        <v>2</v>
      </c>
      <c r="E234" s="67" t="str">
        <f aca="false">IFERROR(INDEX('Master Data'!$L$2:$L$2436,MATCH($B$3&amp;"|"&amp;D234&amp;"|"&amp;B234&amp;"|"&amp;C234,'Master Data'!$A$2:$A$2436,0)),"")</f>
        <v>Belum terisi</v>
      </c>
      <c r="F234" s="67" t="str">
        <f aca="false">IFERROR(INDEX('Master Data'!$F$2:$F$2436,MATCH($B$3&amp;"|"&amp;D234&amp;"|"&amp;B234&amp;"|"&amp;C234,'Master Data'!$A$2:$A$2436,0))&amp;"","")</f>
        <v>Little</v>
      </c>
      <c r="G234" s="66" t="n">
        <f aca="false">IFERROR(INDEX('Master Data'!$G$2:$G$2436,MATCH($B$3&amp;"|"&amp;D234&amp;"|"&amp;B234&amp;"|"&amp;C234,'Master Data'!$A$2:$A$2436,0)),"")</f>
        <v>5</v>
      </c>
      <c r="H234" s="67" t="str">
        <f aca="false">IFERROR(INDEX('Master Data'!$K$2:$K$2436,MATCH($B$3&amp;"|"&amp;D234&amp;"|"&amp;B234&amp;"|"&amp;C234,'Master Data'!$A$2:$A$2436,0))&amp;"","")</f>
        <v/>
      </c>
      <c r="I234" s="67" t="s">
        <v>354</v>
      </c>
      <c r="J234" s="67" t="s">
        <v>134</v>
      </c>
      <c r="K234" s="68"/>
      <c r="L234" s="68"/>
      <c r="M234" s="68"/>
      <c r="N234" s="69"/>
      <c r="O234" s="68"/>
    </row>
    <row r="235" customFormat="false" ht="15.75" hidden="false" customHeight="true" outlineLevel="0" collapsed="false">
      <c r="A235" s="66" t="n">
        <v>159</v>
      </c>
      <c r="B235" s="67" t="s">
        <v>93</v>
      </c>
      <c r="C235" s="66" t="s">
        <v>105</v>
      </c>
      <c r="D235" s="66" t="n">
        <v>3</v>
      </c>
      <c r="E235" s="67" t="str">
        <f aca="false">IFERROR(INDEX('Master Data'!$L$2:$L$2436,MATCH($B$3&amp;"|"&amp;D235&amp;"|"&amp;B235&amp;"|"&amp;C235,'Master Data'!$A$2:$A$2436,0)),"")</f>
        <v>Belum terisi</v>
      </c>
      <c r="F235" s="67" t="str">
        <f aca="false">IFERROR(INDEX('Master Data'!$F$2:$F$2436,MATCH($B$3&amp;"|"&amp;D235&amp;"|"&amp;B235&amp;"|"&amp;C235,'Master Data'!$A$2:$A$2436,0))&amp;"","")</f>
        <v>Kids</v>
      </c>
      <c r="G235" s="66" t="n">
        <f aca="false">IFERROR(INDEX('Master Data'!$G$2:$G$2436,MATCH($B$3&amp;"|"&amp;D235&amp;"|"&amp;B235&amp;"|"&amp;C235,'Master Data'!$A$2:$A$2436,0)),"")</f>
        <v>4</v>
      </c>
      <c r="H235" s="67" t="str">
        <f aca="false">IFERROR(INDEX('Master Data'!$K$2:$K$2436,MATCH($B$3&amp;"|"&amp;D235&amp;"|"&amp;B235&amp;"|"&amp;C235,'Master Data'!$A$2:$A$2436,0))&amp;"","")</f>
        <v/>
      </c>
      <c r="I235" s="67" t="s">
        <v>356</v>
      </c>
      <c r="J235" s="67" t="s">
        <v>144</v>
      </c>
      <c r="K235" s="68"/>
      <c r="L235" s="68"/>
      <c r="M235" s="68"/>
      <c r="N235" s="69"/>
      <c r="O235" s="68"/>
    </row>
    <row r="236" customFormat="false" ht="15.75" hidden="false" customHeight="true" outlineLevel="0" collapsed="false">
      <c r="A236" s="66" t="n">
        <v>160</v>
      </c>
      <c r="B236" s="67" t="s">
        <v>93</v>
      </c>
      <c r="C236" s="66" t="s">
        <v>105</v>
      </c>
      <c r="D236" s="66" t="n">
        <v>4</v>
      </c>
      <c r="E236" s="67" t="str">
        <f aca="false">IFERROR(INDEX('Master Data'!$L$2:$L$2436,MATCH($B$3&amp;"|"&amp;D236&amp;"|"&amp;B236&amp;"|"&amp;C236,'Master Data'!$A$2:$A$2436,0)),"")</f>
        <v>Belum terisi</v>
      </c>
      <c r="F236" s="67" t="str">
        <f aca="false">IFERROR(INDEX('Master Data'!$F$2:$F$2436,MATCH($B$3&amp;"|"&amp;D236&amp;"|"&amp;B236&amp;"|"&amp;C236,'Master Data'!$A$2:$A$2436,0))&amp;"","")</f>
        <v>Kids</v>
      </c>
      <c r="G236" s="66" t="n">
        <f aca="false">IFERROR(INDEX('Master Data'!$G$2:$G$2436,MATCH($B$3&amp;"|"&amp;D236&amp;"|"&amp;B236&amp;"|"&amp;C236,'Master Data'!$A$2:$A$2436,0)),"")</f>
        <v>4</v>
      </c>
      <c r="H236" s="67" t="str">
        <f aca="false">IFERROR(INDEX('Master Data'!$K$2:$K$2436,MATCH($B$3&amp;"|"&amp;D236&amp;"|"&amp;B236&amp;"|"&amp;C236,'Master Data'!$A$2:$A$2436,0))&amp;"","")</f>
        <v/>
      </c>
      <c r="I236" s="67" t="s">
        <v>356</v>
      </c>
      <c r="J236" s="67" t="s">
        <v>144</v>
      </c>
      <c r="K236" s="68"/>
      <c r="L236" s="68"/>
      <c r="M236" s="68"/>
      <c r="N236" s="69"/>
      <c r="O236" s="68"/>
    </row>
    <row r="237" customFormat="false" ht="15.75" hidden="false" customHeight="true" outlineLevel="0" collapsed="false">
      <c r="A237" s="66" t="n">
        <v>161</v>
      </c>
      <c r="B237" s="67" t="s">
        <v>93</v>
      </c>
      <c r="C237" s="66" t="s">
        <v>120</v>
      </c>
      <c r="D237" s="66" t="n">
        <v>1</v>
      </c>
      <c r="E237" s="67" t="str">
        <f aca="false">IFERROR(INDEX('Master Data'!$L$2:$L$2436,MATCH($B$3&amp;"|"&amp;D237&amp;"|"&amp;B237&amp;"|"&amp;C237,'Master Data'!$A$2:$A$2436,0)),"")</f>
        <v>Belum terisi</v>
      </c>
      <c r="F237" s="67" t="str">
        <f aca="false">IFERROR(INDEX('Master Data'!$F$2:$F$2436,MATCH($B$3&amp;"|"&amp;D237&amp;"|"&amp;B237&amp;"|"&amp;C237,'Master Data'!$A$2:$A$2436,0))&amp;"","")</f>
        <v>Tiny</v>
      </c>
      <c r="G237" s="66" t="n">
        <f aca="false">IFERROR(INDEX('Master Data'!$G$2:$G$2436,MATCH($B$3&amp;"|"&amp;D237&amp;"|"&amp;B237&amp;"|"&amp;C237,'Master Data'!$A$2:$A$2436,0)),"")</f>
        <v>5</v>
      </c>
      <c r="H237" s="67" t="str">
        <f aca="false">IFERROR(INDEX('Master Data'!$K$2:$K$2436,MATCH($B$3&amp;"|"&amp;D237&amp;"|"&amp;B237&amp;"|"&amp;C237,'Master Data'!$A$2:$A$2436,0))&amp;"","")</f>
        <v/>
      </c>
      <c r="I237" s="67" t="s">
        <v>356</v>
      </c>
      <c r="J237" s="67" t="s">
        <v>357</v>
      </c>
      <c r="K237" s="68"/>
      <c r="L237" s="68"/>
      <c r="M237" s="68"/>
      <c r="N237" s="69"/>
      <c r="O237" s="68"/>
    </row>
    <row r="238" customFormat="false" ht="15.75" hidden="false" customHeight="true" outlineLevel="0" collapsed="false">
      <c r="A238" s="66" t="n">
        <v>162</v>
      </c>
      <c r="B238" s="67" t="s">
        <v>93</v>
      </c>
      <c r="C238" s="66" t="s">
        <v>106</v>
      </c>
      <c r="D238" s="66" t="n">
        <v>3</v>
      </c>
      <c r="E238" s="67" t="str">
        <f aca="false">IFERROR(INDEX('Master Data'!$L$2:$L$2436,MATCH($B$3&amp;"|"&amp;D238&amp;"|"&amp;B238&amp;"|"&amp;C238,'Master Data'!$A$2:$A$2436,0)),"")</f>
        <v>Belum terisi</v>
      </c>
      <c r="F238" s="67" t="str">
        <f aca="false">IFERROR(INDEX('Master Data'!$F$2:$F$2436,MATCH($B$3&amp;"|"&amp;D238&amp;"|"&amp;B238&amp;"|"&amp;C238,'Master Data'!$A$2:$A$2436,0))&amp;"","")</f>
        <v>Kids</v>
      </c>
      <c r="G238" s="66" t="n">
        <f aca="false">IFERROR(INDEX('Master Data'!$G$2:$G$2436,MATCH($B$3&amp;"|"&amp;D238&amp;"|"&amp;B238&amp;"|"&amp;C238,'Master Data'!$A$2:$A$2436,0)),"")</f>
        <v>4</v>
      </c>
      <c r="H238" s="67" t="str">
        <f aca="false">IFERROR(INDEX('Master Data'!$K$2:$K$2436,MATCH($B$3&amp;"|"&amp;D238&amp;"|"&amp;B238&amp;"|"&amp;C238,'Master Data'!$A$2:$A$2436,0))&amp;"","")</f>
        <v/>
      </c>
      <c r="I238" s="67" t="s">
        <v>356</v>
      </c>
      <c r="J238" s="67" t="s">
        <v>144</v>
      </c>
      <c r="K238" s="68"/>
      <c r="L238" s="68"/>
      <c r="M238" s="68"/>
      <c r="N238" s="69"/>
      <c r="O238" s="68"/>
    </row>
    <row r="239" customFormat="false" ht="15.75" hidden="false" customHeight="true" outlineLevel="0" collapsed="false">
      <c r="A239" s="66" t="n">
        <v>163</v>
      </c>
      <c r="B239" s="67" t="s">
        <v>93</v>
      </c>
      <c r="C239" s="66" t="s">
        <v>106</v>
      </c>
      <c r="D239" s="66" t="n">
        <v>4</v>
      </c>
      <c r="E239" s="67" t="str">
        <f aca="false">IFERROR(INDEX('Master Data'!$L$2:$L$2436,MATCH($B$3&amp;"|"&amp;D239&amp;"|"&amp;B239&amp;"|"&amp;C239,'Master Data'!$A$2:$A$2436,0)),"")</f>
        <v>Belum terisi</v>
      </c>
      <c r="F239" s="67" t="str">
        <f aca="false">IFERROR(INDEX('Master Data'!$F$2:$F$2436,MATCH($B$3&amp;"|"&amp;D239&amp;"|"&amp;B239&amp;"|"&amp;C239,'Master Data'!$A$2:$A$2436,0))&amp;"","")</f>
        <v>Kids</v>
      </c>
      <c r="G239" s="66" t="n">
        <f aca="false">IFERROR(INDEX('Master Data'!$G$2:$G$2436,MATCH($B$3&amp;"|"&amp;D239&amp;"|"&amp;B239&amp;"|"&amp;C239,'Master Data'!$A$2:$A$2436,0)),"")</f>
        <v>4</v>
      </c>
      <c r="H239" s="67" t="str">
        <f aca="false">IFERROR(INDEX('Master Data'!$K$2:$K$2436,MATCH($B$3&amp;"|"&amp;D239&amp;"|"&amp;B239&amp;"|"&amp;C239,'Master Data'!$A$2:$A$2436,0))&amp;"","")</f>
        <v/>
      </c>
      <c r="I239" s="67" t="s">
        <v>356</v>
      </c>
      <c r="J239" s="67" t="s">
        <v>144</v>
      </c>
      <c r="K239" s="68"/>
      <c r="L239" s="68"/>
      <c r="M239" s="68"/>
      <c r="N239" s="69"/>
      <c r="O239" s="68"/>
    </row>
    <row r="240" customFormat="false" ht="15.75" hidden="false" customHeight="true" outlineLevel="0" collapsed="false">
      <c r="A240" s="66" t="n">
        <v>164</v>
      </c>
      <c r="B240" s="67" t="s">
        <v>93</v>
      </c>
      <c r="C240" s="66" t="s">
        <v>121</v>
      </c>
      <c r="D240" s="66" t="n">
        <v>1</v>
      </c>
      <c r="E240" s="67" t="str">
        <f aca="false">IFERROR(INDEX('Master Data'!$L$2:$L$2436,MATCH($B$3&amp;"|"&amp;D240&amp;"|"&amp;B240&amp;"|"&amp;C240,'Master Data'!$A$2:$A$2436,0)),"")</f>
        <v>Belum terisi</v>
      </c>
      <c r="F240" s="67" t="str">
        <f aca="false">IFERROR(INDEX('Master Data'!$F$2:$F$2436,MATCH($B$3&amp;"|"&amp;D240&amp;"|"&amp;B240&amp;"|"&amp;C240,'Master Data'!$A$2:$A$2436,0))&amp;"","")</f>
        <v>Baby</v>
      </c>
      <c r="G240" s="66" t="n">
        <f aca="false">IFERROR(INDEX('Master Data'!$G$2:$G$2436,MATCH($B$3&amp;"|"&amp;D240&amp;"|"&amp;B240&amp;"|"&amp;C240,'Master Data'!$A$2:$A$2436,0)),"")</f>
        <v>5</v>
      </c>
      <c r="H240" s="67" t="str">
        <f aca="false">IFERROR(INDEX('Master Data'!$K$2:$K$2436,MATCH($B$3&amp;"|"&amp;D240&amp;"|"&amp;B240&amp;"|"&amp;C240,'Master Data'!$A$2:$A$2436,0))&amp;"","")</f>
        <v/>
      </c>
      <c r="I240" s="67" t="s">
        <v>356</v>
      </c>
      <c r="J240" s="67" t="s">
        <v>358</v>
      </c>
      <c r="K240" s="68"/>
      <c r="L240" s="68"/>
      <c r="M240" s="68"/>
      <c r="N240" s="69"/>
      <c r="O240" s="68"/>
    </row>
    <row r="241" customFormat="false" ht="15.75" hidden="false" customHeight="true" outlineLevel="0" collapsed="false">
      <c r="A241" s="66" t="n">
        <v>165</v>
      </c>
      <c r="B241" s="67" t="s">
        <v>93</v>
      </c>
      <c r="C241" s="66" t="s">
        <v>121</v>
      </c>
      <c r="D241" s="66" t="n">
        <v>2</v>
      </c>
      <c r="E241" s="67" t="str">
        <f aca="false">IFERROR(INDEX('Master Data'!$L$2:$L$2436,MATCH($B$3&amp;"|"&amp;D241&amp;"|"&amp;B241&amp;"|"&amp;C241,'Master Data'!$A$2:$A$2436,0)),"")</f>
        <v>Belum terisi</v>
      </c>
      <c r="F241" s="67" t="str">
        <f aca="false">IFERROR(INDEX('Master Data'!$F$2:$F$2436,MATCH($B$3&amp;"|"&amp;D241&amp;"|"&amp;B241&amp;"|"&amp;C241,'Master Data'!$A$2:$A$2436,0))&amp;"","")</f>
        <v>Little</v>
      </c>
      <c r="G241" s="66" t="n">
        <f aca="false">IFERROR(INDEX('Master Data'!$G$2:$G$2436,MATCH($B$3&amp;"|"&amp;D241&amp;"|"&amp;B241&amp;"|"&amp;C241,'Master Data'!$A$2:$A$2436,0)),"")</f>
        <v>5</v>
      </c>
      <c r="H241" s="67" t="str">
        <f aca="false">IFERROR(INDEX('Master Data'!$K$2:$K$2436,MATCH($B$3&amp;"|"&amp;D241&amp;"|"&amp;B241&amp;"|"&amp;C241,'Master Data'!$A$2:$A$2436,0))&amp;"","")</f>
        <v/>
      </c>
      <c r="I241" s="67" t="s">
        <v>356</v>
      </c>
      <c r="J241" s="67" t="s">
        <v>357</v>
      </c>
      <c r="K241" s="68"/>
      <c r="L241" s="68"/>
      <c r="M241" s="68"/>
      <c r="N241" s="69"/>
      <c r="O241" s="68"/>
    </row>
    <row r="242" customFormat="false" ht="15.75" hidden="false" customHeight="true" outlineLevel="0" collapsed="false">
      <c r="A242" s="66" t="n">
        <v>166</v>
      </c>
      <c r="B242" s="67" t="s">
        <v>93</v>
      </c>
      <c r="C242" s="66" t="s">
        <v>107</v>
      </c>
      <c r="D242" s="66" t="n">
        <v>4</v>
      </c>
      <c r="E242" s="67" t="str">
        <f aca="false">IFERROR(INDEX('Master Data'!$L$2:$L$2436,MATCH($B$3&amp;"|"&amp;D242&amp;"|"&amp;B242&amp;"|"&amp;C242,'Master Data'!$A$2:$A$2436,0)),"")</f>
        <v>Belum terisi</v>
      </c>
      <c r="F242" s="67" t="str">
        <f aca="false">IFERROR(INDEX('Master Data'!$F$2:$F$2436,MATCH($B$3&amp;"|"&amp;D242&amp;"|"&amp;B242&amp;"|"&amp;C242,'Master Data'!$A$2:$A$2436,0))&amp;"","")</f>
        <v>Kids</v>
      </c>
      <c r="G242" s="66" t="n">
        <f aca="false">IFERROR(INDEX('Master Data'!$G$2:$G$2436,MATCH($B$3&amp;"|"&amp;D242&amp;"|"&amp;B242&amp;"|"&amp;C242,'Master Data'!$A$2:$A$2436,0)),"")</f>
        <v>4</v>
      </c>
      <c r="H242" s="67" t="str">
        <f aca="false">IFERROR(INDEX('Master Data'!$K$2:$K$2436,MATCH($B$3&amp;"|"&amp;D242&amp;"|"&amp;B242&amp;"|"&amp;C242,'Master Data'!$A$2:$A$2436,0))&amp;"","")</f>
        <v/>
      </c>
      <c r="I242" s="67" t="s">
        <v>356</v>
      </c>
      <c r="J242" s="67" t="s">
        <v>144</v>
      </c>
      <c r="K242" s="68"/>
      <c r="L242" s="68"/>
      <c r="M242" s="68"/>
      <c r="N242" s="69"/>
      <c r="O242" s="68"/>
    </row>
    <row r="243" customFormat="false" ht="27.75" hidden="false" customHeight="true" outlineLevel="0" collapsed="false">
      <c r="A243" s="66" t="n">
        <v>167</v>
      </c>
      <c r="B243" s="67" t="s">
        <v>94</v>
      </c>
      <c r="C243" s="66" t="s">
        <v>110</v>
      </c>
      <c r="D243" s="66" t="n">
        <v>1</v>
      </c>
      <c r="E243" s="67" t="str">
        <f aca="false">IFERROR(INDEX('Master Data'!$L$2:$L$2436,MATCH($B$3&amp;"|"&amp;D243&amp;"|"&amp;B243&amp;"|"&amp;C243,'Master Data'!$A$2:$A$2436,0)),"")</f>
        <v>Belum terisi</v>
      </c>
      <c r="F243" s="67" t="str">
        <f aca="false">IFERROR(INDEX('Master Data'!$F$2:$F$2436,MATCH($B$3&amp;"|"&amp;D243&amp;"|"&amp;B243&amp;"|"&amp;C243,'Master Data'!$A$2:$A$2436,0))&amp;"","")</f>
        <v>Tiny</v>
      </c>
      <c r="G243" s="66" t="n">
        <f aca="false">IFERROR(INDEX('Master Data'!$G$2:$G$2436,MATCH($B$3&amp;"|"&amp;D243&amp;"|"&amp;B243&amp;"|"&amp;C243,'Master Data'!$A$2:$A$2436,0)),"")</f>
        <v>5</v>
      </c>
      <c r="H243" s="67" t="str">
        <f aca="false">IFERROR(INDEX('Master Data'!$K$2:$K$2436,MATCH($B$3&amp;"|"&amp;D243&amp;"|"&amp;B243&amp;"|"&amp;C243,'Master Data'!$A$2:$A$2436,0))&amp;"","")</f>
        <v/>
      </c>
      <c r="I243" s="67" t="s">
        <v>359</v>
      </c>
      <c r="J243" s="67" t="s">
        <v>134</v>
      </c>
      <c r="K243" s="68"/>
      <c r="L243" s="68"/>
      <c r="M243" s="68"/>
      <c r="N243" s="69"/>
      <c r="O243" s="68"/>
    </row>
    <row r="244" customFormat="false" ht="27.75" hidden="false" customHeight="true" outlineLevel="0" collapsed="false">
      <c r="A244" s="66" t="n">
        <v>168</v>
      </c>
      <c r="B244" s="67" t="s">
        <v>94</v>
      </c>
      <c r="C244" s="66" t="s">
        <v>110</v>
      </c>
      <c r="D244" s="66" t="n">
        <v>2</v>
      </c>
      <c r="E244" s="67" t="str">
        <f aca="false">IFERROR(INDEX('Master Data'!$L$2:$L$2436,MATCH($B$3&amp;"|"&amp;D244&amp;"|"&amp;B244&amp;"|"&amp;C244,'Master Data'!$A$2:$A$2436,0)),"")</f>
        <v>Belum terisi</v>
      </c>
      <c r="F244" s="67" t="str">
        <f aca="false">IFERROR(INDEX('Master Data'!$F$2:$F$2436,MATCH($B$3&amp;"|"&amp;D244&amp;"|"&amp;B244&amp;"|"&amp;C244,'Master Data'!$A$2:$A$2436,0))&amp;"","")</f>
        <v>Little</v>
      </c>
      <c r="G244" s="66" t="n">
        <f aca="false">IFERROR(INDEX('Master Data'!$G$2:$G$2436,MATCH($B$3&amp;"|"&amp;D244&amp;"|"&amp;B244&amp;"|"&amp;C244,'Master Data'!$A$2:$A$2436,0)),"")</f>
        <v>5</v>
      </c>
      <c r="H244" s="67" t="str">
        <f aca="false">IFERROR(INDEX('Master Data'!$K$2:$K$2436,MATCH($B$3&amp;"|"&amp;D244&amp;"|"&amp;B244&amp;"|"&amp;C244,'Master Data'!$A$2:$A$2436,0))&amp;"","")</f>
        <v/>
      </c>
      <c r="I244" s="67" t="s">
        <v>359</v>
      </c>
      <c r="J244" s="67" t="s">
        <v>134</v>
      </c>
      <c r="K244" s="68"/>
      <c r="L244" s="68"/>
      <c r="M244" s="68"/>
      <c r="N244" s="69"/>
      <c r="O244" s="68"/>
    </row>
    <row r="245" customFormat="false" ht="15.75" hidden="false" customHeight="true" outlineLevel="0" collapsed="false">
      <c r="A245" s="66" t="n">
        <v>169</v>
      </c>
      <c r="B245" s="67" t="s">
        <v>94</v>
      </c>
      <c r="C245" s="66" t="s">
        <v>96</v>
      </c>
      <c r="D245" s="66" t="n">
        <v>3</v>
      </c>
      <c r="E245" s="67" t="str">
        <f aca="false">IFERROR(INDEX('Master Data'!$L$2:$L$2436,MATCH($B$3&amp;"|"&amp;D245&amp;"|"&amp;B245&amp;"|"&amp;C245,'Master Data'!$A$2:$A$2436,0)),"")</f>
        <v>Belum terisi</v>
      </c>
      <c r="F245" s="67" t="str">
        <f aca="false">IFERROR(INDEX('Master Data'!$F$2:$F$2436,MATCH($B$3&amp;"|"&amp;D245&amp;"|"&amp;B245&amp;"|"&amp;C245,'Master Data'!$A$2:$A$2436,0))&amp;"","")</f>
        <v>Kids</v>
      </c>
      <c r="G245" s="66" t="n">
        <f aca="false">IFERROR(INDEX('Master Data'!$G$2:$G$2436,MATCH($B$3&amp;"|"&amp;D245&amp;"|"&amp;B245&amp;"|"&amp;C245,'Master Data'!$A$2:$A$2436,0)),"")</f>
        <v>4</v>
      </c>
      <c r="H245" s="67" t="str">
        <f aca="false">IFERROR(INDEX('Master Data'!$K$2:$K$2436,MATCH($B$3&amp;"|"&amp;D245&amp;"|"&amp;B245&amp;"|"&amp;C245,'Master Data'!$A$2:$A$2436,0))&amp;"","")</f>
        <v/>
      </c>
      <c r="I245" s="67" t="s">
        <v>360</v>
      </c>
      <c r="J245" s="67" t="s">
        <v>144</v>
      </c>
      <c r="K245" s="68"/>
      <c r="L245" s="68"/>
      <c r="M245" s="68"/>
      <c r="N245" s="69"/>
      <c r="O245" s="68"/>
    </row>
    <row r="246" customFormat="false" ht="15.75" hidden="false" customHeight="true" outlineLevel="0" collapsed="false">
      <c r="A246" s="66" t="n">
        <v>170</v>
      </c>
      <c r="B246" s="67" t="s">
        <v>94</v>
      </c>
      <c r="C246" s="66" t="s">
        <v>96</v>
      </c>
      <c r="D246" s="66" t="n">
        <v>4</v>
      </c>
      <c r="E246" s="67" t="str">
        <f aca="false">IFERROR(INDEX('Master Data'!$L$2:$L$2436,MATCH($B$3&amp;"|"&amp;D246&amp;"|"&amp;B246&amp;"|"&amp;C246,'Master Data'!$A$2:$A$2436,0)),"")</f>
        <v>Belum terisi</v>
      </c>
      <c r="F246" s="67" t="str">
        <f aca="false">IFERROR(INDEX('Master Data'!$F$2:$F$2436,MATCH($B$3&amp;"|"&amp;D246&amp;"|"&amp;B246&amp;"|"&amp;C246,'Master Data'!$A$2:$A$2436,0))&amp;"","")</f>
        <v>Kids</v>
      </c>
      <c r="G246" s="66" t="n">
        <f aca="false">IFERROR(INDEX('Master Data'!$G$2:$G$2436,MATCH($B$3&amp;"|"&amp;D246&amp;"|"&amp;B246&amp;"|"&amp;C246,'Master Data'!$A$2:$A$2436,0)),"")</f>
        <v>4</v>
      </c>
      <c r="H246" s="67" t="str">
        <f aca="false">IFERROR(INDEX('Master Data'!$K$2:$K$2436,MATCH($B$3&amp;"|"&amp;D246&amp;"|"&amp;B246&amp;"|"&amp;C246,'Master Data'!$A$2:$A$2436,0))&amp;"","")</f>
        <v/>
      </c>
      <c r="I246" s="67" t="s">
        <v>360</v>
      </c>
      <c r="J246" s="67" t="s">
        <v>144</v>
      </c>
      <c r="K246" s="68"/>
      <c r="L246" s="68"/>
      <c r="M246" s="68"/>
      <c r="N246" s="69"/>
      <c r="O246" s="68"/>
    </row>
    <row r="247" customFormat="false" ht="15.75" hidden="false" customHeight="true" outlineLevel="0" collapsed="false">
      <c r="A247" s="66" t="n">
        <v>171</v>
      </c>
      <c r="B247" s="67" t="s">
        <v>94</v>
      </c>
      <c r="C247" s="66" t="s">
        <v>111</v>
      </c>
      <c r="D247" s="66" t="n">
        <v>2</v>
      </c>
      <c r="E247" s="67" t="str">
        <f aca="false">IFERROR(INDEX('Master Data'!$L$2:$L$2436,MATCH($B$3&amp;"|"&amp;D247&amp;"|"&amp;B247&amp;"|"&amp;C247,'Master Data'!$A$2:$A$2436,0)),"")</f>
        <v>Belum terisi</v>
      </c>
      <c r="F247" s="67" t="str">
        <f aca="false">IFERROR(INDEX('Master Data'!$F$2:$F$2436,MATCH($B$3&amp;"|"&amp;D247&amp;"|"&amp;B247&amp;"|"&amp;C247,'Master Data'!$A$2:$A$2436,0))&amp;"","")</f>
        <v>Little</v>
      </c>
      <c r="G247" s="66" t="n">
        <f aca="false">IFERROR(INDEX('Master Data'!$G$2:$G$2436,MATCH($B$3&amp;"|"&amp;D247&amp;"|"&amp;B247&amp;"|"&amp;C247,'Master Data'!$A$2:$A$2436,0)),"")</f>
        <v>5</v>
      </c>
      <c r="H247" s="67" t="str">
        <f aca="false">IFERROR(INDEX('Master Data'!$K$2:$K$2436,MATCH($B$3&amp;"|"&amp;D247&amp;"|"&amp;B247&amp;"|"&amp;C247,'Master Data'!$A$2:$A$2436,0))&amp;"","")</f>
        <v/>
      </c>
      <c r="I247" s="67" t="s">
        <v>360</v>
      </c>
      <c r="J247" s="67" t="s">
        <v>144</v>
      </c>
      <c r="K247" s="68"/>
      <c r="L247" s="68"/>
      <c r="M247" s="68"/>
      <c r="N247" s="69"/>
      <c r="O247" s="68"/>
    </row>
    <row r="248" customFormat="false" ht="15.75" hidden="false" customHeight="true" outlineLevel="0" collapsed="false">
      <c r="A248" s="66" t="n">
        <v>172</v>
      </c>
      <c r="B248" s="67" t="s">
        <v>94</v>
      </c>
      <c r="C248" s="66" t="s">
        <v>97</v>
      </c>
      <c r="D248" s="66" t="n">
        <v>3</v>
      </c>
      <c r="E248" s="67" t="str">
        <f aca="false">IFERROR(INDEX('Master Data'!$L$2:$L$2436,MATCH($B$3&amp;"|"&amp;D248&amp;"|"&amp;B248&amp;"|"&amp;C248,'Master Data'!$A$2:$A$2436,0)),"")</f>
        <v>Belum terisi</v>
      </c>
      <c r="F248" s="67" t="str">
        <f aca="false">IFERROR(INDEX('Master Data'!$F$2:$F$2436,MATCH($B$3&amp;"|"&amp;D248&amp;"|"&amp;B248&amp;"|"&amp;C248,'Master Data'!$A$2:$A$2436,0))&amp;"","")</f>
        <v>Kids</v>
      </c>
      <c r="G248" s="66" t="n">
        <f aca="false">IFERROR(INDEX('Master Data'!$G$2:$G$2436,MATCH($B$3&amp;"|"&amp;D248&amp;"|"&amp;B248&amp;"|"&amp;C248,'Master Data'!$A$2:$A$2436,0)),"")</f>
        <v>4</v>
      </c>
      <c r="H248" s="67" t="str">
        <f aca="false">IFERROR(INDEX('Master Data'!$K$2:$K$2436,MATCH($B$3&amp;"|"&amp;D248&amp;"|"&amp;B248&amp;"|"&amp;C248,'Master Data'!$A$2:$A$2436,0))&amp;"","")</f>
        <v/>
      </c>
      <c r="I248" s="67" t="s">
        <v>360</v>
      </c>
      <c r="J248" s="67" t="s">
        <v>144</v>
      </c>
      <c r="K248" s="68"/>
      <c r="L248" s="68"/>
      <c r="M248" s="68"/>
      <c r="N248" s="69"/>
      <c r="O248" s="68"/>
    </row>
    <row r="249" customFormat="false" ht="15.75" hidden="false" customHeight="true" outlineLevel="0" collapsed="false">
      <c r="A249" s="66" t="n">
        <v>173</v>
      </c>
      <c r="B249" s="67" t="s">
        <v>94</v>
      </c>
      <c r="C249" s="66" t="s">
        <v>97</v>
      </c>
      <c r="D249" s="66" t="n">
        <v>4</v>
      </c>
      <c r="E249" s="67" t="str">
        <f aca="false">IFERROR(INDEX('Master Data'!$L$2:$L$2436,MATCH($B$3&amp;"|"&amp;D249&amp;"|"&amp;B249&amp;"|"&amp;C249,'Master Data'!$A$2:$A$2436,0)),"")</f>
        <v>Belum terisi</v>
      </c>
      <c r="F249" s="67" t="str">
        <f aca="false">IFERROR(INDEX('Master Data'!$F$2:$F$2436,MATCH($B$3&amp;"|"&amp;D249&amp;"|"&amp;B249&amp;"|"&amp;C249,'Master Data'!$A$2:$A$2436,0))&amp;"","")</f>
        <v>Kids</v>
      </c>
      <c r="G249" s="66" t="n">
        <f aca="false">IFERROR(INDEX('Master Data'!$G$2:$G$2436,MATCH($B$3&amp;"|"&amp;D249&amp;"|"&amp;B249&amp;"|"&amp;C249,'Master Data'!$A$2:$A$2436,0)),"")</f>
        <v>4</v>
      </c>
      <c r="H249" s="67" t="str">
        <f aca="false">IFERROR(INDEX('Master Data'!$K$2:$K$2436,MATCH($B$3&amp;"|"&amp;D249&amp;"|"&amp;B249&amp;"|"&amp;C249,'Master Data'!$A$2:$A$2436,0))&amp;"","")</f>
        <v/>
      </c>
      <c r="I249" s="67" t="s">
        <v>360</v>
      </c>
      <c r="J249" s="67" t="s">
        <v>144</v>
      </c>
      <c r="K249" s="68"/>
      <c r="L249" s="68"/>
      <c r="M249" s="68"/>
      <c r="N249" s="69"/>
      <c r="O249" s="68"/>
    </row>
    <row r="250" customFormat="false" ht="27.75" hidden="false" customHeight="true" outlineLevel="0" collapsed="false">
      <c r="A250" s="66" t="n">
        <v>174</v>
      </c>
      <c r="B250" s="67" t="s">
        <v>94</v>
      </c>
      <c r="C250" s="66" t="s">
        <v>112</v>
      </c>
      <c r="D250" s="66" t="n">
        <v>1</v>
      </c>
      <c r="E250" s="67" t="str">
        <f aca="false">IFERROR(INDEX('Master Data'!$L$2:$L$2436,MATCH($B$3&amp;"|"&amp;D250&amp;"|"&amp;B250&amp;"|"&amp;C250,'Master Data'!$A$2:$A$2436,0)),"")</f>
        <v>Belum terisi</v>
      </c>
      <c r="F250" s="67" t="str">
        <f aca="false">IFERROR(INDEX('Master Data'!$F$2:$F$2436,MATCH($B$3&amp;"|"&amp;D250&amp;"|"&amp;B250&amp;"|"&amp;C250,'Master Data'!$A$2:$A$2436,0))&amp;"","")</f>
        <v>Tiny</v>
      </c>
      <c r="G250" s="66" t="n">
        <f aca="false">IFERROR(INDEX('Master Data'!$G$2:$G$2436,MATCH($B$3&amp;"|"&amp;D250&amp;"|"&amp;B250&amp;"|"&amp;C250,'Master Data'!$A$2:$A$2436,0)),"")</f>
        <v>5</v>
      </c>
      <c r="H250" s="67" t="str">
        <f aca="false">IFERROR(INDEX('Master Data'!$K$2:$K$2436,MATCH($B$3&amp;"|"&amp;D250&amp;"|"&amp;B250&amp;"|"&amp;C250,'Master Data'!$A$2:$A$2436,0))&amp;"","")</f>
        <v/>
      </c>
      <c r="I250" s="67" t="s">
        <v>359</v>
      </c>
      <c r="J250" s="67" t="s">
        <v>134</v>
      </c>
      <c r="K250" s="68"/>
      <c r="L250" s="68"/>
      <c r="M250" s="68"/>
      <c r="N250" s="69"/>
      <c r="O250" s="68"/>
    </row>
    <row r="251" customFormat="false" ht="27.75" hidden="false" customHeight="true" outlineLevel="0" collapsed="false">
      <c r="A251" s="66" t="n">
        <v>175</v>
      </c>
      <c r="B251" s="67" t="s">
        <v>94</v>
      </c>
      <c r="C251" s="66" t="s">
        <v>112</v>
      </c>
      <c r="D251" s="66" t="n">
        <v>2</v>
      </c>
      <c r="E251" s="67" t="str">
        <f aca="false">IFERROR(INDEX('Master Data'!$L$2:$L$2436,MATCH($B$3&amp;"|"&amp;D251&amp;"|"&amp;B251&amp;"|"&amp;C251,'Master Data'!$A$2:$A$2436,0)),"")</f>
        <v>Belum terisi</v>
      </c>
      <c r="F251" s="67" t="str">
        <f aca="false">IFERROR(INDEX('Master Data'!$F$2:$F$2436,MATCH($B$3&amp;"|"&amp;D251&amp;"|"&amp;B251&amp;"|"&amp;C251,'Master Data'!$A$2:$A$2436,0))&amp;"","")</f>
        <v>Little</v>
      </c>
      <c r="G251" s="66" t="n">
        <f aca="false">IFERROR(INDEX('Master Data'!$G$2:$G$2436,MATCH($B$3&amp;"|"&amp;D251&amp;"|"&amp;B251&amp;"|"&amp;C251,'Master Data'!$A$2:$A$2436,0)),"")</f>
        <v>5</v>
      </c>
      <c r="H251" s="67" t="str">
        <f aca="false">IFERROR(INDEX('Master Data'!$K$2:$K$2436,MATCH($B$3&amp;"|"&amp;D251&amp;"|"&amp;B251&amp;"|"&amp;C251,'Master Data'!$A$2:$A$2436,0))&amp;"","")</f>
        <v/>
      </c>
      <c r="I251" s="67" t="s">
        <v>359</v>
      </c>
      <c r="J251" s="67" t="s">
        <v>134</v>
      </c>
      <c r="K251" s="68"/>
      <c r="L251" s="68"/>
      <c r="M251" s="68"/>
      <c r="N251" s="69"/>
      <c r="O251" s="68"/>
    </row>
    <row r="252" customFormat="false" ht="15.75" hidden="false" customHeight="true" outlineLevel="0" collapsed="false">
      <c r="A252" s="66" t="n">
        <v>176</v>
      </c>
      <c r="B252" s="67" t="s">
        <v>94</v>
      </c>
      <c r="C252" s="66" t="s">
        <v>98</v>
      </c>
      <c r="D252" s="66" t="n">
        <v>3</v>
      </c>
      <c r="E252" s="67" t="str">
        <f aca="false">IFERROR(INDEX('Master Data'!$L$2:$L$2436,MATCH($B$3&amp;"|"&amp;D252&amp;"|"&amp;B252&amp;"|"&amp;C252,'Master Data'!$A$2:$A$2436,0)),"")</f>
        <v>Belum terisi</v>
      </c>
      <c r="F252" s="67" t="str">
        <f aca="false">IFERROR(INDEX('Master Data'!$F$2:$F$2436,MATCH($B$3&amp;"|"&amp;D252&amp;"|"&amp;B252&amp;"|"&amp;C252,'Master Data'!$A$2:$A$2436,0))&amp;"","")</f>
        <v>Kids</v>
      </c>
      <c r="G252" s="66" t="n">
        <f aca="false">IFERROR(INDEX('Master Data'!$G$2:$G$2436,MATCH($B$3&amp;"|"&amp;D252&amp;"|"&amp;B252&amp;"|"&amp;C252,'Master Data'!$A$2:$A$2436,0)),"")</f>
        <v>4</v>
      </c>
      <c r="H252" s="67" t="str">
        <f aca="false">IFERROR(INDEX('Master Data'!$K$2:$K$2436,MATCH($B$3&amp;"|"&amp;D252&amp;"|"&amp;B252&amp;"|"&amp;C252,'Master Data'!$A$2:$A$2436,0))&amp;"","")</f>
        <v/>
      </c>
      <c r="I252" s="67" t="s">
        <v>360</v>
      </c>
      <c r="J252" s="67" t="s">
        <v>144</v>
      </c>
      <c r="K252" s="68"/>
      <c r="L252" s="68"/>
      <c r="M252" s="68"/>
      <c r="N252" s="69"/>
      <c r="O252" s="68"/>
    </row>
    <row r="253" customFormat="false" ht="15.75" hidden="false" customHeight="true" outlineLevel="0" collapsed="false">
      <c r="A253" s="66" t="n">
        <v>177</v>
      </c>
      <c r="B253" s="67" t="s">
        <v>94</v>
      </c>
      <c r="C253" s="66" t="s">
        <v>98</v>
      </c>
      <c r="D253" s="66" t="n">
        <v>4</v>
      </c>
      <c r="E253" s="67" t="str">
        <f aca="false">IFERROR(INDEX('Master Data'!$L$2:$L$2436,MATCH($B$3&amp;"|"&amp;D253&amp;"|"&amp;B253&amp;"|"&amp;C253,'Master Data'!$A$2:$A$2436,0)),"")</f>
        <v>Belum terisi</v>
      </c>
      <c r="F253" s="67" t="str">
        <f aca="false">IFERROR(INDEX('Master Data'!$F$2:$F$2436,MATCH($B$3&amp;"|"&amp;D253&amp;"|"&amp;B253&amp;"|"&amp;C253,'Master Data'!$A$2:$A$2436,0))&amp;"","")</f>
        <v>Kids</v>
      </c>
      <c r="G253" s="66" t="n">
        <f aca="false">IFERROR(INDEX('Master Data'!$G$2:$G$2436,MATCH($B$3&amp;"|"&amp;D253&amp;"|"&amp;B253&amp;"|"&amp;C253,'Master Data'!$A$2:$A$2436,0)),"")</f>
        <v>4</v>
      </c>
      <c r="H253" s="67" t="str">
        <f aca="false">IFERROR(INDEX('Master Data'!$K$2:$K$2436,MATCH($B$3&amp;"|"&amp;D253&amp;"|"&amp;B253&amp;"|"&amp;C253,'Master Data'!$A$2:$A$2436,0))&amp;"","")</f>
        <v/>
      </c>
      <c r="I253" s="67" t="s">
        <v>360</v>
      </c>
      <c r="J253" s="67" t="s">
        <v>144</v>
      </c>
      <c r="K253" s="68"/>
      <c r="L253" s="68"/>
      <c r="M253" s="68"/>
      <c r="N253" s="69"/>
      <c r="O253" s="68"/>
    </row>
    <row r="254" customFormat="false" ht="15.75" hidden="false" customHeight="true" outlineLevel="0" collapsed="false">
      <c r="A254" s="66" t="n">
        <v>178</v>
      </c>
      <c r="B254" s="67" t="s">
        <v>94</v>
      </c>
      <c r="C254" s="66" t="s">
        <v>113</v>
      </c>
      <c r="D254" s="66" t="n">
        <v>2</v>
      </c>
      <c r="E254" s="67" t="str">
        <f aca="false">IFERROR(INDEX('Master Data'!$L$2:$L$2436,MATCH($B$3&amp;"|"&amp;D254&amp;"|"&amp;B254&amp;"|"&amp;C254,'Master Data'!$A$2:$A$2436,0)),"")</f>
        <v>Belum terisi</v>
      </c>
      <c r="F254" s="67" t="str">
        <f aca="false">IFERROR(INDEX('Master Data'!$F$2:$F$2436,MATCH($B$3&amp;"|"&amp;D254&amp;"|"&amp;B254&amp;"|"&amp;C254,'Master Data'!$A$2:$A$2436,0))&amp;"","")</f>
        <v>Little</v>
      </c>
      <c r="G254" s="66" t="n">
        <f aca="false">IFERROR(INDEX('Master Data'!$G$2:$G$2436,MATCH($B$3&amp;"|"&amp;D254&amp;"|"&amp;B254&amp;"|"&amp;C254,'Master Data'!$A$2:$A$2436,0)),"")</f>
        <v>5</v>
      </c>
      <c r="H254" s="67" t="str">
        <f aca="false">IFERROR(INDEX('Master Data'!$K$2:$K$2436,MATCH($B$3&amp;"|"&amp;D254&amp;"|"&amp;B254&amp;"|"&amp;C254,'Master Data'!$A$2:$A$2436,0))&amp;"","")</f>
        <v/>
      </c>
      <c r="I254" s="67" t="s">
        <v>360</v>
      </c>
      <c r="J254" s="67" t="s">
        <v>144</v>
      </c>
      <c r="K254" s="68"/>
      <c r="L254" s="68"/>
      <c r="M254" s="68"/>
      <c r="N254" s="69"/>
      <c r="O254" s="68"/>
    </row>
    <row r="255" customFormat="false" ht="15.75" hidden="false" customHeight="true" outlineLevel="0" collapsed="false">
      <c r="A255" s="66" t="n">
        <v>179</v>
      </c>
      <c r="B255" s="67" t="s">
        <v>94</v>
      </c>
      <c r="C255" s="66" t="s">
        <v>99</v>
      </c>
      <c r="D255" s="66" t="n">
        <v>3</v>
      </c>
      <c r="E255" s="67" t="str">
        <f aca="false">IFERROR(INDEX('Master Data'!$L$2:$L$2436,MATCH($B$3&amp;"|"&amp;D255&amp;"|"&amp;B255&amp;"|"&amp;C255,'Master Data'!$A$2:$A$2436,0)),"")</f>
        <v>Belum terisi</v>
      </c>
      <c r="F255" s="67" t="str">
        <f aca="false">IFERROR(INDEX('Master Data'!$F$2:$F$2436,MATCH($B$3&amp;"|"&amp;D255&amp;"|"&amp;B255&amp;"|"&amp;C255,'Master Data'!$A$2:$A$2436,0))&amp;"","")</f>
        <v>Kids</v>
      </c>
      <c r="G255" s="66" t="n">
        <f aca="false">IFERROR(INDEX('Master Data'!$G$2:$G$2436,MATCH($B$3&amp;"|"&amp;D255&amp;"|"&amp;B255&amp;"|"&amp;C255,'Master Data'!$A$2:$A$2436,0)),"")</f>
        <v>4</v>
      </c>
      <c r="H255" s="67" t="str">
        <f aca="false">IFERROR(INDEX('Master Data'!$K$2:$K$2436,MATCH($B$3&amp;"|"&amp;D255&amp;"|"&amp;B255&amp;"|"&amp;C255,'Master Data'!$A$2:$A$2436,0))&amp;"","")</f>
        <v/>
      </c>
      <c r="I255" s="67" t="s">
        <v>360</v>
      </c>
      <c r="J255" s="67" t="s">
        <v>144</v>
      </c>
      <c r="K255" s="68"/>
      <c r="L255" s="68"/>
      <c r="M255" s="68"/>
      <c r="N255" s="69"/>
      <c r="O255" s="68"/>
    </row>
    <row r="256" customFormat="false" ht="15.75" hidden="false" customHeight="true" outlineLevel="0" collapsed="false">
      <c r="A256" s="66" t="n">
        <v>180</v>
      </c>
      <c r="B256" s="67" t="s">
        <v>94</v>
      </c>
      <c r="C256" s="66" t="s">
        <v>99</v>
      </c>
      <c r="D256" s="66" t="n">
        <v>4</v>
      </c>
      <c r="E256" s="67" t="str">
        <f aca="false">IFERROR(INDEX('Master Data'!$L$2:$L$2436,MATCH($B$3&amp;"|"&amp;D256&amp;"|"&amp;B256&amp;"|"&amp;C256,'Master Data'!$A$2:$A$2436,0)),"")</f>
        <v>Belum terisi</v>
      </c>
      <c r="F256" s="67" t="str">
        <f aca="false">IFERROR(INDEX('Master Data'!$F$2:$F$2436,MATCH($B$3&amp;"|"&amp;D256&amp;"|"&amp;B256&amp;"|"&amp;C256,'Master Data'!$A$2:$A$2436,0))&amp;"","")</f>
        <v>Kids</v>
      </c>
      <c r="G256" s="66" t="n">
        <f aca="false">IFERROR(INDEX('Master Data'!$G$2:$G$2436,MATCH($B$3&amp;"|"&amp;D256&amp;"|"&amp;B256&amp;"|"&amp;C256,'Master Data'!$A$2:$A$2436,0)),"")</f>
        <v>4</v>
      </c>
      <c r="H256" s="67" t="str">
        <f aca="false">IFERROR(INDEX('Master Data'!$K$2:$K$2436,MATCH($B$3&amp;"|"&amp;D256&amp;"|"&amp;B256&amp;"|"&amp;C256,'Master Data'!$A$2:$A$2436,0))&amp;"","")</f>
        <v/>
      </c>
      <c r="I256" s="67" t="s">
        <v>360</v>
      </c>
      <c r="J256" s="67" t="s">
        <v>144</v>
      </c>
      <c r="K256" s="68"/>
      <c r="L256" s="68"/>
      <c r="M256" s="68"/>
      <c r="N256" s="69"/>
      <c r="O256" s="68"/>
    </row>
    <row r="257" customFormat="false" ht="27.75" hidden="false" customHeight="true" outlineLevel="0" collapsed="false">
      <c r="A257" s="66" t="n">
        <v>181</v>
      </c>
      <c r="B257" s="67" t="s">
        <v>94</v>
      </c>
      <c r="C257" s="66" t="s">
        <v>114</v>
      </c>
      <c r="D257" s="66" t="n">
        <v>1</v>
      </c>
      <c r="E257" s="67" t="str">
        <f aca="false">IFERROR(INDEX('Master Data'!$L$2:$L$2436,MATCH($B$3&amp;"|"&amp;D257&amp;"|"&amp;B257&amp;"|"&amp;C257,'Master Data'!$A$2:$A$2436,0)),"")</f>
        <v>Belum terisi</v>
      </c>
      <c r="F257" s="67" t="str">
        <f aca="false">IFERROR(INDEX('Master Data'!$F$2:$F$2436,MATCH($B$3&amp;"|"&amp;D257&amp;"|"&amp;B257&amp;"|"&amp;C257,'Master Data'!$A$2:$A$2436,0))&amp;"","")</f>
        <v>Tiny</v>
      </c>
      <c r="G257" s="66" t="n">
        <f aca="false">IFERROR(INDEX('Master Data'!$G$2:$G$2436,MATCH($B$3&amp;"|"&amp;D257&amp;"|"&amp;B257&amp;"|"&amp;C257,'Master Data'!$A$2:$A$2436,0)),"")</f>
        <v>5</v>
      </c>
      <c r="H257" s="67" t="str">
        <f aca="false">IFERROR(INDEX('Master Data'!$K$2:$K$2436,MATCH($B$3&amp;"|"&amp;D257&amp;"|"&amp;B257&amp;"|"&amp;C257,'Master Data'!$A$2:$A$2436,0))&amp;"","")</f>
        <v/>
      </c>
      <c r="I257" s="67" t="s">
        <v>359</v>
      </c>
      <c r="J257" s="67" t="s">
        <v>134</v>
      </c>
      <c r="K257" s="68"/>
      <c r="L257" s="68"/>
      <c r="M257" s="68"/>
      <c r="N257" s="69"/>
      <c r="O257" s="68"/>
    </row>
    <row r="258" customFormat="false" ht="27.75" hidden="false" customHeight="true" outlineLevel="0" collapsed="false">
      <c r="A258" s="66" t="n">
        <v>182</v>
      </c>
      <c r="B258" s="67" t="s">
        <v>94</v>
      </c>
      <c r="C258" s="66" t="s">
        <v>114</v>
      </c>
      <c r="D258" s="66" t="n">
        <v>2</v>
      </c>
      <c r="E258" s="67" t="str">
        <f aca="false">IFERROR(INDEX('Master Data'!$L$2:$L$2436,MATCH($B$3&amp;"|"&amp;D258&amp;"|"&amp;B258&amp;"|"&amp;C258,'Master Data'!$A$2:$A$2436,0)),"")</f>
        <v>Belum terisi</v>
      </c>
      <c r="F258" s="67" t="str">
        <f aca="false">IFERROR(INDEX('Master Data'!$F$2:$F$2436,MATCH($B$3&amp;"|"&amp;D258&amp;"|"&amp;B258&amp;"|"&amp;C258,'Master Data'!$A$2:$A$2436,0))&amp;"","")</f>
        <v>Little</v>
      </c>
      <c r="G258" s="66" t="n">
        <f aca="false">IFERROR(INDEX('Master Data'!$G$2:$G$2436,MATCH($B$3&amp;"|"&amp;D258&amp;"|"&amp;B258&amp;"|"&amp;C258,'Master Data'!$A$2:$A$2436,0)),"")</f>
        <v>5</v>
      </c>
      <c r="H258" s="67" t="str">
        <f aca="false">IFERROR(INDEX('Master Data'!$K$2:$K$2436,MATCH($B$3&amp;"|"&amp;D258&amp;"|"&amp;B258&amp;"|"&amp;C258,'Master Data'!$A$2:$A$2436,0))&amp;"","")</f>
        <v/>
      </c>
      <c r="I258" s="67" t="s">
        <v>359</v>
      </c>
      <c r="J258" s="67" t="s">
        <v>134</v>
      </c>
      <c r="K258" s="68"/>
      <c r="L258" s="68"/>
      <c r="M258" s="68"/>
      <c r="N258" s="69"/>
      <c r="O258" s="68"/>
    </row>
    <row r="259" customFormat="false" ht="27.75" hidden="false" customHeight="true" outlineLevel="0" collapsed="false">
      <c r="A259" s="66" t="n">
        <v>183</v>
      </c>
      <c r="B259" s="67" t="s">
        <v>94</v>
      </c>
      <c r="C259" s="66" t="s">
        <v>100</v>
      </c>
      <c r="D259" s="66" t="n">
        <v>3</v>
      </c>
      <c r="E259" s="67" t="str">
        <f aca="false">IFERROR(INDEX('Master Data'!$L$2:$L$2436,MATCH($B$3&amp;"|"&amp;D259&amp;"|"&amp;B259&amp;"|"&amp;C259,'Master Data'!$A$2:$A$2436,0)),"")</f>
        <v>Belum terisi</v>
      </c>
      <c r="F259" s="67" t="str">
        <f aca="false">IFERROR(INDEX('Master Data'!$F$2:$F$2436,MATCH($B$3&amp;"|"&amp;D259&amp;"|"&amp;B259&amp;"|"&amp;C259,'Master Data'!$A$2:$A$2436,0))&amp;"","")</f>
        <v>Kids</v>
      </c>
      <c r="G259" s="66" t="n">
        <f aca="false">IFERROR(INDEX('Master Data'!$G$2:$G$2436,MATCH($B$3&amp;"|"&amp;D259&amp;"|"&amp;B259&amp;"|"&amp;C259,'Master Data'!$A$2:$A$2436,0)),"")</f>
        <v>4</v>
      </c>
      <c r="H259" s="67" t="str">
        <f aca="false">IFERROR(INDEX('Master Data'!$K$2:$K$2436,MATCH($B$3&amp;"|"&amp;D259&amp;"|"&amp;B259&amp;"|"&amp;C259,'Master Data'!$A$2:$A$2436,0))&amp;"","")</f>
        <v/>
      </c>
      <c r="I259" s="67" t="s">
        <v>359</v>
      </c>
      <c r="J259" s="67" t="s">
        <v>134</v>
      </c>
      <c r="K259" s="68"/>
      <c r="L259" s="68"/>
      <c r="M259" s="68"/>
      <c r="N259" s="69"/>
      <c r="O259" s="68"/>
    </row>
    <row r="260" customFormat="false" ht="27.75" hidden="false" customHeight="true" outlineLevel="0" collapsed="false">
      <c r="A260" s="66" t="n">
        <v>184</v>
      </c>
      <c r="B260" s="67" t="s">
        <v>94</v>
      </c>
      <c r="C260" s="66" t="s">
        <v>100</v>
      </c>
      <c r="D260" s="66" t="n">
        <v>4</v>
      </c>
      <c r="E260" s="67" t="str">
        <f aca="false">IFERROR(INDEX('Master Data'!$L$2:$L$2436,MATCH($B$3&amp;"|"&amp;D260&amp;"|"&amp;B260&amp;"|"&amp;C260,'Master Data'!$A$2:$A$2436,0)),"")</f>
        <v>Belum terisi</v>
      </c>
      <c r="F260" s="67" t="str">
        <f aca="false">IFERROR(INDEX('Master Data'!$F$2:$F$2436,MATCH($B$3&amp;"|"&amp;D260&amp;"|"&amp;B260&amp;"|"&amp;C260,'Master Data'!$A$2:$A$2436,0))&amp;"","")</f>
        <v>Kids</v>
      </c>
      <c r="G260" s="66" t="n">
        <f aca="false">IFERROR(INDEX('Master Data'!$G$2:$G$2436,MATCH($B$3&amp;"|"&amp;D260&amp;"|"&amp;B260&amp;"|"&amp;C260,'Master Data'!$A$2:$A$2436,0)),"")</f>
        <v>4</v>
      </c>
      <c r="H260" s="67" t="str">
        <f aca="false">IFERROR(INDEX('Master Data'!$K$2:$K$2436,MATCH($B$3&amp;"|"&amp;D260&amp;"|"&amp;B260&amp;"|"&amp;C260,'Master Data'!$A$2:$A$2436,0))&amp;"","")</f>
        <v/>
      </c>
      <c r="I260" s="67" t="s">
        <v>359</v>
      </c>
      <c r="J260" s="67" t="s">
        <v>134</v>
      </c>
      <c r="K260" s="68"/>
      <c r="L260" s="68"/>
      <c r="M260" s="68"/>
      <c r="N260" s="69"/>
      <c r="O260" s="68"/>
    </row>
    <row r="261" customFormat="false" ht="27.75" hidden="false" customHeight="true" outlineLevel="0" collapsed="false">
      <c r="A261" s="66" t="n">
        <v>185</v>
      </c>
      <c r="B261" s="67" t="s">
        <v>94</v>
      </c>
      <c r="C261" s="66" t="s">
        <v>115</v>
      </c>
      <c r="D261" s="66" t="n">
        <v>1</v>
      </c>
      <c r="E261" s="67" t="str">
        <f aca="false">IFERROR(INDEX('Master Data'!$L$2:$L$2436,MATCH($B$3&amp;"|"&amp;D261&amp;"|"&amp;B261&amp;"|"&amp;C261,'Master Data'!$A$2:$A$2436,0)),"")</f>
        <v>Belum terisi</v>
      </c>
      <c r="F261" s="67" t="str">
        <f aca="false">IFERROR(INDEX('Master Data'!$F$2:$F$2436,MATCH($B$3&amp;"|"&amp;D261&amp;"|"&amp;B261&amp;"|"&amp;C261,'Master Data'!$A$2:$A$2436,0))&amp;"","")</f>
        <v>Baby</v>
      </c>
      <c r="G261" s="66" t="n">
        <f aca="false">IFERROR(INDEX('Master Data'!$G$2:$G$2436,MATCH($B$3&amp;"|"&amp;D261&amp;"|"&amp;B261&amp;"|"&amp;C261,'Master Data'!$A$2:$A$2436,0)),"")</f>
        <v>5</v>
      </c>
      <c r="H261" s="67" t="str">
        <f aca="false">IFERROR(INDEX('Master Data'!$K$2:$K$2436,MATCH($B$3&amp;"|"&amp;D261&amp;"|"&amp;B261&amp;"|"&amp;C261,'Master Data'!$A$2:$A$2436,0))&amp;"","")</f>
        <v/>
      </c>
      <c r="I261" s="67" t="s">
        <v>359</v>
      </c>
      <c r="J261" s="67" t="s">
        <v>134</v>
      </c>
      <c r="K261" s="68"/>
      <c r="L261" s="68"/>
      <c r="M261" s="68"/>
      <c r="N261" s="69"/>
      <c r="O261" s="68"/>
    </row>
    <row r="262" customFormat="false" ht="27.75" hidden="false" customHeight="true" outlineLevel="0" collapsed="false">
      <c r="A262" s="66" t="n">
        <v>186</v>
      </c>
      <c r="B262" s="67" t="s">
        <v>94</v>
      </c>
      <c r="C262" s="66" t="s">
        <v>115</v>
      </c>
      <c r="D262" s="66" t="n">
        <v>2</v>
      </c>
      <c r="E262" s="67" t="str">
        <f aca="false">IFERROR(INDEX('Master Data'!$L$2:$L$2436,MATCH($B$3&amp;"|"&amp;D262&amp;"|"&amp;B262&amp;"|"&amp;C262,'Master Data'!$A$2:$A$2436,0)),"")</f>
        <v>Belum terisi</v>
      </c>
      <c r="F262" s="67" t="str">
        <f aca="false">IFERROR(INDEX('Master Data'!$F$2:$F$2436,MATCH($B$3&amp;"|"&amp;D262&amp;"|"&amp;B262&amp;"|"&amp;C262,'Master Data'!$A$2:$A$2436,0))&amp;"","")</f>
        <v>Little</v>
      </c>
      <c r="G262" s="66" t="n">
        <f aca="false">IFERROR(INDEX('Master Data'!$G$2:$G$2436,MATCH($B$3&amp;"|"&amp;D262&amp;"|"&amp;B262&amp;"|"&amp;C262,'Master Data'!$A$2:$A$2436,0)),"")</f>
        <v>5</v>
      </c>
      <c r="H262" s="67" t="str">
        <f aca="false">IFERROR(INDEX('Master Data'!$K$2:$K$2436,MATCH($B$3&amp;"|"&amp;D262&amp;"|"&amp;B262&amp;"|"&amp;C262,'Master Data'!$A$2:$A$2436,0))&amp;"","")</f>
        <v/>
      </c>
      <c r="I262" s="67" t="s">
        <v>359</v>
      </c>
      <c r="J262" s="67" t="s">
        <v>134</v>
      </c>
      <c r="K262" s="68"/>
      <c r="L262" s="68"/>
      <c r="M262" s="68"/>
      <c r="N262" s="69"/>
      <c r="O262" s="68"/>
    </row>
    <row r="263" customFormat="false" ht="27.75" hidden="false" customHeight="true" outlineLevel="0" collapsed="false">
      <c r="A263" s="66" t="n">
        <v>187</v>
      </c>
      <c r="B263" s="67" t="s">
        <v>94</v>
      </c>
      <c r="C263" s="66" t="s">
        <v>101</v>
      </c>
      <c r="D263" s="66" t="n">
        <v>3</v>
      </c>
      <c r="E263" s="67" t="str">
        <f aca="false">IFERROR(INDEX('Master Data'!$L$2:$L$2436,MATCH($B$3&amp;"|"&amp;D263&amp;"|"&amp;B263&amp;"|"&amp;C263,'Master Data'!$A$2:$A$2436,0)),"")</f>
        <v>Belum terisi</v>
      </c>
      <c r="F263" s="67" t="str">
        <f aca="false">IFERROR(INDEX('Master Data'!$F$2:$F$2436,MATCH($B$3&amp;"|"&amp;D263&amp;"|"&amp;B263&amp;"|"&amp;C263,'Master Data'!$A$2:$A$2436,0))&amp;"","")</f>
        <v>Kids</v>
      </c>
      <c r="G263" s="66" t="n">
        <f aca="false">IFERROR(INDEX('Master Data'!$G$2:$G$2436,MATCH($B$3&amp;"|"&amp;D263&amp;"|"&amp;B263&amp;"|"&amp;C263,'Master Data'!$A$2:$A$2436,0)),"")</f>
        <v>4</v>
      </c>
      <c r="H263" s="67" t="str">
        <f aca="false">IFERROR(INDEX('Master Data'!$K$2:$K$2436,MATCH($B$3&amp;"|"&amp;D263&amp;"|"&amp;B263&amp;"|"&amp;C263,'Master Data'!$A$2:$A$2436,0))&amp;"","")</f>
        <v/>
      </c>
      <c r="I263" s="67" t="s">
        <v>359</v>
      </c>
      <c r="J263" s="67" t="s">
        <v>134</v>
      </c>
      <c r="K263" s="68"/>
      <c r="L263" s="68"/>
      <c r="M263" s="68"/>
      <c r="N263" s="69"/>
      <c r="O263" s="68"/>
    </row>
    <row r="264" customFormat="false" ht="27.75" hidden="false" customHeight="true" outlineLevel="0" collapsed="false">
      <c r="A264" s="66" t="n">
        <v>188</v>
      </c>
      <c r="B264" s="67" t="s">
        <v>94</v>
      </c>
      <c r="C264" s="66" t="s">
        <v>101</v>
      </c>
      <c r="D264" s="66" t="n">
        <v>4</v>
      </c>
      <c r="E264" s="67" t="str">
        <f aca="false">IFERROR(INDEX('Master Data'!$L$2:$L$2436,MATCH($B$3&amp;"|"&amp;D264&amp;"|"&amp;B264&amp;"|"&amp;C264,'Master Data'!$A$2:$A$2436,0)),"")</f>
        <v>Belum terisi</v>
      </c>
      <c r="F264" s="67" t="str">
        <f aca="false">IFERROR(INDEX('Master Data'!$F$2:$F$2436,MATCH($B$3&amp;"|"&amp;D264&amp;"|"&amp;B264&amp;"|"&amp;C264,'Master Data'!$A$2:$A$2436,0))&amp;"","")</f>
        <v>Kids</v>
      </c>
      <c r="G264" s="66" t="n">
        <f aca="false">IFERROR(INDEX('Master Data'!$G$2:$G$2436,MATCH($B$3&amp;"|"&amp;D264&amp;"|"&amp;B264&amp;"|"&amp;C264,'Master Data'!$A$2:$A$2436,0)),"")</f>
        <v>4</v>
      </c>
      <c r="H264" s="67" t="str">
        <f aca="false">IFERROR(INDEX('Master Data'!$K$2:$K$2436,MATCH($B$3&amp;"|"&amp;D264&amp;"|"&amp;B264&amp;"|"&amp;C264,'Master Data'!$A$2:$A$2436,0))&amp;"","")</f>
        <v/>
      </c>
      <c r="I264" s="67" t="s">
        <v>359</v>
      </c>
      <c r="J264" s="67" t="s">
        <v>134</v>
      </c>
      <c r="K264" s="68"/>
      <c r="L264" s="68"/>
      <c r="M264" s="68"/>
      <c r="N264" s="69"/>
      <c r="O264" s="68"/>
    </row>
    <row r="265" customFormat="false" ht="27.75" hidden="false" customHeight="true" outlineLevel="0" collapsed="false">
      <c r="A265" s="66" t="n">
        <v>189</v>
      </c>
      <c r="B265" s="67" t="s">
        <v>94</v>
      </c>
      <c r="C265" s="66" t="s">
        <v>116</v>
      </c>
      <c r="D265" s="66" t="n">
        <v>1</v>
      </c>
      <c r="E265" s="67" t="str">
        <f aca="false">IFERROR(INDEX('Master Data'!$L$2:$L$2436,MATCH($B$3&amp;"|"&amp;D265&amp;"|"&amp;B265&amp;"|"&amp;C265,'Master Data'!$A$2:$A$2436,0)),"")</f>
        <v>Belum terisi</v>
      </c>
      <c r="F265" s="67" t="str">
        <f aca="false">IFERROR(INDEX('Master Data'!$F$2:$F$2436,MATCH($B$3&amp;"|"&amp;D265&amp;"|"&amp;B265&amp;"|"&amp;C265,'Master Data'!$A$2:$A$2436,0))&amp;"","")</f>
        <v>Tiny</v>
      </c>
      <c r="G265" s="66" t="n">
        <f aca="false">IFERROR(INDEX('Master Data'!$G$2:$G$2436,MATCH($B$3&amp;"|"&amp;D265&amp;"|"&amp;B265&amp;"|"&amp;C265,'Master Data'!$A$2:$A$2436,0)),"")</f>
        <v>5</v>
      </c>
      <c r="H265" s="67" t="str">
        <f aca="false">IFERROR(INDEX('Master Data'!$K$2:$K$2436,MATCH($B$3&amp;"|"&amp;D265&amp;"|"&amp;B265&amp;"|"&amp;C265,'Master Data'!$A$2:$A$2436,0))&amp;"","")</f>
        <v/>
      </c>
      <c r="I265" s="67" t="s">
        <v>359</v>
      </c>
      <c r="J265" s="67" t="s">
        <v>134</v>
      </c>
      <c r="K265" s="68"/>
      <c r="L265" s="68"/>
      <c r="M265" s="68"/>
      <c r="N265" s="69"/>
      <c r="O265" s="68"/>
    </row>
    <row r="266" customFormat="false" ht="27.75" hidden="false" customHeight="true" outlineLevel="0" collapsed="false">
      <c r="A266" s="66" t="n">
        <v>190</v>
      </c>
      <c r="B266" s="67" t="s">
        <v>94</v>
      </c>
      <c r="C266" s="66" t="s">
        <v>116</v>
      </c>
      <c r="D266" s="66" t="n">
        <v>2</v>
      </c>
      <c r="E266" s="67" t="str">
        <f aca="false">IFERROR(INDEX('Master Data'!$L$2:$L$2436,MATCH($B$3&amp;"|"&amp;D266&amp;"|"&amp;B266&amp;"|"&amp;C266,'Master Data'!$A$2:$A$2436,0)),"")</f>
        <v>Belum terisi</v>
      </c>
      <c r="F266" s="67" t="str">
        <f aca="false">IFERROR(INDEX('Master Data'!$F$2:$F$2436,MATCH($B$3&amp;"|"&amp;D266&amp;"|"&amp;B266&amp;"|"&amp;C266,'Master Data'!$A$2:$A$2436,0))&amp;"","")</f>
        <v>Little</v>
      </c>
      <c r="G266" s="66" t="n">
        <f aca="false">IFERROR(INDEX('Master Data'!$G$2:$G$2436,MATCH($B$3&amp;"|"&amp;D266&amp;"|"&amp;B266&amp;"|"&amp;C266,'Master Data'!$A$2:$A$2436,0)),"")</f>
        <v>5</v>
      </c>
      <c r="H266" s="67" t="str">
        <f aca="false">IFERROR(INDEX('Master Data'!$K$2:$K$2436,MATCH($B$3&amp;"|"&amp;D266&amp;"|"&amp;B266&amp;"|"&amp;C266,'Master Data'!$A$2:$A$2436,0))&amp;"","")</f>
        <v/>
      </c>
      <c r="I266" s="67" t="s">
        <v>359</v>
      </c>
      <c r="J266" s="67" t="s">
        <v>134</v>
      </c>
      <c r="K266" s="68"/>
      <c r="L266" s="68"/>
      <c r="M266" s="68"/>
      <c r="N266" s="69"/>
      <c r="O266" s="68"/>
    </row>
    <row r="267" customFormat="false" ht="15.75" hidden="false" customHeight="true" outlineLevel="0" collapsed="false">
      <c r="A267" s="66" t="n">
        <v>191</v>
      </c>
      <c r="B267" s="67" t="s">
        <v>94</v>
      </c>
      <c r="C267" s="66" t="s">
        <v>102</v>
      </c>
      <c r="D267" s="66" t="n">
        <v>3</v>
      </c>
      <c r="E267" s="67" t="str">
        <f aca="false">IFERROR(INDEX('Master Data'!$L$2:$L$2436,MATCH($B$3&amp;"|"&amp;D267&amp;"|"&amp;B267&amp;"|"&amp;C267,'Master Data'!$A$2:$A$2436,0)),"")</f>
        <v>Belum terisi</v>
      </c>
      <c r="F267" s="67" t="str">
        <f aca="false">IFERROR(INDEX('Master Data'!$F$2:$F$2436,MATCH($B$3&amp;"|"&amp;D267&amp;"|"&amp;B267&amp;"|"&amp;C267,'Master Data'!$A$2:$A$2436,0))&amp;"","")</f>
        <v>Kids</v>
      </c>
      <c r="G267" s="66" t="n">
        <f aca="false">IFERROR(INDEX('Master Data'!$G$2:$G$2436,MATCH($B$3&amp;"|"&amp;D267&amp;"|"&amp;B267&amp;"|"&amp;C267,'Master Data'!$A$2:$A$2436,0)),"")</f>
        <v>4</v>
      </c>
      <c r="H267" s="67" t="str">
        <f aca="false">IFERROR(INDEX('Master Data'!$K$2:$K$2436,MATCH($B$3&amp;"|"&amp;D267&amp;"|"&amp;B267&amp;"|"&amp;C267,'Master Data'!$A$2:$A$2436,0))&amp;"","")</f>
        <v/>
      </c>
      <c r="I267" s="67" t="s">
        <v>360</v>
      </c>
      <c r="J267" s="67" t="s">
        <v>144</v>
      </c>
      <c r="K267" s="68"/>
      <c r="L267" s="68"/>
      <c r="M267" s="68"/>
      <c r="N267" s="69"/>
      <c r="O267" s="68"/>
    </row>
    <row r="268" customFormat="false" ht="15.75" hidden="false" customHeight="true" outlineLevel="0" collapsed="false">
      <c r="A268" s="66" t="n">
        <v>192</v>
      </c>
      <c r="B268" s="67" t="s">
        <v>94</v>
      </c>
      <c r="C268" s="66" t="s">
        <v>102</v>
      </c>
      <c r="D268" s="66" t="n">
        <v>4</v>
      </c>
      <c r="E268" s="67" t="str">
        <f aca="false">IFERROR(INDEX('Master Data'!$L$2:$L$2436,MATCH($B$3&amp;"|"&amp;D268&amp;"|"&amp;B268&amp;"|"&amp;C268,'Master Data'!$A$2:$A$2436,0)),"")</f>
        <v>Belum terisi</v>
      </c>
      <c r="F268" s="67" t="str">
        <f aca="false">IFERROR(INDEX('Master Data'!$F$2:$F$2436,MATCH($B$3&amp;"|"&amp;D268&amp;"|"&amp;B268&amp;"|"&amp;C268,'Master Data'!$A$2:$A$2436,0))&amp;"","")</f>
        <v>Kids</v>
      </c>
      <c r="G268" s="66" t="n">
        <f aca="false">IFERROR(INDEX('Master Data'!$G$2:$G$2436,MATCH($B$3&amp;"|"&amp;D268&amp;"|"&amp;B268&amp;"|"&amp;C268,'Master Data'!$A$2:$A$2436,0)),"")</f>
        <v>4</v>
      </c>
      <c r="H268" s="67" t="str">
        <f aca="false">IFERROR(INDEX('Master Data'!$K$2:$K$2436,MATCH($B$3&amp;"|"&amp;D268&amp;"|"&amp;B268&amp;"|"&amp;C268,'Master Data'!$A$2:$A$2436,0))&amp;"","")</f>
        <v/>
      </c>
      <c r="I268" s="67" t="s">
        <v>360</v>
      </c>
      <c r="J268" s="67" t="s">
        <v>144</v>
      </c>
      <c r="K268" s="68"/>
      <c r="L268" s="68"/>
      <c r="M268" s="68"/>
      <c r="N268" s="69"/>
      <c r="O268" s="68"/>
    </row>
    <row r="269" customFormat="false" ht="15.75" hidden="false" customHeight="true" outlineLevel="0" collapsed="false">
      <c r="A269" s="66" t="n">
        <v>193</v>
      </c>
      <c r="B269" s="67" t="s">
        <v>94</v>
      </c>
      <c r="C269" s="66" t="s">
        <v>117</v>
      </c>
      <c r="D269" s="66" t="n">
        <v>2</v>
      </c>
      <c r="E269" s="67" t="str">
        <f aca="false">IFERROR(INDEX('Master Data'!$L$2:$L$2436,MATCH($B$3&amp;"|"&amp;D269&amp;"|"&amp;B269&amp;"|"&amp;C269,'Master Data'!$A$2:$A$2436,0)),"")</f>
        <v>Belum terisi</v>
      </c>
      <c r="F269" s="67" t="str">
        <f aca="false">IFERROR(INDEX('Master Data'!$F$2:$F$2436,MATCH($B$3&amp;"|"&amp;D269&amp;"|"&amp;B269&amp;"|"&amp;C269,'Master Data'!$A$2:$A$2436,0))&amp;"","")</f>
        <v>Little</v>
      </c>
      <c r="G269" s="66" t="n">
        <f aca="false">IFERROR(INDEX('Master Data'!$G$2:$G$2436,MATCH($B$3&amp;"|"&amp;D269&amp;"|"&amp;B269&amp;"|"&amp;C269,'Master Data'!$A$2:$A$2436,0)),"")</f>
        <v>5</v>
      </c>
      <c r="H269" s="67" t="str">
        <f aca="false">IFERROR(INDEX('Master Data'!$K$2:$K$2436,MATCH($B$3&amp;"|"&amp;D269&amp;"|"&amp;B269&amp;"|"&amp;C269,'Master Data'!$A$2:$A$2436,0))&amp;"","")</f>
        <v/>
      </c>
      <c r="I269" s="67" t="s">
        <v>360</v>
      </c>
      <c r="J269" s="67" t="s">
        <v>144</v>
      </c>
      <c r="K269" s="68"/>
      <c r="L269" s="68"/>
      <c r="M269" s="68"/>
      <c r="N269" s="69"/>
      <c r="O269" s="68"/>
    </row>
    <row r="270" customFormat="false" ht="15.75" hidden="false" customHeight="true" outlineLevel="0" collapsed="false">
      <c r="A270" s="66" t="n">
        <v>194</v>
      </c>
      <c r="B270" s="67" t="s">
        <v>94</v>
      </c>
      <c r="C270" s="66" t="s">
        <v>103</v>
      </c>
      <c r="D270" s="66" t="n">
        <v>3</v>
      </c>
      <c r="E270" s="67" t="str">
        <f aca="false">IFERROR(INDEX('Master Data'!$L$2:$L$2436,MATCH($B$3&amp;"|"&amp;D270&amp;"|"&amp;B270&amp;"|"&amp;C270,'Master Data'!$A$2:$A$2436,0)),"")</f>
        <v>Belum terisi</v>
      </c>
      <c r="F270" s="67" t="str">
        <f aca="false">IFERROR(INDEX('Master Data'!$F$2:$F$2436,MATCH($B$3&amp;"|"&amp;D270&amp;"|"&amp;B270&amp;"|"&amp;C270,'Master Data'!$A$2:$A$2436,0))&amp;"","")</f>
        <v>Kids</v>
      </c>
      <c r="G270" s="66" t="n">
        <f aca="false">IFERROR(INDEX('Master Data'!$G$2:$G$2436,MATCH($B$3&amp;"|"&amp;D270&amp;"|"&amp;B270&amp;"|"&amp;C270,'Master Data'!$A$2:$A$2436,0)),"")</f>
        <v>4</v>
      </c>
      <c r="H270" s="67" t="str">
        <f aca="false">IFERROR(INDEX('Master Data'!$K$2:$K$2436,MATCH($B$3&amp;"|"&amp;D270&amp;"|"&amp;B270&amp;"|"&amp;C270,'Master Data'!$A$2:$A$2436,0))&amp;"","")</f>
        <v/>
      </c>
      <c r="I270" s="67" t="s">
        <v>343</v>
      </c>
      <c r="J270" s="67" t="s">
        <v>203</v>
      </c>
      <c r="K270" s="68"/>
      <c r="L270" s="68"/>
      <c r="M270" s="68"/>
      <c r="N270" s="69"/>
      <c r="O270" s="68"/>
    </row>
    <row r="271" customFormat="false" ht="15.75" hidden="false" customHeight="true" outlineLevel="0" collapsed="false">
      <c r="A271" s="66" t="n">
        <v>195</v>
      </c>
      <c r="B271" s="67" t="s">
        <v>94</v>
      </c>
      <c r="C271" s="66" t="s">
        <v>103</v>
      </c>
      <c r="D271" s="66" t="n">
        <v>4</v>
      </c>
      <c r="E271" s="67" t="str">
        <f aca="false">IFERROR(INDEX('Master Data'!$L$2:$L$2436,MATCH($B$3&amp;"|"&amp;D271&amp;"|"&amp;B271&amp;"|"&amp;C271,'Master Data'!$A$2:$A$2436,0)),"")</f>
        <v>Belum terisi</v>
      </c>
      <c r="F271" s="67" t="str">
        <f aca="false">IFERROR(INDEX('Master Data'!$F$2:$F$2436,MATCH($B$3&amp;"|"&amp;D271&amp;"|"&amp;B271&amp;"|"&amp;C271,'Master Data'!$A$2:$A$2436,0))&amp;"","")</f>
        <v>Kids</v>
      </c>
      <c r="G271" s="66" t="n">
        <f aca="false">IFERROR(INDEX('Master Data'!$G$2:$G$2436,MATCH($B$3&amp;"|"&amp;D271&amp;"|"&amp;B271&amp;"|"&amp;C271,'Master Data'!$A$2:$A$2436,0)),"")</f>
        <v>4</v>
      </c>
      <c r="H271" s="67" t="str">
        <f aca="false">IFERROR(INDEX('Master Data'!$K$2:$K$2436,MATCH($B$3&amp;"|"&amp;D271&amp;"|"&amp;B271&amp;"|"&amp;C271,'Master Data'!$A$2:$A$2436,0))&amp;"","")</f>
        <v/>
      </c>
      <c r="I271" s="67" t="s">
        <v>343</v>
      </c>
      <c r="J271" s="67" t="s">
        <v>203</v>
      </c>
      <c r="K271" s="68"/>
      <c r="L271" s="68"/>
      <c r="M271" s="68"/>
      <c r="N271" s="69"/>
      <c r="O271" s="68"/>
    </row>
    <row r="272" customFormat="false" ht="15.75" hidden="false" customHeight="true" outlineLevel="0" collapsed="false">
      <c r="A272" s="66" t="n">
        <v>196</v>
      </c>
      <c r="B272" s="67" t="s">
        <v>94</v>
      </c>
      <c r="C272" s="66" t="s">
        <v>104</v>
      </c>
      <c r="D272" s="66" t="n">
        <v>3</v>
      </c>
      <c r="E272" s="67" t="str">
        <f aca="false">IFERROR(INDEX('Master Data'!$L$2:$L$2436,MATCH($B$3&amp;"|"&amp;D272&amp;"|"&amp;B272&amp;"|"&amp;C272,'Master Data'!$A$2:$A$2436,0)),"")</f>
        <v>Belum terisi</v>
      </c>
      <c r="F272" s="67" t="str">
        <f aca="false">IFERROR(INDEX('Master Data'!$F$2:$F$2436,MATCH($B$3&amp;"|"&amp;D272&amp;"|"&amp;B272&amp;"|"&amp;C272,'Master Data'!$A$2:$A$2436,0))&amp;"","")</f>
        <v>Kids</v>
      </c>
      <c r="G272" s="66" t="n">
        <f aca="false">IFERROR(INDEX('Master Data'!$G$2:$G$2436,MATCH($B$3&amp;"|"&amp;D272&amp;"|"&amp;B272&amp;"|"&amp;C272,'Master Data'!$A$2:$A$2436,0)),"")</f>
        <v>4</v>
      </c>
      <c r="H272" s="67" t="str">
        <f aca="false">IFERROR(INDEX('Master Data'!$K$2:$K$2436,MATCH($B$3&amp;"|"&amp;D272&amp;"|"&amp;B272&amp;"|"&amp;C272,'Master Data'!$A$2:$A$2436,0))&amp;"","")</f>
        <v/>
      </c>
      <c r="I272" s="67" t="s">
        <v>343</v>
      </c>
      <c r="J272" s="67" t="s">
        <v>203</v>
      </c>
      <c r="K272" s="68"/>
      <c r="L272" s="68"/>
      <c r="M272" s="68"/>
      <c r="N272" s="69"/>
      <c r="O272" s="68"/>
    </row>
    <row r="273" customFormat="false" ht="15.75" hidden="false" customHeight="true" outlineLevel="0" collapsed="false">
      <c r="A273" s="66" t="n">
        <v>197</v>
      </c>
      <c r="B273" s="67" t="s">
        <v>94</v>
      </c>
      <c r="C273" s="66" t="s">
        <v>104</v>
      </c>
      <c r="D273" s="66" t="n">
        <v>4</v>
      </c>
      <c r="E273" s="67" t="str">
        <f aca="false">IFERROR(INDEX('Master Data'!$L$2:$L$2436,MATCH($B$3&amp;"|"&amp;D273&amp;"|"&amp;B273&amp;"|"&amp;C273,'Master Data'!$A$2:$A$2436,0)),"")</f>
        <v>Belum terisi</v>
      </c>
      <c r="F273" s="67" t="str">
        <f aca="false">IFERROR(INDEX('Master Data'!$F$2:$F$2436,MATCH($B$3&amp;"|"&amp;D273&amp;"|"&amp;B273&amp;"|"&amp;C273,'Master Data'!$A$2:$A$2436,0))&amp;"","")</f>
        <v>Kids</v>
      </c>
      <c r="G273" s="66" t="n">
        <f aca="false">IFERROR(INDEX('Master Data'!$G$2:$G$2436,MATCH($B$3&amp;"|"&amp;D273&amp;"|"&amp;B273&amp;"|"&amp;C273,'Master Data'!$A$2:$A$2436,0)),"")</f>
        <v>4</v>
      </c>
      <c r="H273" s="67" t="str">
        <f aca="false">IFERROR(INDEX('Master Data'!$K$2:$K$2436,MATCH($B$3&amp;"|"&amp;D273&amp;"|"&amp;B273&amp;"|"&amp;C273,'Master Data'!$A$2:$A$2436,0))&amp;"","")</f>
        <v/>
      </c>
      <c r="I273" s="67" t="s">
        <v>343</v>
      </c>
      <c r="J273" s="67" t="s">
        <v>203</v>
      </c>
      <c r="K273" s="68"/>
      <c r="L273" s="68"/>
      <c r="M273" s="68"/>
      <c r="N273" s="69"/>
      <c r="O273" s="68"/>
    </row>
    <row r="274" customFormat="false" ht="27.75" hidden="false" customHeight="true" outlineLevel="0" collapsed="false">
      <c r="A274" s="66" t="n">
        <v>198</v>
      </c>
      <c r="B274" s="67" t="s">
        <v>94</v>
      </c>
      <c r="C274" s="66" t="s">
        <v>119</v>
      </c>
      <c r="D274" s="66" t="n">
        <v>1</v>
      </c>
      <c r="E274" s="67" t="str">
        <f aca="false">IFERROR(INDEX('Master Data'!$L$2:$L$2436,MATCH($B$3&amp;"|"&amp;D274&amp;"|"&amp;B274&amp;"|"&amp;C274,'Master Data'!$A$2:$A$2436,0)),"")</f>
        <v>Belum terisi</v>
      </c>
      <c r="F274" s="67" t="str">
        <f aca="false">IFERROR(INDEX('Master Data'!$F$2:$F$2436,MATCH($B$3&amp;"|"&amp;D274&amp;"|"&amp;B274&amp;"|"&amp;C274,'Master Data'!$A$2:$A$2436,0))&amp;"","")</f>
        <v>Baby</v>
      </c>
      <c r="G274" s="66" t="n">
        <f aca="false">IFERROR(INDEX('Master Data'!$G$2:$G$2436,MATCH($B$3&amp;"|"&amp;D274&amp;"|"&amp;B274&amp;"|"&amp;C274,'Master Data'!$A$2:$A$2436,0)),"")</f>
        <v>5</v>
      </c>
      <c r="H274" s="67" t="str">
        <f aca="false">IFERROR(INDEX('Master Data'!$K$2:$K$2436,MATCH($B$3&amp;"|"&amp;D274&amp;"|"&amp;B274&amp;"|"&amp;C274,'Master Data'!$A$2:$A$2436,0))&amp;"","")</f>
        <v/>
      </c>
      <c r="I274" s="67" t="s">
        <v>359</v>
      </c>
      <c r="J274" s="67" t="s">
        <v>134</v>
      </c>
      <c r="K274" s="68"/>
      <c r="L274" s="68"/>
      <c r="M274" s="68"/>
      <c r="N274" s="69"/>
      <c r="O274" s="68"/>
    </row>
    <row r="275" customFormat="false" ht="27.75" hidden="false" customHeight="true" outlineLevel="0" collapsed="false">
      <c r="A275" s="66" t="n">
        <v>199</v>
      </c>
      <c r="B275" s="67" t="s">
        <v>94</v>
      </c>
      <c r="C275" s="66" t="s">
        <v>119</v>
      </c>
      <c r="D275" s="66" t="n">
        <v>2</v>
      </c>
      <c r="E275" s="67" t="str">
        <f aca="false">IFERROR(INDEX('Master Data'!$L$2:$L$2436,MATCH($B$3&amp;"|"&amp;D275&amp;"|"&amp;B275&amp;"|"&amp;C275,'Master Data'!$A$2:$A$2436,0)),"")</f>
        <v>Belum terisi</v>
      </c>
      <c r="F275" s="67" t="str">
        <f aca="false">IFERROR(INDEX('Master Data'!$F$2:$F$2436,MATCH($B$3&amp;"|"&amp;D275&amp;"|"&amp;B275&amp;"|"&amp;C275,'Master Data'!$A$2:$A$2436,0))&amp;"","")</f>
        <v>Little</v>
      </c>
      <c r="G275" s="66" t="n">
        <f aca="false">IFERROR(INDEX('Master Data'!$G$2:$G$2436,MATCH($B$3&amp;"|"&amp;D275&amp;"|"&amp;B275&amp;"|"&amp;C275,'Master Data'!$A$2:$A$2436,0)),"")</f>
        <v>5</v>
      </c>
      <c r="H275" s="67" t="str">
        <f aca="false">IFERROR(INDEX('Master Data'!$K$2:$K$2436,MATCH($B$3&amp;"|"&amp;D275&amp;"|"&amp;B275&amp;"|"&amp;C275,'Master Data'!$A$2:$A$2436,0))&amp;"","")</f>
        <v/>
      </c>
      <c r="I275" s="67" t="s">
        <v>359</v>
      </c>
      <c r="J275" s="67" t="s">
        <v>134</v>
      </c>
      <c r="K275" s="68"/>
      <c r="L275" s="68"/>
      <c r="M275" s="68"/>
      <c r="N275" s="69"/>
      <c r="O275" s="68"/>
    </row>
    <row r="276" customFormat="false" ht="27.75" hidden="false" customHeight="true" outlineLevel="0" collapsed="false">
      <c r="A276" s="66" t="n">
        <v>200</v>
      </c>
      <c r="B276" s="67" t="s">
        <v>94</v>
      </c>
      <c r="C276" s="66" t="s">
        <v>105</v>
      </c>
      <c r="D276" s="66" t="n">
        <v>3</v>
      </c>
      <c r="E276" s="67" t="str">
        <f aca="false">IFERROR(INDEX('Master Data'!$L$2:$L$2436,MATCH($B$3&amp;"|"&amp;D276&amp;"|"&amp;B276&amp;"|"&amp;C276,'Master Data'!$A$2:$A$2436,0)),"")</f>
        <v>Belum terisi</v>
      </c>
      <c r="F276" s="67" t="str">
        <f aca="false">IFERROR(INDEX('Master Data'!$F$2:$F$2436,MATCH($B$3&amp;"|"&amp;D276&amp;"|"&amp;B276&amp;"|"&amp;C276,'Master Data'!$A$2:$A$2436,0))&amp;"","")</f>
        <v>Kids</v>
      </c>
      <c r="G276" s="66" t="n">
        <f aca="false">IFERROR(INDEX('Master Data'!$G$2:$G$2436,MATCH($B$3&amp;"|"&amp;D276&amp;"|"&amp;B276&amp;"|"&amp;C276,'Master Data'!$A$2:$A$2436,0)),"")</f>
        <v>4</v>
      </c>
      <c r="H276" s="67" t="str">
        <f aca="false">IFERROR(INDEX('Master Data'!$K$2:$K$2436,MATCH($B$3&amp;"|"&amp;D276&amp;"|"&amp;B276&amp;"|"&amp;C276,'Master Data'!$A$2:$A$2436,0))&amp;"","")</f>
        <v/>
      </c>
      <c r="I276" s="67" t="s">
        <v>354</v>
      </c>
      <c r="J276" s="67" t="s">
        <v>134</v>
      </c>
      <c r="K276" s="68"/>
      <c r="L276" s="68"/>
      <c r="M276" s="68"/>
      <c r="N276" s="69"/>
      <c r="O276" s="68"/>
    </row>
    <row r="277" customFormat="false" ht="27.75" hidden="false" customHeight="true" outlineLevel="0" collapsed="false">
      <c r="A277" s="66" t="n">
        <v>201</v>
      </c>
      <c r="B277" s="67" t="s">
        <v>94</v>
      </c>
      <c r="C277" s="66" t="s">
        <v>105</v>
      </c>
      <c r="D277" s="66" t="n">
        <v>4</v>
      </c>
      <c r="E277" s="67" t="str">
        <f aca="false">IFERROR(INDEX('Master Data'!$L$2:$L$2436,MATCH($B$3&amp;"|"&amp;D277&amp;"|"&amp;B277&amp;"|"&amp;C277,'Master Data'!$A$2:$A$2436,0)),"")</f>
        <v>Belum terisi</v>
      </c>
      <c r="F277" s="67" t="str">
        <f aca="false">IFERROR(INDEX('Master Data'!$F$2:$F$2436,MATCH($B$3&amp;"|"&amp;D277&amp;"|"&amp;B277&amp;"|"&amp;C277,'Master Data'!$A$2:$A$2436,0))&amp;"","")</f>
        <v>Kids</v>
      </c>
      <c r="G277" s="66" t="n">
        <f aca="false">IFERROR(INDEX('Master Data'!$G$2:$G$2436,MATCH($B$3&amp;"|"&amp;D277&amp;"|"&amp;B277&amp;"|"&amp;C277,'Master Data'!$A$2:$A$2436,0)),"")</f>
        <v>4</v>
      </c>
      <c r="H277" s="67" t="str">
        <f aca="false">IFERROR(INDEX('Master Data'!$K$2:$K$2436,MATCH($B$3&amp;"|"&amp;D277&amp;"|"&amp;B277&amp;"|"&amp;C277,'Master Data'!$A$2:$A$2436,0))&amp;"","")</f>
        <v/>
      </c>
      <c r="I277" s="67" t="s">
        <v>354</v>
      </c>
      <c r="J277" s="67" t="s">
        <v>134</v>
      </c>
      <c r="K277" s="68"/>
      <c r="L277" s="68"/>
      <c r="M277" s="68"/>
      <c r="N277" s="69"/>
      <c r="O277" s="68"/>
    </row>
    <row r="278" customFormat="false" ht="15.75" hidden="false" customHeight="true" outlineLevel="0" collapsed="false">
      <c r="A278" s="66" t="n">
        <v>202</v>
      </c>
      <c r="B278" s="67" t="s">
        <v>94</v>
      </c>
      <c r="C278" s="66" t="s">
        <v>120</v>
      </c>
      <c r="D278" s="66" t="n">
        <v>1</v>
      </c>
      <c r="E278" s="67" t="str">
        <f aca="false">IFERROR(INDEX('Master Data'!$L$2:$L$2436,MATCH($B$3&amp;"|"&amp;D278&amp;"|"&amp;B278&amp;"|"&amp;C278,'Master Data'!$A$2:$A$2436,0)),"")</f>
        <v>Belum terisi</v>
      </c>
      <c r="F278" s="67" t="str">
        <f aca="false">IFERROR(INDEX('Master Data'!$F$2:$F$2436,MATCH($B$3&amp;"|"&amp;D278&amp;"|"&amp;B278&amp;"|"&amp;C278,'Master Data'!$A$2:$A$2436,0))&amp;"","")</f>
        <v>Tiny</v>
      </c>
      <c r="G278" s="66" t="n">
        <f aca="false">IFERROR(INDEX('Master Data'!$G$2:$G$2436,MATCH($B$3&amp;"|"&amp;D278&amp;"|"&amp;B278&amp;"|"&amp;C278,'Master Data'!$A$2:$A$2436,0)),"")</f>
        <v>5</v>
      </c>
      <c r="H278" s="67" t="str">
        <f aca="false">IFERROR(INDEX('Master Data'!$K$2:$K$2436,MATCH($B$3&amp;"|"&amp;D278&amp;"|"&amp;B278&amp;"|"&amp;C278,'Master Data'!$A$2:$A$2436,0))&amp;"","")</f>
        <v/>
      </c>
      <c r="I278" s="67" t="s">
        <v>356</v>
      </c>
      <c r="J278" s="67" t="s">
        <v>357</v>
      </c>
      <c r="K278" s="68"/>
      <c r="L278" s="68"/>
      <c r="M278" s="68"/>
      <c r="N278" s="69"/>
      <c r="O278" s="68"/>
    </row>
    <row r="279" customFormat="false" ht="15.75" hidden="false" customHeight="true" outlineLevel="0" collapsed="false">
      <c r="A279" s="66" t="n">
        <v>203</v>
      </c>
      <c r="B279" s="67" t="s">
        <v>94</v>
      </c>
      <c r="C279" s="66" t="s">
        <v>106</v>
      </c>
      <c r="D279" s="66" t="n">
        <v>4</v>
      </c>
      <c r="E279" s="67" t="str">
        <f aca="false">IFERROR(INDEX('Master Data'!$L$2:$L$2436,MATCH($B$3&amp;"|"&amp;D279&amp;"|"&amp;B279&amp;"|"&amp;C279,'Master Data'!$A$2:$A$2436,0)),"")</f>
        <v>Belum terisi</v>
      </c>
      <c r="F279" s="67" t="str">
        <f aca="false">IFERROR(INDEX('Master Data'!$F$2:$F$2436,MATCH($B$3&amp;"|"&amp;D279&amp;"|"&amp;B279&amp;"|"&amp;C279,'Master Data'!$A$2:$A$2436,0))&amp;"","")</f>
        <v>Kids</v>
      </c>
      <c r="G279" s="66" t="n">
        <f aca="false">IFERROR(INDEX('Master Data'!$G$2:$G$2436,MATCH($B$3&amp;"|"&amp;D279&amp;"|"&amp;B279&amp;"|"&amp;C279,'Master Data'!$A$2:$A$2436,0)),"")</f>
        <v>4</v>
      </c>
      <c r="H279" s="67" t="str">
        <f aca="false">IFERROR(INDEX('Master Data'!$K$2:$K$2436,MATCH($B$3&amp;"|"&amp;D279&amp;"|"&amp;B279&amp;"|"&amp;C279,'Master Data'!$A$2:$A$2436,0))&amp;"","")</f>
        <v/>
      </c>
      <c r="I279" s="70" t="s">
        <v>154</v>
      </c>
      <c r="J279" s="67" t="s">
        <v>210</v>
      </c>
      <c r="K279" s="68"/>
      <c r="L279" s="68"/>
      <c r="M279" s="68"/>
      <c r="N279" s="69"/>
      <c r="O279" s="68"/>
    </row>
    <row r="280" customFormat="false" ht="15.75" hidden="false" customHeight="true" outlineLevel="0" collapsed="false">
      <c r="A280" s="66" t="n">
        <v>204</v>
      </c>
      <c r="B280" s="67" t="s">
        <v>94</v>
      </c>
      <c r="C280" s="66" t="s">
        <v>121</v>
      </c>
      <c r="D280" s="66" t="n">
        <v>1</v>
      </c>
      <c r="E280" s="67" t="str">
        <f aca="false">IFERROR(INDEX('Master Data'!$L$2:$L$2436,MATCH($B$3&amp;"|"&amp;D280&amp;"|"&amp;B280&amp;"|"&amp;C280,'Master Data'!$A$2:$A$2436,0)),"")</f>
        <v>Belum terisi</v>
      </c>
      <c r="F280" s="67" t="str">
        <f aca="false">IFERROR(INDEX('Master Data'!$F$2:$F$2436,MATCH($B$3&amp;"|"&amp;D280&amp;"|"&amp;B280&amp;"|"&amp;C280,'Master Data'!$A$2:$A$2436,0))&amp;"","")</f>
        <v>Baby</v>
      </c>
      <c r="G280" s="66" t="n">
        <f aca="false">IFERROR(INDEX('Master Data'!$G$2:$G$2436,MATCH($B$3&amp;"|"&amp;D280&amp;"|"&amp;B280&amp;"|"&amp;C280,'Master Data'!$A$2:$A$2436,0)),"")</f>
        <v>5</v>
      </c>
      <c r="H280" s="67" t="str">
        <f aca="false">IFERROR(INDEX('Master Data'!$K$2:$K$2436,MATCH($B$3&amp;"|"&amp;D280&amp;"|"&amp;B280&amp;"|"&amp;C280,'Master Data'!$A$2:$A$2436,0))&amp;"","")</f>
        <v/>
      </c>
      <c r="I280" s="70" t="s">
        <v>154</v>
      </c>
      <c r="J280" s="67" t="s">
        <v>242</v>
      </c>
      <c r="K280" s="68"/>
      <c r="L280" s="68"/>
      <c r="M280" s="68"/>
      <c r="N280" s="69"/>
      <c r="O280" s="68"/>
    </row>
    <row r="281" customFormat="false" ht="15.75" hidden="false" customHeight="true" outlineLevel="0" collapsed="false">
      <c r="A281" s="66" t="n">
        <v>205</v>
      </c>
      <c r="B281" s="67" t="s">
        <v>94</v>
      </c>
      <c r="C281" s="66" t="s">
        <v>107</v>
      </c>
      <c r="D281" s="66" t="n">
        <v>4</v>
      </c>
      <c r="E281" s="67" t="str">
        <f aca="false">IFERROR(INDEX('Master Data'!$L$2:$L$2436,MATCH($B$3&amp;"|"&amp;D281&amp;"|"&amp;B281&amp;"|"&amp;C281,'Master Data'!$A$2:$A$2436,0)),"")</f>
        <v>Belum terisi</v>
      </c>
      <c r="F281" s="67" t="str">
        <f aca="false">IFERROR(INDEX('Master Data'!$F$2:$F$2436,MATCH($B$3&amp;"|"&amp;D281&amp;"|"&amp;B281&amp;"|"&amp;C281,'Master Data'!$A$2:$A$2436,0))&amp;"","")</f>
        <v>Kids</v>
      </c>
      <c r="G281" s="66" t="n">
        <f aca="false">IFERROR(INDEX('Master Data'!$G$2:$G$2436,MATCH($B$3&amp;"|"&amp;D281&amp;"|"&amp;B281&amp;"|"&amp;C281,'Master Data'!$A$2:$A$2436,0)),"")</f>
        <v>4</v>
      </c>
      <c r="H281" s="67" t="str">
        <f aca="false">IFERROR(INDEX('Master Data'!$K$2:$K$2436,MATCH($B$3&amp;"|"&amp;D281&amp;"|"&amp;B281&amp;"|"&amp;C281,'Master Data'!$A$2:$A$2436,0))&amp;"","")</f>
        <v/>
      </c>
      <c r="I281" s="67" t="s">
        <v>355</v>
      </c>
      <c r="J281" s="67" t="s">
        <v>134</v>
      </c>
      <c r="K281" s="68"/>
      <c r="L281" s="68"/>
      <c r="M281" s="68"/>
      <c r="N281" s="69"/>
      <c r="O281" s="68"/>
    </row>
    <row r="282" customFormat="false" ht="40.5" hidden="false" customHeight="true" outlineLevel="0" collapsed="false">
      <c r="A282" s="66" t="n">
        <v>206</v>
      </c>
      <c r="B282" s="67" t="s">
        <v>95</v>
      </c>
      <c r="C282" s="66" t="s">
        <v>110</v>
      </c>
      <c r="D282" s="66" t="n">
        <v>1</v>
      </c>
      <c r="E282" s="67" t="str">
        <f aca="false">IFERROR(INDEX('Master Data'!$L$2:$L$2436,MATCH($B$3&amp;"|"&amp;D282&amp;"|"&amp;B282&amp;"|"&amp;C282,'Master Data'!$A$2:$A$2436,0)),"")</f>
        <v>Belum terisi</v>
      </c>
      <c r="F282" s="67" t="str">
        <f aca="false">IFERROR(INDEX('Master Data'!$F$2:$F$2436,MATCH($B$3&amp;"|"&amp;D282&amp;"|"&amp;B282&amp;"|"&amp;C282,'Master Data'!$A$2:$A$2436,0))&amp;"","")</f>
        <v>Tiny</v>
      </c>
      <c r="G282" s="66" t="n">
        <f aca="false">IFERROR(INDEX('Master Data'!$G$2:$G$2436,MATCH($B$3&amp;"|"&amp;D282&amp;"|"&amp;B282&amp;"|"&amp;C282,'Master Data'!$A$2:$A$2436,0)),"")</f>
        <v>5</v>
      </c>
      <c r="H282" s="67" t="str">
        <f aca="false">IFERROR(INDEX('Master Data'!$K$2:$K$2436,MATCH($B$3&amp;"|"&amp;D282&amp;"|"&amp;B282&amp;"|"&amp;C282,'Master Data'!$A$2:$A$2436,0))&amp;"","")</f>
        <v/>
      </c>
      <c r="I282" s="67" t="s">
        <v>361</v>
      </c>
      <c r="J282" s="67" t="s">
        <v>134</v>
      </c>
      <c r="K282" s="68"/>
      <c r="L282" s="68"/>
      <c r="M282" s="68"/>
      <c r="N282" s="69"/>
      <c r="O282" s="68"/>
    </row>
    <row r="283" customFormat="false" ht="40.5" hidden="false" customHeight="true" outlineLevel="0" collapsed="false">
      <c r="A283" s="66" t="n">
        <v>207</v>
      </c>
      <c r="B283" s="67" t="s">
        <v>95</v>
      </c>
      <c r="C283" s="66" t="s">
        <v>110</v>
      </c>
      <c r="D283" s="66" t="n">
        <v>2</v>
      </c>
      <c r="E283" s="67" t="str">
        <f aca="false">IFERROR(INDEX('Master Data'!$L$2:$L$2436,MATCH($B$3&amp;"|"&amp;D283&amp;"|"&amp;B283&amp;"|"&amp;C283,'Master Data'!$A$2:$A$2436,0)),"")</f>
        <v>Belum terisi</v>
      </c>
      <c r="F283" s="67" t="str">
        <f aca="false">IFERROR(INDEX('Master Data'!$F$2:$F$2436,MATCH($B$3&amp;"|"&amp;D283&amp;"|"&amp;B283&amp;"|"&amp;C283,'Master Data'!$A$2:$A$2436,0))&amp;"","")</f>
        <v>Little</v>
      </c>
      <c r="G283" s="66" t="n">
        <f aca="false">IFERROR(INDEX('Master Data'!$G$2:$G$2436,MATCH($B$3&amp;"|"&amp;D283&amp;"|"&amp;B283&amp;"|"&amp;C283,'Master Data'!$A$2:$A$2436,0)),"")</f>
        <v>5</v>
      </c>
      <c r="H283" s="67" t="str">
        <f aca="false">IFERROR(INDEX('Master Data'!$K$2:$K$2436,MATCH($B$3&amp;"|"&amp;D283&amp;"|"&amp;B283&amp;"|"&amp;C283,'Master Data'!$A$2:$A$2436,0))&amp;"","")</f>
        <v/>
      </c>
      <c r="I283" s="67" t="s">
        <v>361</v>
      </c>
      <c r="J283" s="67" t="s">
        <v>134</v>
      </c>
      <c r="K283" s="68"/>
      <c r="L283" s="68"/>
      <c r="M283" s="68"/>
      <c r="N283" s="69"/>
      <c r="O283" s="68"/>
    </row>
    <row r="284" customFormat="false" ht="40.5" hidden="false" customHeight="true" outlineLevel="0" collapsed="false">
      <c r="A284" s="66" t="n">
        <v>208</v>
      </c>
      <c r="B284" s="67" t="s">
        <v>95</v>
      </c>
      <c r="C284" s="66" t="s">
        <v>96</v>
      </c>
      <c r="D284" s="66" t="n">
        <v>3</v>
      </c>
      <c r="E284" s="67" t="str">
        <f aca="false">IFERROR(INDEX('Master Data'!$L$2:$L$2436,MATCH($B$3&amp;"|"&amp;D284&amp;"|"&amp;B284&amp;"|"&amp;C284,'Master Data'!$A$2:$A$2436,0)),"")</f>
        <v>Belum terisi</v>
      </c>
      <c r="F284" s="67" t="str">
        <f aca="false">IFERROR(INDEX('Master Data'!$F$2:$F$2436,MATCH($B$3&amp;"|"&amp;D284&amp;"|"&amp;B284&amp;"|"&amp;C284,'Master Data'!$A$2:$A$2436,0))&amp;"","")</f>
        <v>Kids</v>
      </c>
      <c r="G284" s="66" t="n">
        <f aca="false">IFERROR(INDEX('Master Data'!$G$2:$G$2436,MATCH($B$3&amp;"|"&amp;D284&amp;"|"&amp;B284&amp;"|"&amp;C284,'Master Data'!$A$2:$A$2436,0)),"")</f>
        <v>4</v>
      </c>
      <c r="H284" s="67" t="str">
        <f aca="false">IFERROR(INDEX('Master Data'!$K$2:$K$2436,MATCH($B$3&amp;"|"&amp;D284&amp;"|"&amp;B284&amp;"|"&amp;C284,'Master Data'!$A$2:$A$2436,0))&amp;"","")</f>
        <v/>
      </c>
      <c r="I284" s="67" t="s">
        <v>361</v>
      </c>
      <c r="J284" s="67" t="s">
        <v>134</v>
      </c>
      <c r="K284" s="68"/>
      <c r="L284" s="68"/>
      <c r="M284" s="68"/>
      <c r="N284" s="69"/>
      <c r="O284" s="68"/>
    </row>
    <row r="285" customFormat="false" ht="40.5" hidden="false" customHeight="true" outlineLevel="0" collapsed="false">
      <c r="A285" s="66" t="n">
        <v>209</v>
      </c>
      <c r="B285" s="67" t="s">
        <v>95</v>
      </c>
      <c r="C285" s="66" t="s">
        <v>96</v>
      </c>
      <c r="D285" s="66" t="n">
        <v>4</v>
      </c>
      <c r="E285" s="67" t="str">
        <f aca="false">IFERROR(INDEX('Master Data'!$L$2:$L$2436,MATCH($B$3&amp;"|"&amp;D285&amp;"|"&amp;B285&amp;"|"&amp;C285,'Master Data'!$A$2:$A$2436,0)),"")</f>
        <v>Belum terisi</v>
      </c>
      <c r="F285" s="67" t="str">
        <f aca="false">IFERROR(INDEX('Master Data'!$F$2:$F$2436,MATCH($B$3&amp;"|"&amp;D285&amp;"|"&amp;B285&amp;"|"&amp;C285,'Master Data'!$A$2:$A$2436,0))&amp;"","")</f>
        <v>Kids</v>
      </c>
      <c r="G285" s="66" t="n">
        <f aca="false">IFERROR(INDEX('Master Data'!$G$2:$G$2436,MATCH($B$3&amp;"|"&amp;D285&amp;"|"&amp;B285&amp;"|"&amp;C285,'Master Data'!$A$2:$A$2436,0)),"")</f>
        <v>4</v>
      </c>
      <c r="H285" s="67" t="str">
        <f aca="false">IFERROR(INDEX('Master Data'!$K$2:$K$2436,MATCH($B$3&amp;"|"&amp;D285&amp;"|"&amp;B285&amp;"|"&amp;C285,'Master Data'!$A$2:$A$2436,0))&amp;"","")</f>
        <v/>
      </c>
      <c r="I285" s="67" t="s">
        <v>361</v>
      </c>
      <c r="J285" s="67" t="s">
        <v>134</v>
      </c>
      <c r="K285" s="68"/>
      <c r="L285" s="68"/>
      <c r="M285" s="68"/>
      <c r="N285" s="69"/>
      <c r="O285" s="68"/>
    </row>
    <row r="286" customFormat="false" ht="27.75" hidden="false" customHeight="true" outlineLevel="0" collapsed="false">
      <c r="A286" s="66" t="n">
        <v>210</v>
      </c>
      <c r="B286" s="67" t="s">
        <v>95</v>
      </c>
      <c r="C286" s="66" t="s">
        <v>111</v>
      </c>
      <c r="D286" s="66" t="n">
        <v>1</v>
      </c>
      <c r="E286" s="67" t="str">
        <f aca="false">IFERROR(INDEX('Master Data'!$L$2:$L$2436,MATCH($B$3&amp;"|"&amp;D286&amp;"|"&amp;B286&amp;"|"&amp;C286,'Master Data'!$A$2:$A$2436,0)),"")</f>
        <v>Belum terisi</v>
      </c>
      <c r="F286" s="67" t="str">
        <f aca="false">IFERROR(INDEX('Master Data'!$F$2:$F$2436,MATCH($B$3&amp;"|"&amp;D286&amp;"|"&amp;B286&amp;"|"&amp;C286,'Master Data'!$A$2:$A$2436,0))&amp;"","")</f>
        <v>Baby</v>
      </c>
      <c r="G286" s="66" t="n">
        <f aca="false">IFERROR(INDEX('Master Data'!$G$2:$G$2436,MATCH($B$3&amp;"|"&amp;D286&amp;"|"&amp;B286&amp;"|"&amp;C286,'Master Data'!$A$2:$A$2436,0)),"")</f>
        <v>5</v>
      </c>
      <c r="H286" s="67" t="str">
        <f aca="false">IFERROR(INDEX('Master Data'!$K$2:$K$2436,MATCH($B$3&amp;"|"&amp;D286&amp;"|"&amp;B286&amp;"|"&amp;C286,'Master Data'!$A$2:$A$2436,0))&amp;"","")</f>
        <v/>
      </c>
      <c r="I286" s="67" t="s">
        <v>362</v>
      </c>
      <c r="J286" s="67" t="s">
        <v>134</v>
      </c>
      <c r="K286" s="68"/>
      <c r="L286" s="68"/>
      <c r="M286" s="68"/>
      <c r="N286" s="69"/>
      <c r="O286" s="68"/>
    </row>
    <row r="287" customFormat="false" ht="27.75" hidden="false" customHeight="true" outlineLevel="0" collapsed="false">
      <c r="A287" s="66" t="n">
        <v>211</v>
      </c>
      <c r="B287" s="67" t="s">
        <v>95</v>
      </c>
      <c r="C287" s="66" t="s">
        <v>111</v>
      </c>
      <c r="D287" s="66" t="n">
        <v>2</v>
      </c>
      <c r="E287" s="67" t="str">
        <f aca="false">IFERROR(INDEX('Master Data'!$L$2:$L$2436,MATCH($B$3&amp;"|"&amp;D287&amp;"|"&amp;B287&amp;"|"&amp;C287,'Master Data'!$A$2:$A$2436,0)),"")</f>
        <v>Belum terisi</v>
      </c>
      <c r="F287" s="67" t="str">
        <f aca="false">IFERROR(INDEX('Master Data'!$F$2:$F$2436,MATCH($B$3&amp;"|"&amp;D287&amp;"|"&amp;B287&amp;"|"&amp;C287,'Master Data'!$A$2:$A$2436,0))&amp;"","")</f>
        <v>Little</v>
      </c>
      <c r="G287" s="66" t="n">
        <f aca="false">IFERROR(INDEX('Master Data'!$G$2:$G$2436,MATCH($B$3&amp;"|"&amp;D287&amp;"|"&amp;B287&amp;"|"&amp;C287,'Master Data'!$A$2:$A$2436,0)),"")</f>
        <v>5</v>
      </c>
      <c r="H287" s="67" t="str">
        <f aca="false">IFERROR(INDEX('Master Data'!$K$2:$K$2436,MATCH($B$3&amp;"|"&amp;D287&amp;"|"&amp;B287&amp;"|"&amp;C287,'Master Data'!$A$2:$A$2436,0))&amp;"","")</f>
        <v/>
      </c>
      <c r="I287" s="67" t="s">
        <v>362</v>
      </c>
      <c r="J287" s="67" t="s">
        <v>134</v>
      </c>
      <c r="K287" s="68"/>
      <c r="L287" s="68"/>
      <c r="M287" s="68"/>
      <c r="N287" s="69"/>
      <c r="O287" s="68"/>
    </row>
    <row r="288" customFormat="false" ht="15.75" hidden="false" customHeight="true" outlineLevel="0" collapsed="false">
      <c r="A288" s="66" t="n">
        <v>212</v>
      </c>
      <c r="B288" s="67" t="s">
        <v>95</v>
      </c>
      <c r="C288" s="66" t="s">
        <v>97</v>
      </c>
      <c r="D288" s="66" t="n">
        <v>4</v>
      </c>
      <c r="E288" s="67" t="str">
        <f aca="false">IFERROR(INDEX('Master Data'!$L$2:$L$2436,MATCH($B$3&amp;"|"&amp;D288&amp;"|"&amp;B288&amp;"|"&amp;C288,'Master Data'!$A$2:$A$2436,0)),"")</f>
        <v>Belum terisi</v>
      </c>
      <c r="F288" s="67" t="str">
        <f aca="false">IFERROR(INDEX('Master Data'!$F$2:$F$2436,MATCH($B$3&amp;"|"&amp;D288&amp;"|"&amp;B288&amp;"|"&amp;C288,'Master Data'!$A$2:$A$2436,0))&amp;"","")</f>
        <v>Kids</v>
      </c>
      <c r="G288" s="66" t="n">
        <f aca="false">IFERROR(INDEX('Master Data'!$G$2:$G$2436,MATCH($B$3&amp;"|"&amp;D288&amp;"|"&amp;B288&amp;"|"&amp;C288,'Master Data'!$A$2:$A$2436,0)),"")</f>
        <v>4</v>
      </c>
      <c r="H288" s="67" t="str">
        <f aca="false">IFERROR(INDEX('Master Data'!$K$2:$K$2436,MATCH($B$3&amp;"|"&amp;D288&amp;"|"&amp;B288&amp;"|"&amp;C288,'Master Data'!$A$2:$A$2436,0))&amp;"","")</f>
        <v/>
      </c>
      <c r="I288" s="67" t="s">
        <v>363</v>
      </c>
      <c r="J288" s="67" t="s">
        <v>203</v>
      </c>
      <c r="K288" s="68"/>
      <c r="L288" s="68"/>
      <c r="M288" s="68"/>
      <c r="N288" s="69"/>
      <c r="O288" s="68"/>
    </row>
    <row r="289" customFormat="false" ht="15.75" hidden="false" customHeight="true" outlineLevel="0" collapsed="false">
      <c r="A289" s="66" t="n">
        <v>213</v>
      </c>
      <c r="B289" s="67" t="s">
        <v>95</v>
      </c>
      <c r="C289" s="66" t="s">
        <v>112</v>
      </c>
      <c r="D289" s="66" t="n">
        <v>2</v>
      </c>
      <c r="E289" s="67" t="str">
        <f aca="false">IFERROR(INDEX('Master Data'!$L$2:$L$2436,MATCH($B$3&amp;"|"&amp;D289&amp;"|"&amp;B289&amp;"|"&amp;C289,'Master Data'!$A$2:$A$2436,0)),"")</f>
        <v>Belum terisi</v>
      </c>
      <c r="F289" s="67" t="str">
        <f aca="false">IFERROR(INDEX('Master Data'!$F$2:$F$2436,MATCH($B$3&amp;"|"&amp;D289&amp;"|"&amp;B289&amp;"|"&amp;C289,'Master Data'!$A$2:$A$2436,0))&amp;"","")</f>
        <v>Little</v>
      </c>
      <c r="G289" s="66" t="n">
        <f aca="false">IFERROR(INDEX('Master Data'!$G$2:$G$2436,MATCH($B$3&amp;"|"&amp;D289&amp;"|"&amp;B289&amp;"|"&amp;C289,'Master Data'!$A$2:$A$2436,0)),"")</f>
        <v>5</v>
      </c>
      <c r="H289" s="67" t="str">
        <f aca="false">IFERROR(INDEX('Master Data'!$K$2:$K$2436,MATCH($B$3&amp;"|"&amp;D289&amp;"|"&amp;B289&amp;"|"&amp;C289,'Master Data'!$A$2:$A$2436,0))&amp;"","")</f>
        <v/>
      </c>
      <c r="I289" s="67" t="s">
        <v>363</v>
      </c>
      <c r="J289" s="67" t="s">
        <v>203</v>
      </c>
      <c r="K289" s="68"/>
      <c r="L289" s="68"/>
      <c r="M289" s="68"/>
      <c r="N289" s="69"/>
      <c r="O289" s="68"/>
    </row>
    <row r="290" customFormat="false" ht="15.75" hidden="false" customHeight="true" outlineLevel="0" collapsed="false">
      <c r="A290" s="66" t="n">
        <v>214</v>
      </c>
      <c r="B290" s="67" t="s">
        <v>95</v>
      </c>
      <c r="C290" s="66" t="s">
        <v>98</v>
      </c>
      <c r="D290" s="66" t="n">
        <v>3</v>
      </c>
      <c r="E290" s="67" t="str">
        <f aca="false">IFERROR(INDEX('Master Data'!$L$2:$L$2436,MATCH($B$3&amp;"|"&amp;D290&amp;"|"&amp;B290&amp;"|"&amp;C290,'Master Data'!$A$2:$A$2436,0)),"")</f>
        <v>Belum terisi</v>
      </c>
      <c r="F290" s="67" t="str">
        <f aca="false">IFERROR(INDEX('Master Data'!$F$2:$F$2436,MATCH($B$3&amp;"|"&amp;D290&amp;"|"&amp;B290&amp;"|"&amp;C290,'Master Data'!$A$2:$A$2436,0))&amp;"","")</f>
        <v>Kids</v>
      </c>
      <c r="G290" s="66" t="n">
        <f aca="false">IFERROR(INDEX('Master Data'!$G$2:$G$2436,MATCH($B$3&amp;"|"&amp;D290&amp;"|"&amp;B290&amp;"|"&amp;C290,'Master Data'!$A$2:$A$2436,0)),"")</f>
        <v>4</v>
      </c>
      <c r="H290" s="67" t="str">
        <f aca="false">IFERROR(INDEX('Master Data'!$K$2:$K$2436,MATCH($B$3&amp;"|"&amp;D290&amp;"|"&amp;B290&amp;"|"&amp;C290,'Master Data'!$A$2:$A$2436,0))&amp;"","")</f>
        <v/>
      </c>
      <c r="I290" s="67" t="s">
        <v>363</v>
      </c>
      <c r="J290" s="67" t="s">
        <v>203</v>
      </c>
      <c r="K290" s="68"/>
      <c r="L290" s="68"/>
      <c r="M290" s="68"/>
      <c r="N290" s="69"/>
      <c r="O290" s="68"/>
    </row>
    <row r="291" customFormat="false" ht="15.75" hidden="false" customHeight="true" outlineLevel="0" collapsed="false">
      <c r="A291" s="66" t="n">
        <v>215</v>
      </c>
      <c r="B291" s="67" t="s">
        <v>95</v>
      </c>
      <c r="C291" s="66" t="s">
        <v>98</v>
      </c>
      <c r="D291" s="66" t="n">
        <v>4</v>
      </c>
      <c r="E291" s="67" t="str">
        <f aca="false">IFERROR(INDEX('Master Data'!$L$2:$L$2436,MATCH($B$3&amp;"|"&amp;D291&amp;"|"&amp;B291&amp;"|"&amp;C291,'Master Data'!$A$2:$A$2436,0)),"")</f>
        <v>Belum terisi</v>
      </c>
      <c r="F291" s="67" t="str">
        <f aca="false">IFERROR(INDEX('Master Data'!$F$2:$F$2436,MATCH($B$3&amp;"|"&amp;D291&amp;"|"&amp;B291&amp;"|"&amp;C291,'Master Data'!$A$2:$A$2436,0))&amp;"","")</f>
        <v>Kids</v>
      </c>
      <c r="G291" s="66" t="n">
        <f aca="false">IFERROR(INDEX('Master Data'!$G$2:$G$2436,MATCH($B$3&amp;"|"&amp;D291&amp;"|"&amp;B291&amp;"|"&amp;C291,'Master Data'!$A$2:$A$2436,0)),"")</f>
        <v>4</v>
      </c>
      <c r="H291" s="67" t="str">
        <f aca="false">IFERROR(INDEX('Master Data'!$K$2:$K$2436,MATCH($B$3&amp;"|"&amp;D291&amp;"|"&amp;B291&amp;"|"&amp;C291,'Master Data'!$A$2:$A$2436,0))&amp;"","")</f>
        <v/>
      </c>
      <c r="I291" s="67" t="s">
        <v>363</v>
      </c>
      <c r="J291" s="67" t="s">
        <v>203</v>
      </c>
      <c r="K291" s="68"/>
      <c r="L291" s="68"/>
      <c r="M291" s="68"/>
      <c r="N291" s="69"/>
      <c r="O291" s="68"/>
    </row>
    <row r="292" customFormat="false" ht="15.75" hidden="false" customHeight="true" outlineLevel="0" collapsed="false">
      <c r="A292" s="66" t="n">
        <v>216</v>
      </c>
      <c r="B292" s="67" t="s">
        <v>95</v>
      </c>
      <c r="C292" s="66" t="s">
        <v>99</v>
      </c>
      <c r="D292" s="66" t="n">
        <v>3</v>
      </c>
      <c r="E292" s="67" t="str">
        <f aca="false">IFERROR(INDEX('Master Data'!$L$2:$L$2436,MATCH($B$3&amp;"|"&amp;D292&amp;"|"&amp;B292&amp;"|"&amp;C292,'Master Data'!$A$2:$A$2436,0)),"")</f>
        <v>Belum terisi</v>
      </c>
      <c r="F292" s="67" t="str">
        <f aca="false">IFERROR(INDEX('Master Data'!$F$2:$F$2436,MATCH($B$3&amp;"|"&amp;D292&amp;"|"&amp;B292&amp;"|"&amp;C292,'Master Data'!$A$2:$A$2436,0))&amp;"","")</f>
        <v>Kids</v>
      </c>
      <c r="G292" s="66" t="n">
        <f aca="false">IFERROR(INDEX('Master Data'!$G$2:$G$2436,MATCH($B$3&amp;"|"&amp;D292&amp;"|"&amp;B292&amp;"|"&amp;C292,'Master Data'!$A$2:$A$2436,0)),"")</f>
        <v>4</v>
      </c>
      <c r="H292" s="67" t="str">
        <f aca="false">IFERROR(INDEX('Master Data'!$K$2:$K$2436,MATCH($B$3&amp;"|"&amp;D292&amp;"|"&amp;B292&amp;"|"&amp;C292,'Master Data'!$A$2:$A$2436,0))&amp;"","")</f>
        <v/>
      </c>
      <c r="I292" s="67" t="s">
        <v>363</v>
      </c>
      <c r="J292" s="67" t="s">
        <v>203</v>
      </c>
      <c r="K292" s="68"/>
      <c r="L292" s="68"/>
      <c r="M292" s="68"/>
      <c r="N292" s="69"/>
      <c r="O292" s="68"/>
    </row>
    <row r="293" customFormat="false" ht="15.75" hidden="false" customHeight="true" outlineLevel="0" collapsed="false">
      <c r="A293" s="66" t="n">
        <v>217</v>
      </c>
      <c r="B293" s="67" t="s">
        <v>95</v>
      </c>
      <c r="C293" s="66" t="s">
        <v>99</v>
      </c>
      <c r="D293" s="66" t="n">
        <v>4</v>
      </c>
      <c r="E293" s="67" t="str">
        <f aca="false">IFERROR(INDEX('Master Data'!$L$2:$L$2436,MATCH($B$3&amp;"|"&amp;D293&amp;"|"&amp;B293&amp;"|"&amp;C293,'Master Data'!$A$2:$A$2436,0)),"")</f>
        <v>Belum terisi</v>
      </c>
      <c r="F293" s="67" t="str">
        <f aca="false">IFERROR(INDEX('Master Data'!$F$2:$F$2436,MATCH($B$3&amp;"|"&amp;D293&amp;"|"&amp;B293&amp;"|"&amp;C293,'Master Data'!$A$2:$A$2436,0))&amp;"","")</f>
        <v>Kids</v>
      </c>
      <c r="G293" s="66" t="n">
        <f aca="false">IFERROR(INDEX('Master Data'!$G$2:$G$2436,MATCH($B$3&amp;"|"&amp;D293&amp;"|"&amp;B293&amp;"|"&amp;C293,'Master Data'!$A$2:$A$2436,0)),"")</f>
        <v>4</v>
      </c>
      <c r="H293" s="67" t="str">
        <f aca="false">IFERROR(INDEX('Master Data'!$K$2:$K$2436,MATCH($B$3&amp;"|"&amp;D293&amp;"|"&amp;B293&amp;"|"&amp;C293,'Master Data'!$A$2:$A$2436,0))&amp;"","")</f>
        <v/>
      </c>
      <c r="I293" s="67" t="s">
        <v>363</v>
      </c>
      <c r="J293" s="67" t="s">
        <v>203</v>
      </c>
      <c r="K293" s="68"/>
      <c r="L293" s="68"/>
      <c r="M293" s="68"/>
      <c r="N293" s="69"/>
      <c r="O293" s="68"/>
    </row>
    <row r="294" customFormat="false" ht="15.75" hidden="false" customHeight="true" outlineLevel="0" collapsed="false">
      <c r="A294" s="66" t="n">
        <v>218</v>
      </c>
      <c r="B294" s="67" t="s">
        <v>95</v>
      </c>
      <c r="C294" s="66" t="s">
        <v>100</v>
      </c>
      <c r="D294" s="66" t="n">
        <v>3</v>
      </c>
      <c r="E294" s="67" t="str">
        <f aca="false">IFERROR(INDEX('Master Data'!$L$2:$L$2436,MATCH($B$3&amp;"|"&amp;D294&amp;"|"&amp;B294&amp;"|"&amp;C294,'Master Data'!$A$2:$A$2436,0)),"")</f>
        <v>Belum terisi</v>
      </c>
      <c r="F294" s="67" t="str">
        <f aca="false">IFERROR(INDEX('Master Data'!$F$2:$F$2436,MATCH($B$3&amp;"|"&amp;D294&amp;"|"&amp;B294&amp;"|"&amp;C294,'Master Data'!$A$2:$A$2436,0))&amp;"","")</f>
        <v>Kids</v>
      </c>
      <c r="G294" s="66" t="n">
        <f aca="false">IFERROR(INDEX('Master Data'!$G$2:$G$2436,MATCH($B$3&amp;"|"&amp;D294&amp;"|"&amp;B294&amp;"|"&amp;C294,'Master Data'!$A$2:$A$2436,0)),"")</f>
        <v>4</v>
      </c>
      <c r="H294" s="67" t="str">
        <f aca="false">IFERROR(INDEX('Master Data'!$K$2:$K$2436,MATCH($B$3&amp;"|"&amp;D294&amp;"|"&amp;B294&amp;"|"&amp;C294,'Master Data'!$A$2:$A$2436,0))&amp;"","")</f>
        <v/>
      </c>
      <c r="I294" s="67" t="s">
        <v>363</v>
      </c>
      <c r="J294" s="67" t="s">
        <v>203</v>
      </c>
      <c r="K294" s="68"/>
      <c r="L294" s="68"/>
      <c r="M294" s="68"/>
      <c r="N294" s="69"/>
      <c r="O294" s="68"/>
    </row>
    <row r="295" customFormat="false" ht="15.75" hidden="false" customHeight="true" outlineLevel="0" collapsed="false">
      <c r="A295" s="66" t="n">
        <v>219</v>
      </c>
      <c r="B295" s="67" t="s">
        <v>95</v>
      </c>
      <c r="C295" s="66" t="s">
        <v>100</v>
      </c>
      <c r="D295" s="66" t="n">
        <v>4</v>
      </c>
      <c r="E295" s="67" t="str">
        <f aca="false">IFERROR(INDEX('Master Data'!$L$2:$L$2436,MATCH($B$3&amp;"|"&amp;D295&amp;"|"&amp;B295&amp;"|"&amp;C295,'Master Data'!$A$2:$A$2436,0)),"")</f>
        <v>Belum terisi</v>
      </c>
      <c r="F295" s="67" t="str">
        <f aca="false">IFERROR(INDEX('Master Data'!$F$2:$F$2436,MATCH($B$3&amp;"|"&amp;D295&amp;"|"&amp;B295&amp;"|"&amp;C295,'Master Data'!$A$2:$A$2436,0))&amp;"","")</f>
        <v>Kids</v>
      </c>
      <c r="G295" s="66" t="n">
        <f aca="false">IFERROR(INDEX('Master Data'!$G$2:$G$2436,MATCH($B$3&amp;"|"&amp;D295&amp;"|"&amp;B295&amp;"|"&amp;C295,'Master Data'!$A$2:$A$2436,0)),"")</f>
        <v>4</v>
      </c>
      <c r="H295" s="67" t="str">
        <f aca="false">IFERROR(INDEX('Master Data'!$K$2:$K$2436,MATCH($B$3&amp;"|"&amp;D295&amp;"|"&amp;B295&amp;"|"&amp;C295,'Master Data'!$A$2:$A$2436,0))&amp;"","")</f>
        <v/>
      </c>
      <c r="I295" s="67" t="s">
        <v>363</v>
      </c>
      <c r="J295" s="67" t="s">
        <v>203</v>
      </c>
      <c r="K295" s="68"/>
      <c r="L295" s="68"/>
      <c r="M295" s="68"/>
      <c r="N295" s="69"/>
      <c r="O295" s="68"/>
    </row>
    <row r="296" customFormat="false" ht="40.5" hidden="false" customHeight="true" outlineLevel="0" collapsed="false">
      <c r="A296" s="66" t="n">
        <v>220</v>
      </c>
      <c r="B296" s="67" t="s">
        <v>95</v>
      </c>
      <c r="C296" s="66" t="s">
        <v>115</v>
      </c>
      <c r="D296" s="66" t="n">
        <v>1</v>
      </c>
      <c r="E296" s="67" t="str">
        <f aca="false">IFERROR(INDEX('Master Data'!$L$2:$L$2436,MATCH($B$3&amp;"|"&amp;D296&amp;"|"&amp;B296&amp;"|"&amp;C296,'Master Data'!$A$2:$A$2436,0)),"")</f>
        <v>Belum terisi</v>
      </c>
      <c r="F296" s="67" t="str">
        <f aca="false">IFERROR(INDEX('Master Data'!$F$2:$F$2436,MATCH($B$3&amp;"|"&amp;D296&amp;"|"&amp;B296&amp;"|"&amp;C296,'Master Data'!$A$2:$A$2436,0))&amp;"","")</f>
        <v>Baby</v>
      </c>
      <c r="G296" s="66" t="n">
        <f aca="false">IFERROR(INDEX('Master Data'!$G$2:$G$2436,MATCH($B$3&amp;"|"&amp;D296&amp;"|"&amp;B296&amp;"|"&amp;C296,'Master Data'!$A$2:$A$2436,0)),"")</f>
        <v>5</v>
      </c>
      <c r="H296" s="67" t="str">
        <f aca="false">IFERROR(INDEX('Master Data'!$K$2:$K$2436,MATCH($B$3&amp;"|"&amp;D296&amp;"|"&amp;B296&amp;"|"&amp;C296,'Master Data'!$A$2:$A$2436,0))&amp;"","")</f>
        <v/>
      </c>
      <c r="I296" s="67" t="s">
        <v>361</v>
      </c>
      <c r="J296" s="67" t="s">
        <v>134</v>
      </c>
      <c r="K296" s="68"/>
      <c r="L296" s="68"/>
      <c r="M296" s="68"/>
      <c r="N296" s="69"/>
      <c r="O296" s="68"/>
    </row>
    <row r="297" customFormat="false" ht="40.5" hidden="false" customHeight="true" outlineLevel="0" collapsed="false">
      <c r="A297" s="66" t="n">
        <v>221</v>
      </c>
      <c r="B297" s="67" t="s">
        <v>95</v>
      </c>
      <c r="C297" s="66" t="s">
        <v>115</v>
      </c>
      <c r="D297" s="66" t="n">
        <v>2</v>
      </c>
      <c r="E297" s="67" t="str">
        <f aca="false">IFERROR(INDEX('Master Data'!$L$2:$L$2436,MATCH($B$3&amp;"|"&amp;D297&amp;"|"&amp;B297&amp;"|"&amp;C297,'Master Data'!$A$2:$A$2436,0)),"")</f>
        <v>Belum terisi</v>
      </c>
      <c r="F297" s="67" t="str">
        <f aca="false">IFERROR(INDEX('Master Data'!$F$2:$F$2436,MATCH($B$3&amp;"|"&amp;D297&amp;"|"&amp;B297&amp;"|"&amp;C297,'Master Data'!$A$2:$A$2436,0))&amp;"","")</f>
        <v>Little</v>
      </c>
      <c r="G297" s="66" t="n">
        <f aca="false">IFERROR(INDEX('Master Data'!$G$2:$G$2436,MATCH($B$3&amp;"|"&amp;D297&amp;"|"&amp;B297&amp;"|"&amp;C297,'Master Data'!$A$2:$A$2436,0)),"")</f>
        <v>5</v>
      </c>
      <c r="H297" s="67" t="str">
        <f aca="false">IFERROR(INDEX('Master Data'!$K$2:$K$2436,MATCH($B$3&amp;"|"&amp;D297&amp;"|"&amp;B297&amp;"|"&amp;C297,'Master Data'!$A$2:$A$2436,0))&amp;"","")</f>
        <v/>
      </c>
      <c r="I297" s="67" t="s">
        <v>361</v>
      </c>
      <c r="J297" s="67" t="s">
        <v>134</v>
      </c>
      <c r="K297" s="68"/>
      <c r="L297" s="68"/>
      <c r="M297" s="68"/>
      <c r="N297" s="69"/>
      <c r="O297" s="68"/>
    </row>
    <row r="298" customFormat="false" ht="40.5" hidden="false" customHeight="true" outlineLevel="0" collapsed="false">
      <c r="A298" s="66" t="n">
        <v>222</v>
      </c>
      <c r="B298" s="67" t="s">
        <v>95</v>
      </c>
      <c r="C298" s="66" t="s">
        <v>101</v>
      </c>
      <c r="D298" s="66" t="n">
        <v>3</v>
      </c>
      <c r="E298" s="67" t="str">
        <f aca="false">IFERROR(INDEX('Master Data'!$L$2:$L$2436,MATCH($B$3&amp;"|"&amp;D298&amp;"|"&amp;B298&amp;"|"&amp;C298,'Master Data'!$A$2:$A$2436,0)),"")</f>
        <v>Belum terisi</v>
      </c>
      <c r="F298" s="67" t="str">
        <f aca="false">IFERROR(INDEX('Master Data'!$F$2:$F$2436,MATCH($B$3&amp;"|"&amp;D298&amp;"|"&amp;B298&amp;"|"&amp;C298,'Master Data'!$A$2:$A$2436,0))&amp;"","")</f>
        <v>Kids</v>
      </c>
      <c r="G298" s="66" t="n">
        <f aca="false">IFERROR(INDEX('Master Data'!$G$2:$G$2436,MATCH($B$3&amp;"|"&amp;D298&amp;"|"&amp;B298&amp;"|"&amp;C298,'Master Data'!$A$2:$A$2436,0)),"")</f>
        <v>4</v>
      </c>
      <c r="H298" s="67" t="str">
        <f aca="false">IFERROR(INDEX('Master Data'!$K$2:$K$2436,MATCH($B$3&amp;"|"&amp;D298&amp;"|"&amp;B298&amp;"|"&amp;C298,'Master Data'!$A$2:$A$2436,0))&amp;"","")</f>
        <v/>
      </c>
      <c r="I298" s="67" t="s">
        <v>361</v>
      </c>
      <c r="J298" s="67" t="s">
        <v>134</v>
      </c>
      <c r="K298" s="68"/>
      <c r="L298" s="68"/>
      <c r="M298" s="68"/>
      <c r="N298" s="69"/>
      <c r="O298" s="68"/>
    </row>
    <row r="299" customFormat="false" ht="40.5" hidden="false" customHeight="true" outlineLevel="0" collapsed="false">
      <c r="A299" s="66" t="n">
        <v>223</v>
      </c>
      <c r="B299" s="67" t="s">
        <v>95</v>
      </c>
      <c r="C299" s="66" t="s">
        <v>101</v>
      </c>
      <c r="D299" s="66" t="n">
        <v>4</v>
      </c>
      <c r="E299" s="67" t="str">
        <f aca="false">IFERROR(INDEX('Master Data'!$L$2:$L$2436,MATCH($B$3&amp;"|"&amp;D299&amp;"|"&amp;B299&amp;"|"&amp;C299,'Master Data'!$A$2:$A$2436,0)),"")</f>
        <v>Belum terisi</v>
      </c>
      <c r="F299" s="67" t="str">
        <f aca="false">IFERROR(INDEX('Master Data'!$F$2:$F$2436,MATCH($B$3&amp;"|"&amp;D299&amp;"|"&amp;B299&amp;"|"&amp;C299,'Master Data'!$A$2:$A$2436,0))&amp;"","")</f>
        <v>Kids</v>
      </c>
      <c r="G299" s="66" t="n">
        <f aca="false">IFERROR(INDEX('Master Data'!$G$2:$G$2436,MATCH($B$3&amp;"|"&amp;D299&amp;"|"&amp;B299&amp;"|"&amp;C299,'Master Data'!$A$2:$A$2436,0)),"")</f>
        <v>4</v>
      </c>
      <c r="H299" s="67" t="str">
        <f aca="false">IFERROR(INDEX('Master Data'!$K$2:$K$2436,MATCH($B$3&amp;"|"&amp;D299&amp;"|"&amp;B299&amp;"|"&amp;C299,'Master Data'!$A$2:$A$2436,0))&amp;"","")</f>
        <v/>
      </c>
      <c r="I299" s="67" t="s">
        <v>361</v>
      </c>
      <c r="J299" s="67" t="s">
        <v>134</v>
      </c>
      <c r="K299" s="68"/>
      <c r="L299" s="68"/>
      <c r="M299" s="68"/>
      <c r="N299" s="69"/>
      <c r="O299" s="68"/>
    </row>
    <row r="300" customFormat="false" ht="40.5" hidden="false" customHeight="true" outlineLevel="0" collapsed="false">
      <c r="A300" s="66" t="n">
        <v>224</v>
      </c>
      <c r="B300" s="67" t="s">
        <v>95</v>
      </c>
      <c r="C300" s="66" t="s">
        <v>116</v>
      </c>
      <c r="D300" s="66" t="n">
        <v>1</v>
      </c>
      <c r="E300" s="67" t="str">
        <f aca="false">IFERROR(INDEX('Master Data'!$L$2:$L$2436,MATCH($B$3&amp;"|"&amp;D300&amp;"|"&amp;B300&amp;"|"&amp;C300,'Master Data'!$A$2:$A$2436,0)),"")</f>
        <v>Belum terisi</v>
      </c>
      <c r="F300" s="67" t="str">
        <f aca="false">IFERROR(INDEX('Master Data'!$F$2:$F$2436,MATCH($B$3&amp;"|"&amp;D300&amp;"|"&amp;B300&amp;"|"&amp;C300,'Master Data'!$A$2:$A$2436,0))&amp;"","")</f>
        <v>Tiny</v>
      </c>
      <c r="G300" s="66" t="n">
        <f aca="false">IFERROR(INDEX('Master Data'!$G$2:$G$2436,MATCH($B$3&amp;"|"&amp;D300&amp;"|"&amp;B300&amp;"|"&amp;C300,'Master Data'!$A$2:$A$2436,0)),"")</f>
        <v>5</v>
      </c>
      <c r="H300" s="67" t="str">
        <f aca="false">IFERROR(INDEX('Master Data'!$K$2:$K$2436,MATCH($B$3&amp;"|"&amp;D300&amp;"|"&amp;B300&amp;"|"&amp;C300,'Master Data'!$A$2:$A$2436,0))&amp;"","")</f>
        <v/>
      </c>
      <c r="I300" s="67" t="s">
        <v>361</v>
      </c>
      <c r="J300" s="67" t="s">
        <v>134</v>
      </c>
      <c r="K300" s="68"/>
      <c r="L300" s="68"/>
      <c r="M300" s="68"/>
      <c r="N300" s="69"/>
      <c r="O300" s="68"/>
    </row>
    <row r="301" customFormat="false" ht="40.5" hidden="false" customHeight="true" outlineLevel="0" collapsed="false">
      <c r="A301" s="66" t="n">
        <v>225</v>
      </c>
      <c r="B301" s="67" t="s">
        <v>95</v>
      </c>
      <c r="C301" s="66" t="s">
        <v>116</v>
      </c>
      <c r="D301" s="66" t="n">
        <v>2</v>
      </c>
      <c r="E301" s="67" t="str">
        <f aca="false">IFERROR(INDEX('Master Data'!$L$2:$L$2436,MATCH($B$3&amp;"|"&amp;D301&amp;"|"&amp;B301&amp;"|"&amp;C301,'Master Data'!$A$2:$A$2436,0)),"")</f>
        <v>Belum terisi</v>
      </c>
      <c r="F301" s="67" t="str">
        <f aca="false">IFERROR(INDEX('Master Data'!$F$2:$F$2436,MATCH($B$3&amp;"|"&amp;D301&amp;"|"&amp;B301&amp;"|"&amp;C301,'Master Data'!$A$2:$A$2436,0))&amp;"","")</f>
        <v>Little</v>
      </c>
      <c r="G301" s="66" t="n">
        <f aca="false">IFERROR(INDEX('Master Data'!$G$2:$G$2436,MATCH($B$3&amp;"|"&amp;D301&amp;"|"&amp;B301&amp;"|"&amp;C301,'Master Data'!$A$2:$A$2436,0)),"")</f>
        <v>5</v>
      </c>
      <c r="H301" s="67" t="str">
        <f aca="false">IFERROR(INDEX('Master Data'!$K$2:$K$2436,MATCH($B$3&amp;"|"&amp;D301&amp;"|"&amp;B301&amp;"|"&amp;C301,'Master Data'!$A$2:$A$2436,0))&amp;"","")</f>
        <v/>
      </c>
      <c r="I301" s="67" t="s">
        <v>361</v>
      </c>
      <c r="J301" s="67" t="s">
        <v>134</v>
      </c>
      <c r="K301" s="68"/>
      <c r="L301" s="68"/>
      <c r="M301" s="68"/>
      <c r="N301" s="69"/>
      <c r="O301" s="68"/>
    </row>
    <row r="302" customFormat="false" ht="27.75" hidden="false" customHeight="true" outlineLevel="0" collapsed="false">
      <c r="A302" s="66" t="n">
        <v>226</v>
      </c>
      <c r="B302" s="67" t="s">
        <v>95</v>
      </c>
      <c r="C302" s="66" t="s">
        <v>102</v>
      </c>
      <c r="D302" s="66" t="n">
        <v>3</v>
      </c>
      <c r="E302" s="67" t="str">
        <f aca="false">IFERROR(INDEX('Master Data'!$L$2:$L$2436,MATCH($B$3&amp;"|"&amp;D302&amp;"|"&amp;B302&amp;"|"&amp;C302,'Master Data'!$A$2:$A$2436,0)),"")</f>
        <v>Belum terisi</v>
      </c>
      <c r="F302" s="67" t="str">
        <f aca="false">IFERROR(INDEX('Master Data'!$F$2:$F$2436,MATCH($B$3&amp;"|"&amp;D302&amp;"|"&amp;B302&amp;"|"&amp;C302,'Master Data'!$A$2:$A$2436,0))&amp;"","")</f>
        <v>Kids</v>
      </c>
      <c r="G302" s="66" t="n">
        <f aca="false">IFERROR(INDEX('Master Data'!$G$2:$G$2436,MATCH($B$3&amp;"|"&amp;D302&amp;"|"&amp;B302&amp;"|"&amp;C302,'Master Data'!$A$2:$A$2436,0)),"")</f>
        <v>4</v>
      </c>
      <c r="H302" s="67" t="str">
        <f aca="false">IFERROR(INDEX('Master Data'!$K$2:$K$2436,MATCH($B$3&amp;"|"&amp;D302&amp;"|"&amp;B302&amp;"|"&amp;C302,'Master Data'!$A$2:$A$2436,0))&amp;"","")</f>
        <v/>
      </c>
      <c r="I302" s="67" t="s">
        <v>364</v>
      </c>
      <c r="J302" s="67" t="s">
        <v>134</v>
      </c>
      <c r="K302" s="68"/>
      <c r="L302" s="68"/>
      <c r="M302" s="68"/>
      <c r="N302" s="69"/>
      <c r="O302" s="68"/>
    </row>
    <row r="303" customFormat="false" ht="27.75" hidden="false" customHeight="true" outlineLevel="0" collapsed="false">
      <c r="A303" s="66" t="n">
        <v>227</v>
      </c>
      <c r="B303" s="67" t="s">
        <v>95</v>
      </c>
      <c r="C303" s="66" t="s">
        <v>102</v>
      </c>
      <c r="D303" s="66" t="n">
        <v>4</v>
      </c>
      <c r="E303" s="67" t="str">
        <f aca="false">IFERROR(INDEX('Master Data'!$L$2:$L$2436,MATCH($B$3&amp;"|"&amp;D303&amp;"|"&amp;B303&amp;"|"&amp;C303,'Master Data'!$A$2:$A$2436,0)),"")</f>
        <v>Belum terisi</v>
      </c>
      <c r="F303" s="67" t="str">
        <f aca="false">IFERROR(INDEX('Master Data'!$F$2:$F$2436,MATCH($B$3&amp;"|"&amp;D303&amp;"|"&amp;B303&amp;"|"&amp;C303,'Master Data'!$A$2:$A$2436,0))&amp;"","")</f>
        <v>Kids</v>
      </c>
      <c r="G303" s="66" t="n">
        <f aca="false">IFERROR(INDEX('Master Data'!$G$2:$G$2436,MATCH($B$3&amp;"|"&amp;D303&amp;"|"&amp;B303&amp;"|"&amp;C303,'Master Data'!$A$2:$A$2436,0)),"")</f>
        <v>4</v>
      </c>
      <c r="H303" s="67" t="str">
        <f aca="false">IFERROR(INDEX('Master Data'!$K$2:$K$2436,MATCH($B$3&amp;"|"&amp;D303&amp;"|"&amp;B303&amp;"|"&amp;C303,'Master Data'!$A$2:$A$2436,0))&amp;"","")</f>
        <v/>
      </c>
      <c r="I303" s="67" t="s">
        <v>364</v>
      </c>
      <c r="J303" s="67" t="s">
        <v>134</v>
      </c>
      <c r="K303" s="68"/>
      <c r="L303" s="68"/>
      <c r="M303" s="68"/>
      <c r="N303" s="69"/>
      <c r="O303" s="68"/>
    </row>
    <row r="304" customFormat="false" ht="27.75" hidden="false" customHeight="true" outlineLevel="0" collapsed="false">
      <c r="A304" s="66" t="n">
        <v>228</v>
      </c>
      <c r="B304" s="67" t="s">
        <v>95</v>
      </c>
      <c r="C304" s="66" t="s">
        <v>117</v>
      </c>
      <c r="D304" s="66" t="n">
        <v>2</v>
      </c>
      <c r="E304" s="67" t="str">
        <f aca="false">IFERROR(INDEX('Master Data'!$L$2:$L$2436,MATCH($B$3&amp;"|"&amp;D304&amp;"|"&amp;B304&amp;"|"&amp;C304,'Master Data'!$A$2:$A$2436,0)),"")</f>
        <v>Belum terisi</v>
      </c>
      <c r="F304" s="67" t="str">
        <f aca="false">IFERROR(INDEX('Master Data'!$F$2:$F$2436,MATCH($B$3&amp;"|"&amp;D304&amp;"|"&amp;B304&amp;"|"&amp;C304,'Master Data'!$A$2:$A$2436,0))&amp;"","")</f>
        <v>Little</v>
      </c>
      <c r="G304" s="66" t="n">
        <f aca="false">IFERROR(INDEX('Master Data'!$G$2:$G$2436,MATCH($B$3&amp;"|"&amp;D304&amp;"|"&amp;B304&amp;"|"&amp;C304,'Master Data'!$A$2:$A$2436,0)),"")</f>
        <v>5</v>
      </c>
      <c r="H304" s="67" t="str">
        <f aca="false">IFERROR(INDEX('Master Data'!$K$2:$K$2436,MATCH($B$3&amp;"|"&amp;D304&amp;"|"&amp;B304&amp;"|"&amp;C304,'Master Data'!$A$2:$A$2436,0))&amp;"","")</f>
        <v/>
      </c>
      <c r="I304" s="67" t="s">
        <v>350</v>
      </c>
      <c r="J304" s="67" t="s">
        <v>134</v>
      </c>
      <c r="K304" s="68"/>
      <c r="L304" s="68"/>
      <c r="M304" s="68"/>
      <c r="N304" s="69"/>
      <c r="O304" s="68"/>
    </row>
    <row r="305" customFormat="false" ht="15.75" hidden="false" customHeight="true" outlineLevel="0" collapsed="false">
      <c r="A305" s="66" t="n">
        <v>229</v>
      </c>
      <c r="B305" s="67" t="s">
        <v>95</v>
      </c>
      <c r="C305" s="66" t="s">
        <v>103</v>
      </c>
      <c r="D305" s="66" t="n">
        <v>4</v>
      </c>
      <c r="E305" s="67" t="str">
        <f aca="false">IFERROR(INDEX('Master Data'!$L$2:$L$2436,MATCH($B$3&amp;"|"&amp;D305&amp;"|"&amp;B305&amp;"|"&amp;C305,'Master Data'!$A$2:$A$2436,0)),"")</f>
        <v>Belum terisi</v>
      </c>
      <c r="F305" s="67" t="str">
        <f aca="false">IFERROR(INDEX('Master Data'!$F$2:$F$2436,MATCH($B$3&amp;"|"&amp;D305&amp;"|"&amp;B305&amp;"|"&amp;C305,'Master Data'!$A$2:$A$2436,0))&amp;"","")</f>
        <v>Kids</v>
      </c>
      <c r="G305" s="66" t="n">
        <f aca="false">IFERROR(INDEX('Master Data'!$G$2:$G$2436,MATCH($B$3&amp;"|"&amp;D305&amp;"|"&amp;B305&amp;"|"&amp;C305,'Master Data'!$A$2:$A$2436,0)),"")</f>
        <v>4</v>
      </c>
      <c r="H305" s="67" t="str">
        <f aca="false">IFERROR(INDEX('Master Data'!$K$2:$K$2436,MATCH($B$3&amp;"|"&amp;D305&amp;"|"&amp;B305&amp;"|"&amp;C305,'Master Data'!$A$2:$A$2436,0))&amp;"","")</f>
        <v/>
      </c>
      <c r="I305" s="67" t="s">
        <v>353</v>
      </c>
      <c r="J305" s="67" t="s">
        <v>203</v>
      </c>
      <c r="K305" s="68"/>
      <c r="L305" s="68"/>
      <c r="M305" s="68"/>
      <c r="N305" s="69"/>
      <c r="O305" s="68"/>
    </row>
    <row r="306" customFormat="false" ht="27.75" hidden="false" customHeight="true" outlineLevel="0" collapsed="false">
      <c r="A306" s="66" t="n">
        <v>230</v>
      </c>
      <c r="B306" s="67" t="s">
        <v>95</v>
      </c>
      <c r="C306" s="66" t="s">
        <v>118</v>
      </c>
      <c r="D306" s="66" t="n">
        <v>1</v>
      </c>
      <c r="E306" s="67" t="str">
        <f aca="false">IFERROR(INDEX('Master Data'!$L$2:$L$2436,MATCH($B$3&amp;"|"&amp;D306&amp;"|"&amp;B306&amp;"|"&amp;C306,'Master Data'!$A$2:$A$2436,0)),"")</f>
        <v>Belum terisi</v>
      </c>
      <c r="F306" s="67" t="str">
        <f aca="false">IFERROR(INDEX('Master Data'!$F$2:$F$2436,MATCH($B$3&amp;"|"&amp;D306&amp;"|"&amp;B306&amp;"|"&amp;C306,'Master Data'!$A$2:$A$2436,0))&amp;"","")</f>
        <v>Tiny</v>
      </c>
      <c r="G306" s="66" t="n">
        <f aca="false">IFERROR(INDEX('Master Data'!$G$2:$G$2436,MATCH($B$3&amp;"|"&amp;D306&amp;"|"&amp;B306&amp;"|"&amp;C306,'Master Data'!$A$2:$A$2436,0)),"")</f>
        <v>5</v>
      </c>
      <c r="H306" s="67" t="str">
        <f aca="false">IFERROR(INDEX('Master Data'!$K$2:$K$2436,MATCH($B$3&amp;"|"&amp;D306&amp;"|"&amp;B306&amp;"|"&amp;C306,'Master Data'!$A$2:$A$2436,0))&amp;"","")</f>
        <v/>
      </c>
      <c r="I306" s="67" t="s">
        <v>351</v>
      </c>
      <c r="J306" s="67" t="s">
        <v>134</v>
      </c>
      <c r="K306" s="68"/>
      <c r="L306" s="68"/>
      <c r="M306" s="68"/>
      <c r="N306" s="69"/>
      <c r="O306" s="68"/>
    </row>
    <row r="307" customFormat="false" ht="15.75" hidden="false" customHeight="true" outlineLevel="0" collapsed="false">
      <c r="A307" s="66" t="n">
        <v>231</v>
      </c>
      <c r="B307" s="67" t="s">
        <v>95</v>
      </c>
      <c r="C307" s="66" t="s">
        <v>104</v>
      </c>
      <c r="D307" s="66" t="n">
        <v>4</v>
      </c>
      <c r="E307" s="67" t="str">
        <f aca="false">IFERROR(INDEX('Master Data'!$L$2:$L$2436,MATCH($B$3&amp;"|"&amp;D307&amp;"|"&amp;B307&amp;"|"&amp;C307,'Master Data'!$A$2:$A$2436,0)),"")</f>
        <v>Belum terisi</v>
      </c>
      <c r="F307" s="67" t="str">
        <f aca="false">IFERROR(INDEX('Master Data'!$F$2:$F$2436,MATCH($B$3&amp;"|"&amp;D307&amp;"|"&amp;B307&amp;"|"&amp;C307,'Master Data'!$A$2:$A$2436,0))&amp;"","")</f>
        <v>Kids</v>
      </c>
      <c r="G307" s="66" t="n">
        <f aca="false">IFERROR(INDEX('Master Data'!$G$2:$G$2436,MATCH($B$3&amp;"|"&amp;D307&amp;"|"&amp;B307&amp;"|"&amp;C307,'Master Data'!$A$2:$A$2436,0)),"")</f>
        <v>4</v>
      </c>
      <c r="H307" s="67" t="str">
        <f aca="false">IFERROR(INDEX('Master Data'!$K$2:$K$2436,MATCH($B$3&amp;"|"&amp;D307&amp;"|"&amp;B307&amp;"|"&amp;C307,'Master Data'!$A$2:$A$2436,0))&amp;"","")</f>
        <v/>
      </c>
      <c r="I307" s="67" t="s">
        <v>353</v>
      </c>
      <c r="J307" s="67" t="s">
        <v>203</v>
      </c>
      <c r="K307" s="68"/>
      <c r="L307" s="68"/>
      <c r="M307" s="68"/>
      <c r="N307" s="69"/>
      <c r="O307" s="68"/>
    </row>
    <row r="308" customFormat="false" ht="27.75" hidden="false" customHeight="true" outlineLevel="0" collapsed="false">
      <c r="A308" s="66" t="n">
        <v>232</v>
      </c>
      <c r="B308" s="67" t="s">
        <v>95</v>
      </c>
      <c r="C308" s="66" t="s">
        <v>119</v>
      </c>
      <c r="D308" s="66" t="n">
        <v>2</v>
      </c>
      <c r="E308" s="67" t="str">
        <f aca="false">IFERROR(INDEX('Master Data'!$L$2:$L$2436,MATCH($B$3&amp;"|"&amp;D308&amp;"|"&amp;B308&amp;"|"&amp;C308,'Master Data'!$A$2:$A$2436,0)),"")</f>
        <v>Belum terisi</v>
      </c>
      <c r="F308" s="67" t="str">
        <f aca="false">IFERROR(INDEX('Master Data'!$F$2:$F$2436,MATCH($B$3&amp;"|"&amp;D308&amp;"|"&amp;B308&amp;"|"&amp;C308,'Master Data'!$A$2:$A$2436,0))&amp;"","")</f>
        <v>Little</v>
      </c>
      <c r="G308" s="66" t="n">
        <f aca="false">IFERROR(INDEX('Master Data'!$G$2:$G$2436,MATCH($B$3&amp;"|"&amp;D308&amp;"|"&amp;B308&amp;"|"&amp;C308,'Master Data'!$A$2:$A$2436,0)),"")</f>
        <v>5</v>
      </c>
      <c r="H308" s="67" t="str">
        <f aca="false">IFERROR(INDEX('Master Data'!$K$2:$K$2436,MATCH($B$3&amp;"|"&amp;D308&amp;"|"&amp;B308&amp;"|"&amp;C308,'Master Data'!$A$2:$A$2436,0))&amp;"","")</f>
        <v/>
      </c>
      <c r="I308" s="67" t="s">
        <v>350</v>
      </c>
      <c r="J308" s="67" t="s">
        <v>134</v>
      </c>
      <c r="K308" s="68"/>
      <c r="L308" s="68"/>
      <c r="M308" s="68"/>
      <c r="N308" s="69"/>
      <c r="O308" s="68"/>
    </row>
    <row r="309" customFormat="false" ht="27.75" hidden="false" customHeight="true" outlineLevel="0" collapsed="false">
      <c r="A309" s="66" t="n">
        <v>233</v>
      </c>
      <c r="B309" s="67" t="s">
        <v>95</v>
      </c>
      <c r="C309" s="66" t="s">
        <v>105</v>
      </c>
      <c r="D309" s="66" t="n">
        <v>3</v>
      </c>
      <c r="E309" s="67" t="str">
        <f aca="false">IFERROR(INDEX('Master Data'!$L$2:$L$2436,MATCH($B$3&amp;"|"&amp;D309&amp;"|"&amp;B309&amp;"|"&amp;C309,'Master Data'!$A$2:$A$2436,0)),"")</f>
        <v>Belum terisi</v>
      </c>
      <c r="F309" s="67" t="str">
        <f aca="false">IFERROR(INDEX('Master Data'!$F$2:$F$2436,MATCH($B$3&amp;"|"&amp;D309&amp;"|"&amp;B309&amp;"|"&amp;C309,'Master Data'!$A$2:$A$2436,0))&amp;"","")</f>
        <v>Kids</v>
      </c>
      <c r="G309" s="66" t="n">
        <f aca="false">IFERROR(INDEX('Master Data'!$G$2:$G$2436,MATCH($B$3&amp;"|"&amp;D309&amp;"|"&amp;B309&amp;"|"&amp;C309,'Master Data'!$A$2:$A$2436,0)),"")</f>
        <v>4</v>
      </c>
      <c r="H309" s="67" t="str">
        <f aca="false">IFERROR(INDEX('Master Data'!$K$2:$K$2436,MATCH($B$3&amp;"|"&amp;D309&amp;"|"&amp;B309&amp;"|"&amp;C309,'Master Data'!$A$2:$A$2436,0))&amp;"","")</f>
        <v/>
      </c>
      <c r="I309" s="67" t="s">
        <v>364</v>
      </c>
      <c r="J309" s="67" t="s">
        <v>134</v>
      </c>
      <c r="K309" s="68"/>
      <c r="L309" s="68"/>
      <c r="M309" s="68"/>
      <c r="N309" s="69"/>
      <c r="O309" s="68"/>
    </row>
    <row r="310" customFormat="false" ht="27.75" hidden="false" customHeight="true" outlineLevel="0" collapsed="false">
      <c r="A310" s="66" t="n">
        <v>234</v>
      </c>
      <c r="B310" s="67" t="s">
        <v>95</v>
      </c>
      <c r="C310" s="66" t="s">
        <v>105</v>
      </c>
      <c r="D310" s="66" t="n">
        <v>4</v>
      </c>
      <c r="E310" s="67" t="str">
        <f aca="false">IFERROR(INDEX('Master Data'!$L$2:$L$2436,MATCH($B$3&amp;"|"&amp;D310&amp;"|"&amp;B310&amp;"|"&amp;C310,'Master Data'!$A$2:$A$2436,0)),"")</f>
        <v>Belum terisi</v>
      </c>
      <c r="F310" s="67" t="str">
        <f aca="false">IFERROR(INDEX('Master Data'!$F$2:$F$2436,MATCH($B$3&amp;"|"&amp;D310&amp;"|"&amp;B310&amp;"|"&amp;C310,'Master Data'!$A$2:$A$2436,0))&amp;"","")</f>
        <v>Kids</v>
      </c>
      <c r="G310" s="66" t="n">
        <f aca="false">IFERROR(INDEX('Master Data'!$G$2:$G$2436,MATCH($B$3&amp;"|"&amp;D310&amp;"|"&amp;B310&amp;"|"&amp;C310,'Master Data'!$A$2:$A$2436,0)),"")</f>
        <v>4</v>
      </c>
      <c r="H310" s="67" t="str">
        <f aca="false">IFERROR(INDEX('Master Data'!$K$2:$K$2436,MATCH($B$3&amp;"|"&amp;D310&amp;"|"&amp;B310&amp;"|"&amp;C310,'Master Data'!$A$2:$A$2436,0))&amp;"","")</f>
        <v/>
      </c>
      <c r="I310" s="67" t="s">
        <v>364</v>
      </c>
      <c r="J310" s="67" t="s">
        <v>134</v>
      </c>
      <c r="K310" s="68"/>
      <c r="L310" s="68"/>
      <c r="M310" s="68"/>
      <c r="N310" s="69"/>
      <c r="O310" s="68"/>
    </row>
    <row r="311" customFormat="false" ht="15.75" hidden="false" customHeight="true" outlineLevel="0" collapsed="false">
      <c r="A311" s="66" t="n">
        <v>235</v>
      </c>
      <c r="B311" s="67" t="s">
        <v>95</v>
      </c>
      <c r="C311" s="66" t="s">
        <v>120</v>
      </c>
      <c r="D311" s="66" t="n">
        <v>1</v>
      </c>
      <c r="E311" s="67" t="str">
        <f aca="false">IFERROR(INDEX('Master Data'!$L$2:$L$2436,MATCH($B$3&amp;"|"&amp;D311&amp;"|"&amp;B311&amp;"|"&amp;C311,'Master Data'!$A$2:$A$2436,0)),"")</f>
        <v>Belum terisi</v>
      </c>
      <c r="F311" s="67" t="str">
        <f aca="false">IFERROR(INDEX('Master Data'!$F$2:$F$2436,MATCH($B$3&amp;"|"&amp;D311&amp;"|"&amp;B311&amp;"|"&amp;C311,'Master Data'!$A$2:$A$2436,0))&amp;"","")</f>
        <v>Tiny</v>
      </c>
      <c r="G311" s="66" t="n">
        <f aca="false">IFERROR(INDEX('Master Data'!$G$2:$G$2436,MATCH($B$3&amp;"|"&amp;D311&amp;"|"&amp;B311&amp;"|"&amp;C311,'Master Data'!$A$2:$A$2436,0)),"")</f>
        <v>5</v>
      </c>
      <c r="H311" s="67" t="str">
        <f aca="false">IFERROR(INDEX('Master Data'!$K$2:$K$2436,MATCH($B$3&amp;"|"&amp;D311&amp;"|"&amp;B311&amp;"|"&amp;C311,'Master Data'!$A$2:$A$2436,0))&amp;"","")</f>
        <v/>
      </c>
      <c r="I311" s="67" t="s">
        <v>363</v>
      </c>
      <c r="J311" s="67" t="s">
        <v>144</v>
      </c>
      <c r="K311" s="68"/>
      <c r="L311" s="68"/>
      <c r="M311" s="68"/>
      <c r="N311" s="69"/>
      <c r="O311" s="68"/>
    </row>
    <row r="312" customFormat="false" ht="15.75" hidden="false" customHeight="true" outlineLevel="0" collapsed="false">
      <c r="A312" s="66" t="n">
        <v>236</v>
      </c>
      <c r="B312" s="67" t="s">
        <v>95</v>
      </c>
      <c r="C312" s="66" t="s">
        <v>106</v>
      </c>
      <c r="D312" s="66" t="n">
        <v>4</v>
      </c>
      <c r="E312" s="67" t="str">
        <f aca="false">IFERROR(INDEX('Master Data'!$L$2:$L$2436,MATCH($B$3&amp;"|"&amp;D312&amp;"|"&amp;B312&amp;"|"&amp;C312,'Master Data'!$A$2:$A$2436,0)),"")</f>
        <v>Belum terisi</v>
      </c>
      <c r="F312" s="67" t="str">
        <f aca="false">IFERROR(INDEX('Master Data'!$F$2:$F$2436,MATCH($B$3&amp;"|"&amp;D312&amp;"|"&amp;B312&amp;"|"&amp;C312,'Master Data'!$A$2:$A$2436,0))&amp;"","")</f>
        <v>Kids</v>
      </c>
      <c r="G312" s="66" t="n">
        <f aca="false">IFERROR(INDEX('Master Data'!$G$2:$G$2436,MATCH($B$3&amp;"|"&amp;D312&amp;"|"&amp;B312&amp;"|"&amp;C312,'Master Data'!$A$2:$A$2436,0)),"")</f>
        <v>4</v>
      </c>
      <c r="H312" s="67" t="str">
        <f aca="false">IFERROR(INDEX('Master Data'!$K$2:$K$2436,MATCH($B$3&amp;"|"&amp;D312&amp;"|"&amp;B312&amp;"|"&amp;C312,'Master Data'!$A$2:$A$2436,0))&amp;"","")</f>
        <v/>
      </c>
      <c r="I312" s="67" t="s">
        <v>343</v>
      </c>
      <c r="J312" s="67" t="s">
        <v>203</v>
      </c>
      <c r="K312" s="68"/>
      <c r="L312" s="68"/>
      <c r="M312" s="68"/>
      <c r="N312" s="69"/>
      <c r="O312" s="68"/>
    </row>
    <row r="313" customFormat="false" ht="27.75" hidden="false" customHeight="true" outlineLevel="0" collapsed="false">
      <c r="A313" s="66" t="n">
        <v>237</v>
      </c>
      <c r="B313" s="67" t="s">
        <v>95</v>
      </c>
      <c r="C313" s="66" t="s">
        <v>121</v>
      </c>
      <c r="D313" s="66" t="n">
        <v>1</v>
      </c>
      <c r="E313" s="67" t="str">
        <f aca="false">IFERROR(INDEX('Master Data'!$L$2:$L$2436,MATCH($B$3&amp;"|"&amp;D313&amp;"|"&amp;B313&amp;"|"&amp;C313,'Master Data'!$A$2:$A$2436,0)),"")</f>
        <v>Belum terisi</v>
      </c>
      <c r="F313" s="67" t="str">
        <f aca="false">IFERROR(INDEX('Master Data'!$F$2:$F$2436,MATCH($B$3&amp;"|"&amp;D313&amp;"|"&amp;B313&amp;"|"&amp;C313,'Master Data'!$A$2:$A$2436,0))&amp;"","")</f>
        <v>Baby</v>
      </c>
      <c r="G313" s="66" t="n">
        <f aca="false">IFERROR(INDEX('Master Data'!$G$2:$G$2436,MATCH($B$3&amp;"|"&amp;D313&amp;"|"&amp;B313&amp;"|"&amp;C313,'Master Data'!$A$2:$A$2436,0)),"")</f>
        <v>5</v>
      </c>
      <c r="H313" s="67" t="str">
        <f aca="false">IFERROR(INDEX('Master Data'!$K$2:$K$2436,MATCH($B$3&amp;"|"&amp;D313&amp;"|"&amp;B313&amp;"|"&amp;C313,'Master Data'!$A$2:$A$2436,0))&amp;"","")</f>
        <v/>
      </c>
      <c r="I313" s="67" t="s">
        <v>365</v>
      </c>
      <c r="J313" s="67" t="s">
        <v>134</v>
      </c>
      <c r="K313" s="68"/>
      <c r="L313" s="68"/>
      <c r="M313" s="68"/>
      <c r="N313" s="69"/>
      <c r="O313" s="68"/>
    </row>
    <row r="314" customFormat="false" ht="27.75" hidden="false" customHeight="true" outlineLevel="0" collapsed="false">
      <c r="A314" s="66" t="n">
        <v>238</v>
      </c>
      <c r="B314" s="67" t="s">
        <v>95</v>
      </c>
      <c r="C314" s="66" t="s">
        <v>107</v>
      </c>
      <c r="D314" s="66" t="n">
        <v>3</v>
      </c>
      <c r="E314" s="67" t="str">
        <f aca="false">IFERROR(INDEX('Master Data'!$L$2:$L$2436,MATCH($B$3&amp;"|"&amp;D314&amp;"|"&amp;B314&amp;"|"&amp;C314,'Master Data'!$A$2:$A$2436,0)),"")</f>
        <v>Belum terisi</v>
      </c>
      <c r="F314" s="67" t="str">
        <f aca="false">IFERROR(INDEX('Master Data'!$F$2:$F$2436,MATCH($B$3&amp;"|"&amp;D314&amp;"|"&amp;B314&amp;"|"&amp;C314,'Master Data'!$A$2:$A$2436,0))&amp;"","")</f>
        <v>Kids</v>
      </c>
      <c r="G314" s="66" t="n">
        <f aca="false">IFERROR(INDEX('Master Data'!$G$2:$G$2436,MATCH($B$3&amp;"|"&amp;D314&amp;"|"&amp;B314&amp;"|"&amp;C314,'Master Data'!$A$2:$A$2436,0)),"")</f>
        <v>4</v>
      </c>
      <c r="H314" s="67" t="str">
        <f aca="false">IFERROR(INDEX('Master Data'!$K$2:$K$2436,MATCH($B$3&amp;"|"&amp;D314&amp;"|"&amp;B314&amp;"|"&amp;C314,'Master Data'!$A$2:$A$2436,0))&amp;"","")</f>
        <v/>
      </c>
      <c r="I314" s="67" t="s">
        <v>366</v>
      </c>
      <c r="J314" s="67" t="s">
        <v>134</v>
      </c>
      <c r="K314" s="68"/>
      <c r="L314" s="68"/>
      <c r="M314" s="68"/>
      <c r="N314" s="69"/>
      <c r="O314" s="68"/>
    </row>
    <row r="315" customFormat="false" ht="27.75" hidden="false" customHeight="true" outlineLevel="0" collapsed="false">
      <c r="A315" s="66" t="n">
        <v>239</v>
      </c>
      <c r="B315" s="67" t="s">
        <v>95</v>
      </c>
      <c r="C315" s="66" t="s">
        <v>107</v>
      </c>
      <c r="D315" s="66" t="n">
        <v>4</v>
      </c>
      <c r="E315" s="67" t="str">
        <f aca="false">IFERROR(INDEX('Master Data'!$L$2:$L$2436,MATCH($B$3&amp;"|"&amp;D315&amp;"|"&amp;B315&amp;"|"&amp;C315,'Master Data'!$A$2:$A$2436,0)),"")</f>
        <v>Belum terisi</v>
      </c>
      <c r="F315" s="67" t="str">
        <f aca="false">IFERROR(INDEX('Master Data'!$F$2:$F$2436,MATCH($B$3&amp;"|"&amp;D315&amp;"|"&amp;B315&amp;"|"&amp;C315,'Master Data'!$A$2:$A$2436,0))&amp;"","")</f>
        <v>Kids</v>
      </c>
      <c r="G315" s="66" t="n">
        <f aca="false">IFERROR(INDEX('Master Data'!$G$2:$G$2436,MATCH($B$3&amp;"|"&amp;D315&amp;"|"&amp;B315&amp;"|"&amp;C315,'Master Data'!$A$2:$A$2436,0)),"")</f>
        <v>4</v>
      </c>
      <c r="H315" s="67" t="str">
        <f aca="false">IFERROR(INDEX('Master Data'!$K$2:$K$2436,MATCH($B$3&amp;"|"&amp;D315&amp;"|"&amp;B315&amp;"|"&amp;C315,'Master Data'!$A$2:$A$2436,0))&amp;"","")</f>
        <v/>
      </c>
      <c r="I315" s="67" t="s">
        <v>366</v>
      </c>
      <c r="J315" s="67" t="s">
        <v>134</v>
      </c>
      <c r="K315" s="68"/>
      <c r="L315" s="68"/>
      <c r="M315" s="68"/>
      <c r="N315" s="69"/>
      <c r="O315" s="68"/>
    </row>
    <row r="316" customFormat="false" ht="40.5" hidden="false" customHeight="true" outlineLevel="0" collapsed="false">
      <c r="A316" s="66" t="n">
        <v>240</v>
      </c>
      <c r="B316" s="67" t="s">
        <v>78</v>
      </c>
      <c r="C316" s="66" t="s">
        <v>110</v>
      </c>
      <c r="D316" s="66" t="n">
        <v>1</v>
      </c>
      <c r="E316" s="67" t="str">
        <f aca="false">IFERROR(INDEX('Master Data'!$L$2:$L$2436,MATCH($B$3&amp;"|"&amp;D316&amp;"|"&amp;B316&amp;"|"&amp;C316,'Master Data'!$A$2:$A$2436,0)),"")</f>
        <v>Belum terisi</v>
      </c>
      <c r="F316" s="67" t="str">
        <f aca="false">IFERROR(INDEX('Master Data'!$F$2:$F$2436,MATCH($B$3&amp;"|"&amp;D316&amp;"|"&amp;B316&amp;"|"&amp;C316,'Master Data'!$A$2:$A$2436,0))&amp;"","")</f>
        <v>Tiny</v>
      </c>
      <c r="G316" s="66" t="n">
        <f aca="false">IFERROR(INDEX('Master Data'!$G$2:$G$2436,MATCH($B$3&amp;"|"&amp;D316&amp;"|"&amp;B316&amp;"|"&amp;C316,'Master Data'!$A$2:$A$2436,0)),"")</f>
        <v>5</v>
      </c>
      <c r="H316" s="67" t="str">
        <f aca="false">IFERROR(INDEX('Master Data'!$K$2:$K$2436,MATCH($B$3&amp;"|"&amp;D316&amp;"|"&amp;B316&amp;"|"&amp;C316,'Master Data'!$A$2:$A$2436,0))&amp;"","")</f>
        <v/>
      </c>
      <c r="I316" s="67" t="s">
        <v>367</v>
      </c>
      <c r="J316" s="67" t="s">
        <v>134</v>
      </c>
      <c r="K316" s="68"/>
      <c r="L316" s="68"/>
      <c r="M316" s="68"/>
      <c r="N316" s="69"/>
      <c r="O316" s="68"/>
    </row>
    <row r="317" customFormat="false" ht="40.5" hidden="false" customHeight="true" outlineLevel="0" collapsed="false">
      <c r="A317" s="66" t="n">
        <v>241</v>
      </c>
      <c r="B317" s="67" t="s">
        <v>78</v>
      </c>
      <c r="C317" s="66" t="s">
        <v>110</v>
      </c>
      <c r="D317" s="66" t="n">
        <v>2</v>
      </c>
      <c r="E317" s="67" t="str">
        <f aca="false">IFERROR(INDEX('Master Data'!$L$2:$L$2436,MATCH($B$3&amp;"|"&amp;D317&amp;"|"&amp;B317&amp;"|"&amp;C317,'Master Data'!$A$2:$A$2436,0)),"")</f>
        <v>Belum terisi</v>
      </c>
      <c r="F317" s="67" t="str">
        <f aca="false">IFERROR(INDEX('Master Data'!$F$2:$F$2436,MATCH($B$3&amp;"|"&amp;D317&amp;"|"&amp;B317&amp;"|"&amp;C317,'Master Data'!$A$2:$A$2436,0))&amp;"","")</f>
        <v>Little</v>
      </c>
      <c r="G317" s="66" t="n">
        <f aca="false">IFERROR(INDEX('Master Data'!$G$2:$G$2436,MATCH($B$3&amp;"|"&amp;D317&amp;"|"&amp;B317&amp;"|"&amp;C317,'Master Data'!$A$2:$A$2436,0)),"")</f>
        <v>5</v>
      </c>
      <c r="H317" s="67" t="str">
        <f aca="false">IFERROR(INDEX('Master Data'!$K$2:$K$2436,MATCH($B$3&amp;"|"&amp;D317&amp;"|"&amp;B317&amp;"|"&amp;C317,'Master Data'!$A$2:$A$2436,0))&amp;"","")</f>
        <v/>
      </c>
      <c r="I317" s="67" t="s">
        <v>367</v>
      </c>
      <c r="J317" s="67" t="s">
        <v>134</v>
      </c>
      <c r="K317" s="68"/>
      <c r="L317" s="68"/>
      <c r="M317" s="68"/>
      <c r="N317" s="69"/>
      <c r="O317" s="68"/>
    </row>
    <row r="318" customFormat="false" ht="40.5" hidden="false" customHeight="true" outlineLevel="0" collapsed="false">
      <c r="A318" s="66" t="n">
        <v>242</v>
      </c>
      <c r="B318" s="67" t="s">
        <v>78</v>
      </c>
      <c r="C318" s="66" t="s">
        <v>96</v>
      </c>
      <c r="D318" s="66" t="n">
        <v>3</v>
      </c>
      <c r="E318" s="67" t="str">
        <f aca="false">IFERROR(INDEX('Master Data'!$L$2:$L$2436,MATCH($B$3&amp;"|"&amp;D318&amp;"|"&amp;B318&amp;"|"&amp;C318,'Master Data'!$A$2:$A$2436,0)),"")</f>
        <v>Belum terisi</v>
      </c>
      <c r="F318" s="67" t="str">
        <f aca="false">IFERROR(INDEX('Master Data'!$F$2:$F$2436,MATCH($B$3&amp;"|"&amp;D318&amp;"|"&amp;B318&amp;"|"&amp;C318,'Master Data'!$A$2:$A$2436,0))&amp;"","")</f>
        <v>Kids</v>
      </c>
      <c r="G318" s="66" t="n">
        <f aca="false">IFERROR(INDEX('Master Data'!$G$2:$G$2436,MATCH($B$3&amp;"|"&amp;D318&amp;"|"&amp;B318&amp;"|"&amp;C318,'Master Data'!$A$2:$A$2436,0)),"")</f>
        <v>4</v>
      </c>
      <c r="H318" s="67" t="str">
        <f aca="false">IFERROR(INDEX('Master Data'!$K$2:$K$2436,MATCH($B$3&amp;"|"&amp;D318&amp;"|"&amp;B318&amp;"|"&amp;C318,'Master Data'!$A$2:$A$2436,0))&amp;"","")</f>
        <v/>
      </c>
      <c r="I318" s="67" t="s">
        <v>368</v>
      </c>
      <c r="J318" s="67" t="s">
        <v>134</v>
      </c>
      <c r="K318" s="68"/>
      <c r="L318" s="68"/>
      <c r="M318" s="68"/>
      <c r="N318" s="69"/>
      <c r="O318" s="68"/>
    </row>
    <row r="319" customFormat="false" ht="40.5" hidden="false" customHeight="true" outlineLevel="0" collapsed="false">
      <c r="A319" s="66" t="n">
        <v>243</v>
      </c>
      <c r="B319" s="67" t="s">
        <v>78</v>
      </c>
      <c r="C319" s="66" t="s">
        <v>96</v>
      </c>
      <c r="D319" s="66" t="n">
        <v>4</v>
      </c>
      <c r="E319" s="67" t="str">
        <f aca="false">IFERROR(INDEX('Master Data'!$L$2:$L$2436,MATCH($B$3&amp;"|"&amp;D319&amp;"|"&amp;B319&amp;"|"&amp;C319,'Master Data'!$A$2:$A$2436,0)),"")</f>
        <v>Belum terisi</v>
      </c>
      <c r="F319" s="67" t="str">
        <f aca="false">IFERROR(INDEX('Master Data'!$F$2:$F$2436,MATCH($B$3&amp;"|"&amp;D319&amp;"|"&amp;B319&amp;"|"&amp;C319,'Master Data'!$A$2:$A$2436,0))&amp;"","")</f>
        <v>Kids</v>
      </c>
      <c r="G319" s="66" t="n">
        <f aca="false">IFERROR(INDEX('Master Data'!$G$2:$G$2436,MATCH($B$3&amp;"|"&amp;D319&amp;"|"&amp;B319&amp;"|"&amp;C319,'Master Data'!$A$2:$A$2436,0)),"")</f>
        <v>4</v>
      </c>
      <c r="H319" s="67" t="str">
        <f aca="false">IFERROR(INDEX('Master Data'!$K$2:$K$2436,MATCH($B$3&amp;"|"&amp;D319&amp;"|"&amp;B319&amp;"|"&amp;C319,'Master Data'!$A$2:$A$2436,0))&amp;"","")</f>
        <v/>
      </c>
      <c r="I319" s="67" t="s">
        <v>368</v>
      </c>
      <c r="J319" s="67" t="s">
        <v>134</v>
      </c>
      <c r="K319" s="68"/>
      <c r="L319" s="68"/>
      <c r="M319" s="68"/>
      <c r="N319" s="69"/>
      <c r="O319" s="68"/>
    </row>
    <row r="320" customFormat="false" ht="40.5" hidden="false" customHeight="true" outlineLevel="0" collapsed="false">
      <c r="A320" s="66" t="n">
        <v>244</v>
      </c>
      <c r="B320" s="67" t="s">
        <v>78</v>
      </c>
      <c r="C320" s="66" t="s">
        <v>111</v>
      </c>
      <c r="D320" s="66" t="n">
        <v>2</v>
      </c>
      <c r="E320" s="67" t="str">
        <f aca="false">IFERROR(INDEX('Master Data'!$L$2:$L$2436,MATCH($B$3&amp;"|"&amp;D320&amp;"|"&amp;B320&amp;"|"&amp;C320,'Master Data'!$A$2:$A$2436,0)),"")</f>
        <v>Belum terisi</v>
      </c>
      <c r="F320" s="67" t="str">
        <f aca="false">IFERROR(INDEX('Master Data'!$F$2:$F$2436,MATCH($B$3&amp;"|"&amp;D320&amp;"|"&amp;B320&amp;"|"&amp;C320,'Master Data'!$A$2:$A$2436,0))&amp;"","")</f>
        <v>Little</v>
      </c>
      <c r="G320" s="66" t="n">
        <f aca="false">IFERROR(INDEX('Master Data'!$G$2:$G$2436,MATCH($B$3&amp;"|"&amp;D320&amp;"|"&amp;B320&amp;"|"&amp;C320,'Master Data'!$A$2:$A$2436,0)),"")</f>
        <v>5</v>
      </c>
      <c r="H320" s="67" t="str">
        <f aca="false">IFERROR(INDEX('Master Data'!$K$2:$K$2436,MATCH($B$3&amp;"|"&amp;D320&amp;"|"&amp;B320&amp;"|"&amp;C320,'Master Data'!$A$2:$A$2436,0))&amp;"","")</f>
        <v/>
      </c>
      <c r="I320" s="67" t="s">
        <v>368</v>
      </c>
      <c r="J320" s="67" t="s">
        <v>134</v>
      </c>
      <c r="K320" s="68"/>
      <c r="L320" s="68"/>
      <c r="M320" s="68"/>
      <c r="N320" s="69"/>
      <c r="O320" s="68"/>
    </row>
    <row r="321" customFormat="false" ht="27.75" hidden="false" customHeight="true" outlineLevel="0" collapsed="false">
      <c r="A321" s="66" t="n">
        <v>245</v>
      </c>
      <c r="B321" s="67" t="s">
        <v>78</v>
      </c>
      <c r="C321" s="66" t="s">
        <v>97</v>
      </c>
      <c r="D321" s="66" t="n">
        <v>3</v>
      </c>
      <c r="E321" s="67" t="str">
        <f aca="false">IFERROR(INDEX('Master Data'!$L$2:$L$2436,MATCH($B$3&amp;"|"&amp;D321&amp;"|"&amp;B321&amp;"|"&amp;C321,'Master Data'!$A$2:$A$2436,0)),"")</f>
        <v>Belum terisi</v>
      </c>
      <c r="F321" s="67" t="str">
        <f aca="false">IFERROR(INDEX('Master Data'!$F$2:$F$2436,MATCH($B$3&amp;"|"&amp;D321&amp;"|"&amp;B321&amp;"|"&amp;C321,'Master Data'!$A$2:$A$2436,0))&amp;"","")</f>
        <v>Kids</v>
      </c>
      <c r="G321" s="66" t="n">
        <f aca="false">IFERROR(INDEX('Master Data'!$G$2:$G$2436,MATCH($B$3&amp;"|"&amp;D321&amp;"|"&amp;B321&amp;"|"&amp;C321,'Master Data'!$A$2:$A$2436,0)),"")</f>
        <v>4</v>
      </c>
      <c r="H321" s="67" t="str">
        <f aca="false">IFERROR(INDEX('Master Data'!$K$2:$K$2436,MATCH($B$3&amp;"|"&amp;D321&amp;"|"&amp;B321&amp;"|"&amp;C321,'Master Data'!$A$2:$A$2436,0))&amp;"","")</f>
        <v/>
      </c>
      <c r="I321" s="67" t="s">
        <v>369</v>
      </c>
      <c r="J321" s="67" t="s">
        <v>144</v>
      </c>
      <c r="K321" s="68"/>
      <c r="L321" s="68"/>
      <c r="M321" s="68"/>
      <c r="N321" s="69"/>
      <c r="O321" s="68"/>
    </row>
    <row r="322" customFormat="false" ht="27.75" hidden="false" customHeight="true" outlineLevel="0" collapsed="false">
      <c r="A322" s="66" t="n">
        <v>246</v>
      </c>
      <c r="B322" s="67" t="s">
        <v>78</v>
      </c>
      <c r="C322" s="66" t="s">
        <v>97</v>
      </c>
      <c r="D322" s="66" t="n">
        <v>4</v>
      </c>
      <c r="E322" s="67" t="str">
        <f aca="false">IFERROR(INDEX('Master Data'!$L$2:$L$2436,MATCH($B$3&amp;"|"&amp;D322&amp;"|"&amp;B322&amp;"|"&amp;C322,'Master Data'!$A$2:$A$2436,0)),"")</f>
        <v>Belum terisi</v>
      </c>
      <c r="F322" s="67" t="str">
        <f aca="false">IFERROR(INDEX('Master Data'!$F$2:$F$2436,MATCH($B$3&amp;"|"&amp;D322&amp;"|"&amp;B322&amp;"|"&amp;C322,'Master Data'!$A$2:$A$2436,0))&amp;"","")</f>
        <v>Kids</v>
      </c>
      <c r="G322" s="66" t="n">
        <f aca="false">IFERROR(INDEX('Master Data'!$G$2:$G$2436,MATCH($B$3&amp;"|"&amp;D322&amp;"|"&amp;B322&amp;"|"&amp;C322,'Master Data'!$A$2:$A$2436,0)),"")</f>
        <v>4</v>
      </c>
      <c r="H322" s="67" t="str">
        <f aca="false">IFERROR(INDEX('Master Data'!$K$2:$K$2436,MATCH($B$3&amp;"|"&amp;D322&amp;"|"&amp;B322&amp;"|"&amp;C322,'Master Data'!$A$2:$A$2436,0))&amp;"","")</f>
        <v/>
      </c>
      <c r="I322" s="67" t="s">
        <v>369</v>
      </c>
      <c r="J322" s="67" t="s">
        <v>144</v>
      </c>
      <c r="K322" s="68"/>
      <c r="L322" s="68"/>
      <c r="M322" s="68"/>
      <c r="N322" s="69"/>
      <c r="O322" s="68"/>
    </row>
    <row r="323" customFormat="false" ht="27.75" hidden="false" customHeight="true" outlineLevel="0" collapsed="false">
      <c r="A323" s="66" t="n">
        <v>247</v>
      </c>
      <c r="B323" s="67" t="s">
        <v>78</v>
      </c>
      <c r="C323" s="66" t="s">
        <v>112</v>
      </c>
      <c r="D323" s="66" t="n">
        <v>2</v>
      </c>
      <c r="E323" s="67" t="str">
        <f aca="false">IFERROR(INDEX('Master Data'!$L$2:$L$2436,MATCH($B$3&amp;"|"&amp;D323&amp;"|"&amp;B323&amp;"|"&amp;C323,'Master Data'!$A$2:$A$2436,0)),"")</f>
        <v>Belum terisi</v>
      </c>
      <c r="F323" s="67" t="str">
        <f aca="false">IFERROR(INDEX('Master Data'!$F$2:$F$2436,MATCH($B$3&amp;"|"&amp;D323&amp;"|"&amp;B323&amp;"|"&amp;C323,'Master Data'!$A$2:$A$2436,0))&amp;"","")</f>
        <v>Little</v>
      </c>
      <c r="G323" s="66" t="n">
        <f aca="false">IFERROR(INDEX('Master Data'!$G$2:$G$2436,MATCH($B$3&amp;"|"&amp;D323&amp;"|"&amp;B323&amp;"|"&amp;C323,'Master Data'!$A$2:$A$2436,0)),"")</f>
        <v>5</v>
      </c>
      <c r="H323" s="67" t="str">
        <f aca="false">IFERROR(INDEX('Master Data'!$K$2:$K$2436,MATCH($B$3&amp;"|"&amp;D323&amp;"|"&amp;B323&amp;"|"&amp;C323,'Master Data'!$A$2:$A$2436,0))&amp;"","")</f>
        <v/>
      </c>
      <c r="I323" s="67" t="s">
        <v>370</v>
      </c>
      <c r="J323" s="67" t="s">
        <v>134</v>
      </c>
      <c r="K323" s="68"/>
      <c r="L323" s="68"/>
      <c r="M323" s="68"/>
      <c r="N323" s="69"/>
      <c r="O323" s="68"/>
    </row>
    <row r="324" customFormat="false" ht="15.75" hidden="false" customHeight="true" outlineLevel="0" collapsed="false">
      <c r="A324" s="66" t="n">
        <v>248</v>
      </c>
      <c r="B324" s="67" t="s">
        <v>78</v>
      </c>
      <c r="C324" s="66" t="s">
        <v>98</v>
      </c>
      <c r="D324" s="66" t="n">
        <v>4</v>
      </c>
      <c r="E324" s="67" t="str">
        <f aca="false">IFERROR(INDEX('Master Data'!$L$2:$L$2436,MATCH($B$3&amp;"|"&amp;D324&amp;"|"&amp;B324&amp;"|"&amp;C324,'Master Data'!$A$2:$A$2436,0)),"")</f>
        <v>Belum terisi</v>
      </c>
      <c r="F324" s="67" t="str">
        <f aca="false">IFERROR(INDEX('Master Data'!$F$2:$F$2436,MATCH($B$3&amp;"|"&amp;D324&amp;"|"&amp;B324&amp;"|"&amp;C324,'Master Data'!$A$2:$A$2436,0))&amp;"","")</f>
        <v>Kids</v>
      </c>
      <c r="G324" s="66" t="n">
        <f aca="false">IFERROR(INDEX('Master Data'!$G$2:$G$2436,MATCH($B$3&amp;"|"&amp;D324&amp;"|"&amp;B324&amp;"|"&amp;C324,'Master Data'!$A$2:$A$2436,0)),"")</f>
        <v>4</v>
      </c>
      <c r="H324" s="67" t="str">
        <f aca="false">IFERROR(INDEX('Master Data'!$K$2:$K$2436,MATCH($B$3&amp;"|"&amp;D324&amp;"|"&amp;B324&amp;"|"&amp;C324,'Master Data'!$A$2:$A$2436,0))&amp;"","")</f>
        <v/>
      </c>
      <c r="I324" s="67" t="s">
        <v>371</v>
      </c>
      <c r="J324" s="67" t="s">
        <v>144</v>
      </c>
      <c r="K324" s="68"/>
      <c r="L324" s="68"/>
      <c r="M324" s="68"/>
      <c r="N324" s="69"/>
      <c r="O324" s="68"/>
    </row>
    <row r="325" customFormat="false" ht="15.75" hidden="false" customHeight="true" outlineLevel="0" collapsed="false">
      <c r="A325" s="66" t="n">
        <v>249</v>
      </c>
      <c r="B325" s="67" t="s">
        <v>78</v>
      </c>
      <c r="C325" s="66" t="s">
        <v>99</v>
      </c>
      <c r="D325" s="66" t="n">
        <v>4</v>
      </c>
      <c r="E325" s="67" t="str">
        <f aca="false">IFERROR(INDEX('Master Data'!$L$2:$L$2436,MATCH($B$3&amp;"|"&amp;D325&amp;"|"&amp;B325&amp;"|"&amp;C325,'Master Data'!$A$2:$A$2436,0)),"")</f>
        <v>Belum terisi</v>
      </c>
      <c r="F325" s="67" t="str">
        <f aca="false">IFERROR(INDEX('Master Data'!$F$2:$F$2436,MATCH($B$3&amp;"|"&amp;D325&amp;"|"&amp;B325&amp;"|"&amp;C325,'Master Data'!$A$2:$A$2436,0))&amp;"","")</f>
        <v>Kids</v>
      </c>
      <c r="G325" s="66" t="n">
        <f aca="false">IFERROR(INDEX('Master Data'!$G$2:$G$2436,MATCH($B$3&amp;"|"&amp;D325&amp;"|"&amp;B325&amp;"|"&amp;C325,'Master Data'!$A$2:$A$2436,0)),"")</f>
        <v>4</v>
      </c>
      <c r="H325" s="67" t="str">
        <f aca="false">IFERROR(INDEX('Master Data'!$K$2:$K$2436,MATCH($B$3&amp;"|"&amp;D325&amp;"|"&amp;B325&amp;"|"&amp;C325,'Master Data'!$A$2:$A$2436,0))&amp;"","")</f>
        <v/>
      </c>
      <c r="I325" s="67" t="s">
        <v>353</v>
      </c>
      <c r="J325" s="67" t="s">
        <v>203</v>
      </c>
      <c r="K325" s="68"/>
      <c r="L325" s="68"/>
      <c r="M325" s="68"/>
      <c r="N325" s="69"/>
      <c r="O325" s="68"/>
    </row>
    <row r="326" customFormat="false" ht="15.75" hidden="false" customHeight="true" outlineLevel="0" collapsed="false">
      <c r="A326" s="66" t="n">
        <v>250</v>
      </c>
      <c r="B326" s="67" t="s">
        <v>78</v>
      </c>
      <c r="C326" s="66" t="s">
        <v>100</v>
      </c>
      <c r="D326" s="66" t="n">
        <v>4</v>
      </c>
      <c r="E326" s="67" t="str">
        <f aca="false">IFERROR(INDEX('Master Data'!$L$2:$L$2436,MATCH($B$3&amp;"|"&amp;D326&amp;"|"&amp;B326&amp;"|"&amp;C326,'Master Data'!$A$2:$A$2436,0)),"")</f>
        <v>Belum terisi</v>
      </c>
      <c r="F326" s="67" t="str">
        <f aca="false">IFERROR(INDEX('Master Data'!$F$2:$F$2436,MATCH($B$3&amp;"|"&amp;D326&amp;"|"&amp;B326&amp;"|"&amp;C326,'Master Data'!$A$2:$A$2436,0))&amp;"","")</f>
        <v>Kids</v>
      </c>
      <c r="G326" s="66" t="n">
        <f aca="false">IFERROR(INDEX('Master Data'!$G$2:$G$2436,MATCH($B$3&amp;"|"&amp;D326&amp;"|"&amp;B326&amp;"|"&amp;C326,'Master Data'!$A$2:$A$2436,0)),"")</f>
        <v>4</v>
      </c>
      <c r="H326" s="67" t="str">
        <f aca="false">IFERROR(INDEX('Master Data'!$K$2:$K$2436,MATCH($B$3&amp;"|"&amp;D326&amp;"|"&amp;B326&amp;"|"&amp;C326,'Master Data'!$A$2:$A$2436,0))&amp;"","")</f>
        <v/>
      </c>
      <c r="I326" s="67" t="s">
        <v>363</v>
      </c>
      <c r="J326" s="67" t="s">
        <v>203</v>
      </c>
      <c r="K326" s="68"/>
      <c r="L326" s="68"/>
      <c r="M326" s="68"/>
      <c r="N326" s="69"/>
      <c r="O326" s="68"/>
    </row>
    <row r="327" customFormat="false" ht="27.75" hidden="false" customHeight="true" outlineLevel="0" collapsed="false">
      <c r="A327" s="66" t="n">
        <v>251</v>
      </c>
      <c r="B327" s="67" t="s">
        <v>78</v>
      </c>
      <c r="C327" s="66" t="s">
        <v>115</v>
      </c>
      <c r="D327" s="66" t="n">
        <v>2</v>
      </c>
      <c r="E327" s="67" t="str">
        <f aca="false">IFERROR(INDEX('Master Data'!$L$2:$L$2436,MATCH($B$3&amp;"|"&amp;D327&amp;"|"&amp;B327&amp;"|"&amp;C327,'Master Data'!$A$2:$A$2436,0)),"")</f>
        <v>Belum terisi</v>
      </c>
      <c r="F327" s="67" t="str">
        <f aca="false">IFERROR(INDEX('Master Data'!$F$2:$F$2436,MATCH($B$3&amp;"|"&amp;D327&amp;"|"&amp;B327&amp;"|"&amp;C327,'Master Data'!$A$2:$A$2436,0))&amp;"","")</f>
        <v>Little</v>
      </c>
      <c r="G327" s="66" t="n">
        <f aca="false">IFERROR(INDEX('Master Data'!$G$2:$G$2436,MATCH($B$3&amp;"|"&amp;D327&amp;"|"&amp;B327&amp;"|"&amp;C327,'Master Data'!$A$2:$A$2436,0)),"")</f>
        <v>5</v>
      </c>
      <c r="H327" s="67" t="str">
        <f aca="false">IFERROR(INDEX('Master Data'!$K$2:$K$2436,MATCH($B$3&amp;"|"&amp;D327&amp;"|"&amp;B327&amp;"|"&amp;C327,'Master Data'!$A$2:$A$2436,0))&amp;"","")</f>
        <v/>
      </c>
      <c r="I327" s="67" t="s">
        <v>369</v>
      </c>
      <c r="J327" s="67" t="s">
        <v>144</v>
      </c>
      <c r="K327" s="68"/>
      <c r="L327" s="68"/>
      <c r="M327" s="68"/>
      <c r="N327" s="69"/>
      <c r="O327" s="68"/>
    </row>
    <row r="328" customFormat="false" ht="40.5" hidden="false" customHeight="true" outlineLevel="0" collapsed="false">
      <c r="A328" s="66" t="n">
        <v>252</v>
      </c>
      <c r="B328" s="67" t="s">
        <v>78</v>
      </c>
      <c r="C328" s="66" t="s">
        <v>101</v>
      </c>
      <c r="D328" s="66" t="n">
        <v>3</v>
      </c>
      <c r="E328" s="67" t="str">
        <f aca="false">IFERROR(INDEX('Master Data'!$L$2:$L$2436,MATCH($B$3&amp;"|"&amp;D328&amp;"|"&amp;B328&amp;"|"&amp;C328,'Master Data'!$A$2:$A$2436,0)),"")</f>
        <v>Belum terisi</v>
      </c>
      <c r="F328" s="67" t="str">
        <f aca="false">IFERROR(INDEX('Master Data'!$F$2:$F$2436,MATCH($B$3&amp;"|"&amp;D328&amp;"|"&amp;B328&amp;"|"&amp;C328,'Master Data'!$A$2:$A$2436,0))&amp;"","")</f>
        <v>Kids</v>
      </c>
      <c r="G328" s="66" t="n">
        <f aca="false">IFERROR(INDEX('Master Data'!$G$2:$G$2436,MATCH($B$3&amp;"|"&amp;D328&amp;"|"&amp;B328&amp;"|"&amp;C328,'Master Data'!$A$2:$A$2436,0)),"")</f>
        <v>4</v>
      </c>
      <c r="H328" s="67" t="str">
        <f aca="false">IFERROR(INDEX('Master Data'!$K$2:$K$2436,MATCH($B$3&amp;"|"&amp;D328&amp;"|"&amp;B328&amp;"|"&amp;C328,'Master Data'!$A$2:$A$2436,0))&amp;"","")</f>
        <v/>
      </c>
      <c r="I328" s="67" t="s">
        <v>368</v>
      </c>
      <c r="J328" s="67" t="s">
        <v>134</v>
      </c>
      <c r="K328" s="68"/>
      <c r="L328" s="68"/>
      <c r="M328" s="68"/>
      <c r="N328" s="69"/>
      <c r="O328" s="68"/>
    </row>
    <row r="329" customFormat="false" ht="40.5" hidden="false" customHeight="true" outlineLevel="0" collapsed="false">
      <c r="A329" s="66" t="n">
        <v>253</v>
      </c>
      <c r="B329" s="67" t="s">
        <v>78</v>
      </c>
      <c r="C329" s="66" t="s">
        <v>101</v>
      </c>
      <c r="D329" s="66" t="n">
        <v>4</v>
      </c>
      <c r="E329" s="67" t="str">
        <f aca="false">IFERROR(INDEX('Master Data'!$L$2:$L$2436,MATCH($B$3&amp;"|"&amp;D329&amp;"|"&amp;B329&amp;"|"&amp;C329,'Master Data'!$A$2:$A$2436,0)),"")</f>
        <v>Belum terisi</v>
      </c>
      <c r="F329" s="67" t="str">
        <f aca="false">IFERROR(INDEX('Master Data'!$F$2:$F$2436,MATCH($B$3&amp;"|"&amp;D329&amp;"|"&amp;B329&amp;"|"&amp;C329,'Master Data'!$A$2:$A$2436,0))&amp;"","")</f>
        <v>Kids</v>
      </c>
      <c r="G329" s="66" t="n">
        <f aca="false">IFERROR(INDEX('Master Data'!$G$2:$G$2436,MATCH($B$3&amp;"|"&amp;D329&amp;"|"&amp;B329&amp;"|"&amp;C329,'Master Data'!$A$2:$A$2436,0)),"")</f>
        <v>4</v>
      </c>
      <c r="H329" s="67" t="str">
        <f aca="false">IFERROR(INDEX('Master Data'!$K$2:$K$2436,MATCH($B$3&amp;"|"&amp;D329&amp;"|"&amp;B329&amp;"|"&amp;C329,'Master Data'!$A$2:$A$2436,0))&amp;"","")</f>
        <v/>
      </c>
      <c r="I329" s="67" t="s">
        <v>368</v>
      </c>
      <c r="J329" s="67" t="s">
        <v>134</v>
      </c>
      <c r="K329" s="68"/>
      <c r="L329" s="68"/>
      <c r="M329" s="68"/>
      <c r="N329" s="69"/>
      <c r="O329" s="68"/>
    </row>
    <row r="330" customFormat="false" ht="40.5" hidden="false" customHeight="true" outlineLevel="0" collapsed="false">
      <c r="A330" s="66" t="n">
        <v>254</v>
      </c>
      <c r="B330" s="67" t="s">
        <v>78</v>
      </c>
      <c r="C330" s="66" t="s">
        <v>116</v>
      </c>
      <c r="D330" s="66" t="n">
        <v>1</v>
      </c>
      <c r="E330" s="67" t="str">
        <f aca="false">IFERROR(INDEX('Master Data'!$L$2:$L$2436,MATCH($B$3&amp;"|"&amp;D330&amp;"|"&amp;B330&amp;"|"&amp;C330,'Master Data'!$A$2:$A$2436,0)),"")</f>
        <v>Belum terisi</v>
      </c>
      <c r="F330" s="67" t="str">
        <f aca="false">IFERROR(INDEX('Master Data'!$F$2:$F$2436,MATCH($B$3&amp;"|"&amp;D330&amp;"|"&amp;B330&amp;"|"&amp;C330,'Master Data'!$A$2:$A$2436,0))&amp;"","")</f>
        <v>Tiny</v>
      </c>
      <c r="G330" s="66" t="n">
        <f aca="false">IFERROR(INDEX('Master Data'!$G$2:$G$2436,MATCH($B$3&amp;"|"&amp;D330&amp;"|"&amp;B330&amp;"|"&amp;C330,'Master Data'!$A$2:$A$2436,0)),"")</f>
        <v>5</v>
      </c>
      <c r="H330" s="67" t="str">
        <f aca="false">IFERROR(INDEX('Master Data'!$K$2:$K$2436,MATCH($B$3&amp;"|"&amp;D330&amp;"|"&amp;B330&amp;"|"&amp;C330,'Master Data'!$A$2:$A$2436,0))&amp;"","")</f>
        <v/>
      </c>
      <c r="I330" s="67" t="s">
        <v>367</v>
      </c>
      <c r="J330" s="67" t="s">
        <v>134</v>
      </c>
      <c r="K330" s="68"/>
      <c r="L330" s="68"/>
      <c r="M330" s="68"/>
      <c r="N330" s="69"/>
      <c r="O330" s="68"/>
    </row>
    <row r="331" customFormat="false" ht="40.5" hidden="false" customHeight="true" outlineLevel="0" collapsed="false">
      <c r="A331" s="66" t="n">
        <v>255</v>
      </c>
      <c r="B331" s="67" t="s">
        <v>78</v>
      </c>
      <c r="C331" s="66" t="s">
        <v>116</v>
      </c>
      <c r="D331" s="66" t="n">
        <v>2</v>
      </c>
      <c r="E331" s="67" t="str">
        <f aca="false">IFERROR(INDEX('Master Data'!$L$2:$L$2436,MATCH($B$3&amp;"|"&amp;D331&amp;"|"&amp;B331&amp;"|"&amp;C331,'Master Data'!$A$2:$A$2436,0)),"")</f>
        <v>Belum terisi</v>
      </c>
      <c r="F331" s="67" t="str">
        <f aca="false">IFERROR(INDEX('Master Data'!$F$2:$F$2436,MATCH($B$3&amp;"|"&amp;D331&amp;"|"&amp;B331&amp;"|"&amp;C331,'Master Data'!$A$2:$A$2436,0))&amp;"","")</f>
        <v>Little</v>
      </c>
      <c r="G331" s="66" t="n">
        <f aca="false">IFERROR(INDEX('Master Data'!$G$2:$G$2436,MATCH($B$3&amp;"|"&amp;D331&amp;"|"&amp;B331&amp;"|"&amp;C331,'Master Data'!$A$2:$A$2436,0)),"")</f>
        <v>5</v>
      </c>
      <c r="H331" s="67" t="str">
        <f aca="false">IFERROR(INDEX('Master Data'!$K$2:$K$2436,MATCH($B$3&amp;"|"&amp;D331&amp;"|"&amp;B331&amp;"|"&amp;C331,'Master Data'!$A$2:$A$2436,0))&amp;"","")</f>
        <v/>
      </c>
      <c r="I331" s="67" t="s">
        <v>367</v>
      </c>
      <c r="J331" s="67" t="s">
        <v>134</v>
      </c>
      <c r="K331" s="68"/>
      <c r="L331" s="68"/>
      <c r="M331" s="68"/>
      <c r="N331" s="69"/>
      <c r="O331" s="68"/>
    </row>
    <row r="332" customFormat="false" ht="40.5" hidden="false" customHeight="true" outlineLevel="0" collapsed="false">
      <c r="A332" s="66" t="n">
        <v>256</v>
      </c>
      <c r="B332" s="67" t="s">
        <v>78</v>
      </c>
      <c r="C332" s="66" t="s">
        <v>102</v>
      </c>
      <c r="D332" s="66" t="n">
        <v>3</v>
      </c>
      <c r="E332" s="67" t="str">
        <f aca="false">IFERROR(INDEX('Master Data'!$L$2:$L$2436,MATCH($B$3&amp;"|"&amp;D332&amp;"|"&amp;B332&amp;"|"&amp;C332,'Master Data'!$A$2:$A$2436,0)),"")</f>
        <v>Belum terisi</v>
      </c>
      <c r="F332" s="67" t="str">
        <f aca="false">IFERROR(INDEX('Master Data'!$F$2:$F$2436,MATCH($B$3&amp;"|"&amp;D332&amp;"|"&amp;B332&amp;"|"&amp;C332,'Master Data'!$A$2:$A$2436,0))&amp;"","")</f>
        <v>Kids</v>
      </c>
      <c r="G332" s="66" t="n">
        <f aca="false">IFERROR(INDEX('Master Data'!$G$2:$G$2436,MATCH($B$3&amp;"|"&amp;D332&amp;"|"&amp;B332&amp;"|"&amp;C332,'Master Data'!$A$2:$A$2436,0)),"")</f>
        <v>4</v>
      </c>
      <c r="H332" s="67" t="str">
        <f aca="false">IFERROR(INDEX('Master Data'!$K$2:$K$2436,MATCH($B$3&amp;"|"&amp;D332&amp;"|"&amp;B332&amp;"|"&amp;C332,'Master Data'!$A$2:$A$2436,0))&amp;"","")</f>
        <v/>
      </c>
      <c r="I332" s="67" t="s">
        <v>367</v>
      </c>
      <c r="J332" s="67" t="s">
        <v>134</v>
      </c>
      <c r="K332" s="68"/>
      <c r="L332" s="68"/>
      <c r="M332" s="68"/>
      <c r="N332" s="69"/>
      <c r="O332" s="68"/>
    </row>
    <row r="333" customFormat="false" ht="40.5" hidden="false" customHeight="true" outlineLevel="0" collapsed="false">
      <c r="A333" s="66" t="n">
        <v>257</v>
      </c>
      <c r="B333" s="67" t="s">
        <v>78</v>
      </c>
      <c r="C333" s="66" t="s">
        <v>102</v>
      </c>
      <c r="D333" s="66" t="n">
        <v>4</v>
      </c>
      <c r="E333" s="67" t="str">
        <f aca="false">IFERROR(INDEX('Master Data'!$L$2:$L$2436,MATCH($B$3&amp;"|"&amp;D333&amp;"|"&amp;B333&amp;"|"&amp;C333,'Master Data'!$A$2:$A$2436,0)),"")</f>
        <v>Belum terisi</v>
      </c>
      <c r="F333" s="67" t="str">
        <f aca="false">IFERROR(INDEX('Master Data'!$F$2:$F$2436,MATCH($B$3&amp;"|"&amp;D333&amp;"|"&amp;B333&amp;"|"&amp;C333,'Master Data'!$A$2:$A$2436,0))&amp;"","")</f>
        <v>Kids</v>
      </c>
      <c r="G333" s="66" t="n">
        <f aca="false">IFERROR(INDEX('Master Data'!$G$2:$G$2436,MATCH($B$3&amp;"|"&amp;D333&amp;"|"&amp;B333&amp;"|"&amp;C333,'Master Data'!$A$2:$A$2436,0)),"")</f>
        <v>4</v>
      </c>
      <c r="H333" s="67" t="str">
        <f aca="false">IFERROR(INDEX('Master Data'!$K$2:$K$2436,MATCH($B$3&amp;"|"&amp;D333&amp;"|"&amp;B333&amp;"|"&amp;C333,'Master Data'!$A$2:$A$2436,0))&amp;"","")</f>
        <v/>
      </c>
      <c r="I333" s="67" t="s">
        <v>367</v>
      </c>
      <c r="J333" s="67" t="s">
        <v>134</v>
      </c>
      <c r="K333" s="68"/>
      <c r="L333" s="68"/>
      <c r="M333" s="68"/>
      <c r="N333" s="69"/>
      <c r="O333" s="68"/>
    </row>
    <row r="334" customFormat="false" ht="40.5" hidden="false" customHeight="true" outlineLevel="0" collapsed="false">
      <c r="A334" s="66" t="n">
        <v>258</v>
      </c>
      <c r="B334" s="67" t="s">
        <v>78</v>
      </c>
      <c r="C334" s="66" t="s">
        <v>117</v>
      </c>
      <c r="D334" s="66" t="n">
        <v>1</v>
      </c>
      <c r="E334" s="67" t="str">
        <f aca="false">IFERROR(INDEX('Master Data'!$L$2:$L$2436,MATCH($B$3&amp;"|"&amp;D334&amp;"|"&amp;B334&amp;"|"&amp;C334,'Master Data'!$A$2:$A$2436,0)),"")</f>
        <v>Belum terisi</v>
      </c>
      <c r="F334" s="67" t="str">
        <f aca="false">IFERROR(INDEX('Master Data'!$F$2:$F$2436,MATCH($B$3&amp;"|"&amp;D334&amp;"|"&amp;B334&amp;"|"&amp;C334,'Master Data'!$A$2:$A$2436,0))&amp;"","")</f>
        <v>Baby</v>
      </c>
      <c r="G334" s="66" t="n">
        <f aca="false">IFERROR(INDEX('Master Data'!$G$2:$G$2436,MATCH($B$3&amp;"|"&amp;D334&amp;"|"&amp;B334&amp;"|"&amp;C334,'Master Data'!$A$2:$A$2436,0)),"")</f>
        <v>5</v>
      </c>
      <c r="H334" s="67" t="str">
        <f aca="false">IFERROR(INDEX('Master Data'!$K$2:$K$2436,MATCH($B$3&amp;"|"&amp;D334&amp;"|"&amp;B334&amp;"|"&amp;C334,'Master Data'!$A$2:$A$2436,0))&amp;"","")</f>
        <v/>
      </c>
      <c r="I334" s="67" t="s">
        <v>368</v>
      </c>
      <c r="J334" s="67" t="s">
        <v>134</v>
      </c>
      <c r="K334" s="68"/>
      <c r="L334" s="68"/>
      <c r="M334" s="68"/>
      <c r="N334" s="69"/>
      <c r="O334" s="68"/>
    </row>
    <row r="335" customFormat="false" ht="40.5" hidden="false" customHeight="true" outlineLevel="0" collapsed="false">
      <c r="A335" s="66" t="n">
        <v>259</v>
      </c>
      <c r="B335" s="67" t="s">
        <v>78</v>
      </c>
      <c r="C335" s="66" t="s">
        <v>117</v>
      </c>
      <c r="D335" s="66" t="n">
        <v>2</v>
      </c>
      <c r="E335" s="67" t="str">
        <f aca="false">IFERROR(INDEX('Master Data'!$L$2:$L$2436,MATCH($B$3&amp;"|"&amp;D335&amp;"|"&amp;B335&amp;"|"&amp;C335,'Master Data'!$A$2:$A$2436,0)),"")</f>
        <v>Belum terisi</v>
      </c>
      <c r="F335" s="67" t="str">
        <f aca="false">IFERROR(INDEX('Master Data'!$F$2:$F$2436,MATCH($B$3&amp;"|"&amp;D335&amp;"|"&amp;B335&amp;"|"&amp;C335,'Master Data'!$A$2:$A$2436,0))&amp;"","")</f>
        <v>Little</v>
      </c>
      <c r="G335" s="66" t="n">
        <f aca="false">IFERROR(INDEX('Master Data'!$G$2:$G$2436,MATCH($B$3&amp;"|"&amp;D335&amp;"|"&amp;B335&amp;"|"&amp;C335,'Master Data'!$A$2:$A$2436,0)),"")</f>
        <v>5</v>
      </c>
      <c r="H335" s="67" t="str">
        <f aca="false">IFERROR(INDEX('Master Data'!$K$2:$K$2436,MATCH($B$3&amp;"|"&amp;D335&amp;"|"&amp;B335&amp;"|"&amp;C335,'Master Data'!$A$2:$A$2436,0))&amp;"","")</f>
        <v/>
      </c>
      <c r="I335" s="67" t="s">
        <v>368</v>
      </c>
      <c r="J335" s="67" t="s">
        <v>134</v>
      </c>
      <c r="K335" s="68"/>
      <c r="L335" s="68"/>
      <c r="M335" s="68"/>
      <c r="N335" s="69"/>
      <c r="O335" s="68"/>
    </row>
    <row r="336" customFormat="false" ht="27.75" hidden="false" customHeight="true" outlineLevel="0" collapsed="false">
      <c r="A336" s="66" t="n">
        <v>260</v>
      </c>
      <c r="B336" s="67" t="s">
        <v>78</v>
      </c>
      <c r="C336" s="66" t="s">
        <v>103</v>
      </c>
      <c r="D336" s="66" t="n">
        <v>4</v>
      </c>
      <c r="E336" s="67" t="str">
        <f aca="false">IFERROR(INDEX('Master Data'!$L$2:$L$2436,MATCH($B$3&amp;"|"&amp;D336&amp;"|"&amp;B336&amp;"|"&amp;C336,'Master Data'!$A$2:$A$2436,0)),"")</f>
        <v>Belum terisi</v>
      </c>
      <c r="F336" s="67" t="str">
        <f aca="false">IFERROR(INDEX('Master Data'!$F$2:$F$2436,MATCH($B$3&amp;"|"&amp;D336&amp;"|"&amp;B336&amp;"|"&amp;C336,'Master Data'!$A$2:$A$2436,0))&amp;"","")</f>
        <v>Kids</v>
      </c>
      <c r="G336" s="66" t="n">
        <f aca="false">IFERROR(INDEX('Master Data'!$G$2:$G$2436,MATCH($B$3&amp;"|"&amp;D336&amp;"|"&amp;B336&amp;"|"&amp;C336,'Master Data'!$A$2:$A$2436,0)),"")</f>
        <v>4</v>
      </c>
      <c r="H336" s="67" t="str">
        <f aca="false">IFERROR(INDEX('Master Data'!$K$2:$K$2436,MATCH($B$3&amp;"|"&amp;D336&amp;"|"&amp;B336&amp;"|"&amp;C336,'Master Data'!$A$2:$A$2436,0))&amp;"","")</f>
        <v/>
      </c>
      <c r="I336" s="67" t="s">
        <v>372</v>
      </c>
      <c r="J336" s="67" t="s">
        <v>134</v>
      </c>
      <c r="K336" s="68"/>
      <c r="L336" s="68"/>
      <c r="M336" s="68"/>
      <c r="N336" s="69"/>
      <c r="O336" s="68"/>
    </row>
    <row r="337" customFormat="false" ht="15.75" hidden="false" customHeight="true" outlineLevel="0" collapsed="false">
      <c r="A337" s="66" t="n">
        <v>261</v>
      </c>
      <c r="B337" s="67" t="s">
        <v>78</v>
      </c>
      <c r="C337" s="66" t="s">
        <v>118</v>
      </c>
      <c r="D337" s="66" t="n">
        <v>1</v>
      </c>
      <c r="E337" s="67" t="str">
        <f aca="false">IFERROR(INDEX('Master Data'!$L$2:$L$2436,MATCH($B$3&amp;"|"&amp;D337&amp;"|"&amp;B337&amp;"|"&amp;C337,'Master Data'!$A$2:$A$2436,0)),"")</f>
        <v>Belum terisi</v>
      </c>
      <c r="F337" s="67" t="str">
        <f aca="false">IFERROR(INDEX('Master Data'!$F$2:$F$2436,MATCH($B$3&amp;"|"&amp;D337&amp;"|"&amp;B337&amp;"|"&amp;C337,'Master Data'!$A$2:$A$2436,0))&amp;"","")</f>
        <v>Tiny</v>
      </c>
      <c r="G337" s="66" t="n">
        <f aca="false">IFERROR(INDEX('Master Data'!$G$2:$G$2436,MATCH($B$3&amp;"|"&amp;D337&amp;"|"&amp;B337&amp;"|"&amp;C337,'Master Data'!$A$2:$A$2436,0)),"")</f>
        <v>5</v>
      </c>
      <c r="H337" s="67" t="str">
        <f aca="false">IFERROR(INDEX('Master Data'!$K$2:$K$2436,MATCH($B$3&amp;"|"&amp;D337&amp;"|"&amp;B337&amp;"|"&amp;C337,'Master Data'!$A$2:$A$2436,0))&amp;"","")</f>
        <v/>
      </c>
      <c r="I337" s="67" t="s">
        <v>371</v>
      </c>
      <c r="J337" s="67" t="s">
        <v>144</v>
      </c>
      <c r="K337" s="68"/>
      <c r="L337" s="68"/>
      <c r="M337" s="68"/>
      <c r="N337" s="69"/>
      <c r="O337" s="68"/>
    </row>
    <row r="338" customFormat="false" ht="15.75" hidden="false" customHeight="true" outlineLevel="0" collapsed="false">
      <c r="A338" s="66" t="n">
        <v>262</v>
      </c>
      <c r="B338" s="67" t="s">
        <v>78</v>
      </c>
      <c r="C338" s="66" t="s">
        <v>104</v>
      </c>
      <c r="D338" s="66" t="n">
        <v>4</v>
      </c>
      <c r="E338" s="67" t="str">
        <f aca="false">IFERROR(INDEX('Master Data'!$L$2:$L$2436,MATCH($B$3&amp;"|"&amp;D338&amp;"|"&amp;B338&amp;"|"&amp;C338,'Master Data'!$A$2:$A$2436,0)),"")</f>
        <v>Belum terisi</v>
      </c>
      <c r="F338" s="67" t="str">
        <f aca="false">IFERROR(INDEX('Master Data'!$F$2:$F$2436,MATCH($B$3&amp;"|"&amp;D338&amp;"|"&amp;B338&amp;"|"&amp;C338,'Master Data'!$A$2:$A$2436,0))&amp;"","")</f>
        <v>Kids</v>
      </c>
      <c r="G338" s="66" t="n">
        <f aca="false">IFERROR(INDEX('Master Data'!$G$2:$G$2436,MATCH($B$3&amp;"|"&amp;D338&amp;"|"&amp;B338&amp;"|"&amp;C338,'Master Data'!$A$2:$A$2436,0)),"")</f>
        <v>4</v>
      </c>
      <c r="H338" s="67" t="str">
        <f aca="false">IFERROR(INDEX('Master Data'!$K$2:$K$2436,MATCH($B$3&amp;"|"&amp;D338&amp;"|"&amp;B338&amp;"|"&amp;C338,'Master Data'!$A$2:$A$2436,0))&amp;"","")</f>
        <v/>
      </c>
      <c r="I338" s="67" t="s">
        <v>371</v>
      </c>
      <c r="J338" s="67" t="s">
        <v>144</v>
      </c>
      <c r="K338" s="68"/>
      <c r="L338" s="68"/>
      <c r="M338" s="68"/>
      <c r="N338" s="69"/>
      <c r="O338" s="68"/>
    </row>
    <row r="339" customFormat="false" ht="15.75" hidden="false" customHeight="true" outlineLevel="0" collapsed="false">
      <c r="A339" s="66" t="n">
        <v>263</v>
      </c>
      <c r="B339" s="67" t="s">
        <v>78</v>
      </c>
      <c r="C339" s="66" t="s">
        <v>119</v>
      </c>
      <c r="D339" s="66" t="n">
        <v>2</v>
      </c>
      <c r="E339" s="67" t="str">
        <f aca="false">IFERROR(INDEX('Master Data'!$L$2:$L$2436,MATCH($B$3&amp;"|"&amp;D339&amp;"|"&amp;B339&amp;"|"&amp;C339,'Master Data'!$A$2:$A$2436,0)),"")</f>
        <v>Belum terisi</v>
      </c>
      <c r="F339" s="67" t="str">
        <f aca="false">IFERROR(INDEX('Master Data'!$F$2:$F$2436,MATCH($B$3&amp;"|"&amp;D339&amp;"|"&amp;B339&amp;"|"&amp;C339,'Master Data'!$A$2:$A$2436,0))&amp;"","")</f>
        <v>Little</v>
      </c>
      <c r="G339" s="66" t="n">
        <f aca="false">IFERROR(INDEX('Master Data'!$G$2:$G$2436,MATCH($B$3&amp;"|"&amp;D339&amp;"|"&amp;B339&amp;"|"&amp;C339,'Master Data'!$A$2:$A$2436,0)),"")</f>
        <v>5</v>
      </c>
      <c r="H339" s="67" t="str">
        <f aca="false">IFERROR(INDEX('Master Data'!$K$2:$K$2436,MATCH($B$3&amp;"|"&amp;D339&amp;"|"&amp;B339&amp;"|"&amp;C339,'Master Data'!$A$2:$A$2436,0))&amp;"","")</f>
        <v/>
      </c>
      <c r="I339" s="67" t="s">
        <v>371</v>
      </c>
      <c r="J339" s="67" t="s">
        <v>144</v>
      </c>
      <c r="K339" s="68"/>
      <c r="L339" s="68"/>
      <c r="M339" s="68"/>
      <c r="N339" s="69"/>
      <c r="O339" s="68"/>
    </row>
    <row r="340" customFormat="false" ht="15.75" hidden="false" customHeight="true" outlineLevel="0" collapsed="false">
      <c r="A340" s="66" t="n">
        <v>264</v>
      </c>
      <c r="B340" s="67" t="s">
        <v>78</v>
      </c>
      <c r="C340" s="66" t="s">
        <v>105</v>
      </c>
      <c r="D340" s="66" t="n">
        <v>4</v>
      </c>
      <c r="E340" s="67" t="str">
        <f aca="false">IFERROR(INDEX('Master Data'!$L$2:$L$2436,MATCH($B$3&amp;"|"&amp;D340&amp;"|"&amp;B340&amp;"|"&amp;C340,'Master Data'!$A$2:$A$2436,0)),"")</f>
        <v>Belum terisi</v>
      </c>
      <c r="F340" s="67" t="str">
        <f aca="false">IFERROR(INDEX('Master Data'!$F$2:$F$2436,MATCH($B$3&amp;"|"&amp;D340&amp;"|"&amp;B340&amp;"|"&amp;C340,'Master Data'!$A$2:$A$2436,0))&amp;"","")</f>
        <v>Kids</v>
      </c>
      <c r="G340" s="66" t="n">
        <f aca="false">IFERROR(INDEX('Master Data'!$G$2:$G$2436,MATCH($B$3&amp;"|"&amp;D340&amp;"|"&amp;B340&amp;"|"&amp;C340,'Master Data'!$A$2:$A$2436,0)),"")</f>
        <v>4</v>
      </c>
      <c r="H340" s="67" t="str">
        <f aca="false">IFERROR(INDEX('Master Data'!$K$2:$K$2436,MATCH($B$3&amp;"|"&amp;D340&amp;"|"&amp;B340&amp;"|"&amp;C340,'Master Data'!$A$2:$A$2436,0))&amp;"","")</f>
        <v/>
      </c>
      <c r="I340" s="67" t="s">
        <v>371</v>
      </c>
      <c r="J340" s="67" t="s">
        <v>144</v>
      </c>
      <c r="K340" s="68"/>
      <c r="L340" s="68"/>
      <c r="M340" s="68"/>
      <c r="N340" s="69"/>
      <c r="O340" s="68"/>
    </row>
    <row r="341" customFormat="false" ht="15.75" hidden="false" customHeight="true" outlineLevel="0" collapsed="false">
      <c r="A341" s="66" t="n">
        <v>265</v>
      </c>
      <c r="B341" s="67" t="s">
        <v>78</v>
      </c>
      <c r="C341" s="66" t="s">
        <v>106</v>
      </c>
      <c r="D341" s="66" t="n">
        <v>3</v>
      </c>
      <c r="E341" s="67" t="str">
        <f aca="false">IFERROR(INDEX('Master Data'!$L$2:$L$2436,MATCH($B$3&amp;"|"&amp;D341&amp;"|"&amp;B341&amp;"|"&amp;C341,'Master Data'!$A$2:$A$2436,0)),"")</f>
        <v>Belum terisi</v>
      </c>
      <c r="F341" s="67" t="str">
        <f aca="false">IFERROR(INDEX('Master Data'!$F$2:$F$2436,MATCH($B$3&amp;"|"&amp;D341&amp;"|"&amp;B341&amp;"|"&amp;C341,'Master Data'!$A$2:$A$2436,0))&amp;"","")</f>
        <v>Kids</v>
      </c>
      <c r="G341" s="66" t="n">
        <f aca="false">IFERROR(INDEX('Master Data'!$G$2:$G$2436,MATCH($B$3&amp;"|"&amp;D341&amp;"|"&amp;B341&amp;"|"&amp;C341,'Master Data'!$A$2:$A$2436,0)),"")</f>
        <v>4</v>
      </c>
      <c r="H341" s="67" t="str">
        <f aca="false">IFERROR(INDEX('Master Data'!$K$2:$K$2436,MATCH($B$3&amp;"|"&amp;D341&amp;"|"&amp;B341&amp;"|"&amp;C341,'Master Data'!$A$2:$A$2436,0))&amp;"","")</f>
        <v/>
      </c>
      <c r="I341" s="67" t="s">
        <v>360</v>
      </c>
      <c r="J341" s="67" t="s">
        <v>144</v>
      </c>
      <c r="K341" s="68"/>
      <c r="L341" s="68"/>
      <c r="M341" s="68"/>
      <c r="N341" s="69"/>
      <c r="O341" s="68"/>
    </row>
    <row r="342" customFormat="false" ht="15.75" hidden="false" customHeight="true" outlineLevel="0" collapsed="false">
      <c r="A342" s="66" t="n">
        <v>266</v>
      </c>
      <c r="B342" s="67" t="s">
        <v>78</v>
      </c>
      <c r="C342" s="66" t="s">
        <v>106</v>
      </c>
      <c r="D342" s="66" t="n">
        <v>4</v>
      </c>
      <c r="E342" s="67" t="str">
        <f aca="false">IFERROR(INDEX('Master Data'!$L$2:$L$2436,MATCH($B$3&amp;"|"&amp;D342&amp;"|"&amp;B342&amp;"|"&amp;C342,'Master Data'!$A$2:$A$2436,0)),"")</f>
        <v>Belum terisi</v>
      </c>
      <c r="F342" s="67" t="str">
        <f aca="false">IFERROR(INDEX('Master Data'!$F$2:$F$2436,MATCH($B$3&amp;"|"&amp;D342&amp;"|"&amp;B342&amp;"|"&amp;C342,'Master Data'!$A$2:$A$2436,0))&amp;"","")</f>
        <v>Kids</v>
      </c>
      <c r="G342" s="66" t="n">
        <f aca="false">IFERROR(INDEX('Master Data'!$G$2:$G$2436,MATCH($B$3&amp;"|"&amp;D342&amp;"|"&amp;B342&amp;"|"&amp;C342,'Master Data'!$A$2:$A$2436,0)),"")</f>
        <v>4</v>
      </c>
      <c r="H342" s="67" t="str">
        <f aca="false">IFERROR(INDEX('Master Data'!$K$2:$K$2436,MATCH($B$3&amp;"|"&amp;D342&amp;"|"&amp;B342&amp;"|"&amp;C342,'Master Data'!$A$2:$A$2436,0))&amp;"","")</f>
        <v/>
      </c>
      <c r="I342" s="67" t="s">
        <v>360</v>
      </c>
      <c r="J342" s="67" t="s">
        <v>144</v>
      </c>
      <c r="K342" s="68"/>
      <c r="L342" s="68"/>
      <c r="M342" s="68"/>
      <c r="N342" s="69"/>
      <c r="O342" s="68"/>
    </row>
    <row r="343" customFormat="false" ht="40.5" hidden="false" customHeight="true" outlineLevel="0" collapsed="false">
      <c r="A343" s="66" t="n">
        <v>267</v>
      </c>
      <c r="B343" s="67" t="s">
        <v>78</v>
      </c>
      <c r="C343" s="66" t="s">
        <v>121</v>
      </c>
      <c r="D343" s="66" t="n">
        <v>1</v>
      </c>
      <c r="E343" s="67" t="str">
        <f aca="false">IFERROR(INDEX('Master Data'!$L$2:$L$2436,MATCH($B$3&amp;"|"&amp;D343&amp;"|"&amp;B343&amp;"|"&amp;C343,'Master Data'!$A$2:$A$2436,0)),"")</f>
        <v>Belum terisi</v>
      </c>
      <c r="F343" s="67" t="str">
        <f aca="false">IFERROR(INDEX('Master Data'!$F$2:$F$2436,MATCH($B$3&amp;"|"&amp;D343&amp;"|"&amp;B343&amp;"|"&amp;C343,'Master Data'!$A$2:$A$2436,0))&amp;"","")</f>
        <v>Baby</v>
      </c>
      <c r="G343" s="66" t="n">
        <f aca="false">IFERROR(INDEX('Master Data'!$G$2:$G$2436,MATCH($B$3&amp;"|"&amp;D343&amp;"|"&amp;B343&amp;"|"&amp;C343,'Master Data'!$A$2:$A$2436,0)),"")</f>
        <v>5</v>
      </c>
      <c r="H343" s="67" t="str">
        <f aca="false">IFERROR(INDEX('Master Data'!$K$2:$K$2436,MATCH($B$3&amp;"|"&amp;D343&amp;"|"&amp;B343&amp;"|"&amp;C343,'Master Data'!$A$2:$A$2436,0))&amp;"","")</f>
        <v/>
      </c>
      <c r="I343" s="67" t="s">
        <v>373</v>
      </c>
      <c r="J343" s="67" t="s">
        <v>134</v>
      </c>
      <c r="K343" s="68"/>
      <c r="L343" s="68"/>
      <c r="M343" s="68"/>
      <c r="N343" s="69"/>
      <c r="O343" s="68"/>
    </row>
    <row r="344" customFormat="false" ht="40.5" hidden="false" customHeight="true" outlineLevel="0" collapsed="false">
      <c r="A344" s="66" t="n">
        <v>268</v>
      </c>
      <c r="B344" s="67" t="s">
        <v>78</v>
      </c>
      <c r="C344" s="66" t="s">
        <v>107</v>
      </c>
      <c r="D344" s="66" t="n">
        <v>3</v>
      </c>
      <c r="E344" s="67" t="str">
        <f aca="false">IFERROR(INDEX('Master Data'!$L$2:$L$2436,MATCH($B$3&amp;"|"&amp;D344&amp;"|"&amp;B344&amp;"|"&amp;C344,'Master Data'!$A$2:$A$2436,0)),"")</f>
        <v>Belum terisi</v>
      </c>
      <c r="F344" s="67" t="str">
        <f aca="false">IFERROR(INDEX('Master Data'!$F$2:$F$2436,MATCH($B$3&amp;"|"&amp;D344&amp;"|"&amp;B344&amp;"|"&amp;C344,'Master Data'!$A$2:$A$2436,0))&amp;"","")</f>
        <v>Kids</v>
      </c>
      <c r="G344" s="66" t="n">
        <f aca="false">IFERROR(INDEX('Master Data'!$G$2:$G$2436,MATCH($B$3&amp;"|"&amp;D344&amp;"|"&amp;B344&amp;"|"&amp;C344,'Master Data'!$A$2:$A$2436,0)),"")</f>
        <v>4</v>
      </c>
      <c r="H344" s="67" t="str">
        <f aca="false">IFERROR(INDEX('Master Data'!$K$2:$K$2436,MATCH($B$3&amp;"|"&amp;D344&amp;"|"&amp;B344&amp;"|"&amp;C344,'Master Data'!$A$2:$A$2436,0))&amp;"","")</f>
        <v/>
      </c>
      <c r="I344" s="67" t="s">
        <v>373</v>
      </c>
      <c r="J344" s="67" t="s">
        <v>134</v>
      </c>
      <c r="K344" s="68"/>
      <c r="L344" s="68"/>
      <c r="M344" s="68"/>
      <c r="N344" s="69"/>
      <c r="O344" s="68"/>
    </row>
    <row r="345" customFormat="false" ht="40.5" hidden="false" customHeight="true" outlineLevel="0" collapsed="false">
      <c r="A345" s="66" t="n">
        <v>269</v>
      </c>
      <c r="B345" s="67" t="s">
        <v>78</v>
      </c>
      <c r="C345" s="66" t="s">
        <v>107</v>
      </c>
      <c r="D345" s="66" t="n">
        <v>4</v>
      </c>
      <c r="E345" s="67" t="str">
        <f aca="false">IFERROR(INDEX('Master Data'!$L$2:$L$2436,MATCH($B$3&amp;"|"&amp;D345&amp;"|"&amp;B345&amp;"|"&amp;C345,'Master Data'!$A$2:$A$2436,0)),"")</f>
        <v>Belum terisi</v>
      </c>
      <c r="F345" s="67" t="str">
        <f aca="false">IFERROR(INDEX('Master Data'!$F$2:$F$2436,MATCH($B$3&amp;"|"&amp;D345&amp;"|"&amp;B345&amp;"|"&amp;C345,'Master Data'!$A$2:$A$2436,0))&amp;"","")</f>
        <v>Kids</v>
      </c>
      <c r="G345" s="66" t="n">
        <f aca="false">IFERROR(INDEX('Master Data'!$G$2:$G$2436,MATCH($B$3&amp;"|"&amp;D345&amp;"|"&amp;B345&amp;"|"&amp;C345,'Master Data'!$A$2:$A$2436,0)),"")</f>
        <v>4</v>
      </c>
      <c r="H345" s="67" t="str">
        <f aca="false">IFERROR(INDEX('Master Data'!$K$2:$K$2436,MATCH($B$3&amp;"|"&amp;D345&amp;"|"&amp;B345&amp;"|"&amp;C345,'Master Data'!$A$2:$A$2436,0))&amp;"","")</f>
        <v/>
      </c>
      <c r="I345" s="67" t="s">
        <v>373</v>
      </c>
      <c r="J345" s="67" t="s">
        <v>134</v>
      </c>
      <c r="K345" s="68"/>
      <c r="L345" s="68"/>
      <c r="M345" s="68"/>
      <c r="N345" s="69"/>
      <c r="O345" s="68"/>
    </row>
    <row r="348" customFormat="false" ht="16.15" hidden="false" customHeight="false" outlineLevel="0" collapsed="false">
      <c r="A348" s="54" t="s">
        <v>188</v>
      </c>
      <c r="B348" s="55"/>
      <c r="C348" s="55"/>
      <c r="D348" s="55"/>
      <c r="E348" s="55"/>
      <c r="F348" s="55"/>
      <c r="G348" s="55"/>
      <c r="H348" s="55"/>
      <c r="I348" s="55"/>
      <c r="J348" s="55"/>
      <c r="K348" s="55"/>
      <c r="L348" s="55"/>
      <c r="M348" s="55"/>
      <c r="N348" s="55"/>
    </row>
    <row r="349" customFormat="false" ht="15" hidden="false" customHeight="false" outlineLevel="0" collapsed="false">
      <c r="A349" s="52" t="s">
        <v>189</v>
      </c>
    </row>
    <row r="350" customFormat="false" ht="22.35" hidden="false" customHeight="false" outlineLevel="0" collapsed="false">
      <c r="A350" s="64" t="s">
        <v>126</v>
      </c>
      <c r="B350" s="64" t="s">
        <v>190</v>
      </c>
      <c r="C350" s="64" t="s">
        <v>191</v>
      </c>
      <c r="D350" s="64" t="s">
        <v>90</v>
      </c>
      <c r="E350" s="64" t="s">
        <v>91</v>
      </c>
      <c r="F350" s="64" t="s">
        <v>92</v>
      </c>
      <c r="G350" s="64" t="s">
        <v>93</v>
      </c>
      <c r="H350" s="64" t="s">
        <v>94</v>
      </c>
      <c r="I350" s="64" t="s">
        <v>95</v>
      </c>
      <c r="J350" s="64" t="s">
        <v>78</v>
      </c>
      <c r="K350" s="64" t="s">
        <v>192</v>
      </c>
      <c r="L350" s="64" t="s">
        <v>193</v>
      </c>
    </row>
    <row r="351" customFormat="false" ht="15" hidden="false" customHeight="false" outlineLevel="0" collapsed="false">
      <c r="A351" s="71" t="n">
        <v>1</v>
      </c>
      <c r="B351" s="72" t="s">
        <v>374</v>
      </c>
      <c r="C351" s="73" t="s">
        <v>134</v>
      </c>
      <c r="D351" s="74" t="n">
        <f aca="false">COUNTIFS('Master Data'!$B$2:$B$2436,$B$3,'Master Data'!$K$2:$K$2436,$B351,'Master Data'!$D$2:$D$2436,D$350)</f>
        <v>0</v>
      </c>
      <c r="E351" s="74" t="n">
        <f aca="false">COUNTIFS('Master Data'!$B$2:$B$2436,$B$3,'Master Data'!$K$2:$K$2436,$B351,'Master Data'!$D$2:$D$2436,E$350)</f>
        <v>0</v>
      </c>
      <c r="F351" s="74" t="n">
        <f aca="false">COUNTIFS('Master Data'!$B$2:$B$2436,$B$3,'Master Data'!$K$2:$K$2436,$B351,'Master Data'!$D$2:$D$2436,F$350)</f>
        <v>3</v>
      </c>
      <c r="G351" s="74" t="n">
        <f aca="false">COUNTIFS('Master Data'!$B$2:$B$2436,$B$3,'Master Data'!$K$2:$K$2436,$B351,'Master Data'!$D$2:$D$2436,G$350)</f>
        <v>5</v>
      </c>
      <c r="H351" s="74" t="n">
        <f aca="false">COUNTIFS('Master Data'!$B$2:$B$2436,$B$3,'Master Data'!$K$2:$K$2436,$B351,'Master Data'!$D$2:$D$2436,H$350)</f>
        <v>5</v>
      </c>
      <c r="I351" s="74" t="n">
        <f aca="false">COUNTIFS('Master Data'!$B$2:$B$2436,$B$3,'Master Data'!$K$2:$K$2436,$B351,'Master Data'!$D$2:$D$2436,I$350)</f>
        <v>6</v>
      </c>
      <c r="J351" s="74" t="n">
        <f aca="false">COUNTIFS('Master Data'!$B$2:$B$2436,$B$3,'Master Data'!$K$2:$K$2436,$B351,'Master Data'!$D$2:$D$2436,J$350)</f>
        <v>7</v>
      </c>
      <c r="K351" s="71" t="n">
        <f aca="false">SUM(D351:J351)</f>
        <v>26</v>
      </c>
      <c r="L351" s="71" t="s">
        <v>194</v>
      </c>
    </row>
    <row r="352" customFormat="false" ht="15" hidden="false" customHeight="false" outlineLevel="0" collapsed="false">
      <c r="A352" s="71" t="n">
        <v>2</v>
      </c>
      <c r="B352" s="72" t="s">
        <v>375</v>
      </c>
      <c r="C352" s="73" t="s">
        <v>134</v>
      </c>
      <c r="D352" s="74" t="n">
        <f aca="false">COUNTIFS('Master Data'!$B$2:$B$2436,$B$3,'Master Data'!$K$2:$K$2436,$B352,'Master Data'!$D$2:$D$2436,D$350)</f>
        <v>3</v>
      </c>
      <c r="E352" s="74" t="n">
        <f aca="false">COUNTIFS('Master Data'!$B$2:$B$2436,$B$3,'Master Data'!$K$2:$K$2436,$B352,'Master Data'!$D$2:$D$2436,E$350)</f>
        <v>4</v>
      </c>
      <c r="F352" s="74" t="n">
        <f aca="false">COUNTIFS('Master Data'!$B$2:$B$2436,$B$3,'Master Data'!$K$2:$K$2436,$B352,'Master Data'!$D$2:$D$2436,F$350)</f>
        <v>4</v>
      </c>
      <c r="G352" s="74" t="n">
        <f aca="false">COUNTIFS('Master Data'!$B$2:$B$2436,$B$3,'Master Data'!$K$2:$K$2436,$B352,'Master Data'!$D$2:$D$2436,G$350)</f>
        <v>0</v>
      </c>
      <c r="H352" s="74" t="n">
        <f aca="false">COUNTIFS('Master Data'!$B$2:$B$2436,$B$3,'Master Data'!$K$2:$K$2436,$B352,'Master Data'!$D$2:$D$2436,H$350)</f>
        <v>0</v>
      </c>
      <c r="I352" s="74" t="n">
        <f aca="false">COUNTIFS('Master Data'!$B$2:$B$2436,$B$3,'Master Data'!$K$2:$K$2436,$B352,'Master Data'!$D$2:$D$2436,I$350)</f>
        <v>5</v>
      </c>
      <c r="J352" s="74" t="n">
        <f aca="false">COUNTIFS('Master Data'!$B$2:$B$2436,$B$3,'Master Data'!$K$2:$K$2436,$B352,'Master Data'!$D$2:$D$2436,J$350)</f>
        <v>5</v>
      </c>
      <c r="K352" s="71" t="n">
        <f aca="false">SUM(D352:J352)</f>
        <v>21</v>
      </c>
      <c r="L352" s="71" t="s">
        <v>196</v>
      </c>
    </row>
    <row r="353" customFormat="false" ht="15" hidden="false" customHeight="false" outlineLevel="0" collapsed="false">
      <c r="A353" s="71" t="n">
        <v>3</v>
      </c>
      <c r="B353" s="72" t="s">
        <v>376</v>
      </c>
      <c r="C353" s="73" t="s">
        <v>203</v>
      </c>
      <c r="D353" s="74" t="n">
        <f aca="false">COUNTIFS('Master Data'!$B$2:$B$2436,$B$3,'Master Data'!$K$2:$K$2436,$B353,'Master Data'!$D$2:$D$2436,D$350)</f>
        <v>1</v>
      </c>
      <c r="E353" s="74" t="n">
        <f aca="false">COUNTIFS('Master Data'!$B$2:$B$2436,$B$3,'Master Data'!$K$2:$K$2436,$B353,'Master Data'!$D$2:$D$2436,E$350)</f>
        <v>3</v>
      </c>
      <c r="F353" s="74" t="n">
        <f aca="false">COUNTIFS('Master Data'!$B$2:$B$2436,$B$3,'Master Data'!$K$2:$K$2436,$B353,'Master Data'!$D$2:$D$2436,F$350)</f>
        <v>0</v>
      </c>
      <c r="G353" s="74" t="n">
        <f aca="false">COUNTIFS('Master Data'!$B$2:$B$2436,$B$3,'Master Data'!$K$2:$K$2436,$B353,'Master Data'!$D$2:$D$2436,G$350)</f>
        <v>0</v>
      </c>
      <c r="H353" s="74" t="n">
        <f aca="false">COUNTIFS('Master Data'!$B$2:$B$2436,$B$3,'Master Data'!$K$2:$K$2436,$B353,'Master Data'!$D$2:$D$2436,H$350)</f>
        <v>2</v>
      </c>
      <c r="I353" s="74" t="n">
        <f aca="false">COUNTIFS('Master Data'!$B$2:$B$2436,$B$3,'Master Data'!$K$2:$K$2436,$B353,'Master Data'!$D$2:$D$2436,I$350)</f>
        <v>2</v>
      </c>
      <c r="J353" s="74" t="n">
        <f aca="false">COUNTIFS('Master Data'!$B$2:$B$2436,$B$3,'Master Data'!$K$2:$K$2436,$B353,'Master Data'!$D$2:$D$2436,J$350)</f>
        <v>4</v>
      </c>
      <c r="K353" s="71" t="n">
        <f aca="false">SUM(D353:J353)</f>
        <v>12</v>
      </c>
      <c r="L353" s="71" t="s">
        <v>377</v>
      </c>
    </row>
    <row r="354" customFormat="false" ht="15" hidden="false" customHeight="false" outlineLevel="0" collapsed="false">
      <c r="A354" s="71" t="n">
        <v>4</v>
      </c>
      <c r="B354" s="72" t="s">
        <v>378</v>
      </c>
      <c r="C354" s="73" t="s">
        <v>357</v>
      </c>
      <c r="D354" s="74" t="n">
        <f aca="false">COUNTIFS('Master Data'!$B$2:$B$2436,$B$3,'Master Data'!$K$2:$K$2436,$B354,'Master Data'!$D$2:$D$2436,D$350)</f>
        <v>0</v>
      </c>
      <c r="E354" s="74" t="n">
        <f aca="false">COUNTIFS('Master Data'!$B$2:$B$2436,$B$3,'Master Data'!$K$2:$K$2436,$B354,'Master Data'!$D$2:$D$2436,E$350)</f>
        <v>0</v>
      </c>
      <c r="F354" s="74" t="n">
        <f aca="false">COUNTIFS('Master Data'!$B$2:$B$2436,$B$3,'Master Data'!$K$2:$K$2436,$B354,'Master Data'!$D$2:$D$2436,F$350)</f>
        <v>0</v>
      </c>
      <c r="G354" s="74" t="n">
        <f aca="false">COUNTIFS('Master Data'!$B$2:$B$2436,$B$3,'Master Data'!$K$2:$K$2436,$B354,'Master Data'!$D$2:$D$2436,G$350)</f>
        <v>1</v>
      </c>
      <c r="H354" s="74" t="n">
        <f aca="false">COUNTIFS('Master Data'!$B$2:$B$2436,$B$3,'Master Data'!$K$2:$K$2436,$B354,'Master Data'!$D$2:$D$2436,H$350)</f>
        <v>2</v>
      </c>
      <c r="I354" s="74" t="n">
        <f aca="false">COUNTIFS('Master Data'!$B$2:$B$2436,$B$3,'Master Data'!$K$2:$K$2436,$B354,'Master Data'!$D$2:$D$2436,I$350)</f>
        <v>0</v>
      </c>
      <c r="J354" s="74" t="n">
        <f aca="false">COUNTIFS('Master Data'!$B$2:$B$2436,$B$3,'Master Data'!$K$2:$K$2436,$B354,'Master Data'!$D$2:$D$2436,J$350)</f>
        <v>1</v>
      </c>
      <c r="K354" s="71" t="n">
        <f aca="false">SUM(D354:J354)</f>
        <v>4</v>
      </c>
      <c r="L354" s="71" t="s">
        <v>379</v>
      </c>
    </row>
    <row r="355" customFormat="false" ht="15" hidden="false" customHeight="false" outlineLevel="0" collapsed="false">
      <c r="A355" s="71" t="n">
        <v>5</v>
      </c>
      <c r="B355" s="72" t="s">
        <v>380</v>
      </c>
      <c r="C355" s="73" t="s">
        <v>203</v>
      </c>
      <c r="D355" s="74" t="n">
        <f aca="false">COUNTIFS('Master Data'!$B$2:$B$2436,$B$3,'Master Data'!$K$2:$K$2436,$B355,'Master Data'!$D$2:$D$2436,D$350)</f>
        <v>0</v>
      </c>
      <c r="E355" s="74" t="n">
        <f aca="false">COUNTIFS('Master Data'!$B$2:$B$2436,$B$3,'Master Data'!$K$2:$K$2436,$B355,'Master Data'!$D$2:$D$2436,E$350)</f>
        <v>0</v>
      </c>
      <c r="F355" s="74" t="n">
        <f aca="false">COUNTIFS('Master Data'!$B$2:$B$2436,$B$3,'Master Data'!$K$2:$K$2436,$B355,'Master Data'!$D$2:$D$2436,F$350)</f>
        <v>2</v>
      </c>
      <c r="G355" s="74" t="n">
        <f aca="false">COUNTIFS('Master Data'!$B$2:$B$2436,$B$3,'Master Data'!$K$2:$K$2436,$B355,'Master Data'!$D$2:$D$2436,G$350)</f>
        <v>0</v>
      </c>
      <c r="H355" s="74" t="n">
        <f aca="false">COUNTIFS('Master Data'!$B$2:$B$2436,$B$3,'Master Data'!$K$2:$K$2436,$B355,'Master Data'!$D$2:$D$2436,H$350)</f>
        <v>0</v>
      </c>
      <c r="I355" s="74" t="n">
        <f aca="false">COUNTIFS('Master Data'!$B$2:$B$2436,$B$3,'Master Data'!$K$2:$K$2436,$B355,'Master Data'!$D$2:$D$2436,I$350)</f>
        <v>1</v>
      </c>
      <c r="J355" s="74" t="n">
        <f aca="false">COUNTIFS('Master Data'!$B$2:$B$2436,$B$3,'Master Data'!$K$2:$K$2436,$B355,'Master Data'!$D$2:$D$2436,J$350)</f>
        <v>1</v>
      </c>
      <c r="K355" s="71" t="n">
        <f aca="false">SUM(D355:J355)</f>
        <v>4</v>
      </c>
      <c r="L355" s="71" t="s">
        <v>381</v>
      </c>
    </row>
    <row r="356" customFormat="false" ht="15" hidden="false" customHeight="false" outlineLevel="0" collapsed="false">
      <c r="A356" s="71" t="n">
        <v>6</v>
      </c>
      <c r="B356" s="72" t="s">
        <v>382</v>
      </c>
      <c r="C356" s="73" t="s">
        <v>210</v>
      </c>
      <c r="D356" s="74" t="n">
        <f aca="false">COUNTIFS('Master Data'!$B$2:$B$2436,$B$3,'Master Data'!$K$2:$K$2436,$B356,'Master Data'!$D$2:$D$2436,D$350)</f>
        <v>0</v>
      </c>
      <c r="E356" s="74" t="n">
        <f aca="false">COUNTIFS('Master Data'!$B$2:$B$2436,$B$3,'Master Data'!$K$2:$K$2436,$B356,'Master Data'!$D$2:$D$2436,E$350)</f>
        <v>1</v>
      </c>
      <c r="F356" s="74" t="n">
        <f aca="false">COUNTIFS('Master Data'!$B$2:$B$2436,$B$3,'Master Data'!$K$2:$K$2436,$B356,'Master Data'!$D$2:$D$2436,F$350)</f>
        <v>0</v>
      </c>
      <c r="G356" s="74" t="n">
        <f aca="false">COUNTIFS('Master Data'!$B$2:$B$2436,$B$3,'Master Data'!$K$2:$K$2436,$B356,'Master Data'!$D$2:$D$2436,G$350)</f>
        <v>0</v>
      </c>
      <c r="H356" s="74" t="n">
        <f aca="false">COUNTIFS('Master Data'!$B$2:$B$2436,$B$3,'Master Data'!$K$2:$K$2436,$B356,'Master Data'!$D$2:$D$2436,H$350)</f>
        <v>0</v>
      </c>
      <c r="I356" s="74" t="n">
        <f aca="false">COUNTIFS('Master Data'!$B$2:$B$2436,$B$3,'Master Data'!$K$2:$K$2436,$B356,'Master Data'!$D$2:$D$2436,I$350)</f>
        <v>0</v>
      </c>
      <c r="J356" s="74" t="n">
        <f aca="false">COUNTIFS('Master Data'!$B$2:$B$2436,$B$3,'Master Data'!$K$2:$K$2436,$B356,'Master Data'!$D$2:$D$2436,J$350)</f>
        <v>0</v>
      </c>
      <c r="K356" s="71" t="n">
        <f aca="false">SUM(D356:J356)</f>
        <v>1</v>
      </c>
      <c r="L356" s="71" t="s">
        <v>278</v>
      </c>
    </row>
  </sheetData>
  <autoFilter ref="A76:O345"/>
  <mergeCells count="4">
    <mergeCell ref="A1:F1"/>
    <mergeCell ref="A2:F2"/>
    <mergeCell ref="D3:E3"/>
    <mergeCell ref="D4:E4"/>
  </mergeCells>
  <conditionalFormatting sqref="B15:H26">
    <cfRule type="expression" priority="2" aboveAverage="0" equalAverage="0" bottom="0" percent="0" rank="0" text="" dxfId="8">
      <formula>T15="Belum terisi"</formula>
    </cfRule>
    <cfRule type="expression" priority="3" aboveAverage="0" equalAverage="0" bottom="0" percent="0" rank="0" text="" dxfId="9">
      <formula>T15="Slot kosong"</formula>
    </cfRule>
    <cfRule type="expression" priority="4" aboveAverage="0" equalAverage="0" bottom="0" percent="0" rank="0" text="" dxfId="10">
      <formula>T15="Sebagian"</formula>
    </cfRule>
    <cfRule type="expression" priority="5" aboveAverage="0" equalAverage="0" bottom="0" percent="0" rank="0" text="" dxfId="11">
      <formula>T15="Penuh"</formula>
    </cfRule>
    <cfRule type="expression" priority="6" aboveAverage="0" equalAverage="0" bottom="0" percent="0" rank="0" text="" dxfId="12">
      <formula>T15="Lebih kapasitas"</formula>
    </cfRule>
    <cfRule type="expression" priority="7" aboveAverage="0" equalAverage="0" bottom="0" percent="0" rank="0" text="" dxfId="13">
      <formula>T15="Tutup"</formula>
    </cfRule>
    <cfRule type="expression" priority="8" aboveAverage="0" equalAverage="0" bottom="0" percent="0" rank="0" text="" dxfId="14">
      <formula>T15="Tidak dibuka"</formula>
    </cfRule>
  </conditionalFormatting>
  <conditionalFormatting sqref="B30:H41">
    <cfRule type="expression" priority="9" aboveAverage="0" equalAverage="0" bottom="0" percent="0" rank="0" text="" dxfId="8">
      <formula>T30="Belum terisi"</formula>
    </cfRule>
    <cfRule type="expression" priority="10" aboveAverage="0" equalAverage="0" bottom="0" percent="0" rank="0" text="" dxfId="9">
      <formula>T30="Slot kosong"</formula>
    </cfRule>
    <cfRule type="expression" priority="11" aboveAverage="0" equalAverage="0" bottom="0" percent="0" rank="0" text="" dxfId="10">
      <formula>T30="Sebagian"</formula>
    </cfRule>
    <cfRule type="expression" priority="12" aboveAverage="0" equalAverage="0" bottom="0" percent="0" rank="0" text="" dxfId="11">
      <formula>T30="Penuh"</formula>
    </cfRule>
    <cfRule type="expression" priority="13" aboveAverage="0" equalAverage="0" bottom="0" percent="0" rank="0" text="" dxfId="12">
      <formula>T30="Lebih kapasitas"</formula>
    </cfRule>
    <cfRule type="expression" priority="14" aboveAverage="0" equalAverage="0" bottom="0" percent="0" rank="0" text="" dxfId="13">
      <formula>T30="Tutup"</formula>
    </cfRule>
    <cfRule type="expression" priority="15" aboveAverage="0" equalAverage="0" bottom="0" percent="0" rank="0" text="" dxfId="14">
      <formula>T30="Tidak dibuka"</formula>
    </cfRule>
  </conditionalFormatting>
  <conditionalFormatting sqref="B45:H56">
    <cfRule type="expression" priority="16" aboveAverage="0" equalAverage="0" bottom="0" percent="0" rank="0" text="" dxfId="8">
      <formula>T45="Belum terisi"</formula>
    </cfRule>
    <cfRule type="expression" priority="17" aboveAverage="0" equalAverage="0" bottom="0" percent="0" rank="0" text="" dxfId="9">
      <formula>T45="Slot kosong"</formula>
    </cfRule>
    <cfRule type="expression" priority="18" aboveAverage="0" equalAverage="0" bottom="0" percent="0" rank="0" text="" dxfId="10">
      <formula>T45="Sebagian"</formula>
    </cfRule>
    <cfRule type="expression" priority="19" aboveAverage="0" equalAverage="0" bottom="0" percent="0" rank="0" text="" dxfId="11">
      <formula>T45="Penuh"</formula>
    </cfRule>
    <cfRule type="expression" priority="20" aboveAverage="0" equalAverage="0" bottom="0" percent="0" rank="0" text="" dxfId="12">
      <formula>T45="Lebih kapasitas"</formula>
    </cfRule>
    <cfRule type="expression" priority="21" aboveAverage="0" equalAverage="0" bottom="0" percent="0" rank="0" text="" dxfId="13">
      <formula>T45="Tutup"</formula>
    </cfRule>
    <cfRule type="expression" priority="22" aboveAverage="0" equalAverage="0" bottom="0" percent="0" rank="0" text="" dxfId="14">
      <formula>T45="Tidak dibuka"</formula>
    </cfRule>
  </conditionalFormatting>
  <conditionalFormatting sqref="B60:H71">
    <cfRule type="expression" priority="23" aboveAverage="0" equalAverage="0" bottom="0" percent="0" rank="0" text="" dxfId="8">
      <formula>T60="Belum terisi"</formula>
    </cfRule>
    <cfRule type="expression" priority="24" aboveAverage="0" equalAverage="0" bottom="0" percent="0" rank="0" text="" dxfId="9">
      <formula>T60="Slot kosong"</formula>
    </cfRule>
    <cfRule type="expression" priority="25" aboveAverage="0" equalAverage="0" bottom="0" percent="0" rank="0" text="" dxfId="10">
      <formula>T60="Sebagian"</formula>
    </cfRule>
    <cfRule type="expression" priority="26" aboveAverage="0" equalAverage="0" bottom="0" percent="0" rank="0" text="" dxfId="11">
      <formula>T60="Penuh"</formula>
    </cfRule>
    <cfRule type="expression" priority="27" aboveAverage="0" equalAverage="0" bottom="0" percent="0" rank="0" text="" dxfId="12">
      <formula>T60="Lebih kapasitas"</formula>
    </cfRule>
    <cfRule type="expression" priority="28" aboveAverage="0" equalAverage="0" bottom="0" percent="0" rank="0" text="" dxfId="13">
      <formula>T60="Tutup"</formula>
    </cfRule>
    <cfRule type="expression" priority="29" aboveAverage="0" equalAverage="0" bottom="0" percent="0" rank="0" text="" dxfId="14">
      <formula>T60="Tidak dibuka"</formula>
    </cfRule>
  </conditionalFormatting>
  <conditionalFormatting sqref="E77:E345">
    <cfRule type="expression" priority="30" aboveAverage="0" equalAverage="0" bottom="0" percent="0" rank="0" text="" dxfId="8">
      <formula>E77="Belum terisi"</formula>
    </cfRule>
    <cfRule type="expression" priority="31" aboveAverage="0" equalAverage="0" bottom="0" percent="0" rank="0" text="" dxfId="9">
      <formula>E77="Slot kosong"</formula>
    </cfRule>
  </conditionalFormatting>
  <conditionalFormatting sqref="A77:O345">
    <cfRule type="expression" priority="32" aboveAverage="0" equalAverage="0" bottom="0" percent="0" rank="0" text="" dxfId="15">
      <formula>$K77="Jual minggu ini"</formula>
    </cfRule>
  </conditionalFormatting>
  <conditionalFormatting sqref="D351:J356">
    <cfRule type="colorScale" priority="33">
      <colorScale>
        <cfvo type="num" val="0"/>
        <cfvo type="max" val="0"/>
        <color rgb="FFFFFFFF"/>
        <color rgb="FF8EC6D0"/>
      </colorScale>
    </cfRule>
  </conditionalFormatting>
  <dataValidations count="4">
    <dataValidation allowBlank="true" error="Isi angka 0–20" errorStyle="stop" errorTitle="Target murid" operator="between" showDropDown="false" showErrorMessage="false" showInputMessage="false" sqref="N77:N345" type="whole">
      <formula1>0</formula1>
      <formula2>20</formula2>
    </dataValidation>
    <dataValidation allowBlank="true" errorStyle="stop" operator="between" showDropDown="false" showErrorMessage="false" showInputMessage="false" sqref="K77:K345" type="list">
      <formula1>"Jual minggu ini,Buka kelas baru,Ganti age group,Tahan,Tutup slot"</formula1>
      <formula2>0</formula2>
    </dataValidation>
    <dataValidation allowBlank="true" errorStyle="stop" operator="between" showDropDown="false" showErrorMessage="false" showInputMessage="false" sqref="L77:L345" type="list">
      <formula1>"Baby,Tiny,Little,Kids"</formula1>
      <formula2>0</formula2>
    </dataValidation>
    <dataValidation allowBlank="true" errorStyle="stop" operator="between" showDropDown="false" showErrorMessage="false" showInputMessage="false" sqref="M77:M345" type="list">
      <formula1>$B$351:$B$356</formula1>
      <formula2>0</formula2>
    </dataValidation>
  </dataValidations>
  <hyperlinks>
    <hyperlink ref="B11" r:id="rId1" location="'TMP'!A13" display="→ Slot Map"/>
    <hyperlink ref="C11" r:id="rId2" location="'TMP'!A74" display="→ Daftar Diskusi"/>
    <hyperlink ref="D11" r:id="rId3" location="'TMP'!A348" display="→ Coach"/>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45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0" topLeftCell="B1" activePane="topRight" state="frozen"/>
      <selection pane="topLeft" activeCell="A1" activeCellId="0" sqref="A1"/>
      <selection pane="top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8" min="2" style="0" width="19"/>
    <col collapsed="false" customWidth="true" hidden="false" outlineLevel="0" max="9" min="9" style="0" width="40"/>
    <col collapsed="false" customWidth="true" hidden="false" outlineLevel="0" max="10" min="10" style="0" width="18"/>
    <col collapsed="false" customWidth="true" hidden="false" outlineLevel="0" max="11" min="11" style="0" width="16"/>
    <col collapsed="false" customWidth="true" hidden="false" outlineLevel="0" max="13" min="12" style="0" width="14"/>
    <col collapsed="false" customWidth="true" hidden="false" outlineLevel="0" max="14" min="14" style="0" width="11"/>
    <col collapsed="false" customWidth="true" hidden="false" outlineLevel="0" max="15" min="15" style="0" width="34"/>
    <col collapsed="false" customWidth="true" hidden="true" outlineLevel="0" max="26" min="20" style="0" width="13"/>
  </cols>
  <sheetData>
    <row r="1" customFormat="false" ht="19.7" hidden="false" customHeight="false" outlineLevel="0" collapsed="false">
      <c r="A1" s="29" t="s">
        <v>383</v>
      </c>
      <c r="B1" s="29"/>
      <c r="C1" s="29"/>
      <c r="D1" s="29"/>
      <c r="E1" s="29"/>
      <c r="F1" s="29"/>
    </row>
    <row r="2" customFormat="false" ht="15" hidden="false" customHeight="false" outlineLevel="0" collapsed="false">
      <c r="A2" s="30" t="s">
        <v>76</v>
      </c>
      <c r="B2" s="30"/>
      <c r="C2" s="30"/>
      <c r="D2" s="30"/>
      <c r="E2" s="30"/>
      <c r="F2" s="30"/>
    </row>
    <row r="3" customFormat="false" ht="15" hidden="false" customHeight="false" outlineLevel="0" collapsed="false">
      <c r="A3" s="13" t="s">
        <v>54</v>
      </c>
      <c r="B3" s="3" t="s">
        <v>69</v>
      </c>
      <c r="C3" s="13" t="s">
        <v>77</v>
      </c>
      <c r="D3" s="31"/>
      <c r="E3" s="31"/>
    </row>
    <row r="4" customFormat="false" ht="15" hidden="false" customHeight="false" outlineLevel="0" collapsed="false">
      <c r="A4" s="13" t="s">
        <v>78</v>
      </c>
      <c r="B4" s="31" t="s">
        <v>79</v>
      </c>
      <c r="C4" s="13" t="s">
        <v>80</v>
      </c>
      <c r="D4" s="31"/>
      <c r="E4" s="31"/>
    </row>
    <row r="6" customFormat="false" ht="15" hidden="false" customHeight="false" outlineLevel="0" collapsed="false">
      <c r="A6" s="32" t="s">
        <v>81</v>
      </c>
      <c r="B6" s="33" t="s">
        <v>55</v>
      </c>
      <c r="C6" s="33" t="s">
        <v>56</v>
      </c>
      <c r="D6" s="34" t="s">
        <v>14</v>
      </c>
      <c r="E6" s="35" t="s">
        <v>16</v>
      </c>
      <c r="F6" s="36" t="s">
        <v>18</v>
      </c>
      <c r="G6" s="37" t="s">
        <v>20</v>
      </c>
      <c r="H6" s="38" t="s">
        <v>22</v>
      </c>
    </row>
    <row r="7" customFormat="false" ht="19.7" hidden="false" customHeight="false" outlineLevel="0" collapsed="false">
      <c r="B7" s="39" t="n">
        <f aca="false">IFERROR(SUMIFS('Master Data'!$H$2:$H$2436,'Master Data'!$B$2:$B$2436,$B$3,'Master Data'!$G$2:$G$2436,"&gt;0")/SUMIFS('Master Data'!$G$2:$G$2436,'Master Data'!$B$2:$B$2436,$B$3,'Master Data'!$G$2:$G$2436,"&gt;0"),"")</f>
        <v>0.0963203463203463</v>
      </c>
      <c r="C7" s="40" t="str">
        <f aca="false">SUMIFS('Master Data'!$H$2:$H$2436,'Master Data'!$B$2:$B$2436,$B$3,'Master Data'!$G$2:$G$2436,"&gt;0")&amp;" / "&amp;SUMIFS('Master Data'!$G$2:$G$2436,'Master Data'!$B$2:$B$2436,$B$3,'Master Data'!$G$2:$G$2436,"&gt;0")</f>
        <v>178 / 1848</v>
      </c>
      <c r="D7" s="41" t="n">
        <f aca="false">COUNTIFS('Master Data'!$B$2:$B$2436,$B$3,'Master Data'!$L$2:$L$2436,"Belum terisi")</f>
        <v>263</v>
      </c>
      <c r="E7" s="42" t="n">
        <f aca="false">COUNTIFS('Master Data'!$B$2:$B$2436,$B$3,'Master Data'!$L$2:$L$2436,"Slot kosong")</f>
        <v>84</v>
      </c>
      <c r="F7" s="43" t="n">
        <f aca="false">COUNTIFS('Master Data'!$B$2:$B$2436,$B$3,'Master Data'!$L$2:$L$2436,"Sebagian")</f>
        <v>61</v>
      </c>
      <c r="G7" s="44" t="n">
        <f aca="false">COUNTIFS('Master Data'!$B$2:$B$2436,$B$3,'Master Data'!$L$2:$L$2436,"Penuh")</f>
        <v>12</v>
      </c>
      <c r="H7" s="45" t="n">
        <f aca="false">COUNTIFS('Master Data'!$B$2:$B$2436,$B$3,'Master Data'!$L$2:$L$2436,"Lebih kapasitas")</f>
        <v>0</v>
      </c>
    </row>
    <row r="9" customFormat="false" ht="15" hidden="false" customHeight="false" outlineLevel="0" collapsed="false">
      <c r="A9" s="32" t="s">
        <v>82</v>
      </c>
      <c r="B9" s="46" t="s">
        <v>14</v>
      </c>
      <c r="C9" s="47" t="s">
        <v>16</v>
      </c>
      <c r="D9" s="48" t="s">
        <v>18</v>
      </c>
      <c r="E9" s="49" t="s">
        <v>20</v>
      </c>
      <c r="F9" s="50" t="s">
        <v>22</v>
      </c>
      <c r="G9" s="51" t="s">
        <v>24</v>
      </c>
    </row>
    <row r="10" customFormat="false" ht="15" hidden="false" customHeight="false" outlineLevel="0" collapsed="false">
      <c r="B10" s="52" t="s">
        <v>83</v>
      </c>
    </row>
    <row r="11" customFormat="false" ht="15" hidden="false" customHeight="false" outlineLevel="0" collapsed="false">
      <c r="A11" s="32" t="s">
        <v>84</v>
      </c>
      <c r="B11" s="53" t="s">
        <v>85</v>
      </c>
      <c r="C11" s="53" t="s">
        <v>86</v>
      </c>
      <c r="D11" s="53" t="s">
        <v>87</v>
      </c>
    </row>
    <row r="13" customFormat="false" ht="16.15" hidden="false" customHeight="false" outlineLevel="0" collapsed="false">
      <c r="A13" s="54" t="s">
        <v>88</v>
      </c>
      <c r="B13" s="55"/>
      <c r="C13" s="56" t="str">
        <f aca="false">"Utilisasi lane: "&amp;IFERROR(TEXT(SUMIFS('Master Data'!$H$2:$H$2436,'Master Data'!$B$2:$B$2436,$B$3,'Master Data'!$C$2:$C$2436,1,'Master Data'!$G$2:$G$2436,"&gt;0")/SUMIFS('Master Data'!$G$2:$G$2436,'Master Data'!$B$2:$B$2436,$B$3,'Master Data'!$C$2:$C$2436,1,'Master Data'!$G$2:$G$2436,"&gt;0"),"0%"),"–")&amp;"   ·   Belum terisi: "&amp;COUNTIFS('Master Data'!$B$2:$B$2436,$B$3,'Master Data'!$C$2:$C$2436,1,'Master Data'!$L$2:$L$2436,"Belum terisi")&amp;"   ·   Slot kosong: "&amp;COUNTIFS('Master Data'!$B$2:$B$2436,$B$3,'Master Data'!$C$2:$C$2436,1,'Master Data'!$L$2:$L$2436,"Slot kosong")</f>
        <v>Utilisasi lane: 5%   ·   Belum terisi: 74   ·   Slot kosong: 0</v>
      </c>
      <c r="D13" s="55"/>
      <c r="E13" s="55"/>
      <c r="F13" s="55"/>
      <c r="G13" s="55"/>
      <c r="H13" s="55"/>
    </row>
    <row r="14" customFormat="false" ht="15" hidden="false" customHeight="false" outlineLevel="0" collapsed="false">
      <c r="A14" s="57" t="s">
        <v>89</v>
      </c>
      <c r="B14" s="58" t="s">
        <v>90</v>
      </c>
      <c r="C14" s="58" t="s">
        <v>91</v>
      </c>
      <c r="D14" s="58" t="s">
        <v>92</v>
      </c>
      <c r="E14" s="58" t="s">
        <v>93</v>
      </c>
      <c r="F14" s="58" t="s">
        <v>94</v>
      </c>
      <c r="G14" s="58" t="s">
        <v>95</v>
      </c>
      <c r="H14" s="58" t="s">
        <v>78</v>
      </c>
    </row>
    <row r="15" customFormat="false" ht="30" hidden="false" customHeight="true" outlineLevel="0" collapsed="false">
      <c r="A15" s="59" t="s">
        <v>110</v>
      </c>
      <c r="B15" s="60" t="str">
        <f aca="false">IFERROR(INDEX('Master Data'!$M$2:$M$2436,MATCH($B$3&amp;"|1|"&amp;B$14&amp;"|"&amp;$A15,'Master Data'!$A$2:$A$2436,0)),"")</f>
        <v>Baby  0/5
coach: –</v>
      </c>
      <c r="C15" s="60" t="str">
        <f aca="false">IFERROR(INDEX('Master Data'!$M$2:$M$2436,MATCH($B$3&amp;"|1|"&amp;C$14&amp;"|"&amp;$A15,'Master Data'!$A$2:$A$2436,0)),"")</f>
        <v>Baby  0/5
coach: –</v>
      </c>
      <c r="D15" s="60" t="str">
        <f aca="false">IFERROR(INDEX('Master Data'!$M$2:$M$2436,MATCH($B$3&amp;"|1|"&amp;D$14&amp;"|"&amp;$A15,'Master Data'!$A$2:$A$2436,0)),"")</f>
        <v>Baby  0/5
coach: –</v>
      </c>
      <c r="E15" s="60" t="str">
        <f aca="false">IFERROR(INDEX('Master Data'!$M$2:$M$2436,MATCH($B$3&amp;"|1|"&amp;E$14&amp;"|"&amp;$A15,'Master Data'!$A$2:$A$2436,0)),"")</f>
        <v>Baby  0/5
coach: –</v>
      </c>
      <c r="F15" s="60" t="str">
        <f aca="false">IFERROR(INDEX('Master Data'!$M$2:$M$2436,MATCH($B$3&amp;"|1|"&amp;F$14&amp;"|"&amp;$A15,'Master Data'!$A$2:$A$2436,0)),"")</f>
        <v>Baby  0/5
coach: –</v>
      </c>
      <c r="G15" s="60" t="str">
        <f aca="false">IFERROR(INDEX('Master Data'!$M$2:$M$2436,MATCH($B$3&amp;"|1|"&amp;G$14&amp;"|"&amp;$A15,'Master Data'!$A$2:$A$2436,0)),"")</f>
        <v>Baby  0/5
coach: –</v>
      </c>
      <c r="H15" s="60" t="str">
        <f aca="false">IFERROR(INDEX('Master Data'!$M$2:$M$2436,MATCH($B$3&amp;"|1|"&amp;H$14&amp;"|"&amp;$A15,'Master Data'!$A$2:$A$2436,0)),"")</f>
        <v>Baby  0/5
coach: –</v>
      </c>
      <c r="T15" s="61" t="str">
        <f aca="false">IFERROR(INDEX('Master Data'!$L$2:$L$2436,MATCH($B$3&amp;"|1|"&amp;B$14&amp;"|"&amp;$A15,'Master Data'!$A$2:$A$2436,0)),"")</f>
        <v>Belum terisi</v>
      </c>
      <c r="U15" s="61" t="str">
        <f aca="false">IFERROR(INDEX('Master Data'!$L$2:$L$2436,MATCH($B$3&amp;"|1|"&amp;C$14&amp;"|"&amp;$A15,'Master Data'!$A$2:$A$2436,0)),"")</f>
        <v>Belum terisi</v>
      </c>
      <c r="V15" s="61" t="str">
        <f aca="false">IFERROR(INDEX('Master Data'!$L$2:$L$2436,MATCH($B$3&amp;"|1|"&amp;D$14&amp;"|"&amp;$A15,'Master Data'!$A$2:$A$2436,0)),"")</f>
        <v>Belum terisi</v>
      </c>
      <c r="W15" s="61" t="str">
        <f aca="false">IFERROR(INDEX('Master Data'!$L$2:$L$2436,MATCH($B$3&amp;"|1|"&amp;E$14&amp;"|"&amp;$A15,'Master Data'!$A$2:$A$2436,0)),"")</f>
        <v>Belum terisi</v>
      </c>
      <c r="X15" s="61" t="str">
        <f aca="false">IFERROR(INDEX('Master Data'!$L$2:$L$2436,MATCH($B$3&amp;"|1|"&amp;F$14&amp;"|"&amp;$A15,'Master Data'!$A$2:$A$2436,0)),"")</f>
        <v>Belum terisi</v>
      </c>
      <c r="Y15" s="61" t="str">
        <f aca="false">IFERROR(INDEX('Master Data'!$L$2:$L$2436,MATCH($B$3&amp;"|1|"&amp;G$14&amp;"|"&amp;$A15,'Master Data'!$A$2:$A$2436,0)),"")</f>
        <v>Belum terisi</v>
      </c>
      <c r="Z15" s="61" t="str">
        <f aca="false">IFERROR(INDEX('Master Data'!$L$2:$L$2436,MATCH($B$3&amp;"|1|"&amp;H$14&amp;"|"&amp;$A15,'Master Data'!$A$2:$A$2436,0)),"")</f>
        <v>Belum terisi</v>
      </c>
    </row>
    <row r="16" customFormat="false" ht="30" hidden="false" customHeight="true" outlineLevel="0" collapsed="false">
      <c r="A16" s="59" t="s">
        <v>111</v>
      </c>
      <c r="B16" s="60" t="str">
        <f aca="false">IFERROR(INDEX('Master Data'!$M$2:$M$2436,MATCH($B$3&amp;"|1|"&amp;B$14&amp;"|"&amp;$A16,'Master Data'!$A$2:$A$2436,0)),"")</f>
        <v>Baby  0/5
coach: –</v>
      </c>
      <c r="C16" s="60" t="str">
        <f aca="false">IFERROR(INDEX('Master Data'!$M$2:$M$2436,MATCH($B$3&amp;"|1|"&amp;C$14&amp;"|"&amp;$A16,'Master Data'!$A$2:$A$2436,0)),"")</f>
        <v>Baby  2/5
coach: Doni</v>
      </c>
      <c r="D16" s="60" t="str">
        <f aca="false">IFERROR(INDEX('Master Data'!$M$2:$M$2436,MATCH($B$3&amp;"|1|"&amp;D$14&amp;"|"&amp;$A16,'Master Data'!$A$2:$A$2436,0)),"")</f>
        <v>Baby  0/5
coach: –</v>
      </c>
      <c r="E16" s="60" t="str">
        <f aca="false">IFERROR(INDEX('Master Data'!$M$2:$M$2436,MATCH($B$3&amp;"|1|"&amp;E$14&amp;"|"&amp;$A16,'Master Data'!$A$2:$A$2436,0)),"")</f>
        <v>Baby  0/5
coach: –</v>
      </c>
      <c r="F16" s="60" t="str">
        <f aca="false">IFERROR(INDEX('Master Data'!$M$2:$M$2436,MATCH($B$3&amp;"|1|"&amp;F$14&amp;"|"&amp;$A16,'Master Data'!$A$2:$A$2436,0)),"")</f>
        <v>Baby  1/5
coach: Alfi</v>
      </c>
      <c r="G16" s="60" t="str">
        <f aca="false">IFERROR(INDEX('Master Data'!$M$2:$M$2436,MATCH($B$3&amp;"|1|"&amp;G$14&amp;"|"&amp;$A16,'Master Data'!$A$2:$A$2436,0)),"")</f>
        <v>Baby  1/5
coach: Tara</v>
      </c>
      <c r="H16" s="60" t="str">
        <f aca="false">IFERROR(INDEX('Master Data'!$M$2:$M$2436,MATCH($B$3&amp;"|1|"&amp;H$14&amp;"|"&amp;$A16,'Master Data'!$A$2:$A$2436,0)),"")</f>
        <v>Baby  0/5
coach: –</v>
      </c>
      <c r="T16" s="61" t="str">
        <f aca="false">IFERROR(INDEX('Master Data'!$L$2:$L$2436,MATCH($B$3&amp;"|1|"&amp;B$14&amp;"|"&amp;$A16,'Master Data'!$A$2:$A$2436,0)),"")</f>
        <v>Belum terisi</v>
      </c>
      <c r="U16" s="61" t="str">
        <f aca="false">IFERROR(INDEX('Master Data'!$L$2:$L$2436,MATCH($B$3&amp;"|1|"&amp;C$14&amp;"|"&amp;$A16,'Master Data'!$A$2:$A$2436,0)),"")</f>
        <v>Sebagian</v>
      </c>
      <c r="V16" s="61" t="str">
        <f aca="false">IFERROR(INDEX('Master Data'!$L$2:$L$2436,MATCH($B$3&amp;"|1|"&amp;D$14&amp;"|"&amp;$A16,'Master Data'!$A$2:$A$2436,0)),"")</f>
        <v>Belum terisi</v>
      </c>
      <c r="W16" s="61" t="str">
        <f aca="false">IFERROR(INDEX('Master Data'!$L$2:$L$2436,MATCH($B$3&amp;"|1|"&amp;E$14&amp;"|"&amp;$A16,'Master Data'!$A$2:$A$2436,0)),"")</f>
        <v>Belum terisi</v>
      </c>
      <c r="X16" s="61" t="str">
        <f aca="false">IFERROR(INDEX('Master Data'!$L$2:$L$2436,MATCH($B$3&amp;"|1|"&amp;F$14&amp;"|"&amp;$A16,'Master Data'!$A$2:$A$2436,0)),"")</f>
        <v>Sebagian</v>
      </c>
      <c r="Y16" s="61" t="str">
        <f aca="false">IFERROR(INDEX('Master Data'!$L$2:$L$2436,MATCH($B$3&amp;"|1|"&amp;G$14&amp;"|"&amp;$A16,'Master Data'!$A$2:$A$2436,0)),"")</f>
        <v>Sebagian</v>
      </c>
      <c r="Z16" s="61" t="str">
        <f aca="false">IFERROR(INDEX('Master Data'!$L$2:$L$2436,MATCH($B$3&amp;"|1|"&amp;H$14&amp;"|"&amp;$A16,'Master Data'!$A$2:$A$2436,0)),"")</f>
        <v>Belum terisi</v>
      </c>
    </row>
    <row r="17" customFormat="false" ht="30" hidden="false" customHeight="true" outlineLevel="0" collapsed="false">
      <c r="A17" s="59" t="s">
        <v>112</v>
      </c>
      <c r="B17" s="60" t="str">
        <f aca="false">IFERROR(INDEX('Master Data'!$M$2:$M$2436,MATCH($B$3&amp;"|1|"&amp;B$14&amp;"|"&amp;$A17,'Master Data'!$A$2:$A$2436,0)),"")</f>
        <v>Baby  0/5
coach: –</v>
      </c>
      <c r="C17" s="60" t="str">
        <f aca="false">IFERROR(INDEX('Master Data'!$M$2:$M$2436,MATCH($B$3&amp;"|1|"&amp;C$14&amp;"|"&amp;$A17,'Master Data'!$A$2:$A$2436,0)),"")</f>
        <v>Baby  0/5
coach: –</v>
      </c>
      <c r="D17" s="60" t="str">
        <f aca="false">IFERROR(INDEX('Master Data'!$M$2:$M$2436,MATCH($B$3&amp;"|1|"&amp;D$14&amp;"|"&amp;$A17,'Master Data'!$A$2:$A$2436,0)),"")</f>
        <v>Baby  5/5
coach: Shofi</v>
      </c>
      <c r="E17" s="60" t="str">
        <f aca="false">IFERROR(INDEX('Master Data'!$M$2:$M$2436,MATCH($B$3&amp;"|1|"&amp;E$14&amp;"|"&amp;$A17,'Master Data'!$A$2:$A$2436,0)),"")</f>
        <v>Baby  0/5
coach: –</v>
      </c>
      <c r="F17" s="60" t="str">
        <f aca="false">IFERROR(INDEX('Master Data'!$M$2:$M$2436,MATCH($B$3&amp;"|1|"&amp;F$14&amp;"|"&amp;$A17,'Master Data'!$A$2:$A$2436,0)),"")</f>
        <v>Baby  0/5
coach: –</v>
      </c>
      <c r="G17" s="60" t="str">
        <f aca="false">IFERROR(INDEX('Master Data'!$M$2:$M$2436,MATCH($B$3&amp;"|1|"&amp;G$14&amp;"|"&amp;$A17,'Master Data'!$A$2:$A$2436,0)),"")</f>
        <v>Baby  5/5
coach: Shofi</v>
      </c>
      <c r="H17" s="60" t="str">
        <f aca="false">IFERROR(INDEX('Master Data'!$M$2:$M$2436,MATCH($B$3&amp;"|1|"&amp;H$14&amp;"|"&amp;$A17,'Master Data'!$A$2:$A$2436,0)),"")</f>
        <v>Baby  2/5
coach: Doni</v>
      </c>
      <c r="T17" s="61" t="str">
        <f aca="false">IFERROR(INDEX('Master Data'!$L$2:$L$2436,MATCH($B$3&amp;"|1|"&amp;B$14&amp;"|"&amp;$A17,'Master Data'!$A$2:$A$2436,0)),"")</f>
        <v>Belum terisi</v>
      </c>
      <c r="U17" s="61" t="str">
        <f aca="false">IFERROR(INDEX('Master Data'!$L$2:$L$2436,MATCH($B$3&amp;"|1|"&amp;C$14&amp;"|"&amp;$A17,'Master Data'!$A$2:$A$2436,0)),"")</f>
        <v>Belum terisi</v>
      </c>
      <c r="V17" s="61" t="str">
        <f aca="false">IFERROR(INDEX('Master Data'!$L$2:$L$2436,MATCH($B$3&amp;"|1|"&amp;D$14&amp;"|"&amp;$A17,'Master Data'!$A$2:$A$2436,0)),"")</f>
        <v>Penuh</v>
      </c>
      <c r="W17" s="61" t="str">
        <f aca="false">IFERROR(INDEX('Master Data'!$L$2:$L$2436,MATCH($B$3&amp;"|1|"&amp;E$14&amp;"|"&amp;$A17,'Master Data'!$A$2:$A$2436,0)),"")</f>
        <v>Belum terisi</v>
      </c>
      <c r="X17" s="61" t="str">
        <f aca="false">IFERROR(INDEX('Master Data'!$L$2:$L$2436,MATCH($B$3&amp;"|1|"&amp;F$14&amp;"|"&amp;$A17,'Master Data'!$A$2:$A$2436,0)),"")</f>
        <v>Belum terisi</v>
      </c>
      <c r="Y17" s="61" t="str">
        <f aca="false">IFERROR(INDEX('Master Data'!$L$2:$L$2436,MATCH($B$3&amp;"|1|"&amp;G$14&amp;"|"&amp;$A17,'Master Data'!$A$2:$A$2436,0)),"")</f>
        <v>Penuh</v>
      </c>
      <c r="Z17" s="61" t="str">
        <f aca="false">IFERROR(INDEX('Master Data'!$L$2:$L$2436,MATCH($B$3&amp;"|1|"&amp;H$14&amp;"|"&amp;$A17,'Master Data'!$A$2:$A$2436,0)),"")</f>
        <v>Sebagian</v>
      </c>
    </row>
    <row r="18" customFormat="false" ht="30" hidden="false" customHeight="true" outlineLevel="0" collapsed="false">
      <c r="A18" s="59" t="s">
        <v>113</v>
      </c>
      <c r="B18" s="60" t="str">
        <f aca="false">IFERROR(INDEX('Master Data'!$M$2:$M$2436,MATCH($B$3&amp;"|1|"&amp;B$14&amp;"|"&amp;$A18,'Master Data'!$A$2:$A$2436,0)),"")</f>
        <v>Baby  0/5
coach: –</v>
      </c>
      <c r="C18" s="60" t="str">
        <f aca="false">IFERROR(INDEX('Master Data'!$M$2:$M$2436,MATCH($B$3&amp;"|1|"&amp;C$14&amp;"|"&amp;$A18,'Master Data'!$A$2:$A$2436,0)),"")</f>
        <v>Baby  0/5
coach: –</v>
      </c>
      <c r="D18" s="60" t="str">
        <f aca="false">IFERROR(INDEX('Master Data'!$M$2:$M$2436,MATCH($B$3&amp;"|1|"&amp;D$14&amp;"|"&amp;$A18,'Master Data'!$A$2:$A$2436,0)),"")</f>
        <v>Baby  0/5
coach: –</v>
      </c>
      <c r="E18" s="60" t="str">
        <f aca="false">IFERROR(INDEX('Master Data'!$M$2:$M$2436,MATCH($B$3&amp;"|1|"&amp;E$14&amp;"|"&amp;$A18,'Master Data'!$A$2:$A$2436,0)),"")</f>
        <v>Baby  1/5
coach: Alfi</v>
      </c>
      <c r="F18" s="60" t="str">
        <f aca="false">IFERROR(INDEX('Master Data'!$M$2:$M$2436,MATCH($B$3&amp;"|1|"&amp;F$14&amp;"|"&amp;$A18,'Master Data'!$A$2:$A$2436,0)),"")</f>
        <v>Baby  0/5
coach: –</v>
      </c>
      <c r="G18" s="60" t="str">
        <f aca="false">IFERROR(INDEX('Master Data'!$M$2:$M$2436,MATCH($B$3&amp;"|1|"&amp;G$14&amp;"|"&amp;$A18,'Master Data'!$A$2:$A$2436,0)),"")</f>
        <v>Baby  0/5
coach: –</v>
      </c>
      <c r="H18" s="60" t="str">
        <f aca="false">IFERROR(INDEX('Master Data'!$M$2:$M$2436,MATCH($B$3&amp;"|1|"&amp;H$14&amp;"|"&amp;$A18,'Master Data'!$A$2:$A$2436,0)),"")</f>
        <v>Baby  0/5
coach: –</v>
      </c>
      <c r="T18" s="61" t="str">
        <f aca="false">IFERROR(INDEX('Master Data'!$L$2:$L$2436,MATCH($B$3&amp;"|1|"&amp;B$14&amp;"|"&amp;$A18,'Master Data'!$A$2:$A$2436,0)),"")</f>
        <v>Belum terisi</v>
      </c>
      <c r="U18" s="61" t="str">
        <f aca="false">IFERROR(INDEX('Master Data'!$L$2:$L$2436,MATCH($B$3&amp;"|1|"&amp;C$14&amp;"|"&amp;$A18,'Master Data'!$A$2:$A$2436,0)),"")</f>
        <v>Belum terisi</v>
      </c>
      <c r="V18" s="61" t="str">
        <f aca="false">IFERROR(INDEX('Master Data'!$L$2:$L$2436,MATCH($B$3&amp;"|1|"&amp;D$14&amp;"|"&amp;$A18,'Master Data'!$A$2:$A$2436,0)),"")</f>
        <v>Belum terisi</v>
      </c>
      <c r="W18" s="61" t="str">
        <f aca="false">IFERROR(INDEX('Master Data'!$L$2:$L$2436,MATCH($B$3&amp;"|1|"&amp;E$14&amp;"|"&amp;$A18,'Master Data'!$A$2:$A$2436,0)),"")</f>
        <v>Sebagian</v>
      </c>
      <c r="X18" s="61" t="str">
        <f aca="false">IFERROR(INDEX('Master Data'!$L$2:$L$2436,MATCH($B$3&amp;"|1|"&amp;F$14&amp;"|"&amp;$A18,'Master Data'!$A$2:$A$2436,0)),"")</f>
        <v>Belum terisi</v>
      </c>
      <c r="Y18" s="61" t="str">
        <f aca="false">IFERROR(INDEX('Master Data'!$L$2:$L$2436,MATCH($B$3&amp;"|1|"&amp;G$14&amp;"|"&amp;$A18,'Master Data'!$A$2:$A$2436,0)),"")</f>
        <v>Belum terisi</v>
      </c>
      <c r="Z18" s="61" t="str">
        <f aca="false">IFERROR(INDEX('Master Data'!$L$2:$L$2436,MATCH($B$3&amp;"|1|"&amp;H$14&amp;"|"&amp;$A18,'Master Data'!$A$2:$A$2436,0)),"")</f>
        <v>Belum terisi</v>
      </c>
    </row>
    <row r="19" customFormat="false" ht="30" hidden="false" customHeight="true" outlineLevel="0" collapsed="false">
      <c r="A19" s="59" t="s">
        <v>114</v>
      </c>
      <c r="B19" s="60" t="str">
        <f aca="false">IFERROR(INDEX('Master Data'!$M$2:$M$2436,MATCH($B$3&amp;"|1|"&amp;B$14&amp;"|"&amp;$A19,'Master Data'!$A$2:$A$2436,0)),"")</f>
        <v>Baby  0/5
coach: –</v>
      </c>
      <c r="C19" s="60" t="str">
        <f aca="false">IFERROR(INDEX('Master Data'!$M$2:$M$2436,MATCH($B$3&amp;"|1|"&amp;C$14&amp;"|"&amp;$A19,'Master Data'!$A$2:$A$2436,0)),"")</f>
        <v>Baby  0/5
coach: –</v>
      </c>
      <c r="D19" s="60" t="str">
        <f aca="false">IFERROR(INDEX('Master Data'!$M$2:$M$2436,MATCH($B$3&amp;"|1|"&amp;D$14&amp;"|"&amp;$A19,'Master Data'!$A$2:$A$2436,0)),"")</f>
        <v>Baby  0/5
coach: –</v>
      </c>
      <c r="E19" s="60" t="str">
        <f aca="false">IFERROR(INDEX('Master Data'!$M$2:$M$2436,MATCH($B$3&amp;"|1|"&amp;E$14&amp;"|"&amp;$A19,'Master Data'!$A$2:$A$2436,0)),"")</f>
        <v>Baby  0/5
coach: –</v>
      </c>
      <c r="F19" s="60" t="str">
        <f aca="false">IFERROR(INDEX('Master Data'!$M$2:$M$2436,MATCH($B$3&amp;"|1|"&amp;F$14&amp;"|"&amp;$A19,'Master Data'!$A$2:$A$2436,0)),"")</f>
        <v>Baby  0/5
coach: –</v>
      </c>
      <c r="G19" s="60" t="str">
        <f aca="false">IFERROR(INDEX('Master Data'!$M$2:$M$2436,MATCH($B$3&amp;"|1|"&amp;G$14&amp;"|"&amp;$A19,'Master Data'!$A$2:$A$2436,0)),"")</f>
        <v>Baby  0/5
coach: –</v>
      </c>
      <c r="H19" s="60" t="str">
        <f aca="false">IFERROR(INDEX('Master Data'!$M$2:$M$2436,MATCH($B$3&amp;"|1|"&amp;H$14&amp;"|"&amp;$A19,'Master Data'!$A$2:$A$2436,0)),"")</f>
        <v>Baby  0/5
coach: –</v>
      </c>
      <c r="T19" s="61" t="str">
        <f aca="false">IFERROR(INDEX('Master Data'!$L$2:$L$2436,MATCH($B$3&amp;"|1|"&amp;B$14&amp;"|"&amp;$A19,'Master Data'!$A$2:$A$2436,0)),"")</f>
        <v>Belum terisi</v>
      </c>
      <c r="U19" s="61" t="str">
        <f aca="false">IFERROR(INDEX('Master Data'!$L$2:$L$2436,MATCH($B$3&amp;"|1|"&amp;C$14&amp;"|"&amp;$A19,'Master Data'!$A$2:$A$2436,0)),"")</f>
        <v>Belum terisi</v>
      </c>
      <c r="V19" s="61" t="str">
        <f aca="false">IFERROR(INDEX('Master Data'!$L$2:$L$2436,MATCH($B$3&amp;"|1|"&amp;D$14&amp;"|"&amp;$A19,'Master Data'!$A$2:$A$2436,0)),"")</f>
        <v>Belum terisi</v>
      </c>
      <c r="W19" s="61" t="str">
        <f aca="false">IFERROR(INDEX('Master Data'!$L$2:$L$2436,MATCH($B$3&amp;"|1|"&amp;E$14&amp;"|"&amp;$A19,'Master Data'!$A$2:$A$2436,0)),"")</f>
        <v>Belum terisi</v>
      </c>
      <c r="X19" s="61" t="str">
        <f aca="false">IFERROR(INDEX('Master Data'!$L$2:$L$2436,MATCH($B$3&amp;"|1|"&amp;F$14&amp;"|"&amp;$A19,'Master Data'!$A$2:$A$2436,0)),"")</f>
        <v>Belum terisi</v>
      </c>
      <c r="Y19" s="61" t="str">
        <f aca="false">IFERROR(INDEX('Master Data'!$L$2:$L$2436,MATCH($B$3&amp;"|1|"&amp;G$14&amp;"|"&amp;$A19,'Master Data'!$A$2:$A$2436,0)),"")</f>
        <v>Belum terisi</v>
      </c>
      <c r="Z19" s="61" t="str">
        <f aca="false">IFERROR(INDEX('Master Data'!$L$2:$L$2436,MATCH($B$3&amp;"|1|"&amp;H$14&amp;"|"&amp;$A19,'Master Data'!$A$2:$A$2436,0)),"")</f>
        <v>Belum terisi</v>
      </c>
    </row>
    <row r="20" customFormat="false" ht="30" hidden="false" customHeight="true" outlineLevel="0" collapsed="false">
      <c r="A20" s="59" t="s">
        <v>115</v>
      </c>
      <c r="B20" s="60" t="str">
        <f aca="false">IFERROR(INDEX('Master Data'!$M$2:$M$2436,MATCH($B$3&amp;"|1|"&amp;B$14&amp;"|"&amp;$A20,'Master Data'!$A$2:$A$2436,0)),"")</f>
        <v>Baby  0/5
coach: –</v>
      </c>
      <c r="C20" s="60" t="str">
        <f aca="false">IFERROR(INDEX('Master Data'!$M$2:$M$2436,MATCH($B$3&amp;"|1|"&amp;C$14&amp;"|"&amp;$A20,'Master Data'!$A$2:$A$2436,0)),"")</f>
        <v>Baby  0/5
coach: –</v>
      </c>
      <c r="D20" s="60" t="str">
        <f aca="false">IFERROR(INDEX('Master Data'!$M$2:$M$2436,MATCH($B$3&amp;"|1|"&amp;D$14&amp;"|"&amp;$A20,'Master Data'!$A$2:$A$2436,0)),"")</f>
        <v>Baby  0/5
coach: –</v>
      </c>
      <c r="E20" s="60" t="str">
        <f aca="false">IFERROR(INDEX('Master Data'!$M$2:$M$2436,MATCH($B$3&amp;"|1|"&amp;E$14&amp;"|"&amp;$A20,'Master Data'!$A$2:$A$2436,0)),"")</f>
        <v>Baby  0/5
coach: –</v>
      </c>
      <c r="F20" s="60" t="str">
        <f aca="false">IFERROR(INDEX('Master Data'!$M$2:$M$2436,MATCH($B$3&amp;"|1|"&amp;F$14&amp;"|"&amp;$A20,'Master Data'!$A$2:$A$2436,0)),"")</f>
        <v>Baby  0/5
coach: –</v>
      </c>
      <c r="G20" s="60" t="str">
        <f aca="false">IFERROR(INDEX('Master Data'!$M$2:$M$2436,MATCH($B$3&amp;"|1|"&amp;G$14&amp;"|"&amp;$A20,'Master Data'!$A$2:$A$2436,0)),"")</f>
        <v>Baby  1/5
coach: Alfi</v>
      </c>
      <c r="H20" s="60" t="str">
        <f aca="false">IFERROR(INDEX('Master Data'!$M$2:$M$2436,MATCH($B$3&amp;"|1|"&amp;H$14&amp;"|"&amp;$A20,'Master Data'!$A$2:$A$2436,0)),"")</f>
        <v>Baby  0/5
coach: –</v>
      </c>
      <c r="T20" s="61" t="str">
        <f aca="false">IFERROR(INDEX('Master Data'!$L$2:$L$2436,MATCH($B$3&amp;"|1|"&amp;B$14&amp;"|"&amp;$A20,'Master Data'!$A$2:$A$2436,0)),"")</f>
        <v>Belum terisi</v>
      </c>
      <c r="U20" s="61" t="str">
        <f aca="false">IFERROR(INDEX('Master Data'!$L$2:$L$2436,MATCH($B$3&amp;"|1|"&amp;C$14&amp;"|"&amp;$A20,'Master Data'!$A$2:$A$2436,0)),"")</f>
        <v>Belum terisi</v>
      </c>
      <c r="V20" s="61" t="str">
        <f aca="false">IFERROR(INDEX('Master Data'!$L$2:$L$2436,MATCH($B$3&amp;"|1|"&amp;D$14&amp;"|"&amp;$A20,'Master Data'!$A$2:$A$2436,0)),"")</f>
        <v>Belum terisi</v>
      </c>
      <c r="W20" s="61" t="str">
        <f aca="false">IFERROR(INDEX('Master Data'!$L$2:$L$2436,MATCH($B$3&amp;"|1|"&amp;E$14&amp;"|"&amp;$A20,'Master Data'!$A$2:$A$2436,0)),"")</f>
        <v>Belum terisi</v>
      </c>
      <c r="X20" s="61" t="str">
        <f aca="false">IFERROR(INDEX('Master Data'!$L$2:$L$2436,MATCH($B$3&amp;"|1|"&amp;F$14&amp;"|"&amp;$A20,'Master Data'!$A$2:$A$2436,0)),"")</f>
        <v>Belum terisi</v>
      </c>
      <c r="Y20" s="61" t="str">
        <f aca="false">IFERROR(INDEX('Master Data'!$L$2:$L$2436,MATCH($B$3&amp;"|1|"&amp;G$14&amp;"|"&amp;$A20,'Master Data'!$A$2:$A$2436,0)),"")</f>
        <v>Sebagian</v>
      </c>
      <c r="Z20" s="61" t="str">
        <f aca="false">IFERROR(INDEX('Master Data'!$L$2:$L$2436,MATCH($B$3&amp;"|1|"&amp;H$14&amp;"|"&amp;$A20,'Master Data'!$A$2:$A$2436,0)),"")</f>
        <v>Belum terisi</v>
      </c>
    </row>
    <row r="21" customFormat="false" ht="30" hidden="false" customHeight="true" outlineLevel="0" collapsed="false">
      <c r="A21" s="59" t="s">
        <v>116</v>
      </c>
      <c r="B21" s="60" t="str">
        <f aca="false">IFERROR(INDEX('Master Data'!$M$2:$M$2436,MATCH($B$3&amp;"|1|"&amp;B$14&amp;"|"&amp;$A21,'Master Data'!$A$2:$A$2436,0)),"")</f>
        <v>Baby  0/5
coach: –</v>
      </c>
      <c r="C21" s="60" t="str">
        <f aca="false">IFERROR(INDEX('Master Data'!$M$2:$M$2436,MATCH($B$3&amp;"|1|"&amp;C$14&amp;"|"&amp;$A21,'Master Data'!$A$2:$A$2436,0)),"")</f>
        <v>Baby  0/5
coach: –</v>
      </c>
      <c r="D21" s="60" t="str">
        <f aca="false">IFERROR(INDEX('Master Data'!$M$2:$M$2436,MATCH($B$3&amp;"|1|"&amp;D$14&amp;"|"&amp;$A21,'Master Data'!$A$2:$A$2436,0)),"")</f>
        <v>Baby  0/5
coach: –</v>
      </c>
      <c r="E21" s="60" t="str">
        <f aca="false">IFERROR(INDEX('Master Data'!$M$2:$M$2436,MATCH($B$3&amp;"|1|"&amp;E$14&amp;"|"&amp;$A21,'Master Data'!$A$2:$A$2436,0)),"")</f>
        <v>Baby  0/5
coach: –</v>
      </c>
      <c r="F21" s="60" t="str">
        <f aca="false">IFERROR(INDEX('Master Data'!$M$2:$M$2436,MATCH($B$3&amp;"|1|"&amp;F$14&amp;"|"&amp;$A21,'Master Data'!$A$2:$A$2436,0)),"")</f>
        <v>Baby  0/5
coach: –</v>
      </c>
      <c r="G21" s="60" t="str">
        <f aca="false">IFERROR(INDEX('Master Data'!$M$2:$M$2436,MATCH($B$3&amp;"|1|"&amp;G$14&amp;"|"&amp;$A21,'Master Data'!$A$2:$A$2436,0)),"")</f>
        <v>Baby  2/5
coach: Shofi</v>
      </c>
      <c r="H21" s="60" t="str">
        <f aca="false">IFERROR(INDEX('Master Data'!$M$2:$M$2436,MATCH($B$3&amp;"|1|"&amp;H$14&amp;"|"&amp;$A21,'Master Data'!$A$2:$A$2436,0)),"")</f>
        <v>Baby  0/5
coach: –</v>
      </c>
      <c r="T21" s="61" t="str">
        <f aca="false">IFERROR(INDEX('Master Data'!$L$2:$L$2436,MATCH($B$3&amp;"|1|"&amp;B$14&amp;"|"&amp;$A21,'Master Data'!$A$2:$A$2436,0)),"")</f>
        <v>Belum terisi</v>
      </c>
      <c r="U21" s="61" t="str">
        <f aca="false">IFERROR(INDEX('Master Data'!$L$2:$L$2436,MATCH($B$3&amp;"|1|"&amp;C$14&amp;"|"&amp;$A21,'Master Data'!$A$2:$A$2436,0)),"")</f>
        <v>Belum terisi</v>
      </c>
      <c r="V21" s="61" t="str">
        <f aca="false">IFERROR(INDEX('Master Data'!$L$2:$L$2436,MATCH($B$3&amp;"|1|"&amp;D$14&amp;"|"&amp;$A21,'Master Data'!$A$2:$A$2436,0)),"")</f>
        <v>Belum terisi</v>
      </c>
      <c r="W21" s="61" t="str">
        <f aca="false">IFERROR(INDEX('Master Data'!$L$2:$L$2436,MATCH($B$3&amp;"|1|"&amp;E$14&amp;"|"&amp;$A21,'Master Data'!$A$2:$A$2436,0)),"")</f>
        <v>Belum terisi</v>
      </c>
      <c r="X21" s="61" t="str">
        <f aca="false">IFERROR(INDEX('Master Data'!$L$2:$L$2436,MATCH($B$3&amp;"|1|"&amp;F$14&amp;"|"&amp;$A21,'Master Data'!$A$2:$A$2436,0)),"")</f>
        <v>Belum terisi</v>
      </c>
      <c r="Y21" s="61" t="str">
        <f aca="false">IFERROR(INDEX('Master Data'!$L$2:$L$2436,MATCH($B$3&amp;"|1|"&amp;G$14&amp;"|"&amp;$A21,'Master Data'!$A$2:$A$2436,0)),"")</f>
        <v>Sebagian</v>
      </c>
      <c r="Z21" s="61" t="str">
        <f aca="false">IFERROR(INDEX('Master Data'!$L$2:$L$2436,MATCH($B$3&amp;"|1|"&amp;H$14&amp;"|"&amp;$A21,'Master Data'!$A$2:$A$2436,0)),"")</f>
        <v>Belum terisi</v>
      </c>
    </row>
    <row r="22" customFormat="false" ht="30" hidden="false" customHeight="true" outlineLevel="0" collapsed="false">
      <c r="A22" s="59" t="s">
        <v>117</v>
      </c>
      <c r="B22" s="60" t="str">
        <f aca="false">IFERROR(INDEX('Master Data'!$M$2:$M$2436,MATCH($B$3&amp;"|1|"&amp;B$14&amp;"|"&amp;$A22,'Master Data'!$A$2:$A$2436,0)),"")</f>
        <v>Baby  0/5
coach: –</v>
      </c>
      <c r="C22" s="60" t="str">
        <f aca="false">IFERROR(INDEX('Master Data'!$M$2:$M$2436,MATCH($B$3&amp;"|1|"&amp;C$14&amp;"|"&amp;$A22,'Master Data'!$A$2:$A$2436,0)),"")</f>
        <v>Baby  1/5
coach: Doni</v>
      </c>
      <c r="D22" s="60" t="str">
        <f aca="false">IFERROR(INDEX('Master Data'!$M$2:$M$2436,MATCH($B$3&amp;"|1|"&amp;D$14&amp;"|"&amp;$A22,'Master Data'!$A$2:$A$2436,0)),"")</f>
        <v>Baby  0/5
coach: –</v>
      </c>
      <c r="E22" s="60" t="str">
        <f aca="false">IFERROR(INDEX('Master Data'!$M$2:$M$2436,MATCH($B$3&amp;"|1|"&amp;E$14&amp;"|"&amp;$A22,'Master Data'!$A$2:$A$2436,0)),"")</f>
        <v>Baby  0/5
coach: –</v>
      </c>
      <c r="F22" s="60" t="str">
        <f aca="false">IFERROR(INDEX('Master Data'!$M$2:$M$2436,MATCH($B$3&amp;"|1|"&amp;F$14&amp;"|"&amp;$A22,'Master Data'!$A$2:$A$2436,0)),"")</f>
        <v>Baby  0/5
coach: –</v>
      </c>
      <c r="G22" s="60" t="str">
        <f aca="false">IFERROR(INDEX('Master Data'!$M$2:$M$2436,MATCH($B$3&amp;"|1|"&amp;G$14&amp;"|"&amp;$A22,'Master Data'!$A$2:$A$2436,0)),"")</f>
        <v>Baby  0/5
coach: –</v>
      </c>
      <c r="H22" s="60" t="str">
        <f aca="false">IFERROR(INDEX('Master Data'!$M$2:$M$2436,MATCH($B$3&amp;"|1|"&amp;H$14&amp;"|"&amp;$A22,'Master Data'!$A$2:$A$2436,0)),"")</f>
        <v>Baby  0/5
coach: –</v>
      </c>
      <c r="T22" s="61" t="str">
        <f aca="false">IFERROR(INDEX('Master Data'!$L$2:$L$2436,MATCH($B$3&amp;"|1|"&amp;B$14&amp;"|"&amp;$A22,'Master Data'!$A$2:$A$2436,0)),"")</f>
        <v>Belum terisi</v>
      </c>
      <c r="U22" s="61" t="str">
        <f aca="false">IFERROR(INDEX('Master Data'!$L$2:$L$2436,MATCH($B$3&amp;"|1|"&amp;C$14&amp;"|"&amp;$A22,'Master Data'!$A$2:$A$2436,0)),"")</f>
        <v>Sebagian</v>
      </c>
      <c r="V22" s="61" t="str">
        <f aca="false">IFERROR(INDEX('Master Data'!$L$2:$L$2436,MATCH($B$3&amp;"|1|"&amp;D$14&amp;"|"&amp;$A22,'Master Data'!$A$2:$A$2436,0)),"")</f>
        <v>Belum terisi</v>
      </c>
      <c r="W22" s="61" t="str">
        <f aca="false">IFERROR(INDEX('Master Data'!$L$2:$L$2436,MATCH($B$3&amp;"|1|"&amp;E$14&amp;"|"&amp;$A22,'Master Data'!$A$2:$A$2436,0)),"")</f>
        <v>Belum terisi</v>
      </c>
      <c r="X22" s="61" t="str">
        <f aca="false">IFERROR(INDEX('Master Data'!$L$2:$L$2436,MATCH($B$3&amp;"|1|"&amp;F$14&amp;"|"&amp;$A22,'Master Data'!$A$2:$A$2436,0)),"")</f>
        <v>Belum terisi</v>
      </c>
      <c r="Y22" s="61" t="str">
        <f aca="false">IFERROR(INDEX('Master Data'!$L$2:$L$2436,MATCH($B$3&amp;"|1|"&amp;G$14&amp;"|"&amp;$A22,'Master Data'!$A$2:$A$2436,0)),"")</f>
        <v>Belum terisi</v>
      </c>
      <c r="Z22" s="61" t="str">
        <f aca="false">IFERROR(INDEX('Master Data'!$L$2:$L$2436,MATCH($B$3&amp;"|1|"&amp;H$14&amp;"|"&amp;$A22,'Master Data'!$A$2:$A$2436,0)),"")</f>
        <v>Belum terisi</v>
      </c>
    </row>
    <row r="23" customFormat="false" ht="30" hidden="false" customHeight="true" outlineLevel="0" collapsed="false">
      <c r="A23" s="59" t="s">
        <v>118</v>
      </c>
      <c r="B23" s="60" t="str">
        <f aca="false">IFERROR(INDEX('Master Data'!$M$2:$M$2436,MATCH($B$3&amp;"|1|"&amp;B$14&amp;"|"&amp;$A23,'Master Data'!$A$2:$A$2436,0)),"")</f>
        <v>Baby  0/5
coach: –</v>
      </c>
      <c r="C23" s="60" t="str">
        <f aca="false">IFERROR(INDEX('Master Data'!$M$2:$M$2436,MATCH($B$3&amp;"|1|"&amp;C$14&amp;"|"&amp;$A23,'Master Data'!$A$2:$A$2436,0)),"")</f>
        <v>Baby  0/5
coach: –</v>
      </c>
      <c r="D23" s="60" t="str">
        <f aca="false">IFERROR(INDEX('Master Data'!$M$2:$M$2436,MATCH($B$3&amp;"|1|"&amp;D$14&amp;"|"&amp;$A23,'Master Data'!$A$2:$A$2436,0)),"")</f>
        <v>Baby  0/5
coach: –</v>
      </c>
      <c r="E23" s="60" t="str">
        <f aca="false">IFERROR(INDEX('Master Data'!$M$2:$M$2436,MATCH($B$3&amp;"|1|"&amp;E$14&amp;"|"&amp;$A23,'Master Data'!$A$2:$A$2436,0)),"")</f>
        <v>Baby  0/5
coach: –</v>
      </c>
      <c r="F23" s="60" t="str">
        <f aca="false">IFERROR(INDEX('Master Data'!$M$2:$M$2436,MATCH($B$3&amp;"|1|"&amp;F$14&amp;"|"&amp;$A23,'Master Data'!$A$2:$A$2436,0)),"")</f>
        <v>Baby  0/5
coach: –</v>
      </c>
      <c r="G23" s="60" t="str">
        <f aca="false">IFERROR(INDEX('Master Data'!$M$2:$M$2436,MATCH($B$3&amp;"|1|"&amp;G$14&amp;"|"&amp;$A23,'Master Data'!$A$2:$A$2436,0)),"")</f>
        <v>Baby  0/5
coach: –</v>
      </c>
      <c r="H23" s="60" t="str">
        <f aca="false">IFERROR(INDEX('Master Data'!$M$2:$M$2436,MATCH($B$3&amp;"|1|"&amp;H$14&amp;"|"&amp;$A23,'Master Data'!$A$2:$A$2436,0)),"")</f>
        <v>Baby  0/5
coach: –</v>
      </c>
      <c r="T23" s="61" t="str">
        <f aca="false">IFERROR(INDEX('Master Data'!$L$2:$L$2436,MATCH($B$3&amp;"|1|"&amp;B$14&amp;"|"&amp;$A23,'Master Data'!$A$2:$A$2436,0)),"")</f>
        <v>Belum terisi</v>
      </c>
      <c r="U23" s="61" t="str">
        <f aca="false">IFERROR(INDEX('Master Data'!$L$2:$L$2436,MATCH($B$3&amp;"|1|"&amp;C$14&amp;"|"&amp;$A23,'Master Data'!$A$2:$A$2436,0)),"")</f>
        <v>Belum terisi</v>
      </c>
      <c r="V23" s="61" t="str">
        <f aca="false">IFERROR(INDEX('Master Data'!$L$2:$L$2436,MATCH($B$3&amp;"|1|"&amp;D$14&amp;"|"&amp;$A23,'Master Data'!$A$2:$A$2436,0)),"")</f>
        <v>Belum terisi</v>
      </c>
      <c r="W23" s="61" t="str">
        <f aca="false">IFERROR(INDEX('Master Data'!$L$2:$L$2436,MATCH($B$3&amp;"|1|"&amp;E$14&amp;"|"&amp;$A23,'Master Data'!$A$2:$A$2436,0)),"")</f>
        <v>Belum terisi</v>
      </c>
      <c r="X23" s="61" t="str">
        <f aca="false">IFERROR(INDEX('Master Data'!$L$2:$L$2436,MATCH($B$3&amp;"|1|"&amp;F$14&amp;"|"&amp;$A23,'Master Data'!$A$2:$A$2436,0)),"")</f>
        <v>Belum terisi</v>
      </c>
      <c r="Y23" s="61" t="str">
        <f aca="false">IFERROR(INDEX('Master Data'!$L$2:$L$2436,MATCH($B$3&amp;"|1|"&amp;G$14&amp;"|"&amp;$A23,'Master Data'!$A$2:$A$2436,0)),"")</f>
        <v>Belum terisi</v>
      </c>
      <c r="Z23" s="61" t="str">
        <f aca="false">IFERROR(INDEX('Master Data'!$L$2:$L$2436,MATCH($B$3&amp;"|1|"&amp;H$14&amp;"|"&amp;$A23,'Master Data'!$A$2:$A$2436,0)),"")</f>
        <v>Belum terisi</v>
      </c>
    </row>
    <row r="24" customFormat="false" ht="30" hidden="false" customHeight="true" outlineLevel="0" collapsed="false">
      <c r="A24" s="59" t="s">
        <v>119</v>
      </c>
      <c r="B24" s="60" t="str">
        <f aca="false">IFERROR(INDEX('Master Data'!$M$2:$M$2436,MATCH($B$3&amp;"|1|"&amp;B$14&amp;"|"&amp;$A24,'Master Data'!$A$2:$A$2436,0)),"")</f>
        <v>Baby  0/5
coach: –</v>
      </c>
      <c r="C24" s="60" t="str">
        <f aca="false">IFERROR(INDEX('Master Data'!$M$2:$M$2436,MATCH($B$3&amp;"|1|"&amp;C$14&amp;"|"&amp;$A24,'Master Data'!$A$2:$A$2436,0)),"")</f>
        <v>Baby  0/5
coach: –</v>
      </c>
      <c r="D24" s="60" t="str">
        <f aca="false">IFERROR(INDEX('Master Data'!$M$2:$M$2436,MATCH($B$3&amp;"|1|"&amp;D$14&amp;"|"&amp;$A24,'Master Data'!$A$2:$A$2436,0)),"")</f>
        <v>Baby  0/5
coach: –</v>
      </c>
      <c r="E24" s="60" t="str">
        <f aca="false">IFERROR(INDEX('Master Data'!$M$2:$M$2436,MATCH($B$3&amp;"|1|"&amp;E$14&amp;"|"&amp;$A24,'Master Data'!$A$2:$A$2436,0)),"")</f>
        <v>Baby  0/5
coach: –</v>
      </c>
      <c r="F24" s="60" t="str">
        <f aca="false">IFERROR(INDEX('Master Data'!$M$2:$M$2436,MATCH($B$3&amp;"|1|"&amp;F$14&amp;"|"&amp;$A24,'Master Data'!$A$2:$A$2436,0)),"")</f>
        <v>Baby  0/5
coach: –</v>
      </c>
      <c r="G24" s="60" t="str">
        <f aca="false">IFERROR(INDEX('Master Data'!$M$2:$M$2436,MATCH($B$3&amp;"|1|"&amp;G$14&amp;"|"&amp;$A24,'Master Data'!$A$2:$A$2436,0)),"")</f>
        <v>Baby  0/5
coach: –</v>
      </c>
      <c r="H24" s="60" t="str">
        <f aca="false">IFERROR(INDEX('Master Data'!$M$2:$M$2436,MATCH($B$3&amp;"|1|"&amp;H$14&amp;"|"&amp;$A24,'Master Data'!$A$2:$A$2436,0)),"")</f>
        <v>Baby  0/5
coach: –</v>
      </c>
      <c r="T24" s="61" t="str">
        <f aca="false">IFERROR(INDEX('Master Data'!$L$2:$L$2436,MATCH($B$3&amp;"|1|"&amp;B$14&amp;"|"&amp;$A24,'Master Data'!$A$2:$A$2436,0)),"")</f>
        <v>Belum terisi</v>
      </c>
      <c r="U24" s="61" t="str">
        <f aca="false">IFERROR(INDEX('Master Data'!$L$2:$L$2436,MATCH($B$3&amp;"|1|"&amp;C$14&amp;"|"&amp;$A24,'Master Data'!$A$2:$A$2436,0)),"")</f>
        <v>Belum terisi</v>
      </c>
      <c r="V24" s="61" t="str">
        <f aca="false">IFERROR(INDEX('Master Data'!$L$2:$L$2436,MATCH($B$3&amp;"|1|"&amp;D$14&amp;"|"&amp;$A24,'Master Data'!$A$2:$A$2436,0)),"")</f>
        <v>Belum terisi</v>
      </c>
      <c r="W24" s="61" t="str">
        <f aca="false">IFERROR(INDEX('Master Data'!$L$2:$L$2436,MATCH($B$3&amp;"|1|"&amp;E$14&amp;"|"&amp;$A24,'Master Data'!$A$2:$A$2436,0)),"")</f>
        <v>Belum terisi</v>
      </c>
      <c r="X24" s="61" t="str">
        <f aca="false">IFERROR(INDEX('Master Data'!$L$2:$L$2436,MATCH($B$3&amp;"|1|"&amp;F$14&amp;"|"&amp;$A24,'Master Data'!$A$2:$A$2436,0)),"")</f>
        <v>Belum terisi</v>
      </c>
      <c r="Y24" s="61" t="str">
        <f aca="false">IFERROR(INDEX('Master Data'!$L$2:$L$2436,MATCH($B$3&amp;"|1|"&amp;G$14&amp;"|"&amp;$A24,'Master Data'!$A$2:$A$2436,0)),"")</f>
        <v>Belum terisi</v>
      </c>
      <c r="Z24" s="61" t="str">
        <f aca="false">IFERROR(INDEX('Master Data'!$L$2:$L$2436,MATCH($B$3&amp;"|1|"&amp;H$14&amp;"|"&amp;$A24,'Master Data'!$A$2:$A$2436,0)),"")</f>
        <v>Belum terisi</v>
      </c>
    </row>
    <row r="25" customFormat="false" ht="30" hidden="false" customHeight="true" outlineLevel="0" collapsed="false">
      <c r="A25" s="59" t="s">
        <v>120</v>
      </c>
      <c r="B25" s="60" t="str">
        <f aca="false">IFERROR(INDEX('Master Data'!$M$2:$M$2436,MATCH($B$3&amp;"|1|"&amp;B$14&amp;"|"&amp;$A25,'Master Data'!$A$2:$A$2436,0)),"")</f>
        <v>Baby  0/5
coach: –</v>
      </c>
      <c r="C25" s="60" t="str">
        <f aca="false">IFERROR(INDEX('Master Data'!$M$2:$M$2436,MATCH($B$3&amp;"|1|"&amp;C$14&amp;"|"&amp;$A25,'Master Data'!$A$2:$A$2436,0)),"")</f>
        <v>Baby  0/5
coach: –</v>
      </c>
      <c r="D25" s="60" t="str">
        <f aca="false">IFERROR(INDEX('Master Data'!$M$2:$M$2436,MATCH($B$3&amp;"|1|"&amp;D$14&amp;"|"&amp;$A25,'Master Data'!$A$2:$A$2436,0)),"")</f>
        <v>Baby  0/5
coach: –</v>
      </c>
      <c r="E25" s="60" t="str">
        <f aca="false">IFERROR(INDEX('Master Data'!$M$2:$M$2436,MATCH($B$3&amp;"|1|"&amp;E$14&amp;"|"&amp;$A25,'Master Data'!$A$2:$A$2436,0)),"")</f>
        <v>Baby  0/5
coach: –</v>
      </c>
      <c r="F25" s="60" t="str">
        <f aca="false">IFERROR(INDEX('Master Data'!$M$2:$M$2436,MATCH($B$3&amp;"|1|"&amp;F$14&amp;"|"&amp;$A25,'Master Data'!$A$2:$A$2436,0)),"")</f>
        <v>Baby  0/5
coach: –</v>
      </c>
      <c r="G25" s="60" t="str">
        <f aca="false">IFERROR(INDEX('Master Data'!$M$2:$M$2436,MATCH($B$3&amp;"|1|"&amp;G$14&amp;"|"&amp;$A25,'Master Data'!$A$2:$A$2436,0)),"")</f>
        <v>Baby  0/5
coach: –</v>
      </c>
      <c r="H25" s="60" t="str">
        <f aca="false">IFERROR(INDEX('Master Data'!$M$2:$M$2436,MATCH($B$3&amp;"|1|"&amp;H$14&amp;"|"&amp;$A25,'Master Data'!$A$2:$A$2436,0)),"")</f>
        <v>Baby  0/5
coach: –</v>
      </c>
      <c r="T25" s="61" t="str">
        <f aca="false">IFERROR(INDEX('Master Data'!$L$2:$L$2436,MATCH($B$3&amp;"|1|"&amp;B$14&amp;"|"&amp;$A25,'Master Data'!$A$2:$A$2436,0)),"")</f>
        <v>Belum terisi</v>
      </c>
      <c r="U25" s="61" t="str">
        <f aca="false">IFERROR(INDEX('Master Data'!$L$2:$L$2436,MATCH($B$3&amp;"|1|"&amp;C$14&amp;"|"&amp;$A25,'Master Data'!$A$2:$A$2436,0)),"")</f>
        <v>Belum terisi</v>
      </c>
      <c r="V25" s="61" t="str">
        <f aca="false">IFERROR(INDEX('Master Data'!$L$2:$L$2436,MATCH($B$3&amp;"|1|"&amp;D$14&amp;"|"&amp;$A25,'Master Data'!$A$2:$A$2436,0)),"")</f>
        <v>Belum terisi</v>
      </c>
      <c r="W25" s="61" t="str">
        <f aca="false">IFERROR(INDEX('Master Data'!$L$2:$L$2436,MATCH($B$3&amp;"|1|"&amp;E$14&amp;"|"&amp;$A25,'Master Data'!$A$2:$A$2436,0)),"")</f>
        <v>Belum terisi</v>
      </c>
      <c r="X25" s="61" t="str">
        <f aca="false">IFERROR(INDEX('Master Data'!$L$2:$L$2436,MATCH($B$3&amp;"|1|"&amp;F$14&amp;"|"&amp;$A25,'Master Data'!$A$2:$A$2436,0)),"")</f>
        <v>Belum terisi</v>
      </c>
      <c r="Y25" s="61" t="str">
        <f aca="false">IFERROR(INDEX('Master Data'!$L$2:$L$2436,MATCH($B$3&amp;"|1|"&amp;G$14&amp;"|"&amp;$A25,'Master Data'!$A$2:$A$2436,0)),"")</f>
        <v>Belum terisi</v>
      </c>
      <c r="Z25" s="61" t="str">
        <f aca="false">IFERROR(INDEX('Master Data'!$L$2:$L$2436,MATCH($B$3&amp;"|1|"&amp;H$14&amp;"|"&amp;$A25,'Master Data'!$A$2:$A$2436,0)),"")</f>
        <v>Belum terisi</v>
      </c>
    </row>
    <row r="26" customFormat="false" ht="30" hidden="false" customHeight="true" outlineLevel="0" collapsed="false">
      <c r="A26" s="59" t="s">
        <v>121</v>
      </c>
      <c r="B26" s="60" t="str">
        <f aca="false">IFERROR(INDEX('Master Data'!$M$2:$M$2436,MATCH($B$3&amp;"|1|"&amp;B$14&amp;"|"&amp;$A26,'Master Data'!$A$2:$A$2436,0)),"")</f>
        <v>Baby  0/5
coach: –</v>
      </c>
      <c r="C26" s="60" t="str">
        <f aca="false">IFERROR(INDEX('Master Data'!$M$2:$M$2436,MATCH($B$3&amp;"|1|"&amp;C$14&amp;"|"&amp;$A26,'Master Data'!$A$2:$A$2436,0)),"")</f>
        <v>Baby  0/5
coach: –</v>
      </c>
      <c r="D26" s="60" t="str">
        <f aca="false">IFERROR(INDEX('Master Data'!$M$2:$M$2436,MATCH($B$3&amp;"|1|"&amp;D$14&amp;"|"&amp;$A26,'Master Data'!$A$2:$A$2436,0)),"")</f>
        <v>Baby  0/5
coach: –</v>
      </c>
      <c r="E26" s="60" t="str">
        <f aca="false">IFERROR(INDEX('Master Data'!$M$2:$M$2436,MATCH($B$3&amp;"|1|"&amp;E$14&amp;"|"&amp;$A26,'Master Data'!$A$2:$A$2436,0)),"")</f>
        <v>Baby  0/5
coach: –</v>
      </c>
      <c r="F26" s="60" t="str">
        <f aca="false">IFERROR(INDEX('Master Data'!$M$2:$M$2436,MATCH($B$3&amp;"|1|"&amp;F$14&amp;"|"&amp;$A26,'Master Data'!$A$2:$A$2436,0)),"")</f>
        <v>Baby  0/5
coach: –</v>
      </c>
      <c r="G26" s="60" t="str">
        <f aca="false">IFERROR(INDEX('Master Data'!$M$2:$M$2436,MATCH($B$3&amp;"|1|"&amp;G$14&amp;"|"&amp;$A26,'Master Data'!$A$2:$A$2436,0)),"")</f>
        <v>Baby  0/5
coach: –</v>
      </c>
      <c r="H26" s="60" t="str">
        <f aca="false">IFERROR(INDEX('Master Data'!$M$2:$M$2436,MATCH($B$3&amp;"|1|"&amp;H$14&amp;"|"&amp;$A26,'Master Data'!$A$2:$A$2436,0)),"")</f>
        <v>Baby  0/5
coach: –</v>
      </c>
      <c r="T26" s="61" t="str">
        <f aca="false">IFERROR(INDEX('Master Data'!$L$2:$L$2436,MATCH($B$3&amp;"|1|"&amp;B$14&amp;"|"&amp;$A26,'Master Data'!$A$2:$A$2436,0)),"")</f>
        <v>Belum terisi</v>
      </c>
      <c r="U26" s="61" t="str">
        <f aca="false">IFERROR(INDEX('Master Data'!$L$2:$L$2436,MATCH($B$3&amp;"|1|"&amp;C$14&amp;"|"&amp;$A26,'Master Data'!$A$2:$A$2436,0)),"")</f>
        <v>Belum terisi</v>
      </c>
      <c r="V26" s="61" t="str">
        <f aca="false">IFERROR(INDEX('Master Data'!$L$2:$L$2436,MATCH($B$3&amp;"|1|"&amp;D$14&amp;"|"&amp;$A26,'Master Data'!$A$2:$A$2436,0)),"")</f>
        <v>Belum terisi</v>
      </c>
      <c r="W26" s="61" t="str">
        <f aca="false">IFERROR(INDEX('Master Data'!$L$2:$L$2436,MATCH($B$3&amp;"|1|"&amp;E$14&amp;"|"&amp;$A26,'Master Data'!$A$2:$A$2436,0)),"")</f>
        <v>Belum terisi</v>
      </c>
      <c r="X26" s="61" t="str">
        <f aca="false">IFERROR(INDEX('Master Data'!$L$2:$L$2436,MATCH($B$3&amp;"|1|"&amp;F$14&amp;"|"&amp;$A26,'Master Data'!$A$2:$A$2436,0)),"")</f>
        <v>Belum terisi</v>
      </c>
      <c r="Y26" s="61" t="str">
        <f aca="false">IFERROR(INDEX('Master Data'!$L$2:$L$2436,MATCH($B$3&amp;"|1|"&amp;G$14&amp;"|"&amp;$A26,'Master Data'!$A$2:$A$2436,0)),"")</f>
        <v>Belum terisi</v>
      </c>
      <c r="Z26" s="61" t="str">
        <f aca="false">IFERROR(INDEX('Master Data'!$L$2:$L$2436,MATCH($B$3&amp;"|1|"&amp;H$14&amp;"|"&amp;$A26,'Master Data'!$A$2:$A$2436,0)),"")</f>
        <v>Belum terisi</v>
      </c>
    </row>
    <row r="28" customFormat="false" ht="16.15" hidden="false" customHeight="false" outlineLevel="0" collapsed="false">
      <c r="A28" s="54" t="s">
        <v>108</v>
      </c>
      <c r="B28" s="55"/>
      <c r="C28" s="56" t="str">
        <f aca="false">"Utilisasi lane: "&amp;IFERROR(TEXT(SUMIFS('Master Data'!$H$2:$H$2436,'Master Data'!$B$2:$B$2436,$B$3,'Master Data'!$C$2:$C$2436,2,'Master Data'!$G$2:$G$2436,"&gt;0")/SUMIFS('Master Data'!$G$2:$G$2436,'Master Data'!$B$2:$B$2436,$B$3,'Master Data'!$C$2:$C$2436,2,'Master Data'!$G$2:$G$2436,"&gt;0"),"0%"),"–")&amp;"   ·   Belum terisi: "&amp;COUNTIFS('Master Data'!$B$2:$B$2436,$B$3,'Master Data'!$C$2:$C$2436,2,'Master Data'!$L$2:$L$2436,"Belum terisi")&amp;"   ·   Slot kosong: "&amp;COUNTIFS('Master Data'!$B$2:$B$2436,$B$3,'Master Data'!$C$2:$C$2436,2,'Master Data'!$L$2:$L$2436,"Slot kosong")</f>
        <v>Utilisasi lane: 6%   ·   Belum terisi: 73   ·   Slot kosong: 0</v>
      </c>
      <c r="D28" s="55"/>
      <c r="E28" s="55"/>
      <c r="F28" s="55"/>
      <c r="G28" s="55"/>
      <c r="H28" s="55"/>
    </row>
    <row r="29" customFormat="false" ht="15" hidden="false" customHeight="false" outlineLevel="0" collapsed="false">
      <c r="A29" s="57" t="s">
        <v>89</v>
      </c>
      <c r="B29" s="58" t="s">
        <v>90</v>
      </c>
      <c r="C29" s="58" t="s">
        <v>91</v>
      </c>
      <c r="D29" s="58" t="s">
        <v>92</v>
      </c>
      <c r="E29" s="58" t="s">
        <v>93</v>
      </c>
      <c r="F29" s="58" t="s">
        <v>94</v>
      </c>
      <c r="G29" s="58" t="s">
        <v>95</v>
      </c>
      <c r="H29" s="58" t="s">
        <v>78</v>
      </c>
    </row>
    <row r="30" customFormat="false" ht="30" hidden="false" customHeight="true" outlineLevel="0" collapsed="false">
      <c r="A30" s="59" t="s">
        <v>110</v>
      </c>
      <c r="B30" s="60" t="str">
        <f aca="false">IFERROR(INDEX('Master Data'!$M$2:$M$2436,MATCH($B$3&amp;"|2|"&amp;B$29&amp;"|"&amp;$A30,'Master Data'!$A$2:$A$2436,0)),"")</f>
        <v>Tiny  0/5
coach: –</v>
      </c>
      <c r="C30" s="60" t="str">
        <f aca="false">IFERROR(INDEX('Master Data'!$M$2:$M$2436,MATCH($B$3&amp;"|2|"&amp;C$29&amp;"|"&amp;$A30,'Master Data'!$A$2:$A$2436,0)),"")</f>
        <v>Tiny  0/5
coach: –</v>
      </c>
      <c r="D30" s="60" t="str">
        <f aca="false">IFERROR(INDEX('Master Data'!$M$2:$M$2436,MATCH($B$3&amp;"|2|"&amp;D$29&amp;"|"&amp;$A30,'Master Data'!$A$2:$A$2436,0)),"")</f>
        <v>Tiny  0/5
coach: –</v>
      </c>
      <c r="E30" s="60" t="str">
        <f aca="false">IFERROR(INDEX('Master Data'!$M$2:$M$2436,MATCH($B$3&amp;"|2|"&amp;E$29&amp;"|"&amp;$A30,'Master Data'!$A$2:$A$2436,0)),"")</f>
        <v>Tiny  0/5
coach: –</v>
      </c>
      <c r="F30" s="60" t="str">
        <f aca="false">IFERROR(INDEX('Master Data'!$M$2:$M$2436,MATCH($B$3&amp;"|2|"&amp;F$29&amp;"|"&amp;$A30,'Master Data'!$A$2:$A$2436,0)),"")</f>
        <v>Tiny  0/5
coach: –</v>
      </c>
      <c r="G30" s="60" t="str">
        <f aca="false">IFERROR(INDEX('Master Data'!$M$2:$M$2436,MATCH($B$3&amp;"|2|"&amp;G$29&amp;"|"&amp;$A30,'Master Data'!$A$2:$A$2436,0)),"")</f>
        <v>Tiny  0/5
coach: –</v>
      </c>
      <c r="H30" s="60" t="str">
        <f aca="false">IFERROR(INDEX('Master Data'!$M$2:$M$2436,MATCH($B$3&amp;"|2|"&amp;H$29&amp;"|"&amp;$A30,'Master Data'!$A$2:$A$2436,0)),"")</f>
        <v>Tiny  0/5
coach: –</v>
      </c>
      <c r="T30" s="61" t="str">
        <f aca="false">IFERROR(INDEX('Master Data'!$L$2:$L$2436,MATCH($B$3&amp;"|2|"&amp;B$29&amp;"|"&amp;$A30,'Master Data'!$A$2:$A$2436,0)),"")</f>
        <v>Belum terisi</v>
      </c>
      <c r="U30" s="61" t="str">
        <f aca="false">IFERROR(INDEX('Master Data'!$L$2:$L$2436,MATCH($B$3&amp;"|2|"&amp;C$29&amp;"|"&amp;$A30,'Master Data'!$A$2:$A$2436,0)),"")</f>
        <v>Belum terisi</v>
      </c>
      <c r="V30" s="61" t="str">
        <f aca="false">IFERROR(INDEX('Master Data'!$L$2:$L$2436,MATCH($B$3&amp;"|2|"&amp;D$29&amp;"|"&amp;$A30,'Master Data'!$A$2:$A$2436,0)),"")</f>
        <v>Belum terisi</v>
      </c>
      <c r="W30" s="61" t="str">
        <f aca="false">IFERROR(INDEX('Master Data'!$L$2:$L$2436,MATCH($B$3&amp;"|2|"&amp;E$29&amp;"|"&amp;$A30,'Master Data'!$A$2:$A$2436,0)),"")</f>
        <v>Belum terisi</v>
      </c>
      <c r="X30" s="61" t="str">
        <f aca="false">IFERROR(INDEX('Master Data'!$L$2:$L$2436,MATCH($B$3&amp;"|2|"&amp;F$29&amp;"|"&amp;$A30,'Master Data'!$A$2:$A$2436,0)),"")</f>
        <v>Belum terisi</v>
      </c>
      <c r="Y30" s="61" t="str">
        <f aca="false">IFERROR(INDEX('Master Data'!$L$2:$L$2436,MATCH($B$3&amp;"|2|"&amp;G$29&amp;"|"&amp;$A30,'Master Data'!$A$2:$A$2436,0)),"")</f>
        <v>Belum terisi</v>
      </c>
      <c r="Z30" s="61" t="str">
        <f aca="false">IFERROR(INDEX('Master Data'!$L$2:$L$2436,MATCH($B$3&amp;"|2|"&amp;H$29&amp;"|"&amp;$A30,'Master Data'!$A$2:$A$2436,0)),"")</f>
        <v>Belum terisi</v>
      </c>
    </row>
    <row r="31" customFormat="false" ht="30" hidden="false" customHeight="true" outlineLevel="0" collapsed="false">
      <c r="A31" s="59" t="s">
        <v>111</v>
      </c>
      <c r="B31" s="60" t="str">
        <f aca="false">IFERROR(INDEX('Master Data'!$M$2:$M$2436,MATCH($B$3&amp;"|2|"&amp;B$29&amp;"|"&amp;$A31,'Master Data'!$A$2:$A$2436,0)),"")</f>
        <v>Tiny  1/5
coach: Tara</v>
      </c>
      <c r="C31" s="60" t="str">
        <f aca="false">IFERROR(INDEX('Master Data'!$M$2:$M$2436,MATCH($B$3&amp;"|2|"&amp;C$29&amp;"|"&amp;$A31,'Master Data'!$A$2:$A$2436,0)),"")</f>
        <v>Tiny  0/5
coach: –</v>
      </c>
      <c r="D31" s="60" t="str">
        <f aca="false">IFERROR(INDEX('Master Data'!$M$2:$M$2436,MATCH($B$3&amp;"|2|"&amp;D$29&amp;"|"&amp;$A31,'Master Data'!$A$2:$A$2436,0)),"")</f>
        <v>Tiny  0/5
coach: –</v>
      </c>
      <c r="E31" s="60" t="str">
        <f aca="false">IFERROR(INDEX('Master Data'!$M$2:$M$2436,MATCH($B$3&amp;"|2|"&amp;E$29&amp;"|"&amp;$A31,'Master Data'!$A$2:$A$2436,0)),"")</f>
        <v>Tiny  1/5
coach: Alfi</v>
      </c>
      <c r="F31" s="60" t="str">
        <f aca="false">IFERROR(INDEX('Master Data'!$M$2:$M$2436,MATCH($B$3&amp;"|2|"&amp;F$29&amp;"|"&amp;$A31,'Master Data'!$A$2:$A$2436,0)),"")</f>
        <v>Tiny  2/5
coach: Shofi</v>
      </c>
      <c r="G31" s="60" t="str">
        <f aca="false">IFERROR(INDEX('Master Data'!$M$2:$M$2436,MATCH($B$3&amp;"|2|"&amp;G$29&amp;"|"&amp;$A31,'Master Data'!$A$2:$A$2436,0)),"")</f>
        <v>Tiny  3/5
coach: Shofi</v>
      </c>
      <c r="H31" s="60" t="str">
        <f aca="false">IFERROR(INDEX('Master Data'!$M$2:$M$2436,MATCH($B$3&amp;"|2|"&amp;H$29&amp;"|"&amp;$A31,'Master Data'!$A$2:$A$2436,0)),"")</f>
        <v>Tiny  3/5
coach: Shofi</v>
      </c>
      <c r="T31" s="61" t="str">
        <f aca="false">IFERROR(INDEX('Master Data'!$L$2:$L$2436,MATCH($B$3&amp;"|2|"&amp;B$29&amp;"|"&amp;$A31,'Master Data'!$A$2:$A$2436,0)),"")</f>
        <v>Sebagian</v>
      </c>
      <c r="U31" s="61" t="str">
        <f aca="false">IFERROR(INDEX('Master Data'!$L$2:$L$2436,MATCH($B$3&amp;"|2|"&amp;C$29&amp;"|"&amp;$A31,'Master Data'!$A$2:$A$2436,0)),"")</f>
        <v>Belum terisi</v>
      </c>
      <c r="V31" s="61" t="str">
        <f aca="false">IFERROR(INDEX('Master Data'!$L$2:$L$2436,MATCH($B$3&amp;"|2|"&amp;D$29&amp;"|"&amp;$A31,'Master Data'!$A$2:$A$2436,0)),"")</f>
        <v>Belum terisi</v>
      </c>
      <c r="W31" s="61" t="str">
        <f aca="false">IFERROR(INDEX('Master Data'!$L$2:$L$2436,MATCH($B$3&amp;"|2|"&amp;E$29&amp;"|"&amp;$A31,'Master Data'!$A$2:$A$2436,0)),"")</f>
        <v>Sebagian</v>
      </c>
      <c r="X31" s="61" t="str">
        <f aca="false">IFERROR(INDEX('Master Data'!$L$2:$L$2436,MATCH($B$3&amp;"|2|"&amp;F$29&amp;"|"&amp;$A31,'Master Data'!$A$2:$A$2436,0)),"")</f>
        <v>Sebagian</v>
      </c>
      <c r="Y31" s="61" t="str">
        <f aca="false">IFERROR(INDEX('Master Data'!$L$2:$L$2436,MATCH($B$3&amp;"|2|"&amp;G$29&amp;"|"&amp;$A31,'Master Data'!$A$2:$A$2436,0)),"")</f>
        <v>Sebagian</v>
      </c>
      <c r="Z31" s="61" t="str">
        <f aca="false">IFERROR(INDEX('Master Data'!$L$2:$L$2436,MATCH($B$3&amp;"|2|"&amp;H$29&amp;"|"&amp;$A31,'Master Data'!$A$2:$A$2436,0)),"")</f>
        <v>Sebagian</v>
      </c>
    </row>
    <row r="32" customFormat="false" ht="30" hidden="false" customHeight="true" outlineLevel="0" collapsed="false">
      <c r="A32" s="59" t="s">
        <v>112</v>
      </c>
      <c r="B32" s="60" t="str">
        <f aca="false">IFERROR(INDEX('Master Data'!$M$2:$M$2436,MATCH($B$3&amp;"|2|"&amp;B$29&amp;"|"&amp;$A32,'Master Data'!$A$2:$A$2436,0)),"")</f>
        <v>Tiny  0/5
coach: –</v>
      </c>
      <c r="C32" s="60" t="str">
        <f aca="false">IFERROR(INDEX('Master Data'!$M$2:$M$2436,MATCH($B$3&amp;"|2|"&amp;C$29&amp;"|"&amp;$A32,'Master Data'!$A$2:$A$2436,0)),"")</f>
        <v>Tiny  0/5
coach: –</v>
      </c>
      <c r="D32" s="60" t="str">
        <f aca="false">IFERROR(INDEX('Master Data'!$M$2:$M$2436,MATCH($B$3&amp;"|2|"&amp;D$29&amp;"|"&amp;$A32,'Master Data'!$A$2:$A$2436,0)),"")</f>
        <v>Tiny  2/5
coach: Doni</v>
      </c>
      <c r="E32" s="60" t="str">
        <f aca="false">IFERROR(INDEX('Master Data'!$M$2:$M$2436,MATCH($B$3&amp;"|2|"&amp;E$29&amp;"|"&amp;$A32,'Master Data'!$A$2:$A$2436,0)),"")</f>
        <v>Tiny  0/5
coach: –</v>
      </c>
      <c r="F32" s="60" t="str">
        <f aca="false">IFERROR(INDEX('Master Data'!$M$2:$M$2436,MATCH($B$3&amp;"|2|"&amp;F$29&amp;"|"&amp;$A32,'Master Data'!$A$2:$A$2436,0)),"")</f>
        <v>Tiny  0/5
coach: –</v>
      </c>
      <c r="G32" s="60" t="str">
        <f aca="false">IFERROR(INDEX('Master Data'!$M$2:$M$2436,MATCH($B$3&amp;"|2|"&amp;G$29&amp;"|"&amp;$A32,'Master Data'!$A$2:$A$2436,0)),"")</f>
        <v>Tiny  0/5
coach: –</v>
      </c>
      <c r="H32" s="60" t="str">
        <f aca="false">IFERROR(INDEX('Master Data'!$M$2:$M$2436,MATCH($B$3&amp;"|2|"&amp;H$29&amp;"|"&amp;$A32,'Master Data'!$A$2:$A$2436,0)),"")</f>
        <v>Tiny  3/5
coach: Shofi</v>
      </c>
      <c r="T32" s="61" t="str">
        <f aca="false">IFERROR(INDEX('Master Data'!$L$2:$L$2436,MATCH($B$3&amp;"|2|"&amp;B$29&amp;"|"&amp;$A32,'Master Data'!$A$2:$A$2436,0)),"")</f>
        <v>Belum terisi</v>
      </c>
      <c r="U32" s="61" t="str">
        <f aca="false">IFERROR(INDEX('Master Data'!$L$2:$L$2436,MATCH($B$3&amp;"|2|"&amp;C$29&amp;"|"&amp;$A32,'Master Data'!$A$2:$A$2436,0)),"")</f>
        <v>Belum terisi</v>
      </c>
      <c r="V32" s="61" t="str">
        <f aca="false">IFERROR(INDEX('Master Data'!$L$2:$L$2436,MATCH($B$3&amp;"|2|"&amp;D$29&amp;"|"&amp;$A32,'Master Data'!$A$2:$A$2436,0)),"")</f>
        <v>Sebagian</v>
      </c>
      <c r="W32" s="61" t="str">
        <f aca="false">IFERROR(INDEX('Master Data'!$L$2:$L$2436,MATCH($B$3&amp;"|2|"&amp;E$29&amp;"|"&amp;$A32,'Master Data'!$A$2:$A$2436,0)),"")</f>
        <v>Belum terisi</v>
      </c>
      <c r="X32" s="61" t="str">
        <f aca="false">IFERROR(INDEX('Master Data'!$L$2:$L$2436,MATCH($B$3&amp;"|2|"&amp;F$29&amp;"|"&amp;$A32,'Master Data'!$A$2:$A$2436,0)),"")</f>
        <v>Belum terisi</v>
      </c>
      <c r="Y32" s="61" t="str">
        <f aca="false">IFERROR(INDEX('Master Data'!$L$2:$L$2436,MATCH($B$3&amp;"|2|"&amp;G$29&amp;"|"&amp;$A32,'Master Data'!$A$2:$A$2436,0)),"")</f>
        <v>Belum terisi</v>
      </c>
      <c r="Z32" s="61" t="str">
        <f aca="false">IFERROR(INDEX('Master Data'!$L$2:$L$2436,MATCH($B$3&amp;"|2|"&amp;H$29&amp;"|"&amp;$A32,'Master Data'!$A$2:$A$2436,0)),"")</f>
        <v>Sebagian</v>
      </c>
    </row>
    <row r="33" customFormat="false" ht="30" hidden="false" customHeight="true" outlineLevel="0" collapsed="false">
      <c r="A33" s="59" t="s">
        <v>113</v>
      </c>
      <c r="B33" s="60" t="str">
        <f aca="false">IFERROR(INDEX('Master Data'!$M$2:$M$2436,MATCH($B$3&amp;"|2|"&amp;B$29&amp;"|"&amp;$A33,'Master Data'!$A$2:$A$2436,0)),"")</f>
        <v>Tiny  0/5
coach: –</v>
      </c>
      <c r="C33" s="60" t="str">
        <f aca="false">IFERROR(INDEX('Master Data'!$M$2:$M$2436,MATCH($B$3&amp;"|2|"&amp;C$29&amp;"|"&amp;$A33,'Master Data'!$A$2:$A$2436,0)),"")</f>
        <v>Tiny  0/5
coach: –</v>
      </c>
      <c r="D33" s="60" t="str">
        <f aca="false">IFERROR(INDEX('Master Data'!$M$2:$M$2436,MATCH($B$3&amp;"|2|"&amp;D$29&amp;"|"&amp;$A33,'Master Data'!$A$2:$A$2436,0)),"")</f>
        <v>Tiny  4/5
coach: Shofi</v>
      </c>
      <c r="E33" s="60" t="str">
        <f aca="false">IFERROR(INDEX('Master Data'!$M$2:$M$2436,MATCH($B$3&amp;"|2|"&amp;E$29&amp;"|"&amp;$A33,'Master Data'!$A$2:$A$2436,0)),"")</f>
        <v>Tiny  0/5
coach: –</v>
      </c>
      <c r="F33" s="60" t="str">
        <f aca="false">IFERROR(INDEX('Master Data'!$M$2:$M$2436,MATCH($B$3&amp;"|2|"&amp;F$29&amp;"|"&amp;$A33,'Master Data'!$A$2:$A$2436,0)),"")</f>
        <v>Tiny  0/5
coach: –</v>
      </c>
      <c r="G33" s="60" t="str">
        <f aca="false">IFERROR(INDEX('Master Data'!$M$2:$M$2436,MATCH($B$3&amp;"|2|"&amp;G$29&amp;"|"&amp;$A33,'Master Data'!$A$2:$A$2436,0)),"")</f>
        <v>Tiny  5/5
coach: Shofi</v>
      </c>
      <c r="H33" s="60" t="str">
        <f aca="false">IFERROR(INDEX('Master Data'!$M$2:$M$2436,MATCH($B$3&amp;"|2|"&amp;H$29&amp;"|"&amp;$A33,'Master Data'!$A$2:$A$2436,0)),"")</f>
        <v>Tiny  0/5
coach: –</v>
      </c>
      <c r="T33" s="61" t="str">
        <f aca="false">IFERROR(INDEX('Master Data'!$L$2:$L$2436,MATCH($B$3&amp;"|2|"&amp;B$29&amp;"|"&amp;$A33,'Master Data'!$A$2:$A$2436,0)),"")</f>
        <v>Belum terisi</v>
      </c>
      <c r="U33" s="61" t="str">
        <f aca="false">IFERROR(INDEX('Master Data'!$L$2:$L$2436,MATCH($B$3&amp;"|2|"&amp;C$29&amp;"|"&amp;$A33,'Master Data'!$A$2:$A$2436,0)),"")</f>
        <v>Belum terisi</v>
      </c>
      <c r="V33" s="61" t="str">
        <f aca="false">IFERROR(INDEX('Master Data'!$L$2:$L$2436,MATCH($B$3&amp;"|2|"&amp;D$29&amp;"|"&amp;$A33,'Master Data'!$A$2:$A$2436,0)),"")</f>
        <v>Sebagian</v>
      </c>
      <c r="W33" s="61" t="str">
        <f aca="false">IFERROR(INDEX('Master Data'!$L$2:$L$2436,MATCH($B$3&amp;"|2|"&amp;E$29&amp;"|"&amp;$A33,'Master Data'!$A$2:$A$2436,0)),"")</f>
        <v>Belum terisi</v>
      </c>
      <c r="X33" s="61" t="str">
        <f aca="false">IFERROR(INDEX('Master Data'!$L$2:$L$2436,MATCH($B$3&amp;"|2|"&amp;F$29&amp;"|"&amp;$A33,'Master Data'!$A$2:$A$2436,0)),"")</f>
        <v>Belum terisi</v>
      </c>
      <c r="Y33" s="61" t="str">
        <f aca="false">IFERROR(INDEX('Master Data'!$L$2:$L$2436,MATCH($B$3&amp;"|2|"&amp;G$29&amp;"|"&amp;$A33,'Master Data'!$A$2:$A$2436,0)),"")</f>
        <v>Penuh</v>
      </c>
      <c r="Z33" s="61" t="str">
        <f aca="false">IFERROR(INDEX('Master Data'!$L$2:$L$2436,MATCH($B$3&amp;"|2|"&amp;H$29&amp;"|"&amp;$A33,'Master Data'!$A$2:$A$2436,0)),"")</f>
        <v>Belum terisi</v>
      </c>
    </row>
    <row r="34" customFormat="false" ht="30" hidden="false" customHeight="true" outlineLevel="0" collapsed="false">
      <c r="A34" s="59" t="s">
        <v>114</v>
      </c>
      <c r="B34" s="60" t="str">
        <f aca="false">IFERROR(INDEX('Master Data'!$M$2:$M$2436,MATCH($B$3&amp;"|2|"&amp;B$29&amp;"|"&amp;$A34,'Master Data'!$A$2:$A$2436,0)),"")</f>
        <v>Tiny  0/5
coach: –</v>
      </c>
      <c r="C34" s="60" t="str">
        <f aca="false">IFERROR(INDEX('Master Data'!$M$2:$M$2436,MATCH($B$3&amp;"|2|"&amp;C$29&amp;"|"&amp;$A34,'Master Data'!$A$2:$A$2436,0)),"")</f>
        <v>Tiny  0/5
coach: –</v>
      </c>
      <c r="D34" s="60" t="str">
        <f aca="false">IFERROR(INDEX('Master Data'!$M$2:$M$2436,MATCH($B$3&amp;"|2|"&amp;D$29&amp;"|"&amp;$A34,'Master Data'!$A$2:$A$2436,0)),"")</f>
        <v>Tiny  0/5
coach: –</v>
      </c>
      <c r="E34" s="60" t="str">
        <f aca="false">IFERROR(INDEX('Master Data'!$M$2:$M$2436,MATCH($B$3&amp;"|2|"&amp;E$29&amp;"|"&amp;$A34,'Master Data'!$A$2:$A$2436,0)),"")</f>
        <v>Tiny  0/5
coach: –</v>
      </c>
      <c r="F34" s="60" t="str">
        <f aca="false">IFERROR(INDEX('Master Data'!$M$2:$M$2436,MATCH($B$3&amp;"|2|"&amp;F$29&amp;"|"&amp;$A34,'Master Data'!$A$2:$A$2436,0)),"")</f>
        <v>Tiny  0/5
coach: –</v>
      </c>
      <c r="G34" s="60" t="str">
        <f aca="false">IFERROR(INDEX('Master Data'!$M$2:$M$2436,MATCH($B$3&amp;"|2|"&amp;G$29&amp;"|"&amp;$A34,'Master Data'!$A$2:$A$2436,0)),"")</f>
        <v>Tiny  0/5
coach: –</v>
      </c>
      <c r="H34" s="60" t="str">
        <f aca="false">IFERROR(INDEX('Master Data'!$M$2:$M$2436,MATCH($B$3&amp;"|2|"&amp;H$29&amp;"|"&amp;$A34,'Master Data'!$A$2:$A$2436,0)),"")</f>
        <v>Tiny  0/5
coach: –</v>
      </c>
      <c r="T34" s="61" t="str">
        <f aca="false">IFERROR(INDEX('Master Data'!$L$2:$L$2436,MATCH($B$3&amp;"|2|"&amp;B$29&amp;"|"&amp;$A34,'Master Data'!$A$2:$A$2436,0)),"")</f>
        <v>Belum terisi</v>
      </c>
      <c r="U34" s="61" t="str">
        <f aca="false">IFERROR(INDEX('Master Data'!$L$2:$L$2436,MATCH($B$3&amp;"|2|"&amp;C$29&amp;"|"&amp;$A34,'Master Data'!$A$2:$A$2436,0)),"")</f>
        <v>Belum terisi</v>
      </c>
      <c r="V34" s="61" t="str">
        <f aca="false">IFERROR(INDEX('Master Data'!$L$2:$L$2436,MATCH($B$3&amp;"|2|"&amp;D$29&amp;"|"&amp;$A34,'Master Data'!$A$2:$A$2436,0)),"")</f>
        <v>Belum terisi</v>
      </c>
      <c r="W34" s="61" t="str">
        <f aca="false">IFERROR(INDEX('Master Data'!$L$2:$L$2436,MATCH($B$3&amp;"|2|"&amp;E$29&amp;"|"&amp;$A34,'Master Data'!$A$2:$A$2436,0)),"")</f>
        <v>Belum terisi</v>
      </c>
      <c r="X34" s="61" t="str">
        <f aca="false">IFERROR(INDEX('Master Data'!$L$2:$L$2436,MATCH($B$3&amp;"|2|"&amp;F$29&amp;"|"&amp;$A34,'Master Data'!$A$2:$A$2436,0)),"")</f>
        <v>Belum terisi</v>
      </c>
      <c r="Y34" s="61" t="str">
        <f aca="false">IFERROR(INDEX('Master Data'!$L$2:$L$2436,MATCH($B$3&amp;"|2|"&amp;G$29&amp;"|"&amp;$A34,'Master Data'!$A$2:$A$2436,0)),"")</f>
        <v>Belum terisi</v>
      </c>
      <c r="Z34" s="61" t="str">
        <f aca="false">IFERROR(INDEX('Master Data'!$L$2:$L$2436,MATCH($B$3&amp;"|2|"&amp;H$29&amp;"|"&amp;$A34,'Master Data'!$A$2:$A$2436,0)),"")</f>
        <v>Belum terisi</v>
      </c>
    </row>
    <row r="35" customFormat="false" ht="30" hidden="false" customHeight="true" outlineLevel="0" collapsed="false">
      <c r="A35" s="59" t="s">
        <v>115</v>
      </c>
      <c r="B35" s="60" t="str">
        <f aca="false">IFERROR(INDEX('Master Data'!$M$2:$M$2436,MATCH($B$3&amp;"|2|"&amp;B$29&amp;"|"&amp;$A35,'Master Data'!$A$2:$A$2436,0)),"")</f>
        <v>Tiny  0/5
coach: –</v>
      </c>
      <c r="C35" s="60" t="str">
        <f aca="false">IFERROR(INDEX('Master Data'!$M$2:$M$2436,MATCH($B$3&amp;"|2|"&amp;C$29&amp;"|"&amp;$A35,'Master Data'!$A$2:$A$2436,0)),"")</f>
        <v>Tiny  0/5
coach: –</v>
      </c>
      <c r="D35" s="60" t="str">
        <f aca="false">IFERROR(INDEX('Master Data'!$M$2:$M$2436,MATCH($B$3&amp;"|2|"&amp;D$29&amp;"|"&amp;$A35,'Master Data'!$A$2:$A$2436,0)),"")</f>
        <v>Tiny  0/5
coach: –</v>
      </c>
      <c r="E35" s="60" t="str">
        <f aca="false">IFERROR(INDEX('Master Data'!$M$2:$M$2436,MATCH($B$3&amp;"|2|"&amp;E$29&amp;"|"&amp;$A35,'Master Data'!$A$2:$A$2436,0)),"")</f>
        <v>Tiny  0/5
coach: –</v>
      </c>
      <c r="F35" s="60" t="str">
        <f aca="false">IFERROR(INDEX('Master Data'!$M$2:$M$2436,MATCH($B$3&amp;"|2|"&amp;F$29&amp;"|"&amp;$A35,'Master Data'!$A$2:$A$2436,0)),"")</f>
        <v>Tiny  0/5
coach: –</v>
      </c>
      <c r="G35" s="60" t="str">
        <f aca="false">IFERROR(INDEX('Master Data'!$M$2:$M$2436,MATCH($B$3&amp;"|2|"&amp;G$29&amp;"|"&amp;$A35,'Master Data'!$A$2:$A$2436,0)),"")</f>
        <v>Tiny  0/5
coach: –</v>
      </c>
      <c r="H35" s="60" t="str">
        <f aca="false">IFERROR(INDEX('Master Data'!$M$2:$M$2436,MATCH($B$3&amp;"|2|"&amp;H$29&amp;"|"&amp;$A35,'Master Data'!$A$2:$A$2436,0)),"")</f>
        <v>Tiny  0/5
coach: –</v>
      </c>
      <c r="T35" s="61" t="str">
        <f aca="false">IFERROR(INDEX('Master Data'!$L$2:$L$2436,MATCH($B$3&amp;"|2|"&amp;B$29&amp;"|"&amp;$A35,'Master Data'!$A$2:$A$2436,0)),"")</f>
        <v>Belum terisi</v>
      </c>
      <c r="U35" s="61" t="str">
        <f aca="false">IFERROR(INDEX('Master Data'!$L$2:$L$2436,MATCH($B$3&amp;"|2|"&amp;C$29&amp;"|"&amp;$A35,'Master Data'!$A$2:$A$2436,0)),"")</f>
        <v>Belum terisi</v>
      </c>
      <c r="V35" s="61" t="str">
        <f aca="false">IFERROR(INDEX('Master Data'!$L$2:$L$2436,MATCH($B$3&amp;"|2|"&amp;D$29&amp;"|"&amp;$A35,'Master Data'!$A$2:$A$2436,0)),"")</f>
        <v>Belum terisi</v>
      </c>
      <c r="W35" s="61" t="str">
        <f aca="false">IFERROR(INDEX('Master Data'!$L$2:$L$2436,MATCH($B$3&amp;"|2|"&amp;E$29&amp;"|"&amp;$A35,'Master Data'!$A$2:$A$2436,0)),"")</f>
        <v>Belum terisi</v>
      </c>
      <c r="X35" s="61" t="str">
        <f aca="false">IFERROR(INDEX('Master Data'!$L$2:$L$2436,MATCH($B$3&amp;"|2|"&amp;F$29&amp;"|"&amp;$A35,'Master Data'!$A$2:$A$2436,0)),"")</f>
        <v>Belum terisi</v>
      </c>
      <c r="Y35" s="61" t="str">
        <f aca="false">IFERROR(INDEX('Master Data'!$L$2:$L$2436,MATCH($B$3&amp;"|2|"&amp;G$29&amp;"|"&amp;$A35,'Master Data'!$A$2:$A$2436,0)),"")</f>
        <v>Belum terisi</v>
      </c>
      <c r="Z35" s="61" t="str">
        <f aca="false">IFERROR(INDEX('Master Data'!$L$2:$L$2436,MATCH($B$3&amp;"|2|"&amp;H$29&amp;"|"&amp;$A35,'Master Data'!$A$2:$A$2436,0)),"")</f>
        <v>Belum terisi</v>
      </c>
    </row>
    <row r="36" customFormat="false" ht="30" hidden="false" customHeight="true" outlineLevel="0" collapsed="false">
      <c r="A36" s="59" t="s">
        <v>116</v>
      </c>
      <c r="B36" s="60" t="str">
        <f aca="false">IFERROR(INDEX('Master Data'!$M$2:$M$2436,MATCH($B$3&amp;"|2|"&amp;B$29&amp;"|"&amp;$A36,'Master Data'!$A$2:$A$2436,0)),"")</f>
        <v>Tiny  0/5
coach: –</v>
      </c>
      <c r="C36" s="60" t="str">
        <f aca="false">IFERROR(INDEX('Master Data'!$M$2:$M$2436,MATCH($B$3&amp;"|2|"&amp;C$29&amp;"|"&amp;$A36,'Master Data'!$A$2:$A$2436,0)),"")</f>
        <v>Tiny  0/5
coach: –</v>
      </c>
      <c r="D36" s="60" t="str">
        <f aca="false">IFERROR(INDEX('Master Data'!$M$2:$M$2436,MATCH($B$3&amp;"|2|"&amp;D$29&amp;"|"&amp;$A36,'Master Data'!$A$2:$A$2436,0)),"")</f>
        <v>Tiny  0/5
coach: –</v>
      </c>
      <c r="E36" s="60" t="str">
        <f aca="false">IFERROR(INDEX('Master Data'!$M$2:$M$2436,MATCH($B$3&amp;"|2|"&amp;E$29&amp;"|"&amp;$A36,'Master Data'!$A$2:$A$2436,0)),"")</f>
        <v>Tiny  0/5
coach: –</v>
      </c>
      <c r="F36" s="60" t="str">
        <f aca="false">IFERROR(INDEX('Master Data'!$M$2:$M$2436,MATCH($B$3&amp;"|2|"&amp;F$29&amp;"|"&amp;$A36,'Master Data'!$A$2:$A$2436,0)),"")</f>
        <v>Tiny  0/5
coach: –</v>
      </c>
      <c r="G36" s="60" t="str">
        <f aca="false">IFERROR(INDEX('Master Data'!$M$2:$M$2436,MATCH($B$3&amp;"|2|"&amp;G$29&amp;"|"&amp;$A36,'Master Data'!$A$2:$A$2436,0)),"")</f>
        <v>Tiny  0/5
coach: –</v>
      </c>
      <c r="H36" s="60" t="str">
        <f aca="false">IFERROR(INDEX('Master Data'!$M$2:$M$2436,MATCH($B$3&amp;"|2|"&amp;H$29&amp;"|"&amp;$A36,'Master Data'!$A$2:$A$2436,0)),"")</f>
        <v>Tiny  0/5
coach: –</v>
      </c>
      <c r="T36" s="61" t="str">
        <f aca="false">IFERROR(INDEX('Master Data'!$L$2:$L$2436,MATCH($B$3&amp;"|2|"&amp;B$29&amp;"|"&amp;$A36,'Master Data'!$A$2:$A$2436,0)),"")</f>
        <v>Belum terisi</v>
      </c>
      <c r="U36" s="61" t="str">
        <f aca="false">IFERROR(INDEX('Master Data'!$L$2:$L$2436,MATCH($B$3&amp;"|2|"&amp;C$29&amp;"|"&amp;$A36,'Master Data'!$A$2:$A$2436,0)),"")</f>
        <v>Belum terisi</v>
      </c>
      <c r="V36" s="61" t="str">
        <f aca="false">IFERROR(INDEX('Master Data'!$L$2:$L$2436,MATCH($B$3&amp;"|2|"&amp;D$29&amp;"|"&amp;$A36,'Master Data'!$A$2:$A$2436,0)),"")</f>
        <v>Belum terisi</v>
      </c>
      <c r="W36" s="61" t="str">
        <f aca="false">IFERROR(INDEX('Master Data'!$L$2:$L$2436,MATCH($B$3&amp;"|2|"&amp;E$29&amp;"|"&amp;$A36,'Master Data'!$A$2:$A$2436,0)),"")</f>
        <v>Belum terisi</v>
      </c>
      <c r="X36" s="61" t="str">
        <f aca="false">IFERROR(INDEX('Master Data'!$L$2:$L$2436,MATCH($B$3&amp;"|2|"&amp;F$29&amp;"|"&amp;$A36,'Master Data'!$A$2:$A$2436,0)),"")</f>
        <v>Belum terisi</v>
      </c>
      <c r="Y36" s="61" t="str">
        <f aca="false">IFERROR(INDEX('Master Data'!$L$2:$L$2436,MATCH($B$3&amp;"|2|"&amp;G$29&amp;"|"&amp;$A36,'Master Data'!$A$2:$A$2436,0)),"")</f>
        <v>Belum terisi</v>
      </c>
      <c r="Z36" s="61" t="str">
        <f aca="false">IFERROR(INDEX('Master Data'!$L$2:$L$2436,MATCH($B$3&amp;"|2|"&amp;H$29&amp;"|"&amp;$A36,'Master Data'!$A$2:$A$2436,0)),"")</f>
        <v>Belum terisi</v>
      </c>
    </row>
    <row r="37" customFormat="false" ht="30" hidden="false" customHeight="true" outlineLevel="0" collapsed="false">
      <c r="A37" s="59" t="s">
        <v>117</v>
      </c>
      <c r="B37" s="60" t="str">
        <f aca="false">IFERROR(INDEX('Master Data'!$M$2:$M$2436,MATCH($B$3&amp;"|2|"&amp;B$29&amp;"|"&amp;$A37,'Master Data'!$A$2:$A$2436,0)),"")</f>
        <v>Tiny  0/5
coach: –</v>
      </c>
      <c r="C37" s="60" t="str">
        <f aca="false">IFERROR(INDEX('Master Data'!$M$2:$M$2436,MATCH($B$3&amp;"|2|"&amp;C$29&amp;"|"&amp;$A37,'Master Data'!$A$2:$A$2436,0)),"")</f>
        <v>Tiny  0/5
coach: –</v>
      </c>
      <c r="D37" s="60" t="str">
        <f aca="false">IFERROR(INDEX('Master Data'!$M$2:$M$2436,MATCH($B$3&amp;"|2|"&amp;D$29&amp;"|"&amp;$A37,'Master Data'!$A$2:$A$2436,0)),"")</f>
        <v>Tiny  0/5
coach: –</v>
      </c>
      <c r="E37" s="60" t="str">
        <f aca="false">IFERROR(INDEX('Master Data'!$M$2:$M$2436,MATCH($B$3&amp;"|2|"&amp;E$29&amp;"|"&amp;$A37,'Master Data'!$A$2:$A$2436,0)),"")</f>
        <v>Tiny  0/5
coach: –</v>
      </c>
      <c r="F37" s="60" t="str">
        <f aca="false">IFERROR(INDEX('Master Data'!$M$2:$M$2436,MATCH($B$3&amp;"|2|"&amp;F$29&amp;"|"&amp;$A37,'Master Data'!$A$2:$A$2436,0)),"")</f>
        <v>Tiny  0/5
coach: –</v>
      </c>
      <c r="G37" s="60" t="str">
        <f aca="false">IFERROR(INDEX('Master Data'!$M$2:$M$2436,MATCH($B$3&amp;"|2|"&amp;G$29&amp;"|"&amp;$A37,'Master Data'!$A$2:$A$2436,0)),"")</f>
        <v>Tiny  0/5
coach: –</v>
      </c>
      <c r="H37" s="60" t="str">
        <f aca="false">IFERROR(INDEX('Master Data'!$M$2:$M$2436,MATCH($B$3&amp;"|2|"&amp;H$29&amp;"|"&amp;$A37,'Master Data'!$A$2:$A$2436,0)),"")</f>
        <v>Tiny  0/5
coach: –</v>
      </c>
      <c r="T37" s="61" t="str">
        <f aca="false">IFERROR(INDEX('Master Data'!$L$2:$L$2436,MATCH($B$3&amp;"|2|"&amp;B$29&amp;"|"&amp;$A37,'Master Data'!$A$2:$A$2436,0)),"")</f>
        <v>Belum terisi</v>
      </c>
      <c r="U37" s="61" t="str">
        <f aca="false">IFERROR(INDEX('Master Data'!$L$2:$L$2436,MATCH($B$3&amp;"|2|"&amp;C$29&amp;"|"&amp;$A37,'Master Data'!$A$2:$A$2436,0)),"")</f>
        <v>Belum terisi</v>
      </c>
      <c r="V37" s="61" t="str">
        <f aca="false">IFERROR(INDEX('Master Data'!$L$2:$L$2436,MATCH($B$3&amp;"|2|"&amp;D$29&amp;"|"&amp;$A37,'Master Data'!$A$2:$A$2436,0)),"")</f>
        <v>Belum terisi</v>
      </c>
      <c r="W37" s="61" t="str">
        <f aca="false">IFERROR(INDEX('Master Data'!$L$2:$L$2436,MATCH($B$3&amp;"|2|"&amp;E$29&amp;"|"&amp;$A37,'Master Data'!$A$2:$A$2436,0)),"")</f>
        <v>Belum terisi</v>
      </c>
      <c r="X37" s="61" t="str">
        <f aca="false">IFERROR(INDEX('Master Data'!$L$2:$L$2436,MATCH($B$3&amp;"|2|"&amp;F$29&amp;"|"&amp;$A37,'Master Data'!$A$2:$A$2436,0)),"")</f>
        <v>Belum terisi</v>
      </c>
      <c r="Y37" s="61" t="str">
        <f aca="false">IFERROR(INDEX('Master Data'!$L$2:$L$2436,MATCH($B$3&amp;"|2|"&amp;G$29&amp;"|"&amp;$A37,'Master Data'!$A$2:$A$2436,0)),"")</f>
        <v>Belum terisi</v>
      </c>
      <c r="Z37" s="61" t="str">
        <f aca="false">IFERROR(INDEX('Master Data'!$L$2:$L$2436,MATCH($B$3&amp;"|2|"&amp;H$29&amp;"|"&amp;$A37,'Master Data'!$A$2:$A$2436,0)),"")</f>
        <v>Belum terisi</v>
      </c>
    </row>
    <row r="38" customFormat="false" ht="30" hidden="false" customHeight="true" outlineLevel="0" collapsed="false">
      <c r="A38" s="59" t="s">
        <v>118</v>
      </c>
      <c r="B38" s="60" t="str">
        <f aca="false">IFERROR(INDEX('Master Data'!$M$2:$M$2436,MATCH($B$3&amp;"|2|"&amp;B$29&amp;"|"&amp;$A38,'Master Data'!$A$2:$A$2436,0)),"")</f>
        <v>Tiny  0/5
coach: –</v>
      </c>
      <c r="C38" s="60" t="str">
        <f aca="false">IFERROR(INDEX('Master Data'!$M$2:$M$2436,MATCH($B$3&amp;"|2|"&amp;C$29&amp;"|"&amp;$A38,'Master Data'!$A$2:$A$2436,0)),"")</f>
        <v>Tiny  0/5
coach: –</v>
      </c>
      <c r="D38" s="60" t="str">
        <f aca="false">IFERROR(INDEX('Master Data'!$M$2:$M$2436,MATCH($B$3&amp;"|2|"&amp;D$29&amp;"|"&amp;$A38,'Master Data'!$A$2:$A$2436,0)),"")</f>
        <v>Tiny  0/5
coach: –</v>
      </c>
      <c r="E38" s="60" t="str">
        <f aca="false">IFERROR(INDEX('Master Data'!$M$2:$M$2436,MATCH($B$3&amp;"|2|"&amp;E$29&amp;"|"&amp;$A38,'Master Data'!$A$2:$A$2436,0)),"")</f>
        <v>Tiny  0/5
coach: –</v>
      </c>
      <c r="F38" s="60" t="str">
        <f aca="false">IFERROR(INDEX('Master Data'!$M$2:$M$2436,MATCH($B$3&amp;"|2|"&amp;F$29&amp;"|"&amp;$A38,'Master Data'!$A$2:$A$2436,0)),"")</f>
        <v>Tiny  0/5
coach: –</v>
      </c>
      <c r="G38" s="60" t="str">
        <f aca="false">IFERROR(INDEX('Master Data'!$M$2:$M$2436,MATCH($B$3&amp;"|2|"&amp;G$29&amp;"|"&amp;$A38,'Master Data'!$A$2:$A$2436,0)),"")</f>
        <v>Tiny  0/5
coach: –</v>
      </c>
      <c r="H38" s="60" t="str">
        <f aca="false">IFERROR(INDEX('Master Data'!$M$2:$M$2436,MATCH($B$3&amp;"|2|"&amp;H$29&amp;"|"&amp;$A38,'Master Data'!$A$2:$A$2436,0)),"")</f>
        <v>Tiny  0/5
coach: –</v>
      </c>
      <c r="T38" s="61" t="str">
        <f aca="false">IFERROR(INDEX('Master Data'!$L$2:$L$2436,MATCH($B$3&amp;"|2|"&amp;B$29&amp;"|"&amp;$A38,'Master Data'!$A$2:$A$2436,0)),"")</f>
        <v>Belum terisi</v>
      </c>
      <c r="U38" s="61" t="str">
        <f aca="false">IFERROR(INDEX('Master Data'!$L$2:$L$2436,MATCH($B$3&amp;"|2|"&amp;C$29&amp;"|"&amp;$A38,'Master Data'!$A$2:$A$2436,0)),"")</f>
        <v>Belum terisi</v>
      </c>
      <c r="V38" s="61" t="str">
        <f aca="false">IFERROR(INDEX('Master Data'!$L$2:$L$2436,MATCH($B$3&amp;"|2|"&amp;D$29&amp;"|"&amp;$A38,'Master Data'!$A$2:$A$2436,0)),"")</f>
        <v>Belum terisi</v>
      </c>
      <c r="W38" s="61" t="str">
        <f aca="false">IFERROR(INDEX('Master Data'!$L$2:$L$2436,MATCH($B$3&amp;"|2|"&amp;E$29&amp;"|"&amp;$A38,'Master Data'!$A$2:$A$2436,0)),"")</f>
        <v>Belum terisi</v>
      </c>
      <c r="X38" s="61" t="str">
        <f aca="false">IFERROR(INDEX('Master Data'!$L$2:$L$2436,MATCH($B$3&amp;"|2|"&amp;F$29&amp;"|"&amp;$A38,'Master Data'!$A$2:$A$2436,0)),"")</f>
        <v>Belum terisi</v>
      </c>
      <c r="Y38" s="61" t="str">
        <f aca="false">IFERROR(INDEX('Master Data'!$L$2:$L$2436,MATCH($B$3&amp;"|2|"&amp;G$29&amp;"|"&amp;$A38,'Master Data'!$A$2:$A$2436,0)),"")</f>
        <v>Belum terisi</v>
      </c>
      <c r="Z38" s="61" t="str">
        <f aca="false">IFERROR(INDEX('Master Data'!$L$2:$L$2436,MATCH($B$3&amp;"|2|"&amp;H$29&amp;"|"&amp;$A38,'Master Data'!$A$2:$A$2436,0)),"")</f>
        <v>Belum terisi</v>
      </c>
    </row>
    <row r="39" customFormat="false" ht="30" hidden="false" customHeight="true" outlineLevel="0" collapsed="false">
      <c r="A39" s="59" t="s">
        <v>119</v>
      </c>
      <c r="B39" s="60" t="str">
        <f aca="false">IFERROR(INDEX('Master Data'!$M$2:$M$2436,MATCH($B$3&amp;"|2|"&amp;B$29&amp;"|"&amp;$A39,'Master Data'!$A$2:$A$2436,0)),"")</f>
        <v>Tiny  0/5
coach: –</v>
      </c>
      <c r="C39" s="60" t="str">
        <f aca="false">IFERROR(INDEX('Master Data'!$M$2:$M$2436,MATCH($B$3&amp;"|2|"&amp;C$29&amp;"|"&amp;$A39,'Master Data'!$A$2:$A$2436,0)),"")</f>
        <v>Tiny  0/5
coach: –</v>
      </c>
      <c r="D39" s="60" t="str">
        <f aca="false">IFERROR(INDEX('Master Data'!$M$2:$M$2436,MATCH($B$3&amp;"|2|"&amp;D$29&amp;"|"&amp;$A39,'Master Data'!$A$2:$A$2436,0)),"")</f>
        <v>Tiny  0/5
coach: –</v>
      </c>
      <c r="E39" s="60" t="str">
        <f aca="false">IFERROR(INDEX('Master Data'!$M$2:$M$2436,MATCH($B$3&amp;"|2|"&amp;E$29&amp;"|"&amp;$A39,'Master Data'!$A$2:$A$2436,0)),"")</f>
        <v>Tiny  0/5
coach: –</v>
      </c>
      <c r="F39" s="60" t="str">
        <f aca="false">IFERROR(INDEX('Master Data'!$M$2:$M$2436,MATCH($B$3&amp;"|2|"&amp;F$29&amp;"|"&amp;$A39,'Master Data'!$A$2:$A$2436,0)),"")</f>
        <v>Tiny  0/5
coach: –</v>
      </c>
      <c r="G39" s="60" t="str">
        <f aca="false">IFERROR(INDEX('Master Data'!$M$2:$M$2436,MATCH($B$3&amp;"|2|"&amp;G$29&amp;"|"&amp;$A39,'Master Data'!$A$2:$A$2436,0)),"")</f>
        <v>Tiny  0/5
coach: –</v>
      </c>
      <c r="H39" s="60" t="str">
        <f aca="false">IFERROR(INDEX('Master Data'!$M$2:$M$2436,MATCH($B$3&amp;"|2|"&amp;H$29&amp;"|"&amp;$A39,'Master Data'!$A$2:$A$2436,0)),"")</f>
        <v>Tiny  0/5
coach: –</v>
      </c>
      <c r="T39" s="61" t="str">
        <f aca="false">IFERROR(INDEX('Master Data'!$L$2:$L$2436,MATCH($B$3&amp;"|2|"&amp;B$29&amp;"|"&amp;$A39,'Master Data'!$A$2:$A$2436,0)),"")</f>
        <v>Belum terisi</v>
      </c>
      <c r="U39" s="61" t="str">
        <f aca="false">IFERROR(INDEX('Master Data'!$L$2:$L$2436,MATCH($B$3&amp;"|2|"&amp;C$29&amp;"|"&amp;$A39,'Master Data'!$A$2:$A$2436,0)),"")</f>
        <v>Belum terisi</v>
      </c>
      <c r="V39" s="61" t="str">
        <f aca="false">IFERROR(INDEX('Master Data'!$L$2:$L$2436,MATCH($B$3&amp;"|2|"&amp;D$29&amp;"|"&amp;$A39,'Master Data'!$A$2:$A$2436,0)),"")</f>
        <v>Belum terisi</v>
      </c>
      <c r="W39" s="61" t="str">
        <f aca="false">IFERROR(INDEX('Master Data'!$L$2:$L$2436,MATCH($B$3&amp;"|2|"&amp;E$29&amp;"|"&amp;$A39,'Master Data'!$A$2:$A$2436,0)),"")</f>
        <v>Belum terisi</v>
      </c>
      <c r="X39" s="61" t="str">
        <f aca="false">IFERROR(INDEX('Master Data'!$L$2:$L$2436,MATCH($B$3&amp;"|2|"&amp;F$29&amp;"|"&amp;$A39,'Master Data'!$A$2:$A$2436,0)),"")</f>
        <v>Belum terisi</v>
      </c>
      <c r="Y39" s="61" t="str">
        <f aca="false">IFERROR(INDEX('Master Data'!$L$2:$L$2436,MATCH($B$3&amp;"|2|"&amp;G$29&amp;"|"&amp;$A39,'Master Data'!$A$2:$A$2436,0)),"")</f>
        <v>Belum terisi</v>
      </c>
      <c r="Z39" s="61" t="str">
        <f aca="false">IFERROR(INDEX('Master Data'!$L$2:$L$2436,MATCH($B$3&amp;"|2|"&amp;H$29&amp;"|"&amp;$A39,'Master Data'!$A$2:$A$2436,0)),"")</f>
        <v>Belum terisi</v>
      </c>
    </row>
    <row r="40" customFormat="false" ht="30" hidden="false" customHeight="true" outlineLevel="0" collapsed="false">
      <c r="A40" s="59" t="s">
        <v>120</v>
      </c>
      <c r="B40" s="60" t="str">
        <f aca="false">IFERROR(INDEX('Master Data'!$M$2:$M$2436,MATCH($B$3&amp;"|2|"&amp;B$29&amp;"|"&amp;$A40,'Master Data'!$A$2:$A$2436,0)),"")</f>
        <v>Tiny  0/5
coach: –</v>
      </c>
      <c r="C40" s="60" t="str">
        <f aca="false">IFERROR(INDEX('Master Data'!$M$2:$M$2436,MATCH($B$3&amp;"|2|"&amp;C$29&amp;"|"&amp;$A40,'Master Data'!$A$2:$A$2436,0)),"")</f>
        <v>Tiny  0/5
coach: –</v>
      </c>
      <c r="D40" s="60" t="str">
        <f aca="false">IFERROR(INDEX('Master Data'!$M$2:$M$2436,MATCH($B$3&amp;"|2|"&amp;D$29&amp;"|"&amp;$A40,'Master Data'!$A$2:$A$2436,0)),"")</f>
        <v>Tiny  0/5
coach: –</v>
      </c>
      <c r="E40" s="60" t="str">
        <f aca="false">IFERROR(INDEX('Master Data'!$M$2:$M$2436,MATCH($B$3&amp;"|2|"&amp;E$29&amp;"|"&amp;$A40,'Master Data'!$A$2:$A$2436,0)),"")</f>
        <v>Tiny  0/5
coach: –</v>
      </c>
      <c r="F40" s="60" t="str">
        <f aca="false">IFERROR(INDEX('Master Data'!$M$2:$M$2436,MATCH($B$3&amp;"|2|"&amp;F$29&amp;"|"&amp;$A40,'Master Data'!$A$2:$A$2436,0)),"")</f>
        <v>Tiny  0/5
coach: –</v>
      </c>
      <c r="G40" s="60" t="str">
        <f aca="false">IFERROR(INDEX('Master Data'!$M$2:$M$2436,MATCH($B$3&amp;"|2|"&amp;G$29&amp;"|"&amp;$A40,'Master Data'!$A$2:$A$2436,0)),"")</f>
        <v>Tiny  2/5
coach: Shofi</v>
      </c>
      <c r="H40" s="60" t="str">
        <f aca="false">IFERROR(INDEX('Master Data'!$M$2:$M$2436,MATCH($B$3&amp;"|2|"&amp;H$29&amp;"|"&amp;$A40,'Master Data'!$A$2:$A$2436,0)),"")</f>
        <v>Tiny  1/5
coach: Alfi</v>
      </c>
      <c r="T40" s="61" t="str">
        <f aca="false">IFERROR(INDEX('Master Data'!$L$2:$L$2436,MATCH($B$3&amp;"|2|"&amp;B$29&amp;"|"&amp;$A40,'Master Data'!$A$2:$A$2436,0)),"")</f>
        <v>Belum terisi</v>
      </c>
      <c r="U40" s="61" t="str">
        <f aca="false">IFERROR(INDEX('Master Data'!$L$2:$L$2436,MATCH($B$3&amp;"|2|"&amp;C$29&amp;"|"&amp;$A40,'Master Data'!$A$2:$A$2436,0)),"")</f>
        <v>Belum terisi</v>
      </c>
      <c r="V40" s="61" t="str">
        <f aca="false">IFERROR(INDEX('Master Data'!$L$2:$L$2436,MATCH($B$3&amp;"|2|"&amp;D$29&amp;"|"&amp;$A40,'Master Data'!$A$2:$A$2436,0)),"")</f>
        <v>Belum terisi</v>
      </c>
      <c r="W40" s="61" t="str">
        <f aca="false">IFERROR(INDEX('Master Data'!$L$2:$L$2436,MATCH($B$3&amp;"|2|"&amp;E$29&amp;"|"&amp;$A40,'Master Data'!$A$2:$A$2436,0)),"")</f>
        <v>Belum terisi</v>
      </c>
      <c r="X40" s="61" t="str">
        <f aca="false">IFERROR(INDEX('Master Data'!$L$2:$L$2436,MATCH($B$3&amp;"|2|"&amp;F$29&amp;"|"&amp;$A40,'Master Data'!$A$2:$A$2436,0)),"")</f>
        <v>Belum terisi</v>
      </c>
      <c r="Y40" s="61" t="str">
        <f aca="false">IFERROR(INDEX('Master Data'!$L$2:$L$2436,MATCH($B$3&amp;"|2|"&amp;G$29&amp;"|"&amp;$A40,'Master Data'!$A$2:$A$2436,0)),"")</f>
        <v>Sebagian</v>
      </c>
      <c r="Z40" s="61" t="str">
        <f aca="false">IFERROR(INDEX('Master Data'!$L$2:$L$2436,MATCH($B$3&amp;"|2|"&amp;H$29&amp;"|"&amp;$A40,'Master Data'!$A$2:$A$2436,0)),"")</f>
        <v>Sebagian</v>
      </c>
    </row>
    <row r="41" customFormat="false" ht="30" hidden="false" customHeight="true" outlineLevel="0" collapsed="false">
      <c r="A41" s="59" t="s">
        <v>121</v>
      </c>
      <c r="B41" s="60" t="str">
        <f aca="false">IFERROR(INDEX('Master Data'!$M$2:$M$2436,MATCH($B$3&amp;"|2|"&amp;B$29&amp;"|"&amp;$A41,'Master Data'!$A$2:$A$2436,0)),"")</f>
        <v>Tiny  0/5
coach: –</v>
      </c>
      <c r="C41" s="60" t="str">
        <f aca="false">IFERROR(INDEX('Master Data'!$M$2:$M$2436,MATCH($B$3&amp;"|2|"&amp;C$29&amp;"|"&amp;$A41,'Master Data'!$A$2:$A$2436,0)),"")</f>
        <v>Tiny  0/5
coach: –</v>
      </c>
      <c r="D41" s="60" t="str">
        <f aca="false">IFERROR(INDEX('Master Data'!$M$2:$M$2436,MATCH($B$3&amp;"|2|"&amp;D$29&amp;"|"&amp;$A41,'Master Data'!$A$2:$A$2436,0)),"")</f>
        <v>Tiny  0/5
coach: –</v>
      </c>
      <c r="E41" s="60" t="str">
        <f aca="false">IFERROR(INDEX('Master Data'!$M$2:$M$2436,MATCH($B$3&amp;"|2|"&amp;E$29&amp;"|"&amp;$A41,'Master Data'!$A$2:$A$2436,0)),"")</f>
        <v>Tiny  0/5
coach: –</v>
      </c>
      <c r="F41" s="60" t="str">
        <f aca="false">IFERROR(INDEX('Master Data'!$M$2:$M$2436,MATCH($B$3&amp;"|2|"&amp;F$29&amp;"|"&amp;$A41,'Master Data'!$A$2:$A$2436,0)),"")</f>
        <v>Tiny  0/5
coach: –</v>
      </c>
      <c r="G41" s="60" t="str">
        <f aca="false">IFERROR(INDEX('Master Data'!$M$2:$M$2436,MATCH($B$3&amp;"|2|"&amp;G$29&amp;"|"&amp;$A41,'Master Data'!$A$2:$A$2436,0)),"")</f>
        <v>Tiny  0/5
coach: –</v>
      </c>
      <c r="H41" s="60" t="str">
        <f aca="false">IFERROR(INDEX('Master Data'!$M$2:$M$2436,MATCH($B$3&amp;"|2|"&amp;H$29&amp;"|"&amp;$A41,'Master Data'!$A$2:$A$2436,0)),"")</f>
        <v>Tiny  0/5
coach: –</v>
      </c>
      <c r="T41" s="61" t="str">
        <f aca="false">IFERROR(INDEX('Master Data'!$L$2:$L$2436,MATCH($B$3&amp;"|2|"&amp;B$29&amp;"|"&amp;$A41,'Master Data'!$A$2:$A$2436,0)),"")</f>
        <v>Belum terisi</v>
      </c>
      <c r="U41" s="61" t="str">
        <f aca="false">IFERROR(INDEX('Master Data'!$L$2:$L$2436,MATCH($B$3&amp;"|2|"&amp;C$29&amp;"|"&amp;$A41,'Master Data'!$A$2:$A$2436,0)),"")</f>
        <v>Belum terisi</v>
      </c>
      <c r="V41" s="61" t="str">
        <f aca="false">IFERROR(INDEX('Master Data'!$L$2:$L$2436,MATCH($B$3&amp;"|2|"&amp;D$29&amp;"|"&amp;$A41,'Master Data'!$A$2:$A$2436,0)),"")</f>
        <v>Belum terisi</v>
      </c>
      <c r="W41" s="61" t="str">
        <f aca="false">IFERROR(INDEX('Master Data'!$L$2:$L$2436,MATCH($B$3&amp;"|2|"&amp;E$29&amp;"|"&amp;$A41,'Master Data'!$A$2:$A$2436,0)),"")</f>
        <v>Belum terisi</v>
      </c>
      <c r="X41" s="61" t="str">
        <f aca="false">IFERROR(INDEX('Master Data'!$L$2:$L$2436,MATCH($B$3&amp;"|2|"&amp;F$29&amp;"|"&amp;$A41,'Master Data'!$A$2:$A$2436,0)),"")</f>
        <v>Belum terisi</v>
      </c>
      <c r="Y41" s="61" t="str">
        <f aca="false">IFERROR(INDEX('Master Data'!$L$2:$L$2436,MATCH($B$3&amp;"|2|"&amp;G$29&amp;"|"&amp;$A41,'Master Data'!$A$2:$A$2436,0)),"")</f>
        <v>Belum terisi</v>
      </c>
      <c r="Z41" s="61" t="str">
        <f aca="false">IFERROR(INDEX('Master Data'!$L$2:$L$2436,MATCH($B$3&amp;"|2|"&amp;H$29&amp;"|"&amp;$A41,'Master Data'!$A$2:$A$2436,0)),"")</f>
        <v>Belum terisi</v>
      </c>
    </row>
    <row r="43" customFormat="false" ht="16.15" hidden="false" customHeight="false" outlineLevel="0" collapsed="false">
      <c r="A43" s="54" t="s">
        <v>109</v>
      </c>
      <c r="B43" s="55"/>
      <c r="C43" s="56" t="str">
        <f aca="false">"Utilisasi lane: "&amp;IFERROR(TEXT(SUMIFS('Master Data'!$H$2:$H$2436,'Master Data'!$B$2:$B$2436,$B$3,'Master Data'!$C$2:$C$2436,3,'Master Data'!$G$2:$G$2436,"&gt;0")/SUMIFS('Master Data'!$G$2:$G$2436,'Master Data'!$B$2:$B$2436,$B$3,'Master Data'!$C$2:$C$2436,3,'Master Data'!$G$2:$G$2436,"&gt;0"),"0%"),"–")&amp;"   ·   Belum terisi: "&amp;COUNTIFS('Master Data'!$B$2:$B$2436,$B$3,'Master Data'!$C$2:$C$2436,3,'Master Data'!$L$2:$L$2436,"Belum terisi")&amp;"   ·   Slot kosong: "&amp;COUNTIFS('Master Data'!$B$2:$B$2436,$B$3,'Master Data'!$C$2:$C$2436,3,'Master Data'!$L$2:$L$2436,"Slot kosong")</f>
        <v>Utilisasi lane: 18%   ·   Belum terisi: 58   ·   Slot kosong: 0</v>
      </c>
      <c r="D43" s="55"/>
      <c r="E43" s="55"/>
      <c r="F43" s="55"/>
      <c r="G43" s="55"/>
      <c r="H43" s="55"/>
    </row>
    <row r="44" customFormat="false" ht="15" hidden="false" customHeight="false" outlineLevel="0" collapsed="false">
      <c r="A44" s="57" t="s">
        <v>89</v>
      </c>
      <c r="B44" s="58" t="s">
        <v>90</v>
      </c>
      <c r="C44" s="58" t="s">
        <v>91</v>
      </c>
      <c r="D44" s="58" t="s">
        <v>92</v>
      </c>
      <c r="E44" s="58" t="s">
        <v>93</v>
      </c>
      <c r="F44" s="58" t="s">
        <v>94</v>
      </c>
      <c r="G44" s="58" t="s">
        <v>95</v>
      </c>
      <c r="H44" s="58" t="s">
        <v>78</v>
      </c>
    </row>
    <row r="45" customFormat="false" ht="30" hidden="false" customHeight="true" outlineLevel="0" collapsed="false">
      <c r="A45" s="59" t="s">
        <v>96</v>
      </c>
      <c r="B45" s="60" t="str">
        <f aca="false">IFERROR(INDEX('Master Data'!$M$2:$M$2436,MATCH($B$3&amp;"|3|"&amp;B$44&amp;"|"&amp;$A45,'Master Data'!$A$2:$A$2436,0)),"")</f>
        <v>Little  0/4
coach: –</v>
      </c>
      <c r="C45" s="60" t="str">
        <f aca="false">IFERROR(INDEX('Master Data'!$M$2:$M$2436,MATCH($B$3&amp;"|3|"&amp;C$44&amp;"|"&amp;$A45,'Master Data'!$A$2:$A$2436,0)),"")</f>
        <v>Little  0/4
coach: –</v>
      </c>
      <c r="D45" s="60" t="str">
        <f aca="false">IFERROR(INDEX('Master Data'!$M$2:$M$2436,MATCH($B$3&amp;"|3|"&amp;D$44&amp;"|"&amp;$A45,'Master Data'!$A$2:$A$2436,0)),"")</f>
        <v>Little  0/4
coach: –</v>
      </c>
      <c r="E45" s="60" t="str">
        <f aca="false">IFERROR(INDEX('Master Data'!$M$2:$M$2436,MATCH($B$3&amp;"|3|"&amp;E$44&amp;"|"&amp;$A45,'Master Data'!$A$2:$A$2436,0)),"")</f>
        <v>Little  0/4
coach: –</v>
      </c>
      <c r="F45" s="60" t="str">
        <f aca="false">IFERROR(INDEX('Master Data'!$M$2:$M$2436,MATCH($B$3&amp;"|3|"&amp;F$44&amp;"|"&amp;$A45,'Master Data'!$A$2:$A$2436,0)),"")</f>
        <v>Little  0/4
coach: –</v>
      </c>
      <c r="G45" s="60" t="str">
        <f aca="false">IFERROR(INDEX('Master Data'!$M$2:$M$2436,MATCH($B$3&amp;"|3|"&amp;G$44&amp;"|"&amp;$A45,'Master Data'!$A$2:$A$2436,0)),"")</f>
        <v>Little  0/4
coach: –</v>
      </c>
      <c r="H45" s="60" t="str">
        <f aca="false">IFERROR(INDEX('Master Data'!$M$2:$M$2436,MATCH($B$3&amp;"|3|"&amp;H$44&amp;"|"&amp;$A45,'Master Data'!$A$2:$A$2436,0)),"")</f>
        <v>Little  0/4
coach: –</v>
      </c>
      <c r="T45" s="61" t="str">
        <f aca="false">IFERROR(INDEX('Master Data'!$L$2:$L$2436,MATCH($B$3&amp;"|3|"&amp;B$44&amp;"|"&amp;$A45,'Master Data'!$A$2:$A$2436,0)),"")</f>
        <v>Belum terisi</v>
      </c>
      <c r="U45" s="61" t="str">
        <f aca="false">IFERROR(INDEX('Master Data'!$L$2:$L$2436,MATCH($B$3&amp;"|3|"&amp;C$44&amp;"|"&amp;$A45,'Master Data'!$A$2:$A$2436,0)),"")</f>
        <v>Belum terisi</v>
      </c>
      <c r="V45" s="61" t="str">
        <f aca="false">IFERROR(INDEX('Master Data'!$L$2:$L$2436,MATCH($B$3&amp;"|3|"&amp;D$44&amp;"|"&amp;$A45,'Master Data'!$A$2:$A$2436,0)),"")</f>
        <v>Belum terisi</v>
      </c>
      <c r="W45" s="61" t="str">
        <f aca="false">IFERROR(INDEX('Master Data'!$L$2:$L$2436,MATCH($B$3&amp;"|3|"&amp;E$44&amp;"|"&amp;$A45,'Master Data'!$A$2:$A$2436,0)),"")</f>
        <v>Belum terisi</v>
      </c>
      <c r="X45" s="61" t="str">
        <f aca="false">IFERROR(INDEX('Master Data'!$L$2:$L$2436,MATCH($B$3&amp;"|3|"&amp;F$44&amp;"|"&amp;$A45,'Master Data'!$A$2:$A$2436,0)),"")</f>
        <v>Belum terisi</v>
      </c>
      <c r="Y45" s="61" t="str">
        <f aca="false">IFERROR(INDEX('Master Data'!$L$2:$L$2436,MATCH($B$3&amp;"|3|"&amp;G$44&amp;"|"&amp;$A45,'Master Data'!$A$2:$A$2436,0)),"")</f>
        <v>Belum terisi</v>
      </c>
      <c r="Z45" s="61" t="str">
        <f aca="false">IFERROR(INDEX('Master Data'!$L$2:$L$2436,MATCH($B$3&amp;"|3|"&amp;H$44&amp;"|"&amp;$A45,'Master Data'!$A$2:$A$2436,0)),"")</f>
        <v>Belum terisi</v>
      </c>
    </row>
    <row r="46" customFormat="false" ht="30" hidden="false" customHeight="true" outlineLevel="0" collapsed="false">
      <c r="A46" s="59" t="s">
        <v>97</v>
      </c>
      <c r="B46" s="60" t="str">
        <f aca="false">IFERROR(INDEX('Master Data'!$M$2:$M$2436,MATCH($B$3&amp;"|3|"&amp;B$44&amp;"|"&amp;$A46,'Master Data'!$A$2:$A$2436,0)),"")</f>
        <v>Little  0/4
coach: –</v>
      </c>
      <c r="C46" s="60" t="str">
        <f aca="false">IFERROR(INDEX('Master Data'!$M$2:$M$2436,MATCH($B$3&amp;"|3|"&amp;C$44&amp;"|"&amp;$A46,'Master Data'!$A$2:$A$2436,0)),"")</f>
        <v>Little  0/4
coach: –</v>
      </c>
      <c r="D46" s="60" t="str">
        <f aca="false">IFERROR(INDEX('Master Data'!$M$2:$M$2436,MATCH($B$3&amp;"|3|"&amp;D$44&amp;"|"&amp;$A46,'Master Data'!$A$2:$A$2436,0)),"")</f>
        <v>Little  0/4
coach: –</v>
      </c>
      <c r="E46" s="60" t="str">
        <f aca="false">IFERROR(INDEX('Master Data'!$M$2:$M$2436,MATCH($B$3&amp;"|3|"&amp;E$44&amp;"|"&amp;$A46,'Master Data'!$A$2:$A$2436,0)),"")</f>
        <v>Little  0/4
coach: –</v>
      </c>
      <c r="F46" s="60" t="str">
        <f aca="false">IFERROR(INDEX('Master Data'!$M$2:$M$2436,MATCH($B$3&amp;"|3|"&amp;F$44&amp;"|"&amp;$A46,'Master Data'!$A$2:$A$2436,0)),"")</f>
        <v>Little  0/4
coach: –</v>
      </c>
      <c r="G46" s="60" t="str">
        <f aca="false">IFERROR(INDEX('Master Data'!$M$2:$M$2436,MATCH($B$3&amp;"|3|"&amp;G$44&amp;"|"&amp;$A46,'Master Data'!$A$2:$A$2436,0)),"")</f>
        <v>Little  3/4
coach: Maulana</v>
      </c>
      <c r="H46" s="60" t="str">
        <f aca="false">IFERROR(INDEX('Master Data'!$M$2:$M$2436,MATCH($B$3&amp;"|3|"&amp;H$44&amp;"|"&amp;$A46,'Master Data'!$A$2:$A$2436,0)),"")</f>
        <v>Little  2/4
coach: Alfi</v>
      </c>
      <c r="T46" s="61" t="str">
        <f aca="false">IFERROR(INDEX('Master Data'!$L$2:$L$2436,MATCH($B$3&amp;"|3|"&amp;B$44&amp;"|"&amp;$A46,'Master Data'!$A$2:$A$2436,0)),"")</f>
        <v>Belum terisi</v>
      </c>
      <c r="U46" s="61" t="str">
        <f aca="false">IFERROR(INDEX('Master Data'!$L$2:$L$2436,MATCH($B$3&amp;"|3|"&amp;C$44&amp;"|"&amp;$A46,'Master Data'!$A$2:$A$2436,0)),"")</f>
        <v>Belum terisi</v>
      </c>
      <c r="V46" s="61" t="str">
        <f aca="false">IFERROR(INDEX('Master Data'!$L$2:$L$2436,MATCH($B$3&amp;"|3|"&amp;D$44&amp;"|"&amp;$A46,'Master Data'!$A$2:$A$2436,0)),"")</f>
        <v>Belum terisi</v>
      </c>
      <c r="W46" s="61" t="str">
        <f aca="false">IFERROR(INDEX('Master Data'!$L$2:$L$2436,MATCH($B$3&amp;"|3|"&amp;E$44&amp;"|"&amp;$A46,'Master Data'!$A$2:$A$2436,0)),"")</f>
        <v>Belum terisi</v>
      </c>
      <c r="X46" s="61" t="str">
        <f aca="false">IFERROR(INDEX('Master Data'!$L$2:$L$2436,MATCH($B$3&amp;"|3|"&amp;F$44&amp;"|"&amp;$A46,'Master Data'!$A$2:$A$2436,0)),"")</f>
        <v>Belum terisi</v>
      </c>
      <c r="Y46" s="61" t="str">
        <f aca="false">IFERROR(INDEX('Master Data'!$L$2:$L$2436,MATCH($B$3&amp;"|3|"&amp;G$44&amp;"|"&amp;$A46,'Master Data'!$A$2:$A$2436,0)),"")</f>
        <v>Sebagian</v>
      </c>
      <c r="Z46" s="61" t="str">
        <f aca="false">IFERROR(INDEX('Master Data'!$L$2:$L$2436,MATCH($B$3&amp;"|3|"&amp;H$44&amp;"|"&amp;$A46,'Master Data'!$A$2:$A$2436,0)),"")</f>
        <v>Sebagian</v>
      </c>
    </row>
    <row r="47" customFormat="false" ht="30" hidden="false" customHeight="true" outlineLevel="0" collapsed="false">
      <c r="A47" s="59" t="s">
        <v>98</v>
      </c>
      <c r="B47" s="60" t="str">
        <f aca="false">IFERROR(INDEX('Master Data'!$M$2:$M$2436,MATCH($B$3&amp;"|3|"&amp;B$44&amp;"|"&amp;$A47,'Master Data'!$A$2:$A$2436,0)),"")</f>
        <v>Little  0/4
coach: –</v>
      </c>
      <c r="C47" s="60" t="str">
        <f aca="false">IFERROR(INDEX('Master Data'!$M$2:$M$2436,MATCH($B$3&amp;"|3|"&amp;C$44&amp;"|"&amp;$A47,'Master Data'!$A$2:$A$2436,0)),"")</f>
        <v>Little  0/4
coach: –</v>
      </c>
      <c r="D47" s="60" t="str">
        <f aca="false">IFERROR(INDEX('Master Data'!$M$2:$M$2436,MATCH($B$3&amp;"|3|"&amp;D$44&amp;"|"&amp;$A47,'Master Data'!$A$2:$A$2436,0)),"")</f>
        <v>Little  0/4
coach: –</v>
      </c>
      <c r="E47" s="60" t="str">
        <f aca="false">IFERROR(INDEX('Master Data'!$M$2:$M$2436,MATCH($B$3&amp;"|3|"&amp;E$44&amp;"|"&amp;$A47,'Master Data'!$A$2:$A$2436,0)),"")</f>
        <v>Little  3/4
coach: Shofi</v>
      </c>
      <c r="F47" s="60" t="str">
        <f aca="false">IFERROR(INDEX('Master Data'!$M$2:$M$2436,MATCH($B$3&amp;"|3|"&amp;F$44&amp;"|"&amp;$A47,'Master Data'!$A$2:$A$2436,0)),"")</f>
        <v>Little  0/4
coach: –</v>
      </c>
      <c r="G47" s="60" t="str">
        <f aca="false">IFERROR(INDEX('Master Data'!$M$2:$M$2436,MATCH($B$3&amp;"|3|"&amp;G$44&amp;"|"&amp;$A47,'Master Data'!$A$2:$A$2436,0)),"")</f>
        <v>Little  2/4
coach: Maulana</v>
      </c>
      <c r="H47" s="60" t="str">
        <f aca="false">IFERROR(INDEX('Master Data'!$M$2:$M$2436,MATCH($B$3&amp;"|3|"&amp;H$44&amp;"|"&amp;$A47,'Master Data'!$A$2:$A$2436,0)),"")</f>
        <v>Little  3/4
coach: Alfi</v>
      </c>
      <c r="T47" s="61" t="str">
        <f aca="false">IFERROR(INDEX('Master Data'!$L$2:$L$2436,MATCH($B$3&amp;"|3|"&amp;B$44&amp;"|"&amp;$A47,'Master Data'!$A$2:$A$2436,0)),"")</f>
        <v>Belum terisi</v>
      </c>
      <c r="U47" s="61" t="str">
        <f aca="false">IFERROR(INDEX('Master Data'!$L$2:$L$2436,MATCH($B$3&amp;"|3|"&amp;C$44&amp;"|"&amp;$A47,'Master Data'!$A$2:$A$2436,0)),"")</f>
        <v>Belum terisi</v>
      </c>
      <c r="V47" s="61" t="str">
        <f aca="false">IFERROR(INDEX('Master Data'!$L$2:$L$2436,MATCH($B$3&amp;"|3|"&amp;D$44&amp;"|"&amp;$A47,'Master Data'!$A$2:$A$2436,0)),"")</f>
        <v>Belum terisi</v>
      </c>
      <c r="W47" s="61" t="str">
        <f aca="false">IFERROR(INDEX('Master Data'!$L$2:$L$2436,MATCH($B$3&amp;"|3|"&amp;E$44&amp;"|"&amp;$A47,'Master Data'!$A$2:$A$2436,0)),"")</f>
        <v>Sebagian</v>
      </c>
      <c r="X47" s="61" t="str">
        <f aca="false">IFERROR(INDEX('Master Data'!$L$2:$L$2436,MATCH($B$3&amp;"|3|"&amp;F$44&amp;"|"&amp;$A47,'Master Data'!$A$2:$A$2436,0)),"")</f>
        <v>Belum terisi</v>
      </c>
      <c r="Y47" s="61" t="str">
        <f aca="false">IFERROR(INDEX('Master Data'!$L$2:$L$2436,MATCH($B$3&amp;"|3|"&amp;G$44&amp;"|"&amp;$A47,'Master Data'!$A$2:$A$2436,0)),"")</f>
        <v>Sebagian</v>
      </c>
      <c r="Z47" s="61" t="str">
        <f aca="false">IFERROR(INDEX('Master Data'!$L$2:$L$2436,MATCH($B$3&amp;"|3|"&amp;H$44&amp;"|"&amp;$A47,'Master Data'!$A$2:$A$2436,0)),"")</f>
        <v>Sebagian</v>
      </c>
    </row>
    <row r="48" customFormat="false" ht="30" hidden="false" customHeight="true" outlineLevel="0" collapsed="false">
      <c r="A48" s="59" t="s">
        <v>99</v>
      </c>
      <c r="B48" s="60" t="str">
        <f aca="false">IFERROR(INDEX('Master Data'!$M$2:$M$2436,MATCH($B$3&amp;"|3|"&amp;B$44&amp;"|"&amp;$A48,'Master Data'!$A$2:$A$2436,0)),"")</f>
        <v>Little  0/4
coach: –</v>
      </c>
      <c r="C48" s="60" t="str">
        <f aca="false">IFERROR(INDEX('Master Data'!$M$2:$M$2436,MATCH($B$3&amp;"|3|"&amp;C$44&amp;"|"&amp;$A48,'Master Data'!$A$2:$A$2436,0)),"")</f>
        <v>Little  0/4
coach: –</v>
      </c>
      <c r="D48" s="60" t="str">
        <f aca="false">IFERROR(INDEX('Master Data'!$M$2:$M$2436,MATCH($B$3&amp;"|3|"&amp;D$44&amp;"|"&amp;$A48,'Master Data'!$A$2:$A$2436,0)),"")</f>
        <v>Little  0/4
coach: –</v>
      </c>
      <c r="E48" s="60" t="str">
        <f aca="false">IFERROR(INDEX('Master Data'!$M$2:$M$2436,MATCH($B$3&amp;"|3|"&amp;E$44&amp;"|"&amp;$A48,'Master Data'!$A$2:$A$2436,0)),"")</f>
        <v>Little  0/4
coach: –</v>
      </c>
      <c r="F48" s="60" t="str">
        <f aca="false">IFERROR(INDEX('Master Data'!$M$2:$M$2436,MATCH($B$3&amp;"|3|"&amp;F$44&amp;"|"&amp;$A48,'Master Data'!$A$2:$A$2436,0)),"")</f>
        <v>Little  0/4
coach: –</v>
      </c>
      <c r="G48" s="60" t="str">
        <f aca="false">IFERROR(INDEX('Master Data'!$M$2:$M$2436,MATCH($B$3&amp;"|3|"&amp;G$44&amp;"|"&amp;$A48,'Master Data'!$A$2:$A$2436,0)),"")</f>
        <v>Little  2/4
coach: Bagas</v>
      </c>
      <c r="H48" s="60" t="str">
        <f aca="false">IFERROR(INDEX('Master Data'!$M$2:$M$2436,MATCH($B$3&amp;"|3|"&amp;H$44&amp;"|"&amp;$A48,'Master Data'!$A$2:$A$2436,0)),"")</f>
        <v>Little  1/4
coach: Maulana</v>
      </c>
      <c r="T48" s="61" t="str">
        <f aca="false">IFERROR(INDEX('Master Data'!$L$2:$L$2436,MATCH($B$3&amp;"|3|"&amp;B$44&amp;"|"&amp;$A48,'Master Data'!$A$2:$A$2436,0)),"")</f>
        <v>Belum terisi</v>
      </c>
      <c r="U48" s="61" t="str">
        <f aca="false">IFERROR(INDEX('Master Data'!$L$2:$L$2436,MATCH($B$3&amp;"|3|"&amp;C$44&amp;"|"&amp;$A48,'Master Data'!$A$2:$A$2436,0)),"")</f>
        <v>Belum terisi</v>
      </c>
      <c r="V48" s="61" t="str">
        <f aca="false">IFERROR(INDEX('Master Data'!$L$2:$L$2436,MATCH($B$3&amp;"|3|"&amp;D$44&amp;"|"&amp;$A48,'Master Data'!$A$2:$A$2436,0)),"")</f>
        <v>Belum terisi</v>
      </c>
      <c r="W48" s="61" t="str">
        <f aca="false">IFERROR(INDEX('Master Data'!$L$2:$L$2436,MATCH($B$3&amp;"|3|"&amp;E$44&amp;"|"&amp;$A48,'Master Data'!$A$2:$A$2436,0)),"")</f>
        <v>Belum terisi</v>
      </c>
      <c r="X48" s="61" t="str">
        <f aca="false">IFERROR(INDEX('Master Data'!$L$2:$L$2436,MATCH($B$3&amp;"|3|"&amp;F$44&amp;"|"&amp;$A48,'Master Data'!$A$2:$A$2436,0)),"")</f>
        <v>Belum terisi</v>
      </c>
      <c r="Y48" s="61" t="str">
        <f aca="false">IFERROR(INDEX('Master Data'!$L$2:$L$2436,MATCH($B$3&amp;"|3|"&amp;G$44&amp;"|"&amp;$A48,'Master Data'!$A$2:$A$2436,0)),"")</f>
        <v>Sebagian</v>
      </c>
      <c r="Z48" s="61" t="str">
        <f aca="false">IFERROR(INDEX('Master Data'!$L$2:$L$2436,MATCH($B$3&amp;"|3|"&amp;H$44&amp;"|"&amp;$A48,'Master Data'!$A$2:$A$2436,0)),"")</f>
        <v>Sebagian</v>
      </c>
    </row>
    <row r="49" customFormat="false" ht="30" hidden="false" customHeight="true" outlineLevel="0" collapsed="false">
      <c r="A49" s="59" t="s">
        <v>100</v>
      </c>
      <c r="B49" s="60" t="str">
        <f aca="false">IFERROR(INDEX('Master Data'!$M$2:$M$2436,MATCH($B$3&amp;"|3|"&amp;B$44&amp;"|"&amp;$A49,'Master Data'!$A$2:$A$2436,0)),"")</f>
        <v>Little  0/4
coach: –</v>
      </c>
      <c r="C49" s="60" t="str">
        <f aca="false">IFERROR(INDEX('Master Data'!$M$2:$M$2436,MATCH($B$3&amp;"|3|"&amp;C$44&amp;"|"&amp;$A49,'Master Data'!$A$2:$A$2436,0)),"")</f>
        <v>Little  0/4
coach: –</v>
      </c>
      <c r="D49" s="60" t="str">
        <f aca="false">IFERROR(INDEX('Master Data'!$M$2:$M$2436,MATCH($B$3&amp;"|3|"&amp;D$44&amp;"|"&amp;$A49,'Master Data'!$A$2:$A$2436,0)),"")</f>
        <v>Little  0/4
coach: –</v>
      </c>
      <c r="E49" s="60" t="str">
        <f aca="false">IFERROR(INDEX('Master Data'!$M$2:$M$2436,MATCH($B$3&amp;"|3|"&amp;E$44&amp;"|"&amp;$A49,'Master Data'!$A$2:$A$2436,0)),"")</f>
        <v>Little  0/4
coach: –</v>
      </c>
      <c r="F49" s="60" t="str">
        <f aca="false">IFERROR(INDEX('Master Data'!$M$2:$M$2436,MATCH($B$3&amp;"|3|"&amp;F$44&amp;"|"&amp;$A49,'Master Data'!$A$2:$A$2436,0)),"")</f>
        <v>Little  0/4
coach: –</v>
      </c>
      <c r="G49" s="60" t="str">
        <f aca="false">IFERROR(INDEX('Master Data'!$M$2:$M$2436,MATCH($B$3&amp;"|3|"&amp;G$44&amp;"|"&amp;$A49,'Master Data'!$A$2:$A$2436,0)),"")</f>
        <v>Little  0/4
coach: –</v>
      </c>
      <c r="H49" s="60" t="str">
        <f aca="false">IFERROR(INDEX('Master Data'!$M$2:$M$2436,MATCH($B$3&amp;"|3|"&amp;H$44&amp;"|"&amp;$A49,'Master Data'!$A$2:$A$2436,0)),"")</f>
        <v>Little  0/4
coach: –</v>
      </c>
      <c r="T49" s="61" t="str">
        <f aca="false">IFERROR(INDEX('Master Data'!$L$2:$L$2436,MATCH($B$3&amp;"|3|"&amp;B$44&amp;"|"&amp;$A49,'Master Data'!$A$2:$A$2436,0)),"")</f>
        <v>Belum terisi</v>
      </c>
      <c r="U49" s="61" t="str">
        <f aca="false">IFERROR(INDEX('Master Data'!$L$2:$L$2436,MATCH($B$3&amp;"|3|"&amp;C$44&amp;"|"&amp;$A49,'Master Data'!$A$2:$A$2436,0)),"")</f>
        <v>Belum terisi</v>
      </c>
      <c r="V49" s="61" t="str">
        <f aca="false">IFERROR(INDEX('Master Data'!$L$2:$L$2436,MATCH($B$3&amp;"|3|"&amp;D$44&amp;"|"&amp;$A49,'Master Data'!$A$2:$A$2436,0)),"")</f>
        <v>Belum terisi</v>
      </c>
      <c r="W49" s="61" t="str">
        <f aca="false">IFERROR(INDEX('Master Data'!$L$2:$L$2436,MATCH($B$3&amp;"|3|"&amp;E$44&amp;"|"&amp;$A49,'Master Data'!$A$2:$A$2436,0)),"")</f>
        <v>Belum terisi</v>
      </c>
      <c r="X49" s="61" t="str">
        <f aca="false">IFERROR(INDEX('Master Data'!$L$2:$L$2436,MATCH($B$3&amp;"|3|"&amp;F$44&amp;"|"&amp;$A49,'Master Data'!$A$2:$A$2436,0)),"")</f>
        <v>Belum terisi</v>
      </c>
      <c r="Y49" s="61" t="str">
        <f aca="false">IFERROR(INDEX('Master Data'!$L$2:$L$2436,MATCH($B$3&amp;"|3|"&amp;G$44&amp;"|"&amp;$A49,'Master Data'!$A$2:$A$2436,0)),"")</f>
        <v>Belum terisi</v>
      </c>
      <c r="Z49" s="61" t="str">
        <f aca="false">IFERROR(INDEX('Master Data'!$L$2:$L$2436,MATCH($B$3&amp;"|3|"&amp;H$44&amp;"|"&amp;$A49,'Master Data'!$A$2:$A$2436,0)),"")</f>
        <v>Belum terisi</v>
      </c>
    </row>
    <row r="50" customFormat="false" ht="30" hidden="false" customHeight="true" outlineLevel="0" collapsed="false">
      <c r="A50" s="59" t="s">
        <v>101</v>
      </c>
      <c r="B50" s="60" t="str">
        <f aca="false">IFERROR(INDEX('Master Data'!$M$2:$M$2436,MATCH($B$3&amp;"|3|"&amp;B$44&amp;"|"&amp;$A50,'Master Data'!$A$2:$A$2436,0)),"")</f>
        <v>Little  0/4
coach: –</v>
      </c>
      <c r="C50" s="60" t="str">
        <f aca="false">IFERROR(INDEX('Master Data'!$M$2:$M$2436,MATCH($B$3&amp;"|3|"&amp;C$44&amp;"|"&amp;$A50,'Master Data'!$A$2:$A$2436,0)),"")</f>
        <v>Little  0/4
coach: –</v>
      </c>
      <c r="D50" s="60" t="str">
        <f aca="false">IFERROR(INDEX('Master Data'!$M$2:$M$2436,MATCH($B$3&amp;"|3|"&amp;D$44&amp;"|"&amp;$A50,'Master Data'!$A$2:$A$2436,0)),"")</f>
        <v>Little  0/4
coach: –</v>
      </c>
      <c r="E50" s="60" t="str">
        <f aca="false">IFERROR(INDEX('Master Data'!$M$2:$M$2436,MATCH($B$3&amp;"|3|"&amp;E$44&amp;"|"&amp;$A50,'Master Data'!$A$2:$A$2436,0)),"")</f>
        <v>Little  0/4
coach: –</v>
      </c>
      <c r="F50" s="60" t="str">
        <f aca="false">IFERROR(INDEX('Master Data'!$M$2:$M$2436,MATCH($B$3&amp;"|3|"&amp;F$44&amp;"|"&amp;$A50,'Master Data'!$A$2:$A$2436,0)),"")</f>
        <v>Little  0/4
coach: –</v>
      </c>
      <c r="G50" s="60" t="str">
        <f aca="false">IFERROR(INDEX('Master Data'!$M$2:$M$2436,MATCH($B$3&amp;"|3|"&amp;G$44&amp;"|"&amp;$A50,'Master Data'!$A$2:$A$2436,0)),"")</f>
        <v>Little  0/4
coach: –</v>
      </c>
      <c r="H50" s="60" t="str">
        <f aca="false">IFERROR(INDEX('Master Data'!$M$2:$M$2436,MATCH($B$3&amp;"|3|"&amp;H$44&amp;"|"&amp;$A50,'Master Data'!$A$2:$A$2436,0)),"")</f>
        <v>Little  0/4
coach: –</v>
      </c>
      <c r="T50" s="61" t="str">
        <f aca="false">IFERROR(INDEX('Master Data'!$L$2:$L$2436,MATCH($B$3&amp;"|3|"&amp;B$44&amp;"|"&amp;$A50,'Master Data'!$A$2:$A$2436,0)),"")</f>
        <v>Belum terisi</v>
      </c>
      <c r="U50" s="61" t="str">
        <f aca="false">IFERROR(INDEX('Master Data'!$L$2:$L$2436,MATCH($B$3&amp;"|3|"&amp;C$44&amp;"|"&amp;$A50,'Master Data'!$A$2:$A$2436,0)),"")</f>
        <v>Belum terisi</v>
      </c>
      <c r="V50" s="61" t="str">
        <f aca="false">IFERROR(INDEX('Master Data'!$L$2:$L$2436,MATCH($B$3&amp;"|3|"&amp;D$44&amp;"|"&amp;$A50,'Master Data'!$A$2:$A$2436,0)),"")</f>
        <v>Belum terisi</v>
      </c>
      <c r="W50" s="61" t="str">
        <f aca="false">IFERROR(INDEX('Master Data'!$L$2:$L$2436,MATCH($B$3&amp;"|3|"&amp;E$44&amp;"|"&amp;$A50,'Master Data'!$A$2:$A$2436,0)),"")</f>
        <v>Belum terisi</v>
      </c>
      <c r="X50" s="61" t="str">
        <f aca="false">IFERROR(INDEX('Master Data'!$L$2:$L$2436,MATCH($B$3&amp;"|3|"&amp;F$44&amp;"|"&amp;$A50,'Master Data'!$A$2:$A$2436,0)),"")</f>
        <v>Belum terisi</v>
      </c>
      <c r="Y50" s="61" t="str">
        <f aca="false">IFERROR(INDEX('Master Data'!$L$2:$L$2436,MATCH($B$3&amp;"|3|"&amp;G$44&amp;"|"&amp;$A50,'Master Data'!$A$2:$A$2436,0)),"")</f>
        <v>Belum terisi</v>
      </c>
      <c r="Z50" s="61" t="str">
        <f aca="false">IFERROR(INDEX('Master Data'!$L$2:$L$2436,MATCH($B$3&amp;"|3|"&amp;H$44&amp;"|"&amp;$A50,'Master Data'!$A$2:$A$2436,0)),"")</f>
        <v>Belum terisi</v>
      </c>
    </row>
    <row r="51" customFormat="false" ht="30" hidden="false" customHeight="true" outlineLevel="0" collapsed="false">
      <c r="A51" s="59" t="s">
        <v>102</v>
      </c>
      <c r="B51" s="60" t="str">
        <f aca="false">IFERROR(INDEX('Master Data'!$M$2:$M$2436,MATCH($B$3&amp;"|3|"&amp;B$44&amp;"|"&amp;$A51,'Master Data'!$A$2:$A$2436,0)),"")</f>
        <v>Little  0/4
coach: –</v>
      </c>
      <c r="C51" s="60" t="str">
        <f aca="false">IFERROR(INDEX('Master Data'!$M$2:$M$2436,MATCH($B$3&amp;"|3|"&amp;C$44&amp;"|"&amp;$A51,'Master Data'!$A$2:$A$2436,0)),"")</f>
        <v>Little  0/4
coach: –</v>
      </c>
      <c r="D51" s="60" t="str">
        <f aca="false">IFERROR(INDEX('Master Data'!$M$2:$M$2436,MATCH($B$3&amp;"|3|"&amp;D$44&amp;"|"&amp;$A51,'Master Data'!$A$2:$A$2436,0)),"")</f>
        <v>Little  3/4
coach: Maulana</v>
      </c>
      <c r="E51" s="60" t="str">
        <f aca="false">IFERROR(INDEX('Master Data'!$M$2:$M$2436,MATCH($B$3&amp;"|3|"&amp;E$44&amp;"|"&amp;$A51,'Master Data'!$A$2:$A$2436,0)),"")</f>
        <v>Little  1/4
coach: Bagas</v>
      </c>
      <c r="F51" s="60" t="str">
        <f aca="false">IFERROR(INDEX('Master Data'!$M$2:$M$2436,MATCH($B$3&amp;"|3|"&amp;F$44&amp;"|"&amp;$A51,'Master Data'!$A$2:$A$2436,0)),"")</f>
        <v>Little  0/4
coach: –</v>
      </c>
      <c r="G51" s="60" t="str">
        <f aca="false">IFERROR(INDEX('Master Data'!$M$2:$M$2436,MATCH($B$3&amp;"|3|"&amp;G$44&amp;"|"&amp;$A51,'Master Data'!$A$2:$A$2436,0)),"")</f>
        <v>Little  0/4
coach: –</v>
      </c>
      <c r="H51" s="60" t="str">
        <f aca="false">IFERROR(INDEX('Master Data'!$M$2:$M$2436,MATCH($B$3&amp;"|3|"&amp;H$44&amp;"|"&amp;$A51,'Master Data'!$A$2:$A$2436,0)),"")</f>
        <v>Little  0/4
coach: –</v>
      </c>
      <c r="T51" s="61" t="str">
        <f aca="false">IFERROR(INDEX('Master Data'!$L$2:$L$2436,MATCH($B$3&amp;"|3|"&amp;B$44&amp;"|"&amp;$A51,'Master Data'!$A$2:$A$2436,0)),"")</f>
        <v>Belum terisi</v>
      </c>
      <c r="U51" s="61" t="str">
        <f aca="false">IFERROR(INDEX('Master Data'!$L$2:$L$2436,MATCH($B$3&amp;"|3|"&amp;C$44&amp;"|"&amp;$A51,'Master Data'!$A$2:$A$2436,0)),"")</f>
        <v>Belum terisi</v>
      </c>
      <c r="V51" s="61" t="str">
        <f aca="false">IFERROR(INDEX('Master Data'!$L$2:$L$2436,MATCH($B$3&amp;"|3|"&amp;D$44&amp;"|"&amp;$A51,'Master Data'!$A$2:$A$2436,0)),"")</f>
        <v>Sebagian</v>
      </c>
      <c r="W51" s="61" t="str">
        <f aca="false">IFERROR(INDEX('Master Data'!$L$2:$L$2436,MATCH($B$3&amp;"|3|"&amp;E$44&amp;"|"&amp;$A51,'Master Data'!$A$2:$A$2436,0)),"")</f>
        <v>Sebagian</v>
      </c>
      <c r="X51" s="61" t="str">
        <f aca="false">IFERROR(INDEX('Master Data'!$L$2:$L$2436,MATCH($B$3&amp;"|3|"&amp;F$44&amp;"|"&amp;$A51,'Master Data'!$A$2:$A$2436,0)),"")</f>
        <v>Belum terisi</v>
      </c>
      <c r="Y51" s="61" t="str">
        <f aca="false">IFERROR(INDEX('Master Data'!$L$2:$L$2436,MATCH($B$3&amp;"|3|"&amp;G$44&amp;"|"&amp;$A51,'Master Data'!$A$2:$A$2436,0)),"")</f>
        <v>Belum terisi</v>
      </c>
      <c r="Z51" s="61" t="str">
        <f aca="false">IFERROR(INDEX('Master Data'!$L$2:$L$2436,MATCH($B$3&amp;"|3|"&amp;H$44&amp;"|"&amp;$A51,'Master Data'!$A$2:$A$2436,0)),"")</f>
        <v>Belum terisi</v>
      </c>
    </row>
    <row r="52" customFormat="false" ht="30" hidden="false" customHeight="true" outlineLevel="0" collapsed="false">
      <c r="A52" s="59" t="s">
        <v>103</v>
      </c>
      <c r="B52" s="60" t="str">
        <f aca="false">IFERROR(INDEX('Master Data'!$M$2:$M$2436,MATCH($B$3&amp;"|3|"&amp;B$44&amp;"|"&amp;$A52,'Master Data'!$A$2:$A$2436,0)),"")</f>
        <v>Little  2/4
coach: Alfi</v>
      </c>
      <c r="C52" s="60" t="str">
        <f aca="false">IFERROR(INDEX('Master Data'!$M$2:$M$2436,MATCH($B$3&amp;"|3|"&amp;C$44&amp;"|"&amp;$A52,'Master Data'!$A$2:$A$2436,0)),"")</f>
        <v>Little  0/4
coach: –</v>
      </c>
      <c r="D52" s="60" t="str">
        <f aca="false">IFERROR(INDEX('Master Data'!$M$2:$M$2436,MATCH($B$3&amp;"|3|"&amp;D$44&amp;"|"&amp;$A52,'Master Data'!$A$2:$A$2436,0)),"")</f>
        <v>Little  0/4
coach: –</v>
      </c>
      <c r="E52" s="60" t="str">
        <f aca="false">IFERROR(INDEX('Master Data'!$M$2:$M$2436,MATCH($B$3&amp;"|3|"&amp;E$44&amp;"|"&amp;$A52,'Master Data'!$A$2:$A$2436,0)),"")</f>
        <v>Little  0/4
coach: –</v>
      </c>
      <c r="F52" s="60" t="str">
        <f aca="false">IFERROR(INDEX('Master Data'!$M$2:$M$2436,MATCH($B$3&amp;"|3|"&amp;F$44&amp;"|"&amp;$A52,'Master Data'!$A$2:$A$2436,0)),"")</f>
        <v>Little  0/4
coach: –</v>
      </c>
      <c r="G52" s="60" t="str">
        <f aca="false">IFERROR(INDEX('Master Data'!$M$2:$M$2436,MATCH($B$3&amp;"|3|"&amp;G$44&amp;"|"&amp;$A52,'Master Data'!$A$2:$A$2436,0)),"")</f>
        <v>Little  0/4
coach: –</v>
      </c>
      <c r="H52" s="60" t="str">
        <f aca="false">IFERROR(INDEX('Master Data'!$M$2:$M$2436,MATCH($B$3&amp;"|3|"&amp;H$44&amp;"|"&amp;$A52,'Master Data'!$A$2:$A$2436,0)),"")</f>
        <v>Little  0/4
coach: –</v>
      </c>
      <c r="T52" s="61" t="str">
        <f aca="false">IFERROR(INDEX('Master Data'!$L$2:$L$2436,MATCH($B$3&amp;"|3|"&amp;B$44&amp;"|"&amp;$A52,'Master Data'!$A$2:$A$2436,0)),"")</f>
        <v>Sebagian</v>
      </c>
      <c r="U52" s="61" t="str">
        <f aca="false">IFERROR(INDEX('Master Data'!$L$2:$L$2436,MATCH($B$3&amp;"|3|"&amp;C$44&amp;"|"&amp;$A52,'Master Data'!$A$2:$A$2436,0)),"")</f>
        <v>Belum terisi</v>
      </c>
      <c r="V52" s="61" t="str">
        <f aca="false">IFERROR(INDEX('Master Data'!$L$2:$L$2436,MATCH($B$3&amp;"|3|"&amp;D$44&amp;"|"&amp;$A52,'Master Data'!$A$2:$A$2436,0)),"")</f>
        <v>Belum terisi</v>
      </c>
      <c r="W52" s="61" t="str">
        <f aca="false">IFERROR(INDEX('Master Data'!$L$2:$L$2436,MATCH($B$3&amp;"|3|"&amp;E$44&amp;"|"&amp;$A52,'Master Data'!$A$2:$A$2436,0)),"")</f>
        <v>Belum terisi</v>
      </c>
      <c r="X52" s="61" t="str">
        <f aca="false">IFERROR(INDEX('Master Data'!$L$2:$L$2436,MATCH($B$3&amp;"|3|"&amp;F$44&amp;"|"&amp;$A52,'Master Data'!$A$2:$A$2436,0)),"")</f>
        <v>Belum terisi</v>
      </c>
      <c r="Y52" s="61" t="str">
        <f aca="false">IFERROR(INDEX('Master Data'!$L$2:$L$2436,MATCH($B$3&amp;"|3|"&amp;G$44&amp;"|"&amp;$A52,'Master Data'!$A$2:$A$2436,0)),"")</f>
        <v>Belum terisi</v>
      </c>
      <c r="Z52" s="61" t="str">
        <f aca="false">IFERROR(INDEX('Master Data'!$L$2:$L$2436,MATCH($B$3&amp;"|3|"&amp;H$44&amp;"|"&amp;$A52,'Master Data'!$A$2:$A$2436,0)),"")</f>
        <v>Belum terisi</v>
      </c>
    </row>
    <row r="53" customFormat="false" ht="30" hidden="false" customHeight="true" outlineLevel="0" collapsed="false">
      <c r="A53" s="59" t="s">
        <v>104</v>
      </c>
      <c r="B53" s="60" t="str">
        <f aca="false">IFERROR(INDEX('Master Data'!$M$2:$M$2436,MATCH($B$3&amp;"|3|"&amp;B$44&amp;"|"&amp;$A53,'Master Data'!$A$2:$A$2436,0)),"")</f>
        <v>Little  1/4
coach: Aldi</v>
      </c>
      <c r="C53" s="60" t="str">
        <f aca="false">IFERROR(INDEX('Master Data'!$M$2:$M$2436,MATCH($B$3&amp;"|3|"&amp;C$44&amp;"|"&amp;$A53,'Master Data'!$A$2:$A$2436,0)),"")</f>
        <v>Little  0/4
coach: –</v>
      </c>
      <c r="D53" s="60" t="str">
        <f aca="false">IFERROR(INDEX('Master Data'!$M$2:$M$2436,MATCH($B$3&amp;"|3|"&amp;D$44&amp;"|"&amp;$A53,'Master Data'!$A$2:$A$2436,0)),"")</f>
        <v>Little  2/4
coach: Bagas</v>
      </c>
      <c r="E53" s="60" t="str">
        <f aca="false">IFERROR(INDEX('Master Data'!$M$2:$M$2436,MATCH($B$3&amp;"|3|"&amp;E$44&amp;"|"&amp;$A53,'Master Data'!$A$2:$A$2436,0)),"")</f>
        <v>Little  0/4
coach: –</v>
      </c>
      <c r="F53" s="60" t="str">
        <f aca="false">IFERROR(INDEX('Master Data'!$M$2:$M$2436,MATCH($B$3&amp;"|3|"&amp;F$44&amp;"|"&amp;$A53,'Master Data'!$A$2:$A$2436,0)),"")</f>
        <v>Little  3/4
coach: Bagas</v>
      </c>
      <c r="G53" s="60" t="str">
        <f aca="false">IFERROR(INDEX('Master Data'!$M$2:$M$2436,MATCH($B$3&amp;"|3|"&amp;G$44&amp;"|"&amp;$A53,'Master Data'!$A$2:$A$2436,0)),"")</f>
        <v>Little  0/4
coach: –</v>
      </c>
      <c r="H53" s="60" t="str">
        <f aca="false">IFERROR(INDEX('Master Data'!$M$2:$M$2436,MATCH($B$3&amp;"|3|"&amp;H$44&amp;"|"&amp;$A53,'Master Data'!$A$2:$A$2436,0)),"")</f>
        <v>Little  3/4
coach: Doni</v>
      </c>
      <c r="T53" s="61" t="str">
        <f aca="false">IFERROR(INDEX('Master Data'!$L$2:$L$2436,MATCH($B$3&amp;"|3|"&amp;B$44&amp;"|"&amp;$A53,'Master Data'!$A$2:$A$2436,0)),"")</f>
        <v>Sebagian</v>
      </c>
      <c r="U53" s="61" t="str">
        <f aca="false">IFERROR(INDEX('Master Data'!$L$2:$L$2436,MATCH($B$3&amp;"|3|"&amp;C$44&amp;"|"&amp;$A53,'Master Data'!$A$2:$A$2436,0)),"")</f>
        <v>Belum terisi</v>
      </c>
      <c r="V53" s="61" t="str">
        <f aca="false">IFERROR(INDEX('Master Data'!$L$2:$L$2436,MATCH($B$3&amp;"|3|"&amp;D$44&amp;"|"&amp;$A53,'Master Data'!$A$2:$A$2436,0)),"")</f>
        <v>Sebagian</v>
      </c>
      <c r="W53" s="61" t="str">
        <f aca="false">IFERROR(INDEX('Master Data'!$L$2:$L$2436,MATCH($B$3&amp;"|3|"&amp;E$44&amp;"|"&amp;$A53,'Master Data'!$A$2:$A$2436,0)),"")</f>
        <v>Belum terisi</v>
      </c>
      <c r="X53" s="61" t="str">
        <f aca="false">IFERROR(INDEX('Master Data'!$L$2:$L$2436,MATCH($B$3&amp;"|3|"&amp;F$44&amp;"|"&amp;$A53,'Master Data'!$A$2:$A$2436,0)),"")</f>
        <v>Sebagian</v>
      </c>
      <c r="Y53" s="61" t="str">
        <f aca="false">IFERROR(INDEX('Master Data'!$L$2:$L$2436,MATCH($B$3&amp;"|3|"&amp;G$44&amp;"|"&amp;$A53,'Master Data'!$A$2:$A$2436,0)),"")</f>
        <v>Belum terisi</v>
      </c>
      <c r="Z53" s="61" t="str">
        <f aca="false">IFERROR(INDEX('Master Data'!$L$2:$L$2436,MATCH($B$3&amp;"|3|"&amp;H$44&amp;"|"&amp;$A53,'Master Data'!$A$2:$A$2436,0)),"")</f>
        <v>Sebagian</v>
      </c>
    </row>
    <row r="54" customFormat="false" ht="30" hidden="false" customHeight="true" outlineLevel="0" collapsed="false">
      <c r="A54" s="59" t="s">
        <v>105</v>
      </c>
      <c r="B54" s="60" t="str">
        <f aca="false">IFERROR(INDEX('Master Data'!$M$2:$M$2436,MATCH($B$3&amp;"|3|"&amp;B$44&amp;"|"&amp;$A54,'Master Data'!$A$2:$A$2436,0)),"")</f>
        <v>Little  0/4
coach: –</v>
      </c>
      <c r="C54" s="60" t="str">
        <f aca="false">IFERROR(INDEX('Master Data'!$M$2:$M$2436,MATCH($B$3&amp;"|3|"&amp;C$44&amp;"|"&amp;$A54,'Master Data'!$A$2:$A$2436,0)),"")</f>
        <v>Little  1/4
coach: Maulana</v>
      </c>
      <c r="D54" s="60" t="str">
        <f aca="false">IFERROR(INDEX('Master Data'!$M$2:$M$2436,MATCH($B$3&amp;"|3|"&amp;D$44&amp;"|"&amp;$A54,'Master Data'!$A$2:$A$2436,0)),"")</f>
        <v>Little  4/4
coach: Shofi</v>
      </c>
      <c r="E54" s="60" t="str">
        <f aca="false">IFERROR(INDEX('Master Data'!$M$2:$M$2436,MATCH($B$3&amp;"|3|"&amp;E$44&amp;"|"&amp;$A54,'Master Data'!$A$2:$A$2436,0)),"")</f>
        <v>Little  2/4
coach: Shofi</v>
      </c>
      <c r="F54" s="60" t="str">
        <f aca="false">IFERROR(INDEX('Master Data'!$M$2:$M$2436,MATCH($B$3&amp;"|3|"&amp;F$44&amp;"|"&amp;$A54,'Master Data'!$A$2:$A$2436,0)),"")</f>
        <v>Little  1/4
coach: Tara</v>
      </c>
      <c r="G54" s="60" t="str">
        <f aca="false">IFERROR(INDEX('Master Data'!$M$2:$M$2436,MATCH($B$3&amp;"|3|"&amp;G$44&amp;"|"&amp;$A54,'Master Data'!$A$2:$A$2436,0)),"")</f>
        <v>Little  1/4
coach: Bagas</v>
      </c>
      <c r="H54" s="60" t="str">
        <f aca="false">IFERROR(INDEX('Master Data'!$M$2:$M$2436,MATCH($B$3&amp;"|3|"&amp;H$44&amp;"|"&amp;$A54,'Master Data'!$A$2:$A$2436,0)),"")</f>
        <v>Little  2/4
coach: Shofi</v>
      </c>
      <c r="T54" s="61" t="str">
        <f aca="false">IFERROR(INDEX('Master Data'!$L$2:$L$2436,MATCH($B$3&amp;"|3|"&amp;B$44&amp;"|"&amp;$A54,'Master Data'!$A$2:$A$2436,0)),"")</f>
        <v>Belum terisi</v>
      </c>
      <c r="U54" s="61" t="str">
        <f aca="false">IFERROR(INDEX('Master Data'!$L$2:$L$2436,MATCH($B$3&amp;"|3|"&amp;C$44&amp;"|"&amp;$A54,'Master Data'!$A$2:$A$2436,0)),"")</f>
        <v>Sebagian</v>
      </c>
      <c r="V54" s="61" t="str">
        <f aca="false">IFERROR(INDEX('Master Data'!$L$2:$L$2436,MATCH($B$3&amp;"|3|"&amp;D$44&amp;"|"&amp;$A54,'Master Data'!$A$2:$A$2436,0)),"")</f>
        <v>Penuh</v>
      </c>
      <c r="W54" s="61" t="str">
        <f aca="false">IFERROR(INDEX('Master Data'!$L$2:$L$2436,MATCH($B$3&amp;"|3|"&amp;E$44&amp;"|"&amp;$A54,'Master Data'!$A$2:$A$2436,0)),"")</f>
        <v>Sebagian</v>
      </c>
      <c r="X54" s="61" t="str">
        <f aca="false">IFERROR(INDEX('Master Data'!$L$2:$L$2436,MATCH($B$3&amp;"|3|"&amp;F$44&amp;"|"&amp;$A54,'Master Data'!$A$2:$A$2436,0)),"")</f>
        <v>Sebagian</v>
      </c>
      <c r="Y54" s="61" t="str">
        <f aca="false">IFERROR(INDEX('Master Data'!$L$2:$L$2436,MATCH($B$3&amp;"|3|"&amp;G$44&amp;"|"&amp;$A54,'Master Data'!$A$2:$A$2436,0)),"")</f>
        <v>Sebagian</v>
      </c>
      <c r="Z54" s="61" t="str">
        <f aca="false">IFERROR(INDEX('Master Data'!$L$2:$L$2436,MATCH($B$3&amp;"|3|"&amp;H$44&amp;"|"&amp;$A54,'Master Data'!$A$2:$A$2436,0)),"")</f>
        <v>Sebagian</v>
      </c>
    </row>
    <row r="55" customFormat="false" ht="30" hidden="false" customHeight="true" outlineLevel="0" collapsed="false">
      <c r="A55" s="59" t="s">
        <v>106</v>
      </c>
      <c r="B55" s="60" t="str">
        <f aca="false">IFERROR(INDEX('Master Data'!$M$2:$M$2436,MATCH($B$3&amp;"|3|"&amp;B$44&amp;"|"&amp;$A55,'Master Data'!$A$2:$A$2436,0)),"")</f>
        <v>Little  2/4
coach: Alfi</v>
      </c>
      <c r="C55" s="60" t="str">
        <f aca="false">IFERROR(INDEX('Master Data'!$M$2:$M$2436,MATCH($B$3&amp;"|3|"&amp;C$44&amp;"|"&amp;$A55,'Master Data'!$A$2:$A$2436,0)),"")</f>
        <v>Little  0/4
coach: –</v>
      </c>
      <c r="D55" s="60" t="str">
        <f aca="false">IFERROR(INDEX('Master Data'!$M$2:$M$2436,MATCH($B$3&amp;"|3|"&amp;D$44&amp;"|"&amp;$A55,'Master Data'!$A$2:$A$2436,0)),"")</f>
        <v>Little  3/4
coach: Maulana</v>
      </c>
      <c r="E55" s="60" t="str">
        <f aca="false">IFERROR(INDEX('Master Data'!$M$2:$M$2436,MATCH($B$3&amp;"|3|"&amp;E$44&amp;"|"&amp;$A55,'Master Data'!$A$2:$A$2436,0)),"")</f>
        <v>Little  3/4
coach: Shofi</v>
      </c>
      <c r="F55" s="60" t="str">
        <f aca="false">IFERROR(INDEX('Master Data'!$M$2:$M$2436,MATCH($B$3&amp;"|3|"&amp;F$44&amp;"|"&amp;$A55,'Master Data'!$A$2:$A$2436,0)),"")</f>
        <v>Little  4/4
coach: Shofi</v>
      </c>
      <c r="G55" s="60" t="str">
        <f aca="false">IFERROR(INDEX('Master Data'!$M$2:$M$2436,MATCH($B$3&amp;"|3|"&amp;G$44&amp;"|"&amp;$A55,'Master Data'!$A$2:$A$2436,0)),"")</f>
        <v>Little  3/4
coach: Alfi</v>
      </c>
      <c r="H55" s="60" t="str">
        <f aca="false">IFERROR(INDEX('Master Data'!$M$2:$M$2436,MATCH($B$3&amp;"|3|"&amp;H$44&amp;"|"&amp;$A55,'Master Data'!$A$2:$A$2436,0)),"")</f>
        <v>Little  0/4
coach: –</v>
      </c>
      <c r="T55" s="61" t="str">
        <f aca="false">IFERROR(INDEX('Master Data'!$L$2:$L$2436,MATCH($B$3&amp;"|3|"&amp;B$44&amp;"|"&amp;$A55,'Master Data'!$A$2:$A$2436,0)),"")</f>
        <v>Sebagian</v>
      </c>
      <c r="U55" s="61" t="str">
        <f aca="false">IFERROR(INDEX('Master Data'!$L$2:$L$2436,MATCH($B$3&amp;"|3|"&amp;C$44&amp;"|"&amp;$A55,'Master Data'!$A$2:$A$2436,0)),"")</f>
        <v>Belum terisi</v>
      </c>
      <c r="V55" s="61" t="str">
        <f aca="false">IFERROR(INDEX('Master Data'!$L$2:$L$2436,MATCH($B$3&amp;"|3|"&amp;D$44&amp;"|"&amp;$A55,'Master Data'!$A$2:$A$2436,0)),"")</f>
        <v>Sebagian</v>
      </c>
      <c r="W55" s="61" t="str">
        <f aca="false">IFERROR(INDEX('Master Data'!$L$2:$L$2436,MATCH($B$3&amp;"|3|"&amp;E$44&amp;"|"&amp;$A55,'Master Data'!$A$2:$A$2436,0)),"")</f>
        <v>Sebagian</v>
      </c>
      <c r="X55" s="61" t="str">
        <f aca="false">IFERROR(INDEX('Master Data'!$L$2:$L$2436,MATCH($B$3&amp;"|3|"&amp;F$44&amp;"|"&amp;$A55,'Master Data'!$A$2:$A$2436,0)),"")</f>
        <v>Penuh</v>
      </c>
      <c r="Y55" s="61" t="str">
        <f aca="false">IFERROR(INDEX('Master Data'!$L$2:$L$2436,MATCH($B$3&amp;"|3|"&amp;G$44&amp;"|"&amp;$A55,'Master Data'!$A$2:$A$2436,0)),"")</f>
        <v>Sebagian</v>
      </c>
      <c r="Z55" s="61" t="str">
        <f aca="false">IFERROR(INDEX('Master Data'!$L$2:$L$2436,MATCH($B$3&amp;"|3|"&amp;H$44&amp;"|"&amp;$A55,'Master Data'!$A$2:$A$2436,0)),"")</f>
        <v>Belum terisi</v>
      </c>
    </row>
    <row r="56" customFormat="false" ht="30" hidden="false" customHeight="true" outlineLevel="0" collapsed="false">
      <c r="A56" s="59" t="s">
        <v>107</v>
      </c>
      <c r="B56" s="60" t="str">
        <f aca="false">IFERROR(INDEX('Master Data'!$M$2:$M$2436,MATCH($B$3&amp;"|3|"&amp;B$44&amp;"|"&amp;$A56,'Master Data'!$A$2:$A$2436,0)),"")</f>
        <v>Little  0/4
coach: –</v>
      </c>
      <c r="C56" s="60" t="str">
        <f aca="false">IFERROR(INDEX('Master Data'!$M$2:$M$2436,MATCH($B$3&amp;"|3|"&amp;C$44&amp;"|"&amp;$A56,'Master Data'!$A$2:$A$2436,0)),"")</f>
        <v>Little  0/4
coach: –</v>
      </c>
      <c r="D56" s="60" t="str">
        <f aca="false">IFERROR(INDEX('Master Data'!$M$2:$M$2436,MATCH($B$3&amp;"|3|"&amp;D$44&amp;"|"&amp;$A56,'Master Data'!$A$2:$A$2436,0)),"")</f>
        <v>Little  0/4
coach: –</v>
      </c>
      <c r="E56" s="60" t="str">
        <f aca="false">IFERROR(INDEX('Master Data'!$M$2:$M$2436,MATCH($B$3&amp;"|3|"&amp;E$44&amp;"|"&amp;$A56,'Master Data'!$A$2:$A$2436,0)),"")</f>
        <v>Little  0/4
coach: –</v>
      </c>
      <c r="F56" s="60" t="str">
        <f aca="false">IFERROR(INDEX('Master Data'!$M$2:$M$2436,MATCH($B$3&amp;"|3|"&amp;F$44&amp;"|"&amp;$A56,'Master Data'!$A$2:$A$2436,0)),"")</f>
        <v>Little  3/4
coach: Aldi</v>
      </c>
      <c r="G56" s="60" t="str">
        <f aca="false">IFERROR(INDEX('Master Data'!$M$2:$M$2436,MATCH($B$3&amp;"|3|"&amp;G$44&amp;"|"&amp;$A56,'Master Data'!$A$2:$A$2436,0)),"")</f>
        <v>Little  0/4
coach: –</v>
      </c>
      <c r="H56" s="60" t="str">
        <f aca="false">IFERROR(INDEX('Master Data'!$M$2:$M$2436,MATCH($B$3&amp;"|3|"&amp;H$44&amp;"|"&amp;$A56,'Master Data'!$A$2:$A$2436,0)),"")</f>
        <v>Little  0/4
coach: –</v>
      </c>
      <c r="T56" s="61" t="str">
        <f aca="false">IFERROR(INDEX('Master Data'!$L$2:$L$2436,MATCH($B$3&amp;"|3|"&amp;B$44&amp;"|"&amp;$A56,'Master Data'!$A$2:$A$2436,0)),"")</f>
        <v>Belum terisi</v>
      </c>
      <c r="U56" s="61" t="str">
        <f aca="false">IFERROR(INDEX('Master Data'!$L$2:$L$2436,MATCH($B$3&amp;"|3|"&amp;C$44&amp;"|"&amp;$A56,'Master Data'!$A$2:$A$2436,0)),"")</f>
        <v>Belum terisi</v>
      </c>
      <c r="V56" s="61" t="str">
        <f aca="false">IFERROR(INDEX('Master Data'!$L$2:$L$2436,MATCH($B$3&amp;"|3|"&amp;D$44&amp;"|"&amp;$A56,'Master Data'!$A$2:$A$2436,0)),"")</f>
        <v>Belum terisi</v>
      </c>
      <c r="W56" s="61" t="str">
        <f aca="false">IFERROR(INDEX('Master Data'!$L$2:$L$2436,MATCH($B$3&amp;"|3|"&amp;E$44&amp;"|"&amp;$A56,'Master Data'!$A$2:$A$2436,0)),"")</f>
        <v>Belum terisi</v>
      </c>
      <c r="X56" s="61" t="str">
        <f aca="false">IFERROR(INDEX('Master Data'!$L$2:$L$2436,MATCH($B$3&amp;"|3|"&amp;F$44&amp;"|"&amp;$A56,'Master Data'!$A$2:$A$2436,0)),"")</f>
        <v>Sebagian</v>
      </c>
      <c r="Y56" s="61" t="str">
        <f aca="false">IFERROR(INDEX('Master Data'!$L$2:$L$2436,MATCH($B$3&amp;"|3|"&amp;G$44&amp;"|"&amp;$A56,'Master Data'!$A$2:$A$2436,0)),"")</f>
        <v>Belum terisi</v>
      </c>
      <c r="Z56" s="61" t="str">
        <f aca="false">IFERROR(INDEX('Master Data'!$L$2:$L$2436,MATCH($B$3&amp;"|3|"&amp;H$44&amp;"|"&amp;$A56,'Master Data'!$A$2:$A$2436,0)),"")</f>
        <v>Belum terisi</v>
      </c>
    </row>
    <row r="58" customFormat="false" ht="16.15" hidden="false" customHeight="false" outlineLevel="0" collapsed="false">
      <c r="A58" s="54" t="s">
        <v>122</v>
      </c>
      <c r="B58" s="55"/>
      <c r="C58" s="56" t="str">
        <f aca="false">"Utilisasi lane: "&amp;IFERROR(TEXT(SUMIFS('Master Data'!$H$2:$H$2436,'Master Data'!$B$2:$B$2436,$B$3,'Master Data'!$C$2:$C$2436,4,'Master Data'!$G$2:$G$2436,"&gt;0")/SUMIFS('Master Data'!$G$2:$G$2436,'Master Data'!$B$2:$B$2436,$B$3,'Master Data'!$C$2:$C$2436,4,'Master Data'!$G$2:$G$2436,"&gt;0"),"0%"),"–")&amp;"   ·   Belum terisi: "&amp;COUNTIFS('Master Data'!$B$2:$B$2436,$B$3,'Master Data'!$C$2:$C$2436,4,'Master Data'!$L$2:$L$2436,"Belum terisi")&amp;"   ·   Slot kosong: "&amp;COUNTIFS('Master Data'!$B$2:$B$2436,$B$3,'Master Data'!$C$2:$C$2436,4,'Master Data'!$L$2:$L$2436,"Slot kosong")</f>
        <v>Utilisasi lane: 21%   ·   Belum terisi: 58   ·   Slot kosong: 0</v>
      </c>
      <c r="D58" s="55"/>
      <c r="E58" s="55"/>
      <c r="F58" s="55"/>
      <c r="G58" s="55"/>
      <c r="H58" s="55"/>
    </row>
    <row r="59" customFormat="false" ht="15" hidden="false" customHeight="false" outlineLevel="0" collapsed="false">
      <c r="A59" s="57" t="s">
        <v>89</v>
      </c>
      <c r="B59" s="58" t="s">
        <v>90</v>
      </c>
      <c r="C59" s="58" t="s">
        <v>91</v>
      </c>
      <c r="D59" s="58" t="s">
        <v>92</v>
      </c>
      <c r="E59" s="58" t="s">
        <v>93</v>
      </c>
      <c r="F59" s="58" t="s">
        <v>94</v>
      </c>
      <c r="G59" s="58" t="s">
        <v>95</v>
      </c>
      <c r="H59" s="58" t="s">
        <v>78</v>
      </c>
    </row>
    <row r="60" customFormat="false" ht="30" hidden="false" customHeight="true" outlineLevel="0" collapsed="false">
      <c r="A60" s="59" t="s">
        <v>96</v>
      </c>
      <c r="B60" s="60" t="str">
        <f aca="false">IFERROR(INDEX('Master Data'!$M$2:$M$2436,MATCH($B$3&amp;"|4|"&amp;B$59&amp;"|"&amp;$A60,'Master Data'!$A$2:$A$2436,0)),"")</f>
        <v>Kids  0/4
coach: –</v>
      </c>
      <c r="C60" s="60" t="str">
        <f aca="false">IFERROR(INDEX('Master Data'!$M$2:$M$2436,MATCH($B$3&amp;"|4|"&amp;C$59&amp;"|"&amp;$A60,'Master Data'!$A$2:$A$2436,0)),"")</f>
        <v>Kids  0/4
coach: –</v>
      </c>
      <c r="D60" s="60" t="str">
        <f aca="false">IFERROR(INDEX('Master Data'!$M$2:$M$2436,MATCH($B$3&amp;"|4|"&amp;D$59&amp;"|"&amp;$A60,'Master Data'!$A$2:$A$2436,0)),"")</f>
        <v>Kids  0/4
coach: –</v>
      </c>
      <c r="E60" s="60" t="str">
        <f aca="false">IFERROR(INDEX('Master Data'!$M$2:$M$2436,MATCH($B$3&amp;"|4|"&amp;E$59&amp;"|"&amp;$A60,'Master Data'!$A$2:$A$2436,0)),"")</f>
        <v>Kids  0/4
coach: –</v>
      </c>
      <c r="F60" s="60" t="str">
        <f aca="false">IFERROR(INDEX('Master Data'!$M$2:$M$2436,MATCH($B$3&amp;"|4|"&amp;F$59&amp;"|"&amp;$A60,'Master Data'!$A$2:$A$2436,0)),"")</f>
        <v>Kids  0/4
coach: –</v>
      </c>
      <c r="G60" s="60" t="str">
        <f aca="false">IFERROR(INDEX('Master Data'!$M$2:$M$2436,MATCH($B$3&amp;"|4|"&amp;G$59&amp;"|"&amp;$A60,'Master Data'!$A$2:$A$2436,0)),"")</f>
        <v>Kids  0/4
coach: –</v>
      </c>
      <c r="H60" s="60" t="str">
        <f aca="false">IFERROR(INDEX('Master Data'!$M$2:$M$2436,MATCH($B$3&amp;"|4|"&amp;H$59&amp;"|"&amp;$A60,'Master Data'!$A$2:$A$2436,0)),"")</f>
        <v>Kids  0/4
coach: –</v>
      </c>
      <c r="T60" s="61" t="str">
        <f aca="false">IFERROR(INDEX('Master Data'!$L$2:$L$2436,MATCH($B$3&amp;"|4|"&amp;B$59&amp;"|"&amp;$A60,'Master Data'!$A$2:$A$2436,0)),"")</f>
        <v>Belum terisi</v>
      </c>
      <c r="U60" s="61" t="str">
        <f aca="false">IFERROR(INDEX('Master Data'!$L$2:$L$2436,MATCH($B$3&amp;"|4|"&amp;C$59&amp;"|"&amp;$A60,'Master Data'!$A$2:$A$2436,0)),"")</f>
        <v>Belum terisi</v>
      </c>
      <c r="V60" s="61" t="str">
        <f aca="false">IFERROR(INDEX('Master Data'!$L$2:$L$2436,MATCH($B$3&amp;"|4|"&amp;D$59&amp;"|"&amp;$A60,'Master Data'!$A$2:$A$2436,0)),"")</f>
        <v>Belum terisi</v>
      </c>
      <c r="W60" s="61" t="str">
        <f aca="false">IFERROR(INDEX('Master Data'!$L$2:$L$2436,MATCH($B$3&amp;"|4|"&amp;E$59&amp;"|"&amp;$A60,'Master Data'!$A$2:$A$2436,0)),"")</f>
        <v>Belum terisi</v>
      </c>
      <c r="X60" s="61" t="str">
        <f aca="false">IFERROR(INDEX('Master Data'!$L$2:$L$2436,MATCH($B$3&amp;"|4|"&amp;F$59&amp;"|"&amp;$A60,'Master Data'!$A$2:$A$2436,0)),"")</f>
        <v>Belum terisi</v>
      </c>
      <c r="Y60" s="61" t="str">
        <f aca="false">IFERROR(INDEX('Master Data'!$L$2:$L$2436,MATCH($B$3&amp;"|4|"&amp;G$59&amp;"|"&amp;$A60,'Master Data'!$A$2:$A$2436,0)),"")</f>
        <v>Belum terisi</v>
      </c>
      <c r="Z60" s="61" t="str">
        <f aca="false">IFERROR(INDEX('Master Data'!$L$2:$L$2436,MATCH($B$3&amp;"|4|"&amp;H$59&amp;"|"&amp;$A60,'Master Data'!$A$2:$A$2436,0)),"")</f>
        <v>Belum terisi</v>
      </c>
    </row>
    <row r="61" customFormat="false" ht="30" hidden="false" customHeight="true" outlineLevel="0" collapsed="false">
      <c r="A61" s="59" t="s">
        <v>97</v>
      </c>
      <c r="B61" s="60" t="str">
        <f aca="false">IFERROR(INDEX('Master Data'!$M$2:$M$2436,MATCH($B$3&amp;"|4|"&amp;B$59&amp;"|"&amp;$A61,'Master Data'!$A$2:$A$2436,0)),"")</f>
        <v>Kids  0/4
coach: –</v>
      </c>
      <c r="C61" s="60" t="str">
        <f aca="false">IFERROR(INDEX('Master Data'!$M$2:$M$2436,MATCH($B$3&amp;"|4|"&amp;C$59&amp;"|"&amp;$A61,'Master Data'!$A$2:$A$2436,0)),"")</f>
        <v>Kids  0/4
coach: –</v>
      </c>
      <c r="D61" s="60" t="str">
        <f aca="false">IFERROR(INDEX('Master Data'!$M$2:$M$2436,MATCH($B$3&amp;"|4|"&amp;D$59&amp;"|"&amp;$A61,'Master Data'!$A$2:$A$2436,0)),"")</f>
        <v>Kids  0/4
coach: –</v>
      </c>
      <c r="E61" s="60" t="str">
        <f aca="false">IFERROR(INDEX('Master Data'!$M$2:$M$2436,MATCH($B$3&amp;"|4|"&amp;E$59&amp;"|"&amp;$A61,'Master Data'!$A$2:$A$2436,0)),"")</f>
        <v>Kids  0/4
coach: –</v>
      </c>
      <c r="F61" s="60" t="str">
        <f aca="false">IFERROR(INDEX('Master Data'!$M$2:$M$2436,MATCH($B$3&amp;"|4|"&amp;F$59&amp;"|"&amp;$A61,'Master Data'!$A$2:$A$2436,0)),"")</f>
        <v>Kids  0/4
coach: –</v>
      </c>
      <c r="G61" s="60" t="str">
        <f aca="false">IFERROR(INDEX('Master Data'!$M$2:$M$2436,MATCH($B$3&amp;"|4|"&amp;G$59&amp;"|"&amp;$A61,'Master Data'!$A$2:$A$2436,0)),"")</f>
        <v>Kids  0/4
coach: –</v>
      </c>
      <c r="H61" s="60" t="str">
        <f aca="false">IFERROR(INDEX('Master Data'!$M$2:$M$2436,MATCH($B$3&amp;"|4|"&amp;H$59&amp;"|"&amp;$A61,'Master Data'!$A$2:$A$2436,0)),"")</f>
        <v>Kids  4/4
coach: Maulana</v>
      </c>
      <c r="T61" s="61" t="str">
        <f aca="false">IFERROR(INDEX('Master Data'!$L$2:$L$2436,MATCH($B$3&amp;"|4|"&amp;B$59&amp;"|"&amp;$A61,'Master Data'!$A$2:$A$2436,0)),"")</f>
        <v>Belum terisi</v>
      </c>
      <c r="U61" s="61" t="str">
        <f aca="false">IFERROR(INDEX('Master Data'!$L$2:$L$2436,MATCH($B$3&amp;"|4|"&amp;C$59&amp;"|"&amp;$A61,'Master Data'!$A$2:$A$2436,0)),"")</f>
        <v>Belum terisi</v>
      </c>
      <c r="V61" s="61" t="str">
        <f aca="false">IFERROR(INDEX('Master Data'!$L$2:$L$2436,MATCH($B$3&amp;"|4|"&amp;D$59&amp;"|"&amp;$A61,'Master Data'!$A$2:$A$2436,0)),"")</f>
        <v>Belum terisi</v>
      </c>
      <c r="W61" s="61" t="str">
        <f aca="false">IFERROR(INDEX('Master Data'!$L$2:$L$2436,MATCH($B$3&amp;"|4|"&amp;E$59&amp;"|"&amp;$A61,'Master Data'!$A$2:$A$2436,0)),"")</f>
        <v>Belum terisi</v>
      </c>
      <c r="X61" s="61" t="str">
        <f aca="false">IFERROR(INDEX('Master Data'!$L$2:$L$2436,MATCH($B$3&amp;"|4|"&amp;F$59&amp;"|"&amp;$A61,'Master Data'!$A$2:$A$2436,0)),"")</f>
        <v>Belum terisi</v>
      </c>
      <c r="Y61" s="61" t="str">
        <f aca="false">IFERROR(INDEX('Master Data'!$L$2:$L$2436,MATCH($B$3&amp;"|4|"&amp;G$59&amp;"|"&amp;$A61,'Master Data'!$A$2:$A$2436,0)),"")</f>
        <v>Belum terisi</v>
      </c>
      <c r="Z61" s="61" t="str">
        <f aca="false">IFERROR(INDEX('Master Data'!$L$2:$L$2436,MATCH($B$3&amp;"|4|"&amp;H$59&amp;"|"&amp;$A61,'Master Data'!$A$2:$A$2436,0)),"")</f>
        <v>Penuh</v>
      </c>
    </row>
    <row r="62" customFormat="false" ht="30" hidden="false" customHeight="true" outlineLevel="0" collapsed="false">
      <c r="A62" s="59" t="s">
        <v>98</v>
      </c>
      <c r="B62" s="60" t="str">
        <f aca="false">IFERROR(INDEX('Master Data'!$M$2:$M$2436,MATCH($B$3&amp;"|4|"&amp;B$59&amp;"|"&amp;$A62,'Master Data'!$A$2:$A$2436,0)),"")</f>
        <v>Kids  0/4
coach: –</v>
      </c>
      <c r="C62" s="60" t="str">
        <f aca="false">IFERROR(INDEX('Master Data'!$M$2:$M$2436,MATCH($B$3&amp;"|4|"&amp;C$59&amp;"|"&amp;$A62,'Master Data'!$A$2:$A$2436,0)),"")</f>
        <v>Kids  0/4
coach: –</v>
      </c>
      <c r="D62" s="60" t="str">
        <f aca="false">IFERROR(INDEX('Master Data'!$M$2:$M$2436,MATCH($B$3&amp;"|4|"&amp;D$59&amp;"|"&amp;$A62,'Master Data'!$A$2:$A$2436,0)),"")</f>
        <v>Kids  0/4
coach: –</v>
      </c>
      <c r="E62" s="60" t="str">
        <f aca="false">IFERROR(INDEX('Master Data'!$M$2:$M$2436,MATCH($B$3&amp;"|4|"&amp;E$59&amp;"|"&amp;$A62,'Master Data'!$A$2:$A$2436,0)),"")</f>
        <v>Kids  0/4
coach: –</v>
      </c>
      <c r="F62" s="60" t="str">
        <f aca="false">IFERROR(INDEX('Master Data'!$M$2:$M$2436,MATCH($B$3&amp;"|4|"&amp;F$59&amp;"|"&amp;$A62,'Master Data'!$A$2:$A$2436,0)),"")</f>
        <v>Kids  0/4
coach: –</v>
      </c>
      <c r="G62" s="60" t="str">
        <f aca="false">IFERROR(INDEX('Master Data'!$M$2:$M$2436,MATCH($B$3&amp;"|4|"&amp;G$59&amp;"|"&amp;$A62,'Master Data'!$A$2:$A$2436,0)),"")</f>
        <v>Kids  3/4
coach: Alfi</v>
      </c>
      <c r="H62" s="60" t="str">
        <f aca="false">IFERROR(INDEX('Master Data'!$M$2:$M$2436,MATCH($B$3&amp;"|4|"&amp;H$59&amp;"|"&amp;$A62,'Master Data'!$A$2:$A$2436,0)),"")</f>
        <v>Kids  0/4
coach: –</v>
      </c>
      <c r="T62" s="61" t="str">
        <f aca="false">IFERROR(INDEX('Master Data'!$L$2:$L$2436,MATCH($B$3&amp;"|4|"&amp;B$59&amp;"|"&amp;$A62,'Master Data'!$A$2:$A$2436,0)),"")</f>
        <v>Belum terisi</v>
      </c>
      <c r="U62" s="61" t="str">
        <f aca="false">IFERROR(INDEX('Master Data'!$L$2:$L$2436,MATCH($B$3&amp;"|4|"&amp;C$59&amp;"|"&amp;$A62,'Master Data'!$A$2:$A$2436,0)),"")</f>
        <v>Belum terisi</v>
      </c>
      <c r="V62" s="61" t="str">
        <f aca="false">IFERROR(INDEX('Master Data'!$L$2:$L$2436,MATCH($B$3&amp;"|4|"&amp;D$59&amp;"|"&amp;$A62,'Master Data'!$A$2:$A$2436,0)),"")</f>
        <v>Belum terisi</v>
      </c>
      <c r="W62" s="61" t="str">
        <f aca="false">IFERROR(INDEX('Master Data'!$L$2:$L$2436,MATCH($B$3&amp;"|4|"&amp;E$59&amp;"|"&amp;$A62,'Master Data'!$A$2:$A$2436,0)),"")</f>
        <v>Belum terisi</v>
      </c>
      <c r="X62" s="61" t="str">
        <f aca="false">IFERROR(INDEX('Master Data'!$L$2:$L$2436,MATCH($B$3&amp;"|4|"&amp;F$59&amp;"|"&amp;$A62,'Master Data'!$A$2:$A$2436,0)),"")</f>
        <v>Belum terisi</v>
      </c>
      <c r="Y62" s="61" t="str">
        <f aca="false">IFERROR(INDEX('Master Data'!$L$2:$L$2436,MATCH($B$3&amp;"|4|"&amp;G$59&amp;"|"&amp;$A62,'Master Data'!$A$2:$A$2436,0)),"")</f>
        <v>Sebagian</v>
      </c>
      <c r="Z62" s="61" t="str">
        <f aca="false">IFERROR(INDEX('Master Data'!$L$2:$L$2436,MATCH($B$3&amp;"|4|"&amp;H$59&amp;"|"&amp;$A62,'Master Data'!$A$2:$A$2436,0)),"")</f>
        <v>Belum terisi</v>
      </c>
    </row>
    <row r="63" customFormat="false" ht="30" hidden="false" customHeight="true" outlineLevel="0" collapsed="false">
      <c r="A63" s="59" t="s">
        <v>99</v>
      </c>
      <c r="B63" s="60" t="str">
        <f aca="false">IFERROR(INDEX('Master Data'!$M$2:$M$2436,MATCH($B$3&amp;"|4|"&amp;B$59&amp;"|"&amp;$A63,'Master Data'!$A$2:$A$2436,0)),"")</f>
        <v>Kids  0/4
coach: –</v>
      </c>
      <c r="C63" s="60" t="str">
        <f aca="false">IFERROR(INDEX('Master Data'!$M$2:$M$2436,MATCH($B$3&amp;"|4|"&amp;C$59&amp;"|"&amp;$A63,'Master Data'!$A$2:$A$2436,0)),"")</f>
        <v>Kids  0/4
coach: –</v>
      </c>
      <c r="D63" s="60" t="str">
        <f aca="false">IFERROR(INDEX('Master Data'!$M$2:$M$2436,MATCH($B$3&amp;"|4|"&amp;D$59&amp;"|"&amp;$A63,'Master Data'!$A$2:$A$2436,0)),"")</f>
        <v>Kids  0/4
coach: –</v>
      </c>
      <c r="E63" s="60" t="str">
        <f aca="false">IFERROR(INDEX('Master Data'!$M$2:$M$2436,MATCH($B$3&amp;"|4|"&amp;E$59&amp;"|"&amp;$A63,'Master Data'!$A$2:$A$2436,0)),"")</f>
        <v>Kids  0/4
coach: –</v>
      </c>
      <c r="F63" s="60" t="str">
        <f aca="false">IFERROR(INDEX('Master Data'!$M$2:$M$2436,MATCH($B$3&amp;"|4|"&amp;F$59&amp;"|"&amp;$A63,'Master Data'!$A$2:$A$2436,0)),"")</f>
        <v>Kids  0/4
coach: –</v>
      </c>
      <c r="G63" s="60" t="str">
        <f aca="false">IFERROR(INDEX('Master Data'!$M$2:$M$2436,MATCH($B$3&amp;"|4|"&amp;G$59&amp;"|"&amp;$A63,'Master Data'!$A$2:$A$2436,0)),"")</f>
        <v>Kids  2/4
coach: Doni</v>
      </c>
      <c r="H63" s="60" t="str">
        <f aca="false">IFERROR(INDEX('Master Data'!$M$2:$M$2436,MATCH($B$3&amp;"|4|"&amp;H$59&amp;"|"&amp;$A63,'Master Data'!$A$2:$A$2436,0)),"")</f>
        <v>Kids  0/4
coach: –</v>
      </c>
      <c r="T63" s="61" t="str">
        <f aca="false">IFERROR(INDEX('Master Data'!$L$2:$L$2436,MATCH($B$3&amp;"|4|"&amp;B$59&amp;"|"&amp;$A63,'Master Data'!$A$2:$A$2436,0)),"")</f>
        <v>Belum terisi</v>
      </c>
      <c r="U63" s="61" t="str">
        <f aca="false">IFERROR(INDEX('Master Data'!$L$2:$L$2436,MATCH($B$3&amp;"|4|"&amp;C$59&amp;"|"&amp;$A63,'Master Data'!$A$2:$A$2436,0)),"")</f>
        <v>Belum terisi</v>
      </c>
      <c r="V63" s="61" t="str">
        <f aca="false">IFERROR(INDEX('Master Data'!$L$2:$L$2436,MATCH($B$3&amp;"|4|"&amp;D$59&amp;"|"&amp;$A63,'Master Data'!$A$2:$A$2436,0)),"")</f>
        <v>Belum terisi</v>
      </c>
      <c r="W63" s="61" t="str">
        <f aca="false">IFERROR(INDEX('Master Data'!$L$2:$L$2436,MATCH($B$3&amp;"|4|"&amp;E$59&amp;"|"&amp;$A63,'Master Data'!$A$2:$A$2436,0)),"")</f>
        <v>Belum terisi</v>
      </c>
      <c r="X63" s="61" t="str">
        <f aca="false">IFERROR(INDEX('Master Data'!$L$2:$L$2436,MATCH($B$3&amp;"|4|"&amp;F$59&amp;"|"&amp;$A63,'Master Data'!$A$2:$A$2436,0)),"")</f>
        <v>Belum terisi</v>
      </c>
      <c r="Y63" s="61" t="str">
        <f aca="false">IFERROR(INDEX('Master Data'!$L$2:$L$2436,MATCH($B$3&amp;"|4|"&amp;G$59&amp;"|"&amp;$A63,'Master Data'!$A$2:$A$2436,0)),"")</f>
        <v>Sebagian</v>
      </c>
      <c r="Z63" s="61" t="str">
        <f aca="false">IFERROR(INDEX('Master Data'!$L$2:$L$2436,MATCH($B$3&amp;"|4|"&amp;H$59&amp;"|"&amp;$A63,'Master Data'!$A$2:$A$2436,0)),"")</f>
        <v>Belum terisi</v>
      </c>
    </row>
    <row r="64" customFormat="false" ht="30" hidden="false" customHeight="true" outlineLevel="0" collapsed="false">
      <c r="A64" s="59" t="s">
        <v>100</v>
      </c>
      <c r="B64" s="60" t="str">
        <f aca="false">IFERROR(INDEX('Master Data'!$M$2:$M$2436,MATCH($B$3&amp;"|4|"&amp;B$59&amp;"|"&amp;$A64,'Master Data'!$A$2:$A$2436,0)),"")</f>
        <v>Kids  0/4
coach: –</v>
      </c>
      <c r="C64" s="60" t="str">
        <f aca="false">IFERROR(INDEX('Master Data'!$M$2:$M$2436,MATCH($B$3&amp;"|4|"&amp;C$59&amp;"|"&amp;$A64,'Master Data'!$A$2:$A$2436,0)),"")</f>
        <v>Kids  0/4
coach: –</v>
      </c>
      <c r="D64" s="60" t="str">
        <f aca="false">IFERROR(INDEX('Master Data'!$M$2:$M$2436,MATCH($B$3&amp;"|4|"&amp;D$59&amp;"|"&amp;$A64,'Master Data'!$A$2:$A$2436,0)),"")</f>
        <v>Kids  1/4
coach: Maulana</v>
      </c>
      <c r="E64" s="60" t="str">
        <f aca="false">IFERROR(INDEX('Master Data'!$M$2:$M$2436,MATCH($B$3&amp;"|4|"&amp;E$59&amp;"|"&amp;$A64,'Master Data'!$A$2:$A$2436,0)),"")</f>
        <v>Kids  0/4
coach: –</v>
      </c>
      <c r="F64" s="60" t="str">
        <f aca="false">IFERROR(INDEX('Master Data'!$M$2:$M$2436,MATCH($B$3&amp;"|4|"&amp;F$59&amp;"|"&amp;$A64,'Master Data'!$A$2:$A$2436,0)),"")</f>
        <v>Kids  0/4
coach: –</v>
      </c>
      <c r="G64" s="60" t="str">
        <f aca="false">IFERROR(INDEX('Master Data'!$M$2:$M$2436,MATCH($B$3&amp;"|4|"&amp;G$59&amp;"|"&amp;$A64,'Master Data'!$A$2:$A$2436,0)),"")</f>
        <v>Kids  0/4
coach: –</v>
      </c>
      <c r="H64" s="60" t="str">
        <f aca="false">IFERROR(INDEX('Master Data'!$M$2:$M$2436,MATCH($B$3&amp;"|4|"&amp;H$59&amp;"|"&amp;$A64,'Master Data'!$A$2:$A$2436,0)),"")</f>
        <v>Kids  0/4
coach: –</v>
      </c>
      <c r="T64" s="61" t="str">
        <f aca="false">IFERROR(INDEX('Master Data'!$L$2:$L$2436,MATCH($B$3&amp;"|4|"&amp;B$59&amp;"|"&amp;$A64,'Master Data'!$A$2:$A$2436,0)),"")</f>
        <v>Belum terisi</v>
      </c>
      <c r="U64" s="61" t="str">
        <f aca="false">IFERROR(INDEX('Master Data'!$L$2:$L$2436,MATCH($B$3&amp;"|4|"&amp;C$59&amp;"|"&amp;$A64,'Master Data'!$A$2:$A$2436,0)),"")</f>
        <v>Belum terisi</v>
      </c>
      <c r="V64" s="61" t="str">
        <f aca="false">IFERROR(INDEX('Master Data'!$L$2:$L$2436,MATCH($B$3&amp;"|4|"&amp;D$59&amp;"|"&amp;$A64,'Master Data'!$A$2:$A$2436,0)),"")</f>
        <v>Sebagian</v>
      </c>
      <c r="W64" s="61" t="str">
        <f aca="false">IFERROR(INDEX('Master Data'!$L$2:$L$2436,MATCH($B$3&amp;"|4|"&amp;E$59&amp;"|"&amp;$A64,'Master Data'!$A$2:$A$2436,0)),"")</f>
        <v>Belum terisi</v>
      </c>
      <c r="X64" s="61" t="str">
        <f aca="false">IFERROR(INDEX('Master Data'!$L$2:$L$2436,MATCH($B$3&amp;"|4|"&amp;F$59&amp;"|"&amp;$A64,'Master Data'!$A$2:$A$2436,0)),"")</f>
        <v>Belum terisi</v>
      </c>
      <c r="Y64" s="61" t="str">
        <f aca="false">IFERROR(INDEX('Master Data'!$L$2:$L$2436,MATCH($B$3&amp;"|4|"&amp;G$59&amp;"|"&amp;$A64,'Master Data'!$A$2:$A$2436,0)),"")</f>
        <v>Belum terisi</v>
      </c>
      <c r="Z64" s="61" t="str">
        <f aca="false">IFERROR(INDEX('Master Data'!$L$2:$L$2436,MATCH($B$3&amp;"|4|"&amp;H$59&amp;"|"&amp;$A64,'Master Data'!$A$2:$A$2436,0)),"")</f>
        <v>Belum terisi</v>
      </c>
    </row>
    <row r="65" customFormat="false" ht="30" hidden="false" customHeight="true" outlineLevel="0" collapsed="false">
      <c r="A65" s="59" t="s">
        <v>101</v>
      </c>
      <c r="B65" s="60" t="str">
        <f aca="false">IFERROR(INDEX('Master Data'!$M$2:$M$2436,MATCH($B$3&amp;"|4|"&amp;B$59&amp;"|"&amp;$A65,'Master Data'!$A$2:$A$2436,0)),"")</f>
        <v>Kids  0/4
coach: –</v>
      </c>
      <c r="C65" s="60" t="str">
        <f aca="false">IFERROR(INDEX('Master Data'!$M$2:$M$2436,MATCH($B$3&amp;"|4|"&amp;C$59&amp;"|"&amp;$A65,'Master Data'!$A$2:$A$2436,0)),"")</f>
        <v>Kids  0/4
coach: –</v>
      </c>
      <c r="D65" s="60" t="str">
        <f aca="false">IFERROR(INDEX('Master Data'!$M$2:$M$2436,MATCH($B$3&amp;"|4|"&amp;D$59&amp;"|"&amp;$A65,'Master Data'!$A$2:$A$2436,0)),"")</f>
        <v>Kids  0/4
coach: –</v>
      </c>
      <c r="E65" s="60" t="str">
        <f aca="false">IFERROR(INDEX('Master Data'!$M$2:$M$2436,MATCH($B$3&amp;"|4|"&amp;E$59&amp;"|"&amp;$A65,'Master Data'!$A$2:$A$2436,0)),"")</f>
        <v>Kids  0/4
coach: –</v>
      </c>
      <c r="F65" s="60" t="str">
        <f aca="false">IFERROR(INDEX('Master Data'!$M$2:$M$2436,MATCH($B$3&amp;"|4|"&amp;F$59&amp;"|"&amp;$A65,'Master Data'!$A$2:$A$2436,0)),"")</f>
        <v>Kids  0/4
coach: –</v>
      </c>
      <c r="G65" s="60" t="str">
        <f aca="false">IFERROR(INDEX('Master Data'!$M$2:$M$2436,MATCH($B$3&amp;"|4|"&amp;G$59&amp;"|"&amp;$A65,'Master Data'!$A$2:$A$2436,0)),"")</f>
        <v>Kids  0/4
coach: –</v>
      </c>
      <c r="H65" s="60" t="str">
        <f aca="false">IFERROR(INDEX('Master Data'!$M$2:$M$2436,MATCH($B$3&amp;"|4|"&amp;H$59&amp;"|"&amp;$A65,'Master Data'!$A$2:$A$2436,0)),"")</f>
        <v>Kids  0/4
coach: –</v>
      </c>
      <c r="T65" s="61" t="str">
        <f aca="false">IFERROR(INDEX('Master Data'!$L$2:$L$2436,MATCH($B$3&amp;"|4|"&amp;B$59&amp;"|"&amp;$A65,'Master Data'!$A$2:$A$2436,0)),"")</f>
        <v>Belum terisi</v>
      </c>
      <c r="U65" s="61" t="str">
        <f aca="false">IFERROR(INDEX('Master Data'!$L$2:$L$2436,MATCH($B$3&amp;"|4|"&amp;C$59&amp;"|"&amp;$A65,'Master Data'!$A$2:$A$2436,0)),"")</f>
        <v>Belum terisi</v>
      </c>
      <c r="V65" s="61" t="str">
        <f aca="false">IFERROR(INDEX('Master Data'!$L$2:$L$2436,MATCH($B$3&amp;"|4|"&amp;D$59&amp;"|"&amp;$A65,'Master Data'!$A$2:$A$2436,0)),"")</f>
        <v>Belum terisi</v>
      </c>
      <c r="W65" s="61" t="str">
        <f aca="false">IFERROR(INDEX('Master Data'!$L$2:$L$2436,MATCH($B$3&amp;"|4|"&amp;E$59&amp;"|"&amp;$A65,'Master Data'!$A$2:$A$2436,0)),"")</f>
        <v>Belum terisi</v>
      </c>
      <c r="X65" s="61" t="str">
        <f aca="false">IFERROR(INDEX('Master Data'!$L$2:$L$2436,MATCH($B$3&amp;"|4|"&amp;F$59&amp;"|"&amp;$A65,'Master Data'!$A$2:$A$2436,0)),"")</f>
        <v>Belum terisi</v>
      </c>
      <c r="Y65" s="61" t="str">
        <f aca="false">IFERROR(INDEX('Master Data'!$L$2:$L$2436,MATCH($B$3&amp;"|4|"&amp;G$59&amp;"|"&amp;$A65,'Master Data'!$A$2:$A$2436,0)),"")</f>
        <v>Belum terisi</v>
      </c>
      <c r="Z65" s="61" t="str">
        <f aca="false">IFERROR(INDEX('Master Data'!$L$2:$L$2436,MATCH($B$3&amp;"|4|"&amp;H$59&amp;"|"&amp;$A65,'Master Data'!$A$2:$A$2436,0)),"")</f>
        <v>Belum terisi</v>
      </c>
    </row>
    <row r="66" customFormat="false" ht="30" hidden="false" customHeight="true" outlineLevel="0" collapsed="false">
      <c r="A66" s="59" t="s">
        <v>102</v>
      </c>
      <c r="B66" s="60" t="str">
        <f aca="false">IFERROR(INDEX('Master Data'!$M$2:$M$2436,MATCH($B$3&amp;"|4|"&amp;B$59&amp;"|"&amp;$A66,'Master Data'!$A$2:$A$2436,0)),"")</f>
        <v>Kids  0/4
coach: –</v>
      </c>
      <c r="C66" s="60" t="str">
        <f aca="false">IFERROR(INDEX('Master Data'!$M$2:$M$2436,MATCH($B$3&amp;"|4|"&amp;C$59&amp;"|"&amp;$A66,'Master Data'!$A$2:$A$2436,0)),"")</f>
        <v>Kids  0/4
coach: –</v>
      </c>
      <c r="D66" s="60" t="str">
        <f aca="false">IFERROR(INDEX('Master Data'!$M$2:$M$2436,MATCH($B$3&amp;"|4|"&amp;D$59&amp;"|"&amp;$A66,'Master Data'!$A$2:$A$2436,0)),"")</f>
        <v>Kids  0/4
coach: –</v>
      </c>
      <c r="E66" s="60" t="str">
        <f aca="false">IFERROR(INDEX('Master Data'!$M$2:$M$2436,MATCH($B$3&amp;"|4|"&amp;E$59&amp;"|"&amp;$A66,'Master Data'!$A$2:$A$2436,0)),"")</f>
        <v>Kids  0/4
coach: –</v>
      </c>
      <c r="F66" s="60" t="str">
        <f aca="false">IFERROR(INDEX('Master Data'!$M$2:$M$2436,MATCH($B$3&amp;"|4|"&amp;F$59&amp;"|"&amp;$A66,'Master Data'!$A$2:$A$2436,0)),"")</f>
        <v>Kids  0/4
coach: –</v>
      </c>
      <c r="G66" s="60" t="str">
        <f aca="false">IFERROR(INDEX('Master Data'!$M$2:$M$2436,MATCH($B$3&amp;"|4|"&amp;G$59&amp;"|"&amp;$A66,'Master Data'!$A$2:$A$2436,0)),"")</f>
        <v>Kids  0/4
coach: –</v>
      </c>
      <c r="H66" s="60" t="str">
        <f aca="false">IFERROR(INDEX('Master Data'!$M$2:$M$2436,MATCH($B$3&amp;"|4|"&amp;H$59&amp;"|"&amp;$A66,'Master Data'!$A$2:$A$2436,0)),"")</f>
        <v>Kids  0/4
coach: –</v>
      </c>
      <c r="T66" s="61" t="str">
        <f aca="false">IFERROR(INDEX('Master Data'!$L$2:$L$2436,MATCH($B$3&amp;"|4|"&amp;B$59&amp;"|"&amp;$A66,'Master Data'!$A$2:$A$2436,0)),"")</f>
        <v>Belum terisi</v>
      </c>
      <c r="U66" s="61" t="str">
        <f aca="false">IFERROR(INDEX('Master Data'!$L$2:$L$2436,MATCH($B$3&amp;"|4|"&amp;C$59&amp;"|"&amp;$A66,'Master Data'!$A$2:$A$2436,0)),"")</f>
        <v>Belum terisi</v>
      </c>
      <c r="V66" s="61" t="str">
        <f aca="false">IFERROR(INDEX('Master Data'!$L$2:$L$2436,MATCH($B$3&amp;"|4|"&amp;D$59&amp;"|"&amp;$A66,'Master Data'!$A$2:$A$2436,0)),"")</f>
        <v>Belum terisi</v>
      </c>
      <c r="W66" s="61" t="str">
        <f aca="false">IFERROR(INDEX('Master Data'!$L$2:$L$2436,MATCH($B$3&amp;"|4|"&amp;E$59&amp;"|"&amp;$A66,'Master Data'!$A$2:$A$2436,0)),"")</f>
        <v>Belum terisi</v>
      </c>
      <c r="X66" s="61" t="str">
        <f aca="false">IFERROR(INDEX('Master Data'!$L$2:$L$2436,MATCH($B$3&amp;"|4|"&amp;F$59&amp;"|"&amp;$A66,'Master Data'!$A$2:$A$2436,0)),"")</f>
        <v>Belum terisi</v>
      </c>
      <c r="Y66" s="61" t="str">
        <f aca="false">IFERROR(INDEX('Master Data'!$L$2:$L$2436,MATCH($B$3&amp;"|4|"&amp;G$59&amp;"|"&amp;$A66,'Master Data'!$A$2:$A$2436,0)),"")</f>
        <v>Belum terisi</v>
      </c>
      <c r="Z66" s="61" t="str">
        <f aca="false">IFERROR(INDEX('Master Data'!$L$2:$L$2436,MATCH($B$3&amp;"|4|"&amp;H$59&amp;"|"&amp;$A66,'Master Data'!$A$2:$A$2436,0)),"")</f>
        <v>Belum terisi</v>
      </c>
    </row>
    <row r="67" customFormat="false" ht="30" hidden="false" customHeight="true" outlineLevel="0" collapsed="false">
      <c r="A67" s="59" t="s">
        <v>103</v>
      </c>
      <c r="B67" s="60" t="str">
        <f aca="false">IFERROR(INDEX('Master Data'!$M$2:$M$2436,MATCH($B$3&amp;"|4|"&amp;B$59&amp;"|"&amp;$A67,'Master Data'!$A$2:$A$2436,0)),"")</f>
        <v>Kids  1/4
coach: Doni</v>
      </c>
      <c r="C67" s="60" t="str">
        <f aca="false">IFERROR(INDEX('Master Data'!$M$2:$M$2436,MATCH($B$3&amp;"|4|"&amp;C$59&amp;"|"&amp;$A67,'Master Data'!$A$2:$A$2436,0)),"")</f>
        <v>Kids  0/4
coach: –</v>
      </c>
      <c r="D67" s="60" t="str">
        <f aca="false">IFERROR(INDEX('Master Data'!$M$2:$M$2436,MATCH($B$3&amp;"|4|"&amp;D$59&amp;"|"&amp;$A67,'Master Data'!$A$2:$A$2436,0)),"")</f>
        <v>Kids  0/4
coach: –</v>
      </c>
      <c r="E67" s="60" t="str">
        <f aca="false">IFERROR(INDEX('Master Data'!$M$2:$M$2436,MATCH($B$3&amp;"|4|"&amp;E$59&amp;"|"&amp;$A67,'Master Data'!$A$2:$A$2436,0)),"")</f>
        <v>Kids  0/4
coach: –</v>
      </c>
      <c r="F67" s="60" t="str">
        <f aca="false">IFERROR(INDEX('Master Data'!$M$2:$M$2436,MATCH($B$3&amp;"|4|"&amp;F$59&amp;"|"&amp;$A67,'Master Data'!$A$2:$A$2436,0)),"")</f>
        <v>Kids  3/4
coach: Alfi</v>
      </c>
      <c r="G67" s="60" t="str">
        <f aca="false">IFERROR(INDEX('Master Data'!$M$2:$M$2436,MATCH($B$3&amp;"|4|"&amp;G$59&amp;"|"&amp;$A67,'Master Data'!$A$2:$A$2436,0)),"")</f>
        <v>Kids  3/4
coach: Doni</v>
      </c>
      <c r="H67" s="60" t="str">
        <f aca="false">IFERROR(INDEX('Master Data'!$M$2:$M$2436,MATCH($B$3&amp;"|4|"&amp;H$59&amp;"|"&amp;$A67,'Master Data'!$A$2:$A$2436,0)),"")</f>
        <v>Kids  3/4
coach: Shofi</v>
      </c>
      <c r="T67" s="61" t="str">
        <f aca="false">IFERROR(INDEX('Master Data'!$L$2:$L$2436,MATCH($B$3&amp;"|4|"&amp;B$59&amp;"|"&amp;$A67,'Master Data'!$A$2:$A$2436,0)),"")</f>
        <v>Sebagian</v>
      </c>
      <c r="U67" s="61" t="str">
        <f aca="false">IFERROR(INDEX('Master Data'!$L$2:$L$2436,MATCH($B$3&amp;"|4|"&amp;C$59&amp;"|"&amp;$A67,'Master Data'!$A$2:$A$2436,0)),"")</f>
        <v>Belum terisi</v>
      </c>
      <c r="V67" s="61" t="str">
        <f aca="false">IFERROR(INDEX('Master Data'!$L$2:$L$2436,MATCH($B$3&amp;"|4|"&amp;D$59&amp;"|"&amp;$A67,'Master Data'!$A$2:$A$2436,0)),"")</f>
        <v>Belum terisi</v>
      </c>
      <c r="W67" s="61" t="str">
        <f aca="false">IFERROR(INDEX('Master Data'!$L$2:$L$2436,MATCH($B$3&amp;"|4|"&amp;E$59&amp;"|"&amp;$A67,'Master Data'!$A$2:$A$2436,0)),"")</f>
        <v>Belum terisi</v>
      </c>
      <c r="X67" s="61" t="str">
        <f aca="false">IFERROR(INDEX('Master Data'!$L$2:$L$2436,MATCH($B$3&amp;"|4|"&amp;F$59&amp;"|"&amp;$A67,'Master Data'!$A$2:$A$2436,0)),"")</f>
        <v>Sebagian</v>
      </c>
      <c r="Y67" s="61" t="str">
        <f aca="false">IFERROR(INDEX('Master Data'!$L$2:$L$2436,MATCH($B$3&amp;"|4|"&amp;G$59&amp;"|"&amp;$A67,'Master Data'!$A$2:$A$2436,0)),"")</f>
        <v>Sebagian</v>
      </c>
      <c r="Z67" s="61" t="str">
        <f aca="false">IFERROR(INDEX('Master Data'!$L$2:$L$2436,MATCH($B$3&amp;"|4|"&amp;H$59&amp;"|"&amp;$A67,'Master Data'!$A$2:$A$2436,0)),"")</f>
        <v>Sebagian</v>
      </c>
    </row>
    <row r="68" customFormat="false" ht="30" hidden="false" customHeight="true" outlineLevel="0" collapsed="false">
      <c r="A68" s="59" t="s">
        <v>104</v>
      </c>
      <c r="B68" s="60" t="str">
        <f aca="false">IFERROR(INDEX('Master Data'!$M$2:$M$2436,MATCH($B$3&amp;"|4|"&amp;B$59&amp;"|"&amp;$A68,'Master Data'!$A$2:$A$2436,0)),"")</f>
        <v>Kids  3/4
coach: Tara</v>
      </c>
      <c r="C68" s="60" t="str">
        <f aca="false">IFERROR(INDEX('Master Data'!$M$2:$M$2436,MATCH($B$3&amp;"|4|"&amp;C$59&amp;"|"&amp;$A68,'Master Data'!$A$2:$A$2436,0)),"")</f>
        <v>Kids  2/4
coach: Maulana</v>
      </c>
      <c r="D68" s="60" t="str">
        <f aca="false">IFERROR(INDEX('Master Data'!$M$2:$M$2436,MATCH($B$3&amp;"|4|"&amp;D$59&amp;"|"&amp;$A68,'Master Data'!$A$2:$A$2436,0)),"")</f>
        <v>Kids  3/4
coach: Maulana</v>
      </c>
      <c r="E68" s="60" t="str">
        <f aca="false">IFERROR(INDEX('Master Data'!$M$2:$M$2436,MATCH($B$3&amp;"|4|"&amp;E$59&amp;"|"&amp;$A68,'Master Data'!$A$2:$A$2436,0)),"")</f>
        <v>Kids  3/4
coach: Alfi</v>
      </c>
      <c r="F68" s="60" t="str">
        <f aca="false">IFERROR(INDEX('Master Data'!$M$2:$M$2436,MATCH($B$3&amp;"|4|"&amp;F$59&amp;"|"&amp;$A68,'Master Data'!$A$2:$A$2436,0)),"")</f>
        <v>Kids  4/4
coach: Shofi</v>
      </c>
      <c r="G68" s="60" t="str">
        <f aca="false">IFERROR(INDEX('Master Data'!$M$2:$M$2436,MATCH($B$3&amp;"|4|"&amp;G$59&amp;"|"&amp;$A68,'Master Data'!$A$2:$A$2436,0)),"")</f>
        <v>Kids  1/4
coach: Aldi</v>
      </c>
      <c r="H68" s="60" t="str">
        <f aca="false">IFERROR(INDEX('Master Data'!$M$2:$M$2436,MATCH($B$3&amp;"|4|"&amp;H$59&amp;"|"&amp;$A68,'Master Data'!$A$2:$A$2436,0)),"")</f>
        <v>Kids  0/4
coach: –</v>
      </c>
      <c r="T68" s="61" t="str">
        <f aca="false">IFERROR(INDEX('Master Data'!$L$2:$L$2436,MATCH($B$3&amp;"|4|"&amp;B$59&amp;"|"&amp;$A68,'Master Data'!$A$2:$A$2436,0)),"")</f>
        <v>Sebagian</v>
      </c>
      <c r="U68" s="61" t="str">
        <f aca="false">IFERROR(INDEX('Master Data'!$L$2:$L$2436,MATCH($B$3&amp;"|4|"&amp;C$59&amp;"|"&amp;$A68,'Master Data'!$A$2:$A$2436,0)),"")</f>
        <v>Sebagian</v>
      </c>
      <c r="V68" s="61" t="str">
        <f aca="false">IFERROR(INDEX('Master Data'!$L$2:$L$2436,MATCH($B$3&amp;"|4|"&amp;D$59&amp;"|"&amp;$A68,'Master Data'!$A$2:$A$2436,0)),"")</f>
        <v>Sebagian</v>
      </c>
      <c r="W68" s="61" t="str">
        <f aca="false">IFERROR(INDEX('Master Data'!$L$2:$L$2436,MATCH($B$3&amp;"|4|"&amp;E$59&amp;"|"&amp;$A68,'Master Data'!$A$2:$A$2436,0)),"")</f>
        <v>Sebagian</v>
      </c>
      <c r="X68" s="61" t="str">
        <f aca="false">IFERROR(INDEX('Master Data'!$L$2:$L$2436,MATCH($B$3&amp;"|4|"&amp;F$59&amp;"|"&amp;$A68,'Master Data'!$A$2:$A$2436,0)),"")</f>
        <v>Penuh</v>
      </c>
      <c r="Y68" s="61" t="str">
        <f aca="false">IFERROR(INDEX('Master Data'!$L$2:$L$2436,MATCH($B$3&amp;"|4|"&amp;G$59&amp;"|"&amp;$A68,'Master Data'!$A$2:$A$2436,0)),"")</f>
        <v>Sebagian</v>
      </c>
      <c r="Z68" s="61" t="str">
        <f aca="false">IFERROR(INDEX('Master Data'!$L$2:$L$2436,MATCH($B$3&amp;"|4|"&amp;H$59&amp;"|"&amp;$A68,'Master Data'!$A$2:$A$2436,0)),"")</f>
        <v>Belum terisi</v>
      </c>
    </row>
    <row r="69" customFormat="false" ht="30" hidden="false" customHeight="true" outlineLevel="0" collapsed="false">
      <c r="A69" s="59" t="s">
        <v>105</v>
      </c>
      <c r="B69" s="60" t="str">
        <f aca="false">IFERROR(INDEX('Master Data'!$M$2:$M$2436,MATCH($B$3&amp;"|4|"&amp;B$59&amp;"|"&amp;$A69,'Master Data'!$A$2:$A$2436,0)),"")</f>
        <v>Kids  4/4
coach: Maulana</v>
      </c>
      <c r="C69" s="60" t="str">
        <f aca="false">IFERROR(INDEX('Master Data'!$M$2:$M$2436,MATCH($B$3&amp;"|4|"&amp;C$59&amp;"|"&amp;$A69,'Master Data'!$A$2:$A$2436,0)),"")</f>
        <v>Kids  0/4
coach: –</v>
      </c>
      <c r="D69" s="60" t="str">
        <f aca="false">IFERROR(INDEX('Master Data'!$M$2:$M$2436,MATCH($B$3&amp;"|4|"&amp;D$59&amp;"|"&amp;$A69,'Master Data'!$A$2:$A$2436,0)),"")</f>
        <v>Kids  0/4
coach: –</v>
      </c>
      <c r="E69" s="60" t="str">
        <f aca="false">IFERROR(INDEX('Master Data'!$M$2:$M$2436,MATCH($B$3&amp;"|4|"&amp;E$59&amp;"|"&amp;$A69,'Master Data'!$A$2:$A$2436,0)),"")</f>
        <v>Kids  3/4
coach: Alfi</v>
      </c>
      <c r="F69" s="60" t="str">
        <f aca="false">IFERROR(INDEX('Master Data'!$M$2:$M$2436,MATCH($B$3&amp;"|4|"&amp;F$59&amp;"|"&amp;$A69,'Master Data'!$A$2:$A$2436,0)),"")</f>
        <v>Kids  2/4
coach: Alfi</v>
      </c>
      <c r="G69" s="60" t="str">
        <f aca="false">IFERROR(INDEX('Master Data'!$M$2:$M$2436,MATCH($B$3&amp;"|4|"&amp;G$59&amp;"|"&amp;$A69,'Master Data'!$A$2:$A$2436,0)),"")</f>
        <v>Kids  0/4
coach: –</v>
      </c>
      <c r="H69" s="60" t="str">
        <f aca="false">IFERROR(INDEX('Master Data'!$M$2:$M$2436,MATCH($B$3&amp;"|4|"&amp;H$59&amp;"|"&amp;$A69,'Master Data'!$A$2:$A$2436,0)),"")</f>
        <v>Kids  1/4
coach: Maulana</v>
      </c>
      <c r="T69" s="61" t="str">
        <f aca="false">IFERROR(INDEX('Master Data'!$L$2:$L$2436,MATCH($B$3&amp;"|4|"&amp;B$59&amp;"|"&amp;$A69,'Master Data'!$A$2:$A$2436,0)),"")</f>
        <v>Penuh</v>
      </c>
      <c r="U69" s="61" t="str">
        <f aca="false">IFERROR(INDEX('Master Data'!$L$2:$L$2436,MATCH($B$3&amp;"|4|"&amp;C$59&amp;"|"&amp;$A69,'Master Data'!$A$2:$A$2436,0)),"")</f>
        <v>Belum terisi</v>
      </c>
      <c r="V69" s="61" t="str">
        <f aca="false">IFERROR(INDEX('Master Data'!$L$2:$L$2436,MATCH($B$3&amp;"|4|"&amp;D$59&amp;"|"&amp;$A69,'Master Data'!$A$2:$A$2436,0)),"")</f>
        <v>Belum terisi</v>
      </c>
      <c r="W69" s="61" t="str">
        <f aca="false">IFERROR(INDEX('Master Data'!$L$2:$L$2436,MATCH($B$3&amp;"|4|"&amp;E$59&amp;"|"&amp;$A69,'Master Data'!$A$2:$A$2436,0)),"")</f>
        <v>Sebagian</v>
      </c>
      <c r="X69" s="61" t="str">
        <f aca="false">IFERROR(INDEX('Master Data'!$L$2:$L$2436,MATCH($B$3&amp;"|4|"&amp;F$59&amp;"|"&amp;$A69,'Master Data'!$A$2:$A$2436,0)),"")</f>
        <v>Sebagian</v>
      </c>
      <c r="Y69" s="61" t="str">
        <f aca="false">IFERROR(INDEX('Master Data'!$L$2:$L$2436,MATCH($B$3&amp;"|4|"&amp;G$59&amp;"|"&amp;$A69,'Master Data'!$A$2:$A$2436,0)),"")</f>
        <v>Belum terisi</v>
      </c>
      <c r="Z69" s="61" t="str">
        <f aca="false">IFERROR(INDEX('Master Data'!$L$2:$L$2436,MATCH($B$3&amp;"|4|"&amp;H$59&amp;"|"&amp;$A69,'Master Data'!$A$2:$A$2436,0)),"")</f>
        <v>Sebagian</v>
      </c>
    </row>
    <row r="70" customFormat="false" ht="30" hidden="false" customHeight="true" outlineLevel="0" collapsed="false">
      <c r="A70" s="59" t="s">
        <v>106</v>
      </c>
      <c r="B70" s="60" t="str">
        <f aca="false">IFERROR(INDEX('Master Data'!$M$2:$M$2436,MATCH($B$3&amp;"|4|"&amp;B$59&amp;"|"&amp;$A70,'Master Data'!$A$2:$A$2436,0)),"")</f>
        <v>Kids  4/4
coach: Maulana</v>
      </c>
      <c r="C70" s="60" t="str">
        <f aca="false">IFERROR(INDEX('Master Data'!$M$2:$M$2436,MATCH($B$3&amp;"|4|"&amp;C$59&amp;"|"&amp;$A70,'Master Data'!$A$2:$A$2436,0)),"")</f>
        <v>Kids  1/4
coach: Tara</v>
      </c>
      <c r="D70" s="60" t="str">
        <f aca="false">IFERROR(INDEX('Master Data'!$M$2:$M$2436,MATCH($B$3&amp;"|4|"&amp;D$59&amp;"|"&amp;$A70,'Master Data'!$A$2:$A$2436,0)),"")</f>
        <v>Kids  4/4
coach: Shofi</v>
      </c>
      <c r="E70" s="60" t="str">
        <f aca="false">IFERROR(INDEX('Master Data'!$M$2:$M$2436,MATCH($B$3&amp;"|4|"&amp;E$59&amp;"|"&amp;$A70,'Master Data'!$A$2:$A$2436,0)),"")</f>
        <v>Kids  3/4
coach: Bagas</v>
      </c>
      <c r="F70" s="60" t="str">
        <f aca="false">IFERROR(INDEX('Master Data'!$M$2:$M$2436,MATCH($B$3&amp;"|4|"&amp;F$59&amp;"|"&amp;$A70,'Master Data'!$A$2:$A$2436,0)),"")</f>
        <v>Kids  4/4
coach: Alfi</v>
      </c>
      <c r="G70" s="60" t="str">
        <f aca="false">IFERROR(INDEX('Master Data'!$M$2:$M$2436,MATCH($B$3&amp;"|4|"&amp;G$59&amp;"|"&amp;$A70,'Master Data'!$A$2:$A$2436,0)),"")</f>
        <v>Kids  3/4
coach: Maulana</v>
      </c>
      <c r="H70" s="60" t="str">
        <f aca="false">IFERROR(INDEX('Master Data'!$M$2:$M$2436,MATCH($B$3&amp;"|4|"&amp;H$59&amp;"|"&amp;$A70,'Master Data'!$A$2:$A$2436,0)),"")</f>
        <v>Kids  0/4
coach: –</v>
      </c>
      <c r="T70" s="61" t="str">
        <f aca="false">IFERROR(INDEX('Master Data'!$L$2:$L$2436,MATCH($B$3&amp;"|4|"&amp;B$59&amp;"|"&amp;$A70,'Master Data'!$A$2:$A$2436,0)),"")</f>
        <v>Penuh</v>
      </c>
      <c r="U70" s="61" t="str">
        <f aca="false">IFERROR(INDEX('Master Data'!$L$2:$L$2436,MATCH($B$3&amp;"|4|"&amp;C$59&amp;"|"&amp;$A70,'Master Data'!$A$2:$A$2436,0)),"")</f>
        <v>Sebagian</v>
      </c>
      <c r="V70" s="61" t="str">
        <f aca="false">IFERROR(INDEX('Master Data'!$L$2:$L$2436,MATCH($B$3&amp;"|4|"&amp;D$59&amp;"|"&amp;$A70,'Master Data'!$A$2:$A$2436,0)),"")</f>
        <v>Penuh</v>
      </c>
      <c r="W70" s="61" t="str">
        <f aca="false">IFERROR(INDEX('Master Data'!$L$2:$L$2436,MATCH($B$3&amp;"|4|"&amp;E$59&amp;"|"&amp;$A70,'Master Data'!$A$2:$A$2436,0)),"")</f>
        <v>Sebagian</v>
      </c>
      <c r="X70" s="61" t="str">
        <f aca="false">IFERROR(INDEX('Master Data'!$L$2:$L$2436,MATCH($B$3&amp;"|4|"&amp;F$59&amp;"|"&amp;$A70,'Master Data'!$A$2:$A$2436,0)),"")</f>
        <v>Penuh</v>
      </c>
      <c r="Y70" s="61" t="str">
        <f aca="false">IFERROR(INDEX('Master Data'!$L$2:$L$2436,MATCH($B$3&amp;"|4|"&amp;G$59&amp;"|"&amp;$A70,'Master Data'!$A$2:$A$2436,0)),"")</f>
        <v>Sebagian</v>
      </c>
      <c r="Z70" s="61" t="str">
        <f aca="false">IFERROR(INDEX('Master Data'!$L$2:$L$2436,MATCH($B$3&amp;"|4|"&amp;H$59&amp;"|"&amp;$A70,'Master Data'!$A$2:$A$2436,0)),"")</f>
        <v>Belum terisi</v>
      </c>
    </row>
    <row r="71" customFormat="false" ht="30" hidden="false" customHeight="true" outlineLevel="0" collapsed="false">
      <c r="A71" s="59" t="s">
        <v>107</v>
      </c>
      <c r="B71" s="60" t="str">
        <f aca="false">IFERROR(INDEX('Master Data'!$M$2:$M$2436,MATCH($B$3&amp;"|4|"&amp;B$59&amp;"|"&amp;$A71,'Master Data'!$A$2:$A$2436,0)),"")</f>
        <v>Kids  0/4
coach: –</v>
      </c>
      <c r="C71" s="60" t="str">
        <f aca="false">IFERROR(INDEX('Master Data'!$M$2:$M$2436,MATCH($B$3&amp;"|4|"&amp;C$59&amp;"|"&amp;$A71,'Master Data'!$A$2:$A$2436,0)),"")</f>
        <v>Kids  0/4
coach: –</v>
      </c>
      <c r="D71" s="60" t="str">
        <f aca="false">IFERROR(INDEX('Master Data'!$M$2:$M$2436,MATCH($B$3&amp;"|4|"&amp;D$59&amp;"|"&amp;$A71,'Master Data'!$A$2:$A$2436,0)),"")</f>
        <v>Kids  0/4
coach: –</v>
      </c>
      <c r="E71" s="60" t="str">
        <f aca="false">IFERROR(INDEX('Master Data'!$M$2:$M$2436,MATCH($B$3&amp;"|4|"&amp;E$59&amp;"|"&amp;$A71,'Master Data'!$A$2:$A$2436,0)),"")</f>
        <v>Kids  1/4
coach: Aldi</v>
      </c>
      <c r="F71" s="60" t="str">
        <f aca="false">IFERROR(INDEX('Master Data'!$M$2:$M$2436,MATCH($B$3&amp;"|4|"&amp;F$59&amp;"|"&amp;$A71,'Master Data'!$A$2:$A$2436,0)),"")</f>
        <v>Kids  4/4
coach: Bagas</v>
      </c>
      <c r="G71" s="60" t="str">
        <f aca="false">IFERROR(INDEX('Master Data'!$M$2:$M$2436,MATCH($B$3&amp;"|4|"&amp;G$59&amp;"|"&amp;$A71,'Master Data'!$A$2:$A$2436,0)),"")</f>
        <v>Kids  0/4
coach: –</v>
      </c>
      <c r="H71" s="60" t="str">
        <f aca="false">IFERROR(INDEX('Master Data'!$M$2:$M$2436,MATCH($B$3&amp;"|4|"&amp;H$59&amp;"|"&amp;$A71,'Master Data'!$A$2:$A$2436,0)),"")</f>
        <v>Kids  0/4
coach: –</v>
      </c>
      <c r="T71" s="61" t="str">
        <f aca="false">IFERROR(INDEX('Master Data'!$L$2:$L$2436,MATCH($B$3&amp;"|4|"&amp;B$59&amp;"|"&amp;$A71,'Master Data'!$A$2:$A$2436,0)),"")</f>
        <v>Belum terisi</v>
      </c>
      <c r="U71" s="61" t="str">
        <f aca="false">IFERROR(INDEX('Master Data'!$L$2:$L$2436,MATCH($B$3&amp;"|4|"&amp;C$59&amp;"|"&amp;$A71,'Master Data'!$A$2:$A$2436,0)),"")</f>
        <v>Belum terisi</v>
      </c>
      <c r="V71" s="61" t="str">
        <f aca="false">IFERROR(INDEX('Master Data'!$L$2:$L$2436,MATCH($B$3&amp;"|4|"&amp;D$59&amp;"|"&amp;$A71,'Master Data'!$A$2:$A$2436,0)),"")</f>
        <v>Belum terisi</v>
      </c>
      <c r="W71" s="61" t="str">
        <f aca="false">IFERROR(INDEX('Master Data'!$L$2:$L$2436,MATCH($B$3&amp;"|4|"&amp;E$59&amp;"|"&amp;$A71,'Master Data'!$A$2:$A$2436,0)),"")</f>
        <v>Sebagian</v>
      </c>
      <c r="X71" s="61" t="str">
        <f aca="false">IFERROR(INDEX('Master Data'!$L$2:$L$2436,MATCH($B$3&amp;"|4|"&amp;F$59&amp;"|"&amp;$A71,'Master Data'!$A$2:$A$2436,0)),"")</f>
        <v>Penuh</v>
      </c>
      <c r="Y71" s="61" t="str">
        <f aca="false">IFERROR(INDEX('Master Data'!$L$2:$L$2436,MATCH($B$3&amp;"|4|"&amp;G$59&amp;"|"&amp;$A71,'Master Data'!$A$2:$A$2436,0)),"")</f>
        <v>Belum terisi</v>
      </c>
      <c r="Z71" s="61" t="str">
        <f aca="false">IFERROR(INDEX('Master Data'!$L$2:$L$2436,MATCH($B$3&amp;"|4|"&amp;H$59&amp;"|"&amp;$A71,'Master Data'!$A$2:$A$2436,0)),"")</f>
        <v>Belum terisi</v>
      </c>
    </row>
    <row r="73" customFormat="false" ht="16.15" hidden="false" customHeight="false" outlineLevel="0" collapsed="false">
      <c r="A73" s="54" t="s">
        <v>123</v>
      </c>
      <c r="B73" s="55"/>
      <c r="C73" s="56" t="str">
        <f aca="false">"Utilisasi lane: "&amp;IFERROR(TEXT(SUMIFS('Master Data'!$H$2:$H$2436,'Master Data'!$B$2:$B$2436,$B$3,'Master Data'!$C$2:$C$2436,5,'Master Data'!$G$2:$G$2436,"&gt;0")/SUMIFS('Master Data'!$G$2:$G$2436,'Master Data'!$B$2:$B$2436,$B$3,'Master Data'!$C$2:$C$2436,5,'Master Data'!$G$2:$G$2436,"&gt;0"),"0%"),"–")&amp;"   ·   Belum terisi: "&amp;COUNTIFS('Master Data'!$B$2:$B$2436,$B$3,'Master Data'!$C$2:$C$2436,5,'Master Data'!$L$2:$L$2436,"Belum terisi")&amp;"   ·   Slot kosong: "&amp;COUNTIFS('Master Data'!$B$2:$B$2436,$B$3,'Master Data'!$C$2:$C$2436,5,'Master Data'!$L$2:$L$2436,"Slot kosong")</f>
        <v>Utilisasi lane: 0%   ·   Belum terisi: 0   ·   Slot kosong: 84</v>
      </c>
      <c r="D73" s="55"/>
      <c r="E73" s="55"/>
      <c r="F73" s="55"/>
      <c r="G73" s="55"/>
      <c r="H73" s="55"/>
    </row>
    <row r="74" customFormat="false" ht="15" hidden="false" customHeight="false" outlineLevel="0" collapsed="false">
      <c r="A74" s="57" t="s">
        <v>89</v>
      </c>
      <c r="B74" s="58" t="s">
        <v>90</v>
      </c>
      <c r="C74" s="58" t="s">
        <v>91</v>
      </c>
      <c r="D74" s="58" t="s">
        <v>92</v>
      </c>
      <c r="E74" s="58" t="s">
        <v>93</v>
      </c>
      <c r="F74" s="58" t="s">
        <v>94</v>
      </c>
      <c r="G74" s="58" t="s">
        <v>95</v>
      </c>
      <c r="H74" s="58" t="s">
        <v>78</v>
      </c>
    </row>
    <row r="75" customFormat="false" ht="30" hidden="false" customHeight="true" outlineLevel="0" collapsed="false">
      <c r="A75" s="59" t="s">
        <v>110</v>
      </c>
      <c r="B75" s="60" t="str">
        <f aca="false">IFERROR(INDEX('Master Data'!$M$2:$M$2436,MATCH($B$3&amp;"|5|"&amp;B$74&amp;"|"&amp;$A75,'Master Data'!$A$2:$A$2436,0)),"")</f>
        <v>(tanpa age group)  0/4
coach: –</v>
      </c>
      <c r="C75" s="60" t="str">
        <f aca="false">IFERROR(INDEX('Master Data'!$M$2:$M$2436,MATCH($B$3&amp;"|5|"&amp;C$74&amp;"|"&amp;$A75,'Master Data'!$A$2:$A$2436,0)),"")</f>
        <v>(tanpa age group)  0/4
coach: –</v>
      </c>
      <c r="D75" s="60" t="str">
        <f aca="false">IFERROR(INDEX('Master Data'!$M$2:$M$2436,MATCH($B$3&amp;"|5|"&amp;D$74&amp;"|"&amp;$A75,'Master Data'!$A$2:$A$2436,0)),"")</f>
        <v>(tanpa age group)  0/4
coach: –</v>
      </c>
      <c r="E75" s="60" t="str">
        <f aca="false">IFERROR(INDEX('Master Data'!$M$2:$M$2436,MATCH($B$3&amp;"|5|"&amp;E$74&amp;"|"&amp;$A75,'Master Data'!$A$2:$A$2436,0)),"")</f>
        <v>(tanpa age group)  0/4
coach: –</v>
      </c>
      <c r="F75" s="60" t="str">
        <f aca="false">IFERROR(INDEX('Master Data'!$M$2:$M$2436,MATCH($B$3&amp;"|5|"&amp;F$74&amp;"|"&amp;$A75,'Master Data'!$A$2:$A$2436,0)),"")</f>
        <v>(tanpa age group)  0/4
coach: –</v>
      </c>
      <c r="G75" s="60" t="str">
        <f aca="false">IFERROR(INDEX('Master Data'!$M$2:$M$2436,MATCH($B$3&amp;"|5|"&amp;G$74&amp;"|"&amp;$A75,'Master Data'!$A$2:$A$2436,0)),"")</f>
        <v>(tanpa age group)  0/4
coach: –</v>
      </c>
      <c r="H75" s="60" t="str">
        <f aca="false">IFERROR(INDEX('Master Data'!$M$2:$M$2436,MATCH($B$3&amp;"|5|"&amp;H$74&amp;"|"&amp;$A75,'Master Data'!$A$2:$A$2436,0)),"")</f>
        <v>(tanpa age group)  0/4
coach: –</v>
      </c>
      <c r="T75" s="61" t="str">
        <f aca="false">IFERROR(INDEX('Master Data'!$L$2:$L$2436,MATCH($B$3&amp;"|5|"&amp;B$74&amp;"|"&amp;$A75,'Master Data'!$A$2:$A$2436,0)),"")</f>
        <v>Slot kosong</v>
      </c>
      <c r="U75" s="61" t="str">
        <f aca="false">IFERROR(INDEX('Master Data'!$L$2:$L$2436,MATCH($B$3&amp;"|5|"&amp;C$74&amp;"|"&amp;$A75,'Master Data'!$A$2:$A$2436,0)),"")</f>
        <v>Slot kosong</v>
      </c>
      <c r="V75" s="61" t="str">
        <f aca="false">IFERROR(INDEX('Master Data'!$L$2:$L$2436,MATCH($B$3&amp;"|5|"&amp;D$74&amp;"|"&amp;$A75,'Master Data'!$A$2:$A$2436,0)),"")</f>
        <v>Slot kosong</v>
      </c>
      <c r="W75" s="61" t="str">
        <f aca="false">IFERROR(INDEX('Master Data'!$L$2:$L$2436,MATCH($B$3&amp;"|5|"&amp;E$74&amp;"|"&amp;$A75,'Master Data'!$A$2:$A$2436,0)),"")</f>
        <v>Slot kosong</v>
      </c>
      <c r="X75" s="61" t="str">
        <f aca="false">IFERROR(INDEX('Master Data'!$L$2:$L$2436,MATCH($B$3&amp;"|5|"&amp;F$74&amp;"|"&amp;$A75,'Master Data'!$A$2:$A$2436,0)),"")</f>
        <v>Slot kosong</v>
      </c>
      <c r="Y75" s="61" t="str">
        <f aca="false">IFERROR(INDEX('Master Data'!$L$2:$L$2436,MATCH($B$3&amp;"|5|"&amp;G$74&amp;"|"&amp;$A75,'Master Data'!$A$2:$A$2436,0)),"")</f>
        <v>Slot kosong</v>
      </c>
      <c r="Z75" s="61" t="str">
        <f aca="false">IFERROR(INDEX('Master Data'!$L$2:$L$2436,MATCH($B$3&amp;"|5|"&amp;H$74&amp;"|"&amp;$A75,'Master Data'!$A$2:$A$2436,0)),"")</f>
        <v>Slot kosong</v>
      </c>
    </row>
    <row r="76" customFormat="false" ht="30" hidden="false" customHeight="true" outlineLevel="0" collapsed="false">
      <c r="A76" s="59" t="s">
        <v>111</v>
      </c>
      <c r="B76" s="60" t="str">
        <f aca="false">IFERROR(INDEX('Master Data'!$M$2:$M$2436,MATCH($B$3&amp;"|5|"&amp;B$74&amp;"|"&amp;$A76,'Master Data'!$A$2:$A$2436,0)),"")</f>
        <v>(tanpa age group)  0/4
coach: –</v>
      </c>
      <c r="C76" s="60" t="str">
        <f aca="false">IFERROR(INDEX('Master Data'!$M$2:$M$2436,MATCH($B$3&amp;"|5|"&amp;C$74&amp;"|"&amp;$A76,'Master Data'!$A$2:$A$2436,0)),"")</f>
        <v>(tanpa age group)  0/4
coach: –</v>
      </c>
      <c r="D76" s="60" t="str">
        <f aca="false">IFERROR(INDEX('Master Data'!$M$2:$M$2436,MATCH($B$3&amp;"|5|"&amp;D$74&amp;"|"&amp;$A76,'Master Data'!$A$2:$A$2436,0)),"")</f>
        <v>(tanpa age group)  0/4
coach: –</v>
      </c>
      <c r="E76" s="60" t="str">
        <f aca="false">IFERROR(INDEX('Master Data'!$M$2:$M$2436,MATCH($B$3&amp;"|5|"&amp;E$74&amp;"|"&amp;$A76,'Master Data'!$A$2:$A$2436,0)),"")</f>
        <v>(tanpa age group)  0/4
coach: –</v>
      </c>
      <c r="F76" s="60" t="str">
        <f aca="false">IFERROR(INDEX('Master Data'!$M$2:$M$2436,MATCH($B$3&amp;"|5|"&amp;F$74&amp;"|"&amp;$A76,'Master Data'!$A$2:$A$2436,0)),"")</f>
        <v>(tanpa age group)  0/4
coach: –</v>
      </c>
      <c r="G76" s="60" t="str">
        <f aca="false">IFERROR(INDEX('Master Data'!$M$2:$M$2436,MATCH($B$3&amp;"|5|"&amp;G$74&amp;"|"&amp;$A76,'Master Data'!$A$2:$A$2436,0)),"")</f>
        <v>(tanpa age group)  0/4
coach: –</v>
      </c>
      <c r="H76" s="60" t="str">
        <f aca="false">IFERROR(INDEX('Master Data'!$M$2:$M$2436,MATCH($B$3&amp;"|5|"&amp;H$74&amp;"|"&amp;$A76,'Master Data'!$A$2:$A$2436,0)),"")</f>
        <v>(tanpa age group)  0/4
coach: –</v>
      </c>
      <c r="T76" s="61" t="str">
        <f aca="false">IFERROR(INDEX('Master Data'!$L$2:$L$2436,MATCH($B$3&amp;"|5|"&amp;B$74&amp;"|"&amp;$A76,'Master Data'!$A$2:$A$2436,0)),"")</f>
        <v>Slot kosong</v>
      </c>
      <c r="U76" s="61" t="str">
        <f aca="false">IFERROR(INDEX('Master Data'!$L$2:$L$2436,MATCH($B$3&amp;"|5|"&amp;C$74&amp;"|"&amp;$A76,'Master Data'!$A$2:$A$2436,0)),"")</f>
        <v>Slot kosong</v>
      </c>
      <c r="V76" s="61" t="str">
        <f aca="false">IFERROR(INDEX('Master Data'!$L$2:$L$2436,MATCH($B$3&amp;"|5|"&amp;D$74&amp;"|"&amp;$A76,'Master Data'!$A$2:$A$2436,0)),"")</f>
        <v>Slot kosong</v>
      </c>
      <c r="W76" s="61" t="str">
        <f aca="false">IFERROR(INDEX('Master Data'!$L$2:$L$2436,MATCH($B$3&amp;"|5|"&amp;E$74&amp;"|"&amp;$A76,'Master Data'!$A$2:$A$2436,0)),"")</f>
        <v>Slot kosong</v>
      </c>
      <c r="X76" s="61" t="str">
        <f aca="false">IFERROR(INDEX('Master Data'!$L$2:$L$2436,MATCH($B$3&amp;"|5|"&amp;F$74&amp;"|"&amp;$A76,'Master Data'!$A$2:$A$2436,0)),"")</f>
        <v>Slot kosong</v>
      </c>
      <c r="Y76" s="61" t="str">
        <f aca="false">IFERROR(INDEX('Master Data'!$L$2:$L$2436,MATCH($B$3&amp;"|5|"&amp;G$74&amp;"|"&amp;$A76,'Master Data'!$A$2:$A$2436,0)),"")</f>
        <v>Slot kosong</v>
      </c>
      <c r="Z76" s="61" t="str">
        <f aca="false">IFERROR(INDEX('Master Data'!$L$2:$L$2436,MATCH($B$3&amp;"|5|"&amp;H$74&amp;"|"&amp;$A76,'Master Data'!$A$2:$A$2436,0)),"")</f>
        <v>Slot kosong</v>
      </c>
    </row>
    <row r="77" customFormat="false" ht="30" hidden="false" customHeight="true" outlineLevel="0" collapsed="false">
      <c r="A77" s="59" t="s">
        <v>112</v>
      </c>
      <c r="B77" s="60" t="str">
        <f aca="false">IFERROR(INDEX('Master Data'!$M$2:$M$2436,MATCH($B$3&amp;"|5|"&amp;B$74&amp;"|"&amp;$A77,'Master Data'!$A$2:$A$2436,0)),"")</f>
        <v>(tanpa age group)  0/4
coach: –</v>
      </c>
      <c r="C77" s="60" t="str">
        <f aca="false">IFERROR(INDEX('Master Data'!$M$2:$M$2436,MATCH($B$3&amp;"|5|"&amp;C$74&amp;"|"&amp;$A77,'Master Data'!$A$2:$A$2436,0)),"")</f>
        <v>(tanpa age group)  0/4
coach: –</v>
      </c>
      <c r="D77" s="60" t="str">
        <f aca="false">IFERROR(INDEX('Master Data'!$M$2:$M$2436,MATCH($B$3&amp;"|5|"&amp;D$74&amp;"|"&amp;$A77,'Master Data'!$A$2:$A$2436,0)),"")</f>
        <v>(tanpa age group)  0/4
coach: –</v>
      </c>
      <c r="E77" s="60" t="str">
        <f aca="false">IFERROR(INDEX('Master Data'!$M$2:$M$2436,MATCH($B$3&amp;"|5|"&amp;E$74&amp;"|"&amp;$A77,'Master Data'!$A$2:$A$2436,0)),"")</f>
        <v>(tanpa age group)  0/4
coach: –</v>
      </c>
      <c r="F77" s="60" t="str">
        <f aca="false">IFERROR(INDEX('Master Data'!$M$2:$M$2436,MATCH($B$3&amp;"|5|"&amp;F$74&amp;"|"&amp;$A77,'Master Data'!$A$2:$A$2436,0)),"")</f>
        <v>(tanpa age group)  0/4
coach: –</v>
      </c>
      <c r="G77" s="60" t="str">
        <f aca="false">IFERROR(INDEX('Master Data'!$M$2:$M$2436,MATCH($B$3&amp;"|5|"&amp;G$74&amp;"|"&amp;$A77,'Master Data'!$A$2:$A$2436,0)),"")</f>
        <v>(tanpa age group)  0/4
coach: –</v>
      </c>
      <c r="H77" s="60" t="str">
        <f aca="false">IFERROR(INDEX('Master Data'!$M$2:$M$2436,MATCH($B$3&amp;"|5|"&amp;H$74&amp;"|"&amp;$A77,'Master Data'!$A$2:$A$2436,0)),"")</f>
        <v>(tanpa age group)  0/4
coach: –</v>
      </c>
      <c r="T77" s="61" t="str">
        <f aca="false">IFERROR(INDEX('Master Data'!$L$2:$L$2436,MATCH($B$3&amp;"|5|"&amp;B$74&amp;"|"&amp;$A77,'Master Data'!$A$2:$A$2436,0)),"")</f>
        <v>Slot kosong</v>
      </c>
      <c r="U77" s="61" t="str">
        <f aca="false">IFERROR(INDEX('Master Data'!$L$2:$L$2436,MATCH($B$3&amp;"|5|"&amp;C$74&amp;"|"&amp;$A77,'Master Data'!$A$2:$A$2436,0)),"")</f>
        <v>Slot kosong</v>
      </c>
      <c r="V77" s="61" t="str">
        <f aca="false">IFERROR(INDEX('Master Data'!$L$2:$L$2436,MATCH($B$3&amp;"|5|"&amp;D$74&amp;"|"&amp;$A77,'Master Data'!$A$2:$A$2436,0)),"")</f>
        <v>Slot kosong</v>
      </c>
      <c r="W77" s="61" t="str">
        <f aca="false">IFERROR(INDEX('Master Data'!$L$2:$L$2436,MATCH($B$3&amp;"|5|"&amp;E$74&amp;"|"&amp;$A77,'Master Data'!$A$2:$A$2436,0)),"")</f>
        <v>Slot kosong</v>
      </c>
      <c r="X77" s="61" t="str">
        <f aca="false">IFERROR(INDEX('Master Data'!$L$2:$L$2436,MATCH($B$3&amp;"|5|"&amp;F$74&amp;"|"&amp;$A77,'Master Data'!$A$2:$A$2436,0)),"")</f>
        <v>Slot kosong</v>
      </c>
      <c r="Y77" s="61" t="str">
        <f aca="false">IFERROR(INDEX('Master Data'!$L$2:$L$2436,MATCH($B$3&amp;"|5|"&amp;G$74&amp;"|"&amp;$A77,'Master Data'!$A$2:$A$2436,0)),"")</f>
        <v>Slot kosong</v>
      </c>
      <c r="Z77" s="61" t="str">
        <f aca="false">IFERROR(INDEX('Master Data'!$L$2:$L$2436,MATCH($B$3&amp;"|5|"&amp;H$74&amp;"|"&amp;$A77,'Master Data'!$A$2:$A$2436,0)),"")</f>
        <v>Slot kosong</v>
      </c>
    </row>
    <row r="78" customFormat="false" ht="30" hidden="false" customHeight="true" outlineLevel="0" collapsed="false">
      <c r="A78" s="59" t="s">
        <v>113</v>
      </c>
      <c r="B78" s="60" t="str">
        <f aca="false">IFERROR(INDEX('Master Data'!$M$2:$M$2436,MATCH($B$3&amp;"|5|"&amp;B$74&amp;"|"&amp;$A78,'Master Data'!$A$2:$A$2436,0)),"")</f>
        <v>(tanpa age group)  0/4
coach: –</v>
      </c>
      <c r="C78" s="60" t="str">
        <f aca="false">IFERROR(INDEX('Master Data'!$M$2:$M$2436,MATCH($B$3&amp;"|5|"&amp;C$74&amp;"|"&amp;$A78,'Master Data'!$A$2:$A$2436,0)),"")</f>
        <v>(tanpa age group)  0/4
coach: –</v>
      </c>
      <c r="D78" s="60" t="str">
        <f aca="false">IFERROR(INDEX('Master Data'!$M$2:$M$2436,MATCH($B$3&amp;"|5|"&amp;D$74&amp;"|"&amp;$A78,'Master Data'!$A$2:$A$2436,0)),"")</f>
        <v>(tanpa age group)  0/4
coach: –</v>
      </c>
      <c r="E78" s="60" t="str">
        <f aca="false">IFERROR(INDEX('Master Data'!$M$2:$M$2436,MATCH($B$3&amp;"|5|"&amp;E$74&amp;"|"&amp;$A78,'Master Data'!$A$2:$A$2436,0)),"")</f>
        <v>(tanpa age group)  0/4
coach: –</v>
      </c>
      <c r="F78" s="60" t="str">
        <f aca="false">IFERROR(INDEX('Master Data'!$M$2:$M$2436,MATCH($B$3&amp;"|5|"&amp;F$74&amp;"|"&amp;$A78,'Master Data'!$A$2:$A$2436,0)),"")</f>
        <v>(tanpa age group)  0/4
coach: –</v>
      </c>
      <c r="G78" s="60" t="str">
        <f aca="false">IFERROR(INDEX('Master Data'!$M$2:$M$2436,MATCH($B$3&amp;"|5|"&amp;G$74&amp;"|"&amp;$A78,'Master Data'!$A$2:$A$2436,0)),"")</f>
        <v>(tanpa age group)  0/4
coach: –</v>
      </c>
      <c r="H78" s="60" t="str">
        <f aca="false">IFERROR(INDEX('Master Data'!$M$2:$M$2436,MATCH($B$3&amp;"|5|"&amp;H$74&amp;"|"&amp;$A78,'Master Data'!$A$2:$A$2436,0)),"")</f>
        <v>(tanpa age group)  0/4
coach: –</v>
      </c>
      <c r="T78" s="61" t="str">
        <f aca="false">IFERROR(INDEX('Master Data'!$L$2:$L$2436,MATCH($B$3&amp;"|5|"&amp;B$74&amp;"|"&amp;$A78,'Master Data'!$A$2:$A$2436,0)),"")</f>
        <v>Slot kosong</v>
      </c>
      <c r="U78" s="61" t="str">
        <f aca="false">IFERROR(INDEX('Master Data'!$L$2:$L$2436,MATCH($B$3&amp;"|5|"&amp;C$74&amp;"|"&amp;$A78,'Master Data'!$A$2:$A$2436,0)),"")</f>
        <v>Slot kosong</v>
      </c>
      <c r="V78" s="61" t="str">
        <f aca="false">IFERROR(INDEX('Master Data'!$L$2:$L$2436,MATCH($B$3&amp;"|5|"&amp;D$74&amp;"|"&amp;$A78,'Master Data'!$A$2:$A$2436,0)),"")</f>
        <v>Slot kosong</v>
      </c>
      <c r="W78" s="61" t="str">
        <f aca="false">IFERROR(INDEX('Master Data'!$L$2:$L$2436,MATCH($B$3&amp;"|5|"&amp;E$74&amp;"|"&amp;$A78,'Master Data'!$A$2:$A$2436,0)),"")</f>
        <v>Slot kosong</v>
      </c>
      <c r="X78" s="61" t="str">
        <f aca="false">IFERROR(INDEX('Master Data'!$L$2:$L$2436,MATCH($B$3&amp;"|5|"&amp;F$74&amp;"|"&amp;$A78,'Master Data'!$A$2:$A$2436,0)),"")</f>
        <v>Slot kosong</v>
      </c>
      <c r="Y78" s="61" t="str">
        <f aca="false">IFERROR(INDEX('Master Data'!$L$2:$L$2436,MATCH($B$3&amp;"|5|"&amp;G$74&amp;"|"&amp;$A78,'Master Data'!$A$2:$A$2436,0)),"")</f>
        <v>Slot kosong</v>
      </c>
      <c r="Z78" s="61" t="str">
        <f aca="false">IFERROR(INDEX('Master Data'!$L$2:$L$2436,MATCH($B$3&amp;"|5|"&amp;H$74&amp;"|"&amp;$A78,'Master Data'!$A$2:$A$2436,0)),"")</f>
        <v>Slot kosong</v>
      </c>
    </row>
    <row r="79" customFormat="false" ht="30" hidden="false" customHeight="true" outlineLevel="0" collapsed="false">
      <c r="A79" s="59" t="s">
        <v>114</v>
      </c>
      <c r="B79" s="60" t="str">
        <f aca="false">IFERROR(INDEX('Master Data'!$M$2:$M$2436,MATCH($B$3&amp;"|5|"&amp;B$74&amp;"|"&amp;$A79,'Master Data'!$A$2:$A$2436,0)),"")</f>
        <v>(tanpa age group)  0/4
coach: –</v>
      </c>
      <c r="C79" s="60" t="str">
        <f aca="false">IFERROR(INDEX('Master Data'!$M$2:$M$2436,MATCH($B$3&amp;"|5|"&amp;C$74&amp;"|"&amp;$A79,'Master Data'!$A$2:$A$2436,0)),"")</f>
        <v>(tanpa age group)  0/4
coach: –</v>
      </c>
      <c r="D79" s="60" t="str">
        <f aca="false">IFERROR(INDEX('Master Data'!$M$2:$M$2436,MATCH($B$3&amp;"|5|"&amp;D$74&amp;"|"&amp;$A79,'Master Data'!$A$2:$A$2436,0)),"")</f>
        <v>(tanpa age group)  0/4
coach: –</v>
      </c>
      <c r="E79" s="60" t="str">
        <f aca="false">IFERROR(INDEX('Master Data'!$M$2:$M$2436,MATCH($B$3&amp;"|5|"&amp;E$74&amp;"|"&amp;$A79,'Master Data'!$A$2:$A$2436,0)),"")</f>
        <v>(tanpa age group)  0/4
coach: –</v>
      </c>
      <c r="F79" s="60" t="str">
        <f aca="false">IFERROR(INDEX('Master Data'!$M$2:$M$2436,MATCH($B$3&amp;"|5|"&amp;F$74&amp;"|"&amp;$A79,'Master Data'!$A$2:$A$2436,0)),"")</f>
        <v>(tanpa age group)  0/4
coach: –</v>
      </c>
      <c r="G79" s="60" t="str">
        <f aca="false">IFERROR(INDEX('Master Data'!$M$2:$M$2436,MATCH($B$3&amp;"|5|"&amp;G$74&amp;"|"&amp;$A79,'Master Data'!$A$2:$A$2436,0)),"")</f>
        <v>(tanpa age group)  0/4
coach: –</v>
      </c>
      <c r="H79" s="60" t="str">
        <f aca="false">IFERROR(INDEX('Master Data'!$M$2:$M$2436,MATCH($B$3&amp;"|5|"&amp;H$74&amp;"|"&amp;$A79,'Master Data'!$A$2:$A$2436,0)),"")</f>
        <v>(tanpa age group)  0/4
coach: –</v>
      </c>
      <c r="T79" s="61" t="str">
        <f aca="false">IFERROR(INDEX('Master Data'!$L$2:$L$2436,MATCH($B$3&amp;"|5|"&amp;B$74&amp;"|"&amp;$A79,'Master Data'!$A$2:$A$2436,0)),"")</f>
        <v>Slot kosong</v>
      </c>
      <c r="U79" s="61" t="str">
        <f aca="false">IFERROR(INDEX('Master Data'!$L$2:$L$2436,MATCH($B$3&amp;"|5|"&amp;C$74&amp;"|"&amp;$A79,'Master Data'!$A$2:$A$2436,0)),"")</f>
        <v>Slot kosong</v>
      </c>
      <c r="V79" s="61" t="str">
        <f aca="false">IFERROR(INDEX('Master Data'!$L$2:$L$2436,MATCH($B$3&amp;"|5|"&amp;D$74&amp;"|"&amp;$A79,'Master Data'!$A$2:$A$2436,0)),"")</f>
        <v>Slot kosong</v>
      </c>
      <c r="W79" s="61" t="str">
        <f aca="false">IFERROR(INDEX('Master Data'!$L$2:$L$2436,MATCH($B$3&amp;"|5|"&amp;E$74&amp;"|"&amp;$A79,'Master Data'!$A$2:$A$2436,0)),"")</f>
        <v>Slot kosong</v>
      </c>
      <c r="X79" s="61" t="str">
        <f aca="false">IFERROR(INDEX('Master Data'!$L$2:$L$2436,MATCH($B$3&amp;"|5|"&amp;F$74&amp;"|"&amp;$A79,'Master Data'!$A$2:$A$2436,0)),"")</f>
        <v>Slot kosong</v>
      </c>
      <c r="Y79" s="61" t="str">
        <f aca="false">IFERROR(INDEX('Master Data'!$L$2:$L$2436,MATCH($B$3&amp;"|5|"&amp;G$74&amp;"|"&amp;$A79,'Master Data'!$A$2:$A$2436,0)),"")</f>
        <v>Slot kosong</v>
      </c>
      <c r="Z79" s="61" t="str">
        <f aca="false">IFERROR(INDEX('Master Data'!$L$2:$L$2436,MATCH($B$3&amp;"|5|"&amp;H$74&amp;"|"&amp;$A79,'Master Data'!$A$2:$A$2436,0)),"")</f>
        <v>Slot kosong</v>
      </c>
    </row>
    <row r="80" customFormat="false" ht="30" hidden="false" customHeight="true" outlineLevel="0" collapsed="false">
      <c r="A80" s="59" t="s">
        <v>115</v>
      </c>
      <c r="B80" s="60" t="str">
        <f aca="false">IFERROR(INDEX('Master Data'!$M$2:$M$2436,MATCH($B$3&amp;"|5|"&amp;B$74&amp;"|"&amp;$A80,'Master Data'!$A$2:$A$2436,0)),"")</f>
        <v>(tanpa age group)  0/4
coach: –</v>
      </c>
      <c r="C80" s="60" t="str">
        <f aca="false">IFERROR(INDEX('Master Data'!$M$2:$M$2436,MATCH($B$3&amp;"|5|"&amp;C$74&amp;"|"&amp;$A80,'Master Data'!$A$2:$A$2436,0)),"")</f>
        <v>(tanpa age group)  0/4
coach: –</v>
      </c>
      <c r="D80" s="60" t="str">
        <f aca="false">IFERROR(INDEX('Master Data'!$M$2:$M$2436,MATCH($B$3&amp;"|5|"&amp;D$74&amp;"|"&amp;$A80,'Master Data'!$A$2:$A$2436,0)),"")</f>
        <v>(tanpa age group)  0/4
coach: –</v>
      </c>
      <c r="E80" s="60" t="str">
        <f aca="false">IFERROR(INDEX('Master Data'!$M$2:$M$2436,MATCH($B$3&amp;"|5|"&amp;E$74&amp;"|"&amp;$A80,'Master Data'!$A$2:$A$2436,0)),"")</f>
        <v>(tanpa age group)  0/4
coach: –</v>
      </c>
      <c r="F80" s="60" t="str">
        <f aca="false">IFERROR(INDEX('Master Data'!$M$2:$M$2436,MATCH($B$3&amp;"|5|"&amp;F$74&amp;"|"&amp;$A80,'Master Data'!$A$2:$A$2436,0)),"")</f>
        <v>(tanpa age group)  0/4
coach: –</v>
      </c>
      <c r="G80" s="60" t="str">
        <f aca="false">IFERROR(INDEX('Master Data'!$M$2:$M$2436,MATCH($B$3&amp;"|5|"&amp;G$74&amp;"|"&amp;$A80,'Master Data'!$A$2:$A$2436,0)),"")</f>
        <v>(tanpa age group)  0/4
coach: –</v>
      </c>
      <c r="H80" s="60" t="str">
        <f aca="false">IFERROR(INDEX('Master Data'!$M$2:$M$2436,MATCH($B$3&amp;"|5|"&amp;H$74&amp;"|"&amp;$A80,'Master Data'!$A$2:$A$2436,0)),"")</f>
        <v>(tanpa age group)  0/4
coach: –</v>
      </c>
      <c r="T80" s="61" t="str">
        <f aca="false">IFERROR(INDEX('Master Data'!$L$2:$L$2436,MATCH($B$3&amp;"|5|"&amp;B$74&amp;"|"&amp;$A80,'Master Data'!$A$2:$A$2436,0)),"")</f>
        <v>Slot kosong</v>
      </c>
      <c r="U80" s="61" t="str">
        <f aca="false">IFERROR(INDEX('Master Data'!$L$2:$L$2436,MATCH($B$3&amp;"|5|"&amp;C$74&amp;"|"&amp;$A80,'Master Data'!$A$2:$A$2436,0)),"")</f>
        <v>Slot kosong</v>
      </c>
      <c r="V80" s="61" t="str">
        <f aca="false">IFERROR(INDEX('Master Data'!$L$2:$L$2436,MATCH($B$3&amp;"|5|"&amp;D$74&amp;"|"&amp;$A80,'Master Data'!$A$2:$A$2436,0)),"")</f>
        <v>Slot kosong</v>
      </c>
      <c r="W80" s="61" t="str">
        <f aca="false">IFERROR(INDEX('Master Data'!$L$2:$L$2436,MATCH($B$3&amp;"|5|"&amp;E$74&amp;"|"&amp;$A80,'Master Data'!$A$2:$A$2436,0)),"")</f>
        <v>Slot kosong</v>
      </c>
      <c r="X80" s="61" t="str">
        <f aca="false">IFERROR(INDEX('Master Data'!$L$2:$L$2436,MATCH($B$3&amp;"|5|"&amp;F$74&amp;"|"&amp;$A80,'Master Data'!$A$2:$A$2436,0)),"")</f>
        <v>Slot kosong</v>
      </c>
      <c r="Y80" s="61" t="str">
        <f aca="false">IFERROR(INDEX('Master Data'!$L$2:$L$2436,MATCH($B$3&amp;"|5|"&amp;G$74&amp;"|"&amp;$A80,'Master Data'!$A$2:$A$2436,0)),"")</f>
        <v>Slot kosong</v>
      </c>
      <c r="Z80" s="61" t="str">
        <f aca="false">IFERROR(INDEX('Master Data'!$L$2:$L$2436,MATCH($B$3&amp;"|5|"&amp;H$74&amp;"|"&amp;$A80,'Master Data'!$A$2:$A$2436,0)),"")</f>
        <v>Slot kosong</v>
      </c>
    </row>
    <row r="81" customFormat="false" ht="30" hidden="false" customHeight="true" outlineLevel="0" collapsed="false">
      <c r="A81" s="59" t="s">
        <v>116</v>
      </c>
      <c r="B81" s="60" t="str">
        <f aca="false">IFERROR(INDEX('Master Data'!$M$2:$M$2436,MATCH($B$3&amp;"|5|"&amp;B$74&amp;"|"&amp;$A81,'Master Data'!$A$2:$A$2436,0)),"")</f>
        <v>(tanpa age group)  0/4
coach: –</v>
      </c>
      <c r="C81" s="60" t="str">
        <f aca="false">IFERROR(INDEX('Master Data'!$M$2:$M$2436,MATCH($B$3&amp;"|5|"&amp;C$74&amp;"|"&amp;$A81,'Master Data'!$A$2:$A$2436,0)),"")</f>
        <v>(tanpa age group)  0/4
coach: –</v>
      </c>
      <c r="D81" s="60" t="str">
        <f aca="false">IFERROR(INDEX('Master Data'!$M$2:$M$2436,MATCH($B$3&amp;"|5|"&amp;D$74&amp;"|"&amp;$A81,'Master Data'!$A$2:$A$2436,0)),"")</f>
        <v>(tanpa age group)  0/4
coach: –</v>
      </c>
      <c r="E81" s="60" t="str">
        <f aca="false">IFERROR(INDEX('Master Data'!$M$2:$M$2436,MATCH($B$3&amp;"|5|"&amp;E$74&amp;"|"&amp;$A81,'Master Data'!$A$2:$A$2436,0)),"")</f>
        <v>(tanpa age group)  0/4
coach: –</v>
      </c>
      <c r="F81" s="60" t="str">
        <f aca="false">IFERROR(INDEX('Master Data'!$M$2:$M$2436,MATCH($B$3&amp;"|5|"&amp;F$74&amp;"|"&amp;$A81,'Master Data'!$A$2:$A$2436,0)),"")</f>
        <v>(tanpa age group)  0/4
coach: –</v>
      </c>
      <c r="G81" s="60" t="str">
        <f aca="false">IFERROR(INDEX('Master Data'!$M$2:$M$2436,MATCH($B$3&amp;"|5|"&amp;G$74&amp;"|"&amp;$A81,'Master Data'!$A$2:$A$2436,0)),"")</f>
        <v>(tanpa age group)  0/4
coach: –</v>
      </c>
      <c r="H81" s="60" t="str">
        <f aca="false">IFERROR(INDEX('Master Data'!$M$2:$M$2436,MATCH($B$3&amp;"|5|"&amp;H$74&amp;"|"&amp;$A81,'Master Data'!$A$2:$A$2436,0)),"")</f>
        <v>(tanpa age group)  0/4
coach: –</v>
      </c>
      <c r="T81" s="61" t="str">
        <f aca="false">IFERROR(INDEX('Master Data'!$L$2:$L$2436,MATCH($B$3&amp;"|5|"&amp;B$74&amp;"|"&amp;$A81,'Master Data'!$A$2:$A$2436,0)),"")</f>
        <v>Slot kosong</v>
      </c>
      <c r="U81" s="61" t="str">
        <f aca="false">IFERROR(INDEX('Master Data'!$L$2:$L$2436,MATCH($B$3&amp;"|5|"&amp;C$74&amp;"|"&amp;$A81,'Master Data'!$A$2:$A$2436,0)),"")</f>
        <v>Slot kosong</v>
      </c>
      <c r="V81" s="61" t="str">
        <f aca="false">IFERROR(INDEX('Master Data'!$L$2:$L$2436,MATCH($B$3&amp;"|5|"&amp;D$74&amp;"|"&amp;$A81,'Master Data'!$A$2:$A$2436,0)),"")</f>
        <v>Slot kosong</v>
      </c>
      <c r="W81" s="61" t="str">
        <f aca="false">IFERROR(INDEX('Master Data'!$L$2:$L$2436,MATCH($B$3&amp;"|5|"&amp;E$74&amp;"|"&amp;$A81,'Master Data'!$A$2:$A$2436,0)),"")</f>
        <v>Slot kosong</v>
      </c>
      <c r="X81" s="61" t="str">
        <f aca="false">IFERROR(INDEX('Master Data'!$L$2:$L$2436,MATCH($B$3&amp;"|5|"&amp;F$74&amp;"|"&amp;$A81,'Master Data'!$A$2:$A$2436,0)),"")</f>
        <v>Slot kosong</v>
      </c>
      <c r="Y81" s="61" t="str">
        <f aca="false">IFERROR(INDEX('Master Data'!$L$2:$L$2436,MATCH($B$3&amp;"|5|"&amp;G$74&amp;"|"&amp;$A81,'Master Data'!$A$2:$A$2436,0)),"")</f>
        <v>Slot kosong</v>
      </c>
      <c r="Z81" s="61" t="str">
        <f aca="false">IFERROR(INDEX('Master Data'!$L$2:$L$2436,MATCH($B$3&amp;"|5|"&amp;H$74&amp;"|"&amp;$A81,'Master Data'!$A$2:$A$2436,0)),"")</f>
        <v>Slot kosong</v>
      </c>
    </row>
    <row r="82" customFormat="false" ht="30" hidden="false" customHeight="true" outlineLevel="0" collapsed="false">
      <c r="A82" s="59" t="s">
        <v>117</v>
      </c>
      <c r="B82" s="60" t="str">
        <f aca="false">IFERROR(INDEX('Master Data'!$M$2:$M$2436,MATCH($B$3&amp;"|5|"&amp;B$74&amp;"|"&amp;$A82,'Master Data'!$A$2:$A$2436,0)),"")</f>
        <v>(tanpa age group)  0/4
coach: –</v>
      </c>
      <c r="C82" s="60" t="str">
        <f aca="false">IFERROR(INDEX('Master Data'!$M$2:$M$2436,MATCH($B$3&amp;"|5|"&amp;C$74&amp;"|"&amp;$A82,'Master Data'!$A$2:$A$2436,0)),"")</f>
        <v>(tanpa age group)  0/4
coach: –</v>
      </c>
      <c r="D82" s="60" t="str">
        <f aca="false">IFERROR(INDEX('Master Data'!$M$2:$M$2436,MATCH($B$3&amp;"|5|"&amp;D$74&amp;"|"&amp;$A82,'Master Data'!$A$2:$A$2436,0)),"")</f>
        <v>(tanpa age group)  0/4
coach: –</v>
      </c>
      <c r="E82" s="60" t="str">
        <f aca="false">IFERROR(INDEX('Master Data'!$M$2:$M$2436,MATCH($B$3&amp;"|5|"&amp;E$74&amp;"|"&amp;$A82,'Master Data'!$A$2:$A$2436,0)),"")</f>
        <v>(tanpa age group)  0/4
coach: –</v>
      </c>
      <c r="F82" s="60" t="str">
        <f aca="false">IFERROR(INDEX('Master Data'!$M$2:$M$2436,MATCH($B$3&amp;"|5|"&amp;F$74&amp;"|"&amp;$A82,'Master Data'!$A$2:$A$2436,0)),"")</f>
        <v>(tanpa age group)  0/4
coach: –</v>
      </c>
      <c r="G82" s="60" t="str">
        <f aca="false">IFERROR(INDEX('Master Data'!$M$2:$M$2436,MATCH($B$3&amp;"|5|"&amp;G$74&amp;"|"&amp;$A82,'Master Data'!$A$2:$A$2436,0)),"")</f>
        <v>(tanpa age group)  0/4
coach: –</v>
      </c>
      <c r="H82" s="60" t="str">
        <f aca="false">IFERROR(INDEX('Master Data'!$M$2:$M$2436,MATCH($B$3&amp;"|5|"&amp;H$74&amp;"|"&amp;$A82,'Master Data'!$A$2:$A$2436,0)),"")</f>
        <v>(tanpa age group)  0/4
coach: –</v>
      </c>
      <c r="T82" s="61" t="str">
        <f aca="false">IFERROR(INDEX('Master Data'!$L$2:$L$2436,MATCH($B$3&amp;"|5|"&amp;B$74&amp;"|"&amp;$A82,'Master Data'!$A$2:$A$2436,0)),"")</f>
        <v>Slot kosong</v>
      </c>
      <c r="U82" s="61" t="str">
        <f aca="false">IFERROR(INDEX('Master Data'!$L$2:$L$2436,MATCH($B$3&amp;"|5|"&amp;C$74&amp;"|"&amp;$A82,'Master Data'!$A$2:$A$2436,0)),"")</f>
        <v>Slot kosong</v>
      </c>
      <c r="V82" s="61" t="str">
        <f aca="false">IFERROR(INDEX('Master Data'!$L$2:$L$2436,MATCH($B$3&amp;"|5|"&amp;D$74&amp;"|"&amp;$A82,'Master Data'!$A$2:$A$2436,0)),"")</f>
        <v>Slot kosong</v>
      </c>
      <c r="W82" s="61" t="str">
        <f aca="false">IFERROR(INDEX('Master Data'!$L$2:$L$2436,MATCH($B$3&amp;"|5|"&amp;E$74&amp;"|"&amp;$A82,'Master Data'!$A$2:$A$2436,0)),"")</f>
        <v>Slot kosong</v>
      </c>
      <c r="X82" s="61" t="str">
        <f aca="false">IFERROR(INDEX('Master Data'!$L$2:$L$2436,MATCH($B$3&amp;"|5|"&amp;F$74&amp;"|"&amp;$A82,'Master Data'!$A$2:$A$2436,0)),"")</f>
        <v>Slot kosong</v>
      </c>
      <c r="Y82" s="61" t="str">
        <f aca="false">IFERROR(INDEX('Master Data'!$L$2:$L$2436,MATCH($B$3&amp;"|5|"&amp;G$74&amp;"|"&amp;$A82,'Master Data'!$A$2:$A$2436,0)),"")</f>
        <v>Slot kosong</v>
      </c>
      <c r="Z82" s="61" t="str">
        <f aca="false">IFERROR(INDEX('Master Data'!$L$2:$L$2436,MATCH($B$3&amp;"|5|"&amp;H$74&amp;"|"&amp;$A82,'Master Data'!$A$2:$A$2436,0)),"")</f>
        <v>Slot kosong</v>
      </c>
    </row>
    <row r="83" customFormat="false" ht="30" hidden="false" customHeight="true" outlineLevel="0" collapsed="false">
      <c r="A83" s="59" t="s">
        <v>118</v>
      </c>
      <c r="B83" s="60" t="str">
        <f aca="false">IFERROR(INDEX('Master Data'!$M$2:$M$2436,MATCH($B$3&amp;"|5|"&amp;B$74&amp;"|"&amp;$A83,'Master Data'!$A$2:$A$2436,0)),"")</f>
        <v>(tanpa age group)  0/4
coach: –</v>
      </c>
      <c r="C83" s="60" t="str">
        <f aca="false">IFERROR(INDEX('Master Data'!$M$2:$M$2436,MATCH($B$3&amp;"|5|"&amp;C$74&amp;"|"&amp;$A83,'Master Data'!$A$2:$A$2436,0)),"")</f>
        <v>(tanpa age group)  0/4
coach: –</v>
      </c>
      <c r="D83" s="60" t="str">
        <f aca="false">IFERROR(INDEX('Master Data'!$M$2:$M$2436,MATCH($B$3&amp;"|5|"&amp;D$74&amp;"|"&amp;$A83,'Master Data'!$A$2:$A$2436,0)),"")</f>
        <v>(tanpa age group)  0/4
coach: –</v>
      </c>
      <c r="E83" s="60" t="str">
        <f aca="false">IFERROR(INDEX('Master Data'!$M$2:$M$2436,MATCH($B$3&amp;"|5|"&amp;E$74&amp;"|"&amp;$A83,'Master Data'!$A$2:$A$2436,0)),"")</f>
        <v>(tanpa age group)  0/4
coach: –</v>
      </c>
      <c r="F83" s="60" t="str">
        <f aca="false">IFERROR(INDEX('Master Data'!$M$2:$M$2436,MATCH($B$3&amp;"|5|"&amp;F$74&amp;"|"&amp;$A83,'Master Data'!$A$2:$A$2436,0)),"")</f>
        <v>(tanpa age group)  0/4
coach: –</v>
      </c>
      <c r="G83" s="60" t="str">
        <f aca="false">IFERROR(INDEX('Master Data'!$M$2:$M$2436,MATCH($B$3&amp;"|5|"&amp;G$74&amp;"|"&amp;$A83,'Master Data'!$A$2:$A$2436,0)),"")</f>
        <v>(tanpa age group)  0/4
coach: –</v>
      </c>
      <c r="H83" s="60" t="str">
        <f aca="false">IFERROR(INDEX('Master Data'!$M$2:$M$2436,MATCH($B$3&amp;"|5|"&amp;H$74&amp;"|"&amp;$A83,'Master Data'!$A$2:$A$2436,0)),"")</f>
        <v>(tanpa age group)  0/4
coach: –</v>
      </c>
      <c r="T83" s="61" t="str">
        <f aca="false">IFERROR(INDEX('Master Data'!$L$2:$L$2436,MATCH($B$3&amp;"|5|"&amp;B$74&amp;"|"&amp;$A83,'Master Data'!$A$2:$A$2436,0)),"")</f>
        <v>Slot kosong</v>
      </c>
      <c r="U83" s="61" t="str">
        <f aca="false">IFERROR(INDEX('Master Data'!$L$2:$L$2436,MATCH($B$3&amp;"|5|"&amp;C$74&amp;"|"&amp;$A83,'Master Data'!$A$2:$A$2436,0)),"")</f>
        <v>Slot kosong</v>
      </c>
      <c r="V83" s="61" t="str">
        <f aca="false">IFERROR(INDEX('Master Data'!$L$2:$L$2436,MATCH($B$3&amp;"|5|"&amp;D$74&amp;"|"&amp;$A83,'Master Data'!$A$2:$A$2436,0)),"")</f>
        <v>Slot kosong</v>
      </c>
      <c r="W83" s="61" t="str">
        <f aca="false">IFERROR(INDEX('Master Data'!$L$2:$L$2436,MATCH($B$3&amp;"|5|"&amp;E$74&amp;"|"&amp;$A83,'Master Data'!$A$2:$A$2436,0)),"")</f>
        <v>Slot kosong</v>
      </c>
      <c r="X83" s="61" t="str">
        <f aca="false">IFERROR(INDEX('Master Data'!$L$2:$L$2436,MATCH($B$3&amp;"|5|"&amp;F$74&amp;"|"&amp;$A83,'Master Data'!$A$2:$A$2436,0)),"")</f>
        <v>Slot kosong</v>
      </c>
      <c r="Y83" s="61" t="str">
        <f aca="false">IFERROR(INDEX('Master Data'!$L$2:$L$2436,MATCH($B$3&amp;"|5|"&amp;G$74&amp;"|"&amp;$A83,'Master Data'!$A$2:$A$2436,0)),"")</f>
        <v>Slot kosong</v>
      </c>
      <c r="Z83" s="61" t="str">
        <f aca="false">IFERROR(INDEX('Master Data'!$L$2:$L$2436,MATCH($B$3&amp;"|5|"&amp;H$74&amp;"|"&amp;$A83,'Master Data'!$A$2:$A$2436,0)),"")</f>
        <v>Slot kosong</v>
      </c>
    </row>
    <row r="84" customFormat="false" ht="30" hidden="false" customHeight="true" outlineLevel="0" collapsed="false">
      <c r="A84" s="59" t="s">
        <v>119</v>
      </c>
      <c r="B84" s="60" t="str">
        <f aca="false">IFERROR(INDEX('Master Data'!$M$2:$M$2436,MATCH($B$3&amp;"|5|"&amp;B$74&amp;"|"&amp;$A84,'Master Data'!$A$2:$A$2436,0)),"")</f>
        <v>(tanpa age group)  0/4
coach: –</v>
      </c>
      <c r="C84" s="60" t="str">
        <f aca="false">IFERROR(INDEX('Master Data'!$M$2:$M$2436,MATCH($B$3&amp;"|5|"&amp;C$74&amp;"|"&amp;$A84,'Master Data'!$A$2:$A$2436,0)),"")</f>
        <v>(tanpa age group)  0/4
coach: –</v>
      </c>
      <c r="D84" s="60" t="str">
        <f aca="false">IFERROR(INDEX('Master Data'!$M$2:$M$2436,MATCH($B$3&amp;"|5|"&amp;D$74&amp;"|"&amp;$A84,'Master Data'!$A$2:$A$2436,0)),"")</f>
        <v>(tanpa age group)  0/4
coach: –</v>
      </c>
      <c r="E84" s="60" t="str">
        <f aca="false">IFERROR(INDEX('Master Data'!$M$2:$M$2436,MATCH($B$3&amp;"|5|"&amp;E$74&amp;"|"&amp;$A84,'Master Data'!$A$2:$A$2436,0)),"")</f>
        <v>(tanpa age group)  0/4
coach: –</v>
      </c>
      <c r="F84" s="60" t="str">
        <f aca="false">IFERROR(INDEX('Master Data'!$M$2:$M$2436,MATCH($B$3&amp;"|5|"&amp;F$74&amp;"|"&amp;$A84,'Master Data'!$A$2:$A$2436,0)),"")</f>
        <v>(tanpa age group)  0/4
coach: –</v>
      </c>
      <c r="G84" s="60" t="str">
        <f aca="false">IFERROR(INDEX('Master Data'!$M$2:$M$2436,MATCH($B$3&amp;"|5|"&amp;G$74&amp;"|"&amp;$A84,'Master Data'!$A$2:$A$2436,0)),"")</f>
        <v>(tanpa age group)  0/4
coach: –</v>
      </c>
      <c r="H84" s="60" t="str">
        <f aca="false">IFERROR(INDEX('Master Data'!$M$2:$M$2436,MATCH($B$3&amp;"|5|"&amp;H$74&amp;"|"&amp;$A84,'Master Data'!$A$2:$A$2436,0)),"")</f>
        <v>(tanpa age group)  0/4
coach: –</v>
      </c>
      <c r="T84" s="61" t="str">
        <f aca="false">IFERROR(INDEX('Master Data'!$L$2:$L$2436,MATCH($B$3&amp;"|5|"&amp;B$74&amp;"|"&amp;$A84,'Master Data'!$A$2:$A$2436,0)),"")</f>
        <v>Slot kosong</v>
      </c>
      <c r="U84" s="61" t="str">
        <f aca="false">IFERROR(INDEX('Master Data'!$L$2:$L$2436,MATCH($B$3&amp;"|5|"&amp;C$74&amp;"|"&amp;$A84,'Master Data'!$A$2:$A$2436,0)),"")</f>
        <v>Slot kosong</v>
      </c>
      <c r="V84" s="61" t="str">
        <f aca="false">IFERROR(INDEX('Master Data'!$L$2:$L$2436,MATCH($B$3&amp;"|5|"&amp;D$74&amp;"|"&amp;$A84,'Master Data'!$A$2:$A$2436,0)),"")</f>
        <v>Slot kosong</v>
      </c>
      <c r="W84" s="61" t="str">
        <f aca="false">IFERROR(INDEX('Master Data'!$L$2:$L$2436,MATCH($B$3&amp;"|5|"&amp;E$74&amp;"|"&amp;$A84,'Master Data'!$A$2:$A$2436,0)),"")</f>
        <v>Slot kosong</v>
      </c>
      <c r="X84" s="61" t="str">
        <f aca="false">IFERROR(INDEX('Master Data'!$L$2:$L$2436,MATCH($B$3&amp;"|5|"&amp;F$74&amp;"|"&amp;$A84,'Master Data'!$A$2:$A$2436,0)),"")</f>
        <v>Slot kosong</v>
      </c>
      <c r="Y84" s="61" t="str">
        <f aca="false">IFERROR(INDEX('Master Data'!$L$2:$L$2436,MATCH($B$3&amp;"|5|"&amp;G$74&amp;"|"&amp;$A84,'Master Data'!$A$2:$A$2436,0)),"")</f>
        <v>Slot kosong</v>
      </c>
      <c r="Z84" s="61" t="str">
        <f aca="false">IFERROR(INDEX('Master Data'!$L$2:$L$2436,MATCH($B$3&amp;"|5|"&amp;H$74&amp;"|"&amp;$A84,'Master Data'!$A$2:$A$2436,0)),"")</f>
        <v>Slot kosong</v>
      </c>
    </row>
    <row r="85" customFormat="false" ht="30" hidden="false" customHeight="true" outlineLevel="0" collapsed="false">
      <c r="A85" s="59" t="s">
        <v>120</v>
      </c>
      <c r="B85" s="60" t="str">
        <f aca="false">IFERROR(INDEX('Master Data'!$M$2:$M$2436,MATCH($B$3&amp;"|5|"&amp;B$74&amp;"|"&amp;$A85,'Master Data'!$A$2:$A$2436,0)),"")</f>
        <v>(tanpa age group)  0/4
coach: –</v>
      </c>
      <c r="C85" s="60" t="str">
        <f aca="false">IFERROR(INDEX('Master Data'!$M$2:$M$2436,MATCH($B$3&amp;"|5|"&amp;C$74&amp;"|"&amp;$A85,'Master Data'!$A$2:$A$2436,0)),"")</f>
        <v>(tanpa age group)  0/4
coach: –</v>
      </c>
      <c r="D85" s="60" t="str">
        <f aca="false">IFERROR(INDEX('Master Data'!$M$2:$M$2436,MATCH($B$3&amp;"|5|"&amp;D$74&amp;"|"&amp;$A85,'Master Data'!$A$2:$A$2436,0)),"")</f>
        <v>(tanpa age group)  0/4
coach: –</v>
      </c>
      <c r="E85" s="60" t="str">
        <f aca="false">IFERROR(INDEX('Master Data'!$M$2:$M$2436,MATCH($B$3&amp;"|5|"&amp;E$74&amp;"|"&amp;$A85,'Master Data'!$A$2:$A$2436,0)),"")</f>
        <v>(tanpa age group)  0/4
coach: –</v>
      </c>
      <c r="F85" s="60" t="str">
        <f aca="false">IFERROR(INDEX('Master Data'!$M$2:$M$2436,MATCH($B$3&amp;"|5|"&amp;F$74&amp;"|"&amp;$A85,'Master Data'!$A$2:$A$2436,0)),"")</f>
        <v>(tanpa age group)  0/4
coach: –</v>
      </c>
      <c r="G85" s="60" t="str">
        <f aca="false">IFERROR(INDEX('Master Data'!$M$2:$M$2436,MATCH($B$3&amp;"|5|"&amp;G$74&amp;"|"&amp;$A85,'Master Data'!$A$2:$A$2436,0)),"")</f>
        <v>(tanpa age group)  0/4
coach: –</v>
      </c>
      <c r="H85" s="60" t="str">
        <f aca="false">IFERROR(INDEX('Master Data'!$M$2:$M$2436,MATCH($B$3&amp;"|5|"&amp;H$74&amp;"|"&amp;$A85,'Master Data'!$A$2:$A$2436,0)),"")</f>
        <v>(tanpa age group)  0/4
coach: –</v>
      </c>
      <c r="T85" s="61" t="str">
        <f aca="false">IFERROR(INDEX('Master Data'!$L$2:$L$2436,MATCH($B$3&amp;"|5|"&amp;B$74&amp;"|"&amp;$A85,'Master Data'!$A$2:$A$2436,0)),"")</f>
        <v>Slot kosong</v>
      </c>
      <c r="U85" s="61" t="str">
        <f aca="false">IFERROR(INDEX('Master Data'!$L$2:$L$2436,MATCH($B$3&amp;"|5|"&amp;C$74&amp;"|"&amp;$A85,'Master Data'!$A$2:$A$2436,0)),"")</f>
        <v>Slot kosong</v>
      </c>
      <c r="V85" s="61" t="str">
        <f aca="false">IFERROR(INDEX('Master Data'!$L$2:$L$2436,MATCH($B$3&amp;"|5|"&amp;D$74&amp;"|"&amp;$A85,'Master Data'!$A$2:$A$2436,0)),"")</f>
        <v>Slot kosong</v>
      </c>
      <c r="W85" s="61" t="str">
        <f aca="false">IFERROR(INDEX('Master Data'!$L$2:$L$2436,MATCH($B$3&amp;"|5|"&amp;E$74&amp;"|"&amp;$A85,'Master Data'!$A$2:$A$2436,0)),"")</f>
        <v>Slot kosong</v>
      </c>
      <c r="X85" s="61" t="str">
        <f aca="false">IFERROR(INDEX('Master Data'!$L$2:$L$2436,MATCH($B$3&amp;"|5|"&amp;F$74&amp;"|"&amp;$A85,'Master Data'!$A$2:$A$2436,0)),"")</f>
        <v>Slot kosong</v>
      </c>
      <c r="Y85" s="61" t="str">
        <f aca="false">IFERROR(INDEX('Master Data'!$L$2:$L$2436,MATCH($B$3&amp;"|5|"&amp;G$74&amp;"|"&amp;$A85,'Master Data'!$A$2:$A$2436,0)),"")</f>
        <v>Slot kosong</v>
      </c>
      <c r="Z85" s="61" t="str">
        <f aca="false">IFERROR(INDEX('Master Data'!$L$2:$L$2436,MATCH($B$3&amp;"|5|"&amp;H$74&amp;"|"&amp;$A85,'Master Data'!$A$2:$A$2436,0)),"")</f>
        <v>Slot kosong</v>
      </c>
    </row>
    <row r="86" customFormat="false" ht="30" hidden="false" customHeight="true" outlineLevel="0" collapsed="false">
      <c r="A86" s="59" t="s">
        <v>121</v>
      </c>
      <c r="B86" s="60" t="str">
        <f aca="false">IFERROR(INDEX('Master Data'!$M$2:$M$2436,MATCH($B$3&amp;"|5|"&amp;B$74&amp;"|"&amp;$A86,'Master Data'!$A$2:$A$2436,0)),"")</f>
        <v>(tanpa age group)  0/4
coach: –</v>
      </c>
      <c r="C86" s="60" t="str">
        <f aca="false">IFERROR(INDEX('Master Data'!$M$2:$M$2436,MATCH($B$3&amp;"|5|"&amp;C$74&amp;"|"&amp;$A86,'Master Data'!$A$2:$A$2436,0)),"")</f>
        <v>(tanpa age group)  0/4
coach: –</v>
      </c>
      <c r="D86" s="60" t="str">
        <f aca="false">IFERROR(INDEX('Master Data'!$M$2:$M$2436,MATCH($B$3&amp;"|5|"&amp;D$74&amp;"|"&amp;$A86,'Master Data'!$A$2:$A$2436,0)),"")</f>
        <v>(tanpa age group)  0/4
coach: –</v>
      </c>
      <c r="E86" s="60" t="str">
        <f aca="false">IFERROR(INDEX('Master Data'!$M$2:$M$2436,MATCH($B$3&amp;"|5|"&amp;E$74&amp;"|"&amp;$A86,'Master Data'!$A$2:$A$2436,0)),"")</f>
        <v>(tanpa age group)  0/4
coach: –</v>
      </c>
      <c r="F86" s="60" t="str">
        <f aca="false">IFERROR(INDEX('Master Data'!$M$2:$M$2436,MATCH($B$3&amp;"|5|"&amp;F$74&amp;"|"&amp;$A86,'Master Data'!$A$2:$A$2436,0)),"")</f>
        <v>(tanpa age group)  0/4
coach: –</v>
      </c>
      <c r="G86" s="60" t="str">
        <f aca="false">IFERROR(INDEX('Master Data'!$M$2:$M$2436,MATCH($B$3&amp;"|5|"&amp;G$74&amp;"|"&amp;$A86,'Master Data'!$A$2:$A$2436,0)),"")</f>
        <v>(tanpa age group)  0/4
coach: –</v>
      </c>
      <c r="H86" s="60" t="str">
        <f aca="false">IFERROR(INDEX('Master Data'!$M$2:$M$2436,MATCH($B$3&amp;"|5|"&amp;H$74&amp;"|"&amp;$A86,'Master Data'!$A$2:$A$2436,0)),"")</f>
        <v>(tanpa age group)  0/4
coach: –</v>
      </c>
      <c r="T86" s="61" t="str">
        <f aca="false">IFERROR(INDEX('Master Data'!$L$2:$L$2436,MATCH($B$3&amp;"|5|"&amp;B$74&amp;"|"&amp;$A86,'Master Data'!$A$2:$A$2436,0)),"")</f>
        <v>Slot kosong</v>
      </c>
      <c r="U86" s="61" t="str">
        <f aca="false">IFERROR(INDEX('Master Data'!$L$2:$L$2436,MATCH($B$3&amp;"|5|"&amp;C$74&amp;"|"&amp;$A86,'Master Data'!$A$2:$A$2436,0)),"")</f>
        <v>Slot kosong</v>
      </c>
      <c r="V86" s="61" t="str">
        <f aca="false">IFERROR(INDEX('Master Data'!$L$2:$L$2436,MATCH($B$3&amp;"|5|"&amp;D$74&amp;"|"&amp;$A86,'Master Data'!$A$2:$A$2436,0)),"")</f>
        <v>Slot kosong</v>
      </c>
      <c r="W86" s="61" t="str">
        <f aca="false">IFERROR(INDEX('Master Data'!$L$2:$L$2436,MATCH($B$3&amp;"|5|"&amp;E$74&amp;"|"&amp;$A86,'Master Data'!$A$2:$A$2436,0)),"")</f>
        <v>Slot kosong</v>
      </c>
      <c r="X86" s="61" t="str">
        <f aca="false">IFERROR(INDEX('Master Data'!$L$2:$L$2436,MATCH($B$3&amp;"|5|"&amp;F$74&amp;"|"&amp;$A86,'Master Data'!$A$2:$A$2436,0)),"")</f>
        <v>Slot kosong</v>
      </c>
      <c r="Y86" s="61" t="str">
        <f aca="false">IFERROR(INDEX('Master Data'!$L$2:$L$2436,MATCH($B$3&amp;"|5|"&amp;G$74&amp;"|"&amp;$A86,'Master Data'!$A$2:$A$2436,0)),"")</f>
        <v>Slot kosong</v>
      </c>
      <c r="Z86" s="61" t="str">
        <f aca="false">IFERROR(INDEX('Master Data'!$L$2:$L$2436,MATCH($B$3&amp;"|5|"&amp;H$74&amp;"|"&amp;$A86,'Master Data'!$A$2:$A$2436,0)),"")</f>
        <v>Slot kosong</v>
      </c>
    </row>
    <row r="89" customFormat="false" ht="16.15" hidden="false" customHeight="false" outlineLevel="0" collapsed="false">
      <c r="A89" s="62" t="s">
        <v>124</v>
      </c>
      <c r="B89" s="63"/>
      <c r="C89" s="63"/>
      <c r="D89" s="63"/>
      <c r="E89" s="63"/>
      <c r="F89" s="63"/>
      <c r="G89" s="63"/>
      <c r="H89" s="63"/>
      <c r="I89" s="63"/>
      <c r="J89" s="63"/>
      <c r="K89" s="63"/>
      <c r="L89" s="63"/>
      <c r="M89" s="63"/>
      <c r="N89" s="63"/>
    </row>
    <row r="90" customFormat="false" ht="15" hidden="false" customHeight="false" outlineLevel="0" collapsed="false">
      <c r="A90" s="52" t="s">
        <v>125</v>
      </c>
    </row>
    <row r="91" customFormat="false" ht="31.5" hidden="false" customHeight="true" outlineLevel="0" collapsed="false">
      <c r="A91" s="64" t="s">
        <v>126</v>
      </c>
      <c r="B91" s="64" t="s">
        <v>127</v>
      </c>
      <c r="C91" s="64" t="s">
        <v>89</v>
      </c>
      <c r="D91" s="64" t="s">
        <v>128</v>
      </c>
      <c r="E91" s="64" t="s">
        <v>36</v>
      </c>
      <c r="F91" s="64" t="s">
        <v>129</v>
      </c>
      <c r="G91" s="64" t="s">
        <v>57</v>
      </c>
      <c r="H91" s="64" t="s">
        <v>130</v>
      </c>
      <c r="I91" s="64" t="s">
        <v>131</v>
      </c>
      <c r="J91" s="64" t="s">
        <v>132</v>
      </c>
      <c r="K91" s="65" t="s">
        <v>39</v>
      </c>
      <c r="L91" s="65" t="s">
        <v>41</v>
      </c>
      <c r="M91" s="65" t="s">
        <v>43</v>
      </c>
      <c r="N91" s="65" t="s">
        <v>45</v>
      </c>
      <c r="O91" s="65" t="s">
        <v>46</v>
      </c>
    </row>
    <row r="92" customFormat="false" ht="52.5" hidden="false" customHeight="true" outlineLevel="0" collapsed="false">
      <c r="A92" s="66" t="n">
        <v>1</v>
      </c>
      <c r="B92" s="67" t="s">
        <v>90</v>
      </c>
      <c r="C92" s="66" t="s">
        <v>110</v>
      </c>
      <c r="D92" s="66" t="n">
        <v>1</v>
      </c>
      <c r="E92" s="67" t="str">
        <f aca="false">IFERROR(INDEX('Master Data'!$L$2:$L$2436,MATCH($B$3&amp;"|"&amp;D92&amp;"|"&amp;B92&amp;"|"&amp;C92,'Master Data'!$A$2:$A$2436,0)),"")</f>
        <v>Belum terisi</v>
      </c>
      <c r="F92" s="67" t="str">
        <f aca="false">IFERROR(INDEX('Master Data'!$F$2:$F$2436,MATCH($B$3&amp;"|"&amp;D92&amp;"|"&amp;B92&amp;"|"&amp;C92,'Master Data'!$A$2:$A$2436,0))&amp;"","")</f>
        <v>Baby</v>
      </c>
      <c r="G92" s="66" t="n">
        <f aca="false">IFERROR(INDEX('Master Data'!$G$2:$G$2436,MATCH($B$3&amp;"|"&amp;D92&amp;"|"&amp;B92&amp;"|"&amp;C92,'Master Data'!$A$2:$A$2436,0)),"")</f>
        <v>5</v>
      </c>
      <c r="H92" s="67" t="str">
        <f aca="false">IFERROR(INDEX('Master Data'!$K$2:$K$2436,MATCH($B$3&amp;"|"&amp;D92&amp;"|"&amp;B92&amp;"|"&amp;C92,'Master Data'!$A$2:$A$2436,0))&amp;"","")</f>
        <v/>
      </c>
      <c r="I92" s="67" t="s">
        <v>384</v>
      </c>
      <c r="J92" s="67" t="s">
        <v>134</v>
      </c>
      <c r="K92" s="68"/>
      <c r="L92" s="68"/>
      <c r="M92" s="68"/>
      <c r="N92" s="69"/>
      <c r="O92" s="68"/>
    </row>
    <row r="93" customFormat="false" ht="52.5" hidden="false" customHeight="true" outlineLevel="0" collapsed="false">
      <c r="A93" s="66" t="n">
        <v>2</v>
      </c>
      <c r="B93" s="67" t="s">
        <v>90</v>
      </c>
      <c r="C93" s="66" t="s">
        <v>110</v>
      </c>
      <c r="D93" s="66" t="n">
        <v>2</v>
      </c>
      <c r="E93" s="67" t="str">
        <f aca="false">IFERROR(INDEX('Master Data'!$L$2:$L$2436,MATCH($B$3&amp;"|"&amp;D93&amp;"|"&amp;B93&amp;"|"&amp;C93,'Master Data'!$A$2:$A$2436,0)),"")</f>
        <v>Belum terisi</v>
      </c>
      <c r="F93" s="67" t="str">
        <f aca="false">IFERROR(INDEX('Master Data'!$F$2:$F$2436,MATCH($B$3&amp;"|"&amp;D93&amp;"|"&amp;B93&amp;"|"&amp;C93,'Master Data'!$A$2:$A$2436,0))&amp;"","")</f>
        <v>Tiny</v>
      </c>
      <c r="G93" s="66" t="n">
        <f aca="false">IFERROR(INDEX('Master Data'!$G$2:$G$2436,MATCH($B$3&amp;"|"&amp;D93&amp;"|"&amp;B93&amp;"|"&amp;C93,'Master Data'!$A$2:$A$2436,0)),"")</f>
        <v>5</v>
      </c>
      <c r="H93" s="67" t="str">
        <f aca="false">IFERROR(INDEX('Master Data'!$K$2:$K$2436,MATCH($B$3&amp;"|"&amp;D93&amp;"|"&amp;B93&amp;"|"&amp;C93,'Master Data'!$A$2:$A$2436,0))&amp;"","")</f>
        <v/>
      </c>
      <c r="I93" s="67" t="s">
        <v>384</v>
      </c>
      <c r="J93" s="67" t="s">
        <v>134</v>
      </c>
      <c r="K93" s="68"/>
      <c r="L93" s="68"/>
      <c r="M93" s="68"/>
      <c r="N93" s="69"/>
      <c r="O93" s="68"/>
    </row>
    <row r="94" customFormat="false" ht="52.5" hidden="false" customHeight="true" outlineLevel="0" collapsed="false">
      <c r="A94" s="66" t="n">
        <v>3</v>
      </c>
      <c r="B94" s="67" t="s">
        <v>90</v>
      </c>
      <c r="C94" s="66" t="s">
        <v>110</v>
      </c>
      <c r="D94" s="66" t="n">
        <v>5</v>
      </c>
      <c r="E94" s="67" t="str">
        <f aca="false">IFERROR(INDEX('Master Data'!$L$2:$L$2436,MATCH($B$3&amp;"|"&amp;D94&amp;"|"&amp;B94&amp;"|"&amp;C94,'Master Data'!$A$2:$A$2436,0)),"")</f>
        <v>Slot kosong</v>
      </c>
      <c r="F94" s="67" t="str">
        <f aca="false">IFERROR(INDEX('Master Data'!$F$2:$F$2436,MATCH($B$3&amp;"|"&amp;D94&amp;"|"&amp;B94&amp;"|"&amp;C94,'Master Data'!$A$2:$A$2436,0))&amp;"","")</f>
        <v/>
      </c>
      <c r="G94" s="66" t="n">
        <f aca="false">IFERROR(INDEX('Master Data'!$G$2:$G$2436,MATCH($B$3&amp;"|"&amp;D94&amp;"|"&amp;B94&amp;"|"&amp;C94,'Master Data'!$A$2:$A$2436,0)),"")</f>
        <v>4</v>
      </c>
      <c r="H94" s="67" t="str">
        <f aca="false">IFERROR(INDEX('Master Data'!$K$2:$K$2436,MATCH($B$3&amp;"|"&amp;D94&amp;"|"&amp;B94&amp;"|"&amp;C94,'Master Data'!$A$2:$A$2436,0))&amp;"","")</f>
        <v/>
      </c>
      <c r="I94" s="67" t="s">
        <v>384</v>
      </c>
      <c r="J94" s="67" t="s">
        <v>134</v>
      </c>
      <c r="K94" s="68"/>
      <c r="L94" s="68"/>
      <c r="M94" s="68"/>
      <c r="N94" s="69"/>
      <c r="O94" s="68"/>
    </row>
    <row r="95" customFormat="false" ht="40.5" hidden="false" customHeight="true" outlineLevel="0" collapsed="false">
      <c r="A95" s="66" t="n">
        <v>4</v>
      </c>
      <c r="B95" s="67" t="s">
        <v>90</v>
      </c>
      <c r="C95" s="66" t="s">
        <v>96</v>
      </c>
      <c r="D95" s="66" t="n">
        <v>3</v>
      </c>
      <c r="E95" s="67" t="str">
        <f aca="false">IFERROR(INDEX('Master Data'!$L$2:$L$2436,MATCH($B$3&amp;"|"&amp;D95&amp;"|"&amp;B95&amp;"|"&amp;C95,'Master Data'!$A$2:$A$2436,0)),"")</f>
        <v>Belum terisi</v>
      </c>
      <c r="F95" s="67" t="str">
        <f aca="false">IFERROR(INDEX('Master Data'!$F$2:$F$2436,MATCH($B$3&amp;"|"&amp;D95&amp;"|"&amp;B95&amp;"|"&amp;C95,'Master Data'!$A$2:$A$2436,0))&amp;"","")</f>
        <v>Little</v>
      </c>
      <c r="G95" s="66" t="n">
        <f aca="false">IFERROR(INDEX('Master Data'!$G$2:$G$2436,MATCH($B$3&amp;"|"&amp;D95&amp;"|"&amp;B95&amp;"|"&amp;C95,'Master Data'!$A$2:$A$2436,0)),"")</f>
        <v>4</v>
      </c>
      <c r="H95" s="67" t="str">
        <f aca="false">IFERROR(INDEX('Master Data'!$K$2:$K$2436,MATCH($B$3&amp;"|"&amp;D95&amp;"|"&amp;B95&amp;"|"&amp;C95,'Master Data'!$A$2:$A$2436,0))&amp;"","")</f>
        <v/>
      </c>
      <c r="I95" s="67" t="s">
        <v>385</v>
      </c>
      <c r="J95" s="67" t="s">
        <v>134</v>
      </c>
      <c r="K95" s="68"/>
      <c r="L95" s="68"/>
      <c r="M95" s="68"/>
      <c r="N95" s="69"/>
      <c r="O95" s="68"/>
    </row>
    <row r="96" customFormat="false" ht="40.5" hidden="false" customHeight="true" outlineLevel="0" collapsed="false">
      <c r="A96" s="66" t="n">
        <v>5</v>
      </c>
      <c r="B96" s="67" t="s">
        <v>90</v>
      </c>
      <c r="C96" s="66" t="s">
        <v>96</v>
      </c>
      <c r="D96" s="66" t="n">
        <v>4</v>
      </c>
      <c r="E96" s="67" t="str">
        <f aca="false">IFERROR(INDEX('Master Data'!$L$2:$L$2436,MATCH($B$3&amp;"|"&amp;D96&amp;"|"&amp;B96&amp;"|"&amp;C96,'Master Data'!$A$2:$A$2436,0)),"")</f>
        <v>Belum terisi</v>
      </c>
      <c r="F96" s="67" t="str">
        <f aca="false">IFERROR(INDEX('Master Data'!$F$2:$F$2436,MATCH($B$3&amp;"|"&amp;D96&amp;"|"&amp;B96&amp;"|"&amp;C96,'Master Data'!$A$2:$A$2436,0))&amp;"","")</f>
        <v>Kids</v>
      </c>
      <c r="G96" s="66" t="n">
        <f aca="false">IFERROR(INDEX('Master Data'!$G$2:$G$2436,MATCH($B$3&amp;"|"&amp;D96&amp;"|"&amp;B96&amp;"|"&amp;C96,'Master Data'!$A$2:$A$2436,0)),"")</f>
        <v>4</v>
      </c>
      <c r="H96" s="67" t="str">
        <f aca="false">IFERROR(INDEX('Master Data'!$K$2:$K$2436,MATCH($B$3&amp;"|"&amp;D96&amp;"|"&amp;B96&amp;"|"&amp;C96,'Master Data'!$A$2:$A$2436,0))&amp;"","")</f>
        <v/>
      </c>
      <c r="I96" s="67" t="s">
        <v>385</v>
      </c>
      <c r="J96" s="67" t="s">
        <v>134</v>
      </c>
      <c r="K96" s="68"/>
      <c r="L96" s="68"/>
      <c r="M96" s="68"/>
      <c r="N96" s="69"/>
      <c r="O96" s="68"/>
    </row>
    <row r="97" customFormat="false" ht="40.5" hidden="false" customHeight="true" outlineLevel="0" collapsed="false">
      <c r="A97" s="66" t="n">
        <v>6</v>
      </c>
      <c r="B97" s="67" t="s">
        <v>90</v>
      </c>
      <c r="C97" s="66" t="s">
        <v>111</v>
      </c>
      <c r="D97" s="66" t="n">
        <v>1</v>
      </c>
      <c r="E97" s="67" t="str">
        <f aca="false">IFERROR(INDEX('Master Data'!$L$2:$L$2436,MATCH($B$3&amp;"|"&amp;D97&amp;"|"&amp;B97&amp;"|"&amp;C97,'Master Data'!$A$2:$A$2436,0)),"")</f>
        <v>Belum terisi</v>
      </c>
      <c r="F97" s="67" t="str">
        <f aca="false">IFERROR(INDEX('Master Data'!$F$2:$F$2436,MATCH($B$3&amp;"|"&amp;D97&amp;"|"&amp;B97&amp;"|"&amp;C97,'Master Data'!$A$2:$A$2436,0))&amp;"","")</f>
        <v>Baby</v>
      </c>
      <c r="G97" s="66" t="n">
        <f aca="false">IFERROR(INDEX('Master Data'!$G$2:$G$2436,MATCH($B$3&amp;"|"&amp;D97&amp;"|"&amp;B97&amp;"|"&amp;C97,'Master Data'!$A$2:$A$2436,0)),"")</f>
        <v>5</v>
      </c>
      <c r="H97" s="67" t="str">
        <f aca="false">IFERROR(INDEX('Master Data'!$K$2:$K$2436,MATCH($B$3&amp;"|"&amp;D97&amp;"|"&amp;B97&amp;"|"&amp;C97,'Master Data'!$A$2:$A$2436,0))&amp;"","")</f>
        <v/>
      </c>
      <c r="I97" s="67" t="s">
        <v>385</v>
      </c>
      <c r="J97" s="67" t="s">
        <v>134</v>
      </c>
      <c r="K97" s="68"/>
      <c r="L97" s="68"/>
      <c r="M97" s="68"/>
      <c r="N97" s="69"/>
      <c r="O97" s="68"/>
    </row>
    <row r="98" customFormat="false" ht="40.5" hidden="false" customHeight="true" outlineLevel="0" collapsed="false">
      <c r="A98" s="66" t="n">
        <v>7</v>
      </c>
      <c r="B98" s="67" t="s">
        <v>90</v>
      </c>
      <c r="C98" s="66" t="s">
        <v>111</v>
      </c>
      <c r="D98" s="66" t="n">
        <v>5</v>
      </c>
      <c r="E98" s="67" t="str">
        <f aca="false">IFERROR(INDEX('Master Data'!$L$2:$L$2436,MATCH($B$3&amp;"|"&amp;D98&amp;"|"&amp;B98&amp;"|"&amp;C98,'Master Data'!$A$2:$A$2436,0)),"")</f>
        <v>Slot kosong</v>
      </c>
      <c r="F98" s="67" t="str">
        <f aca="false">IFERROR(INDEX('Master Data'!$F$2:$F$2436,MATCH($B$3&amp;"|"&amp;D98&amp;"|"&amp;B98&amp;"|"&amp;C98,'Master Data'!$A$2:$A$2436,0))&amp;"","")</f>
        <v/>
      </c>
      <c r="G98" s="66" t="n">
        <f aca="false">IFERROR(INDEX('Master Data'!$G$2:$G$2436,MATCH($B$3&amp;"|"&amp;D98&amp;"|"&amp;B98&amp;"|"&amp;C98,'Master Data'!$A$2:$A$2436,0)),"")</f>
        <v>4</v>
      </c>
      <c r="H98" s="67" t="str">
        <f aca="false">IFERROR(INDEX('Master Data'!$K$2:$K$2436,MATCH($B$3&amp;"|"&amp;D98&amp;"|"&amp;B98&amp;"|"&amp;C98,'Master Data'!$A$2:$A$2436,0))&amp;"","")</f>
        <v/>
      </c>
      <c r="I98" s="67" t="s">
        <v>385</v>
      </c>
      <c r="J98" s="67" t="s">
        <v>134</v>
      </c>
      <c r="K98" s="68"/>
      <c r="L98" s="68"/>
      <c r="M98" s="68"/>
      <c r="N98" s="69"/>
      <c r="O98" s="68"/>
    </row>
    <row r="99" customFormat="false" ht="40.5" hidden="false" customHeight="true" outlineLevel="0" collapsed="false">
      <c r="A99" s="66" t="n">
        <v>8</v>
      </c>
      <c r="B99" s="67" t="s">
        <v>90</v>
      </c>
      <c r="C99" s="66" t="s">
        <v>97</v>
      </c>
      <c r="D99" s="66" t="n">
        <v>3</v>
      </c>
      <c r="E99" s="67" t="str">
        <f aca="false">IFERROR(INDEX('Master Data'!$L$2:$L$2436,MATCH($B$3&amp;"|"&amp;D99&amp;"|"&amp;B99&amp;"|"&amp;C99,'Master Data'!$A$2:$A$2436,0)),"")</f>
        <v>Belum terisi</v>
      </c>
      <c r="F99" s="67" t="str">
        <f aca="false">IFERROR(INDEX('Master Data'!$F$2:$F$2436,MATCH($B$3&amp;"|"&amp;D99&amp;"|"&amp;B99&amp;"|"&amp;C99,'Master Data'!$A$2:$A$2436,0))&amp;"","")</f>
        <v>Little</v>
      </c>
      <c r="G99" s="66" t="n">
        <f aca="false">IFERROR(INDEX('Master Data'!$G$2:$G$2436,MATCH($B$3&amp;"|"&amp;D99&amp;"|"&amp;B99&amp;"|"&amp;C99,'Master Data'!$A$2:$A$2436,0)),"")</f>
        <v>4</v>
      </c>
      <c r="H99" s="67" t="str">
        <f aca="false">IFERROR(INDEX('Master Data'!$K$2:$K$2436,MATCH($B$3&amp;"|"&amp;D99&amp;"|"&amp;B99&amp;"|"&amp;C99,'Master Data'!$A$2:$A$2436,0))&amp;"","")</f>
        <v/>
      </c>
      <c r="I99" s="67" t="s">
        <v>385</v>
      </c>
      <c r="J99" s="67" t="s">
        <v>134</v>
      </c>
      <c r="K99" s="68"/>
      <c r="L99" s="68"/>
      <c r="M99" s="68"/>
      <c r="N99" s="69"/>
      <c r="O99" s="68"/>
    </row>
    <row r="100" customFormat="false" ht="40.5" hidden="false" customHeight="true" outlineLevel="0" collapsed="false">
      <c r="A100" s="66" t="n">
        <v>9</v>
      </c>
      <c r="B100" s="67" t="s">
        <v>90</v>
      </c>
      <c r="C100" s="66" t="s">
        <v>97</v>
      </c>
      <c r="D100" s="66" t="n">
        <v>4</v>
      </c>
      <c r="E100" s="67" t="str">
        <f aca="false">IFERROR(INDEX('Master Data'!$L$2:$L$2436,MATCH($B$3&amp;"|"&amp;D100&amp;"|"&amp;B100&amp;"|"&amp;C100,'Master Data'!$A$2:$A$2436,0)),"")</f>
        <v>Belum terisi</v>
      </c>
      <c r="F100" s="67" t="str">
        <f aca="false">IFERROR(INDEX('Master Data'!$F$2:$F$2436,MATCH($B$3&amp;"|"&amp;D100&amp;"|"&amp;B100&amp;"|"&amp;C100,'Master Data'!$A$2:$A$2436,0))&amp;"","")</f>
        <v>Kids</v>
      </c>
      <c r="G100" s="66" t="n">
        <f aca="false">IFERROR(INDEX('Master Data'!$G$2:$G$2436,MATCH($B$3&amp;"|"&amp;D100&amp;"|"&amp;B100&amp;"|"&amp;C100,'Master Data'!$A$2:$A$2436,0)),"")</f>
        <v>4</v>
      </c>
      <c r="H100" s="67" t="str">
        <f aca="false">IFERROR(INDEX('Master Data'!$K$2:$K$2436,MATCH($B$3&amp;"|"&amp;D100&amp;"|"&amp;B100&amp;"|"&amp;C100,'Master Data'!$A$2:$A$2436,0))&amp;"","")</f>
        <v/>
      </c>
      <c r="I100" s="67" t="s">
        <v>385</v>
      </c>
      <c r="J100" s="67" t="s">
        <v>134</v>
      </c>
      <c r="K100" s="68"/>
      <c r="L100" s="68"/>
      <c r="M100" s="68"/>
      <c r="N100" s="69"/>
      <c r="O100" s="68"/>
    </row>
    <row r="101" customFormat="false" ht="52.5" hidden="false" customHeight="true" outlineLevel="0" collapsed="false">
      <c r="A101" s="66" t="n">
        <v>10</v>
      </c>
      <c r="B101" s="67" t="s">
        <v>90</v>
      </c>
      <c r="C101" s="66" t="s">
        <v>112</v>
      </c>
      <c r="D101" s="66" t="n">
        <v>1</v>
      </c>
      <c r="E101" s="67" t="str">
        <f aca="false">IFERROR(INDEX('Master Data'!$L$2:$L$2436,MATCH($B$3&amp;"|"&amp;D101&amp;"|"&amp;B101&amp;"|"&amp;C101,'Master Data'!$A$2:$A$2436,0)),"")</f>
        <v>Belum terisi</v>
      </c>
      <c r="F101" s="67" t="str">
        <f aca="false">IFERROR(INDEX('Master Data'!$F$2:$F$2436,MATCH($B$3&amp;"|"&amp;D101&amp;"|"&amp;B101&amp;"|"&amp;C101,'Master Data'!$A$2:$A$2436,0))&amp;"","")</f>
        <v>Baby</v>
      </c>
      <c r="G101" s="66" t="n">
        <f aca="false">IFERROR(INDEX('Master Data'!$G$2:$G$2436,MATCH($B$3&amp;"|"&amp;D101&amp;"|"&amp;B101&amp;"|"&amp;C101,'Master Data'!$A$2:$A$2436,0)),"")</f>
        <v>5</v>
      </c>
      <c r="H101" s="67" t="str">
        <f aca="false">IFERROR(INDEX('Master Data'!$K$2:$K$2436,MATCH($B$3&amp;"|"&amp;D101&amp;"|"&amp;B101&amp;"|"&amp;C101,'Master Data'!$A$2:$A$2436,0))&amp;"","")</f>
        <v/>
      </c>
      <c r="I101" s="67" t="s">
        <v>384</v>
      </c>
      <c r="J101" s="67" t="s">
        <v>134</v>
      </c>
      <c r="K101" s="68"/>
      <c r="L101" s="68"/>
      <c r="M101" s="68"/>
      <c r="N101" s="69"/>
      <c r="O101" s="68"/>
    </row>
    <row r="102" customFormat="false" ht="52.5" hidden="false" customHeight="true" outlineLevel="0" collapsed="false">
      <c r="A102" s="66" t="n">
        <v>11</v>
      </c>
      <c r="B102" s="67" t="s">
        <v>90</v>
      </c>
      <c r="C102" s="66" t="s">
        <v>112</v>
      </c>
      <c r="D102" s="66" t="n">
        <v>2</v>
      </c>
      <c r="E102" s="67" t="str">
        <f aca="false">IFERROR(INDEX('Master Data'!$L$2:$L$2436,MATCH($B$3&amp;"|"&amp;D102&amp;"|"&amp;B102&amp;"|"&amp;C102,'Master Data'!$A$2:$A$2436,0)),"")</f>
        <v>Belum terisi</v>
      </c>
      <c r="F102" s="67" t="str">
        <f aca="false">IFERROR(INDEX('Master Data'!$F$2:$F$2436,MATCH($B$3&amp;"|"&amp;D102&amp;"|"&amp;B102&amp;"|"&amp;C102,'Master Data'!$A$2:$A$2436,0))&amp;"","")</f>
        <v>Tiny</v>
      </c>
      <c r="G102" s="66" t="n">
        <f aca="false">IFERROR(INDEX('Master Data'!$G$2:$G$2436,MATCH($B$3&amp;"|"&amp;D102&amp;"|"&amp;B102&amp;"|"&amp;C102,'Master Data'!$A$2:$A$2436,0)),"")</f>
        <v>5</v>
      </c>
      <c r="H102" s="67" t="str">
        <f aca="false">IFERROR(INDEX('Master Data'!$K$2:$K$2436,MATCH($B$3&amp;"|"&amp;D102&amp;"|"&amp;B102&amp;"|"&amp;C102,'Master Data'!$A$2:$A$2436,0))&amp;"","")</f>
        <v/>
      </c>
      <c r="I102" s="67" t="s">
        <v>384</v>
      </c>
      <c r="J102" s="67" t="s">
        <v>134</v>
      </c>
      <c r="K102" s="68"/>
      <c r="L102" s="68"/>
      <c r="M102" s="68"/>
      <c r="N102" s="69"/>
      <c r="O102" s="68"/>
    </row>
    <row r="103" customFormat="false" ht="52.5" hidden="false" customHeight="true" outlineLevel="0" collapsed="false">
      <c r="A103" s="66" t="n">
        <v>12</v>
      </c>
      <c r="B103" s="67" t="s">
        <v>90</v>
      </c>
      <c r="C103" s="66" t="s">
        <v>112</v>
      </c>
      <c r="D103" s="66" t="n">
        <v>5</v>
      </c>
      <c r="E103" s="67" t="str">
        <f aca="false">IFERROR(INDEX('Master Data'!$L$2:$L$2436,MATCH($B$3&amp;"|"&amp;D103&amp;"|"&amp;B103&amp;"|"&amp;C103,'Master Data'!$A$2:$A$2436,0)),"")</f>
        <v>Slot kosong</v>
      </c>
      <c r="F103" s="67" t="str">
        <f aca="false">IFERROR(INDEX('Master Data'!$F$2:$F$2436,MATCH($B$3&amp;"|"&amp;D103&amp;"|"&amp;B103&amp;"|"&amp;C103,'Master Data'!$A$2:$A$2436,0))&amp;"","")</f>
        <v/>
      </c>
      <c r="G103" s="66" t="n">
        <f aca="false">IFERROR(INDEX('Master Data'!$G$2:$G$2436,MATCH($B$3&amp;"|"&amp;D103&amp;"|"&amp;B103&amp;"|"&amp;C103,'Master Data'!$A$2:$A$2436,0)),"")</f>
        <v>4</v>
      </c>
      <c r="H103" s="67" t="str">
        <f aca="false">IFERROR(INDEX('Master Data'!$K$2:$K$2436,MATCH($B$3&amp;"|"&amp;D103&amp;"|"&amp;B103&amp;"|"&amp;C103,'Master Data'!$A$2:$A$2436,0))&amp;"","")</f>
        <v/>
      </c>
      <c r="I103" s="67" t="s">
        <v>384</v>
      </c>
      <c r="J103" s="67" t="s">
        <v>134</v>
      </c>
      <c r="K103" s="68"/>
      <c r="L103" s="68"/>
      <c r="M103" s="68"/>
      <c r="N103" s="69"/>
      <c r="O103" s="68"/>
    </row>
    <row r="104" customFormat="false" ht="52.5" hidden="false" customHeight="true" outlineLevel="0" collapsed="false">
      <c r="A104" s="66" t="n">
        <v>13</v>
      </c>
      <c r="B104" s="67" t="s">
        <v>90</v>
      </c>
      <c r="C104" s="66" t="s">
        <v>98</v>
      </c>
      <c r="D104" s="66" t="n">
        <v>3</v>
      </c>
      <c r="E104" s="67" t="str">
        <f aca="false">IFERROR(INDEX('Master Data'!$L$2:$L$2436,MATCH($B$3&amp;"|"&amp;D104&amp;"|"&amp;B104&amp;"|"&amp;C104,'Master Data'!$A$2:$A$2436,0)),"")</f>
        <v>Belum terisi</v>
      </c>
      <c r="F104" s="67" t="str">
        <f aca="false">IFERROR(INDEX('Master Data'!$F$2:$F$2436,MATCH($B$3&amp;"|"&amp;D104&amp;"|"&amp;B104&amp;"|"&amp;C104,'Master Data'!$A$2:$A$2436,0))&amp;"","")</f>
        <v>Little</v>
      </c>
      <c r="G104" s="66" t="n">
        <f aca="false">IFERROR(INDEX('Master Data'!$G$2:$G$2436,MATCH($B$3&amp;"|"&amp;D104&amp;"|"&amp;B104&amp;"|"&amp;C104,'Master Data'!$A$2:$A$2436,0)),"")</f>
        <v>4</v>
      </c>
      <c r="H104" s="67" t="str">
        <f aca="false">IFERROR(INDEX('Master Data'!$K$2:$K$2436,MATCH($B$3&amp;"|"&amp;D104&amp;"|"&amp;B104&amp;"|"&amp;C104,'Master Data'!$A$2:$A$2436,0))&amp;"","")</f>
        <v/>
      </c>
      <c r="I104" s="67" t="s">
        <v>384</v>
      </c>
      <c r="J104" s="67" t="s">
        <v>134</v>
      </c>
      <c r="K104" s="68"/>
      <c r="L104" s="68"/>
      <c r="M104" s="68"/>
      <c r="N104" s="69"/>
      <c r="O104" s="68"/>
    </row>
    <row r="105" customFormat="false" ht="52.5" hidden="false" customHeight="true" outlineLevel="0" collapsed="false">
      <c r="A105" s="66" t="n">
        <v>14</v>
      </c>
      <c r="B105" s="67" t="s">
        <v>90</v>
      </c>
      <c r="C105" s="66" t="s">
        <v>98</v>
      </c>
      <c r="D105" s="66" t="n">
        <v>4</v>
      </c>
      <c r="E105" s="67" t="str">
        <f aca="false">IFERROR(INDEX('Master Data'!$L$2:$L$2436,MATCH($B$3&amp;"|"&amp;D105&amp;"|"&amp;B105&amp;"|"&amp;C105,'Master Data'!$A$2:$A$2436,0)),"")</f>
        <v>Belum terisi</v>
      </c>
      <c r="F105" s="67" t="str">
        <f aca="false">IFERROR(INDEX('Master Data'!$F$2:$F$2436,MATCH($B$3&amp;"|"&amp;D105&amp;"|"&amp;B105&amp;"|"&amp;C105,'Master Data'!$A$2:$A$2436,0))&amp;"","")</f>
        <v>Kids</v>
      </c>
      <c r="G105" s="66" t="n">
        <f aca="false">IFERROR(INDEX('Master Data'!$G$2:$G$2436,MATCH($B$3&amp;"|"&amp;D105&amp;"|"&amp;B105&amp;"|"&amp;C105,'Master Data'!$A$2:$A$2436,0)),"")</f>
        <v>4</v>
      </c>
      <c r="H105" s="67" t="str">
        <f aca="false">IFERROR(INDEX('Master Data'!$K$2:$K$2436,MATCH($B$3&amp;"|"&amp;D105&amp;"|"&amp;B105&amp;"|"&amp;C105,'Master Data'!$A$2:$A$2436,0))&amp;"","")</f>
        <v/>
      </c>
      <c r="I105" s="67" t="s">
        <v>384</v>
      </c>
      <c r="J105" s="67" t="s">
        <v>134</v>
      </c>
      <c r="K105" s="68"/>
      <c r="L105" s="68"/>
      <c r="M105" s="68"/>
      <c r="N105" s="69"/>
      <c r="O105" s="68"/>
    </row>
    <row r="106" customFormat="false" ht="52.5" hidden="false" customHeight="true" outlineLevel="0" collapsed="false">
      <c r="A106" s="66" t="n">
        <v>15</v>
      </c>
      <c r="B106" s="67" t="s">
        <v>90</v>
      </c>
      <c r="C106" s="66" t="s">
        <v>113</v>
      </c>
      <c r="D106" s="66" t="n">
        <v>1</v>
      </c>
      <c r="E106" s="67" t="str">
        <f aca="false">IFERROR(INDEX('Master Data'!$L$2:$L$2436,MATCH($B$3&amp;"|"&amp;D106&amp;"|"&amp;B106&amp;"|"&amp;C106,'Master Data'!$A$2:$A$2436,0)),"")</f>
        <v>Belum terisi</v>
      </c>
      <c r="F106" s="67" t="str">
        <f aca="false">IFERROR(INDEX('Master Data'!$F$2:$F$2436,MATCH($B$3&amp;"|"&amp;D106&amp;"|"&amp;B106&amp;"|"&amp;C106,'Master Data'!$A$2:$A$2436,0))&amp;"","")</f>
        <v>Baby</v>
      </c>
      <c r="G106" s="66" t="n">
        <f aca="false">IFERROR(INDEX('Master Data'!$G$2:$G$2436,MATCH($B$3&amp;"|"&amp;D106&amp;"|"&amp;B106&amp;"|"&amp;C106,'Master Data'!$A$2:$A$2436,0)),"")</f>
        <v>5</v>
      </c>
      <c r="H106" s="67" t="str">
        <f aca="false">IFERROR(INDEX('Master Data'!$K$2:$K$2436,MATCH($B$3&amp;"|"&amp;D106&amp;"|"&amp;B106&amp;"|"&amp;C106,'Master Data'!$A$2:$A$2436,0))&amp;"","")</f>
        <v/>
      </c>
      <c r="I106" s="67" t="s">
        <v>384</v>
      </c>
      <c r="J106" s="67" t="s">
        <v>134</v>
      </c>
      <c r="K106" s="68"/>
      <c r="L106" s="68"/>
      <c r="M106" s="68"/>
      <c r="N106" s="69"/>
      <c r="O106" s="68"/>
    </row>
    <row r="107" customFormat="false" ht="52.5" hidden="false" customHeight="true" outlineLevel="0" collapsed="false">
      <c r="A107" s="66" t="n">
        <v>16</v>
      </c>
      <c r="B107" s="67" t="s">
        <v>90</v>
      </c>
      <c r="C107" s="66" t="s">
        <v>113</v>
      </c>
      <c r="D107" s="66" t="n">
        <v>2</v>
      </c>
      <c r="E107" s="67" t="str">
        <f aca="false">IFERROR(INDEX('Master Data'!$L$2:$L$2436,MATCH($B$3&amp;"|"&amp;D107&amp;"|"&amp;B107&amp;"|"&amp;C107,'Master Data'!$A$2:$A$2436,0)),"")</f>
        <v>Belum terisi</v>
      </c>
      <c r="F107" s="67" t="str">
        <f aca="false">IFERROR(INDEX('Master Data'!$F$2:$F$2436,MATCH($B$3&amp;"|"&amp;D107&amp;"|"&amp;B107&amp;"|"&amp;C107,'Master Data'!$A$2:$A$2436,0))&amp;"","")</f>
        <v>Tiny</v>
      </c>
      <c r="G107" s="66" t="n">
        <f aca="false">IFERROR(INDEX('Master Data'!$G$2:$G$2436,MATCH($B$3&amp;"|"&amp;D107&amp;"|"&amp;B107&amp;"|"&amp;C107,'Master Data'!$A$2:$A$2436,0)),"")</f>
        <v>5</v>
      </c>
      <c r="H107" s="67" t="str">
        <f aca="false">IFERROR(INDEX('Master Data'!$K$2:$K$2436,MATCH($B$3&amp;"|"&amp;D107&amp;"|"&amp;B107&amp;"|"&amp;C107,'Master Data'!$A$2:$A$2436,0))&amp;"","")</f>
        <v/>
      </c>
      <c r="I107" s="67" t="s">
        <v>384</v>
      </c>
      <c r="J107" s="67" t="s">
        <v>134</v>
      </c>
      <c r="K107" s="68"/>
      <c r="L107" s="68"/>
      <c r="M107" s="68"/>
      <c r="N107" s="69"/>
      <c r="O107" s="68"/>
    </row>
    <row r="108" customFormat="false" ht="52.5" hidden="false" customHeight="true" outlineLevel="0" collapsed="false">
      <c r="A108" s="66" t="n">
        <v>17</v>
      </c>
      <c r="B108" s="67" t="s">
        <v>90</v>
      </c>
      <c r="C108" s="66" t="s">
        <v>113</v>
      </c>
      <c r="D108" s="66" t="n">
        <v>5</v>
      </c>
      <c r="E108" s="67" t="str">
        <f aca="false">IFERROR(INDEX('Master Data'!$L$2:$L$2436,MATCH($B$3&amp;"|"&amp;D108&amp;"|"&amp;B108&amp;"|"&amp;C108,'Master Data'!$A$2:$A$2436,0)),"")</f>
        <v>Slot kosong</v>
      </c>
      <c r="F108" s="67" t="str">
        <f aca="false">IFERROR(INDEX('Master Data'!$F$2:$F$2436,MATCH($B$3&amp;"|"&amp;D108&amp;"|"&amp;B108&amp;"|"&amp;C108,'Master Data'!$A$2:$A$2436,0))&amp;"","")</f>
        <v/>
      </c>
      <c r="G108" s="66" t="n">
        <f aca="false">IFERROR(INDEX('Master Data'!$G$2:$G$2436,MATCH($B$3&amp;"|"&amp;D108&amp;"|"&amp;B108&amp;"|"&amp;C108,'Master Data'!$A$2:$A$2436,0)),"")</f>
        <v>4</v>
      </c>
      <c r="H108" s="67" t="str">
        <f aca="false">IFERROR(INDEX('Master Data'!$K$2:$K$2436,MATCH($B$3&amp;"|"&amp;D108&amp;"|"&amp;B108&amp;"|"&amp;C108,'Master Data'!$A$2:$A$2436,0))&amp;"","")</f>
        <v/>
      </c>
      <c r="I108" s="67" t="s">
        <v>384</v>
      </c>
      <c r="J108" s="67" t="s">
        <v>134</v>
      </c>
      <c r="K108" s="68"/>
      <c r="L108" s="68"/>
      <c r="M108" s="68"/>
      <c r="N108" s="69"/>
      <c r="O108" s="68"/>
    </row>
    <row r="109" customFormat="false" ht="52.5" hidden="false" customHeight="true" outlineLevel="0" collapsed="false">
      <c r="A109" s="66" t="n">
        <v>18</v>
      </c>
      <c r="B109" s="67" t="s">
        <v>90</v>
      </c>
      <c r="C109" s="66" t="s">
        <v>99</v>
      </c>
      <c r="D109" s="66" t="n">
        <v>3</v>
      </c>
      <c r="E109" s="67" t="str">
        <f aca="false">IFERROR(INDEX('Master Data'!$L$2:$L$2436,MATCH($B$3&amp;"|"&amp;D109&amp;"|"&amp;B109&amp;"|"&amp;C109,'Master Data'!$A$2:$A$2436,0)),"")</f>
        <v>Belum terisi</v>
      </c>
      <c r="F109" s="67" t="str">
        <f aca="false">IFERROR(INDEX('Master Data'!$F$2:$F$2436,MATCH($B$3&amp;"|"&amp;D109&amp;"|"&amp;B109&amp;"|"&amp;C109,'Master Data'!$A$2:$A$2436,0))&amp;"","")</f>
        <v>Little</v>
      </c>
      <c r="G109" s="66" t="n">
        <f aca="false">IFERROR(INDEX('Master Data'!$G$2:$G$2436,MATCH($B$3&amp;"|"&amp;D109&amp;"|"&amp;B109&amp;"|"&amp;C109,'Master Data'!$A$2:$A$2436,0)),"")</f>
        <v>4</v>
      </c>
      <c r="H109" s="67" t="str">
        <f aca="false">IFERROR(INDEX('Master Data'!$K$2:$K$2436,MATCH($B$3&amp;"|"&amp;D109&amp;"|"&amp;B109&amp;"|"&amp;C109,'Master Data'!$A$2:$A$2436,0))&amp;"","")</f>
        <v/>
      </c>
      <c r="I109" s="67" t="s">
        <v>384</v>
      </c>
      <c r="J109" s="67" t="s">
        <v>134</v>
      </c>
      <c r="K109" s="68"/>
      <c r="L109" s="68"/>
      <c r="M109" s="68"/>
      <c r="N109" s="69"/>
      <c r="O109" s="68"/>
    </row>
    <row r="110" customFormat="false" ht="52.5" hidden="false" customHeight="true" outlineLevel="0" collapsed="false">
      <c r="A110" s="66" t="n">
        <v>19</v>
      </c>
      <c r="B110" s="67" t="s">
        <v>90</v>
      </c>
      <c r="C110" s="66" t="s">
        <v>99</v>
      </c>
      <c r="D110" s="66" t="n">
        <v>4</v>
      </c>
      <c r="E110" s="67" t="str">
        <f aca="false">IFERROR(INDEX('Master Data'!$L$2:$L$2436,MATCH($B$3&amp;"|"&amp;D110&amp;"|"&amp;B110&amp;"|"&amp;C110,'Master Data'!$A$2:$A$2436,0)),"")</f>
        <v>Belum terisi</v>
      </c>
      <c r="F110" s="67" t="str">
        <f aca="false">IFERROR(INDEX('Master Data'!$F$2:$F$2436,MATCH($B$3&amp;"|"&amp;D110&amp;"|"&amp;B110&amp;"|"&amp;C110,'Master Data'!$A$2:$A$2436,0))&amp;"","")</f>
        <v>Kids</v>
      </c>
      <c r="G110" s="66" t="n">
        <f aca="false">IFERROR(INDEX('Master Data'!$G$2:$G$2436,MATCH($B$3&amp;"|"&amp;D110&amp;"|"&amp;B110&amp;"|"&amp;C110,'Master Data'!$A$2:$A$2436,0)),"")</f>
        <v>4</v>
      </c>
      <c r="H110" s="67" t="str">
        <f aca="false">IFERROR(INDEX('Master Data'!$K$2:$K$2436,MATCH($B$3&amp;"|"&amp;D110&amp;"|"&amp;B110&amp;"|"&amp;C110,'Master Data'!$A$2:$A$2436,0))&amp;"","")</f>
        <v/>
      </c>
      <c r="I110" s="67" t="s">
        <v>384</v>
      </c>
      <c r="J110" s="67" t="s">
        <v>134</v>
      </c>
      <c r="K110" s="68"/>
      <c r="L110" s="68"/>
      <c r="M110" s="68"/>
      <c r="N110" s="69"/>
      <c r="O110" s="68"/>
    </row>
    <row r="111" customFormat="false" ht="52.5" hidden="false" customHeight="true" outlineLevel="0" collapsed="false">
      <c r="A111" s="66" t="n">
        <v>20</v>
      </c>
      <c r="B111" s="67" t="s">
        <v>90</v>
      </c>
      <c r="C111" s="66" t="s">
        <v>114</v>
      </c>
      <c r="D111" s="66" t="n">
        <v>1</v>
      </c>
      <c r="E111" s="67" t="str">
        <f aca="false">IFERROR(INDEX('Master Data'!$L$2:$L$2436,MATCH($B$3&amp;"|"&amp;D111&amp;"|"&amp;B111&amp;"|"&amp;C111,'Master Data'!$A$2:$A$2436,0)),"")</f>
        <v>Belum terisi</v>
      </c>
      <c r="F111" s="67" t="str">
        <f aca="false">IFERROR(INDEX('Master Data'!$F$2:$F$2436,MATCH($B$3&amp;"|"&amp;D111&amp;"|"&amp;B111&amp;"|"&amp;C111,'Master Data'!$A$2:$A$2436,0))&amp;"","")</f>
        <v>Baby</v>
      </c>
      <c r="G111" s="66" t="n">
        <f aca="false">IFERROR(INDEX('Master Data'!$G$2:$G$2436,MATCH($B$3&amp;"|"&amp;D111&amp;"|"&amp;B111&amp;"|"&amp;C111,'Master Data'!$A$2:$A$2436,0)),"")</f>
        <v>5</v>
      </c>
      <c r="H111" s="67" t="str">
        <f aca="false">IFERROR(INDEX('Master Data'!$K$2:$K$2436,MATCH($B$3&amp;"|"&amp;D111&amp;"|"&amp;B111&amp;"|"&amp;C111,'Master Data'!$A$2:$A$2436,0))&amp;"","")</f>
        <v/>
      </c>
      <c r="I111" s="67" t="s">
        <v>384</v>
      </c>
      <c r="J111" s="67" t="s">
        <v>134</v>
      </c>
      <c r="K111" s="68"/>
      <c r="L111" s="68"/>
      <c r="M111" s="68"/>
      <c r="N111" s="69"/>
      <c r="O111" s="68"/>
    </row>
    <row r="112" customFormat="false" ht="52.5" hidden="false" customHeight="true" outlineLevel="0" collapsed="false">
      <c r="A112" s="66" t="n">
        <v>21</v>
      </c>
      <c r="B112" s="67" t="s">
        <v>90</v>
      </c>
      <c r="C112" s="66" t="s">
        <v>114</v>
      </c>
      <c r="D112" s="66" t="n">
        <v>2</v>
      </c>
      <c r="E112" s="67" t="str">
        <f aca="false">IFERROR(INDEX('Master Data'!$L$2:$L$2436,MATCH($B$3&amp;"|"&amp;D112&amp;"|"&amp;B112&amp;"|"&amp;C112,'Master Data'!$A$2:$A$2436,0)),"")</f>
        <v>Belum terisi</v>
      </c>
      <c r="F112" s="67" t="str">
        <f aca="false">IFERROR(INDEX('Master Data'!$F$2:$F$2436,MATCH($B$3&amp;"|"&amp;D112&amp;"|"&amp;B112&amp;"|"&amp;C112,'Master Data'!$A$2:$A$2436,0))&amp;"","")</f>
        <v>Tiny</v>
      </c>
      <c r="G112" s="66" t="n">
        <f aca="false">IFERROR(INDEX('Master Data'!$G$2:$G$2436,MATCH($B$3&amp;"|"&amp;D112&amp;"|"&amp;B112&amp;"|"&amp;C112,'Master Data'!$A$2:$A$2436,0)),"")</f>
        <v>5</v>
      </c>
      <c r="H112" s="67" t="str">
        <f aca="false">IFERROR(INDEX('Master Data'!$K$2:$K$2436,MATCH($B$3&amp;"|"&amp;D112&amp;"|"&amp;B112&amp;"|"&amp;C112,'Master Data'!$A$2:$A$2436,0))&amp;"","")</f>
        <v/>
      </c>
      <c r="I112" s="67" t="s">
        <v>384</v>
      </c>
      <c r="J112" s="67" t="s">
        <v>134</v>
      </c>
      <c r="K112" s="68"/>
      <c r="L112" s="68"/>
      <c r="M112" s="68"/>
      <c r="N112" s="69"/>
      <c r="O112" s="68"/>
    </row>
    <row r="113" customFormat="false" ht="52.5" hidden="false" customHeight="true" outlineLevel="0" collapsed="false">
      <c r="A113" s="66" t="n">
        <v>22</v>
      </c>
      <c r="B113" s="67" t="s">
        <v>90</v>
      </c>
      <c r="C113" s="66" t="s">
        <v>114</v>
      </c>
      <c r="D113" s="66" t="n">
        <v>5</v>
      </c>
      <c r="E113" s="67" t="str">
        <f aca="false">IFERROR(INDEX('Master Data'!$L$2:$L$2436,MATCH($B$3&amp;"|"&amp;D113&amp;"|"&amp;B113&amp;"|"&amp;C113,'Master Data'!$A$2:$A$2436,0)),"")</f>
        <v>Slot kosong</v>
      </c>
      <c r="F113" s="67" t="str">
        <f aca="false">IFERROR(INDEX('Master Data'!$F$2:$F$2436,MATCH($B$3&amp;"|"&amp;D113&amp;"|"&amp;B113&amp;"|"&amp;C113,'Master Data'!$A$2:$A$2436,0))&amp;"","")</f>
        <v/>
      </c>
      <c r="G113" s="66" t="n">
        <f aca="false">IFERROR(INDEX('Master Data'!$G$2:$G$2436,MATCH($B$3&amp;"|"&amp;D113&amp;"|"&amp;B113&amp;"|"&amp;C113,'Master Data'!$A$2:$A$2436,0)),"")</f>
        <v>4</v>
      </c>
      <c r="H113" s="67" t="str">
        <f aca="false">IFERROR(INDEX('Master Data'!$K$2:$K$2436,MATCH($B$3&amp;"|"&amp;D113&amp;"|"&amp;B113&amp;"|"&amp;C113,'Master Data'!$A$2:$A$2436,0))&amp;"","")</f>
        <v/>
      </c>
      <c r="I113" s="67" t="s">
        <v>384</v>
      </c>
      <c r="J113" s="67" t="s">
        <v>134</v>
      </c>
      <c r="K113" s="68"/>
      <c r="L113" s="68"/>
      <c r="M113" s="68"/>
      <c r="N113" s="69"/>
      <c r="O113" s="68"/>
    </row>
    <row r="114" customFormat="false" ht="52.5" hidden="false" customHeight="true" outlineLevel="0" collapsed="false">
      <c r="A114" s="66" t="n">
        <v>23</v>
      </c>
      <c r="B114" s="67" t="s">
        <v>90</v>
      </c>
      <c r="C114" s="66" t="s">
        <v>100</v>
      </c>
      <c r="D114" s="66" t="n">
        <v>3</v>
      </c>
      <c r="E114" s="67" t="str">
        <f aca="false">IFERROR(INDEX('Master Data'!$L$2:$L$2436,MATCH($B$3&amp;"|"&amp;D114&amp;"|"&amp;B114&amp;"|"&amp;C114,'Master Data'!$A$2:$A$2436,0)),"")</f>
        <v>Belum terisi</v>
      </c>
      <c r="F114" s="67" t="str">
        <f aca="false">IFERROR(INDEX('Master Data'!$F$2:$F$2436,MATCH($B$3&amp;"|"&amp;D114&amp;"|"&amp;B114&amp;"|"&amp;C114,'Master Data'!$A$2:$A$2436,0))&amp;"","")</f>
        <v>Little</v>
      </c>
      <c r="G114" s="66" t="n">
        <f aca="false">IFERROR(INDEX('Master Data'!$G$2:$G$2436,MATCH($B$3&amp;"|"&amp;D114&amp;"|"&amp;B114&amp;"|"&amp;C114,'Master Data'!$A$2:$A$2436,0)),"")</f>
        <v>4</v>
      </c>
      <c r="H114" s="67" t="str">
        <f aca="false">IFERROR(INDEX('Master Data'!$K$2:$K$2436,MATCH($B$3&amp;"|"&amp;D114&amp;"|"&amp;B114&amp;"|"&amp;C114,'Master Data'!$A$2:$A$2436,0))&amp;"","")</f>
        <v/>
      </c>
      <c r="I114" s="67" t="s">
        <v>384</v>
      </c>
      <c r="J114" s="67" t="s">
        <v>134</v>
      </c>
      <c r="K114" s="68"/>
      <c r="L114" s="68"/>
      <c r="M114" s="68"/>
      <c r="N114" s="69"/>
      <c r="O114" s="68"/>
    </row>
    <row r="115" customFormat="false" ht="52.5" hidden="false" customHeight="true" outlineLevel="0" collapsed="false">
      <c r="A115" s="66" t="n">
        <v>24</v>
      </c>
      <c r="B115" s="67" t="s">
        <v>90</v>
      </c>
      <c r="C115" s="66" t="s">
        <v>100</v>
      </c>
      <c r="D115" s="66" t="n">
        <v>4</v>
      </c>
      <c r="E115" s="67" t="str">
        <f aca="false">IFERROR(INDEX('Master Data'!$L$2:$L$2436,MATCH($B$3&amp;"|"&amp;D115&amp;"|"&amp;B115&amp;"|"&amp;C115,'Master Data'!$A$2:$A$2436,0)),"")</f>
        <v>Belum terisi</v>
      </c>
      <c r="F115" s="67" t="str">
        <f aca="false">IFERROR(INDEX('Master Data'!$F$2:$F$2436,MATCH($B$3&amp;"|"&amp;D115&amp;"|"&amp;B115&amp;"|"&amp;C115,'Master Data'!$A$2:$A$2436,0))&amp;"","")</f>
        <v>Kids</v>
      </c>
      <c r="G115" s="66" t="n">
        <f aca="false">IFERROR(INDEX('Master Data'!$G$2:$G$2436,MATCH($B$3&amp;"|"&amp;D115&amp;"|"&amp;B115&amp;"|"&amp;C115,'Master Data'!$A$2:$A$2436,0)),"")</f>
        <v>4</v>
      </c>
      <c r="H115" s="67" t="str">
        <f aca="false">IFERROR(INDEX('Master Data'!$K$2:$K$2436,MATCH($B$3&amp;"|"&amp;D115&amp;"|"&amp;B115&amp;"|"&amp;C115,'Master Data'!$A$2:$A$2436,0))&amp;"","")</f>
        <v/>
      </c>
      <c r="I115" s="67" t="s">
        <v>384</v>
      </c>
      <c r="J115" s="67" t="s">
        <v>134</v>
      </c>
      <c r="K115" s="68"/>
      <c r="L115" s="68"/>
      <c r="M115" s="68"/>
      <c r="N115" s="69"/>
      <c r="O115" s="68"/>
    </row>
    <row r="116" customFormat="false" ht="52.5" hidden="false" customHeight="true" outlineLevel="0" collapsed="false">
      <c r="A116" s="66" t="n">
        <v>25</v>
      </c>
      <c r="B116" s="67" t="s">
        <v>90</v>
      </c>
      <c r="C116" s="66" t="s">
        <v>115</v>
      </c>
      <c r="D116" s="66" t="n">
        <v>1</v>
      </c>
      <c r="E116" s="67" t="str">
        <f aca="false">IFERROR(INDEX('Master Data'!$L$2:$L$2436,MATCH($B$3&amp;"|"&amp;D116&amp;"|"&amp;B116&amp;"|"&amp;C116,'Master Data'!$A$2:$A$2436,0)),"")</f>
        <v>Belum terisi</v>
      </c>
      <c r="F116" s="67" t="str">
        <f aca="false">IFERROR(INDEX('Master Data'!$F$2:$F$2436,MATCH($B$3&amp;"|"&amp;D116&amp;"|"&amp;B116&amp;"|"&amp;C116,'Master Data'!$A$2:$A$2436,0))&amp;"","")</f>
        <v>Baby</v>
      </c>
      <c r="G116" s="66" t="n">
        <f aca="false">IFERROR(INDEX('Master Data'!$G$2:$G$2436,MATCH($B$3&amp;"|"&amp;D116&amp;"|"&amp;B116&amp;"|"&amp;C116,'Master Data'!$A$2:$A$2436,0)),"")</f>
        <v>5</v>
      </c>
      <c r="H116" s="67" t="str">
        <f aca="false">IFERROR(INDEX('Master Data'!$K$2:$K$2436,MATCH($B$3&amp;"|"&amp;D116&amp;"|"&amp;B116&amp;"|"&amp;C116,'Master Data'!$A$2:$A$2436,0))&amp;"","")</f>
        <v/>
      </c>
      <c r="I116" s="67" t="s">
        <v>384</v>
      </c>
      <c r="J116" s="67" t="s">
        <v>134</v>
      </c>
      <c r="K116" s="68"/>
      <c r="L116" s="68"/>
      <c r="M116" s="68"/>
      <c r="N116" s="69"/>
      <c r="O116" s="68"/>
    </row>
    <row r="117" customFormat="false" ht="52.5" hidden="false" customHeight="true" outlineLevel="0" collapsed="false">
      <c r="A117" s="66" t="n">
        <v>26</v>
      </c>
      <c r="B117" s="67" t="s">
        <v>90</v>
      </c>
      <c r="C117" s="66" t="s">
        <v>115</v>
      </c>
      <c r="D117" s="66" t="n">
        <v>2</v>
      </c>
      <c r="E117" s="67" t="str">
        <f aca="false">IFERROR(INDEX('Master Data'!$L$2:$L$2436,MATCH($B$3&amp;"|"&amp;D117&amp;"|"&amp;B117&amp;"|"&amp;C117,'Master Data'!$A$2:$A$2436,0)),"")</f>
        <v>Belum terisi</v>
      </c>
      <c r="F117" s="67" t="str">
        <f aca="false">IFERROR(INDEX('Master Data'!$F$2:$F$2436,MATCH($B$3&amp;"|"&amp;D117&amp;"|"&amp;B117&amp;"|"&amp;C117,'Master Data'!$A$2:$A$2436,0))&amp;"","")</f>
        <v>Tiny</v>
      </c>
      <c r="G117" s="66" t="n">
        <f aca="false">IFERROR(INDEX('Master Data'!$G$2:$G$2436,MATCH($B$3&amp;"|"&amp;D117&amp;"|"&amp;B117&amp;"|"&amp;C117,'Master Data'!$A$2:$A$2436,0)),"")</f>
        <v>5</v>
      </c>
      <c r="H117" s="67" t="str">
        <f aca="false">IFERROR(INDEX('Master Data'!$K$2:$K$2436,MATCH($B$3&amp;"|"&amp;D117&amp;"|"&amp;B117&amp;"|"&amp;C117,'Master Data'!$A$2:$A$2436,0))&amp;"","")</f>
        <v/>
      </c>
      <c r="I117" s="67" t="s">
        <v>384</v>
      </c>
      <c r="J117" s="67" t="s">
        <v>134</v>
      </c>
      <c r="K117" s="68"/>
      <c r="L117" s="68"/>
      <c r="M117" s="68"/>
      <c r="N117" s="69"/>
      <c r="O117" s="68"/>
    </row>
    <row r="118" customFormat="false" ht="52.5" hidden="false" customHeight="true" outlineLevel="0" collapsed="false">
      <c r="A118" s="66" t="n">
        <v>27</v>
      </c>
      <c r="B118" s="67" t="s">
        <v>90</v>
      </c>
      <c r="C118" s="66" t="s">
        <v>115</v>
      </c>
      <c r="D118" s="66" t="n">
        <v>5</v>
      </c>
      <c r="E118" s="67" t="str">
        <f aca="false">IFERROR(INDEX('Master Data'!$L$2:$L$2436,MATCH($B$3&amp;"|"&amp;D118&amp;"|"&amp;B118&amp;"|"&amp;C118,'Master Data'!$A$2:$A$2436,0)),"")</f>
        <v>Slot kosong</v>
      </c>
      <c r="F118" s="67" t="str">
        <f aca="false">IFERROR(INDEX('Master Data'!$F$2:$F$2436,MATCH($B$3&amp;"|"&amp;D118&amp;"|"&amp;B118&amp;"|"&amp;C118,'Master Data'!$A$2:$A$2436,0))&amp;"","")</f>
        <v/>
      </c>
      <c r="G118" s="66" t="n">
        <f aca="false">IFERROR(INDEX('Master Data'!$G$2:$G$2436,MATCH($B$3&amp;"|"&amp;D118&amp;"|"&amp;B118&amp;"|"&amp;C118,'Master Data'!$A$2:$A$2436,0)),"")</f>
        <v>4</v>
      </c>
      <c r="H118" s="67" t="str">
        <f aca="false">IFERROR(INDEX('Master Data'!$K$2:$K$2436,MATCH($B$3&amp;"|"&amp;D118&amp;"|"&amp;B118&amp;"|"&amp;C118,'Master Data'!$A$2:$A$2436,0))&amp;"","")</f>
        <v/>
      </c>
      <c r="I118" s="67" t="s">
        <v>384</v>
      </c>
      <c r="J118" s="67" t="s">
        <v>134</v>
      </c>
      <c r="K118" s="68"/>
      <c r="L118" s="68"/>
      <c r="M118" s="68"/>
      <c r="N118" s="69"/>
      <c r="O118" s="68"/>
    </row>
    <row r="119" customFormat="false" ht="52.5" hidden="false" customHeight="true" outlineLevel="0" collapsed="false">
      <c r="A119" s="66" t="n">
        <v>28</v>
      </c>
      <c r="B119" s="67" t="s">
        <v>90</v>
      </c>
      <c r="C119" s="66" t="s">
        <v>101</v>
      </c>
      <c r="D119" s="66" t="n">
        <v>3</v>
      </c>
      <c r="E119" s="67" t="str">
        <f aca="false">IFERROR(INDEX('Master Data'!$L$2:$L$2436,MATCH($B$3&amp;"|"&amp;D119&amp;"|"&amp;B119&amp;"|"&amp;C119,'Master Data'!$A$2:$A$2436,0)),"")</f>
        <v>Belum terisi</v>
      </c>
      <c r="F119" s="67" t="str">
        <f aca="false">IFERROR(INDEX('Master Data'!$F$2:$F$2436,MATCH($B$3&amp;"|"&amp;D119&amp;"|"&amp;B119&amp;"|"&amp;C119,'Master Data'!$A$2:$A$2436,0))&amp;"","")</f>
        <v>Little</v>
      </c>
      <c r="G119" s="66" t="n">
        <f aca="false">IFERROR(INDEX('Master Data'!$G$2:$G$2436,MATCH($B$3&amp;"|"&amp;D119&amp;"|"&amp;B119&amp;"|"&amp;C119,'Master Data'!$A$2:$A$2436,0)),"")</f>
        <v>4</v>
      </c>
      <c r="H119" s="67" t="str">
        <f aca="false">IFERROR(INDEX('Master Data'!$K$2:$K$2436,MATCH($B$3&amp;"|"&amp;D119&amp;"|"&amp;B119&amp;"|"&amp;C119,'Master Data'!$A$2:$A$2436,0))&amp;"","")</f>
        <v/>
      </c>
      <c r="I119" s="67" t="s">
        <v>384</v>
      </c>
      <c r="J119" s="67" t="s">
        <v>134</v>
      </c>
      <c r="K119" s="68"/>
      <c r="L119" s="68"/>
      <c r="M119" s="68"/>
      <c r="N119" s="69"/>
      <c r="O119" s="68"/>
    </row>
    <row r="120" customFormat="false" ht="52.5" hidden="false" customHeight="true" outlineLevel="0" collapsed="false">
      <c r="A120" s="66" t="n">
        <v>29</v>
      </c>
      <c r="B120" s="67" t="s">
        <v>90</v>
      </c>
      <c r="C120" s="66" t="s">
        <v>101</v>
      </c>
      <c r="D120" s="66" t="n">
        <v>4</v>
      </c>
      <c r="E120" s="67" t="str">
        <f aca="false">IFERROR(INDEX('Master Data'!$L$2:$L$2436,MATCH($B$3&amp;"|"&amp;D120&amp;"|"&amp;B120&amp;"|"&amp;C120,'Master Data'!$A$2:$A$2436,0)),"")</f>
        <v>Belum terisi</v>
      </c>
      <c r="F120" s="67" t="str">
        <f aca="false">IFERROR(INDEX('Master Data'!$F$2:$F$2436,MATCH($B$3&amp;"|"&amp;D120&amp;"|"&amp;B120&amp;"|"&amp;C120,'Master Data'!$A$2:$A$2436,0))&amp;"","")</f>
        <v>Kids</v>
      </c>
      <c r="G120" s="66" t="n">
        <f aca="false">IFERROR(INDEX('Master Data'!$G$2:$G$2436,MATCH($B$3&amp;"|"&amp;D120&amp;"|"&amp;B120&amp;"|"&amp;C120,'Master Data'!$A$2:$A$2436,0)),"")</f>
        <v>4</v>
      </c>
      <c r="H120" s="67" t="str">
        <f aca="false">IFERROR(INDEX('Master Data'!$K$2:$K$2436,MATCH($B$3&amp;"|"&amp;D120&amp;"|"&amp;B120&amp;"|"&amp;C120,'Master Data'!$A$2:$A$2436,0))&amp;"","")</f>
        <v/>
      </c>
      <c r="I120" s="67" t="s">
        <v>384</v>
      </c>
      <c r="J120" s="67" t="s">
        <v>134</v>
      </c>
      <c r="K120" s="68"/>
      <c r="L120" s="68"/>
      <c r="M120" s="68"/>
      <c r="N120" s="69"/>
      <c r="O120" s="68"/>
    </row>
    <row r="121" customFormat="false" ht="52.5" hidden="false" customHeight="true" outlineLevel="0" collapsed="false">
      <c r="A121" s="66" t="n">
        <v>30</v>
      </c>
      <c r="B121" s="67" t="s">
        <v>90</v>
      </c>
      <c r="C121" s="66" t="s">
        <v>116</v>
      </c>
      <c r="D121" s="66" t="n">
        <v>1</v>
      </c>
      <c r="E121" s="67" t="str">
        <f aca="false">IFERROR(INDEX('Master Data'!$L$2:$L$2436,MATCH($B$3&amp;"|"&amp;D121&amp;"|"&amp;B121&amp;"|"&amp;C121,'Master Data'!$A$2:$A$2436,0)),"")</f>
        <v>Belum terisi</v>
      </c>
      <c r="F121" s="67" t="str">
        <f aca="false">IFERROR(INDEX('Master Data'!$F$2:$F$2436,MATCH($B$3&amp;"|"&amp;D121&amp;"|"&amp;B121&amp;"|"&amp;C121,'Master Data'!$A$2:$A$2436,0))&amp;"","")</f>
        <v>Baby</v>
      </c>
      <c r="G121" s="66" t="n">
        <f aca="false">IFERROR(INDEX('Master Data'!$G$2:$G$2436,MATCH($B$3&amp;"|"&amp;D121&amp;"|"&amp;B121&amp;"|"&amp;C121,'Master Data'!$A$2:$A$2436,0)),"")</f>
        <v>5</v>
      </c>
      <c r="H121" s="67" t="str">
        <f aca="false">IFERROR(INDEX('Master Data'!$K$2:$K$2436,MATCH($B$3&amp;"|"&amp;D121&amp;"|"&amp;B121&amp;"|"&amp;C121,'Master Data'!$A$2:$A$2436,0))&amp;"","")</f>
        <v/>
      </c>
      <c r="I121" s="67" t="s">
        <v>384</v>
      </c>
      <c r="J121" s="67" t="s">
        <v>134</v>
      </c>
      <c r="K121" s="68"/>
      <c r="L121" s="68"/>
      <c r="M121" s="68"/>
      <c r="N121" s="69"/>
      <c r="O121" s="68"/>
    </row>
    <row r="122" customFormat="false" ht="52.5" hidden="false" customHeight="true" outlineLevel="0" collapsed="false">
      <c r="A122" s="66" t="n">
        <v>31</v>
      </c>
      <c r="B122" s="67" t="s">
        <v>90</v>
      </c>
      <c r="C122" s="66" t="s">
        <v>116</v>
      </c>
      <c r="D122" s="66" t="n">
        <v>2</v>
      </c>
      <c r="E122" s="67" t="str">
        <f aca="false">IFERROR(INDEX('Master Data'!$L$2:$L$2436,MATCH($B$3&amp;"|"&amp;D122&amp;"|"&amp;B122&amp;"|"&amp;C122,'Master Data'!$A$2:$A$2436,0)),"")</f>
        <v>Belum terisi</v>
      </c>
      <c r="F122" s="67" t="str">
        <f aca="false">IFERROR(INDEX('Master Data'!$F$2:$F$2436,MATCH($B$3&amp;"|"&amp;D122&amp;"|"&amp;B122&amp;"|"&amp;C122,'Master Data'!$A$2:$A$2436,0))&amp;"","")</f>
        <v>Tiny</v>
      </c>
      <c r="G122" s="66" t="n">
        <f aca="false">IFERROR(INDEX('Master Data'!$G$2:$G$2436,MATCH($B$3&amp;"|"&amp;D122&amp;"|"&amp;B122&amp;"|"&amp;C122,'Master Data'!$A$2:$A$2436,0)),"")</f>
        <v>5</v>
      </c>
      <c r="H122" s="67" t="str">
        <f aca="false">IFERROR(INDEX('Master Data'!$K$2:$K$2436,MATCH($B$3&amp;"|"&amp;D122&amp;"|"&amp;B122&amp;"|"&amp;C122,'Master Data'!$A$2:$A$2436,0))&amp;"","")</f>
        <v/>
      </c>
      <c r="I122" s="67" t="s">
        <v>384</v>
      </c>
      <c r="J122" s="67" t="s">
        <v>134</v>
      </c>
      <c r="K122" s="68"/>
      <c r="L122" s="68"/>
      <c r="M122" s="68"/>
      <c r="N122" s="69"/>
      <c r="O122" s="68"/>
    </row>
    <row r="123" customFormat="false" ht="52.5" hidden="false" customHeight="true" outlineLevel="0" collapsed="false">
      <c r="A123" s="66" t="n">
        <v>32</v>
      </c>
      <c r="B123" s="67" t="s">
        <v>90</v>
      </c>
      <c r="C123" s="66" t="s">
        <v>116</v>
      </c>
      <c r="D123" s="66" t="n">
        <v>5</v>
      </c>
      <c r="E123" s="67" t="str">
        <f aca="false">IFERROR(INDEX('Master Data'!$L$2:$L$2436,MATCH($B$3&amp;"|"&amp;D123&amp;"|"&amp;B123&amp;"|"&amp;C123,'Master Data'!$A$2:$A$2436,0)),"")</f>
        <v>Slot kosong</v>
      </c>
      <c r="F123" s="67" t="str">
        <f aca="false">IFERROR(INDEX('Master Data'!$F$2:$F$2436,MATCH($B$3&amp;"|"&amp;D123&amp;"|"&amp;B123&amp;"|"&amp;C123,'Master Data'!$A$2:$A$2436,0))&amp;"","")</f>
        <v/>
      </c>
      <c r="G123" s="66" t="n">
        <f aca="false">IFERROR(INDEX('Master Data'!$G$2:$G$2436,MATCH($B$3&amp;"|"&amp;D123&amp;"|"&amp;B123&amp;"|"&amp;C123,'Master Data'!$A$2:$A$2436,0)),"")</f>
        <v>4</v>
      </c>
      <c r="H123" s="67" t="str">
        <f aca="false">IFERROR(INDEX('Master Data'!$K$2:$K$2436,MATCH($B$3&amp;"|"&amp;D123&amp;"|"&amp;B123&amp;"|"&amp;C123,'Master Data'!$A$2:$A$2436,0))&amp;"","")</f>
        <v/>
      </c>
      <c r="I123" s="67" t="s">
        <v>384</v>
      </c>
      <c r="J123" s="67" t="s">
        <v>134</v>
      </c>
      <c r="K123" s="68"/>
      <c r="L123" s="68"/>
      <c r="M123" s="68"/>
      <c r="N123" s="69"/>
      <c r="O123" s="68"/>
    </row>
    <row r="124" customFormat="false" ht="52.5" hidden="false" customHeight="true" outlineLevel="0" collapsed="false">
      <c r="A124" s="66" t="n">
        <v>33</v>
      </c>
      <c r="B124" s="67" t="s">
        <v>90</v>
      </c>
      <c r="C124" s="66" t="s">
        <v>102</v>
      </c>
      <c r="D124" s="66" t="n">
        <v>3</v>
      </c>
      <c r="E124" s="67" t="str">
        <f aca="false">IFERROR(INDEX('Master Data'!$L$2:$L$2436,MATCH($B$3&amp;"|"&amp;D124&amp;"|"&amp;B124&amp;"|"&amp;C124,'Master Data'!$A$2:$A$2436,0)),"")</f>
        <v>Belum terisi</v>
      </c>
      <c r="F124" s="67" t="str">
        <f aca="false">IFERROR(INDEX('Master Data'!$F$2:$F$2436,MATCH($B$3&amp;"|"&amp;D124&amp;"|"&amp;B124&amp;"|"&amp;C124,'Master Data'!$A$2:$A$2436,0))&amp;"","")</f>
        <v>Little</v>
      </c>
      <c r="G124" s="66" t="n">
        <f aca="false">IFERROR(INDEX('Master Data'!$G$2:$G$2436,MATCH($B$3&amp;"|"&amp;D124&amp;"|"&amp;B124&amp;"|"&amp;C124,'Master Data'!$A$2:$A$2436,0)),"")</f>
        <v>4</v>
      </c>
      <c r="H124" s="67" t="str">
        <f aca="false">IFERROR(INDEX('Master Data'!$K$2:$K$2436,MATCH($B$3&amp;"|"&amp;D124&amp;"|"&amp;B124&amp;"|"&amp;C124,'Master Data'!$A$2:$A$2436,0))&amp;"","")</f>
        <v/>
      </c>
      <c r="I124" s="67" t="s">
        <v>384</v>
      </c>
      <c r="J124" s="67" t="s">
        <v>134</v>
      </c>
      <c r="K124" s="68"/>
      <c r="L124" s="68"/>
      <c r="M124" s="68"/>
      <c r="N124" s="69"/>
      <c r="O124" s="68"/>
    </row>
    <row r="125" customFormat="false" ht="52.5" hidden="false" customHeight="true" outlineLevel="0" collapsed="false">
      <c r="A125" s="66" t="n">
        <v>34</v>
      </c>
      <c r="B125" s="67" t="s">
        <v>90</v>
      </c>
      <c r="C125" s="66" t="s">
        <v>102</v>
      </c>
      <c r="D125" s="66" t="n">
        <v>4</v>
      </c>
      <c r="E125" s="67" t="str">
        <f aca="false">IFERROR(INDEX('Master Data'!$L$2:$L$2436,MATCH($B$3&amp;"|"&amp;D125&amp;"|"&amp;B125&amp;"|"&amp;C125,'Master Data'!$A$2:$A$2436,0)),"")</f>
        <v>Belum terisi</v>
      </c>
      <c r="F125" s="67" t="str">
        <f aca="false">IFERROR(INDEX('Master Data'!$F$2:$F$2436,MATCH($B$3&amp;"|"&amp;D125&amp;"|"&amp;B125&amp;"|"&amp;C125,'Master Data'!$A$2:$A$2436,0))&amp;"","")</f>
        <v>Kids</v>
      </c>
      <c r="G125" s="66" t="n">
        <f aca="false">IFERROR(INDEX('Master Data'!$G$2:$G$2436,MATCH($B$3&amp;"|"&amp;D125&amp;"|"&amp;B125&amp;"|"&amp;C125,'Master Data'!$A$2:$A$2436,0)),"")</f>
        <v>4</v>
      </c>
      <c r="H125" s="67" t="str">
        <f aca="false">IFERROR(INDEX('Master Data'!$K$2:$K$2436,MATCH($B$3&amp;"|"&amp;D125&amp;"|"&amp;B125&amp;"|"&amp;C125,'Master Data'!$A$2:$A$2436,0))&amp;"","")</f>
        <v/>
      </c>
      <c r="I125" s="67" t="s">
        <v>384</v>
      </c>
      <c r="J125" s="67" t="s">
        <v>134</v>
      </c>
      <c r="K125" s="68"/>
      <c r="L125" s="68"/>
      <c r="M125" s="68"/>
      <c r="N125" s="69"/>
      <c r="O125" s="68"/>
    </row>
    <row r="126" customFormat="false" ht="27.75" hidden="false" customHeight="true" outlineLevel="0" collapsed="false">
      <c r="A126" s="66" t="n">
        <v>35</v>
      </c>
      <c r="B126" s="67" t="s">
        <v>90</v>
      </c>
      <c r="C126" s="66" t="s">
        <v>117</v>
      </c>
      <c r="D126" s="66" t="n">
        <v>1</v>
      </c>
      <c r="E126" s="67" t="str">
        <f aca="false">IFERROR(INDEX('Master Data'!$L$2:$L$2436,MATCH($B$3&amp;"|"&amp;D126&amp;"|"&amp;B126&amp;"|"&amp;C126,'Master Data'!$A$2:$A$2436,0)),"")</f>
        <v>Belum terisi</v>
      </c>
      <c r="F126" s="67" t="str">
        <f aca="false">IFERROR(INDEX('Master Data'!$F$2:$F$2436,MATCH($B$3&amp;"|"&amp;D126&amp;"|"&amp;B126&amp;"|"&amp;C126,'Master Data'!$A$2:$A$2436,0))&amp;"","")</f>
        <v>Baby</v>
      </c>
      <c r="G126" s="66" t="n">
        <f aca="false">IFERROR(INDEX('Master Data'!$G$2:$G$2436,MATCH($B$3&amp;"|"&amp;D126&amp;"|"&amp;B126&amp;"|"&amp;C126,'Master Data'!$A$2:$A$2436,0)),"")</f>
        <v>5</v>
      </c>
      <c r="H126" s="67" t="str">
        <f aca="false">IFERROR(INDEX('Master Data'!$K$2:$K$2436,MATCH($B$3&amp;"|"&amp;D126&amp;"|"&amp;B126&amp;"|"&amp;C126,'Master Data'!$A$2:$A$2436,0))&amp;"","")</f>
        <v/>
      </c>
      <c r="I126" s="67" t="s">
        <v>386</v>
      </c>
      <c r="J126" s="67" t="s">
        <v>134</v>
      </c>
      <c r="K126" s="68"/>
      <c r="L126" s="68"/>
      <c r="M126" s="68"/>
      <c r="N126" s="69"/>
      <c r="O126" s="68"/>
    </row>
    <row r="127" customFormat="false" ht="27.75" hidden="false" customHeight="true" outlineLevel="0" collapsed="false">
      <c r="A127" s="66" t="n">
        <v>36</v>
      </c>
      <c r="B127" s="67" t="s">
        <v>90</v>
      </c>
      <c r="C127" s="66" t="s">
        <v>117</v>
      </c>
      <c r="D127" s="66" t="n">
        <v>2</v>
      </c>
      <c r="E127" s="67" t="str">
        <f aca="false">IFERROR(INDEX('Master Data'!$L$2:$L$2436,MATCH($B$3&amp;"|"&amp;D127&amp;"|"&amp;B127&amp;"|"&amp;C127,'Master Data'!$A$2:$A$2436,0)),"")</f>
        <v>Belum terisi</v>
      </c>
      <c r="F127" s="67" t="str">
        <f aca="false">IFERROR(INDEX('Master Data'!$F$2:$F$2436,MATCH($B$3&amp;"|"&amp;D127&amp;"|"&amp;B127&amp;"|"&amp;C127,'Master Data'!$A$2:$A$2436,0))&amp;"","")</f>
        <v>Tiny</v>
      </c>
      <c r="G127" s="66" t="n">
        <f aca="false">IFERROR(INDEX('Master Data'!$G$2:$G$2436,MATCH($B$3&amp;"|"&amp;D127&amp;"|"&amp;B127&amp;"|"&amp;C127,'Master Data'!$A$2:$A$2436,0)),"")</f>
        <v>5</v>
      </c>
      <c r="H127" s="67" t="str">
        <f aca="false">IFERROR(INDEX('Master Data'!$K$2:$K$2436,MATCH($B$3&amp;"|"&amp;D127&amp;"|"&amp;B127&amp;"|"&amp;C127,'Master Data'!$A$2:$A$2436,0))&amp;"","")</f>
        <v/>
      </c>
      <c r="I127" s="67" t="s">
        <v>386</v>
      </c>
      <c r="J127" s="67" t="s">
        <v>134</v>
      </c>
      <c r="K127" s="68"/>
      <c r="L127" s="68"/>
      <c r="M127" s="68"/>
      <c r="N127" s="69"/>
      <c r="O127" s="68"/>
    </row>
    <row r="128" customFormat="false" ht="27.75" hidden="false" customHeight="true" outlineLevel="0" collapsed="false">
      <c r="A128" s="66" t="n">
        <v>37</v>
      </c>
      <c r="B128" s="67" t="s">
        <v>90</v>
      </c>
      <c r="C128" s="66" t="s">
        <v>117</v>
      </c>
      <c r="D128" s="66" t="n">
        <v>5</v>
      </c>
      <c r="E128" s="67" t="str">
        <f aca="false">IFERROR(INDEX('Master Data'!$L$2:$L$2436,MATCH($B$3&amp;"|"&amp;D128&amp;"|"&amp;B128&amp;"|"&amp;C128,'Master Data'!$A$2:$A$2436,0)),"")</f>
        <v>Slot kosong</v>
      </c>
      <c r="F128" s="67" t="str">
        <f aca="false">IFERROR(INDEX('Master Data'!$F$2:$F$2436,MATCH($B$3&amp;"|"&amp;D128&amp;"|"&amp;B128&amp;"|"&amp;C128,'Master Data'!$A$2:$A$2436,0))&amp;"","")</f>
        <v/>
      </c>
      <c r="G128" s="66" t="n">
        <f aca="false">IFERROR(INDEX('Master Data'!$G$2:$G$2436,MATCH($B$3&amp;"|"&amp;D128&amp;"|"&amp;B128&amp;"|"&amp;C128,'Master Data'!$A$2:$A$2436,0)),"")</f>
        <v>4</v>
      </c>
      <c r="H128" s="67" t="str">
        <f aca="false">IFERROR(INDEX('Master Data'!$K$2:$K$2436,MATCH($B$3&amp;"|"&amp;D128&amp;"|"&amp;B128&amp;"|"&amp;C128,'Master Data'!$A$2:$A$2436,0))&amp;"","")</f>
        <v/>
      </c>
      <c r="I128" s="67" t="s">
        <v>386</v>
      </c>
      <c r="J128" s="67" t="s">
        <v>134</v>
      </c>
      <c r="K128" s="68"/>
      <c r="L128" s="68"/>
      <c r="M128" s="68"/>
      <c r="N128" s="69"/>
      <c r="O128" s="68"/>
    </row>
    <row r="129" customFormat="false" ht="15.75" hidden="false" customHeight="true" outlineLevel="0" collapsed="false">
      <c r="A129" s="66" t="n">
        <v>38</v>
      </c>
      <c r="B129" s="67" t="s">
        <v>90</v>
      </c>
      <c r="C129" s="66" t="s">
        <v>118</v>
      </c>
      <c r="D129" s="66" t="n">
        <v>1</v>
      </c>
      <c r="E129" s="67" t="str">
        <f aca="false">IFERROR(INDEX('Master Data'!$L$2:$L$2436,MATCH($B$3&amp;"|"&amp;D129&amp;"|"&amp;B129&amp;"|"&amp;C129,'Master Data'!$A$2:$A$2436,0)),"")</f>
        <v>Belum terisi</v>
      </c>
      <c r="F129" s="67" t="str">
        <f aca="false">IFERROR(INDEX('Master Data'!$F$2:$F$2436,MATCH($B$3&amp;"|"&amp;D129&amp;"|"&amp;B129&amp;"|"&amp;C129,'Master Data'!$A$2:$A$2436,0))&amp;"","")</f>
        <v>Baby</v>
      </c>
      <c r="G129" s="66" t="n">
        <f aca="false">IFERROR(INDEX('Master Data'!$G$2:$G$2436,MATCH($B$3&amp;"|"&amp;D129&amp;"|"&amp;B129&amp;"|"&amp;C129,'Master Data'!$A$2:$A$2436,0)),"")</f>
        <v>5</v>
      </c>
      <c r="H129" s="67" t="str">
        <f aca="false">IFERROR(INDEX('Master Data'!$K$2:$K$2436,MATCH($B$3&amp;"|"&amp;D129&amp;"|"&amp;B129&amp;"|"&amp;C129,'Master Data'!$A$2:$A$2436,0))&amp;"","")</f>
        <v/>
      </c>
      <c r="I129" s="67" t="s">
        <v>387</v>
      </c>
      <c r="J129" s="67" t="s">
        <v>221</v>
      </c>
      <c r="K129" s="68"/>
      <c r="L129" s="68"/>
      <c r="M129" s="68"/>
      <c r="N129" s="69"/>
      <c r="O129" s="68"/>
    </row>
    <row r="130" customFormat="false" ht="15.75" hidden="false" customHeight="true" outlineLevel="0" collapsed="false">
      <c r="A130" s="66" t="n">
        <v>39</v>
      </c>
      <c r="B130" s="67" t="s">
        <v>90</v>
      </c>
      <c r="C130" s="66" t="s">
        <v>118</v>
      </c>
      <c r="D130" s="66" t="n">
        <v>2</v>
      </c>
      <c r="E130" s="67" t="str">
        <f aca="false">IFERROR(INDEX('Master Data'!$L$2:$L$2436,MATCH($B$3&amp;"|"&amp;D130&amp;"|"&amp;B130&amp;"|"&amp;C130,'Master Data'!$A$2:$A$2436,0)),"")</f>
        <v>Belum terisi</v>
      </c>
      <c r="F130" s="67" t="str">
        <f aca="false">IFERROR(INDEX('Master Data'!$F$2:$F$2436,MATCH($B$3&amp;"|"&amp;D130&amp;"|"&amp;B130&amp;"|"&amp;C130,'Master Data'!$A$2:$A$2436,0))&amp;"","")</f>
        <v>Tiny</v>
      </c>
      <c r="G130" s="66" t="n">
        <f aca="false">IFERROR(INDEX('Master Data'!$G$2:$G$2436,MATCH($B$3&amp;"|"&amp;D130&amp;"|"&amp;B130&amp;"|"&amp;C130,'Master Data'!$A$2:$A$2436,0)),"")</f>
        <v>5</v>
      </c>
      <c r="H130" s="67" t="str">
        <f aca="false">IFERROR(INDEX('Master Data'!$K$2:$K$2436,MATCH($B$3&amp;"|"&amp;D130&amp;"|"&amp;B130&amp;"|"&amp;C130,'Master Data'!$A$2:$A$2436,0))&amp;"","")</f>
        <v/>
      </c>
      <c r="I130" s="67" t="s">
        <v>387</v>
      </c>
      <c r="J130" s="67" t="s">
        <v>144</v>
      </c>
      <c r="K130" s="68"/>
      <c r="L130" s="68"/>
      <c r="M130" s="68"/>
      <c r="N130" s="69"/>
      <c r="O130" s="68"/>
    </row>
    <row r="131" customFormat="false" ht="15.75" hidden="false" customHeight="true" outlineLevel="0" collapsed="false">
      <c r="A131" s="66" t="n">
        <v>40</v>
      </c>
      <c r="B131" s="67" t="s">
        <v>90</v>
      </c>
      <c r="C131" s="66" t="s">
        <v>118</v>
      </c>
      <c r="D131" s="66" t="n">
        <v>5</v>
      </c>
      <c r="E131" s="67" t="str">
        <f aca="false">IFERROR(INDEX('Master Data'!$L$2:$L$2436,MATCH($B$3&amp;"|"&amp;D131&amp;"|"&amp;B131&amp;"|"&amp;C131,'Master Data'!$A$2:$A$2436,0)),"")</f>
        <v>Slot kosong</v>
      </c>
      <c r="F131" s="67" t="str">
        <f aca="false">IFERROR(INDEX('Master Data'!$F$2:$F$2436,MATCH($B$3&amp;"|"&amp;D131&amp;"|"&amp;B131&amp;"|"&amp;C131,'Master Data'!$A$2:$A$2436,0))&amp;"","")</f>
        <v/>
      </c>
      <c r="G131" s="66" t="n">
        <f aca="false">IFERROR(INDEX('Master Data'!$G$2:$G$2436,MATCH($B$3&amp;"|"&amp;D131&amp;"|"&amp;B131&amp;"|"&amp;C131,'Master Data'!$A$2:$A$2436,0)),"")</f>
        <v>4</v>
      </c>
      <c r="H131" s="67" t="str">
        <f aca="false">IFERROR(INDEX('Master Data'!$K$2:$K$2436,MATCH($B$3&amp;"|"&amp;D131&amp;"|"&amp;B131&amp;"|"&amp;C131,'Master Data'!$A$2:$A$2436,0))&amp;"","")</f>
        <v/>
      </c>
      <c r="I131" s="67" t="s">
        <v>387</v>
      </c>
      <c r="J131" s="67" t="s">
        <v>203</v>
      </c>
      <c r="K131" s="68"/>
      <c r="L131" s="68"/>
      <c r="M131" s="68"/>
      <c r="N131" s="69"/>
      <c r="O131" s="68"/>
    </row>
    <row r="132" customFormat="false" ht="27.75" hidden="false" customHeight="true" outlineLevel="0" collapsed="false">
      <c r="A132" s="66" t="n">
        <v>41</v>
      </c>
      <c r="B132" s="67" t="s">
        <v>90</v>
      </c>
      <c r="C132" s="66" t="s">
        <v>119</v>
      </c>
      <c r="D132" s="66" t="n">
        <v>1</v>
      </c>
      <c r="E132" s="67" t="str">
        <f aca="false">IFERROR(INDEX('Master Data'!$L$2:$L$2436,MATCH($B$3&amp;"|"&amp;D132&amp;"|"&amp;B132&amp;"|"&amp;C132,'Master Data'!$A$2:$A$2436,0)),"")</f>
        <v>Belum terisi</v>
      </c>
      <c r="F132" s="67" t="str">
        <f aca="false">IFERROR(INDEX('Master Data'!$F$2:$F$2436,MATCH($B$3&amp;"|"&amp;D132&amp;"|"&amp;B132&amp;"|"&amp;C132,'Master Data'!$A$2:$A$2436,0))&amp;"","")</f>
        <v>Baby</v>
      </c>
      <c r="G132" s="66" t="n">
        <f aca="false">IFERROR(INDEX('Master Data'!$G$2:$G$2436,MATCH($B$3&amp;"|"&amp;D132&amp;"|"&amp;B132&amp;"|"&amp;C132,'Master Data'!$A$2:$A$2436,0)),"")</f>
        <v>5</v>
      </c>
      <c r="H132" s="67" t="str">
        <f aca="false">IFERROR(INDEX('Master Data'!$K$2:$K$2436,MATCH($B$3&amp;"|"&amp;D132&amp;"|"&amp;B132&amp;"|"&amp;C132,'Master Data'!$A$2:$A$2436,0))&amp;"","")</f>
        <v/>
      </c>
      <c r="I132" s="67" t="s">
        <v>388</v>
      </c>
      <c r="J132" s="67" t="s">
        <v>134</v>
      </c>
      <c r="K132" s="68"/>
      <c r="L132" s="68"/>
      <c r="M132" s="68"/>
      <c r="N132" s="69"/>
      <c r="O132" s="68"/>
    </row>
    <row r="133" customFormat="false" ht="27.75" hidden="false" customHeight="true" outlineLevel="0" collapsed="false">
      <c r="A133" s="66" t="n">
        <v>42</v>
      </c>
      <c r="B133" s="67" t="s">
        <v>90</v>
      </c>
      <c r="C133" s="66" t="s">
        <v>119</v>
      </c>
      <c r="D133" s="66" t="n">
        <v>2</v>
      </c>
      <c r="E133" s="67" t="str">
        <f aca="false">IFERROR(INDEX('Master Data'!$L$2:$L$2436,MATCH($B$3&amp;"|"&amp;D133&amp;"|"&amp;B133&amp;"|"&amp;C133,'Master Data'!$A$2:$A$2436,0)),"")</f>
        <v>Belum terisi</v>
      </c>
      <c r="F133" s="67" t="str">
        <f aca="false">IFERROR(INDEX('Master Data'!$F$2:$F$2436,MATCH($B$3&amp;"|"&amp;D133&amp;"|"&amp;B133&amp;"|"&amp;C133,'Master Data'!$A$2:$A$2436,0))&amp;"","")</f>
        <v>Tiny</v>
      </c>
      <c r="G133" s="66" t="n">
        <f aca="false">IFERROR(INDEX('Master Data'!$G$2:$G$2436,MATCH($B$3&amp;"|"&amp;D133&amp;"|"&amp;B133&amp;"|"&amp;C133,'Master Data'!$A$2:$A$2436,0)),"")</f>
        <v>5</v>
      </c>
      <c r="H133" s="67" t="str">
        <f aca="false">IFERROR(INDEX('Master Data'!$K$2:$K$2436,MATCH($B$3&amp;"|"&amp;D133&amp;"|"&amp;B133&amp;"|"&amp;C133,'Master Data'!$A$2:$A$2436,0))&amp;"","")</f>
        <v/>
      </c>
      <c r="I133" s="67" t="s">
        <v>388</v>
      </c>
      <c r="J133" s="67" t="s">
        <v>134</v>
      </c>
      <c r="K133" s="68"/>
      <c r="L133" s="68"/>
      <c r="M133" s="68"/>
      <c r="N133" s="69"/>
      <c r="O133" s="68"/>
    </row>
    <row r="134" customFormat="false" ht="27.75" hidden="false" customHeight="true" outlineLevel="0" collapsed="false">
      <c r="A134" s="66" t="n">
        <v>43</v>
      </c>
      <c r="B134" s="67" t="s">
        <v>90</v>
      </c>
      <c r="C134" s="66" t="s">
        <v>119</v>
      </c>
      <c r="D134" s="66" t="n">
        <v>5</v>
      </c>
      <c r="E134" s="67" t="str">
        <f aca="false">IFERROR(INDEX('Master Data'!$L$2:$L$2436,MATCH($B$3&amp;"|"&amp;D134&amp;"|"&amp;B134&amp;"|"&amp;C134,'Master Data'!$A$2:$A$2436,0)),"")</f>
        <v>Slot kosong</v>
      </c>
      <c r="F134" s="67" t="str">
        <f aca="false">IFERROR(INDEX('Master Data'!$F$2:$F$2436,MATCH($B$3&amp;"|"&amp;D134&amp;"|"&amp;B134&amp;"|"&amp;C134,'Master Data'!$A$2:$A$2436,0))&amp;"","")</f>
        <v/>
      </c>
      <c r="G134" s="66" t="n">
        <f aca="false">IFERROR(INDEX('Master Data'!$G$2:$G$2436,MATCH($B$3&amp;"|"&amp;D134&amp;"|"&amp;B134&amp;"|"&amp;C134,'Master Data'!$A$2:$A$2436,0)),"")</f>
        <v>4</v>
      </c>
      <c r="H134" s="67" t="str">
        <f aca="false">IFERROR(INDEX('Master Data'!$K$2:$K$2436,MATCH($B$3&amp;"|"&amp;D134&amp;"|"&amp;B134&amp;"|"&amp;C134,'Master Data'!$A$2:$A$2436,0))&amp;"","")</f>
        <v/>
      </c>
      <c r="I134" s="67" t="s">
        <v>388</v>
      </c>
      <c r="J134" s="67" t="s">
        <v>134</v>
      </c>
      <c r="K134" s="68"/>
      <c r="L134" s="68"/>
      <c r="M134" s="68"/>
      <c r="N134" s="69"/>
      <c r="O134" s="68"/>
    </row>
    <row r="135" customFormat="false" ht="40.5" hidden="false" customHeight="true" outlineLevel="0" collapsed="false">
      <c r="A135" s="66" t="n">
        <v>44</v>
      </c>
      <c r="B135" s="67" t="s">
        <v>90</v>
      </c>
      <c r="C135" s="66" t="s">
        <v>105</v>
      </c>
      <c r="D135" s="66" t="n">
        <v>3</v>
      </c>
      <c r="E135" s="67" t="str">
        <f aca="false">IFERROR(INDEX('Master Data'!$L$2:$L$2436,MATCH($B$3&amp;"|"&amp;D135&amp;"|"&amp;B135&amp;"|"&amp;C135,'Master Data'!$A$2:$A$2436,0)),"")</f>
        <v>Belum terisi</v>
      </c>
      <c r="F135" s="67" t="str">
        <f aca="false">IFERROR(INDEX('Master Data'!$F$2:$F$2436,MATCH($B$3&amp;"|"&amp;D135&amp;"|"&amp;B135&amp;"|"&amp;C135,'Master Data'!$A$2:$A$2436,0))&amp;"","")</f>
        <v>Little</v>
      </c>
      <c r="G135" s="66" t="n">
        <f aca="false">IFERROR(INDEX('Master Data'!$G$2:$G$2436,MATCH($B$3&amp;"|"&amp;D135&amp;"|"&amp;B135&amp;"|"&amp;C135,'Master Data'!$A$2:$A$2436,0)),"")</f>
        <v>4</v>
      </c>
      <c r="H135" s="67" t="str">
        <f aca="false">IFERROR(INDEX('Master Data'!$K$2:$K$2436,MATCH($B$3&amp;"|"&amp;D135&amp;"|"&amp;B135&amp;"|"&amp;C135,'Master Data'!$A$2:$A$2436,0))&amp;"","")</f>
        <v/>
      </c>
      <c r="I135" s="67" t="s">
        <v>389</v>
      </c>
      <c r="J135" s="67" t="s">
        <v>134</v>
      </c>
      <c r="K135" s="68"/>
      <c r="L135" s="68"/>
      <c r="M135" s="68"/>
      <c r="N135" s="69"/>
      <c r="O135" s="68"/>
    </row>
    <row r="136" customFormat="false" ht="27.75" hidden="false" customHeight="true" outlineLevel="0" collapsed="false">
      <c r="A136" s="66" t="n">
        <v>45</v>
      </c>
      <c r="B136" s="67" t="s">
        <v>90</v>
      </c>
      <c r="C136" s="66" t="s">
        <v>120</v>
      </c>
      <c r="D136" s="66" t="n">
        <v>1</v>
      </c>
      <c r="E136" s="67" t="str">
        <f aca="false">IFERROR(INDEX('Master Data'!$L$2:$L$2436,MATCH($B$3&amp;"|"&amp;D136&amp;"|"&amp;B136&amp;"|"&amp;C136,'Master Data'!$A$2:$A$2436,0)),"")</f>
        <v>Belum terisi</v>
      </c>
      <c r="F136" s="67" t="str">
        <f aca="false">IFERROR(INDEX('Master Data'!$F$2:$F$2436,MATCH($B$3&amp;"|"&amp;D136&amp;"|"&amp;B136&amp;"|"&amp;C136,'Master Data'!$A$2:$A$2436,0))&amp;"","")</f>
        <v>Baby</v>
      </c>
      <c r="G136" s="66" t="n">
        <f aca="false">IFERROR(INDEX('Master Data'!$G$2:$G$2436,MATCH($B$3&amp;"|"&amp;D136&amp;"|"&amp;B136&amp;"|"&amp;C136,'Master Data'!$A$2:$A$2436,0)),"")</f>
        <v>5</v>
      </c>
      <c r="H136" s="67" t="str">
        <f aca="false">IFERROR(INDEX('Master Data'!$K$2:$K$2436,MATCH($B$3&amp;"|"&amp;D136&amp;"|"&amp;B136&amp;"|"&amp;C136,'Master Data'!$A$2:$A$2436,0))&amp;"","")</f>
        <v/>
      </c>
      <c r="I136" s="67" t="s">
        <v>390</v>
      </c>
      <c r="J136" s="67" t="s">
        <v>134</v>
      </c>
      <c r="K136" s="68"/>
      <c r="L136" s="68"/>
      <c r="M136" s="68"/>
      <c r="N136" s="69"/>
      <c r="O136" s="68"/>
    </row>
    <row r="137" customFormat="false" ht="27.75" hidden="false" customHeight="true" outlineLevel="0" collapsed="false">
      <c r="A137" s="66" t="n">
        <v>46</v>
      </c>
      <c r="B137" s="67" t="s">
        <v>90</v>
      </c>
      <c r="C137" s="66" t="s">
        <v>120</v>
      </c>
      <c r="D137" s="66" t="n">
        <v>2</v>
      </c>
      <c r="E137" s="67" t="str">
        <f aca="false">IFERROR(INDEX('Master Data'!$L$2:$L$2436,MATCH($B$3&amp;"|"&amp;D137&amp;"|"&amp;B137&amp;"|"&amp;C137,'Master Data'!$A$2:$A$2436,0)),"")</f>
        <v>Belum terisi</v>
      </c>
      <c r="F137" s="67" t="str">
        <f aca="false">IFERROR(INDEX('Master Data'!$F$2:$F$2436,MATCH($B$3&amp;"|"&amp;D137&amp;"|"&amp;B137&amp;"|"&amp;C137,'Master Data'!$A$2:$A$2436,0))&amp;"","")</f>
        <v>Tiny</v>
      </c>
      <c r="G137" s="66" t="n">
        <f aca="false">IFERROR(INDEX('Master Data'!$G$2:$G$2436,MATCH($B$3&amp;"|"&amp;D137&amp;"|"&amp;B137&amp;"|"&amp;C137,'Master Data'!$A$2:$A$2436,0)),"")</f>
        <v>5</v>
      </c>
      <c r="H137" s="67" t="str">
        <f aca="false">IFERROR(INDEX('Master Data'!$K$2:$K$2436,MATCH($B$3&amp;"|"&amp;D137&amp;"|"&amp;B137&amp;"|"&amp;C137,'Master Data'!$A$2:$A$2436,0))&amp;"","")</f>
        <v/>
      </c>
      <c r="I137" s="67" t="s">
        <v>390</v>
      </c>
      <c r="J137" s="67" t="s">
        <v>134</v>
      </c>
      <c r="K137" s="68"/>
      <c r="L137" s="68"/>
      <c r="M137" s="68"/>
      <c r="N137" s="69"/>
      <c r="O137" s="68"/>
    </row>
    <row r="138" customFormat="false" ht="27.75" hidden="false" customHeight="true" outlineLevel="0" collapsed="false">
      <c r="A138" s="66" t="n">
        <v>47</v>
      </c>
      <c r="B138" s="67" t="s">
        <v>90</v>
      </c>
      <c r="C138" s="66" t="s">
        <v>120</v>
      </c>
      <c r="D138" s="66" t="n">
        <v>5</v>
      </c>
      <c r="E138" s="67" t="str">
        <f aca="false">IFERROR(INDEX('Master Data'!$L$2:$L$2436,MATCH($B$3&amp;"|"&amp;D138&amp;"|"&amp;B138&amp;"|"&amp;C138,'Master Data'!$A$2:$A$2436,0)),"")</f>
        <v>Slot kosong</v>
      </c>
      <c r="F138" s="67" t="str">
        <f aca="false">IFERROR(INDEX('Master Data'!$F$2:$F$2436,MATCH($B$3&amp;"|"&amp;D138&amp;"|"&amp;B138&amp;"|"&amp;C138,'Master Data'!$A$2:$A$2436,0))&amp;"","")</f>
        <v/>
      </c>
      <c r="G138" s="66" t="n">
        <f aca="false">IFERROR(INDEX('Master Data'!$G$2:$G$2436,MATCH($B$3&amp;"|"&amp;D138&amp;"|"&amp;B138&amp;"|"&amp;C138,'Master Data'!$A$2:$A$2436,0)),"")</f>
        <v>4</v>
      </c>
      <c r="H138" s="67" t="str">
        <f aca="false">IFERROR(INDEX('Master Data'!$K$2:$K$2436,MATCH($B$3&amp;"|"&amp;D138&amp;"|"&amp;B138&amp;"|"&amp;C138,'Master Data'!$A$2:$A$2436,0))&amp;"","")</f>
        <v/>
      </c>
      <c r="I138" s="67" t="s">
        <v>390</v>
      </c>
      <c r="J138" s="67" t="s">
        <v>134</v>
      </c>
      <c r="K138" s="68"/>
      <c r="L138" s="68"/>
      <c r="M138" s="68"/>
      <c r="N138" s="69"/>
      <c r="O138" s="68"/>
    </row>
    <row r="139" customFormat="false" ht="27.75" hidden="false" customHeight="true" outlineLevel="0" collapsed="false">
      <c r="A139" s="66" t="n">
        <v>48</v>
      </c>
      <c r="B139" s="67" t="s">
        <v>90</v>
      </c>
      <c r="C139" s="66" t="s">
        <v>121</v>
      </c>
      <c r="D139" s="66" t="n">
        <v>1</v>
      </c>
      <c r="E139" s="67" t="str">
        <f aca="false">IFERROR(INDEX('Master Data'!$L$2:$L$2436,MATCH($B$3&amp;"|"&amp;D139&amp;"|"&amp;B139&amp;"|"&amp;C139,'Master Data'!$A$2:$A$2436,0)),"")</f>
        <v>Belum terisi</v>
      </c>
      <c r="F139" s="67" t="str">
        <f aca="false">IFERROR(INDEX('Master Data'!$F$2:$F$2436,MATCH($B$3&amp;"|"&amp;D139&amp;"|"&amp;B139&amp;"|"&amp;C139,'Master Data'!$A$2:$A$2436,0))&amp;"","")</f>
        <v>Baby</v>
      </c>
      <c r="G139" s="66" t="n">
        <f aca="false">IFERROR(INDEX('Master Data'!$G$2:$G$2436,MATCH($B$3&amp;"|"&amp;D139&amp;"|"&amp;B139&amp;"|"&amp;C139,'Master Data'!$A$2:$A$2436,0)),"")</f>
        <v>5</v>
      </c>
      <c r="H139" s="67" t="str">
        <f aca="false">IFERROR(INDEX('Master Data'!$K$2:$K$2436,MATCH($B$3&amp;"|"&amp;D139&amp;"|"&amp;B139&amp;"|"&amp;C139,'Master Data'!$A$2:$A$2436,0))&amp;"","")</f>
        <v/>
      </c>
      <c r="I139" s="67" t="s">
        <v>390</v>
      </c>
      <c r="J139" s="67" t="s">
        <v>134</v>
      </c>
      <c r="K139" s="68"/>
      <c r="L139" s="68"/>
      <c r="M139" s="68"/>
      <c r="N139" s="69"/>
      <c r="O139" s="68"/>
    </row>
    <row r="140" customFormat="false" ht="27.75" hidden="false" customHeight="true" outlineLevel="0" collapsed="false">
      <c r="A140" s="66" t="n">
        <v>49</v>
      </c>
      <c r="B140" s="67" t="s">
        <v>90</v>
      </c>
      <c r="C140" s="66" t="s">
        <v>121</v>
      </c>
      <c r="D140" s="66" t="n">
        <v>2</v>
      </c>
      <c r="E140" s="67" t="str">
        <f aca="false">IFERROR(INDEX('Master Data'!$L$2:$L$2436,MATCH($B$3&amp;"|"&amp;D140&amp;"|"&amp;B140&amp;"|"&amp;C140,'Master Data'!$A$2:$A$2436,0)),"")</f>
        <v>Belum terisi</v>
      </c>
      <c r="F140" s="67" t="str">
        <f aca="false">IFERROR(INDEX('Master Data'!$F$2:$F$2436,MATCH($B$3&amp;"|"&amp;D140&amp;"|"&amp;B140&amp;"|"&amp;C140,'Master Data'!$A$2:$A$2436,0))&amp;"","")</f>
        <v>Tiny</v>
      </c>
      <c r="G140" s="66" t="n">
        <f aca="false">IFERROR(INDEX('Master Data'!$G$2:$G$2436,MATCH($B$3&amp;"|"&amp;D140&amp;"|"&amp;B140&amp;"|"&amp;C140,'Master Data'!$A$2:$A$2436,0)),"")</f>
        <v>5</v>
      </c>
      <c r="H140" s="67" t="str">
        <f aca="false">IFERROR(INDEX('Master Data'!$K$2:$K$2436,MATCH($B$3&amp;"|"&amp;D140&amp;"|"&amp;B140&amp;"|"&amp;C140,'Master Data'!$A$2:$A$2436,0))&amp;"","")</f>
        <v/>
      </c>
      <c r="I140" s="67" t="s">
        <v>390</v>
      </c>
      <c r="J140" s="67" t="s">
        <v>134</v>
      </c>
      <c r="K140" s="68"/>
      <c r="L140" s="68"/>
      <c r="M140" s="68"/>
      <c r="N140" s="69"/>
      <c r="O140" s="68"/>
    </row>
    <row r="141" customFormat="false" ht="27.75" hidden="false" customHeight="true" outlineLevel="0" collapsed="false">
      <c r="A141" s="66" t="n">
        <v>50</v>
      </c>
      <c r="B141" s="67" t="s">
        <v>90</v>
      </c>
      <c r="C141" s="66" t="s">
        <v>121</v>
      </c>
      <c r="D141" s="66" t="n">
        <v>5</v>
      </c>
      <c r="E141" s="67" t="str">
        <f aca="false">IFERROR(INDEX('Master Data'!$L$2:$L$2436,MATCH($B$3&amp;"|"&amp;D141&amp;"|"&amp;B141&amp;"|"&amp;C141,'Master Data'!$A$2:$A$2436,0)),"")</f>
        <v>Slot kosong</v>
      </c>
      <c r="F141" s="67" t="str">
        <f aca="false">IFERROR(INDEX('Master Data'!$F$2:$F$2436,MATCH($B$3&amp;"|"&amp;D141&amp;"|"&amp;B141&amp;"|"&amp;C141,'Master Data'!$A$2:$A$2436,0))&amp;"","")</f>
        <v/>
      </c>
      <c r="G141" s="66" t="n">
        <f aca="false">IFERROR(INDEX('Master Data'!$G$2:$G$2436,MATCH($B$3&amp;"|"&amp;D141&amp;"|"&amp;B141&amp;"|"&amp;C141,'Master Data'!$A$2:$A$2436,0)),"")</f>
        <v>4</v>
      </c>
      <c r="H141" s="67" t="str">
        <f aca="false">IFERROR(INDEX('Master Data'!$K$2:$K$2436,MATCH($B$3&amp;"|"&amp;D141&amp;"|"&amp;B141&amp;"|"&amp;C141,'Master Data'!$A$2:$A$2436,0))&amp;"","")</f>
        <v/>
      </c>
      <c r="I141" s="67" t="s">
        <v>390</v>
      </c>
      <c r="J141" s="67" t="s">
        <v>134</v>
      </c>
      <c r="K141" s="68"/>
      <c r="L141" s="68"/>
      <c r="M141" s="68"/>
      <c r="N141" s="69"/>
      <c r="O141" s="68"/>
    </row>
    <row r="142" customFormat="false" ht="52.5" hidden="false" customHeight="true" outlineLevel="0" collapsed="false">
      <c r="A142" s="66" t="n">
        <v>51</v>
      </c>
      <c r="B142" s="67" t="s">
        <v>90</v>
      </c>
      <c r="C142" s="66" t="s">
        <v>107</v>
      </c>
      <c r="D142" s="66" t="n">
        <v>3</v>
      </c>
      <c r="E142" s="67" t="str">
        <f aca="false">IFERROR(INDEX('Master Data'!$L$2:$L$2436,MATCH($B$3&amp;"|"&amp;D142&amp;"|"&amp;B142&amp;"|"&amp;C142,'Master Data'!$A$2:$A$2436,0)),"")</f>
        <v>Belum terisi</v>
      </c>
      <c r="F142" s="67" t="str">
        <f aca="false">IFERROR(INDEX('Master Data'!$F$2:$F$2436,MATCH($B$3&amp;"|"&amp;D142&amp;"|"&amp;B142&amp;"|"&amp;C142,'Master Data'!$A$2:$A$2436,0))&amp;"","")</f>
        <v>Little</v>
      </c>
      <c r="G142" s="66" t="n">
        <f aca="false">IFERROR(INDEX('Master Data'!$G$2:$G$2436,MATCH($B$3&amp;"|"&amp;D142&amp;"|"&amp;B142&amp;"|"&amp;C142,'Master Data'!$A$2:$A$2436,0)),"")</f>
        <v>4</v>
      </c>
      <c r="H142" s="67" t="str">
        <f aca="false">IFERROR(INDEX('Master Data'!$K$2:$K$2436,MATCH($B$3&amp;"|"&amp;D142&amp;"|"&amp;B142&amp;"|"&amp;C142,'Master Data'!$A$2:$A$2436,0))&amp;"","")</f>
        <v/>
      </c>
      <c r="I142" s="67" t="s">
        <v>384</v>
      </c>
      <c r="J142" s="67" t="s">
        <v>134</v>
      </c>
      <c r="K142" s="68"/>
      <c r="L142" s="68"/>
      <c r="M142" s="68"/>
      <c r="N142" s="69"/>
      <c r="O142" s="68"/>
    </row>
    <row r="143" customFormat="false" ht="52.5" hidden="false" customHeight="true" outlineLevel="0" collapsed="false">
      <c r="A143" s="66" t="n">
        <v>52</v>
      </c>
      <c r="B143" s="67" t="s">
        <v>90</v>
      </c>
      <c r="C143" s="66" t="s">
        <v>107</v>
      </c>
      <c r="D143" s="66" t="n">
        <v>4</v>
      </c>
      <c r="E143" s="67" t="str">
        <f aca="false">IFERROR(INDEX('Master Data'!$L$2:$L$2436,MATCH($B$3&amp;"|"&amp;D143&amp;"|"&amp;B143&amp;"|"&amp;C143,'Master Data'!$A$2:$A$2436,0)),"")</f>
        <v>Belum terisi</v>
      </c>
      <c r="F143" s="67" t="str">
        <f aca="false">IFERROR(INDEX('Master Data'!$F$2:$F$2436,MATCH($B$3&amp;"|"&amp;D143&amp;"|"&amp;B143&amp;"|"&amp;C143,'Master Data'!$A$2:$A$2436,0))&amp;"","")</f>
        <v>Kids</v>
      </c>
      <c r="G143" s="66" t="n">
        <f aca="false">IFERROR(INDEX('Master Data'!$G$2:$G$2436,MATCH($B$3&amp;"|"&amp;D143&amp;"|"&amp;B143&amp;"|"&amp;C143,'Master Data'!$A$2:$A$2436,0)),"")</f>
        <v>4</v>
      </c>
      <c r="H143" s="67" t="str">
        <f aca="false">IFERROR(INDEX('Master Data'!$K$2:$K$2436,MATCH($B$3&amp;"|"&amp;D143&amp;"|"&amp;B143&amp;"|"&amp;C143,'Master Data'!$A$2:$A$2436,0))&amp;"","")</f>
        <v/>
      </c>
      <c r="I143" s="67" t="s">
        <v>384</v>
      </c>
      <c r="J143" s="67" t="s">
        <v>134</v>
      </c>
      <c r="K143" s="68"/>
      <c r="L143" s="68"/>
      <c r="M143" s="68"/>
      <c r="N143" s="69"/>
      <c r="O143" s="68"/>
    </row>
    <row r="144" customFormat="false" ht="27.75" hidden="false" customHeight="true" outlineLevel="0" collapsed="false">
      <c r="A144" s="66" t="n">
        <v>53</v>
      </c>
      <c r="B144" s="67" t="s">
        <v>91</v>
      </c>
      <c r="C144" s="66" t="s">
        <v>110</v>
      </c>
      <c r="D144" s="66" t="n">
        <v>1</v>
      </c>
      <c r="E144" s="67" t="str">
        <f aca="false">IFERROR(INDEX('Master Data'!$L$2:$L$2436,MATCH($B$3&amp;"|"&amp;D144&amp;"|"&amp;B144&amp;"|"&amp;C144,'Master Data'!$A$2:$A$2436,0)),"")</f>
        <v>Belum terisi</v>
      </c>
      <c r="F144" s="67" t="str">
        <f aca="false">IFERROR(INDEX('Master Data'!$F$2:$F$2436,MATCH($B$3&amp;"|"&amp;D144&amp;"|"&amp;B144&amp;"|"&amp;C144,'Master Data'!$A$2:$A$2436,0))&amp;"","")</f>
        <v>Baby</v>
      </c>
      <c r="G144" s="66" t="n">
        <f aca="false">IFERROR(INDEX('Master Data'!$G$2:$G$2436,MATCH($B$3&amp;"|"&amp;D144&amp;"|"&amp;B144&amp;"|"&amp;C144,'Master Data'!$A$2:$A$2436,0)),"")</f>
        <v>5</v>
      </c>
      <c r="H144" s="67" t="str">
        <f aca="false">IFERROR(INDEX('Master Data'!$K$2:$K$2436,MATCH($B$3&amp;"|"&amp;D144&amp;"|"&amp;B144&amp;"|"&amp;C144,'Master Data'!$A$2:$A$2436,0))&amp;"","")</f>
        <v/>
      </c>
      <c r="I144" s="67" t="s">
        <v>391</v>
      </c>
      <c r="J144" s="67" t="s">
        <v>134</v>
      </c>
      <c r="K144" s="68"/>
      <c r="L144" s="68"/>
      <c r="M144" s="68"/>
      <c r="N144" s="69"/>
      <c r="O144" s="68"/>
    </row>
    <row r="145" customFormat="false" ht="27.75" hidden="false" customHeight="true" outlineLevel="0" collapsed="false">
      <c r="A145" s="66" t="n">
        <v>54</v>
      </c>
      <c r="B145" s="67" t="s">
        <v>91</v>
      </c>
      <c r="C145" s="66" t="s">
        <v>110</v>
      </c>
      <c r="D145" s="66" t="n">
        <v>2</v>
      </c>
      <c r="E145" s="67" t="str">
        <f aca="false">IFERROR(INDEX('Master Data'!$L$2:$L$2436,MATCH($B$3&amp;"|"&amp;D145&amp;"|"&amp;B145&amp;"|"&amp;C145,'Master Data'!$A$2:$A$2436,0)),"")</f>
        <v>Belum terisi</v>
      </c>
      <c r="F145" s="67" t="str">
        <f aca="false">IFERROR(INDEX('Master Data'!$F$2:$F$2436,MATCH($B$3&amp;"|"&amp;D145&amp;"|"&amp;B145&amp;"|"&amp;C145,'Master Data'!$A$2:$A$2436,0))&amp;"","")</f>
        <v>Tiny</v>
      </c>
      <c r="G145" s="66" t="n">
        <f aca="false">IFERROR(INDEX('Master Data'!$G$2:$G$2436,MATCH($B$3&amp;"|"&amp;D145&amp;"|"&amp;B145&amp;"|"&amp;C145,'Master Data'!$A$2:$A$2436,0)),"")</f>
        <v>5</v>
      </c>
      <c r="H145" s="67" t="str">
        <f aca="false">IFERROR(INDEX('Master Data'!$K$2:$K$2436,MATCH($B$3&amp;"|"&amp;D145&amp;"|"&amp;B145&amp;"|"&amp;C145,'Master Data'!$A$2:$A$2436,0))&amp;"","")</f>
        <v/>
      </c>
      <c r="I145" s="67" t="s">
        <v>391</v>
      </c>
      <c r="J145" s="67" t="s">
        <v>134</v>
      </c>
      <c r="K145" s="68"/>
      <c r="L145" s="68"/>
      <c r="M145" s="68"/>
      <c r="N145" s="69"/>
      <c r="O145" s="68"/>
    </row>
    <row r="146" customFormat="false" ht="27.75" hidden="false" customHeight="true" outlineLevel="0" collapsed="false">
      <c r="A146" s="66" t="n">
        <v>55</v>
      </c>
      <c r="B146" s="67" t="s">
        <v>91</v>
      </c>
      <c r="C146" s="66" t="s">
        <v>110</v>
      </c>
      <c r="D146" s="66" t="n">
        <v>5</v>
      </c>
      <c r="E146" s="67" t="str">
        <f aca="false">IFERROR(INDEX('Master Data'!$L$2:$L$2436,MATCH($B$3&amp;"|"&amp;D146&amp;"|"&amp;B146&amp;"|"&amp;C146,'Master Data'!$A$2:$A$2436,0)),"")</f>
        <v>Slot kosong</v>
      </c>
      <c r="F146" s="67" t="str">
        <f aca="false">IFERROR(INDEX('Master Data'!$F$2:$F$2436,MATCH($B$3&amp;"|"&amp;D146&amp;"|"&amp;B146&amp;"|"&amp;C146,'Master Data'!$A$2:$A$2436,0))&amp;"","")</f>
        <v/>
      </c>
      <c r="G146" s="66" t="n">
        <f aca="false">IFERROR(INDEX('Master Data'!$G$2:$G$2436,MATCH($B$3&amp;"|"&amp;D146&amp;"|"&amp;B146&amp;"|"&amp;C146,'Master Data'!$A$2:$A$2436,0)),"")</f>
        <v>4</v>
      </c>
      <c r="H146" s="67" t="str">
        <f aca="false">IFERROR(INDEX('Master Data'!$K$2:$K$2436,MATCH($B$3&amp;"|"&amp;D146&amp;"|"&amp;B146&amp;"|"&amp;C146,'Master Data'!$A$2:$A$2436,0))&amp;"","")</f>
        <v/>
      </c>
      <c r="I146" s="67" t="s">
        <v>391</v>
      </c>
      <c r="J146" s="67" t="s">
        <v>134</v>
      </c>
      <c r="K146" s="68"/>
      <c r="L146" s="68"/>
      <c r="M146" s="68"/>
      <c r="N146" s="69"/>
      <c r="O146" s="68"/>
    </row>
    <row r="147" customFormat="false" ht="27.75" hidden="false" customHeight="true" outlineLevel="0" collapsed="false">
      <c r="A147" s="66" t="n">
        <v>56</v>
      </c>
      <c r="B147" s="67" t="s">
        <v>91</v>
      </c>
      <c r="C147" s="66" t="s">
        <v>96</v>
      </c>
      <c r="D147" s="66" t="n">
        <v>3</v>
      </c>
      <c r="E147" s="67" t="str">
        <f aca="false">IFERROR(INDEX('Master Data'!$L$2:$L$2436,MATCH($B$3&amp;"|"&amp;D147&amp;"|"&amp;B147&amp;"|"&amp;C147,'Master Data'!$A$2:$A$2436,0)),"")</f>
        <v>Belum terisi</v>
      </c>
      <c r="F147" s="67" t="str">
        <f aca="false">IFERROR(INDEX('Master Data'!$F$2:$F$2436,MATCH($B$3&amp;"|"&amp;D147&amp;"|"&amp;B147&amp;"|"&amp;C147,'Master Data'!$A$2:$A$2436,0))&amp;"","")</f>
        <v>Little</v>
      </c>
      <c r="G147" s="66" t="n">
        <f aca="false">IFERROR(INDEX('Master Data'!$G$2:$G$2436,MATCH($B$3&amp;"|"&amp;D147&amp;"|"&amp;B147&amp;"|"&amp;C147,'Master Data'!$A$2:$A$2436,0)),"")</f>
        <v>4</v>
      </c>
      <c r="H147" s="67" t="str">
        <f aca="false">IFERROR(INDEX('Master Data'!$K$2:$K$2436,MATCH($B$3&amp;"|"&amp;D147&amp;"|"&amp;B147&amp;"|"&amp;C147,'Master Data'!$A$2:$A$2436,0))&amp;"","")</f>
        <v/>
      </c>
      <c r="I147" s="67" t="s">
        <v>392</v>
      </c>
      <c r="J147" s="67" t="s">
        <v>134</v>
      </c>
      <c r="K147" s="68"/>
      <c r="L147" s="68"/>
      <c r="M147" s="68"/>
      <c r="N147" s="69"/>
      <c r="O147" s="68"/>
    </row>
    <row r="148" customFormat="false" ht="27.75" hidden="false" customHeight="true" outlineLevel="0" collapsed="false">
      <c r="A148" s="66" t="n">
        <v>57</v>
      </c>
      <c r="B148" s="67" t="s">
        <v>91</v>
      </c>
      <c r="C148" s="66" t="s">
        <v>96</v>
      </c>
      <c r="D148" s="66" t="n">
        <v>4</v>
      </c>
      <c r="E148" s="67" t="str">
        <f aca="false">IFERROR(INDEX('Master Data'!$L$2:$L$2436,MATCH($B$3&amp;"|"&amp;D148&amp;"|"&amp;B148&amp;"|"&amp;C148,'Master Data'!$A$2:$A$2436,0)),"")</f>
        <v>Belum terisi</v>
      </c>
      <c r="F148" s="67" t="str">
        <f aca="false">IFERROR(INDEX('Master Data'!$F$2:$F$2436,MATCH($B$3&amp;"|"&amp;D148&amp;"|"&amp;B148&amp;"|"&amp;C148,'Master Data'!$A$2:$A$2436,0))&amp;"","")</f>
        <v>Kids</v>
      </c>
      <c r="G148" s="66" t="n">
        <f aca="false">IFERROR(INDEX('Master Data'!$G$2:$G$2436,MATCH($B$3&amp;"|"&amp;D148&amp;"|"&amp;B148&amp;"|"&amp;C148,'Master Data'!$A$2:$A$2436,0)),"")</f>
        <v>4</v>
      </c>
      <c r="H148" s="67" t="str">
        <f aca="false">IFERROR(INDEX('Master Data'!$K$2:$K$2436,MATCH($B$3&amp;"|"&amp;D148&amp;"|"&amp;B148&amp;"|"&amp;C148,'Master Data'!$A$2:$A$2436,0))&amp;"","")</f>
        <v/>
      </c>
      <c r="I148" s="67" t="s">
        <v>392</v>
      </c>
      <c r="J148" s="67" t="s">
        <v>134</v>
      </c>
      <c r="K148" s="68"/>
      <c r="L148" s="68"/>
      <c r="M148" s="68"/>
      <c r="N148" s="69"/>
      <c r="O148" s="68"/>
    </row>
    <row r="149" customFormat="false" ht="27.75" hidden="false" customHeight="true" outlineLevel="0" collapsed="false">
      <c r="A149" s="66" t="n">
        <v>58</v>
      </c>
      <c r="B149" s="67" t="s">
        <v>91</v>
      </c>
      <c r="C149" s="66" t="s">
        <v>111</v>
      </c>
      <c r="D149" s="66" t="n">
        <v>2</v>
      </c>
      <c r="E149" s="67" t="str">
        <f aca="false">IFERROR(INDEX('Master Data'!$L$2:$L$2436,MATCH($B$3&amp;"|"&amp;D149&amp;"|"&amp;B149&amp;"|"&amp;C149,'Master Data'!$A$2:$A$2436,0)),"")</f>
        <v>Belum terisi</v>
      </c>
      <c r="F149" s="67" t="str">
        <f aca="false">IFERROR(INDEX('Master Data'!$F$2:$F$2436,MATCH($B$3&amp;"|"&amp;D149&amp;"|"&amp;B149&amp;"|"&amp;C149,'Master Data'!$A$2:$A$2436,0))&amp;"","")</f>
        <v>Tiny</v>
      </c>
      <c r="G149" s="66" t="n">
        <f aca="false">IFERROR(INDEX('Master Data'!$G$2:$G$2436,MATCH($B$3&amp;"|"&amp;D149&amp;"|"&amp;B149&amp;"|"&amp;C149,'Master Data'!$A$2:$A$2436,0)),"")</f>
        <v>5</v>
      </c>
      <c r="H149" s="67" t="str">
        <f aca="false">IFERROR(INDEX('Master Data'!$K$2:$K$2436,MATCH($B$3&amp;"|"&amp;D149&amp;"|"&amp;B149&amp;"|"&amp;C149,'Master Data'!$A$2:$A$2436,0))&amp;"","")</f>
        <v/>
      </c>
      <c r="I149" s="67" t="s">
        <v>392</v>
      </c>
      <c r="J149" s="67" t="s">
        <v>134</v>
      </c>
      <c r="K149" s="68"/>
      <c r="L149" s="68"/>
      <c r="M149" s="68"/>
      <c r="N149" s="69"/>
      <c r="O149" s="68"/>
    </row>
    <row r="150" customFormat="false" ht="27.75" hidden="false" customHeight="true" outlineLevel="0" collapsed="false">
      <c r="A150" s="66" t="n">
        <v>59</v>
      </c>
      <c r="B150" s="67" t="s">
        <v>91</v>
      </c>
      <c r="C150" s="66" t="s">
        <v>111</v>
      </c>
      <c r="D150" s="66" t="n">
        <v>5</v>
      </c>
      <c r="E150" s="67" t="str">
        <f aca="false">IFERROR(INDEX('Master Data'!$L$2:$L$2436,MATCH($B$3&amp;"|"&amp;D150&amp;"|"&amp;B150&amp;"|"&amp;C150,'Master Data'!$A$2:$A$2436,0)),"")</f>
        <v>Slot kosong</v>
      </c>
      <c r="F150" s="67" t="str">
        <f aca="false">IFERROR(INDEX('Master Data'!$F$2:$F$2436,MATCH($B$3&amp;"|"&amp;D150&amp;"|"&amp;B150&amp;"|"&amp;C150,'Master Data'!$A$2:$A$2436,0))&amp;"","")</f>
        <v/>
      </c>
      <c r="G150" s="66" t="n">
        <f aca="false">IFERROR(INDEX('Master Data'!$G$2:$G$2436,MATCH($B$3&amp;"|"&amp;D150&amp;"|"&amp;B150&amp;"|"&amp;C150,'Master Data'!$A$2:$A$2436,0)),"")</f>
        <v>4</v>
      </c>
      <c r="H150" s="67" t="str">
        <f aca="false">IFERROR(INDEX('Master Data'!$K$2:$K$2436,MATCH($B$3&amp;"|"&amp;D150&amp;"|"&amp;B150&amp;"|"&amp;C150,'Master Data'!$A$2:$A$2436,0))&amp;"","")</f>
        <v/>
      </c>
      <c r="I150" s="67" t="s">
        <v>392</v>
      </c>
      <c r="J150" s="67" t="s">
        <v>134</v>
      </c>
      <c r="K150" s="68"/>
      <c r="L150" s="68"/>
      <c r="M150" s="68"/>
      <c r="N150" s="69"/>
      <c r="O150" s="68"/>
    </row>
    <row r="151" customFormat="false" ht="27.75" hidden="false" customHeight="true" outlineLevel="0" collapsed="false">
      <c r="A151" s="66" t="n">
        <v>60</v>
      </c>
      <c r="B151" s="67" t="s">
        <v>91</v>
      </c>
      <c r="C151" s="66" t="s">
        <v>97</v>
      </c>
      <c r="D151" s="66" t="n">
        <v>3</v>
      </c>
      <c r="E151" s="67" t="str">
        <f aca="false">IFERROR(INDEX('Master Data'!$L$2:$L$2436,MATCH($B$3&amp;"|"&amp;D151&amp;"|"&amp;B151&amp;"|"&amp;C151,'Master Data'!$A$2:$A$2436,0)),"")</f>
        <v>Belum terisi</v>
      </c>
      <c r="F151" s="67" t="str">
        <f aca="false">IFERROR(INDEX('Master Data'!$F$2:$F$2436,MATCH($B$3&amp;"|"&amp;D151&amp;"|"&amp;B151&amp;"|"&amp;C151,'Master Data'!$A$2:$A$2436,0))&amp;"","")</f>
        <v>Little</v>
      </c>
      <c r="G151" s="66" t="n">
        <f aca="false">IFERROR(INDEX('Master Data'!$G$2:$G$2436,MATCH($B$3&amp;"|"&amp;D151&amp;"|"&amp;B151&amp;"|"&amp;C151,'Master Data'!$A$2:$A$2436,0)),"")</f>
        <v>4</v>
      </c>
      <c r="H151" s="67" t="str">
        <f aca="false">IFERROR(INDEX('Master Data'!$K$2:$K$2436,MATCH($B$3&amp;"|"&amp;D151&amp;"|"&amp;B151&amp;"|"&amp;C151,'Master Data'!$A$2:$A$2436,0))&amp;"","")</f>
        <v/>
      </c>
      <c r="I151" s="67" t="s">
        <v>392</v>
      </c>
      <c r="J151" s="67" t="s">
        <v>134</v>
      </c>
      <c r="K151" s="68"/>
      <c r="L151" s="68"/>
      <c r="M151" s="68"/>
      <c r="N151" s="69"/>
      <c r="O151" s="68"/>
    </row>
    <row r="152" customFormat="false" ht="27.75" hidden="false" customHeight="true" outlineLevel="0" collapsed="false">
      <c r="A152" s="66" t="n">
        <v>61</v>
      </c>
      <c r="B152" s="67" t="s">
        <v>91</v>
      </c>
      <c r="C152" s="66" t="s">
        <v>97</v>
      </c>
      <c r="D152" s="66" t="n">
        <v>4</v>
      </c>
      <c r="E152" s="67" t="str">
        <f aca="false">IFERROR(INDEX('Master Data'!$L$2:$L$2436,MATCH($B$3&amp;"|"&amp;D152&amp;"|"&amp;B152&amp;"|"&amp;C152,'Master Data'!$A$2:$A$2436,0)),"")</f>
        <v>Belum terisi</v>
      </c>
      <c r="F152" s="67" t="str">
        <f aca="false">IFERROR(INDEX('Master Data'!$F$2:$F$2436,MATCH($B$3&amp;"|"&amp;D152&amp;"|"&amp;B152&amp;"|"&amp;C152,'Master Data'!$A$2:$A$2436,0))&amp;"","")</f>
        <v>Kids</v>
      </c>
      <c r="G152" s="66" t="n">
        <f aca="false">IFERROR(INDEX('Master Data'!$G$2:$G$2436,MATCH($B$3&amp;"|"&amp;D152&amp;"|"&amp;B152&amp;"|"&amp;C152,'Master Data'!$A$2:$A$2436,0)),"")</f>
        <v>4</v>
      </c>
      <c r="H152" s="67" t="str">
        <f aca="false">IFERROR(INDEX('Master Data'!$K$2:$K$2436,MATCH($B$3&amp;"|"&amp;D152&amp;"|"&amp;B152&amp;"|"&amp;C152,'Master Data'!$A$2:$A$2436,0))&amp;"","")</f>
        <v/>
      </c>
      <c r="I152" s="67" t="s">
        <v>392</v>
      </c>
      <c r="J152" s="67" t="s">
        <v>134</v>
      </c>
      <c r="K152" s="68"/>
      <c r="L152" s="68"/>
      <c r="M152" s="68"/>
      <c r="N152" s="69"/>
      <c r="O152" s="68"/>
    </row>
    <row r="153" customFormat="false" ht="27.75" hidden="false" customHeight="true" outlineLevel="0" collapsed="false">
      <c r="A153" s="66" t="n">
        <v>62</v>
      </c>
      <c r="B153" s="67" t="s">
        <v>91</v>
      </c>
      <c r="C153" s="66" t="s">
        <v>112</v>
      </c>
      <c r="D153" s="66" t="n">
        <v>1</v>
      </c>
      <c r="E153" s="67" t="str">
        <f aca="false">IFERROR(INDEX('Master Data'!$L$2:$L$2436,MATCH($B$3&amp;"|"&amp;D153&amp;"|"&amp;B153&amp;"|"&amp;C153,'Master Data'!$A$2:$A$2436,0)),"")</f>
        <v>Belum terisi</v>
      </c>
      <c r="F153" s="67" t="str">
        <f aca="false">IFERROR(INDEX('Master Data'!$F$2:$F$2436,MATCH($B$3&amp;"|"&amp;D153&amp;"|"&amp;B153&amp;"|"&amp;C153,'Master Data'!$A$2:$A$2436,0))&amp;"","")</f>
        <v>Baby</v>
      </c>
      <c r="G153" s="66" t="n">
        <f aca="false">IFERROR(INDEX('Master Data'!$G$2:$G$2436,MATCH($B$3&amp;"|"&amp;D153&amp;"|"&amp;B153&amp;"|"&amp;C153,'Master Data'!$A$2:$A$2436,0)),"")</f>
        <v>5</v>
      </c>
      <c r="H153" s="67" t="str">
        <f aca="false">IFERROR(INDEX('Master Data'!$K$2:$K$2436,MATCH($B$3&amp;"|"&amp;D153&amp;"|"&amp;B153&amp;"|"&amp;C153,'Master Data'!$A$2:$A$2436,0))&amp;"","")</f>
        <v/>
      </c>
      <c r="I153" s="67" t="s">
        <v>391</v>
      </c>
      <c r="J153" s="67" t="s">
        <v>134</v>
      </c>
      <c r="K153" s="68"/>
      <c r="L153" s="68"/>
      <c r="M153" s="68"/>
      <c r="N153" s="69"/>
      <c r="O153" s="68"/>
    </row>
    <row r="154" customFormat="false" ht="27.75" hidden="false" customHeight="true" outlineLevel="0" collapsed="false">
      <c r="A154" s="66" t="n">
        <v>63</v>
      </c>
      <c r="B154" s="67" t="s">
        <v>91</v>
      </c>
      <c r="C154" s="66" t="s">
        <v>112</v>
      </c>
      <c r="D154" s="66" t="n">
        <v>2</v>
      </c>
      <c r="E154" s="67" t="str">
        <f aca="false">IFERROR(INDEX('Master Data'!$L$2:$L$2436,MATCH($B$3&amp;"|"&amp;D154&amp;"|"&amp;B154&amp;"|"&amp;C154,'Master Data'!$A$2:$A$2436,0)),"")</f>
        <v>Belum terisi</v>
      </c>
      <c r="F154" s="67" t="str">
        <f aca="false">IFERROR(INDEX('Master Data'!$F$2:$F$2436,MATCH($B$3&amp;"|"&amp;D154&amp;"|"&amp;B154&amp;"|"&amp;C154,'Master Data'!$A$2:$A$2436,0))&amp;"","")</f>
        <v>Tiny</v>
      </c>
      <c r="G154" s="66" t="n">
        <f aca="false">IFERROR(INDEX('Master Data'!$G$2:$G$2436,MATCH($B$3&amp;"|"&amp;D154&amp;"|"&amp;B154&amp;"|"&amp;C154,'Master Data'!$A$2:$A$2436,0)),"")</f>
        <v>5</v>
      </c>
      <c r="H154" s="67" t="str">
        <f aca="false">IFERROR(INDEX('Master Data'!$K$2:$K$2436,MATCH($B$3&amp;"|"&amp;D154&amp;"|"&amp;B154&amp;"|"&amp;C154,'Master Data'!$A$2:$A$2436,0))&amp;"","")</f>
        <v/>
      </c>
      <c r="I154" s="67" t="s">
        <v>391</v>
      </c>
      <c r="J154" s="67" t="s">
        <v>134</v>
      </c>
      <c r="K154" s="68"/>
      <c r="L154" s="68"/>
      <c r="M154" s="68"/>
      <c r="N154" s="69"/>
      <c r="O154" s="68"/>
    </row>
    <row r="155" customFormat="false" ht="27.75" hidden="false" customHeight="true" outlineLevel="0" collapsed="false">
      <c r="A155" s="66" t="n">
        <v>64</v>
      </c>
      <c r="B155" s="67" t="s">
        <v>91</v>
      </c>
      <c r="C155" s="66" t="s">
        <v>112</v>
      </c>
      <c r="D155" s="66" t="n">
        <v>5</v>
      </c>
      <c r="E155" s="67" t="str">
        <f aca="false">IFERROR(INDEX('Master Data'!$L$2:$L$2436,MATCH($B$3&amp;"|"&amp;D155&amp;"|"&amp;B155&amp;"|"&amp;C155,'Master Data'!$A$2:$A$2436,0)),"")</f>
        <v>Slot kosong</v>
      </c>
      <c r="F155" s="67" t="str">
        <f aca="false">IFERROR(INDEX('Master Data'!$F$2:$F$2436,MATCH($B$3&amp;"|"&amp;D155&amp;"|"&amp;B155&amp;"|"&amp;C155,'Master Data'!$A$2:$A$2436,0))&amp;"","")</f>
        <v/>
      </c>
      <c r="G155" s="66" t="n">
        <f aca="false">IFERROR(INDEX('Master Data'!$G$2:$G$2436,MATCH($B$3&amp;"|"&amp;D155&amp;"|"&amp;B155&amp;"|"&amp;C155,'Master Data'!$A$2:$A$2436,0)),"")</f>
        <v>4</v>
      </c>
      <c r="H155" s="67" t="str">
        <f aca="false">IFERROR(INDEX('Master Data'!$K$2:$K$2436,MATCH($B$3&amp;"|"&amp;D155&amp;"|"&amp;B155&amp;"|"&amp;C155,'Master Data'!$A$2:$A$2436,0))&amp;"","")</f>
        <v/>
      </c>
      <c r="I155" s="67" t="s">
        <v>391</v>
      </c>
      <c r="J155" s="67" t="s">
        <v>134</v>
      </c>
      <c r="K155" s="68"/>
      <c r="L155" s="68"/>
      <c r="M155" s="68"/>
      <c r="N155" s="69"/>
      <c r="O155" s="68"/>
    </row>
    <row r="156" customFormat="false" ht="27.75" hidden="false" customHeight="true" outlineLevel="0" collapsed="false">
      <c r="A156" s="66" t="n">
        <v>65</v>
      </c>
      <c r="B156" s="67" t="s">
        <v>91</v>
      </c>
      <c r="C156" s="66" t="s">
        <v>98</v>
      </c>
      <c r="D156" s="66" t="n">
        <v>3</v>
      </c>
      <c r="E156" s="67" t="str">
        <f aca="false">IFERROR(INDEX('Master Data'!$L$2:$L$2436,MATCH($B$3&amp;"|"&amp;D156&amp;"|"&amp;B156&amp;"|"&amp;C156,'Master Data'!$A$2:$A$2436,0)),"")</f>
        <v>Belum terisi</v>
      </c>
      <c r="F156" s="67" t="str">
        <f aca="false">IFERROR(INDEX('Master Data'!$F$2:$F$2436,MATCH($B$3&amp;"|"&amp;D156&amp;"|"&amp;B156&amp;"|"&amp;C156,'Master Data'!$A$2:$A$2436,0))&amp;"","")</f>
        <v>Little</v>
      </c>
      <c r="G156" s="66" t="n">
        <f aca="false">IFERROR(INDEX('Master Data'!$G$2:$G$2436,MATCH($B$3&amp;"|"&amp;D156&amp;"|"&amp;B156&amp;"|"&amp;C156,'Master Data'!$A$2:$A$2436,0)),"")</f>
        <v>4</v>
      </c>
      <c r="H156" s="67" t="str">
        <f aca="false">IFERROR(INDEX('Master Data'!$K$2:$K$2436,MATCH($B$3&amp;"|"&amp;D156&amp;"|"&amp;B156&amp;"|"&amp;C156,'Master Data'!$A$2:$A$2436,0))&amp;"","")</f>
        <v/>
      </c>
      <c r="I156" s="67" t="s">
        <v>391</v>
      </c>
      <c r="J156" s="67" t="s">
        <v>134</v>
      </c>
      <c r="K156" s="68"/>
      <c r="L156" s="68"/>
      <c r="M156" s="68"/>
      <c r="N156" s="69"/>
      <c r="O156" s="68"/>
    </row>
    <row r="157" customFormat="false" ht="27.75" hidden="false" customHeight="true" outlineLevel="0" collapsed="false">
      <c r="A157" s="66" t="n">
        <v>66</v>
      </c>
      <c r="B157" s="67" t="s">
        <v>91</v>
      </c>
      <c r="C157" s="66" t="s">
        <v>98</v>
      </c>
      <c r="D157" s="66" t="n">
        <v>4</v>
      </c>
      <c r="E157" s="67" t="str">
        <f aca="false">IFERROR(INDEX('Master Data'!$L$2:$L$2436,MATCH($B$3&amp;"|"&amp;D157&amp;"|"&amp;B157&amp;"|"&amp;C157,'Master Data'!$A$2:$A$2436,0)),"")</f>
        <v>Belum terisi</v>
      </c>
      <c r="F157" s="67" t="str">
        <f aca="false">IFERROR(INDEX('Master Data'!$F$2:$F$2436,MATCH($B$3&amp;"|"&amp;D157&amp;"|"&amp;B157&amp;"|"&amp;C157,'Master Data'!$A$2:$A$2436,0))&amp;"","")</f>
        <v>Kids</v>
      </c>
      <c r="G157" s="66" t="n">
        <f aca="false">IFERROR(INDEX('Master Data'!$G$2:$G$2436,MATCH($B$3&amp;"|"&amp;D157&amp;"|"&amp;B157&amp;"|"&amp;C157,'Master Data'!$A$2:$A$2436,0)),"")</f>
        <v>4</v>
      </c>
      <c r="H157" s="67" t="str">
        <f aca="false">IFERROR(INDEX('Master Data'!$K$2:$K$2436,MATCH($B$3&amp;"|"&amp;D157&amp;"|"&amp;B157&amp;"|"&amp;C157,'Master Data'!$A$2:$A$2436,0))&amp;"","")</f>
        <v/>
      </c>
      <c r="I157" s="67" t="s">
        <v>391</v>
      </c>
      <c r="J157" s="67" t="s">
        <v>134</v>
      </c>
      <c r="K157" s="68"/>
      <c r="L157" s="68"/>
      <c r="M157" s="68"/>
      <c r="N157" s="69"/>
      <c r="O157" s="68"/>
    </row>
    <row r="158" customFormat="false" ht="27.75" hidden="false" customHeight="true" outlineLevel="0" collapsed="false">
      <c r="A158" s="66" t="n">
        <v>67</v>
      </c>
      <c r="B158" s="67" t="s">
        <v>91</v>
      </c>
      <c r="C158" s="66" t="s">
        <v>113</v>
      </c>
      <c r="D158" s="66" t="n">
        <v>1</v>
      </c>
      <c r="E158" s="67" t="str">
        <f aca="false">IFERROR(INDEX('Master Data'!$L$2:$L$2436,MATCH($B$3&amp;"|"&amp;D158&amp;"|"&amp;B158&amp;"|"&amp;C158,'Master Data'!$A$2:$A$2436,0)),"")</f>
        <v>Belum terisi</v>
      </c>
      <c r="F158" s="67" t="str">
        <f aca="false">IFERROR(INDEX('Master Data'!$F$2:$F$2436,MATCH($B$3&amp;"|"&amp;D158&amp;"|"&amp;B158&amp;"|"&amp;C158,'Master Data'!$A$2:$A$2436,0))&amp;"","")</f>
        <v>Baby</v>
      </c>
      <c r="G158" s="66" t="n">
        <f aca="false">IFERROR(INDEX('Master Data'!$G$2:$G$2436,MATCH($B$3&amp;"|"&amp;D158&amp;"|"&amp;B158&amp;"|"&amp;C158,'Master Data'!$A$2:$A$2436,0)),"")</f>
        <v>5</v>
      </c>
      <c r="H158" s="67" t="str">
        <f aca="false">IFERROR(INDEX('Master Data'!$K$2:$K$2436,MATCH($B$3&amp;"|"&amp;D158&amp;"|"&amp;B158&amp;"|"&amp;C158,'Master Data'!$A$2:$A$2436,0))&amp;"","")</f>
        <v/>
      </c>
      <c r="I158" s="67" t="s">
        <v>391</v>
      </c>
      <c r="J158" s="67" t="s">
        <v>134</v>
      </c>
      <c r="K158" s="68"/>
      <c r="L158" s="68"/>
      <c r="M158" s="68"/>
      <c r="N158" s="69"/>
      <c r="O158" s="68"/>
    </row>
    <row r="159" customFormat="false" ht="27.75" hidden="false" customHeight="true" outlineLevel="0" collapsed="false">
      <c r="A159" s="66" t="n">
        <v>68</v>
      </c>
      <c r="B159" s="67" t="s">
        <v>91</v>
      </c>
      <c r="C159" s="66" t="s">
        <v>113</v>
      </c>
      <c r="D159" s="66" t="n">
        <v>2</v>
      </c>
      <c r="E159" s="67" t="str">
        <f aca="false">IFERROR(INDEX('Master Data'!$L$2:$L$2436,MATCH($B$3&amp;"|"&amp;D159&amp;"|"&amp;B159&amp;"|"&amp;C159,'Master Data'!$A$2:$A$2436,0)),"")</f>
        <v>Belum terisi</v>
      </c>
      <c r="F159" s="67" t="str">
        <f aca="false">IFERROR(INDEX('Master Data'!$F$2:$F$2436,MATCH($B$3&amp;"|"&amp;D159&amp;"|"&amp;B159&amp;"|"&amp;C159,'Master Data'!$A$2:$A$2436,0))&amp;"","")</f>
        <v>Tiny</v>
      </c>
      <c r="G159" s="66" t="n">
        <f aca="false">IFERROR(INDEX('Master Data'!$G$2:$G$2436,MATCH($B$3&amp;"|"&amp;D159&amp;"|"&amp;B159&amp;"|"&amp;C159,'Master Data'!$A$2:$A$2436,0)),"")</f>
        <v>5</v>
      </c>
      <c r="H159" s="67" t="str">
        <f aca="false">IFERROR(INDEX('Master Data'!$K$2:$K$2436,MATCH($B$3&amp;"|"&amp;D159&amp;"|"&amp;B159&amp;"|"&amp;C159,'Master Data'!$A$2:$A$2436,0))&amp;"","")</f>
        <v/>
      </c>
      <c r="I159" s="67" t="s">
        <v>391</v>
      </c>
      <c r="J159" s="67" t="s">
        <v>134</v>
      </c>
      <c r="K159" s="68"/>
      <c r="L159" s="68"/>
      <c r="M159" s="68"/>
      <c r="N159" s="69"/>
      <c r="O159" s="68"/>
    </row>
    <row r="160" customFormat="false" ht="27.75" hidden="false" customHeight="true" outlineLevel="0" collapsed="false">
      <c r="A160" s="66" t="n">
        <v>69</v>
      </c>
      <c r="B160" s="67" t="s">
        <v>91</v>
      </c>
      <c r="C160" s="66" t="s">
        <v>113</v>
      </c>
      <c r="D160" s="66" t="n">
        <v>5</v>
      </c>
      <c r="E160" s="67" t="str">
        <f aca="false">IFERROR(INDEX('Master Data'!$L$2:$L$2436,MATCH($B$3&amp;"|"&amp;D160&amp;"|"&amp;B160&amp;"|"&amp;C160,'Master Data'!$A$2:$A$2436,0)),"")</f>
        <v>Slot kosong</v>
      </c>
      <c r="F160" s="67" t="str">
        <f aca="false">IFERROR(INDEX('Master Data'!$F$2:$F$2436,MATCH($B$3&amp;"|"&amp;D160&amp;"|"&amp;B160&amp;"|"&amp;C160,'Master Data'!$A$2:$A$2436,0))&amp;"","")</f>
        <v/>
      </c>
      <c r="G160" s="66" t="n">
        <f aca="false">IFERROR(INDEX('Master Data'!$G$2:$G$2436,MATCH($B$3&amp;"|"&amp;D160&amp;"|"&amp;B160&amp;"|"&amp;C160,'Master Data'!$A$2:$A$2436,0)),"")</f>
        <v>4</v>
      </c>
      <c r="H160" s="67" t="str">
        <f aca="false">IFERROR(INDEX('Master Data'!$K$2:$K$2436,MATCH($B$3&amp;"|"&amp;D160&amp;"|"&amp;B160&amp;"|"&amp;C160,'Master Data'!$A$2:$A$2436,0))&amp;"","")</f>
        <v/>
      </c>
      <c r="I160" s="67" t="s">
        <v>391</v>
      </c>
      <c r="J160" s="67" t="s">
        <v>134</v>
      </c>
      <c r="K160" s="68"/>
      <c r="L160" s="68"/>
      <c r="M160" s="68"/>
      <c r="N160" s="69"/>
      <c r="O160" s="68"/>
    </row>
    <row r="161" customFormat="false" ht="27.75" hidden="false" customHeight="true" outlineLevel="0" collapsed="false">
      <c r="A161" s="66" t="n">
        <v>70</v>
      </c>
      <c r="B161" s="67" t="s">
        <v>91</v>
      </c>
      <c r="C161" s="66" t="s">
        <v>99</v>
      </c>
      <c r="D161" s="66" t="n">
        <v>3</v>
      </c>
      <c r="E161" s="67" t="str">
        <f aca="false">IFERROR(INDEX('Master Data'!$L$2:$L$2436,MATCH($B$3&amp;"|"&amp;D161&amp;"|"&amp;B161&amp;"|"&amp;C161,'Master Data'!$A$2:$A$2436,0)),"")</f>
        <v>Belum terisi</v>
      </c>
      <c r="F161" s="67" t="str">
        <f aca="false">IFERROR(INDEX('Master Data'!$F$2:$F$2436,MATCH($B$3&amp;"|"&amp;D161&amp;"|"&amp;B161&amp;"|"&amp;C161,'Master Data'!$A$2:$A$2436,0))&amp;"","")</f>
        <v>Little</v>
      </c>
      <c r="G161" s="66" t="n">
        <f aca="false">IFERROR(INDEX('Master Data'!$G$2:$G$2436,MATCH($B$3&amp;"|"&amp;D161&amp;"|"&amp;B161&amp;"|"&amp;C161,'Master Data'!$A$2:$A$2436,0)),"")</f>
        <v>4</v>
      </c>
      <c r="H161" s="67" t="str">
        <f aca="false">IFERROR(INDEX('Master Data'!$K$2:$K$2436,MATCH($B$3&amp;"|"&amp;D161&amp;"|"&amp;B161&amp;"|"&amp;C161,'Master Data'!$A$2:$A$2436,0))&amp;"","")</f>
        <v/>
      </c>
      <c r="I161" s="67" t="s">
        <v>391</v>
      </c>
      <c r="J161" s="67" t="s">
        <v>134</v>
      </c>
      <c r="K161" s="68"/>
      <c r="L161" s="68"/>
      <c r="M161" s="68"/>
      <c r="N161" s="69"/>
      <c r="O161" s="68"/>
    </row>
    <row r="162" customFormat="false" ht="27.75" hidden="false" customHeight="true" outlineLevel="0" collapsed="false">
      <c r="A162" s="66" t="n">
        <v>71</v>
      </c>
      <c r="B162" s="67" t="s">
        <v>91</v>
      </c>
      <c r="C162" s="66" t="s">
        <v>99</v>
      </c>
      <c r="D162" s="66" t="n">
        <v>4</v>
      </c>
      <c r="E162" s="67" t="str">
        <f aca="false">IFERROR(INDEX('Master Data'!$L$2:$L$2436,MATCH($B$3&amp;"|"&amp;D162&amp;"|"&amp;B162&amp;"|"&amp;C162,'Master Data'!$A$2:$A$2436,0)),"")</f>
        <v>Belum terisi</v>
      </c>
      <c r="F162" s="67" t="str">
        <f aca="false">IFERROR(INDEX('Master Data'!$F$2:$F$2436,MATCH($B$3&amp;"|"&amp;D162&amp;"|"&amp;B162&amp;"|"&amp;C162,'Master Data'!$A$2:$A$2436,0))&amp;"","")</f>
        <v>Kids</v>
      </c>
      <c r="G162" s="66" t="n">
        <f aca="false">IFERROR(INDEX('Master Data'!$G$2:$G$2436,MATCH($B$3&amp;"|"&amp;D162&amp;"|"&amp;B162&amp;"|"&amp;C162,'Master Data'!$A$2:$A$2436,0)),"")</f>
        <v>4</v>
      </c>
      <c r="H162" s="67" t="str">
        <f aca="false">IFERROR(INDEX('Master Data'!$K$2:$K$2436,MATCH($B$3&amp;"|"&amp;D162&amp;"|"&amp;B162&amp;"|"&amp;C162,'Master Data'!$A$2:$A$2436,0))&amp;"","")</f>
        <v/>
      </c>
      <c r="I162" s="67" t="s">
        <v>391</v>
      </c>
      <c r="J162" s="67" t="s">
        <v>134</v>
      </c>
      <c r="K162" s="68"/>
      <c r="L162" s="68"/>
      <c r="M162" s="68"/>
      <c r="N162" s="69"/>
      <c r="O162" s="68"/>
    </row>
    <row r="163" customFormat="false" ht="27.75" hidden="false" customHeight="true" outlineLevel="0" collapsed="false">
      <c r="A163" s="66" t="n">
        <v>72</v>
      </c>
      <c r="B163" s="67" t="s">
        <v>91</v>
      </c>
      <c r="C163" s="66" t="s">
        <v>114</v>
      </c>
      <c r="D163" s="66" t="n">
        <v>1</v>
      </c>
      <c r="E163" s="67" t="str">
        <f aca="false">IFERROR(INDEX('Master Data'!$L$2:$L$2436,MATCH($B$3&amp;"|"&amp;D163&amp;"|"&amp;B163&amp;"|"&amp;C163,'Master Data'!$A$2:$A$2436,0)),"")</f>
        <v>Belum terisi</v>
      </c>
      <c r="F163" s="67" t="str">
        <f aca="false">IFERROR(INDEX('Master Data'!$F$2:$F$2436,MATCH($B$3&amp;"|"&amp;D163&amp;"|"&amp;B163&amp;"|"&amp;C163,'Master Data'!$A$2:$A$2436,0))&amp;"","")</f>
        <v>Baby</v>
      </c>
      <c r="G163" s="66" t="n">
        <f aca="false">IFERROR(INDEX('Master Data'!$G$2:$G$2436,MATCH($B$3&amp;"|"&amp;D163&amp;"|"&amp;B163&amp;"|"&amp;C163,'Master Data'!$A$2:$A$2436,0)),"")</f>
        <v>5</v>
      </c>
      <c r="H163" s="67" t="str">
        <f aca="false">IFERROR(INDEX('Master Data'!$K$2:$K$2436,MATCH($B$3&amp;"|"&amp;D163&amp;"|"&amp;B163&amp;"|"&amp;C163,'Master Data'!$A$2:$A$2436,0))&amp;"","")</f>
        <v/>
      </c>
      <c r="I163" s="67" t="s">
        <v>391</v>
      </c>
      <c r="J163" s="67" t="s">
        <v>134</v>
      </c>
      <c r="K163" s="68"/>
      <c r="L163" s="68"/>
      <c r="M163" s="68"/>
      <c r="N163" s="69"/>
      <c r="O163" s="68"/>
    </row>
    <row r="164" customFormat="false" ht="27.75" hidden="false" customHeight="true" outlineLevel="0" collapsed="false">
      <c r="A164" s="66" t="n">
        <v>73</v>
      </c>
      <c r="B164" s="67" t="s">
        <v>91</v>
      </c>
      <c r="C164" s="66" t="s">
        <v>114</v>
      </c>
      <c r="D164" s="66" t="n">
        <v>2</v>
      </c>
      <c r="E164" s="67" t="str">
        <f aca="false">IFERROR(INDEX('Master Data'!$L$2:$L$2436,MATCH($B$3&amp;"|"&amp;D164&amp;"|"&amp;B164&amp;"|"&amp;C164,'Master Data'!$A$2:$A$2436,0)),"")</f>
        <v>Belum terisi</v>
      </c>
      <c r="F164" s="67" t="str">
        <f aca="false">IFERROR(INDEX('Master Data'!$F$2:$F$2436,MATCH($B$3&amp;"|"&amp;D164&amp;"|"&amp;B164&amp;"|"&amp;C164,'Master Data'!$A$2:$A$2436,0))&amp;"","")</f>
        <v>Tiny</v>
      </c>
      <c r="G164" s="66" t="n">
        <f aca="false">IFERROR(INDEX('Master Data'!$G$2:$G$2436,MATCH($B$3&amp;"|"&amp;D164&amp;"|"&amp;B164&amp;"|"&amp;C164,'Master Data'!$A$2:$A$2436,0)),"")</f>
        <v>5</v>
      </c>
      <c r="H164" s="67" t="str">
        <f aca="false">IFERROR(INDEX('Master Data'!$K$2:$K$2436,MATCH($B$3&amp;"|"&amp;D164&amp;"|"&amp;B164&amp;"|"&amp;C164,'Master Data'!$A$2:$A$2436,0))&amp;"","")</f>
        <v/>
      </c>
      <c r="I164" s="67" t="s">
        <v>391</v>
      </c>
      <c r="J164" s="67" t="s">
        <v>134</v>
      </c>
      <c r="K164" s="68"/>
      <c r="L164" s="68"/>
      <c r="M164" s="68"/>
      <c r="N164" s="69"/>
      <c r="O164" s="68"/>
    </row>
    <row r="165" customFormat="false" ht="27.75" hidden="false" customHeight="true" outlineLevel="0" collapsed="false">
      <c r="A165" s="66" t="n">
        <v>74</v>
      </c>
      <c r="B165" s="67" t="s">
        <v>91</v>
      </c>
      <c r="C165" s="66" t="s">
        <v>114</v>
      </c>
      <c r="D165" s="66" t="n">
        <v>5</v>
      </c>
      <c r="E165" s="67" t="str">
        <f aca="false">IFERROR(INDEX('Master Data'!$L$2:$L$2436,MATCH($B$3&amp;"|"&amp;D165&amp;"|"&amp;B165&amp;"|"&amp;C165,'Master Data'!$A$2:$A$2436,0)),"")</f>
        <v>Slot kosong</v>
      </c>
      <c r="F165" s="67" t="str">
        <f aca="false">IFERROR(INDEX('Master Data'!$F$2:$F$2436,MATCH($B$3&amp;"|"&amp;D165&amp;"|"&amp;B165&amp;"|"&amp;C165,'Master Data'!$A$2:$A$2436,0))&amp;"","")</f>
        <v/>
      </c>
      <c r="G165" s="66" t="n">
        <f aca="false">IFERROR(INDEX('Master Data'!$G$2:$G$2436,MATCH($B$3&amp;"|"&amp;D165&amp;"|"&amp;B165&amp;"|"&amp;C165,'Master Data'!$A$2:$A$2436,0)),"")</f>
        <v>4</v>
      </c>
      <c r="H165" s="67" t="str">
        <f aca="false">IFERROR(INDEX('Master Data'!$K$2:$K$2436,MATCH($B$3&amp;"|"&amp;D165&amp;"|"&amp;B165&amp;"|"&amp;C165,'Master Data'!$A$2:$A$2436,0))&amp;"","")</f>
        <v/>
      </c>
      <c r="I165" s="67" t="s">
        <v>391</v>
      </c>
      <c r="J165" s="67" t="s">
        <v>134</v>
      </c>
      <c r="K165" s="68"/>
      <c r="L165" s="68"/>
      <c r="M165" s="68"/>
      <c r="N165" s="69"/>
      <c r="O165" s="68"/>
    </row>
    <row r="166" customFormat="false" ht="27.75" hidden="false" customHeight="true" outlineLevel="0" collapsed="false">
      <c r="A166" s="66" t="n">
        <v>75</v>
      </c>
      <c r="B166" s="67" t="s">
        <v>91</v>
      </c>
      <c r="C166" s="66" t="s">
        <v>100</v>
      </c>
      <c r="D166" s="66" t="n">
        <v>3</v>
      </c>
      <c r="E166" s="67" t="str">
        <f aca="false">IFERROR(INDEX('Master Data'!$L$2:$L$2436,MATCH($B$3&amp;"|"&amp;D166&amp;"|"&amp;B166&amp;"|"&amp;C166,'Master Data'!$A$2:$A$2436,0)),"")</f>
        <v>Belum terisi</v>
      </c>
      <c r="F166" s="67" t="str">
        <f aca="false">IFERROR(INDEX('Master Data'!$F$2:$F$2436,MATCH($B$3&amp;"|"&amp;D166&amp;"|"&amp;B166&amp;"|"&amp;C166,'Master Data'!$A$2:$A$2436,0))&amp;"","")</f>
        <v>Little</v>
      </c>
      <c r="G166" s="66" t="n">
        <f aca="false">IFERROR(INDEX('Master Data'!$G$2:$G$2436,MATCH($B$3&amp;"|"&amp;D166&amp;"|"&amp;B166&amp;"|"&amp;C166,'Master Data'!$A$2:$A$2436,0)),"")</f>
        <v>4</v>
      </c>
      <c r="H166" s="67" t="str">
        <f aca="false">IFERROR(INDEX('Master Data'!$K$2:$K$2436,MATCH($B$3&amp;"|"&amp;D166&amp;"|"&amp;B166&amp;"|"&amp;C166,'Master Data'!$A$2:$A$2436,0))&amp;"","")</f>
        <v/>
      </c>
      <c r="I166" s="67" t="s">
        <v>391</v>
      </c>
      <c r="J166" s="67" t="s">
        <v>134</v>
      </c>
      <c r="K166" s="68"/>
      <c r="L166" s="68"/>
      <c r="M166" s="68"/>
      <c r="N166" s="69"/>
      <c r="O166" s="68"/>
    </row>
    <row r="167" customFormat="false" ht="27.75" hidden="false" customHeight="true" outlineLevel="0" collapsed="false">
      <c r="A167" s="66" t="n">
        <v>76</v>
      </c>
      <c r="B167" s="67" t="s">
        <v>91</v>
      </c>
      <c r="C167" s="66" t="s">
        <v>100</v>
      </c>
      <c r="D167" s="66" t="n">
        <v>4</v>
      </c>
      <c r="E167" s="67" t="str">
        <f aca="false">IFERROR(INDEX('Master Data'!$L$2:$L$2436,MATCH($B$3&amp;"|"&amp;D167&amp;"|"&amp;B167&amp;"|"&amp;C167,'Master Data'!$A$2:$A$2436,0)),"")</f>
        <v>Belum terisi</v>
      </c>
      <c r="F167" s="67" t="str">
        <f aca="false">IFERROR(INDEX('Master Data'!$F$2:$F$2436,MATCH($B$3&amp;"|"&amp;D167&amp;"|"&amp;B167&amp;"|"&amp;C167,'Master Data'!$A$2:$A$2436,0))&amp;"","")</f>
        <v>Kids</v>
      </c>
      <c r="G167" s="66" t="n">
        <f aca="false">IFERROR(INDEX('Master Data'!$G$2:$G$2436,MATCH($B$3&amp;"|"&amp;D167&amp;"|"&amp;B167&amp;"|"&amp;C167,'Master Data'!$A$2:$A$2436,0)),"")</f>
        <v>4</v>
      </c>
      <c r="H167" s="67" t="str">
        <f aca="false">IFERROR(INDEX('Master Data'!$K$2:$K$2436,MATCH($B$3&amp;"|"&amp;D167&amp;"|"&amp;B167&amp;"|"&amp;C167,'Master Data'!$A$2:$A$2436,0))&amp;"","")</f>
        <v/>
      </c>
      <c r="I167" s="67" t="s">
        <v>391</v>
      </c>
      <c r="J167" s="67" t="s">
        <v>134</v>
      </c>
      <c r="K167" s="68"/>
      <c r="L167" s="68"/>
      <c r="M167" s="68"/>
      <c r="N167" s="69"/>
      <c r="O167" s="68"/>
    </row>
    <row r="168" customFormat="false" ht="27.75" hidden="false" customHeight="true" outlineLevel="0" collapsed="false">
      <c r="A168" s="66" t="n">
        <v>77</v>
      </c>
      <c r="B168" s="67" t="s">
        <v>91</v>
      </c>
      <c r="C168" s="66" t="s">
        <v>115</v>
      </c>
      <c r="D168" s="66" t="n">
        <v>1</v>
      </c>
      <c r="E168" s="67" t="str">
        <f aca="false">IFERROR(INDEX('Master Data'!$L$2:$L$2436,MATCH($B$3&amp;"|"&amp;D168&amp;"|"&amp;B168&amp;"|"&amp;C168,'Master Data'!$A$2:$A$2436,0)),"")</f>
        <v>Belum terisi</v>
      </c>
      <c r="F168" s="67" t="str">
        <f aca="false">IFERROR(INDEX('Master Data'!$F$2:$F$2436,MATCH($B$3&amp;"|"&amp;D168&amp;"|"&amp;B168&amp;"|"&amp;C168,'Master Data'!$A$2:$A$2436,0))&amp;"","")</f>
        <v>Baby</v>
      </c>
      <c r="G168" s="66" t="n">
        <f aca="false">IFERROR(INDEX('Master Data'!$G$2:$G$2436,MATCH($B$3&amp;"|"&amp;D168&amp;"|"&amp;B168&amp;"|"&amp;C168,'Master Data'!$A$2:$A$2436,0)),"")</f>
        <v>5</v>
      </c>
      <c r="H168" s="67" t="str">
        <f aca="false">IFERROR(INDEX('Master Data'!$K$2:$K$2436,MATCH($B$3&amp;"|"&amp;D168&amp;"|"&amp;B168&amp;"|"&amp;C168,'Master Data'!$A$2:$A$2436,0))&amp;"","")</f>
        <v/>
      </c>
      <c r="I168" s="67" t="s">
        <v>391</v>
      </c>
      <c r="J168" s="67" t="s">
        <v>134</v>
      </c>
      <c r="K168" s="68"/>
      <c r="L168" s="68"/>
      <c r="M168" s="68"/>
      <c r="N168" s="69"/>
      <c r="O168" s="68"/>
    </row>
    <row r="169" customFormat="false" ht="27.75" hidden="false" customHeight="true" outlineLevel="0" collapsed="false">
      <c r="A169" s="66" t="n">
        <v>78</v>
      </c>
      <c r="B169" s="67" t="s">
        <v>91</v>
      </c>
      <c r="C169" s="66" t="s">
        <v>115</v>
      </c>
      <c r="D169" s="66" t="n">
        <v>2</v>
      </c>
      <c r="E169" s="67" t="str">
        <f aca="false">IFERROR(INDEX('Master Data'!$L$2:$L$2436,MATCH($B$3&amp;"|"&amp;D169&amp;"|"&amp;B169&amp;"|"&amp;C169,'Master Data'!$A$2:$A$2436,0)),"")</f>
        <v>Belum terisi</v>
      </c>
      <c r="F169" s="67" t="str">
        <f aca="false">IFERROR(INDEX('Master Data'!$F$2:$F$2436,MATCH($B$3&amp;"|"&amp;D169&amp;"|"&amp;B169&amp;"|"&amp;C169,'Master Data'!$A$2:$A$2436,0))&amp;"","")</f>
        <v>Tiny</v>
      </c>
      <c r="G169" s="66" t="n">
        <f aca="false">IFERROR(INDEX('Master Data'!$G$2:$G$2436,MATCH($B$3&amp;"|"&amp;D169&amp;"|"&amp;B169&amp;"|"&amp;C169,'Master Data'!$A$2:$A$2436,0)),"")</f>
        <v>5</v>
      </c>
      <c r="H169" s="67" t="str">
        <f aca="false">IFERROR(INDEX('Master Data'!$K$2:$K$2436,MATCH($B$3&amp;"|"&amp;D169&amp;"|"&amp;B169&amp;"|"&amp;C169,'Master Data'!$A$2:$A$2436,0))&amp;"","")</f>
        <v/>
      </c>
      <c r="I169" s="67" t="s">
        <v>391</v>
      </c>
      <c r="J169" s="67" t="s">
        <v>134</v>
      </c>
      <c r="K169" s="68"/>
      <c r="L169" s="68"/>
      <c r="M169" s="68"/>
      <c r="N169" s="69"/>
      <c r="O169" s="68"/>
    </row>
    <row r="170" customFormat="false" ht="27.75" hidden="false" customHeight="true" outlineLevel="0" collapsed="false">
      <c r="A170" s="66" t="n">
        <v>79</v>
      </c>
      <c r="B170" s="67" t="s">
        <v>91</v>
      </c>
      <c r="C170" s="66" t="s">
        <v>115</v>
      </c>
      <c r="D170" s="66" t="n">
        <v>5</v>
      </c>
      <c r="E170" s="67" t="str">
        <f aca="false">IFERROR(INDEX('Master Data'!$L$2:$L$2436,MATCH($B$3&amp;"|"&amp;D170&amp;"|"&amp;B170&amp;"|"&amp;C170,'Master Data'!$A$2:$A$2436,0)),"")</f>
        <v>Slot kosong</v>
      </c>
      <c r="F170" s="67" t="str">
        <f aca="false">IFERROR(INDEX('Master Data'!$F$2:$F$2436,MATCH($B$3&amp;"|"&amp;D170&amp;"|"&amp;B170&amp;"|"&amp;C170,'Master Data'!$A$2:$A$2436,0))&amp;"","")</f>
        <v/>
      </c>
      <c r="G170" s="66" t="n">
        <f aca="false">IFERROR(INDEX('Master Data'!$G$2:$G$2436,MATCH($B$3&amp;"|"&amp;D170&amp;"|"&amp;B170&amp;"|"&amp;C170,'Master Data'!$A$2:$A$2436,0)),"")</f>
        <v>4</v>
      </c>
      <c r="H170" s="67" t="str">
        <f aca="false">IFERROR(INDEX('Master Data'!$K$2:$K$2436,MATCH($B$3&amp;"|"&amp;D170&amp;"|"&amp;B170&amp;"|"&amp;C170,'Master Data'!$A$2:$A$2436,0))&amp;"","")</f>
        <v/>
      </c>
      <c r="I170" s="67" t="s">
        <v>391</v>
      </c>
      <c r="J170" s="67" t="s">
        <v>134</v>
      </c>
      <c r="K170" s="68"/>
      <c r="L170" s="68"/>
      <c r="M170" s="68"/>
      <c r="N170" s="69"/>
      <c r="O170" s="68"/>
    </row>
    <row r="171" customFormat="false" ht="27.75" hidden="false" customHeight="true" outlineLevel="0" collapsed="false">
      <c r="A171" s="66" t="n">
        <v>80</v>
      </c>
      <c r="B171" s="67" t="s">
        <v>91</v>
      </c>
      <c r="C171" s="66" t="s">
        <v>101</v>
      </c>
      <c r="D171" s="66" t="n">
        <v>3</v>
      </c>
      <c r="E171" s="67" t="str">
        <f aca="false">IFERROR(INDEX('Master Data'!$L$2:$L$2436,MATCH($B$3&amp;"|"&amp;D171&amp;"|"&amp;B171&amp;"|"&amp;C171,'Master Data'!$A$2:$A$2436,0)),"")</f>
        <v>Belum terisi</v>
      </c>
      <c r="F171" s="67" t="str">
        <f aca="false">IFERROR(INDEX('Master Data'!$F$2:$F$2436,MATCH($B$3&amp;"|"&amp;D171&amp;"|"&amp;B171&amp;"|"&amp;C171,'Master Data'!$A$2:$A$2436,0))&amp;"","")</f>
        <v>Little</v>
      </c>
      <c r="G171" s="66" t="n">
        <f aca="false">IFERROR(INDEX('Master Data'!$G$2:$G$2436,MATCH($B$3&amp;"|"&amp;D171&amp;"|"&amp;B171&amp;"|"&amp;C171,'Master Data'!$A$2:$A$2436,0)),"")</f>
        <v>4</v>
      </c>
      <c r="H171" s="67" t="str">
        <f aca="false">IFERROR(INDEX('Master Data'!$K$2:$K$2436,MATCH($B$3&amp;"|"&amp;D171&amp;"|"&amp;B171&amp;"|"&amp;C171,'Master Data'!$A$2:$A$2436,0))&amp;"","")</f>
        <v/>
      </c>
      <c r="I171" s="67" t="s">
        <v>391</v>
      </c>
      <c r="J171" s="67" t="s">
        <v>134</v>
      </c>
      <c r="K171" s="68"/>
      <c r="L171" s="68"/>
      <c r="M171" s="68"/>
      <c r="N171" s="69"/>
      <c r="O171" s="68"/>
    </row>
    <row r="172" customFormat="false" ht="27.75" hidden="false" customHeight="true" outlineLevel="0" collapsed="false">
      <c r="A172" s="66" t="n">
        <v>81</v>
      </c>
      <c r="B172" s="67" t="s">
        <v>91</v>
      </c>
      <c r="C172" s="66" t="s">
        <v>101</v>
      </c>
      <c r="D172" s="66" t="n">
        <v>4</v>
      </c>
      <c r="E172" s="67" t="str">
        <f aca="false">IFERROR(INDEX('Master Data'!$L$2:$L$2436,MATCH($B$3&amp;"|"&amp;D172&amp;"|"&amp;B172&amp;"|"&amp;C172,'Master Data'!$A$2:$A$2436,0)),"")</f>
        <v>Belum terisi</v>
      </c>
      <c r="F172" s="67" t="str">
        <f aca="false">IFERROR(INDEX('Master Data'!$F$2:$F$2436,MATCH($B$3&amp;"|"&amp;D172&amp;"|"&amp;B172&amp;"|"&amp;C172,'Master Data'!$A$2:$A$2436,0))&amp;"","")</f>
        <v>Kids</v>
      </c>
      <c r="G172" s="66" t="n">
        <f aca="false">IFERROR(INDEX('Master Data'!$G$2:$G$2436,MATCH($B$3&amp;"|"&amp;D172&amp;"|"&amp;B172&amp;"|"&amp;C172,'Master Data'!$A$2:$A$2436,0)),"")</f>
        <v>4</v>
      </c>
      <c r="H172" s="67" t="str">
        <f aca="false">IFERROR(INDEX('Master Data'!$K$2:$K$2436,MATCH($B$3&amp;"|"&amp;D172&amp;"|"&amp;B172&amp;"|"&amp;C172,'Master Data'!$A$2:$A$2436,0))&amp;"","")</f>
        <v/>
      </c>
      <c r="I172" s="67" t="s">
        <v>391</v>
      </c>
      <c r="J172" s="67" t="s">
        <v>134</v>
      </c>
      <c r="K172" s="68"/>
      <c r="L172" s="68"/>
      <c r="M172" s="68"/>
      <c r="N172" s="69"/>
      <c r="O172" s="68"/>
    </row>
    <row r="173" customFormat="false" ht="27.75" hidden="false" customHeight="true" outlineLevel="0" collapsed="false">
      <c r="A173" s="66" t="n">
        <v>82</v>
      </c>
      <c r="B173" s="67" t="s">
        <v>91</v>
      </c>
      <c r="C173" s="66" t="s">
        <v>116</v>
      </c>
      <c r="D173" s="66" t="n">
        <v>1</v>
      </c>
      <c r="E173" s="67" t="str">
        <f aca="false">IFERROR(INDEX('Master Data'!$L$2:$L$2436,MATCH($B$3&amp;"|"&amp;D173&amp;"|"&amp;B173&amp;"|"&amp;C173,'Master Data'!$A$2:$A$2436,0)),"")</f>
        <v>Belum terisi</v>
      </c>
      <c r="F173" s="67" t="str">
        <f aca="false">IFERROR(INDEX('Master Data'!$F$2:$F$2436,MATCH($B$3&amp;"|"&amp;D173&amp;"|"&amp;B173&amp;"|"&amp;C173,'Master Data'!$A$2:$A$2436,0))&amp;"","")</f>
        <v>Baby</v>
      </c>
      <c r="G173" s="66" t="n">
        <f aca="false">IFERROR(INDEX('Master Data'!$G$2:$G$2436,MATCH($B$3&amp;"|"&amp;D173&amp;"|"&amp;B173&amp;"|"&amp;C173,'Master Data'!$A$2:$A$2436,0)),"")</f>
        <v>5</v>
      </c>
      <c r="H173" s="67" t="str">
        <f aca="false">IFERROR(INDEX('Master Data'!$K$2:$K$2436,MATCH($B$3&amp;"|"&amp;D173&amp;"|"&amp;B173&amp;"|"&amp;C173,'Master Data'!$A$2:$A$2436,0))&amp;"","")</f>
        <v/>
      </c>
      <c r="I173" s="67" t="s">
        <v>391</v>
      </c>
      <c r="J173" s="67" t="s">
        <v>134</v>
      </c>
      <c r="K173" s="68"/>
      <c r="L173" s="68"/>
      <c r="M173" s="68"/>
      <c r="N173" s="69"/>
      <c r="O173" s="68"/>
    </row>
    <row r="174" customFormat="false" ht="27.75" hidden="false" customHeight="true" outlineLevel="0" collapsed="false">
      <c r="A174" s="66" t="n">
        <v>83</v>
      </c>
      <c r="B174" s="67" t="s">
        <v>91</v>
      </c>
      <c r="C174" s="66" t="s">
        <v>116</v>
      </c>
      <c r="D174" s="66" t="n">
        <v>2</v>
      </c>
      <c r="E174" s="67" t="str">
        <f aca="false">IFERROR(INDEX('Master Data'!$L$2:$L$2436,MATCH($B$3&amp;"|"&amp;D174&amp;"|"&amp;B174&amp;"|"&amp;C174,'Master Data'!$A$2:$A$2436,0)),"")</f>
        <v>Belum terisi</v>
      </c>
      <c r="F174" s="67" t="str">
        <f aca="false">IFERROR(INDEX('Master Data'!$F$2:$F$2436,MATCH($B$3&amp;"|"&amp;D174&amp;"|"&amp;B174&amp;"|"&amp;C174,'Master Data'!$A$2:$A$2436,0))&amp;"","")</f>
        <v>Tiny</v>
      </c>
      <c r="G174" s="66" t="n">
        <f aca="false">IFERROR(INDEX('Master Data'!$G$2:$G$2436,MATCH($B$3&amp;"|"&amp;D174&amp;"|"&amp;B174&amp;"|"&amp;C174,'Master Data'!$A$2:$A$2436,0)),"")</f>
        <v>5</v>
      </c>
      <c r="H174" s="67" t="str">
        <f aca="false">IFERROR(INDEX('Master Data'!$K$2:$K$2436,MATCH($B$3&amp;"|"&amp;D174&amp;"|"&amp;B174&amp;"|"&amp;C174,'Master Data'!$A$2:$A$2436,0))&amp;"","")</f>
        <v/>
      </c>
      <c r="I174" s="67" t="s">
        <v>391</v>
      </c>
      <c r="J174" s="67" t="s">
        <v>134</v>
      </c>
      <c r="K174" s="68"/>
      <c r="L174" s="68"/>
      <c r="M174" s="68"/>
      <c r="N174" s="69"/>
      <c r="O174" s="68"/>
    </row>
    <row r="175" customFormat="false" ht="27.75" hidden="false" customHeight="true" outlineLevel="0" collapsed="false">
      <c r="A175" s="66" t="n">
        <v>84</v>
      </c>
      <c r="B175" s="67" t="s">
        <v>91</v>
      </c>
      <c r="C175" s="66" t="s">
        <v>116</v>
      </c>
      <c r="D175" s="66" t="n">
        <v>5</v>
      </c>
      <c r="E175" s="67" t="str">
        <f aca="false">IFERROR(INDEX('Master Data'!$L$2:$L$2436,MATCH($B$3&amp;"|"&amp;D175&amp;"|"&amp;B175&amp;"|"&amp;C175,'Master Data'!$A$2:$A$2436,0)),"")</f>
        <v>Slot kosong</v>
      </c>
      <c r="F175" s="67" t="str">
        <f aca="false">IFERROR(INDEX('Master Data'!$F$2:$F$2436,MATCH($B$3&amp;"|"&amp;D175&amp;"|"&amp;B175&amp;"|"&amp;C175,'Master Data'!$A$2:$A$2436,0))&amp;"","")</f>
        <v/>
      </c>
      <c r="G175" s="66" t="n">
        <f aca="false">IFERROR(INDEX('Master Data'!$G$2:$G$2436,MATCH($B$3&amp;"|"&amp;D175&amp;"|"&amp;B175&amp;"|"&amp;C175,'Master Data'!$A$2:$A$2436,0)),"")</f>
        <v>4</v>
      </c>
      <c r="H175" s="67" t="str">
        <f aca="false">IFERROR(INDEX('Master Data'!$K$2:$K$2436,MATCH($B$3&amp;"|"&amp;D175&amp;"|"&amp;B175&amp;"|"&amp;C175,'Master Data'!$A$2:$A$2436,0))&amp;"","")</f>
        <v/>
      </c>
      <c r="I175" s="67" t="s">
        <v>391</v>
      </c>
      <c r="J175" s="67" t="s">
        <v>134</v>
      </c>
      <c r="K175" s="68"/>
      <c r="L175" s="68"/>
      <c r="M175" s="68"/>
      <c r="N175" s="69"/>
      <c r="O175" s="68"/>
    </row>
    <row r="176" customFormat="false" ht="27.75" hidden="false" customHeight="true" outlineLevel="0" collapsed="false">
      <c r="A176" s="66" t="n">
        <v>85</v>
      </c>
      <c r="B176" s="67" t="s">
        <v>91</v>
      </c>
      <c r="C176" s="66" t="s">
        <v>102</v>
      </c>
      <c r="D176" s="66" t="n">
        <v>3</v>
      </c>
      <c r="E176" s="67" t="str">
        <f aca="false">IFERROR(INDEX('Master Data'!$L$2:$L$2436,MATCH($B$3&amp;"|"&amp;D176&amp;"|"&amp;B176&amp;"|"&amp;C176,'Master Data'!$A$2:$A$2436,0)),"")</f>
        <v>Belum terisi</v>
      </c>
      <c r="F176" s="67" t="str">
        <f aca="false">IFERROR(INDEX('Master Data'!$F$2:$F$2436,MATCH($B$3&amp;"|"&amp;D176&amp;"|"&amp;B176&amp;"|"&amp;C176,'Master Data'!$A$2:$A$2436,0))&amp;"","")</f>
        <v>Little</v>
      </c>
      <c r="G176" s="66" t="n">
        <f aca="false">IFERROR(INDEX('Master Data'!$G$2:$G$2436,MATCH($B$3&amp;"|"&amp;D176&amp;"|"&amp;B176&amp;"|"&amp;C176,'Master Data'!$A$2:$A$2436,0)),"")</f>
        <v>4</v>
      </c>
      <c r="H176" s="67" t="str">
        <f aca="false">IFERROR(INDEX('Master Data'!$K$2:$K$2436,MATCH($B$3&amp;"|"&amp;D176&amp;"|"&amp;B176&amp;"|"&amp;C176,'Master Data'!$A$2:$A$2436,0))&amp;"","")</f>
        <v/>
      </c>
      <c r="I176" s="67" t="s">
        <v>392</v>
      </c>
      <c r="J176" s="67" t="s">
        <v>134</v>
      </c>
      <c r="K176" s="68"/>
      <c r="L176" s="68"/>
      <c r="M176" s="68"/>
      <c r="N176" s="69"/>
      <c r="O176" s="68"/>
    </row>
    <row r="177" customFormat="false" ht="27.75" hidden="false" customHeight="true" outlineLevel="0" collapsed="false">
      <c r="A177" s="66" t="n">
        <v>86</v>
      </c>
      <c r="B177" s="67" t="s">
        <v>91</v>
      </c>
      <c r="C177" s="66" t="s">
        <v>102</v>
      </c>
      <c r="D177" s="66" t="n">
        <v>4</v>
      </c>
      <c r="E177" s="67" t="str">
        <f aca="false">IFERROR(INDEX('Master Data'!$L$2:$L$2436,MATCH($B$3&amp;"|"&amp;D177&amp;"|"&amp;B177&amp;"|"&amp;C177,'Master Data'!$A$2:$A$2436,0)),"")</f>
        <v>Belum terisi</v>
      </c>
      <c r="F177" s="67" t="str">
        <f aca="false">IFERROR(INDEX('Master Data'!$F$2:$F$2436,MATCH($B$3&amp;"|"&amp;D177&amp;"|"&amp;B177&amp;"|"&amp;C177,'Master Data'!$A$2:$A$2436,0))&amp;"","")</f>
        <v>Kids</v>
      </c>
      <c r="G177" s="66" t="n">
        <f aca="false">IFERROR(INDEX('Master Data'!$G$2:$G$2436,MATCH($B$3&amp;"|"&amp;D177&amp;"|"&amp;B177&amp;"|"&amp;C177,'Master Data'!$A$2:$A$2436,0)),"")</f>
        <v>4</v>
      </c>
      <c r="H177" s="67" t="str">
        <f aca="false">IFERROR(INDEX('Master Data'!$K$2:$K$2436,MATCH($B$3&amp;"|"&amp;D177&amp;"|"&amp;B177&amp;"|"&amp;C177,'Master Data'!$A$2:$A$2436,0))&amp;"","")</f>
        <v/>
      </c>
      <c r="I177" s="67" t="s">
        <v>392</v>
      </c>
      <c r="J177" s="67" t="s">
        <v>134</v>
      </c>
      <c r="K177" s="68"/>
      <c r="L177" s="68"/>
      <c r="M177" s="68"/>
      <c r="N177" s="69"/>
      <c r="O177" s="68"/>
    </row>
    <row r="178" customFormat="false" ht="27.75" hidden="false" customHeight="true" outlineLevel="0" collapsed="false">
      <c r="A178" s="66" t="n">
        <v>87</v>
      </c>
      <c r="B178" s="67" t="s">
        <v>91</v>
      </c>
      <c r="C178" s="66" t="s">
        <v>117</v>
      </c>
      <c r="D178" s="66" t="n">
        <v>2</v>
      </c>
      <c r="E178" s="67" t="str">
        <f aca="false">IFERROR(INDEX('Master Data'!$L$2:$L$2436,MATCH($B$3&amp;"|"&amp;D178&amp;"|"&amp;B178&amp;"|"&amp;C178,'Master Data'!$A$2:$A$2436,0)),"")</f>
        <v>Belum terisi</v>
      </c>
      <c r="F178" s="67" t="str">
        <f aca="false">IFERROR(INDEX('Master Data'!$F$2:$F$2436,MATCH($B$3&amp;"|"&amp;D178&amp;"|"&amp;B178&amp;"|"&amp;C178,'Master Data'!$A$2:$A$2436,0))&amp;"","")</f>
        <v>Tiny</v>
      </c>
      <c r="G178" s="66" t="n">
        <f aca="false">IFERROR(INDEX('Master Data'!$G$2:$G$2436,MATCH($B$3&amp;"|"&amp;D178&amp;"|"&amp;B178&amp;"|"&amp;C178,'Master Data'!$A$2:$A$2436,0)),"")</f>
        <v>5</v>
      </c>
      <c r="H178" s="67" t="str">
        <f aca="false">IFERROR(INDEX('Master Data'!$K$2:$K$2436,MATCH($B$3&amp;"|"&amp;D178&amp;"|"&amp;B178&amp;"|"&amp;C178,'Master Data'!$A$2:$A$2436,0))&amp;"","")</f>
        <v/>
      </c>
      <c r="I178" s="67" t="s">
        <v>392</v>
      </c>
      <c r="J178" s="67" t="s">
        <v>134</v>
      </c>
      <c r="K178" s="68"/>
      <c r="L178" s="68"/>
      <c r="M178" s="68"/>
      <c r="N178" s="69"/>
      <c r="O178" s="68"/>
    </row>
    <row r="179" customFormat="false" ht="27.75" hidden="false" customHeight="true" outlineLevel="0" collapsed="false">
      <c r="A179" s="66" t="n">
        <v>88</v>
      </c>
      <c r="B179" s="67" t="s">
        <v>91</v>
      </c>
      <c r="C179" s="66" t="s">
        <v>117</v>
      </c>
      <c r="D179" s="66" t="n">
        <v>5</v>
      </c>
      <c r="E179" s="67" t="str">
        <f aca="false">IFERROR(INDEX('Master Data'!$L$2:$L$2436,MATCH($B$3&amp;"|"&amp;D179&amp;"|"&amp;B179&amp;"|"&amp;C179,'Master Data'!$A$2:$A$2436,0)),"")</f>
        <v>Slot kosong</v>
      </c>
      <c r="F179" s="67" t="str">
        <f aca="false">IFERROR(INDEX('Master Data'!$F$2:$F$2436,MATCH($B$3&amp;"|"&amp;D179&amp;"|"&amp;B179&amp;"|"&amp;C179,'Master Data'!$A$2:$A$2436,0))&amp;"","")</f>
        <v/>
      </c>
      <c r="G179" s="66" t="n">
        <f aca="false">IFERROR(INDEX('Master Data'!$G$2:$G$2436,MATCH($B$3&amp;"|"&amp;D179&amp;"|"&amp;B179&amp;"|"&amp;C179,'Master Data'!$A$2:$A$2436,0)),"")</f>
        <v>4</v>
      </c>
      <c r="H179" s="67" t="str">
        <f aca="false">IFERROR(INDEX('Master Data'!$K$2:$K$2436,MATCH($B$3&amp;"|"&amp;D179&amp;"|"&amp;B179&amp;"|"&amp;C179,'Master Data'!$A$2:$A$2436,0))&amp;"","")</f>
        <v/>
      </c>
      <c r="I179" s="67" t="s">
        <v>392</v>
      </c>
      <c r="J179" s="67" t="s">
        <v>134</v>
      </c>
      <c r="K179" s="68"/>
      <c r="L179" s="68"/>
      <c r="M179" s="68"/>
      <c r="N179" s="69"/>
      <c r="O179" s="68"/>
    </row>
    <row r="180" customFormat="false" ht="27.75" hidden="false" customHeight="true" outlineLevel="0" collapsed="false">
      <c r="A180" s="66" t="n">
        <v>89</v>
      </c>
      <c r="B180" s="67" t="s">
        <v>91</v>
      </c>
      <c r="C180" s="66" t="s">
        <v>103</v>
      </c>
      <c r="D180" s="66" t="n">
        <v>3</v>
      </c>
      <c r="E180" s="67" t="str">
        <f aca="false">IFERROR(INDEX('Master Data'!$L$2:$L$2436,MATCH($B$3&amp;"|"&amp;D180&amp;"|"&amp;B180&amp;"|"&amp;C180,'Master Data'!$A$2:$A$2436,0)),"")</f>
        <v>Belum terisi</v>
      </c>
      <c r="F180" s="67" t="str">
        <f aca="false">IFERROR(INDEX('Master Data'!$F$2:$F$2436,MATCH($B$3&amp;"|"&amp;D180&amp;"|"&amp;B180&amp;"|"&amp;C180,'Master Data'!$A$2:$A$2436,0))&amp;"","")</f>
        <v>Little</v>
      </c>
      <c r="G180" s="66" t="n">
        <f aca="false">IFERROR(INDEX('Master Data'!$G$2:$G$2436,MATCH($B$3&amp;"|"&amp;D180&amp;"|"&amp;B180&amp;"|"&amp;C180,'Master Data'!$A$2:$A$2436,0)),"")</f>
        <v>4</v>
      </c>
      <c r="H180" s="67" t="str">
        <f aca="false">IFERROR(INDEX('Master Data'!$K$2:$K$2436,MATCH($B$3&amp;"|"&amp;D180&amp;"|"&amp;B180&amp;"|"&amp;C180,'Master Data'!$A$2:$A$2436,0))&amp;"","")</f>
        <v/>
      </c>
      <c r="I180" s="67" t="s">
        <v>392</v>
      </c>
      <c r="J180" s="67" t="s">
        <v>134</v>
      </c>
      <c r="K180" s="68"/>
      <c r="L180" s="68"/>
      <c r="M180" s="68"/>
      <c r="N180" s="69"/>
      <c r="O180" s="68"/>
    </row>
    <row r="181" customFormat="false" ht="27.75" hidden="false" customHeight="true" outlineLevel="0" collapsed="false">
      <c r="A181" s="66" t="n">
        <v>90</v>
      </c>
      <c r="B181" s="67" t="s">
        <v>91</v>
      </c>
      <c r="C181" s="66" t="s">
        <v>103</v>
      </c>
      <c r="D181" s="66" t="n">
        <v>4</v>
      </c>
      <c r="E181" s="67" t="str">
        <f aca="false">IFERROR(INDEX('Master Data'!$L$2:$L$2436,MATCH($B$3&amp;"|"&amp;D181&amp;"|"&amp;B181&amp;"|"&amp;C181,'Master Data'!$A$2:$A$2436,0)),"")</f>
        <v>Belum terisi</v>
      </c>
      <c r="F181" s="67" t="str">
        <f aca="false">IFERROR(INDEX('Master Data'!$F$2:$F$2436,MATCH($B$3&amp;"|"&amp;D181&amp;"|"&amp;B181&amp;"|"&amp;C181,'Master Data'!$A$2:$A$2436,0))&amp;"","")</f>
        <v>Kids</v>
      </c>
      <c r="G181" s="66" t="n">
        <f aca="false">IFERROR(INDEX('Master Data'!$G$2:$G$2436,MATCH($B$3&amp;"|"&amp;D181&amp;"|"&amp;B181&amp;"|"&amp;C181,'Master Data'!$A$2:$A$2436,0)),"")</f>
        <v>4</v>
      </c>
      <c r="H181" s="67" t="str">
        <f aca="false">IFERROR(INDEX('Master Data'!$K$2:$K$2436,MATCH($B$3&amp;"|"&amp;D181&amp;"|"&amp;B181&amp;"|"&amp;C181,'Master Data'!$A$2:$A$2436,0))&amp;"","")</f>
        <v/>
      </c>
      <c r="I181" s="67" t="s">
        <v>392</v>
      </c>
      <c r="J181" s="67" t="s">
        <v>134</v>
      </c>
      <c r="K181" s="68"/>
      <c r="L181" s="68"/>
      <c r="M181" s="68"/>
      <c r="N181" s="69"/>
      <c r="O181" s="68"/>
    </row>
    <row r="182" customFormat="false" ht="27.75" hidden="false" customHeight="true" outlineLevel="0" collapsed="false">
      <c r="A182" s="66" t="n">
        <v>91</v>
      </c>
      <c r="B182" s="67" t="s">
        <v>91</v>
      </c>
      <c r="C182" s="66" t="s">
        <v>118</v>
      </c>
      <c r="D182" s="66" t="n">
        <v>1</v>
      </c>
      <c r="E182" s="67" t="str">
        <f aca="false">IFERROR(INDEX('Master Data'!$L$2:$L$2436,MATCH($B$3&amp;"|"&amp;D182&amp;"|"&amp;B182&amp;"|"&amp;C182,'Master Data'!$A$2:$A$2436,0)),"")</f>
        <v>Belum terisi</v>
      </c>
      <c r="F182" s="67" t="str">
        <f aca="false">IFERROR(INDEX('Master Data'!$F$2:$F$2436,MATCH($B$3&amp;"|"&amp;D182&amp;"|"&amp;B182&amp;"|"&amp;C182,'Master Data'!$A$2:$A$2436,0))&amp;"","")</f>
        <v>Baby</v>
      </c>
      <c r="G182" s="66" t="n">
        <f aca="false">IFERROR(INDEX('Master Data'!$G$2:$G$2436,MATCH($B$3&amp;"|"&amp;D182&amp;"|"&amp;B182&amp;"|"&amp;C182,'Master Data'!$A$2:$A$2436,0)),"")</f>
        <v>5</v>
      </c>
      <c r="H182" s="67" t="str">
        <f aca="false">IFERROR(INDEX('Master Data'!$K$2:$K$2436,MATCH($B$3&amp;"|"&amp;D182&amp;"|"&amp;B182&amp;"|"&amp;C182,'Master Data'!$A$2:$A$2436,0))&amp;"","")</f>
        <v/>
      </c>
      <c r="I182" s="67" t="s">
        <v>393</v>
      </c>
      <c r="J182" s="67" t="s">
        <v>134</v>
      </c>
      <c r="K182" s="68"/>
      <c r="L182" s="68"/>
      <c r="M182" s="68"/>
      <c r="N182" s="69"/>
      <c r="O182" s="68"/>
    </row>
    <row r="183" customFormat="false" ht="27.75" hidden="false" customHeight="true" outlineLevel="0" collapsed="false">
      <c r="A183" s="66" t="n">
        <v>92</v>
      </c>
      <c r="B183" s="67" t="s">
        <v>91</v>
      </c>
      <c r="C183" s="66" t="s">
        <v>118</v>
      </c>
      <c r="D183" s="66" t="n">
        <v>2</v>
      </c>
      <c r="E183" s="67" t="str">
        <f aca="false">IFERROR(INDEX('Master Data'!$L$2:$L$2436,MATCH($B$3&amp;"|"&amp;D183&amp;"|"&amp;B183&amp;"|"&amp;C183,'Master Data'!$A$2:$A$2436,0)),"")</f>
        <v>Belum terisi</v>
      </c>
      <c r="F183" s="67" t="str">
        <f aca="false">IFERROR(INDEX('Master Data'!$F$2:$F$2436,MATCH($B$3&amp;"|"&amp;D183&amp;"|"&amp;B183&amp;"|"&amp;C183,'Master Data'!$A$2:$A$2436,0))&amp;"","")</f>
        <v>Tiny</v>
      </c>
      <c r="G183" s="66" t="n">
        <f aca="false">IFERROR(INDEX('Master Data'!$G$2:$G$2436,MATCH($B$3&amp;"|"&amp;D183&amp;"|"&amp;B183&amp;"|"&amp;C183,'Master Data'!$A$2:$A$2436,0)),"")</f>
        <v>5</v>
      </c>
      <c r="H183" s="67" t="str">
        <f aca="false">IFERROR(INDEX('Master Data'!$K$2:$K$2436,MATCH($B$3&amp;"|"&amp;D183&amp;"|"&amp;B183&amp;"|"&amp;C183,'Master Data'!$A$2:$A$2436,0))&amp;"","")</f>
        <v/>
      </c>
      <c r="I183" s="67" t="s">
        <v>393</v>
      </c>
      <c r="J183" s="67" t="s">
        <v>134</v>
      </c>
      <c r="K183" s="68"/>
      <c r="L183" s="68"/>
      <c r="M183" s="68"/>
      <c r="N183" s="69"/>
      <c r="O183" s="68"/>
    </row>
    <row r="184" customFormat="false" ht="27.75" hidden="false" customHeight="true" outlineLevel="0" collapsed="false">
      <c r="A184" s="66" t="n">
        <v>93</v>
      </c>
      <c r="B184" s="67" t="s">
        <v>91</v>
      </c>
      <c r="C184" s="66" t="s">
        <v>118</v>
      </c>
      <c r="D184" s="66" t="n">
        <v>5</v>
      </c>
      <c r="E184" s="67" t="str">
        <f aca="false">IFERROR(INDEX('Master Data'!$L$2:$L$2436,MATCH($B$3&amp;"|"&amp;D184&amp;"|"&amp;B184&amp;"|"&amp;C184,'Master Data'!$A$2:$A$2436,0)),"")</f>
        <v>Slot kosong</v>
      </c>
      <c r="F184" s="67" t="str">
        <f aca="false">IFERROR(INDEX('Master Data'!$F$2:$F$2436,MATCH($B$3&amp;"|"&amp;D184&amp;"|"&amp;B184&amp;"|"&amp;C184,'Master Data'!$A$2:$A$2436,0))&amp;"","")</f>
        <v/>
      </c>
      <c r="G184" s="66" t="n">
        <f aca="false">IFERROR(INDEX('Master Data'!$G$2:$G$2436,MATCH($B$3&amp;"|"&amp;D184&amp;"|"&amp;B184&amp;"|"&amp;C184,'Master Data'!$A$2:$A$2436,0)),"")</f>
        <v>4</v>
      </c>
      <c r="H184" s="67" t="str">
        <f aca="false">IFERROR(INDEX('Master Data'!$K$2:$K$2436,MATCH($B$3&amp;"|"&amp;D184&amp;"|"&amp;B184&amp;"|"&amp;C184,'Master Data'!$A$2:$A$2436,0))&amp;"","")</f>
        <v/>
      </c>
      <c r="I184" s="67" t="s">
        <v>393</v>
      </c>
      <c r="J184" s="67" t="s">
        <v>134</v>
      </c>
      <c r="K184" s="68"/>
      <c r="L184" s="68"/>
      <c r="M184" s="68"/>
      <c r="N184" s="69"/>
      <c r="O184" s="68"/>
    </row>
    <row r="185" customFormat="false" ht="27.75" hidden="false" customHeight="true" outlineLevel="0" collapsed="false">
      <c r="A185" s="66" t="n">
        <v>94</v>
      </c>
      <c r="B185" s="67" t="s">
        <v>91</v>
      </c>
      <c r="C185" s="66" t="s">
        <v>104</v>
      </c>
      <c r="D185" s="66" t="n">
        <v>3</v>
      </c>
      <c r="E185" s="67" t="str">
        <f aca="false">IFERROR(INDEX('Master Data'!$L$2:$L$2436,MATCH($B$3&amp;"|"&amp;D185&amp;"|"&amp;B185&amp;"|"&amp;C185,'Master Data'!$A$2:$A$2436,0)),"")</f>
        <v>Belum terisi</v>
      </c>
      <c r="F185" s="67" t="str">
        <f aca="false">IFERROR(INDEX('Master Data'!$F$2:$F$2436,MATCH($B$3&amp;"|"&amp;D185&amp;"|"&amp;B185&amp;"|"&amp;C185,'Master Data'!$A$2:$A$2436,0))&amp;"","")</f>
        <v>Little</v>
      </c>
      <c r="G185" s="66" t="n">
        <f aca="false">IFERROR(INDEX('Master Data'!$G$2:$G$2436,MATCH($B$3&amp;"|"&amp;D185&amp;"|"&amp;B185&amp;"|"&amp;C185,'Master Data'!$A$2:$A$2436,0)),"")</f>
        <v>4</v>
      </c>
      <c r="H185" s="67" t="str">
        <f aca="false">IFERROR(INDEX('Master Data'!$K$2:$K$2436,MATCH($B$3&amp;"|"&amp;D185&amp;"|"&amp;B185&amp;"|"&amp;C185,'Master Data'!$A$2:$A$2436,0))&amp;"","")</f>
        <v/>
      </c>
      <c r="I185" s="67" t="s">
        <v>393</v>
      </c>
      <c r="J185" s="67" t="s">
        <v>134</v>
      </c>
      <c r="K185" s="68"/>
      <c r="L185" s="68"/>
      <c r="M185" s="68"/>
      <c r="N185" s="69"/>
      <c r="O185" s="68"/>
    </row>
    <row r="186" customFormat="false" ht="27.75" hidden="false" customHeight="true" outlineLevel="0" collapsed="false">
      <c r="A186" s="66" t="n">
        <v>95</v>
      </c>
      <c r="B186" s="67" t="s">
        <v>91</v>
      </c>
      <c r="C186" s="66" t="s">
        <v>119</v>
      </c>
      <c r="D186" s="66" t="n">
        <v>1</v>
      </c>
      <c r="E186" s="67" t="str">
        <f aca="false">IFERROR(INDEX('Master Data'!$L$2:$L$2436,MATCH($B$3&amp;"|"&amp;D186&amp;"|"&amp;B186&amp;"|"&amp;C186,'Master Data'!$A$2:$A$2436,0)),"")</f>
        <v>Belum terisi</v>
      </c>
      <c r="F186" s="67" t="str">
        <f aca="false">IFERROR(INDEX('Master Data'!$F$2:$F$2436,MATCH($B$3&amp;"|"&amp;D186&amp;"|"&amp;B186&amp;"|"&amp;C186,'Master Data'!$A$2:$A$2436,0))&amp;"","")</f>
        <v>Baby</v>
      </c>
      <c r="G186" s="66" t="n">
        <f aca="false">IFERROR(INDEX('Master Data'!$G$2:$G$2436,MATCH($B$3&amp;"|"&amp;D186&amp;"|"&amp;B186&amp;"|"&amp;C186,'Master Data'!$A$2:$A$2436,0)),"")</f>
        <v>5</v>
      </c>
      <c r="H186" s="67" t="str">
        <f aca="false">IFERROR(INDEX('Master Data'!$K$2:$K$2436,MATCH($B$3&amp;"|"&amp;D186&amp;"|"&amp;B186&amp;"|"&amp;C186,'Master Data'!$A$2:$A$2436,0))&amp;"","")</f>
        <v/>
      </c>
      <c r="I186" s="67" t="s">
        <v>393</v>
      </c>
      <c r="J186" s="67" t="s">
        <v>134</v>
      </c>
      <c r="K186" s="68"/>
      <c r="L186" s="68"/>
      <c r="M186" s="68"/>
      <c r="N186" s="69"/>
      <c r="O186" s="68"/>
    </row>
    <row r="187" customFormat="false" ht="27.75" hidden="false" customHeight="true" outlineLevel="0" collapsed="false">
      <c r="A187" s="66" t="n">
        <v>96</v>
      </c>
      <c r="B187" s="67" t="s">
        <v>91</v>
      </c>
      <c r="C187" s="66" t="s">
        <v>119</v>
      </c>
      <c r="D187" s="66" t="n">
        <v>2</v>
      </c>
      <c r="E187" s="67" t="str">
        <f aca="false">IFERROR(INDEX('Master Data'!$L$2:$L$2436,MATCH($B$3&amp;"|"&amp;D187&amp;"|"&amp;B187&amp;"|"&amp;C187,'Master Data'!$A$2:$A$2436,0)),"")</f>
        <v>Belum terisi</v>
      </c>
      <c r="F187" s="67" t="str">
        <f aca="false">IFERROR(INDEX('Master Data'!$F$2:$F$2436,MATCH($B$3&amp;"|"&amp;D187&amp;"|"&amp;B187&amp;"|"&amp;C187,'Master Data'!$A$2:$A$2436,0))&amp;"","")</f>
        <v>Tiny</v>
      </c>
      <c r="G187" s="66" t="n">
        <f aca="false">IFERROR(INDEX('Master Data'!$G$2:$G$2436,MATCH($B$3&amp;"|"&amp;D187&amp;"|"&amp;B187&amp;"|"&amp;C187,'Master Data'!$A$2:$A$2436,0)),"")</f>
        <v>5</v>
      </c>
      <c r="H187" s="67" t="str">
        <f aca="false">IFERROR(INDEX('Master Data'!$K$2:$K$2436,MATCH($B$3&amp;"|"&amp;D187&amp;"|"&amp;B187&amp;"|"&amp;C187,'Master Data'!$A$2:$A$2436,0))&amp;"","")</f>
        <v/>
      </c>
      <c r="I187" s="67" t="s">
        <v>393</v>
      </c>
      <c r="J187" s="67" t="s">
        <v>134</v>
      </c>
      <c r="K187" s="68"/>
      <c r="L187" s="68"/>
      <c r="M187" s="68"/>
      <c r="N187" s="69"/>
      <c r="O187" s="68"/>
    </row>
    <row r="188" customFormat="false" ht="27.75" hidden="false" customHeight="true" outlineLevel="0" collapsed="false">
      <c r="A188" s="66" t="n">
        <v>97</v>
      </c>
      <c r="B188" s="67" t="s">
        <v>91</v>
      </c>
      <c r="C188" s="66" t="s">
        <v>119</v>
      </c>
      <c r="D188" s="66" t="n">
        <v>5</v>
      </c>
      <c r="E188" s="67" t="str">
        <f aca="false">IFERROR(INDEX('Master Data'!$L$2:$L$2436,MATCH($B$3&amp;"|"&amp;D188&amp;"|"&amp;B188&amp;"|"&amp;C188,'Master Data'!$A$2:$A$2436,0)),"")</f>
        <v>Slot kosong</v>
      </c>
      <c r="F188" s="67" t="str">
        <f aca="false">IFERROR(INDEX('Master Data'!$F$2:$F$2436,MATCH($B$3&amp;"|"&amp;D188&amp;"|"&amp;B188&amp;"|"&amp;C188,'Master Data'!$A$2:$A$2436,0))&amp;"","")</f>
        <v/>
      </c>
      <c r="G188" s="66" t="n">
        <f aca="false">IFERROR(INDEX('Master Data'!$G$2:$G$2436,MATCH($B$3&amp;"|"&amp;D188&amp;"|"&amp;B188&amp;"|"&amp;C188,'Master Data'!$A$2:$A$2436,0)),"")</f>
        <v>4</v>
      </c>
      <c r="H188" s="67" t="str">
        <f aca="false">IFERROR(INDEX('Master Data'!$K$2:$K$2436,MATCH($B$3&amp;"|"&amp;D188&amp;"|"&amp;B188&amp;"|"&amp;C188,'Master Data'!$A$2:$A$2436,0))&amp;"","")</f>
        <v/>
      </c>
      <c r="I188" s="67" t="s">
        <v>393</v>
      </c>
      <c r="J188" s="67" t="s">
        <v>134</v>
      </c>
      <c r="K188" s="68"/>
      <c r="L188" s="68"/>
      <c r="M188" s="68"/>
      <c r="N188" s="69"/>
      <c r="O188" s="68"/>
    </row>
    <row r="189" customFormat="false" ht="27.75" hidden="false" customHeight="true" outlineLevel="0" collapsed="false">
      <c r="A189" s="66" t="n">
        <v>98</v>
      </c>
      <c r="B189" s="67" t="s">
        <v>91</v>
      </c>
      <c r="C189" s="66" t="s">
        <v>105</v>
      </c>
      <c r="D189" s="66" t="n">
        <v>4</v>
      </c>
      <c r="E189" s="67" t="str">
        <f aca="false">IFERROR(INDEX('Master Data'!$L$2:$L$2436,MATCH($B$3&amp;"|"&amp;D189&amp;"|"&amp;B189&amp;"|"&amp;C189,'Master Data'!$A$2:$A$2436,0)),"")</f>
        <v>Belum terisi</v>
      </c>
      <c r="F189" s="67" t="str">
        <f aca="false">IFERROR(INDEX('Master Data'!$F$2:$F$2436,MATCH($B$3&amp;"|"&amp;D189&amp;"|"&amp;B189&amp;"|"&amp;C189,'Master Data'!$A$2:$A$2436,0))&amp;"","")</f>
        <v>Kids</v>
      </c>
      <c r="G189" s="66" t="n">
        <f aca="false">IFERROR(INDEX('Master Data'!$G$2:$G$2436,MATCH($B$3&amp;"|"&amp;D189&amp;"|"&amp;B189&amp;"|"&amp;C189,'Master Data'!$A$2:$A$2436,0)),"")</f>
        <v>4</v>
      </c>
      <c r="H189" s="67" t="str">
        <f aca="false">IFERROR(INDEX('Master Data'!$K$2:$K$2436,MATCH($B$3&amp;"|"&amp;D189&amp;"|"&amp;B189&amp;"|"&amp;C189,'Master Data'!$A$2:$A$2436,0))&amp;"","")</f>
        <v/>
      </c>
      <c r="I189" s="67" t="s">
        <v>393</v>
      </c>
      <c r="J189" s="67" t="s">
        <v>134</v>
      </c>
      <c r="K189" s="68"/>
      <c r="L189" s="68"/>
      <c r="M189" s="68"/>
      <c r="N189" s="69"/>
      <c r="O189" s="68"/>
    </row>
    <row r="190" customFormat="false" ht="15.75" hidden="false" customHeight="true" outlineLevel="0" collapsed="false">
      <c r="A190" s="66" t="n">
        <v>99</v>
      </c>
      <c r="B190" s="67" t="s">
        <v>91</v>
      </c>
      <c r="C190" s="66" t="s">
        <v>120</v>
      </c>
      <c r="D190" s="66" t="n">
        <v>1</v>
      </c>
      <c r="E190" s="67" t="str">
        <f aca="false">IFERROR(INDEX('Master Data'!$L$2:$L$2436,MATCH($B$3&amp;"|"&amp;D190&amp;"|"&amp;B190&amp;"|"&amp;C190,'Master Data'!$A$2:$A$2436,0)),"")</f>
        <v>Belum terisi</v>
      </c>
      <c r="F190" s="67" t="str">
        <f aca="false">IFERROR(INDEX('Master Data'!$F$2:$F$2436,MATCH($B$3&amp;"|"&amp;D190&amp;"|"&amp;B190&amp;"|"&amp;C190,'Master Data'!$A$2:$A$2436,0))&amp;"","")</f>
        <v>Baby</v>
      </c>
      <c r="G190" s="66" t="n">
        <f aca="false">IFERROR(INDEX('Master Data'!$G$2:$G$2436,MATCH($B$3&amp;"|"&amp;D190&amp;"|"&amp;B190&amp;"|"&amp;C190,'Master Data'!$A$2:$A$2436,0)),"")</f>
        <v>5</v>
      </c>
      <c r="H190" s="67" t="str">
        <f aca="false">IFERROR(INDEX('Master Data'!$K$2:$K$2436,MATCH($B$3&amp;"|"&amp;D190&amp;"|"&amp;B190&amp;"|"&amp;C190,'Master Data'!$A$2:$A$2436,0))&amp;"","")</f>
        <v/>
      </c>
      <c r="I190" s="67" t="s">
        <v>394</v>
      </c>
      <c r="J190" s="67" t="s">
        <v>134</v>
      </c>
      <c r="K190" s="68"/>
      <c r="L190" s="68"/>
      <c r="M190" s="68"/>
      <c r="N190" s="69"/>
      <c r="O190" s="68"/>
    </row>
    <row r="191" customFormat="false" ht="15.75" hidden="false" customHeight="true" outlineLevel="0" collapsed="false">
      <c r="A191" s="66" t="n">
        <v>100</v>
      </c>
      <c r="B191" s="67" t="s">
        <v>91</v>
      </c>
      <c r="C191" s="66" t="s">
        <v>120</v>
      </c>
      <c r="D191" s="66" t="n">
        <v>2</v>
      </c>
      <c r="E191" s="67" t="str">
        <f aca="false">IFERROR(INDEX('Master Data'!$L$2:$L$2436,MATCH($B$3&amp;"|"&amp;D191&amp;"|"&amp;B191&amp;"|"&amp;C191,'Master Data'!$A$2:$A$2436,0)),"")</f>
        <v>Belum terisi</v>
      </c>
      <c r="F191" s="67" t="str">
        <f aca="false">IFERROR(INDEX('Master Data'!$F$2:$F$2436,MATCH($B$3&amp;"|"&amp;D191&amp;"|"&amp;B191&amp;"|"&amp;C191,'Master Data'!$A$2:$A$2436,0))&amp;"","")</f>
        <v>Tiny</v>
      </c>
      <c r="G191" s="66" t="n">
        <f aca="false">IFERROR(INDEX('Master Data'!$G$2:$G$2436,MATCH($B$3&amp;"|"&amp;D191&amp;"|"&amp;B191&amp;"|"&amp;C191,'Master Data'!$A$2:$A$2436,0)),"")</f>
        <v>5</v>
      </c>
      <c r="H191" s="67" t="str">
        <f aca="false">IFERROR(INDEX('Master Data'!$K$2:$K$2436,MATCH($B$3&amp;"|"&amp;D191&amp;"|"&amp;B191&amp;"|"&amp;C191,'Master Data'!$A$2:$A$2436,0))&amp;"","")</f>
        <v/>
      </c>
      <c r="I191" s="67" t="s">
        <v>394</v>
      </c>
      <c r="J191" s="67" t="s">
        <v>134</v>
      </c>
      <c r="K191" s="68"/>
      <c r="L191" s="68"/>
      <c r="M191" s="68"/>
      <c r="N191" s="69"/>
      <c r="O191" s="68"/>
    </row>
    <row r="192" customFormat="false" ht="15.75" hidden="false" customHeight="true" outlineLevel="0" collapsed="false">
      <c r="A192" s="66" t="n">
        <v>101</v>
      </c>
      <c r="B192" s="67" t="s">
        <v>91</v>
      </c>
      <c r="C192" s="66" t="s">
        <v>120</v>
      </c>
      <c r="D192" s="66" t="n">
        <v>5</v>
      </c>
      <c r="E192" s="67" t="str">
        <f aca="false">IFERROR(INDEX('Master Data'!$L$2:$L$2436,MATCH($B$3&amp;"|"&amp;D192&amp;"|"&amp;B192&amp;"|"&amp;C192,'Master Data'!$A$2:$A$2436,0)),"")</f>
        <v>Slot kosong</v>
      </c>
      <c r="F192" s="67" t="str">
        <f aca="false">IFERROR(INDEX('Master Data'!$F$2:$F$2436,MATCH($B$3&amp;"|"&amp;D192&amp;"|"&amp;B192&amp;"|"&amp;C192,'Master Data'!$A$2:$A$2436,0))&amp;"","")</f>
        <v/>
      </c>
      <c r="G192" s="66" t="n">
        <f aca="false">IFERROR(INDEX('Master Data'!$G$2:$G$2436,MATCH($B$3&amp;"|"&amp;D192&amp;"|"&amp;B192&amp;"|"&amp;C192,'Master Data'!$A$2:$A$2436,0)),"")</f>
        <v>4</v>
      </c>
      <c r="H192" s="67" t="str">
        <f aca="false">IFERROR(INDEX('Master Data'!$K$2:$K$2436,MATCH($B$3&amp;"|"&amp;D192&amp;"|"&amp;B192&amp;"|"&amp;C192,'Master Data'!$A$2:$A$2436,0))&amp;"","")</f>
        <v/>
      </c>
      <c r="I192" s="67" t="s">
        <v>394</v>
      </c>
      <c r="J192" s="67" t="s">
        <v>134</v>
      </c>
      <c r="K192" s="68"/>
      <c r="L192" s="68"/>
      <c r="M192" s="68"/>
      <c r="N192" s="69"/>
      <c r="O192" s="68"/>
    </row>
    <row r="193" customFormat="false" ht="27.75" hidden="false" customHeight="true" outlineLevel="0" collapsed="false">
      <c r="A193" s="66" t="n">
        <v>102</v>
      </c>
      <c r="B193" s="67" t="s">
        <v>91</v>
      </c>
      <c r="C193" s="66" t="s">
        <v>106</v>
      </c>
      <c r="D193" s="66" t="n">
        <v>3</v>
      </c>
      <c r="E193" s="67" t="str">
        <f aca="false">IFERROR(INDEX('Master Data'!$L$2:$L$2436,MATCH($B$3&amp;"|"&amp;D193&amp;"|"&amp;B193&amp;"|"&amp;C193,'Master Data'!$A$2:$A$2436,0)),"")</f>
        <v>Belum terisi</v>
      </c>
      <c r="F193" s="67" t="str">
        <f aca="false">IFERROR(INDEX('Master Data'!$F$2:$F$2436,MATCH($B$3&amp;"|"&amp;D193&amp;"|"&amp;B193&amp;"|"&amp;C193,'Master Data'!$A$2:$A$2436,0))&amp;"","")</f>
        <v>Little</v>
      </c>
      <c r="G193" s="66" t="n">
        <f aca="false">IFERROR(INDEX('Master Data'!$G$2:$G$2436,MATCH($B$3&amp;"|"&amp;D193&amp;"|"&amp;B193&amp;"|"&amp;C193,'Master Data'!$A$2:$A$2436,0)),"")</f>
        <v>4</v>
      </c>
      <c r="H193" s="67" t="str">
        <f aca="false">IFERROR(INDEX('Master Data'!$K$2:$K$2436,MATCH($B$3&amp;"|"&amp;D193&amp;"|"&amp;B193&amp;"|"&amp;C193,'Master Data'!$A$2:$A$2436,0))&amp;"","")</f>
        <v/>
      </c>
      <c r="I193" s="67" t="s">
        <v>395</v>
      </c>
      <c r="J193" s="67" t="s">
        <v>134</v>
      </c>
      <c r="K193" s="68"/>
      <c r="L193" s="68"/>
      <c r="M193" s="68"/>
      <c r="N193" s="69"/>
      <c r="O193" s="68"/>
    </row>
    <row r="194" customFormat="false" ht="27.75" hidden="false" customHeight="true" outlineLevel="0" collapsed="false">
      <c r="A194" s="66" t="n">
        <v>103</v>
      </c>
      <c r="B194" s="67" t="s">
        <v>91</v>
      </c>
      <c r="C194" s="66" t="s">
        <v>121</v>
      </c>
      <c r="D194" s="66" t="n">
        <v>1</v>
      </c>
      <c r="E194" s="67" t="str">
        <f aca="false">IFERROR(INDEX('Master Data'!$L$2:$L$2436,MATCH($B$3&amp;"|"&amp;D194&amp;"|"&amp;B194&amp;"|"&amp;C194,'Master Data'!$A$2:$A$2436,0)),"")</f>
        <v>Belum terisi</v>
      </c>
      <c r="F194" s="67" t="str">
        <f aca="false">IFERROR(INDEX('Master Data'!$F$2:$F$2436,MATCH($B$3&amp;"|"&amp;D194&amp;"|"&amp;B194&amp;"|"&amp;C194,'Master Data'!$A$2:$A$2436,0))&amp;"","")</f>
        <v>Baby</v>
      </c>
      <c r="G194" s="66" t="n">
        <f aca="false">IFERROR(INDEX('Master Data'!$G$2:$G$2436,MATCH($B$3&amp;"|"&amp;D194&amp;"|"&amp;B194&amp;"|"&amp;C194,'Master Data'!$A$2:$A$2436,0)),"")</f>
        <v>5</v>
      </c>
      <c r="H194" s="67" t="str">
        <f aca="false">IFERROR(INDEX('Master Data'!$K$2:$K$2436,MATCH($B$3&amp;"|"&amp;D194&amp;"|"&amp;B194&amp;"|"&amp;C194,'Master Data'!$A$2:$A$2436,0))&amp;"","")</f>
        <v/>
      </c>
      <c r="I194" s="67" t="s">
        <v>395</v>
      </c>
      <c r="J194" s="67" t="s">
        <v>134</v>
      </c>
      <c r="K194" s="68"/>
      <c r="L194" s="68"/>
      <c r="M194" s="68"/>
      <c r="N194" s="69"/>
      <c r="O194" s="68"/>
    </row>
    <row r="195" customFormat="false" ht="27.75" hidden="false" customHeight="true" outlineLevel="0" collapsed="false">
      <c r="A195" s="66" t="n">
        <v>104</v>
      </c>
      <c r="B195" s="67" t="s">
        <v>91</v>
      </c>
      <c r="C195" s="66" t="s">
        <v>121</v>
      </c>
      <c r="D195" s="66" t="n">
        <v>2</v>
      </c>
      <c r="E195" s="67" t="str">
        <f aca="false">IFERROR(INDEX('Master Data'!$L$2:$L$2436,MATCH($B$3&amp;"|"&amp;D195&amp;"|"&amp;B195&amp;"|"&amp;C195,'Master Data'!$A$2:$A$2436,0)),"")</f>
        <v>Belum terisi</v>
      </c>
      <c r="F195" s="67" t="str">
        <f aca="false">IFERROR(INDEX('Master Data'!$F$2:$F$2436,MATCH($B$3&amp;"|"&amp;D195&amp;"|"&amp;B195&amp;"|"&amp;C195,'Master Data'!$A$2:$A$2436,0))&amp;"","")</f>
        <v>Tiny</v>
      </c>
      <c r="G195" s="66" t="n">
        <f aca="false">IFERROR(INDEX('Master Data'!$G$2:$G$2436,MATCH($B$3&amp;"|"&amp;D195&amp;"|"&amp;B195&amp;"|"&amp;C195,'Master Data'!$A$2:$A$2436,0)),"")</f>
        <v>5</v>
      </c>
      <c r="H195" s="67" t="str">
        <f aca="false">IFERROR(INDEX('Master Data'!$K$2:$K$2436,MATCH($B$3&amp;"|"&amp;D195&amp;"|"&amp;B195&amp;"|"&amp;C195,'Master Data'!$A$2:$A$2436,0))&amp;"","")</f>
        <v/>
      </c>
      <c r="I195" s="67" t="s">
        <v>395</v>
      </c>
      <c r="J195" s="67" t="s">
        <v>134</v>
      </c>
      <c r="K195" s="68"/>
      <c r="L195" s="68"/>
      <c r="M195" s="68"/>
      <c r="N195" s="69"/>
      <c r="O195" s="68"/>
    </row>
    <row r="196" customFormat="false" ht="27.75" hidden="false" customHeight="true" outlineLevel="0" collapsed="false">
      <c r="A196" s="66" t="n">
        <v>105</v>
      </c>
      <c r="B196" s="67" t="s">
        <v>91</v>
      </c>
      <c r="C196" s="66" t="s">
        <v>121</v>
      </c>
      <c r="D196" s="66" t="n">
        <v>5</v>
      </c>
      <c r="E196" s="67" t="str">
        <f aca="false">IFERROR(INDEX('Master Data'!$L$2:$L$2436,MATCH($B$3&amp;"|"&amp;D196&amp;"|"&amp;B196&amp;"|"&amp;C196,'Master Data'!$A$2:$A$2436,0)),"")</f>
        <v>Slot kosong</v>
      </c>
      <c r="F196" s="67" t="str">
        <f aca="false">IFERROR(INDEX('Master Data'!$F$2:$F$2436,MATCH($B$3&amp;"|"&amp;D196&amp;"|"&amp;B196&amp;"|"&amp;C196,'Master Data'!$A$2:$A$2436,0))&amp;"","")</f>
        <v/>
      </c>
      <c r="G196" s="66" t="n">
        <f aca="false">IFERROR(INDEX('Master Data'!$G$2:$G$2436,MATCH($B$3&amp;"|"&amp;D196&amp;"|"&amp;B196&amp;"|"&amp;C196,'Master Data'!$A$2:$A$2436,0)),"")</f>
        <v>4</v>
      </c>
      <c r="H196" s="67" t="str">
        <f aca="false">IFERROR(INDEX('Master Data'!$K$2:$K$2436,MATCH($B$3&amp;"|"&amp;D196&amp;"|"&amp;B196&amp;"|"&amp;C196,'Master Data'!$A$2:$A$2436,0))&amp;"","")</f>
        <v/>
      </c>
      <c r="I196" s="67" t="s">
        <v>395</v>
      </c>
      <c r="J196" s="67" t="s">
        <v>134</v>
      </c>
      <c r="K196" s="68"/>
      <c r="L196" s="68"/>
      <c r="M196" s="68"/>
      <c r="N196" s="69"/>
      <c r="O196" s="68"/>
    </row>
    <row r="197" customFormat="false" ht="27.75" hidden="false" customHeight="true" outlineLevel="0" collapsed="false">
      <c r="A197" s="66" t="n">
        <v>106</v>
      </c>
      <c r="B197" s="67" t="s">
        <v>91</v>
      </c>
      <c r="C197" s="66" t="s">
        <v>107</v>
      </c>
      <c r="D197" s="66" t="n">
        <v>3</v>
      </c>
      <c r="E197" s="67" t="str">
        <f aca="false">IFERROR(INDEX('Master Data'!$L$2:$L$2436,MATCH($B$3&amp;"|"&amp;D197&amp;"|"&amp;B197&amp;"|"&amp;C197,'Master Data'!$A$2:$A$2436,0)),"")</f>
        <v>Belum terisi</v>
      </c>
      <c r="F197" s="67" t="str">
        <f aca="false">IFERROR(INDEX('Master Data'!$F$2:$F$2436,MATCH($B$3&amp;"|"&amp;D197&amp;"|"&amp;B197&amp;"|"&amp;C197,'Master Data'!$A$2:$A$2436,0))&amp;"","")</f>
        <v>Little</v>
      </c>
      <c r="G197" s="66" t="n">
        <f aca="false">IFERROR(INDEX('Master Data'!$G$2:$G$2436,MATCH($B$3&amp;"|"&amp;D197&amp;"|"&amp;B197&amp;"|"&amp;C197,'Master Data'!$A$2:$A$2436,0)),"")</f>
        <v>4</v>
      </c>
      <c r="H197" s="67" t="str">
        <f aca="false">IFERROR(INDEX('Master Data'!$K$2:$K$2436,MATCH($B$3&amp;"|"&amp;D197&amp;"|"&amp;B197&amp;"|"&amp;C197,'Master Data'!$A$2:$A$2436,0))&amp;"","")</f>
        <v/>
      </c>
      <c r="I197" s="67" t="s">
        <v>391</v>
      </c>
      <c r="J197" s="67" t="s">
        <v>134</v>
      </c>
      <c r="K197" s="68"/>
      <c r="L197" s="68"/>
      <c r="M197" s="68"/>
      <c r="N197" s="69"/>
      <c r="O197" s="68"/>
    </row>
    <row r="198" customFormat="false" ht="27.75" hidden="false" customHeight="true" outlineLevel="0" collapsed="false">
      <c r="A198" s="66" t="n">
        <v>107</v>
      </c>
      <c r="B198" s="67" t="s">
        <v>91</v>
      </c>
      <c r="C198" s="66" t="s">
        <v>107</v>
      </c>
      <c r="D198" s="66" t="n">
        <v>4</v>
      </c>
      <c r="E198" s="67" t="str">
        <f aca="false">IFERROR(INDEX('Master Data'!$L$2:$L$2436,MATCH($B$3&amp;"|"&amp;D198&amp;"|"&amp;B198&amp;"|"&amp;C198,'Master Data'!$A$2:$A$2436,0)),"")</f>
        <v>Belum terisi</v>
      </c>
      <c r="F198" s="67" t="str">
        <f aca="false">IFERROR(INDEX('Master Data'!$F$2:$F$2436,MATCH($B$3&amp;"|"&amp;D198&amp;"|"&amp;B198&amp;"|"&amp;C198,'Master Data'!$A$2:$A$2436,0))&amp;"","")</f>
        <v>Kids</v>
      </c>
      <c r="G198" s="66" t="n">
        <f aca="false">IFERROR(INDEX('Master Data'!$G$2:$G$2436,MATCH($B$3&amp;"|"&amp;D198&amp;"|"&amp;B198&amp;"|"&amp;C198,'Master Data'!$A$2:$A$2436,0)),"")</f>
        <v>4</v>
      </c>
      <c r="H198" s="67" t="str">
        <f aca="false">IFERROR(INDEX('Master Data'!$K$2:$K$2436,MATCH($B$3&amp;"|"&amp;D198&amp;"|"&amp;B198&amp;"|"&amp;C198,'Master Data'!$A$2:$A$2436,0))&amp;"","")</f>
        <v/>
      </c>
      <c r="I198" s="67" t="s">
        <v>391</v>
      </c>
      <c r="J198" s="67" t="s">
        <v>134</v>
      </c>
      <c r="K198" s="68"/>
      <c r="L198" s="68"/>
      <c r="M198" s="68"/>
      <c r="N198" s="69"/>
      <c r="O198" s="68"/>
    </row>
    <row r="199" customFormat="false" ht="40.5" hidden="false" customHeight="true" outlineLevel="0" collapsed="false">
      <c r="A199" s="66" t="n">
        <v>108</v>
      </c>
      <c r="B199" s="67" t="s">
        <v>92</v>
      </c>
      <c r="C199" s="66" t="s">
        <v>110</v>
      </c>
      <c r="D199" s="66" t="n">
        <v>1</v>
      </c>
      <c r="E199" s="67" t="str">
        <f aca="false">IFERROR(INDEX('Master Data'!$L$2:$L$2436,MATCH($B$3&amp;"|"&amp;D199&amp;"|"&amp;B199&amp;"|"&amp;C199,'Master Data'!$A$2:$A$2436,0)),"")</f>
        <v>Belum terisi</v>
      </c>
      <c r="F199" s="67" t="str">
        <f aca="false">IFERROR(INDEX('Master Data'!$F$2:$F$2436,MATCH($B$3&amp;"|"&amp;D199&amp;"|"&amp;B199&amp;"|"&amp;C199,'Master Data'!$A$2:$A$2436,0))&amp;"","")</f>
        <v>Baby</v>
      </c>
      <c r="G199" s="66" t="n">
        <f aca="false">IFERROR(INDEX('Master Data'!$G$2:$G$2436,MATCH($B$3&amp;"|"&amp;D199&amp;"|"&amp;B199&amp;"|"&amp;C199,'Master Data'!$A$2:$A$2436,0)),"")</f>
        <v>5</v>
      </c>
      <c r="H199" s="67" t="str">
        <f aca="false">IFERROR(INDEX('Master Data'!$K$2:$K$2436,MATCH($B$3&amp;"|"&amp;D199&amp;"|"&amp;B199&amp;"|"&amp;C199,'Master Data'!$A$2:$A$2436,0))&amp;"","")</f>
        <v/>
      </c>
      <c r="I199" s="67" t="s">
        <v>396</v>
      </c>
      <c r="J199" s="67" t="s">
        <v>134</v>
      </c>
      <c r="K199" s="68"/>
      <c r="L199" s="68"/>
      <c r="M199" s="68"/>
      <c r="N199" s="69"/>
      <c r="O199" s="68"/>
    </row>
    <row r="200" customFormat="false" ht="40.5" hidden="false" customHeight="true" outlineLevel="0" collapsed="false">
      <c r="A200" s="66" t="n">
        <v>109</v>
      </c>
      <c r="B200" s="67" t="s">
        <v>92</v>
      </c>
      <c r="C200" s="66" t="s">
        <v>110</v>
      </c>
      <c r="D200" s="66" t="n">
        <v>2</v>
      </c>
      <c r="E200" s="67" t="str">
        <f aca="false">IFERROR(INDEX('Master Data'!$L$2:$L$2436,MATCH($B$3&amp;"|"&amp;D200&amp;"|"&amp;B200&amp;"|"&amp;C200,'Master Data'!$A$2:$A$2436,0)),"")</f>
        <v>Belum terisi</v>
      </c>
      <c r="F200" s="67" t="str">
        <f aca="false">IFERROR(INDEX('Master Data'!$F$2:$F$2436,MATCH($B$3&amp;"|"&amp;D200&amp;"|"&amp;B200&amp;"|"&amp;C200,'Master Data'!$A$2:$A$2436,0))&amp;"","")</f>
        <v>Tiny</v>
      </c>
      <c r="G200" s="66" t="n">
        <f aca="false">IFERROR(INDEX('Master Data'!$G$2:$G$2436,MATCH($B$3&amp;"|"&amp;D200&amp;"|"&amp;B200&amp;"|"&amp;C200,'Master Data'!$A$2:$A$2436,0)),"")</f>
        <v>5</v>
      </c>
      <c r="H200" s="67" t="str">
        <f aca="false">IFERROR(INDEX('Master Data'!$K$2:$K$2436,MATCH($B$3&amp;"|"&amp;D200&amp;"|"&amp;B200&amp;"|"&amp;C200,'Master Data'!$A$2:$A$2436,0))&amp;"","")</f>
        <v/>
      </c>
      <c r="I200" s="67" t="s">
        <v>396</v>
      </c>
      <c r="J200" s="67" t="s">
        <v>134</v>
      </c>
      <c r="K200" s="68"/>
      <c r="L200" s="68"/>
      <c r="M200" s="68"/>
      <c r="N200" s="69"/>
      <c r="O200" s="68"/>
    </row>
    <row r="201" customFormat="false" ht="40.5" hidden="false" customHeight="true" outlineLevel="0" collapsed="false">
      <c r="A201" s="66" t="n">
        <v>110</v>
      </c>
      <c r="B201" s="67" t="s">
        <v>92</v>
      </c>
      <c r="C201" s="66" t="s">
        <v>110</v>
      </c>
      <c r="D201" s="66" t="n">
        <v>5</v>
      </c>
      <c r="E201" s="67" t="str">
        <f aca="false">IFERROR(INDEX('Master Data'!$L$2:$L$2436,MATCH($B$3&amp;"|"&amp;D201&amp;"|"&amp;B201&amp;"|"&amp;C201,'Master Data'!$A$2:$A$2436,0)),"")</f>
        <v>Slot kosong</v>
      </c>
      <c r="F201" s="67" t="str">
        <f aca="false">IFERROR(INDEX('Master Data'!$F$2:$F$2436,MATCH($B$3&amp;"|"&amp;D201&amp;"|"&amp;B201&amp;"|"&amp;C201,'Master Data'!$A$2:$A$2436,0))&amp;"","")</f>
        <v/>
      </c>
      <c r="G201" s="66" t="n">
        <f aca="false">IFERROR(INDEX('Master Data'!$G$2:$G$2436,MATCH($B$3&amp;"|"&amp;D201&amp;"|"&amp;B201&amp;"|"&amp;C201,'Master Data'!$A$2:$A$2436,0)),"")</f>
        <v>4</v>
      </c>
      <c r="H201" s="67" t="str">
        <f aca="false">IFERROR(INDEX('Master Data'!$K$2:$K$2436,MATCH($B$3&amp;"|"&amp;D201&amp;"|"&amp;B201&amp;"|"&amp;C201,'Master Data'!$A$2:$A$2436,0))&amp;"","")</f>
        <v/>
      </c>
      <c r="I201" s="67" t="s">
        <v>396</v>
      </c>
      <c r="J201" s="67" t="s">
        <v>134</v>
      </c>
      <c r="K201" s="68"/>
      <c r="L201" s="68"/>
      <c r="M201" s="68"/>
      <c r="N201" s="69"/>
      <c r="O201" s="68"/>
    </row>
    <row r="202" customFormat="false" ht="40.5" hidden="false" customHeight="true" outlineLevel="0" collapsed="false">
      <c r="A202" s="66" t="n">
        <v>111</v>
      </c>
      <c r="B202" s="67" t="s">
        <v>92</v>
      </c>
      <c r="C202" s="66" t="s">
        <v>96</v>
      </c>
      <c r="D202" s="66" t="n">
        <v>3</v>
      </c>
      <c r="E202" s="67" t="str">
        <f aca="false">IFERROR(INDEX('Master Data'!$L$2:$L$2436,MATCH($B$3&amp;"|"&amp;D202&amp;"|"&amp;B202&amp;"|"&amp;C202,'Master Data'!$A$2:$A$2436,0)),"")</f>
        <v>Belum terisi</v>
      </c>
      <c r="F202" s="67" t="str">
        <f aca="false">IFERROR(INDEX('Master Data'!$F$2:$F$2436,MATCH($B$3&amp;"|"&amp;D202&amp;"|"&amp;B202&amp;"|"&amp;C202,'Master Data'!$A$2:$A$2436,0))&amp;"","")</f>
        <v>Little</v>
      </c>
      <c r="G202" s="66" t="n">
        <f aca="false">IFERROR(INDEX('Master Data'!$G$2:$G$2436,MATCH($B$3&amp;"|"&amp;D202&amp;"|"&amp;B202&amp;"|"&amp;C202,'Master Data'!$A$2:$A$2436,0)),"")</f>
        <v>4</v>
      </c>
      <c r="H202" s="67" t="str">
        <f aca="false">IFERROR(INDEX('Master Data'!$K$2:$K$2436,MATCH($B$3&amp;"|"&amp;D202&amp;"|"&amp;B202&amp;"|"&amp;C202,'Master Data'!$A$2:$A$2436,0))&amp;"","")</f>
        <v/>
      </c>
      <c r="I202" s="67" t="s">
        <v>396</v>
      </c>
      <c r="J202" s="67" t="s">
        <v>134</v>
      </c>
      <c r="K202" s="68"/>
      <c r="L202" s="68"/>
      <c r="M202" s="68"/>
      <c r="N202" s="69"/>
      <c r="O202" s="68"/>
    </row>
    <row r="203" customFormat="false" ht="40.5" hidden="false" customHeight="true" outlineLevel="0" collapsed="false">
      <c r="A203" s="66" t="n">
        <v>112</v>
      </c>
      <c r="B203" s="67" t="s">
        <v>92</v>
      </c>
      <c r="C203" s="66" t="s">
        <v>96</v>
      </c>
      <c r="D203" s="66" t="n">
        <v>4</v>
      </c>
      <c r="E203" s="67" t="str">
        <f aca="false">IFERROR(INDEX('Master Data'!$L$2:$L$2436,MATCH($B$3&amp;"|"&amp;D203&amp;"|"&amp;B203&amp;"|"&amp;C203,'Master Data'!$A$2:$A$2436,0)),"")</f>
        <v>Belum terisi</v>
      </c>
      <c r="F203" s="67" t="str">
        <f aca="false">IFERROR(INDEX('Master Data'!$F$2:$F$2436,MATCH($B$3&amp;"|"&amp;D203&amp;"|"&amp;B203&amp;"|"&amp;C203,'Master Data'!$A$2:$A$2436,0))&amp;"","")</f>
        <v>Kids</v>
      </c>
      <c r="G203" s="66" t="n">
        <f aca="false">IFERROR(INDEX('Master Data'!$G$2:$G$2436,MATCH($B$3&amp;"|"&amp;D203&amp;"|"&amp;B203&amp;"|"&amp;C203,'Master Data'!$A$2:$A$2436,0)),"")</f>
        <v>4</v>
      </c>
      <c r="H203" s="67" t="str">
        <f aca="false">IFERROR(INDEX('Master Data'!$K$2:$K$2436,MATCH($B$3&amp;"|"&amp;D203&amp;"|"&amp;B203&amp;"|"&amp;C203,'Master Data'!$A$2:$A$2436,0))&amp;"","")</f>
        <v/>
      </c>
      <c r="I203" s="67" t="s">
        <v>396</v>
      </c>
      <c r="J203" s="67" t="s">
        <v>134</v>
      </c>
      <c r="K203" s="68"/>
      <c r="L203" s="68"/>
      <c r="M203" s="68"/>
      <c r="N203" s="69"/>
      <c r="O203" s="68"/>
    </row>
    <row r="204" customFormat="false" ht="40.5" hidden="false" customHeight="true" outlineLevel="0" collapsed="false">
      <c r="A204" s="66" t="n">
        <v>113</v>
      </c>
      <c r="B204" s="67" t="s">
        <v>92</v>
      </c>
      <c r="C204" s="66" t="s">
        <v>111</v>
      </c>
      <c r="D204" s="66" t="n">
        <v>1</v>
      </c>
      <c r="E204" s="67" t="str">
        <f aca="false">IFERROR(INDEX('Master Data'!$L$2:$L$2436,MATCH($B$3&amp;"|"&amp;D204&amp;"|"&amp;B204&amp;"|"&amp;C204,'Master Data'!$A$2:$A$2436,0)),"")</f>
        <v>Belum terisi</v>
      </c>
      <c r="F204" s="67" t="str">
        <f aca="false">IFERROR(INDEX('Master Data'!$F$2:$F$2436,MATCH($B$3&amp;"|"&amp;D204&amp;"|"&amp;B204&amp;"|"&amp;C204,'Master Data'!$A$2:$A$2436,0))&amp;"","")</f>
        <v>Baby</v>
      </c>
      <c r="G204" s="66" t="n">
        <f aca="false">IFERROR(INDEX('Master Data'!$G$2:$G$2436,MATCH($B$3&amp;"|"&amp;D204&amp;"|"&amp;B204&amp;"|"&amp;C204,'Master Data'!$A$2:$A$2436,0)),"")</f>
        <v>5</v>
      </c>
      <c r="H204" s="67" t="str">
        <f aca="false">IFERROR(INDEX('Master Data'!$K$2:$K$2436,MATCH($B$3&amp;"|"&amp;D204&amp;"|"&amp;B204&amp;"|"&amp;C204,'Master Data'!$A$2:$A$2436,0))&amp;"","")</f>
        <v/>
      </c>
      <c r="I204" s="67" t="s">
        <v>396</v>
      </c>
      <c r="J204" s="67" t="s">
        <v>134</v>
      </c>
      <c r="K204" s="68"/>
      <c r="L204" s="68"/>
      <c r="M204" s="68"/>
      <c r="N204" s="69"/>
      <c r="O204" s="68"/>
    </row>
    <row r="205" customFormat="false" ht="40.5" hidden="false" customHeight="true" outlineLevel="0" collapsed="false">
      <c r="A205" s="66" t="n">
        <v>114</v>
      </c>
      <c r="B205" s="67" t="s">
        <v>92</v>
      </c>
      <c r="C205" s="66" t="s">
        <v>111</v>
      </c>
      <c r="D205" s="66" t="n">
        <v>2</v>
      </c>
      <c r="E205" s="67" t="str">
        <f aca="false">IFERROR(INDEX('Master Data'!$L$2:$L$2436,MATCH($B$3&amp;"|"&amp;D205&amp;"|"&amp;B205&amp;"|"&amp;C205,'Master Data'!$A$2:$A$2436,0)),"")</f>
        <v>Belum terisi</v>
      </c>
      <c r="F205" s="67" t="str">
        <f aca="false">IFERROR(INDEX('Master Data'!$F$2:$F$2436,MATCH($B$3&amp;"|"&amp;D205&amp;"|"&amp;B205&amp;"|"&amp;C205,'Master Data'!$A$2:$A$2436,0))&amp;"","")</f>
        <v>Tiny</v>
      </c>
      <c r="G205" s="66" t="n">
        <f aca="false">IFERROR(INDEX('Master Data'!$G$2:$G$2436,MATCH($B$3&amp;"|"&amp;D205&amp;"|"&amp;B205&amp;"|"&amp;C205,'Master Data'!$A$2:$A$2436,0)),"")</f>
        <v>5</v>
      </c>
      <c r="H205" s="67" t="str">
        <f aca="false">IFERROR(INDEX('Master Data'!$K$2:$K$2436,MATCH($B$3&amp;"|"&amp;D205&amp;"|"&amp;B205&amp;"|"&amp;C205,'Master Data'!$A$2:$A$2436,0))&amp;"","")</f>
        <v/>
      </c>
      <c r="I205" s="67" t="s">
        <v>396</v>
      </c>
      <c r="J205" s="67" t="s">
        <v>134</v>
      </c>
      <c r="K205" s="68"/>
      <c r="L205" s="68"/>
      <c r="M205" s="68"/>
      <c r="N205" s="69"/>
      <c r="O205" s="68"/>
    </row>
    <row r="206" customFormat="false" ht="40.5" hidden="false" customHeight="true" outlineLevel="0" collapsed="false">
      <c r="A206" s="66" t="n">
        <v>115</v>
      </c>
      <c r="B206" s="67" t="s">
        <v>92</v>
      </c>
      <c r="C206" s="66" t="s">
        <v>111</v>
      </c>
      <c r="D206" s="66" t="n">
        <v>5</v>
      </c>
      <c r="E206" s="67" t="str">
        <f aca="false">IFERROR(INDEX('Master Data'!$L$2:$L$2436,MATCH($B$3&amp;"|"&amp;D206&amp;"|"&amp;B206&amp;"|"&amp;C206,'Master Data'!$A$2:$A$2436,0)),"")</f>
        <v>Slot kosong</v>
      </c>
      <c r="F206" s="67" t="str">
        <f aca="false">IFERROR(INDEX('Master Data'!$F$2:$F$2436,MATCH($B$3&amp;"|"&amp;D206&amp;"|"&amp;B206&amp;"|"&amp;C206,'Master Data'!$A$2:$A$2436,0))&amp;"","")</f>
        <v/>
      </c>
      <c r="G206" s="66" t="n">
        <f aca="false">IFERROR(INDEX('Master Data'!$G$2:$G$2436,MATCH($B$3&amp;"|"&amp;D206&amp;"|"&amp;B206&amp;"|"&amp;C206,'Master Data'!$A$2:$A$2436,0)),"")</f>
        <v>4</v>
      </c>
      <c r="H206" s="67" t="str">
        <f aca="false">IFERROR(INDEX('Master Data'!$K$2:$K$2436,MATCH($B$3&amp;"|"&amp;D206&amp;"|"&amp;B206&amp;"|"&amp;C206,'Master Data'!$A$2:$A$2436,0))&amp;"","")</f>
        <v/>
      </c>
      <c r="I206" s="67" t="s">
        <v>396</v>
      </c>
      <c r="J206" s="67" t="s">
        <v>134</v>
      </c>
      <c r="K206" s="68"/>
      <c r="L206" s="68"/>
      <c r="M206" s="68"/>
      <c r="N206" s="69"/>
      <c r="O206" s="68"/>
    </row>
    <row r="207" customFormat="false" ht="15.75" hidden="false" customHeight="true" outlineLevel="0" collapsed="false">
      <c r="A207" s="66" t="n">
        <v>116</v>
      </c>
      <c r="B207" s="67" t="s">
        <v>92</v>
      </c>
      <c r="C207" s="66" t="s">
        <v>97</v>
      </c>
      <c r="D207" s="66" t="n">
        <v>3</v>
      </c>
      <c r="E207" s="67" t="str">
        <f aca="false">IFERROR(INDEX('Master Data'!$L$2:$L$2436,MATCH($B$3&amp;"|"&amp;D207&amp;"|"&amp;B207&amp;"|"&amp;C207,'Master Data'!$A$2:$A$2436,0)),"")</f>
        <v>Belum terisi</v>
      </c>
      <c r="F207" s="67" t="str">
        <f aca="false">IFERROR(INDEX('Master Data'!$F$2:$F$2436,MATCH($B$3&amp;"|"&amp;D207&amp;"|"&amp;B207&amp;"|"&amp;C207,'Master Data'!$A$2:$A$2436,0))&amp;"","")</f>
        <v>Little</v>
      </c>
      <c r="G207" s="66" t="n">
        <f aca="false">IFERROR(INDEX('Master Data'!$G$2:$G$2436,MATCH($B$3&amp;"|"&amp;D207&amp;"|"&amp;B207&amp;"|"&amp;C207,'Master Data'!$A$2:$A$2436,0)),"")</f>
        <v>4</v>
      </c>
      <c r="H207" s="67" t="str">
        <f aca="false">IFERROR(INDEX('Master Data'!$K$2:$K$2436,MATCH($B$3&amp;"|"&amp;D207&amp;"|"&amp;B207&amp;"|"&amp;C207,'Master Data'!$A$2:$A$2436,0))&amp;"","")</f>
        <v/>
      </c>
      <c r="I207" s="67" t="s">
        <v>397</v>
      </c>
      <c r="J207" s="67" t="s">
        <v>203</v>
      </c>
      <c r="K207" s="68"/>
      <c r="L207" s="68"/>
      <c r="M207" s="68"/>
      <c r="N207" s="69"/>
      <c r="O207" s="68"/>
    </row>
    <row r="208" customFormat="false" ht="15.75" hidden="false" customHeight="true" outlineLevel="0" collapsed="false">
      <c r="A208" s="66" t="n">
        <v>117</v>
      </c>
      <c r="B208" s="67" t="s">
        <v>92</v>
      </c>
      <c r="C208" s="66" t="s">
        <v>97</v>
      </c>
      <c r="D208" s="66" t="n">
        <v>4</v>
      </c>
      <c r="E208" s="67" t="str">
        <f aca="false">IFERROR(INDEX('Master Data'!$L$2:$L$2436,MATCH($B$3&amp;"|"&amp;D208&amp;"|"&amp;B208&amp;"|"&amp;C208,'Master Data'!$A$2:$A$2436,0)),"")</f>
        <v>Belum terisi</v>
      </c>
      <c r="F208" s="67" t="str">
        <f aca="false">IFERROR(INDEX('Master Data'!$F$2:$F$2436,MATCH($B$3&amp;"|"&amp;D208&amp;"|"&amp;B208&amp;"|"&amp;C208,'Master Data'!$A$2:$A$2436,0))&amp;"","")</f>
        <v>Kids</v>
      </c>
      <c r="G208" s="66" t="n">
        <f aca="false">IFERROR(INDEX('Master Data'!$G$2:$G$2436,MATCH($B$3&amp;"|"&amp;D208&amp;"|"&amp;B208&amp;"|"&amp;C208,'Master Data'!$A$2:$A$2436,0)),"")</f>
        <v>4</v>
      </c>
      <c r="H208" s="67" t="str">
        <f aca="false">IFERROR(INDEX('Master Data'!$K$2:$K$2436,MATCH($B$3&amp;"|"&amp;D208&amp;"|"&amp;B208&amp;"|"&amp;C208,'Master Data'!$A$2:$A$2436,0))&amp;"","")</f>
        <v/>
      </c>
      <c r="I208" s="67" t="s">
        <v>397</v>
      </c>
      <c r="J208" s="67" t="s">
        <v>203</v>
      </c>
      <c r="K208" s="68"/>
      <c r="L208" s="68"/>
      <c r="M208" s="68"/>
      <c r="N208" s="69"/>
      <c r="O208" s="68"/>
    </row>
    <row r="209" customFormat="false" ht="15.75" hidden="false" customHeight="true" outlineLevel="0" collapsed="false">
      <c r="A209" s="66" t="n">
        <v>118</v>
      </c>
      <c r="B209" s="67" t="s">
        <v>92</v>
      </c>
      <c r="C209" s="66" t="s">
        <v>112</v>
      </c>
      <c r="D209" s="66" t="n">
        <v>5</v>
      </c>
      <c r="E209" s="67" t="str">
        <f aca="false">IFERROR(INDEX('Master Data'!$L$2:$L$2436,MATCH($B$3&amp;"|"&amp;D209&amp;"|"&amp;B209&amp;"|"&amp;C209,'Master Data'!$A$2:$A$2436,0)),"")</f>
        <v>Slot kosong</v>
      </c>
      <c r="F209" s="67" t="str">
        <f aca="false">IFERROR(INDEX('Master Data'!$F$2:$F$2436,MATCH($B$3&amp;"|"&amp;D209&amp;"|"&amp;B209&amp;"|"&amp;C209,'Master Data'!$A$2:$A$2436,0))&amp;"","")</f>
        <v/>
      </c>
      <c r="G209" s="66" t="n">
        <f aca="false">IFERROR(INDEX('Master Data'!$G$2:$G$2436,MATCH($B$3&amp;"|"&amp;D209&amp;"|"&amp;B209&amp;"|"&amp;C209,'Master Data'!$A$2:$A$2436,0)),"")</f>
        <v>4</v>
      </c>
      <c r="H209" s="67" t="str">
        <f aca="false">IFERROR(INDEX('Master Data'!$K$2:$K$2436,MATCH($B$3&amp;"|"&amp;D209&amp;"|"&amp;B209&amp;"|"&amp;C209,'Master Data'!$A$2:$A$2436,0))&amp;"","")</f>
        <v/>
      </c>
      <c r="I209" s="67" t="s">
        <v>397</v>
      </c>
      <c r="J209" s="67" t="s">
        <v>203</v>
      </c>
      <c r="K209" s="68"/>
      <c r="L209" s="68"/>
      <c r="M209" s="68"/>
      <c r="N209" s="69"/>
      <c r="O209" s="68"/>
    </row>
    <row r="210" customFormat="false" ht="15.75" hidden="false" customHeight="true" outlineLevel="0" collapsed="false">
      <c r="A210" s="66" t="n">
        <v>119</v>
      </c>
      <c r="B210" s="67" t="s">
        <v>92</v>
      </c>
      <c r="C210" s="66" t="s">
        <v>98</v>
      </c>
      <c r="D210" s="66" t="n">
        <v>3</v>
      </c>
      <c r="E210" s="67" t="str">
        <f aca="false">IFERROR(INDEX('Master Data'!$L$2:$L$2436,MATCH($B$3&amp;"|"&amp;D210&amp;"|"&amp;B210&amp;"|"&amp;C210,'Master Data'!$A$2:$A$2436,0)),"")</f>
        <v>Belum terisi</v>
      </c>
      <c r="F210" s="67" t="str">
        <f aca="false">IFERROR(INDEX('Master Data'!$F$2:$F$2436,MATCH($B$3&amp;"|"&amp;D210&amp;"|"&amp;B210&amp;"|"&amp;C210,'Master Data'!$A$2:$A$2436,0))&amp;"","")</f>
        <v>Little</v>
      </c>
      <c r="G210" s="66" t="n">
        <f aca="false">IFERROR(INDEX('Master Data'!$G$2:$G$2436,MATCH($B$3&amp;"|"&amp;D210&amp;"|"&amp;B210&amp;"|"&amp;C210,'Master Data'!$A$2:$A$2436,0)),"")</f>
        <v>4</v>
      </c>
      <c r="H210" s="67" t="str">
        <f aca="false">IFERROR(INDEX('Master Data'!$K$2:$K$2436,MATCH($B$3&amp;"|"&amp;D210&amp;"|"&amp;B210&amp;"|"&amp;C210,'Master Data'!$A$2:$A$2436,0))&amp;"","")</f>
        <v/>
      </c>
      <c r="I210" s="67" t="s">
        <v>397</v>
      </c>
      <c r="J210" s="67" t="s">
        <v>203</v>
      </c>
      <c r="K210" s="68"/>
      <c r="L210" s="68"/>
      <c r="M210" s="68"/>
      <c r="N210" s="69"/>
      <c r="O210" s="68"/>
    </row>
    <row r="211" customFormat="false" ht="15.75" hidden="false" customHeight="true" outlineLevel="0" collapsed="false">
      <c r="A211" s="66" t="n">
        <v>120</v>
      </c>
      <c r="B211" s="67" t="s">
        <v>92</v>
      </c>
      <c r="C211" s="66" t="s">
        <v>98</v>
      </c>
      <c r="D211" s="66" t="n">
        <v>4</v>
      </c>
      <c r="E211" s="67" t="str">
        <f aca="false">IFERROR(INDEX('Master Data'!$L$2:$L$2436,MATCH($B$3&amp;"|"&amp;D211&amp;"|"&amp;B211&amp;"|"&amp;C211,'Master Data'!$A$2:$A$2436,0)),"")</f>
        <v>Belum terisi</v>
      </c>
      <c r="F211" s="67" t="str">
        <f aca="false">IFERROR(INDEX('Master Data'!$F$2:$F$2436,MATCH($B$3&amp;"|"&amp;D211&amp;"|"&amp;B211&amp;"|"&amp;C211,'Master Data'!$A$2:$A$2436,0))&amp;"","")</f>
        <v>Kids</v>
      </c>
      <c r="G211" s="66" t="n">
        <f aca="false">IFERROR(INDEX('Master Data'!$G$2:$G$2436,MATCH($B$3&amp;"|"&amp;D211&amp;"|"&amp;B211&amp;"|"&amp;C211,'Master Data'!$A$2:$A$2436,0)),"")</f>
        <v>4</v>
      </c>
      <c r="H211" s="67" t="str">
        <f aca="false">IFERROR(INDEX('Master Data'!$K$2:$K$2436,MATCH($B$3&amp;"|"&amp;D211&amp;"|"&amp;B211&amp;"|"&amp;C211,'Master Data'!$A$2:$A$2436,0))&amp;"","")</f>
        <v/>
      </c>
      <c r="I211" s="67" t="s">
        <v>397</v>
      </c>
      <c r="J211" s="67" t="s">
        <v>203</v>
      </c>
      <c r="K211" s="68"/>
      <c r="L211" s="68"/>
      <c r="M211" s="68"/>
      <c r="N211" s="69"/>
      <c r="O211" s="68"/>
    </row>
    <row r="212" customFormat="false" ht="27.75" hidden="false" customHeight="true" outlineLevel="0" collapsed="false">
      <c r="A212" s="66" t="n">
        <v>121</v>
      </c>
      <c r="B212" s="67" t="s">
        <v>92</v>
      </c>
      <c r="C212" s="66" t="s">
        <v>113</v>
      </c>
      <c r="D212" s="66" t="n">
        <v>1</v>
      </c>
      <c r="E212" s="67" t="str">
        <f aca="false">IFERROR(INDEX('Master Data'!$L$2:$L$2436,MATCH($B$3&amp;"|"&amp;D212&amp;"|"&amp;B212&amp;"|"&amp;C212,'Master Data'!$A$2:$A$2436,0)),"")</f>
        <v>Belum terisi</v>
      </c>
      <c r="F212" s="67" t="str">
        <f aca="false">IFERROR(INDEX('Master Data'!$F$2:$F$2436,MATCH($B$3&amp;"|"&amp;D212&amp;"|"&amp;B212&amp;"|"&amp;C212,'Master Data'!$A$2:$A$2436,0))&amp;"","")</f>
        <v>Baby</v>
      </c>
      <c r="G212" s="66" t="n">
        <f aca="false">IFERROR(INDEX('Master Data'!$G$2:$G$2436,MATCH($B$3&amp;"|"&amp;D212&amp;"|"&amp;B212&amp;"|"&amp;C212,'Master Data'!$A$2:$A$2436,0)),"")</f>
        <v>5</v>
      </c>
      <c r="H212" s="67" t="str">
        <f aca="false">IFERROR(INDEX('Master Data'!$K$2:$K$2436,MATCH($B$3&amp;"|"&amp;D212&amp;"|"&amp;B212&amp;"|"&amp;C212,'Master Data'!$A$2:$A$2436,0))&amp;"","")</f>
        <v/>
      </c>
      <c r="I212" s="67" t="s">
        <v>398</v>
      </c>
      <c r="J212" s="67" t="s">
        <v>134</v>
      </c>
      <c r="K212" s="68"/>
      <c r="L212" s="68"/>
      <c r="M212" s="68"/>
      <c r="N212" s="69"/>
      <c r="O212" s="68"/>
    </row>
    <row r="213" customFormat="false" ht="27.75" hidden="false" customHeight="true" outlineLevel="0" collapsed="false">
      <c r="A213" s="66" t="n">
        <v>122</v>
      </c>
      <c r="B213" s="67" t="s">
        <v>92</v>
      </c>
      <c r="C213" s="66" t="s">
        <v>113</v>
      </c>
      <c r="D213" s="66" t="n">
        <v>5</v>
      </c>
      <c r="E213" s="67" t="str">
        <f aca="false">IFERROR(INDEX('Master Data'!$L$2:$L$2436,MATCH($B$3&amp;"|"&amp;D213&amp;"|"&amp;B213&amp;"|"&amp;C213,'Master Data'!$A$2:$A$2436,0)),"")</f>
        <v>Slot kosong</v>
      </c>
      <c r="F213" s="67" t="str">
        <f aca="false">IFERROR(INDEX('Master Data'!$F$2:$F$2436,MATCH($B$3&amp;"|"&amp;D213&amp;"|"&amp;B213&amp;"|"&amp;C213,'Master Data'!$A$2:$A$2436,0))&amp;"","")</f>
        <v/>
      </c>
      <c r="G213" s="66" t="n">
        <f aca="false">IFERROR(INDEX('Master Data'!$G$2:$G$2436,MATCH($B$3&amp;"|"&amp;D213&amp;"|"&amp;B213&amp;"|"&amp;C213,'Master Data'!$A$2:$A$2436,0)),"")</f>
        <v>4</v>
      </c>
      <c r="H213" s="67" t="str">
        <f aca="false">IFERROR(INDEX('Master Data'!$K$2:$K$2436,MATCH($B$3&amp;"|"&amp;D213&amp;"|"&amp;B213&amp;"|"&amp;C213,'Master Data'!$A$2:$A$2436,0))&amp;"","")</f>
        <v/>
      </c>
      <c r="I213" s="67" t="s">
        <v>398</v>
      </c>
      <c r="J213" s="67" t="s">
        <v>134</v>
      </c>
      <c r="K213" s="68"/>
      <c r="L213" s="68"/>
      <c r="M213" s="68"/>
      <c r="N213" s="69"/>
      <c r="O213" s="68"/>
    </row>
    <row r="214" customFormat="false" ht="27.75" hidden="false" customHeight="true" outlineLevel="0" collapsed="false">
      <c r="A214" s="66" t="n">
        <v>123</v>
      </c>
      <c r="B214" s="67" t="s">
        <v>92</v>
      </c>
      <c r="C214" s="66" t="s">
        <v>99</v>
      </c>
      <c r="D214" s="66" t="n">
        <v>3</v>
      </c>
      <c r="E214" s="67" t="str">
        <f aca="false">IFERROR(INDEX('Master Data'!$L$2:$L$2436,MATCH($B$3&amp;"|"&amp;D214&amp;"|"&amp;B214&amp;"|"&amp;C214,'Master Data'!$A$2:$A$2436,0)),"")</f>
        <v>Belum terisi</v>
      </c>
      <c r="F214" s="67" t="str">
        <f aca="false">IFERROR(INDEX('Master Data'!$F$2:$F$2436,MATCH($B$3&amp;"|"&amp;D214&amp;"|"&amp;B214&amp;"|"&amp;C214,'Master Data'!$A$2:$A$2436,0))&amp;"","")</f>
        <v>Little</v>
      </c>
      <c r="G214" s="66" t="n">
        <f aca="false">IFERROR(INDEX('Master Data'!$G$2:$G$2436,MATCH($B$3&amp;"|"&amp;D214&amp;"|"&amp;B214&amp;"|"&amp;C214,'Master Data'!$A$2:$A$2436,0)),"")</f>
        <v>4</v>
      </c>
      <c r="H214" s="67" t="str">
        <f aca="false">IFERROR(INDEX('Master Data'!$K$2:$K$2436,MATCH($B$3&amp;"|"&amp;D214&amp;"|"&amp;B214&amp;"|"&amp;C214,'Master Data'!$A$2:$A$2436,0))&amp;"","")</f>
        <v/>
      </c>
      <c r="I214" s="67" t="s">
        <v>398</v>
      </c>
      <c r="J214" s="67" t="s">
        <v>134</v>
      </c>
      <c r="K214" s="68"/>
      <c r="L214" s="68"/>
      <c r="M214" s="68"/>
      <c r="N214" s="69"/>
      <c r="O214" s="68"/>
    </row>
    <row r="215" customFormat="false" ht="27.75" hidden="false" customHeight="true" outlineLevel="0" collapsed="false">
      <c r="A215" s="66" t="n">
        <v>124</v>
      </c>
      <c r="B215" s="67" t="s">
        <v>92</v>
      </c>
      <c r="C215" s="66" t="s">
        <v>99</v>
      </c>
      <c r="D215" s="66" t="n">
        <v>4</v>
      </c>
      <c r="E215" s="67" t="str">
        <f aca="false">IFERROR(INDEX('Master Data'!$L$2:$L$2436,MATCH($B$3&amp;"|"&amp;D215&amp;"|"&amp;B215&amp;"|"&amp;C215,'Master Data'!$A$2:$A$2436,0)),"")</f>
        <v>Belum terisi</v>
      </c>
      <c r="F215" s="67" t="str">
        <f aca="false">IFERROR(INDEX('Master Data'!$F$2:$F$2436,MATCH($B$3&amp;"|"&amp;D215&amp;"|"&amp;B215&amp;"|"&amp;C215,'Master Data'!$A$2:$A$2436,0))&amp;"","")</f>
        <v>Kids</v>
      </c>
      <c r="G215" s="66" t="n">
        <f aca="false">IFERROR(INDEX('Master Data'!$G$2:$G$2436,MATCH($B$3&amp;"|"&amp;D215&amp;"|"&amp;B215&amp;"|"&amp;C215,'Master Data'!$A$2:$A$2436,0)),"")</f>
        <v>4</v>
      </c>
      <c r="H215" s="67" t="str">
        <f aca="false">IFERROR(INDEX('Master Data'!$K$2:$K$2436,MATCH($B$3&amp;"|"&amp;D215&amp;"|"&amp;B215&amp;"|"&amp;C215,'Master Data'!$A$2:$A$2436,0))&amp;"","")</f>
        <v/>
      </c>
      <c r="I215" s="67" t="s">
        <v>398</v>
      </c>
      <c r="J215" s="67" t="s">
        <v>134</v>
      </c>
      <c r="K215" s="68"/>
      <c r="L215" s="68"/>
      <c r="M215" s="68"/>
      <c r="N215" s="69"/>
      <c r="O215" s="68"/>
    </row>
    <row r="216" customFormat="false" ht="27.75" hidden="false" customHeight="true" outlineLevel="0" collapsed="false">
      <c r="A216" s="66" t="n">
        <v>125</v>
      </c>
      <c r="B216" s="67" t="s">
        <v>92</v>
      </c>
      <c r="C216" s="66" t="s">
        <v>114</v>
      </c>
      <c r="D216" s="66" t="n">
        <v>1</v>
      </c>
      <c r="E216" s="67" t="str">
        <f aca="false">IFERROR(INDEX('Master Data'!$L$2:$L$2436,MATCH($B$3&amp;"|"&amp;D216&amp;"|"&amp;B216&amp;"|"&amp;C216,'Master Data'!$A$2:$A$2436,0)),"")</f>
        <v>Belum terisi</v>
      </c>
      <c r="F216" s="67" t="str">
        <f aca="false">IFERROR(INDEX('Master Data'!$F$2:$F$2436,MATCH($B$3&amp;"|"&amp;D216&amp;"|"&amp;B216&amp;"|"&amp;C216,'Master Data'!$A$2:$A$2436,0))&amp;"","")</f>
        <v>Baby</v>
      </c>
      <c r="G216" s="66" t="n">
        <f aca="false">IFERROR(INDEX('Master Data'!$G$2:$G$2436,MATCH($B$3&amp;"|"&amp;D216&amp;"|"&amp;B216&amp;"|"&amp;C216,'Master Data'!$A$2:$A$2436,0)),"")</f>
        <v>5</v>
      </c>
      <c r="H216" s="67" t="str">
        <f aca="false">IFERROR(INDEX('Master Data'!$K$2:$K$2436,MATCH($B$3&amp;"|"&amp;D216&amp;"|"&amp;B216&amp;"|"&amp;C216,'Master Data'!$A$2:$A$2436,0))&amp;"","")</f>
        <v/>
      </c>
      <c r="I216" s="67" t="s">
        <v>399</v>
      </c>
      <c r="J216" s="67" t="s">
        <v>134</v>
      </c>
      <c r="K216" s="68"/>
      <c r="L216" s="68"/>
      <c r="M216" s="68"/>
      <c r="N216" s="69"/>
      <c r="O216" s="68"/>
    </row>
    <row r="217" customFormat="false" ht="27.75" hidden="false" customHeight="true" outlineLevel="0" collapsed="false">
      <c r="A217" s="66" t="n">
        <v>126</v>
      </c>
      <c r="B217" s="67" t="s">
        <v>92</v>
      </c>
      <c r="C217" s="66" t="s">
        <v>114</v>
      </c>
      <c r="D217" s="66" t="n">
        <v>2</v>
      </c>
      <c r="E217" s="67" t="str">
        <f aca="false">IFERROR(INDEX('Master Data'!$L$2:$L$2436,MATCH($B$3&amp;"|"&amp;D217&amp;"|"&amp;B217&amp;"|"&amp;C217,'Master Data'!$A$2:$A$2436,0)),"")</f>
        <v>Belum terisi</v>
      </c>
      <c r="F217" s="67" t="str">
        <f aca="false">IFERROR(INDEX('Master Data'!$F$2:$F$2436,MATCH($B$3&amp;"|"&amp;D217&amp;"|"&amp;B217&amp;"|"&amp;C217,'Master Data'!$A$2:$A$2436,0))&amp;"","")</f>
        <v>Tiny</v>
      </c>
      <c r="G217" s="66" t="n">
        <f aca="false">IFERROR(INDEX('Master Data'!$G$2:$G$2436,MATCH($B$3&amp;"|"&amp;D217&amp;"|"&amp;B217&amp;"|"&amp;C217,'Master Data'!$A$2:$A$2436,0)),"")</f>
        <v>5</v>
      </c>
      <c r="H217" s="67" t="str">
        <f aca="false">IFERROR(INDEX('Master Data'!$K$2:$K$2436,MATCH($B$3&amp;"|"&amp;D217&amp;"|"&amp;B217&amp;"|"&amp;C217,'Master Data'!$A$2:$A$2436,0))&amp;"","")</f>
        <v/>
      </c>
      <c r="I217" s="67" t="s">
        <v>399</v>
      </c>
      <c r="J217" s="67" t="s">
        <v>134</v>
      </c>
      <c r="K217" s="68"/>
      <c r="L217" s="68"/>
      <c r="M217" s="68"/>
      <c r="N217" s="69"/>
      <c r="O217" s="68"/>
    </row>
    <row r="218" customFormat="false" ht="27.75" hidden="false" customHeight="true" outlineLevel="0" collapsed="false">
      <c r="A218" s="66" t="n">
        <v>127</v>
      </c>
      <c r="B218" s="67" t="s">
        <v>92</v>
      </c>
      <c r="C218" s="66" t="s">
        <v>114</v>
      </c>
      <c r="D218" s="66" t="n">
        <v>5</v>
      </c>
      <c r="E218" s="67" t="str">
        <f aca="false">IFERROR(INDEX('Master Data'!$L$2:$L$2436,MATCH($B$3&amp;"|"&amp;D218&amp;"|"&amp;B218&amp;"|"&amp;C218,'Master Data'!$A$2:$A$2436,0)),"")</f>
        <v>Slot kosong</v>
      </c>
      <c r="F218" s="67" t="str">
        <f aca="false">IFERROR(INDEX('Master Data'!$F$2:$F$2436,MATCH($B$3&amp;"|"&amp;D218&amp;"|"&amp;B218&amp;"|"&amp;C218,'Master Data'!$A$2:$A$2436,0))&amp;"","")</f>
        <v/>
      </c>
      <c r="G218" s="66" t="n">
        <f aca="false">IFERROR(INDEX('Master Data'!$G$2:$G$2436,MATCH($B$3&amp;"|"&amp;D218&amp;"|"&amp;B218&amp;"|"&amp;C218,'Master Data'!$A$2:$A$2436,0)),"")</f>
        <v>4</v>
      </c>
      <c r="H218" s="67" t="str">
        <f aca="false">IFERROR(INDEX('Master Data'!$K$2:$K$2436,MATCH($B$3&amp;"|"&amp;D218&amp;"|"&amp;B218&amp;"|"&amp;C218,'Master Data'!$A$2:$A$2436,0))&amp;"","")</f>
        <v/>
      </c>
      <c r="I218" s="67" t="s">
        <v>399</v>
      </c>
      <c r="J218" s="67" t="s">
        <v>134</v>
      </c>
      <c r="K218" s="68"/>
      <c r="L218" s="68"/>
      <c r="M218" s="68"/>
      <c r="N218" s="69"/>
      <c r="O218" s="68"/>
    </row>
    <row r="219" customFormat="false" ht="27.75" hidden="false" customHeight="true" outlineLevel="0" collapsed="false">
      <c r="A219" s="66" t="n">
        <v>128</v>
      </c>
      <c r="B219" s="67" t="s">
        <v>92</v>
      </c>
      <c r="C219" s="66" t="s">
        <v>100</v>
      </c>
      <c r="D219" s="66" t="n">
        <v>3</v>
      </c>
      <c r="E219" s="67" t="str">
        <f aca="false">IFERROR(INDEX('Master Data'!$L$2:$L$2436,MATCH($B$3&amp;"|"&amp;D219&amp;"|"&amp;B219&amp;"|"&amp;C219,'Master Data'!$A$2:$A$2436,0)),"")</f>
        <v>Belum terisi</v>
      </c>
      <c r="F219" s="67" t="str">
        <f aca="false">IFERROR(INDEX('Master Data'!$F$2:$F$2436,MATCH($B$3&amp;"|"&amp;D219&amp;"|"&amp;B219&amp;"|"&amp;C219,'Master Data'!$A$2:$A$2436,0))&amp;"","")</f>
        <v>Little</v>
      </c>
      <c r="G219" s="66" t="n">
        <f aca="false">IFERROR(INDEX('Master Data'!$G$2:$G$2436,MATCH($B$3&amp;"|"&amp;D219&amp;"|"&amp;B219&amp;"|"&amp;C219,'Master Data'!$A$2:$A$2436,0)),"")</f>
        <v>4</v>
      </c>
      <c r="H219" s="67" t="str">
        <f aca="false">IFERROR(INDEX('Master Data'!$K$2:$K$2436,MATCH($B$3&amp;"|"&amp;D219&amp;"|"&amp;B219&amp;"|"&amp;C219,'Master Data'!$A$2:$A$2436,0))&amp;"","")</f>
        <v/>
      </c>
      <c r="I219" s="67" t="s">
        <v>399</v>
      </c>
      <c r="J219" s="67" t="s">
        <v>134</v>
      </c>
      <c r="K219" s="68"/>
      <c r="L219" s="68"/>
      <c r="M219" s="68"/>
      <c r="N219" s="69"/>
      <c r="O219" s="68"/>
    </row>
    <row r="220" customFormat="false" ht="27.75" hidden="false" customHeight="true" outlineLevel="0" collapsed="false">
      <c r="A220" s="66" t="n">
        <v>129</v>
      </c>
      <c r="B220" s="67" t="s">
        <v>92</v>
      </c>
      <c r="C220" s="66" t="s">
        <v>115</v>
      </c>
      <c r="D220" s="66" t="n">
        <v>1</v>
      </c>
      <c r="E220" s="67" t="str">
        <f aca="false">IFERROR(INDEX('Master Data'!$L$2:$L$2436,MATCH($B$3&amp;"|"&amp;D220&amp;"|"&amp;B220&amp;"|"&amp;C220,'Master Data'!$A$2:$A$2436,0)),"")</f>
        <v>Belum terisi</v>
      </c>
      <c r="F220" s="67" t="str">
        <f aca="false">IFERROR(INDEX('Master Data'!$F$2:$F$2436,MATCH($B$3&amp;"|"&amp;D220&amp;"|"&amp;B220&amp;"|"&amp;C220,'Master Data'!$A$2:$A$2436,0))&amp;"","")</f>
        <v>Baby</v>
      </c>
      <c r="G220" s="66" t="n">
        <f aca="false">IFERROR(INDEX('Master Data'!$G$2:$G$2436,MATCH($B$3&amp;"|"&amp;D220&amp;"|"&amp;B220&amp;"|"&amp;C220,'Master Data'!$A$2:$A$2436,0)),"")</f>
        <v>5</v>
      </c>
      <c r="H220" s="67" t="str">
        <f aca="false">IFERROR(INDEX('Master Data'!$K$2:$K$2436,MATCH($B$3&amp;"|"&amp;D220&amp;"|"&amp;B220&amp;"|"&amp;C220,'Master Data'!$A$2:$A$2436,0))&amp;"","")</f>
        <v/>
      </c>
      <c r="I220" s="67" t="s">
        <v>399</v>
      </c>
      <c r="J220" s="67" t="s">
        <v>134</v>
      </c>
      <c r="K220" s="68"/>
      <c r="L220" s="68"/>
      <c r="M220" s="68"/>
      <c r="N220" s="69"/>
      <c r="O220" s="68"/>
    </row>
    <row r="221" customFormat="false" ht="27.75" hidden="false" customHeight="true" outlineLevel="0" collapsed="false">
      <c r="A221" s="66" t="n">
        <v>130</v>
      </c>
      <c r="B221" s="67" t="s">
        <v>92</v>
      </c>
      <c r="C221" s="66" t="s">
        <v>115</v>
      </c>
      <c r="D221" s="66" t="n">
        <v>2</v>
      </c>
      <c r="E221" s="67" t="str">
        <f aca="false">IFERROR(INDEX('Master Data'!$L$2:$L$2436,MATCH($B$3&amp;"|"&amp;D221&amp;"|"&amp;B221&amp;"|"&amp;C221,'Master Data'!$A$2:$A$2436,0)),"")</f>
        <v>Belum terisi</v>
      </c>
      <c r="F221" s="67" t="str">
        <f aca="false">IFERROR(INDEX('Master Data'!$F$2:$F$2436,MATCH($B$3&amp;"|"&amp;D221&amp;"|"&amp;B221&amp;"|"&amp;C221,'Master Data'!$A$2:$A$2436,0))&amp;"","")</f>
        <v>Tiny</v>
      </c>
      <c r="G221" s="66" t="n">
        <f aca="false">IFERROR(INDEX('Master Data'!$G$2:$G$2436,MATCH($B$3&amp;"|"&amp;D221&amp;"|"&amp;B221&amp;"|"&amp;C221,'Master Data'!$A$2:$A$2436,0)),"")</f>
        <v>5</v>
      </c>
      <c r="H221" s="67" t="str">
        <f aca="false">IFERROR(INDEX('Master Data'!$K$2:$K$2436,MATCH($B$3&amp;"|"&amp;D221&amp;"|"&amp;B221&amp;"|"&amp;C221,'Master Data'!$A$2:$A$2436,0))&amp;"","")</f>
        <v/>
      </c>
      <c r="I221" s="67" t="s">
        <v>399</v>
      </c>
      <c r="J221" s="67" t="s">
        <v>134</v>
      </c>
      <c r="K221" s="68"/>
      <c r="L221" s="68"/>
      <c r="M221" s="68"/>
      <c r="N221" s="69"/>
      <c r="O221" s="68"/>
    </row>
    <row r="222" customFormat="false" ht="27.75" hidden="false" customHeight="true" outlineLevel="0" collapsed="false">
      <c r="A222" s="66" t="n">
        <v>131</v>
      </c>
      <c r="B222" s="67" t="s">
        <v>92</v>
      </c>
      <c r="C222" s="66" t="s">
        <v>115</v>
      </c>
      <c r="D222" s="66" t="n">
        <v>5</v>
      </c>
      <c r="E222" s="67" t="str">
        <f aca="false">IFERROR(INDEX('Master Data'!$L$2:$L$2436,MATCH($B$3&amp;"|"&amp;D222&amp;"|"&amp;B222&amp;"|"&amp;C222,'Master Data'!$A$2:$A$2436,0)),"")</f>
        <v>Slot kosong</v>
      </c>
      <c r="F222" s="67" t="str">
        <f aca="false">IFERROR(INDEX('Master Data'!$F$2:$F$2436,MATCH($B$3&amp;"|"&amp;D222&amp;"|"&amp;B222&amp;"|"&amp;C222,'Master Data'!$A$2:$A$2436,0))&amp;"","")</f>
        <v/>
      </c>
      <c r="G222" s="66" t="n">
        <f aca="false">IFERROR(INDEX('Master Data'!$G$2:$G$2436,MATCH($B$3&amp;"|"&amp;D222&amp;"|"&amp;B222&amp;"|"&amp;C222,'Master Data'!$A$2:$A$2436,0)),"")</f>
        <v>4</v>
      </c>
      <c r="H222" s="67" t="str">
        <f aca="false">IFERROR(INDEX('Master Data'!$K$2:$K$2436,MATCH($B$3&amp;"|"&amp;D222&amp;"|"&amp;B222&amp;"|"&amp;C222,'Master Data'!$A$2:$A$2436,0))&amp;"","")</f>
        <v/>
      </c>
      <c r="I222" s="67" t="s">
        <v>399</v>
      </c>
      <c r="J222" s="67" t="s">
        <v>134</v>
      </c>
      <c r="K222" s="68"/>
      <c r="L222" s="68"/>
      <c r="M222" s="68"/>
      <c r="N222" s="69"/>
      <c r="O222" s="68"/>
    </row>
    <row r="223" customFormat="false" ht="40.5" hidden="false" customHeight="true" outlineLevel="0" collapsed="false">
      <c r="A223" s="66" t="n">
        <v>132</v>
      </c>
      <c r="B223" s="67" t="s">
        <v>92</v>
      </c>
      <c r="C223" s="66" t="s">
        <v>101</v>
      </c>
      <c r="D223" s="66" t="n">
        <v>3</v>
      </c>
      <c r="E223" s="67" t="str">
        <f aca="false">IFERROR(INDEX('Master Data'!$L$2:$L$2436,MATCH($B$3&amp;"|"&amp;D223&amp;"|"&amp;B223&amp;"|"&amp;C223,'Master Data'!$A$2:$A$2436,0)),"")</f>
        <v>Belum terisi</v>
      </c>
      <c r="F223" s="67" t="str">
        <f aca="false">IFERROR(INDEX('Master Data'!$F$2:$F$2436,MATCH($B$3&amp;"|"&amp;D223&amp;"|"&amp;B223&amp;"|"&amp;C223,'Master Data'!$A$2:$A$2436,0))&amp;"","")</f>
        <v>Little</v>
      </c>
      <c r="G223" s="66" t="n">
        <f aca="false">IFERROR(INDEX('Master Data'!$G$2:$G$2436,MATCH($B$3&amp;"|"&amp;D223&amp;"|"&amp;B223&amp;"|"&amp;C223,'Master Data'!$A$2:$A$2436,0)),"")</f>
        <v>4</v>
      </c>
      <c r="H223" s="67" t="str">
        <f aca="false">IFERROR(INDEX('Master Data'!$K$2:$K$2436,MATCH($B$3&amp;"|"&amp;D223&amp;"|"&amp;B223&amp;"|"&amp;C223,'Master Data'!$A$2:$A$2436,0))&amp;"","")</f>
        <v/>
      </c>
      <c r="I223" s="67" t="s">
        <v>396</v>
      </c>
      <c r="J223" s="67" t="s">
        <v>134</v>
      </c>
      <c r="K223" s="68"/>
      <c r="L223" s="68"/>
      <c r="M223" s="68"/>
      <c r="N223" s="69"/>
      <c r="O223" s="68"/>
    </row>
    <row r="224" customFormat="false" ht="40.5" hidden="false" customHeight="true" outlineLevel="0" collapsed="false">
      <c r="A224" s="66" t="n">
        <v>133</v>
      </c>
      <c r="B224" s="67" t="s">
        <v>92</v>
      </c>
      <c r="C224" s="66" t="s">
        <v>101</v>
      </c>
      <c r="D224" s="66" t="n">
        <v>4</v>
      </c>
      <c r="E224" s="67" t="str">
        <f aca="false">IFERROR(INDEX('Master Data'!$L$2:$L$2436,MATCH($B$3&amp;"|"&amp;D224&amp;"|"&amp;B224&amp;"|"&amp;C224,'Master Data'!$A$2:$A$2436,0)),"")</f>
        <v>Belum terisi</v>
      </c>
      <c r="F224" s="67" t="str">
        <f aca="false">IFERROR(INDEX('Master Data'!$F$2:$F$2436,MATCH($B$3&amp;"|"&amp;D224&amp;"|"&amp;B224&amp;"|"&amp;C224,'Master Data'!$A$2:$A$2436,0))&amp;"","")</f>
        <v>Kids</v>
      </c>
      <c r="G224" s="66" t="n">
        <f aca="false">IFERROR(INDEX('Master Data'!$G$2:$G$2436,MATCH($B$3&amp;"|"&amp;D224&amp;"|"&amp;B224&amp;"|"&amp;C224,'Master Data'!$A$2:$A$2436,0)),"")</f>
        <v>4</v>
      </c>
      <c r="H224" s="67" t="str">
        <f aca="false">IFERROR(INDEX('Master Data'!$K$2:$K$2436,MATCH($B$3&amp;"|"&amp;D224&amp;"|"&amp;B224&amp;"|"&amp;C224,'Master Data'!$A$2:$A$2436,0))&amp;"","")</f>
        <v/>
      </c>
      <c r="I224" s="67" t="s">
        <v>396</v>
      </c>
      <c r="J224" s="67" t="s">
        <v>134</v>
      </c>
      <c r="K224" s="68"/>
      <c r="L224" s="68"/>
      <c r="M224" s="68"/>
      <c r="N224" s="69"/>
      <c r="O224" s="68"/>
    </row>
    <row r="225" customFormat="false" ht="27.75" hidden="false" customHeight="true" outlineLevel="0" collapsed="false">
      <c r="A225" s="66" t="n">
        <v>134</v>
      </c>
      <c r="B225" s="67" t="s">
        <v>92</v>
      </c>
      <c r="C225" s="66" t="s">
        <v>116</v>
      </c>
      <c r="D225" s="66" t="n">
        <v>1</v>
      </c>
      <c r="E225" s="67" t="str">
        <f aca="false">IFERROR(INDEX('Master Data'!$L$2:$L$2436,MATCH($B$3&amp;"|"&amp;D225&amp;"|"&amp;B225&amp;"|"&amp;C225,'Master Data'!$A$2:$A$2436,0)),"")</f>
        <v>Belum terisi</v>
      </c>
      <c r="F225" s="67" t="str">
        <f aca="false">IFERROR(INDEX('Master Data'!$F$2:$F$2436,MATCH($B$3&amp;"|"&amp;D225&amp;"|"&amp;B225&amp;"|"&amp;C225,'Master Data'!$A$2:$A$2436,0))&amp;"","")</f>
        <v>Baby</v>
      </c>
      <c r="G225" s="66" t="n">
        <f aca="false">IFERROR(INDEX('Master Data'!$G$2:$G$2436,MATCH($B$3&amp;"|"&amp;D225&amp;"|"&amp;B225&amp;"|"&amp;C225,'Master Data'!$A$2:$A$2436,0)),"")</f>
        <v>5</v>
      </c>
      <c r="H225" s="67" t="str">
        <f aca="false">IFERROR(INDEX('Master Data'!$K$2:$K$2436,MATCH($B$3&amp;"|"&amp;D225&amp;"|"&amp;B225&amp;"|"&amp;C225,'Master Data'!$A$2:$A$2436,0))&amp;"","")</f>
        <v/>
      </c>
      <c r="I225" s="67" t="s">
        <v>399</v>
      </c>
      <c r="J225" s="67" t="s">
        <v>134</v>
      </c>
      <c r="K225" s="68"/>
      <c r="L225" s="68"/>
      <c r="M225" s="68"/>
      <c r="N225" s="69"/>
      <c r="O225" s="68"/>
    </row>
    <row r="226" customFormat="false" ht="27.75" hidden="false" customHeight="true" outlineLevel="0" collapsed="false">
      <c r="A226" s="66" t="n">
        <v>135</v>
      </c>
      <c r="B226" s="67" t="s">
        <v>92</v>
      </c>
      <c r="C226" s="66" t="s">
        <v>116</v>
      </c>
      <c r="D226" s="66" t="n">
        <v>2</v>
      </c>
      <c r="E226" s="67" t="str">
        <f aca="false">IFERROR(INDEX('Master Data'!$L$2:$L$2436,MATCH($B$3&amp;"|"&amp;D226&amp;"|"&amp;B226&amp;"|"&amp;C226,'Master Data'!$A$2:$A$2436,0)),"")</f>
        <v>Belum terisi</v>
      </c>
      <c r="F226" s="67" t="str">
        <f aca="false">IFERROR(INDEX('Master Data'!$F$2:$F$2436,MATCH($B$3&amp;"|"&amp;D226&amp;"|"&amp;B226&amp;"|"&amp;C226,'Master Data'!$A$2:$A$2436,0))&amp;"","")</f>
        <v>Tiny</v>
      </c>
      <c r="G226" s="66" t="n">
        <f aca="false">IFERROR(INDEX('Master Data'!$G$2:$G$2436,MATCH($B$3&amp;"|"&amp;D226&amp;"|"&amp;B226&amp;"|"&amp;C226,'Master Data'!$A$2:$A$2436,0)),"")</f>
        <v>5</v>
      </c>
      <c r="H226" s="67" t="str">
        <f aca="false">IFERROR(INDEX('Master Data'!$K$2:$K$2436,MATCH($B$3&amp;"|"&amp;D226&amp;"|"&amp;B226&amp;"|"&amp;C226,'Master Data'!$A$2:$A$2436,0))&amp;"","")</f>
        <v/>
      </c>
      <c r="I226" s="67" t="s">
        <v>399</v>
      </c>
      <c r="J226" s="67" t="s">
        <v>134</v>
      </c>
      <c r="K226" s="68"/>
      <c r="L226" s="68"/>
      <c r="M226" s="68"/>
      <c r="N226" s="69"/>
      <c r="O226" s="68"/>
    </row>
    <row r="227" customFormat="false" ht="27.75" hidden="false" customHeight="true" outlineLevel="0" collapsed="false">
      <c r="A227" s="66" t="n">
        <v>136</v>
      </c>
      <c r="B227" s="67" t="s">
        <v>92</v>
      </c>
      <c r="C227" s="66" t="s">
        <v>116</v>
      </c>
      <c r="D227" s="66" t="n">
        <v>5</v>
      </c>
      <c r="E227" s="67" t="str">
        <f aca="false">IFERROR(INDEX('Master Data'!$L$2:$L$2436,MATCH($B$3&amp;"|"&amp;D227&amp;"|"&amp;B227&amp;"|"&amp;C227,'Master Data'!$A$2:$A$2436,0)),"")</f>
        <v>Slot kosong</v>
      </c>
      <c r="F227" s="67" t="str">
        <f aca="false">IFERROR(INDEX('Master Data'!$F$2:$F$2436,MATCH($B$3&amp;"|"&amp;D227&amp;"|"&amp;B227&amp;"|"&amp;C227,'Master Data'!$A$2:$A$2436,0))&amp;"","")</f>
        <v/>
      </c>
      <c r="G227" s="66" t="n">
        <f aca="false">IFERROR(INDEX('Master Data'!$G$2:$G$2436,MATCH($B$3&amp;"|"&amp;D227&amp;"|"&amp;B227&amp;"|"&amp;C227,'Master Data'!$A$2:$A$2436,0)),"")</f>
        <v>4</v>
      </c>
      <c r="H227" s="67" t="str">
        <f aca="false">IFERROR(INDEX('Master Data'!$K$2:$K$2436,MATCH($B$3&amp;"|"&amp;D227&amp;"|"&amp;B227&amp;"|"&amp;C227,'Master Data'!$A$2:$A$2436,0))&amp;"","")</f>
        <v/>
      </c>
      <c r="I227" s="67" t="s">
        <v>399</v>
      </c>
      <c r="J227" s="67" t="s">
        <v>134</v>
      </c>
      <c r="K227" s="68"/>
      <c r="L227" s="68"/>
      <c r="M227" s="68"/>
      <c r="N227" s="69"/>
      <c r="O227" s="68"/>
    </row>
    <row r="228" customFormat="false" ht="27.75" hidden="false" customHeight="true" outlineLevel="0" collapsed="false">
      <c r="A228" s="66" t="n">
        <v>137</v>
      </c>
      <c r="B228" s="67" t="s">
        <v>92</v>
      </c>
      <c r="C228" s="66" t="s">
        <v>102</v>
      </c>
      <c r="D228" s="66" t="n">
        <v>4</v>
      </c>
      <c r="E228" s="67" t="str">
        <f aca="false">IFERROR(INDEX('Master Data'!$L$2:$L$2436,MATCH($B$3&amp;"|"&amp;D228&amp;"|"&amp;B228&amp;"|"&amp;C228,'Master Data'!$A$2:$A$2436,0)),"")</f>
        <v>Belum terisi</v>
      </c>
      <c r="F228" s="67" t="str">
        <f aca="false">IFERROR(INDEX('Master Data'!$F$2:$F$2436,MATCH($B$3&amp;"|"&amp;D228&amp;"|"&amp;B228&amp;"|"&amp;C228,'Master Data'!$A$2:$A$2436,0))&amp;"","")</f>
        <v>Kids</v>
      </c>
      <c r="G228" s="66" t="n">
        <f aca="false">IFERROR(INDEX('Master Data'!$G$2:$G$2436,MATCH($B$3&amp;"|"&amp;D228&amp;"|"&amp;B228&amp;"|"&amp;C228,'Master Data'!$A$2:$A$2436,0)),"")</f>
        <v>4</v>
      </c>
      <c r="H228" s="67" t="str">
        <f aca="false">IFERROR(INDEX('Master Data'!$K$2:$K$2436,MATCH($B$3&amp;"|"&amp;D228&amp;"|"&amp;B228&amp;"|"&amp;C228,'Master Data'!$A$2:$A$2436,0))&amp;"","")</f>
        <v/>
      </c>
      <c r="I228" s="67" t="s">
        <v>399</v>
      </c>
      <c r="J228" s="67" t="s">
        <v>134</v>
      </c>
      <c r="K228" s="68"/>
      <c r="L228" s="68"/>
      <c r="M228" s="68"/>
      <c r="N228" s="69"/>
      <c r="O228" s="68"/>
    </row>
    <row r="229" customFormat="false" ht="27.75" hidden="false" customHeight="true" outlineLevel="0" collapsed="false">
      <c r="A229" s="66" t="n">
        <v>138</v>
      </c>
      <c r="B229" s="67" t="s">
        <v>92</v>
      </c>
      <c r="C229" s="66" t="s">
        <v>117</v>
      </c>
      <c r="D229" s="66" t="n">
        <v>1</v>
      </c>
      <c r="E229" s="67" t="str">
        <f aca="false">IFERROR(INDEX('Master Data'!$L$2:$L$2436,MATCH($B$3&amp;"|"&amp;D229&amp;"|"&amp;B229&amp;"|"&amp;C229,'Master Data'!$A$2:$A$2436,0)),"")</f>
        <v>Belum terisi</v>
      </c>
      <c r="F229" s="67" t="str">
        <f aca="false">IFERROR(INDEX('Master Data'!$F$2:$F$2436,MATCH($B$3&amp;"|"&amp;D229&amp;"|"&amp;B229&amp;"|"&amp;C229,'Master Data'!$A$2:$A$2436,0))&amp;"","")</f>
        <v>Baby</v>
      </c>
      <c r="G229" s="66" t="n">
        <f aca="false">IFERROR(INDEX('Master Data'!$G$2:$G$2436,MATCH($B$3&amp;"|"&amp;D229&amp;"|"&amp;B229&amp;"|"&amp;C229,'Master Data'!$A$2:$A$2436,0)),"")</f>
        <v>5</v>
      </c>
      <c r="H229" s="67" t="str">
        <f aca="false">IFERROR(INDEX('Master Data'!$K$2:$K$2436,MATCH($B$3&amp;"|"&amp;D229&amp;"|"&amp;B229&amp;"|"&amp;C229,'Master Data'!$A$2:$A$2436,0))&amp;"","")</f>
        <v/>
      </c>
      <c r="I229" s="67" t="s">
        <v>399</v>
      </c>
      <c r="J229" s="67" t="s">
        <v>134</v>
      </c>
      <c r="K229" s="68"/>
      <c r="L229" s="68"/>
      <c r="M229" s="68"/>
      <c r="N229" s="69"/>
      <c r="O229" s="68"/>
    </row>
    <row r="230" customFormat="false" ht="27.75" hidden="false" customHeight="true" outlineLevel="0" collapsed="false">
      <c r="A230" s="66" t="n">
        <v>139</v>
      </c>
      <c r="B230" s="67" t="s">
        <v>92</v>
      </c>
      <c r="C230" s="66" t="s">
        <v>117</v>
      </c>
      <c r="D230" s="66" t="n">
        <v>2</v>
      </c>
      <c r="E230" s="67" t="str">
        <f aca="false">IFERROR(INDEX('Master Data'!$L$2:$L$2436,MATCH($B$3&amp;"|"&amp;D230&amp;"|"&amp;B230&amp;"|"&amp;C230,'Master Data'!$A$2:$A$2436,0)),"")</f>
        <v>Belum terisi</v>
      </c>
      <c r="F230" s="67" t="str">
        <f aca="false">IFERROR(INDEX('Master Data'!$F$2:$F$2436,MATCH($B$3&amp;"|"&amp;D230&amp;"|"&amp;B230&amp;"|"&amp;C230,'Master Data'!$A$2:$A$2436,0))&amp;"","")</f>
        <v>Tiny</v>
      </c>
      <c r="G230" s="66" t="n">
        <f aca="false">IFERROR(INDEX('Master Data'!$G$2:$G$2436,MATCH($B$3&amp;"|"&amp;D230&amp;"|"&amp;B230&amp;"|"&amp;C230,'Master Data'!$A$2:$A$2436,0)),"")</f>
        <v>5</v>
      </c>
      <c r="H230" s="67" t="str">
        <f aca="false">IFERROR(INDEX('Master Data'!$K$2:$K$2436,MATCH($B$3&amp;"|"&amp;D230&amp;"|"&amp;B230&amp;"|"&amp;C230,'Master Data'!$A$2:$A$2436,0))&amp;"","")</f>
        <v/>
      </c>
      <c r="I230" s="67" t="s">
        <v>399</v>
      </c>
      <c r="J230" s="67" t="s">
        <v>134</v>
      </c>
      <c r="K230" s="68"/>
      <c r="L230" s="68"/>
      <c r="M230" s="68"/>
      <c r="N230" s="69"/>
      <c r="O230" s="68"/>
    </row>
    <row r="231" customFormat="false" ht="27.75" hidden="false" customHeight="true" outlineLevel="0" collapsed="false">
      <c r="A231" s="66" t="n">
        <v>140</v>
      </c>
      <c r="B231" s="67" t="s">
        <v>92</v>
      </c>
      <c r="C231" s="66" t="s">
        <v>117</v>
      </c>
      <c r="D231" s="66" t="n">
        <v>5</v>
      </c>
      <c r="E231" s="67" t="str">
        <f aca="false">IFERROR(INDEX('Master Data'!$L$2:$L$2436,MATCH($B$3&amp;"|"&amp;D231&amp;"|"&amp;B231&amp;"|"&amp;C231,'Master Data'!$A$2:$A$2436,0)),"")</f>
        <v>Slot kosong</v>
      </c>
      <c r="F231" s="67" t="str">
        <f aca="false">IFERROR(INDEX('Master Data'!$F$2:$F$2436,MATCH($B$3&amp;"|"&amp;D231&amp;"|"&amp;B231&amp;"|"&amp;C231,'Master Data'!$A$2:$A$2436,0))&amp;"","")</f>
        <v/>
      </c>
      <c r="G231" s="66" t="n">
        <f aca="false">IFERROR(INDEX('Master Data'!$G$2:$G$2436,MATCH($B$3&amp;"|"&amp;D231&amp;"|"&amp;B231&amp;"|"&amp;C231,'Master Data'!$A$2:$A$2436,0)),"")</f>
        <v>4</v>
      </c>
      <c r="H231" s="67" t="str">
        <f aca="false">IFERROR(INDEX('Master Data'!$K$2:$K$2436,MATCH($B$3&amp;"|"&amp;D231&amp;"|"&amp;B231&amp;"|"&amp;C231,'Master Data'!$A$2:$A$2436,0))&amp;"","")</f>
        <v/>
      </c>
      <c r="I231" s="67" t="s">
        <v>399</v>
      </c>
      <c r="J231" s="67" t="s">
        <v>134</v>
      </c>
      <c r="K231" s="68"/>
      <c r="L231" s="68"/>
      <c r="M231" s="68"/>
      <c r="N231" s="69"/>
      <c r="O231" s="68"/>
    </row>
    <row r="232" customFormat="false" ht="40.5" hidden="false" customHeight="true" outlineLevel="0" collapsed="false">
      <c r="A232" s="66" t="n">
        <v>141</v>
      </c>
      <c r="B232" s="67" t="s">
        <v>92</v>
      </c>
      <c r="C232" s="66" t="s">
        <v>103</v>
      </c>
      <c r="D232" s="66" t="n">
        <v>3</v>
      </c>
      <c r="E232" s="67" t="str">
        <f aca="false">IFERROR(INDEX('Master Data'!$L$2:$L$2436,MATCH($B$3&amp;"|"&amp;D232&amp;"|"&amp;B232&amp;"|"&amp;C232,'Master Data'!$A$2:$A$2436,0)),"")</f>
        <v>Belum terisi</v>
      </c>
      <c r="F232" s="67" t="str">
        <f aca="false">IFERROR(INDEX('Master Data'!$F$2:$F$2436,MATCH($B$3&amp;"|"&amp;D232&amp;"|"&amp;B232&amp;"|"&amp;C232,'Master Data'!$A$2:$A$2436,0))&amp;"","")</f>
        <v>Little</v>
      </c>
      <c r="G232" s="66" t="n">
        <f aca="false">IFERROR(INDEX('Master Data'!$G$2:$G$2436,MATCH($B$3&amp;"|"&amp;D232&amp;"|"&amp;B232&amp;"|"&amp;C232,'Master Data'!$A$2:$A$2436,0)),"")</f>
        <v>4</v>
      </c>
      <c r="H232" s="67" t="str">
        <f aca="false">IFERROR(INDEX('Master Data'!$K$2:$K$2436,MATCH($B$3&amp;"|"&amp;D232&amp;"|"&amp;B232&amp;"|"&amp;C232,'Master Data'!$A$2:$A$2436,0))&amp;"","")</f>
        <v/>
      </c>
      <c r="I232" s="67" t="s">
        <v>396</v>
      </c>
      <c r="J232" s="67" t="s">
        <v>134</v>
      </c>
      <c r="K232" s="68"/>
      <c r="L232" s="68"/>
      <c r="M232" s="68"/>
      <c r="N232" s="69"/>
      <c r="O232" s="68"/>
    </row>
    <row r="233" customFormat="false" ht="40.5" hidden="false" customHeight="true" outlineLevel="0" collapsed="false">
      <c r="A233" s="66" t="n">
        <v>142</v>
      </c>
      <c r="B233" s="67" t="s">
        <v>92</v>
      </c>
      <c r="C233" s="66" t="s">
        <v>103</v>
      </c>
      <c r="D233" s="66" t="n">
        <v>4</v>
      </c>
      <c r="E233" s="67" t="str">
        <f aca="false">IFERROR(INDEX('Master Data'!$L$2:$L$2436,MATCH($B$3&amp;"|"&amp;D233&amp;"|"&amp;B233&amp;"|"&amp;C233,'Master Data'!$A$2:$A$2436,0)),"")</f>
        <v>Belum terisi</v>
      </c>
      <c r="F233" s="67" t="str">
        <f aca="false">IFERROR(INDEX('Master Data'!$F$2:$F$2436,MATCH($B$3&amp;"|"&amp;D233&amp;"|"&amp;B233&amp;"|"&amp;C233,'Master Data'!$A$2:$A$2436,0))&amp;"","")</f>
        <v>Kids</v>
      </c>
      <c r="G233" s="66" t="n">
        <f aca="false">IFERROR(INDEX('Master Data'!$G$2:$G$2436,MATCH($B$3&amp;"|"&amp;D233&amp;"|"&amp;B233&amp;"|"&amp;C233,'Master Data'!$A$2:$A$2436,0)),"")</f>
        <v>4</v>
      </c>
      <c r="H233" s="67" t="str">
        <f aca="false">IFERROR(INDEX('Master Data'!$K$2:$K$2436,MATCH($B$3&amp;"|"&amp;D233&amp;"|"&amp;B233&amp;"|"&amp;C233,'Master Data'!$A$2:$A$2436,0))&amp;"","")</f>
        <v/>
      </c>
      <c r="I233" s="67" t="s">
        <v>396</v>
      </c>
      <c r="J233" s="67" t="s">
        <v>134</v>
      </c>
      <c r="K233" s="68"/>
      <c r="L233" s="68"/>
      <c r="M233" s="68"/>
      <c r="N233" s="69"/>
      <c r="O233" s="68"/>
    </row>
    <row r="234" customFormat="false" ht="27.75" hidden="false" customHeight="true" outlineLevel="0" collapsed="false">
      <c r="A234" s="66" t="n">
        <v>143</v>
      </c>
      <c r="B234" s="67" t="s">
        <v>92</v>
      </c>
      <c r="C234" s="66" t="s">
        <v>118</v>
      </c>
      <c r="D234" s="66" t="n">
        <v>1</v>
      </c>
      <c r="E234" s="67" t="str">
        <f aca="false">IFERROR(INDEX('Master Data'!$L$2:$L$2436,MATCH($B$3&amp;"|"&amp;D234&amp;"|"&amp;B234&amp;"|"&amp;C234,'Master Data'!$A$2:$A$2436,0)),"")</f>
        <v>Belum terisi</v>
      </c>
      <c r="F234" s="67" t="str">
        <f aca="false">IFERROR(INDEX('Master Data'!$F$2:$F$2436,MATCH($B$3&amp;"|"&amp;D234&amp;"|"&amp;B234&amp;"|"&amp;C234,'Master Data'!$A$2:$A$2436,0))&amp;"","")</f>
        <v>Baby</v>
      </c>
      <c r="G234" s="66" t="n">
        <f aca="false">IFERROR(INDEX('Master Data'!$G$2:$G$2436,MATCH($B$3&amp;"|"&amp;D234&amp;"|"&amp;B234&amp;"|"&amp;C234,'Master Data'!$A$2:$A$2436,0)),"")</f>
        <v>5</v>
      </c>
      <c r="H234" s="67" t="str">
        <f aca="false">IFERROR(INDEX('Master Data'!$K$2:$K$2436,MATCH($B$3&amp;"|"&amp;D234&amp;"|"&amp;B234&amp;"|"&amp;C234,'Master Data'!$A$2:$A$2436,0))&amp;"","")</f>
        <v/>
      </c>
      <c r="I234" s="67" t="s">
        <v>400</v>
      </c>
      <c r="J234" s="67" t="s">
        <v>134</v>
      </c>
      <c r="K234" s="68"/>
      <c r="L234" s="68"/>
      <c r="M234" s="68"/>
      <c r="N234" s="69"/>
      <c r="O234" s="68"/>
    </row>
    <row r="235" customFormat="false" ht="27.75" hidden="false" customHeight="true" outlineLevel="0" collapsed="false">
      <c r="A235" s="66" t="n">
        <v>144</v>
      </c>
      <c r="B235" s="67" t="s">
        <v>92</v>
      </c>
      <c r="C235" s="66" t="s">
        <v>118</v>
      </c>
      <c r="D235" s="66" t="n">
        <v>2</v>
      </c>
      <c r="E235" s="67" t="str">
        <f aca="false">IFERROR(INDEX('Master Data'!$L$2:$L$2436,MATCH($B$3&amp;"|"&amp;D235&amp;"|"&amp;B235&amp;"|"&amp;C235,'Master Data'!$A$2:$A$2436,0)),"")</f>
        <v>Belum terisi</v>
      </c>
      <c r="F235" s="67" t="str">
        <f aca="false">IFERROR(INDEX('Master Data'!$F$2:$F$2436,MATCH($B$3&amp;"|"&amp;D235&amp;"|"&amp;B235&amp;"|"&amp;C235,'Master Data'!$A$2:$A$2436,0))&amp;"","")</f>
        <v>Tiny</v>
      </c>
      <c r="G235" s="66" t="n">
        <f aca="false">IFERROR(INDEX('Master Data'!$G$2:$G$2436,MATCH($B$3&amp;"|"&amp;D235&amp;"|"&amp;B235&amp;"|"&amp;C235,'Master Data'!$A$2:$A$2436,0)),"")</f>
        <v>5</v>
      </c>
      <c r="H235" s="67" t="str">
        <f aca="false">IFERROR(INDEX('Master Data'!$K$2:$K$2436,MATCH($B$3&amp;"|"&amp;D235&amp;"|"&amp;B235&amp;"|"&amp;C235,'Master Data'!$A$2:$A$2436,0))&amp;"","")</f>
        <v/>
      </c>
      <c r="I235" s="67" t="s">
        <v>400</v>
      </c>
      <c r="J235" s="67" t="s">
        <v>134</v>
      </c>
      <c r="K235" s="68"/>
      <c r="L235" s="68"/>
      <c r="M235" s="68"/>
      <c r="N235" s="69"/>
      <c r="O235" s="68"/>
    </row>
    <row r="236" customFormat="false" ht="27.75" hidden="false" customHeight="true" outlineLevel="0" collapsed="false">
      <c r="A236" s="66" t="n">
        <v>145</v>
      </c>
      <c r="B236" s="67" t="s">
        <v>92</v>
      </c>
      <c r="C236" s="66" t="s">
        <v>118</v>
      </c>
      <c r="D236" s="66" t="n">
        <v>5</v>
      </c>
      <c r="E236" s="67" t="str">
        <f aca="false">IFERROR(INDEX('Master Data'!$L$2:$L$2436,MATCH($B$3&amp;"|"&amp;D236&amp;"|"&amp;B236&amp;"|"&amp;C236,'Master Data'!$A$2:$A$2436,0)),"")</f>
        <v>Slot kosong</v>
      </c>
      <c r="F236" s="67" t="str">
        <f aca="false">IFERROR(INDEX('Master Data'!$F$2:$F$2436,MATCH($B$3&amp;"|"&amp;D236&amp;"|"&amp;B236&amp;"|"&amp;C236,'Master Data'!$A$2:$A$2436,0))&amp;"","")</f>
        <v/>
      </c>
      <c r="G236" s="66" t="n">
        <f aca="false">IFERROR(INDEX('Master Data'!$G$2:$G$2436,MATCH($B$3&amp;"|"&amp;D236&amp;"|"&amp;B236&amp;"|"&amp;C236,'Master Data'!$A$2:$A$2436,0)),"")</f>
        <v>4</v>
      </c>
      <c r="H236" s="67" t="str">
        <f aca="false">IFERROR(INDEX('Master Data'!$K$2:$K$2436,MATCH($B$3&amp;"|"&amp;D236&amp;"|"&amp;B236&amp;"|"&amp;C236,'Master Data'!$A$2:$A$2436,0))&amp;"","")</f>
        <v/>
      </c>
      <c r="I236" s="67" t="s">
        <v>400</v>
      </c>
      <c r="J236" s="67" t="s">
        <v>134</v>
      </c>
      <c r="K236" s="68"/>
      <c r="L236" s="68"/>
      <c r="M236" s="68"/>
      <c r="N236" s="69"/>
      <c r="O236" s="68"/>
    </row>
    <row r="237" customFormat="false" ht="15.75" hidden="false" customHeight="true" outlineLevel="0" collapsed="false">
      <c r="A237" s="66" t="n">
        <v>146</v>
      </c>
      <c r="B237" s="67" t="s">
        <v>92</v>
      </c>
      <c r="C237" s="66" t="s">
        <v>119</v>
      </c>
      <c r="D237" s="66" t="n">
        <v>1</v>
      </c>
      <c r="E237" s="67" t="str">
        <f aca="false">IFERROR(INDEX('Master Data'!$L$2:$L$2436,MATCH($B$3&amp;"|"&amp;D237&amp;"|"&amp;B237&amp;"|"&amp;C237,'Master Data'!$A$2:$A$2436,0)),"")</f>
        <v>Belum terisi</v>
      </c>
      <c r="F237" s="67" t="str">
        <f aca="false">IFERROR(INDEX('Master Data'!$F$2:$F$2436,MATCH($B$3&amp;"|"&amp;D237&amp;"|"&amp;B237&amp;"|"&amp;C237,'Master Data'!$A$2:$A$2436,0))&amp;"","")</f>
        <v>Baby</v>
      </c>
      <c r="G237" s="66" t="n">
        <f aca="false">IFERROR(INDEX('Master Data'!$G$2:$G$2436,MATCH($B$3&amp;"|"&amp;D237&amp;"|"&amp;B237&amp;"|"&amp;C237,'Master Data'!$A$2:$A$2436,0)),"")</f>
        <v>5</v>
      </c>
      <c r="H237" s="67" t="str">
        <f aca="false">IFERROR(INDEX('Master Data'!$K$2:$K$2436,MATCH($B$3&amp;"|"&amp;D237&amp;"|"&amp;B237&amp;"|"&amp;C237,'Master Data'!$A$2:$A$2436,0))&amp;"","")</f>
        <v/>
      </c>
      <c r="I237" s="67" t="s">
        <v>394</v>
      </c>
      <c r="J237" s="67" t="s">
        <v>134</v>
      </c>
      <c r="K237" s="68"/>
      <c r="L237" s="68"/>
      <c r="M237" s="68"/>
      <c r="N237" s="69"/>
      <c r="O237" s="68"/>
    </row>
    <row r="238" customFormat="false" ht="15.75" hidden="false" customHeight="true" outlineLevel="0" collapsed="false">
      <c r="A238" s="66" t="n">
        <v>147</v>
      </c>
      <c r="B238" s="67" t="s">
        <v>92</v>
      </c>
      <c r="C238" s="66" t="s">
        <v>119</v>
      </c>
      <c r="D238" s="66" t="n">
        <v>2</v>
      </c>
      <c r="E238" s="67" t="str">
        <f aca="false">IFERROR(INDEX('Master Data'!$L$2:$L$2436,MATCH($B$3&amp;"|"&amp;D238&amp;"|"&amp;B238&amp;"|"&amp;C238,'Master Data'!$A$2:$A$2436,0)),"")</f>
        <v>Belum terisi</v>
      </c>
      <c r="F238" s="67" t="str">
        <f aca="false">IFERROR(INDEX('Master Data'!$F$2:$F$2436,MATCH($B$3&amp;"|"&amp;D238&amp;"|"&amp;B238&amp;"|"&amp;C238,'Master Data'!$A$2:$A$2436,0))&amp;"","")</f>
        <v>Tiny</v>
      </c>
      <c r="G238" s="66" t="n">
        <f aca="false">IFERROR(INDEX('Master Data'!$G$2:$G$2436,MATCH($B$3&amp;"|"&amp;D238&amp;"|"&amp;B238&amp;"|"&amp;C238,'Master Data'!$A$2:$A$2436,0)),"")</f>
        <v>5</v>
      </c>
      <c r="H238" s="67" t="str">
        <f aca="false">IFERROR(INDEX('Master Data'!$K$2:$K$2436,MATCH($B$3&amp;"|"&amp;D238&amp;"|"&amp;B238&amp;"|"&amp;C238,'Master Data'!$A$2:$A$2436,0))&amp;"","")</f>
        <v/>
      </c>
      <c r="I238" s="67" t="s">
        <v>394</v>
      </c>
      <c r="J238" s="67" t="s">
        <v>134</v>
      </c>
      <c r="K238" s="68"/>
      <c r="L238" s="68"/>
      <c r="M238" s="68"/>
      <c r="N238" s="69"/>
      <c r="O238" s="68"/>
    </row>
    <row r="239" customFormat="false" ht="15.75" hidden="false" customHeight="true" outlineLevel="0" collapsed="false">
      <c r="A239" s="66" t="n">
        <v>148</v>
      </c>
      <c r="B239" s="67" t="s">
        <v>92</v>
      </c>
      <c r="C239" s="66" t="s">
        <v>119</v>
      </c>
      <c r="D239" s="66" t="n">
        <v>5</v>
      </c>
      <c r="E239" s="67" t="str">
        <f aca="false">IFERROR(INDEX('Master Data'!$L$2:$L$2436,MATCH($B$3&amp;"|"&amp;D239&amp;"|"&amp;B239&amp;"|"&amp;C239,'Master Data'!$A$2:$A$2436,0)),"")</f>
        <v>Slot kosong</v>
      </c>
      <c r="F239" s="67" t="str">
        <f aca="false">IFERROR(INDEX('Master Data'!$F$2:$F$2436,MATCH($B$3&amp;"|"&amp;D239&amp;"|"&amp;B239&amp;"|"&amp;C239,'Master Data'!$A$2:$A$2436,0))&amp;"","")</f>
        <v/>
      </c>
      <c r="G239" s="66" t="n">
        <f aca="false">IFERROR(INDEX('Master Data'!$G$2:$G$2436,MATCH($B$3&amp;"|"&amp;D239&amp;"|"&amp;B239&amp;"|"&amp;C239,'Master Data'!$A$2:$A$2436,0)),"")</f>
        <v>4</v>
      </c>
      <c r="H239" s="67" t="str">
        <f aca="false">IFERROR(INDEX('Master Data'!$K$2:$K$2436,MATCH($B$3&amp;"|"&amp;D239&amp;"|"&amp;B239&amp;"|"&amp;C239,'Master Data'!$A$2:$A$2436,0))&amp;"","")</f>
        <v/>
      </c>
      <c r="I239" s="67" t="s">
        <v>394</v>
      </c>
      <c r="J239" s="67" t="s">
        <v>134</v>
      </c>
      <c r="K239" s="68"/>
      <c r="L239" s="68"/>
      <c r="M239" s="68"/>
      <c r="N239" s="69"/>
      <c r="O239" s="68"/>
    </row>
    <row r="240" customFormat="false" ht="27.75" hidden="false" customHeight="true" outlineLevel="0" collapsed="false">
      <c r="A240" s="66" t="n">
        <v>149</v>
      </c>
      <c r="B240" s="67" t="s">
        <v>92</v>
      </c>
      <c r="C240" s="66" t="s">
        <v>105</v>
      </c>
      <c r="D240" s="66" t="n">
        <v>4</v>
      </c>
      <c r="E240" s="67" t="str">
        <f aca="false">IFERROR(INDEX('Master Data'!$L$2:$L$2436,MATCH($B$3&amp;"|"&amp;D240&amp;"|"&amp;B240&amp;"|"&amp;C240,'Master Data'!$A$2:$A$2436,0)),"")</f>
        <v>Belum terisi</v>
      </c>
      <c r="F240" s="67" t="str">
        <f aca="false">IFERROR(INDEX('Master Data'!$F$2:$F$2436,MATCH($B$3&amp;"|"&amp;D240&amp;"|"&amp;B240&amp;"|"&amp;C240,'Master Data'!$A$2:$A$2436,0))&amp;"","")</f>
        <v>Kids</v>
      </c>
      <c r="G240" s="66" t="n">
        <f aca="false">IFERROR(INDEX('Master Data'!$G$2:$G$2436,MATCH($B$3&amp;"|"&amp;D240&amp;"|"&amp;B240&amp;"|"&amp;C240,'Master Data'!$A$2:$A$2436,0)),"")</f>
        <v>4</v>
      </c>
      <c r="H240" s="67" t="str">
        <f aca="false">IFERROR(INDEX('Master Data'!$K$2:$K$2436,MATCH($B$3&amp;"|"&amp;D240&amp;"|"&amp;B240&amp;"|"&amp;C240,'Master Data'!$A$2:$A$2436,0))&amp;"","")</f>
        <v/>
      </c>
      <c r="I240" s="67" t="s">
        <v>398</v>
      </c>
      <c r="J240" s="67" t="s">
        <v>134</v>
      </c>
      <c r="K240" s="68"/>
      <c r="L240" s="68"/>
      <c r="M240" s="68"/>
      <c r="N240" s="69"/>
      <c r="O240" s="68"/>
    </row>
    <row r="241" customFormat="false" ht="27.75" hidden="false" customHeight="true" outlineLevel="0" collapsed="false">
      <c r="A241" s="66" t="n">
        <v>150</v>
      </c>
      <c r="B241" s="67" t="s">
        <v>92</v>
      </c>
      <c r="C241" s="66" t="s">
        <v>120</v>
      </c>
      <c r="D241" s="66" t="n">
        <v>1</v>
      </c>
      <c r="E241" s="67" t="str">
        <f aca="false">IFERROR(INDEX('Master Data'!$L$2:$L$2436,MATCH($B$3&amp;"|"&amp;D241&amp;"|"&amp;B241&amp;"|"&amp;C241,'Master Data'!$A$2:$A$2436,0)),"")</f>
        <v>Belum terisi</v>
      </c>
      <c r="F241" s="67" t="str">
        <f aca="false">IFERROR(INDEX('Master Data'!$F$2:$F$2436,MATCH($B$3&amp;"|"&amp;D241&amp;"|"&amp;B241&amp;"|"&amp;C241,'Master Data'!$A$2:$A$2436,0))&amp;"","")</f>
        <v>Baby</v>
      </c>
      <c r="G241" s="66" t="n">
        <f aca="false">IFERROR(INDEX('Master Data'!$G$2:$G$2436,MATCH($B$3&amp;"|"&amp;D241&amp;"|"&amp;B241&amp;"|"&amp;C241,'Master Data'!$A$2:$A$2436,0)),"")</f>
        <v>5</v>
      </c>
      <c r="H241" s="67" t="str">
        <f aca="false">IFERROR(INDEX('Master Data'!$K$2:$K$2436,MATCH($B$3&amp;"|"&amp;D241&amp;"|"&amp;B241&amp;"|"&amp;C241,'Master Data'!$A$2:$A$2436,0))&amp;"","")</f>
        <v/>
      </c>
      <c r="I241" s="67" t="s">
        <v>401</v>
      </c>
      <c r="J241" s="67" t="s">
        <v>134</v>
      </c>
      <c r="K241" s="68"/>
      <c r="L241" s="68"/>
      <c r="M241" s="68"/>
      <c r="N241" s="69"/>
      <c r="O241" s="68"/>
    </row>
    <row r="242" customFormat="false" ht="27.75" hidden="false" customHeight="true" outlineLevel="0" collapsed="false">
      <c r="A242" s="66" t="n">
        <v>151</v>
      </c>
      <c r="B242" s="67" t="s">
        <v>92</v>
      </c>
      <c r="C242" s="66" t="s">
        <v>120</v>
      </c>
      <c r="D242" s="66" t="n">
        <v>2</v>
      </c>
      <c r="E242" s="67" t="str">
        <f aca="false">IFERROR(INDEX('Master Data'!$L$2:$L$2436,MATCH($B$3&amp;"|"&amp;D242&amp;"|"&amp;B242&amp;"|"&amp;C242,'Master Data'!$A$2:$A$2436,0)),"")</f>
        <v>Belum terisi</v>
      </c>
      <c r="F242" s="67" t="str">
        <f aca="false">IFERROR(INDEX('Master Data'!$F$2:$F$2436,MATCH($B$3&amp;"|"&amp;D242&amp;"|"&amp;B242&amp;"|"&amp;C242,'Master Data'!$A$2:$A$2436,0))&amp;"","")</f>
        <v>Tiny</v>
      </c>
      <c r="G242" s="66" t="n">
        <f aca="false">IFERROR(INDEX('Master Data'!$G$2:$G$2436,MATCH($B$3&amp;"|"&amp;D242&amp;"|"&amp;B242&amp;"|"&amp;C242,'Master Data'!$A$2:$A$2436,0)),"")</f>
        <v>5</v>
      </c>
      <c r="H242" s="67" t="str">
        <f aca="false">IFERROR(INDEX('Master Data'!$K$2:$K$2436,MATCH($B$3&amp;"|"&amp;D242&amp;"|"&amp;B242&amp;"|"&amp;C242,'Master Data'!$A$2:$A$2436,0))&amp;"","")</f>
        <v/>
      </c>
      <c r="I242" s="67" t="s">
        <v>401</v>
      </c>
      <c r="J242" s="67" t="s">
        <v>134</v>
      </c>
      <c r="K242" s="68"/>
      <c r="L242" s="68"/>
      <c r="M242" s="68"/>
      <c r="N242" s="69"/>
      <c r="O242" s="68"/>
    </row>
    <row r="243" customFormat="false" ht="27.75" hidden="false" customHeight="true" outlineLevel="0" collapsed="false">
      <c r="A243" s="66" t="n">
        <v>152</v>
      </c>
      <c r="B243" s="67" t="s">
        <v>92</v>
      </c>
      <c r="C243" s="66" t="s">
        <v>120</v>
      </c>
      <c r="D243" s="66" t="n">
        <v>5</v>
      </c>
      <c r="E243" s="67" t="str">
        <f aca="false">IFERROR(INDEX('Master Data'!$L$2:$L$2436,MATCH($B$3&amp;"|"&amp;D243&amp;"|"&amp;B243&amp;"|"&amp;C243,'Master Data'!$A$2:$A$2436,0)),"")</f>
        <v>Slot kosong</v>
      </c>
      <c r="F243" s="67" t="str">
        <f aca="false">IFERROR(INDEX('Master Data'!$F$2:$F$2436,MATCH($B$3&amp;"|"&amp;D243&amp;"|"&amp;B243&amp;"|"&amp;C243,'Master Data'!$A$2:$A$2436,0))&amp;"","")</f>
        <v/>
      </c>
      <c r="G243" s="66" t="n">
        <f aca="false">IFERROR(INDEX('Master Data'!$G$2:$G$2436,MATCH($B$3&amp;"|"&amp;D243&amp;"|"&amp;B243&amp;"|"&amp;C243,'Master Data'!$A$2:$A$2436,0)),"")</f>
        <v>4</v>
      </c>
      <c r="H243" s="67" t="str">
        <f aca="false">IFERROR(INDEX('Master Data'!$K$2:$K$2436,MATCH($B$3&amp;"|"&amp;D243&amp;"|"&amp;B243&amp;"|"&amp;C243,'Master Data'!$A$2:$A$2436,0))&amp;"","")</f>
        <v/>
      </c>
      <c r="I243" s="67" t="s">
        <v>401</v>
      </c>
      <c r="J243" s="67" t="s">
        <v>134</v>
      </c>
      <c r="K243" s="68"/>
      <c r="L243" s="68"/>
      <c r="M243" s="68"/>
      <c r="N243" s="69"/>
      <c r="O243" s="68"/>
    </row>
    <row r="244" customFormat="false" ht="27.75" hidden="false" customHeight="true" outlineLevel="0" collapsed="false">
      <c r="A244" s="66" t="n">
        <v>153</v>
      </c>
      <c r="B244" s="67" t="s">
        <v>92</v>
      </c>
      <c r="C244" s="66" t="s">
        <v>121</v>
      </c>
      <c r="D244" s="66" t="n">
        <v>1</v>
      </c>
      <c r="E244" s="67" t="str">
        <f aca="false">IFERROR(INDEX('Master Data'!$L$2:$L$2436,MATCH($B$3&amp;"|"&amp;D244&amp;"|"&amp;B244&amp;"|"&amp;C244,'Master Data'!$A$2:$A$2436,0)),"")</f>
        <v>Belum terisi</v>
      </c>
      <c r="F244" s="67" t="str">
        <f aca="false">IFERROR(INDEX('Master Data'!$F$2:$F$2436,MATCH($B$3&amp;"|"&amp;D244&amp;"|"&amp;B244&amp;"|"&amp;C244,'Master Data'!$A$2:$A$2436,0))&amp;"","")</f>
        <v>Baby</v>
      </c>
      <c r="G244" s="66" t="n">
        <f aca="false">IFERROR(INDEX('Master Data'!$G$2:$G$2436,MATCH($B$3&amp;"|"&amp;D244&amp;"|"&amp;B244&amp;"|"&amp;C244,'Master Data'!$A$2:$A$2436,0)),"")</f>
        <v>5</v>
      </c>
      <c r="H244" s="67" t="str">
        <f aca="false">IFERROR(INDEX('Master Data'!$K$2:$K$2436,MATCH($B$3&amp;"|"&amp;D244&amp;"|"&amp;B244&amp;"|"&amp;C244,'Master Data'!$A$2:$A$2436,0))&amp;"","")</f>
        <v/>
      </c>
      <c r="I244" s="67" t="s">
        <v>401</v>
      </c>
      <c r="J244" s="67" t="s">
        <v>134</v>
      </c>
      <c r="K244" s="68"/>
      <c r="L244" s="68"/>
      <c r="M244" s="68"/>
      <c r="N244" s="69"/>
      <c r="O244" s="68"/>
    </row>
    <row r="245" customFormat="false" ht="27.75" hidden="false" customHeight="true" outlineLevel="0" collapsed="false">
      <c r="A245" s="66" t="n">
        <v>154</v>
      </c>
      <c r="B245" s="67" t="s">
        <v>92</v>
      </c>
      <c r="C245" s="66" t="s">
        <v>121</v>
      </c>
      <c r="D245" s="66" t="n">
        <v>2</v>
      </c>
      <c r="E245" s="67" t="str">
        <f aca="false">IFERROR(INDEX('Master Data'!$L$2:$L$2436,MATCH($B$3&amp;"|"&amp;D245&amp;"|"&amp;B245&amp;"|"&amp;C245,'Master Data'!$A$2:$A$2436,0)),"")</f>
        <v>Belum terisi</v>
      </c>
      <c r="F245" s="67" t="str">
        <f aca="false">IFERROR(INDEX('Master Data'!$F$2:$F$2436,MATCH($B$3&amp;"|"&amp;D245&amp;"|"&amp;B245&amp;"|"&amp;C245,'Master Data'!$A$2:$A$2436,0))&amp;"","")</f>
        <v>Tiny</v>
      </c>
      <c r="G245" s="66" t="n">
        <f aca="false">IFERROR(INDEX('Master Data'!$G$2:$G$2436,MATCH($B$3&amp;"|"&amp;D245&amp;"|"&amp;B245&amp;"|"&amp;C245,'Master Data'!$A$2:$A$2436,0)),"")</f>
        <v>5</v>
      </c>
      <c r="H245" s="67" t="str">
        <f aca="false">IFERROR(INDEX('Master Data'!$K$2:$K$2436,MATCH($B$3&amp;"|"&amp;D245&amp;"|"&amp;B245&amp;"|"&amp;C245,'Master Data'!$A$2:$A$2436,0))&amp;"","")</f>
        <v/>
      </c>
      <c r="I245" s="67" t="s">
        <v>401</v>
      </c>
      <c r="J245" s="67" t="s">
        <v>134</v>
      </c>
      <c r="K245" s="68"/>
      <c r="L245" s="68"/>
      <c r="M245" s="68"/>
      <c r="N245" s="69"/>
      <c r="O245" s="68"/>
    </row>
    <row r="246" customFormat="false" ht="27.75" hidden="false" customHeight="true" outlineLevel="0" collapsed="false">
      <c r="A246" s="66" t="n">
        <v>155</v>
      </c>
      <c r="B246" s="67" t="s">
        <v>92</v>
      </c>
      <c r="C246" s="66" t="s">
        <v>121</v>
      </c>
      <c r="D246" s="66" t="n">
        <v>5</v>
      </c>
      <c r="E246" s="67" t="str">
        <f aca="false">IFERROR(INDEX('Master Data'!$L$2:$L$2436,MATCH($B$3&amp;"|"&amp;D246&amp;"|"&amp;B246&amp;"|"&amp;C246,'Master Data'!$A$2:$A$2436,0)),"")</f>
        <v>Slot kosong</v>
      </c>
      <c r="F246" s="67" t="str">
        <f aca="false">IFERROR(INDEX('Master Data'!$F$2:$F$2436,MATCH($B$3&amp;"|"&amp;D246&amp;"|"&amp;B246&amp;"|"&amp;C246,'Master Data'!$A$2:$A$2436,0))&amp;"","")</f>
        <v/>
      </c>
      <c r="G246" s="66" t="n">
        <f aca="false">IFERROR(INDEX('Master Data'!$G$2:$G$2436,MATCH($B$3&amp;"|"&amp;D246&amp;"|"&amp;B246&amp;"|"&amp;C246,'Master Data'!$A$2:$A$2436,0)),"")</f>
        <v>4</v>
      </c>
      <c r="H246" s="67" t="str">
        <f aca="false">IFERROR(INDEX('Master Data'!$K$2:$K$2436,MATCH($B$3&amp;"|"&amp;D246&amp;"|"&amp;B246&amp;"|"&amp;C246,'Master Data'!$A$2:$A$2436,0))&amp;"","")</f>
        <v/>
      </c>
      <c r="I246" s="67" t="s">
        <v>401</v>
      </c>
      <c r="J246" s="67" t="s">
        <v>134</v>
      </c>
      <c r="K246" s="68"/>
      <c r="L246" s="68"/>
      <c r="M246" s="68"/>
      <c r="N246" s="69"/>
      <c r="O246" s="68"/>
    </row>
    <row r="247" customFormat="false" ht="40.5" hidden="false" customHeight="true" outlineLevel="0" collapsed="false">
      <c r="A247" s="66" t="n">
        <v>156</v>
      </c>
      <c r="B247" s="67" t="s">
        <v>92</v>
      </c>
      <c r="C247" s="66" t="s">
        <v>107</v>
      </c>
      <c r="D247" s="66" t="n">
        <v>3</v>
      </c>
      <c r="E247" s="67" t="str">
        <f aca="false">IFERROR(INDEX('Master Data'!$L$2:$L$2436,MATCH($B$3&amp;"|"&amp;D247&amp;"|"&amp;B247&amp;"|"&amp;C247,'Master Data'!$A$2:$A$2436,0)),"")</f>
        <v>Belum terisi</v>
      </c>
      <c r="F247" s="67" t="str">
        <f aca="false">IFERROR(INDEX('Master Data'!$F$2:$F$2436,MATCH($B$3&amp;"|"&amp;D247&amp;"|"&amp;B247&amp;"|"&amp;C247,'Master Data'!$A$2:$A$2436,0))&amp;"","")</f>
        <v>Little</v>
      </c>
      <c r="G247" s="66" t="n">
        <f aca="false">IFERROR(INDEX('Master Data'!$G$2:$G$2436,MATCH($B$3&amp;"|"&amp;D247&amp;"|"&amp;B247&amp;"|"&amp;C247,'Master Data'!$A$2:$A$2436,0)),"")</f>
        <v>4</v>
      </c>
      <c r="H247" s="67" t="str">
        <f aca="false">IFERROR(INDEX('Master Data'!$K$2:$K$2436,MATCH($B$3&amp;"|"&amp;D247&amp;"|"&amp;B247&amp;"|"&amp;C247,'Master Data'!$A$2:$A$2436,0))&amp;"","")</f>
        <v/>
      </c>
      <c r="I247" s="67" t="s">
        <v>396</v>
      </c>
      <c r="J247" s="67" t="s">
        <v>134</v>
      </c>
      <c r="K247" s="68"/>
      <c r="L247" s="68"/>
      <c r="M247" s="68"/>
      <c r="N247" s="69"/>
      <c r="O247" s="68"/>
    </row>
    <row r="248" customFormat="false" ht="40.5" hidden="false" customHeight="true" outlineLevel="0" collapsed="false">
      <c r="A248" s="66" t="n">
        <v>157</v>
      </c>
      <c r="B248" s="67" t="s">
        <v>92</v>
      </c>
      <c r="C248" s="66" t="s">
        <v>107</v>
      </c>
      <c r="D248" s="66" t="n">
        <v>4</v>
      </c>
      <c r="E248" s="67" t="str">
        <f aca="false">IFERROR(INDEX('Master Data'!$L$2:$L$2436,MATCH($B$3&amp;"|"&amp;D248&amp;"|"&amp;B248&amp;"|"&amp;C248,'Master Data'!$A$2:$A$2436,0)),"")</f>
        <v>Belum terisi</v>
      </c>
      <c r="F248" s="67" t="str">
        <f aca="false">IFERROR(INDEX('Master Data'!$F$2:$F$2436,MATCH($B$3&amp;"|"&amp;D248&amp;"|"&amp;B248&amp;"|"&amp;C248,'Master Data'!$A$2:$A$2436,0))&amp;"","")</f>
        <v>Kids</v>
      </c>
      <c r="G248" s="66" t="n">
        <f aca="false">IFERROR(INDEX('Master Data'!$G$2:$G$2436,MATCH($B$3&amp;"|"&amp;D248&amp;"|"&amp;B248&amp;"|"&amp;C248,'Master Data'!$A$2:$A$2436,0)),"")</f>
        <v>4</v>
      </c>
      <c r="H248" s="67" t="str">
        <f aca="false">IFERROR(INDEX('Master Data'!$K$2:$K$2436,MATCH($B$3&amp;"|"&amp;D248&amp;"|"&amp;B248&amp;"|"&amp;C248,'Master Data'!$A$2:$A$2436,0))&amp;"","")</f>
        <v/>
      </c>
      <c r="I248" s="67" t="s">
        <v>396</v>
      </c>
      <c r="J248" s="67" t="s">
        <v>134</v>
      </c>
      <c r="K248" s="68"/>
      <c r="L248" s="68"/>
      <c r="M248" s="68"/>
      <c r="N248" s="69"/>
      <c r="O248" s="68"/>
    </row>
    <row r="249" customFormat="false" ht="40.5" hidden="false" customHeight="true" outlineLevel="0" collapsed="false">
      <c r="A249" s="66" t="n">
        <v>158</v>
      </c>
      <c r="B249" s="67" t="s">
        <v>93</v>
      </c>
      <c r="C249" s="66" t="s">
        <v>110</v>
      </c>
      <c r="D249" s="66" t="n">
        <v>1</v>
      </c>
      <c r="E249" s="67" t="str">
        <f aca="false">IFERROR(INDEX('Master Data'!$L$2:$L$2436,MATCH($B$3&amp;"|"&amp;D249&amp;"|"&amp;B249&amp;"|"&amp;C249,'Master Data'!$A$2:$A$2436,0)),"")</f>
        <v>Belum terisi</v>
      </c>
      <c r="F249" s="67" t="str">
        <f aca="false">IFERROR(INDEX('Master Data'!$F$2:$F$2436,MATCH($B$3&amp;"|"&amp;D249&amp;"|"&amp;B249&amp;"|"&amp;C249,'Master Data'!$A$2:$A$2436,0))&amp;"","")</f>
        <v>Baby</v>
      </c>
      <c r="G249" s="66" t="n">
        <f aca="false">IFERROR(INDEX('Master Data'!$G$2:$G$2436,MATCH($B$3&amp;"|"&amp;D249&amp;"|"&amp;B249&amp;"|"&amp;C249,'Master Data'!$A$2:$A$2436,0)),"")</f>
        <v>5</v>
      </c>
      <c r="H249" s="67" t="str">
        <f aca="false">IFERROR(INDEX('Master Data'!$K$2:$K$2436,MATCH($B$3&amp;"|"&amp;D249&amp;"|"&amp;B249&amp;"|"&amp;C249,'Master Data'!$A$2:$A$2436,0))&amp;"","")</f>
        <v/>
      </c>
      <c r="I249" s="67" t="s">
        <v>402</v>
      </c>
      <c r="J249" s="67" t="s">
        <v>134</v>
      </c>
      <c r="K249" s="68"/>
      <c r="L249" s="68"/>
      <c r="M249" s="68"/>
      <c r="N249" s="69"/>
      <c r="O249" s="68"/>
    </row>
    <row r="250" customFormat="false" ht="40.5" hidden="false" customHeight="true" outlineLevel="0" collapsed="false">
      <c r="A250" s="66" t="n">
        <v>159</v>
      </c>
      <c r="B250" s="67" t="s">
        <v>93</v>
      </c>
      <c r="C250" s="66" t="s">
        <v>110</v>
      </c>
      <c r="D250" s="66" t="n">
        <v>2</v>
      </c>
      <c r="E250" s="67" t="str">
        <f aca="false">IFERROR(INDEX('Master Data'!$L$2:$L$2436,MATCH($B$3&amp;"|"&amp;D250&amp;"|"&amp;B250&amp;"|"&amp;C250,'Master Data'!$A$2:$A$2436,0)),"")</f>
        <v>Belum terisi</v>
      </c>
      <c r="F250" s="67" t="str">
        <f aca="false">IFERROR(INDEX('Master Data'!$F$2:$F$2436,MATCH($B$3&amp;"|"&amp;D250&amp;"|"&amp;B250&amp;"|"&amp;C250,'Master Data'!$A$2:$A$2436,0))&amp;"","")</f>
        <v>Tiny</v>
      </c>
      <c r="G250" s="66" t="n">
        <f aca="false">IFERROR(INDEX('Master Data'!$G$2:$G$2436,MATCH($B$3&amp;"|"&amp;D250&amp;"|"&amp;B250&amp;"|"&amp;C250,'Master Data'!$A$2:$A$2436,0)),"")</f>
        <v>5</v>
      </c>
      <c r="H250" s="67" t="str">
        <f aca="false">IFERROR(INDEX('Master Data'!$K$2:$K$2436,MATCH($B$3&amp;"|"&amp;D250&amp;"|"&amp;B250&amp;"|"&amp;C250,'Master Data'!$A$2:$A$2436,0))&amp;"","")</f>
        <v/>
      </c>
      <c r="I250" s="67" t="s">
        <v>402</v>
      </c>
      <c r="J250" s="67" t="s">
        <v>134</v>
      </c>
      <c r="K250" s="68"/>
      <c r="L250" s="68"/>
      <c r="M250" s="68"/>
      <c r="N250" s="69"/>
      <c r="O250" s="68"/>
    </row>
    <row r="251" customFormat="false" ht="40.5" hidden="false" customHeight="true" outlineLevel="0" collapsed="false">
      <c r="A251" s="66" t="n">
        <v>160</v>
      </c>
      <c r="B251" s="67" t="s">
        <v>93</v>
      </c>
      <c r="C251" s="66" t="s">
        <v>110</v>
      </c>
      <c r="D251" s="66" t="n">
        <v>5</v>
      </c>
      <c r="E251" s="67" t="str">
        <f aca="false">IFERROR(INDEX('Master Data'!$L$2:$L$2436,MATCH($B$3&amp;"|"&amp;D251&amp;"|"&amp;B251&amp;"|"&amp;C251,'Master Data'!$A$2:$A$2436,0)),"")</f>
        <v>Slot kosong</v>
      </c>
      <c r="F251" s="67" t="str">
        <f aca="false">IFERROR(INDEX('Master Data'!$F$2:$F$2436,MATCH($B$3&amp;"|"&amp;D251&amp;"|"&amp;B251&amp;"|"&amp;C251,'Master Data'!$A$2:$A$2436,0))&amp;"","")</f>
        <v/>
      </c>
      <c r="G251" s="66" t="n">
        <f aca="false">IFERROR(INDEX('Master Data'!$G$2:$G$2436,MATCH($B$3&amp;"|"&amp;D251&amp;"|"&amp;B251&amp;"|"&amp;C251,'Master Data'!$A$2:$A$2436,0)),"")</f>
        <v>4</v>
      </c>
      <c r="H251" s="67" t="str">
        <f aca="false">IFERROR(INDEX('Master Data'!$K$2:$K$2436,MATCH($B$3&amp;"|"&amp;D251&amp;"|"&amp;B251&amp;"|"&amp;C251,'Master Data'!$A$2:$A$2436,0))&amp;"","")</f>
        <v/>
      </c>
      <c r="I251" s="67" t="s">
        <v>402</v>
      </c>
      <c r="J251" s="67" t="s">
        <v>134</v>
      </c>
      <c r="K251" s="68"/>
      <c r="L251" s="68"/>
      <c r="M251" s="68"/>
      <c r="N251" s="69"/>
      <c r="O251" s="68"/>
    </row>
    <row r="252" customFormat="false" ht="27.75" hidden="false" customHeight="true" outlineLevel="0" collapsed="false">
      <c r="A252" s="66" t="n">
        <v>161</v>
      </c>
      <c r="B252" s="67" t="s">
        <v>93</v>
      </c>
      <c r="C252" s="66" t="s">
        <v>96</v>
      </c>
      <c r="D252" s="66" t="n">
        <v>3</v>
      </c>
      <c r="E252" s="67" t="str">
        <f aca="false">IFERROR(INDEX('Master Data'!$L$2:$L$2436,MATCH($B$3&amp;"|"&amp;D252&amp;"|"&amp;B252&amp;"|"&amp;C252,'Master Data'!$A$2:$A$2436,0)),"")</f>
        <v>Belum terisi</v>
      </c>
      <c r="F252" s="67" t="str">
        <f aca="false">IFERROR(INDEX('Master Data'!$F$2:$F$2436,MATCH($B$3&amp;"|"&amp;D252&amp;"|"&amp;B252&amp;"|"&amp;C252,'Master Data'!$A$2:$A$2436,0))&amp;"","")</f>
        <v>Little</v>
      </c>
      <c r="G252" s="66" t="n">
        <f aca="false">IFERROR(INDEX('Master Data'!$G$2:$G$2436,MATCH($B$3&amp;"|"&amp;D252&amp;"|"&amp;B252&amp;"|"&amp;C252,'Master Data'!$A$2:$A$2436,0)),"")</f>
        <v>4</v>
      </c>
      <c r="H252" s="67" t="str">
        <f aca="false">IFERROR(INDEX('Master Data'!$K$2:$K$2436,MATCH($B$3&amp;"|"&amp;D252&amp;"|"&amp;B252&amp;"|"&amp;C252,'Master Data'!$A$2:$A$2436,0))&amp;"","")</f>
        <v/>
      </c>
      <c r="I252" s="67" t="s">
        <v>403</v>
      </c>
      <c r="J252" s="67" t="s">
        <v>134</v>
      </c>
      <c r="K252" s="68"/>
      <c r="L252" s="68"/>
      <c r="M252" s="68"/>
      <c r="N252" s="69"/>
      <c r="O252" s="68"/>
    </row>
    <row r="253" customFormat="false" ht="27.75" hidden="false" customHeight="true" outlineLevel="0" collapsed="false">
      <c r="A253" s="66" t="n">
        <v>162</v>
      </c>
      <c r="B253" s="67" t="s">
        <v>93</v>
      </c>
      <c r="C253" s="66" t="s">
        <v>96</v>
      </c>
      <c r="D253" s="66" t="n">
        <v>4</v>
      </c>
      <c r="E253" s="67" t="str">
        <f aca="false">IFERROR(INDEX('Master Data'!$L$2:$L$2436,MATCH($B$3&amp;"|"&amp;D253&amp;"|"&amp;B253&amp;"|"&amp;C253,'Master Data'!$A$2:$A$2436,0)),"")</f>
        <v>Belum terisi</v>
      </c>
      <c r="F253" s="67" t="str">
        <f aca="false">IFERROR(INDEX('Master Data'!$F$2:$F$2436,MATCH($B$3&amp;"|"&amp;D253&amp;"|"&amp;B253&amp;"|"&amp;C253,'Master Data'!$A$2:$A$2436,0))&amp;"","")</f>
        <v>Kids</v>
      </c>
      <c r="G253" s="66" t="n">
        <f aca="false">IFERROR(INDEX('Master Data'!$G$2:$G$2436,MATCH($B$3&amp;"|"&amp;D253&amp;"|"&amp;B253&amp;"|"&amp;C253,'Master Data'!$A$2:$A$2436,0)),"")</f>
        <v>4</v>
      </c>
      <c r="H253" s="67" t="str">
        <f aca="false">IFERROR(INDEX('Master Data'!$K$2:$K$2436,MATCH($B$3&amp;"|"&amp;D253&amp;"|"&amp;B253&amp;"|"&amp;C253,'Master Data'!$A$2:$A$2436,0))&amp;"","")</f>
        <v/>
      </c>
      <c r="I253" s="67" t="s">
        <v>403</v>
      </c>
      <c r="J253" s="67" t="s">
        <v>134</v>
      </c>
      <c r="K253" s="68"/>
      <c r="L253" s="68"/>
      <c r="M253" s="68"/>
      <c r="N253" s="69"/>
      <c r="O253" s="68"/>
    </row>
    <row r="254" customFormat="false" ht="27.75" hidden="false" customHeight="true" outlineLevel="0" collapsed="false">
      <c r="A254" s="66" t="n">
        <v>163</v>
      </c>
      <c r="B254" s="67" t="s">
        <v>93</v>
      </c>
      <c r="C254" s="66" t="s">
        <v>111</v>
      </c>
      <c r="D254" s="66" t="n">
        <v>1</v>
      </c>
      <c r="E254" s="67" t="str">
        <f aca="false">IFERROR(INDEX('Master Data'!$L$2:$L$2436,MATCH($B$3&amp;"|"&amp;D254&amp;"|"&amp;B254&amp;"|"&amp;C254,'Master Data'!$A$2:$A$2436,0)),"")</f>
        <v>Belum terisi</v>
      </c>
      <c r="F254" s="67" t="str">
        <f aca="false">IFERROR(INDEX('Master Data'!$F$2:$F$2436,MATCH($B$3&amp;"|"&amp;D254&amp;"|"&amp;B254&amp;"|"&amp;C254,'Master Data'!$A$2:$A$2436,0))&amp;"","")</f>
        <v>Baby</v>
      </c>
      <c r="G254" s="66" t="n">
        <f aca="false">IFERROR(INDEX('Master Data'!$G$2:$G$2436,MATCH($B$3&amp;"|"&amp;D254&amp;"|"&amp;B254&amp;"|"&amp;C254,'Master Data'!$A$2:$A$2436,0)),"")</f>
        <v>5</v>
      </c>
      <c r="H254" s="67" t="str">
        <f aca="false">IFERROR(INDEX('Master Data'!$K$2:$K$2436,MATCH($B$3&amp;"|"&amp;D254&amp;"|"&amp;B254&amp;"|"&amp;C254,'Master Data'!$A$2:$A$2436,0))&amp;"","")</f>
        <v/>
      </c>
      <c r="I254" s="67" t="s">
        <v>403</v>
      </c>
      <c r="J254" s="67" t="s">
        <v>134</v>
      </c>
      <c r="K254" s="68"/>
      <c r="L254" s="68"/>
      <c r="M254" s="68"/>
      <c r="N254" s="69"/>
      <c r="O254" s="68"/>
    </row>
    <row r="255" customFormat="false" ht="27.75" hidden="false" customHeight="true" outlineLevel="0" collapsed="false">
      <c r="A255" s="66" t="n">
        <v>164</v>
      </c>
      <c r="B255" s="67" t="s">
        <v>93</v>
      </c>
      <c r="C255" s="66" t="s">
        <v>111</v>
      </c>
      <c r="D255" s="66" t="n">
        <v>5</v>
      </c>
      <c r="E255" s="67" t="str">
        <f aca="false">IFERROR(INDEX('Master Data'!$L$2:$L$2436,MATCH($B$3&amp;"|"&amp;D255&amp;"|"&amp;B255&amp;"|"&amp;C255,'Master Data'!$A$2:$A$2436,0)),"")</f>
        <v>Slot kosong</v>
      </c>
      <c r="F255" s="67" t="str">
        <f aca="false">IFERROR(INDEX('Master Data'!$F$2:$F$2436,MATCH($B$3&amp;"|"&amp;D255&amp;"|"&amp;B255&amp;"|"&amp;C255,'Master Data'!$A$2:$A$2436,0))&amp;"","")</f>
        <v/>
      </c>
      <c r="G255" s="66" t="n">
        <f aca="false">IFERROR(INDEX('Master Data'!$G$2:$G$2436,MATCH($B$3&amp;"|"&amp;D255&amp;"|"&amp;B255&amp;"|"&amp;C255,'Master Data'!$A$2:$A$2436,0)),"")</f>
        <v>4</v>
      </c>
      <c r="H255" s="67" t="str">
        <f aca="false">IFERROR(INDEX('Master Data'!$K$2:$K$2436,MATCH($B$3&amp;"|"&amp;D255&amp;"|"&amp;B255&amp;"|"&amp;C255,'Master Data'!$A$2:$A$2436,0))&amp;"","")</f>
        <v/>
      </c>
      <c r="I255" s="67" t="s">
        <v>403</v>
      </c>
      <c r="J255" s="67" t="s">
        <v>134</v>
      </c>
      <c r="K255" s="68"/>
      <c r="L255" s="68"/>
      <c r="M255" s="68"/>
      <c r="N255" s="69"/>
      <c r="O255" s="68"/>
    </row>
    <row r="256" customFormat="false" ht="27.75" hidden="false" customHeight="true" outlineLevel="0" collapsed="false">
      <c r="A256" s="66" t="n">
        <v>165</v>
      </c>
      <c r="B256" s="67" t="s">
        <v>93</v>
      </c>
      <c r="C256" s="66" t="s">
        <v>97</v>
      </c>
      <c r="D256" s="66" t="n">
        <v>3</v>
      </c>
      <c r="E256" s="67" t="str">
        <f aca="false">IFERROR(INDEX('Master Data'!$L$2:$L$2436,MATCH($B$3&amp;"|"&amp;D256&amp;"|"&amp;B256&amp;"|"&amp;C256,'Master Data'!$A$2:$A$2436,0)),"")</f>
        <v>Belum terisi</v>
      </c>
      <c r="F256" s="67" t="str">
        <f aca="false">IFERROR(INDEX('Master Data'!$F$2:$F$2436,MATCH($B$3&amp;"|"&amp;D256&amp;"|"&amp;B256&amp;"|"&amp;C256,'Master Data'!$A$2:$A$2436,0))&amp;"","")</f>
        <v>Little</v>
      </c>
      <c r="G256" s="66" t="n">
        <f aca="false">IFERROR(INDEX('Master Data'!$G$2:$G$2436,MATCH($B$3&amp;"|"&amp;D256&amp;"|"&amp;B256&amp;"|"&amp;C256,'Master Data'!$A$2:$A$2436,0)),"")</f>
        <v>4</v>
      </c>
      <c r="H256" s="67" t="str">
        <f aca="false">IFERROR(INDEX('Master Data'!$K$2:$K$2436,MATCH($B$3&amp;"|"&amp;D256&amp;"|"&amp;B256&amp;"|"&amp;C256,'Master Data'!$A$2:$A$2436,0))&amp;"","")</f>
        <v/>
      </c>
      <c r="I256" s="67" t="s">
        <v>403</v>
      </c>
      <c r="J256" s="67" t="s">
        <v>134</v>
      </c>
      <c r="K256" s="68"/>
      <c r="L256" s="68"/>
      <c r="M256" s="68"/>
      <c r="N256" s="69"/>
      <c r="O256" s="68"/>
    </row>
    <row r="257" customFormat="false" ht="27.75" hidden="false" customHeight="true" outlineLevel="0" collapsed="false">
      <c r="A257" s="66" t="n">
        <v>166</v>
      </c>
      <c r="B257" s="67" t="s">
        <v>93</v>
      </c>
      <c r="C257" s="66" t="s">
        <v>97</v>
      </c>
      <c r="D257" s="66" t="n">
        <v>4</v>
      </c>
      <c r="E257" s="67" t="str">
        <f aca="false">IFERROR(INDEX('Master Data'!$L$2:$L$2436,MATCH($B$3&amp;"|"&amp;D257&amp;"|"&amp;B257&amp;"|"&amp;C257,'Master Data'!$A$2:$A$2436,0)),"")</f>
        <v>Belum terisi</v>
      </c>
      <c r="F257" s="67" t="str">
        <f aca="false">IFERROR(INDEX('Master Data'!$F$2:$F$2436,MATCH($B$3&amp;"|"&amp;D257&amp;"|"&amp;B257&amp;"|"&amp;C257,'Master Data'!$A$2:$A$2436,0))&amp;"","")</f>
        <v>Kids</v>
      </c>
      <c r="G257" s="66" t="n">
        <f aca="false">IFERROR(INDEX('Master Data'!$G$2:$G$2436,MATCH($B$3&amp;"|"&amp;D257&amp;"|"&amp;B257&amp;"|"&amp;C257,'Master Data'!$A$2:$A$2436,0)),"")</f>
        <v>4</v>
      </c>
      <c r="H257" s="67" t="str">
        <f aca="false">IFERROR(INDEX('Master Data'!$K$2:$K$2436,MATCH($B$3&amp;"|"&amp;D257&amp;"|"&amp;B257&amp;"|"&amp;C257,'Master Data'!$A$2:$A$2436,0))&amp;"","")</f>
        <v/>
      </c>
      <c r="I257" s="67" t="s">
        <v>403</v>
      </c>
      <c r="J257" s="67" t="s">
        <v>134</v>
      </c>
      <c r="K257" s="68"/>
      <c r="L257" s="68"/>
      <c r="M257" s="68"/>
      <c r="N257" s="69"/>
      <c r="O257" s="68"/>
    </row>
    <row r="258" customFormat="false" ht="27.75" hidden="false" customHeight="true" outlineLevel="0" collapsed="false">
      <c r="A258" s="66" t="n">
        <v>167</v>
      </c>
      <c r="B258" s="67" t="s">
        <v>93</v>
      </c>
      <c r="C258" s="66" t="s">
        <v>112</v>
      </c>
      <c r="D258" s="66" t="n">
        <v>1</v>
      </c>
      <c r="E258" s="67" t="str">
        <f aca="false">IFERROR(INDEX('Master Data'!$L$2:$L$2436,MATCH($B$3&amp;"|"&amp;D258&amp;"|"&amp;B258&amp;"|"&amp;C258,'Master Data'!$A$2:$A$2436,0)),"")</f>
        <v>Belum terisi</v>
      </c>
      <c r="F258" s="67" t="str">
        <f aca="false">IFERROR(INDEX('Master Data'!$F$2:$F$2436,MATCH($B$3&amp;"|"&amp;D258&amp;"|"&amp;B258&amp;"|"&amp;C258,'Master Data'!$A$2:$A$2436,0))&amp;"","")</f>
        <v>Baby</v>
      </c>
      <c r="G258" s="66" t="n">
        <f aca="false">IFERROR(INDEX('Master Data'!$G$2:$G$2436,MATCH($B$3&amp;"|"&amp;D258&amp;"|"&amp;B258&amp;"|"&amp;C258,'Master Data'!$A$2:$A$2436,0)),"")</f>
        <v>5</v>
      </c>
      <c r="H258" s="67" t="str">
        <f aca="false">IFERROR(INDEX('Master Data'!$K$2:$K$2436,MATCH($B$3&amp;"|"&amp;D258&amp;"|"&amp;B258&amp;"|"&amp;C258,'Master Data'!$A$2:$A$2436,0))&amp;"","")</f>
        <v/>
      </c>
      <c r="I258" s="67" t="s">
        <v>404</v>
      </c>
      <c r="J258" s="67" t="s">
        <v>134</v>
      </c>
      <c r="K258" s="68"/>
      <c r="L258" s="68"/>
      <c r="M258" s="68"/>
      <c r="N258" s="69"/>
      <c r="O258" s="68"/>
    </row>
    <row r="259" customFormat="false" ht="27.75" hidden="false" customHeight="true" outlineLevel="0" collapsed="false">
      <c r="A259" s="66" t="n">
        <v>168</v>
      </c>
      <c r="B259" s="67" t="s">
        <v>93</v>
      </c>
      <c r="C259" s="66" t="s">
        <v>112</v>
      </c>
      <c r="D259" s="66" t="n">
        <v>2</v>
      </c>
      <c r="E259" s="67" t="str">
        <f aca="false">IFERROR(INDEX('Master Data'!$L$2:$L$2436,MATCH($B$3&amp;"|"&amp;D259&amp;"|"&amp;B259&amp;"|"&amp;C259,'Master Data'!$A$2:$A$2436,0)),"")</f>
        <v>Belum terisi</v>
      </c>
      <c r="F259" s="67" t="str">
        <f aca="false">IFERROR(INDEX('Master Data'!$F$2:$F$2436,MATCH($B$3&amp;"|"&amp;D259&amp;"|"&amp;B259&amp;"|"&amp;C259,'Master Data'!$A$2:$A$2436,0))&amp;"","")</f>
        <v>Tiny</v>
      </c>
      <c r="G259" s="66" t="n">
        <f aca="false">IFERROR(INDEX('Master Data'!$G$2:$G$2436,MATCH($B$3&amp;"|"&amp;D259&amp;"|"&amp;B259&amp;"|"&amp;C259,'Master Data'!$A$2:$A$2436,0)),"")</f>
        <v>5</v>
      </c>
      <c r="H259" s="67" t="str">
        <f aca="false">IFERROR(INDEX('Master Data'!$K$2:$K$2436,MATCH($B$3&amp;"|"&amp;D259&amp;"|"&amp;B259&amp;"|"&amp;C259,'Master Data'!$A$2:$A$2436,0))&amp;"","")</f>
        <v/>
      </c>
      <c r="I259" s="67" t="s">
        <v>404</v>
      </c>
      <c r="J259" s="67" t="s">
        <v>134</v>
      </c>
      <c r="K259" s="68"/>
      <c r="L259" s="68"/>
      <c r="M259" s="68"/>
      <c r="N259" s="69"/>
      <c r="O259" s="68"/>
    </row>
    <row r="260" customFormat="false" ht="27.75" hidden="false" customHeight="true" outlineLevel="0" collapsed="false">
      <c r="A260" s="66" t="n">
        <v>169</v>
      </c>
      <c r="B260" s="67" t="s">
        <v>93</v>
      </c>
      <c r="C260" s="66" t="s">
        <v>112</v>
      </c>
      <c r="D260" s="66" t="n">
        <v>5</v>
      </c>
      <c r="E260" s="67" t="str">
        <f aca="false">IFERROR(INDEX('Master Data'!$L$2:$L$2436,MATCH($B$3&amp;"|"&amp;D260&amp;"|"&amp;B260&amp;"|"&amp;C260,'Master Data'!$A$2:$A$2436,0)),"")</f>
        <v>Slot kosong</v>
      </c>
      <c r="F260" s="67" t="str">
        <f aca="false">IFERROR(INDEX('Master Data'!$F$2:$F$2436,MATCH($B$3&amp;"|"&amp;D260&amp;"|"&amp;B260&amp;"|"&amp;C260,'Master Data'!$A$2:$A$2436,0))&amp;"","")</f>
        <v/>
      </c>
      <c r="G260" s="66" t="n">
        <f aca="false">IFERROR(INDEX('Master Data'!$G$2:$G$2436,MATCH($B$3&amp;"|"&amp;D260&amp;"|"&amp;B260&amp;"|"&amp;C260,'Master Data'!$A$2:$A$2436,0)),"")</f>
        <v>4</v>
      </c>
      <c r="H260" s="67" t="str">
        <f aca="false">IFERROR(INDEX('Master Data'!$K$2:$K$2436,MATCH($B$3&amp;"|"&amp;D260&amp;"|"&amp;B260&amp;"|"&amp;C260,'Master Data'!$A$2:$A$2436,0))&amp;"","")</f>
        <v/>
      </c>
      <c r="I260" s="67" t="s">
        <v>404</v>
      </c>
      <c r="J260" s="67" t="s">
        <v>134</v>
      </c>
      <c r="K260" s="68"/>
      <c r="L260" s="68"/>
      <c r="M260" s="68"/>
      <c r="N260" s="69"/>
      <c r="O260" s="68"/>
    </row>
    <row r="261" customFormat="false" ht="15.75" hidden="false" customHeight="true" outlineLevel="0" collapsed="false">
      <c r="A261" s="66" t="n">
        <v>170</v>
      </c>
      <c r="B261" s="67" t="s">
        <v>93</v>
      </c>
      <c r="C261" s="66" t="s">
        <v>98</v>
      </c>
      <c r="D261" s="66" t="n">
        <v>4</v>
      </c>
      <c r="E261" s="67" t="str">
        <f aca="false">IFERROR(INDEX('Master Data'!$L$2:$L$2436,MATCH($B$3&amp;"|"&amp;D261&amp;"|"&amp;B261&amp;"|"&amp;C261,'Master Data'!$A$2:$A$2436,0)),"")</f>
        <v>Belum terisi</v>
      </c>
      <c r="F261" s="67" t="str">
        <f aca="false">IFERROR(INDEX('Master Data'!$F$2:$F$2436,MATCH($B$3&amp;"|"&amp;D261&amp;"|"&amp;B261&amp;"|"&amp;C261,'Master Data'!$A$2:$A$2436,0))&amp;"","")</f>
        <v>Kids</v>
      </c>
      <c r="G261" s="66" t="n">
        <f aca="false">IFERROR(INDEX('Master Data'!$G$2:$G$2436,MATCH($B$3&amp;"|"&amp;D261&amp;"|"&amp;B261&amp;"|"&amp;C261,'Master Data'!$A$2:$A$2436,0)),"")</f>
        <v>4</v>
      </c>
      <c r="H261" s="67" t="str">
        <f aca="false">IFERROR(INDEX('Master Data'!$K$2:$K$2436,MATCH($B$3&amp;"|"&amp;D261&amp;"|"&amp;B261&amp;"|"&amp;C261,'Master Data'!$A$2:$A$2436,0))&amp;"","")</f>
        <v/>
      </c>
      <c r="I261" s="67" t="s">
        <v>405</v>
      </c>
      <c r="J261" s="67" t="s">
        <v>203</v>
      </c>
      <c r="K261" s="68"/>
      <c r="L261" s="68"/>
      <c r="M261" s="68"/>
      <c r="N261" s="69"/>
      <c r="O261" s="68"/>
    </row>
    <row r="262" customFormat="false" ht="15.75" hidden="false" customHeight="true" outlineLevel="0" collapsed="false">
      <c r="A262" s="66" t="n">
        <v>171</v>
      </c>
      <c r="B262" s="67" t="s">
        <v>93</v>
      </c>
      <c r="C262" s="66" t="s">
        <v>113</v>
      </c>
      <c r="D262" s="66" t="n">
        <v>2</v>
      </c>
      <c r="E262" s="67" t="str">
        <f aca="false">IFERROR(INDEX('Master Data'!$L$2:$L$2436,MATCH($B$3&amp;"|"&amp;D262&amp;"|"&amp;B262&amp;"|"&amp;C262,'Master Data'!$A$2:$A$2436,0)),"")</f>
        <v>Belum terisi</v>
      </c>
      <c r="F262" s="67" t="str">
        <f aca="false">IFERROR(INDEX('Master Data'!$F$2:$F$2436,MATCH($B$3&amp;"|"&amp;D262&amp;"|"&amp;B262&amp;"|"&amp;C262,'Master Data'!$A$2:$A$2436,0))&amp;"","")</f>
        <v>Tiny</v>
      </c>
      <c r="G262" s="66" t="n">
        <f aca="false">IFERROR(INDEX('Master Data'!$G$2:$G$2436,MATCH($B$3&amp;"|"&amp;D262&amp;"|"&amp;B262&amp;"|"&amp;C262,'Master Data'!$A$2:$A$2436,0)),"")</f>
        <v>5</v>
      </c>
      <c r="H262" s="67" t="str">
        <f aca="false">IFERROR(INDEX('Master Data'!$K$2:$K$2436,MATCH($B$3&amp;"|"&amp;D262&amp;"|"&amp;B262&amp;"|"&amp;C262,'Master Data'!$A$2:$A$2436,0))&amp;"","")</f>
        <v/>
      </c>
      <c r="I262" s="67" t="s">
        <v>405</v>
      </c>
      <c r="J262" s="67" t="s">
        <v>144</v>
      </c>
      <c r="K262" s="68"/>
      <c r="L262" s="68"/>
      <c r="M262" s="68"/>
      <c r="N262" s="69"/>
      <c r="O262" s="68"/>
    </row>
    <row r="263" customFormat="false" ht="15.75" hidden="false" customHeight="true" outlineLevel="0" collapsed="false">
      <c r="A263" s="66" t="n">
        <v>172</v>
      </c>
      <c r="B263" s="67" t="s">
        <v>93</v>
      </c>
      <c r="C263" s="66" t="s">
        <v>113</v>
      </c>
      <c r="D263" s="66" t="n">
        <v>5</v>
      </c>
      <c r="E263" s="67" t="str">
        <f aca="false">IFERROR(INDEX('Master Data'!$L$2:$L$2436,MATCH($B$3&amp;"|"&amp;D263&amp;"|"&amp;B263&amp;"|"&amp;C263,'Master Data'!$A$2:$A$2436,0)),"")</f>
        <v>Slot kosong</v>
      </c>
      <c r="F263" s="67" t="str">
        <f aca="false">IFERROR(INDEX('Master Data'!$F$2:$F$2436,MATCH($B$3&amp;"|"&amp;D263&amp;"|"&amp;B263&amp;"|"&amp;C263,'Master Data'!$A$2:$A$2436,0))&amp;"","")</f>
        <v/>
      </c>
      <c r="G263" s="66" t="n">
        <f aca="false">IFERROR(INDEX('Master Data'!$G$2:$G$2436,MATCH($B$3&amp;"|"&amp;D263&amp;"|"&amp;B263&amp;"|"&amp;C263,'Master Data'!$A$2:$A$2436,0)),"")</f>
        <v>4</v>
      </c>
      <c r="H263" s="67" t="str">
        <f aca="false">IFERROR(INDEX('Master Data'!$K$2:$K$2436,MATCH($B$3&amp;"|"&amp;D263&amp;"|"&amp;B263&amp;"|"&amp;C263,'Master Data'!$A$2:$A$2436,0))&amp;"","")</f>
        <v/>
      </c>
      <c r="I263" s="67" t="s">
        <v>405</v>
      </c>
      <c r="J263" s="67" t="s">
        <v>203</v>
      </c>
      <c r="K263" s="68"/>
      <c r="L263" s="68"/>
      <c r="M263" s="68"/>
      <c r="N263" s="69"/>
      <c r="O263" s="68"/>
    </row>
    <row r="264" customFormat="false" ht="27.75" hidden="false" customHeight="true" outlineLevel="0" collapsed="false">
      <c r="A264" s="66" t="n">
        <v>173</v>
      </c>
      <c r="B264" s="67" t="s">
        <v>93</v>
      </c>
      <c r="C264" s="66" t="s">
        <v>99</v>
      </c>
      <c r="D264" s="66" t="n">
        <v>3</v>
      </c>
      <c r="E264" s="67" t="str">
        <f aca="false">IFERROR(INDEX('Master Data'!$L$2:$L$2436,MATCH($B$3&amp;"|"&amp;D264&amp;"|"&amp;B264&amp;"|"&amp;C264,'Master Data'!$A$2:$A$2436,0)),"")</f>
        <v>Belum terisi</v>
      </c>
      <c r="F264" s="67" t="str">
        <f aca="false">IFERROR(INDEX('Master Data'!$F$2:$F$2436,MATCH($B$3&amp;"|"&amp;D264&amp;"|"&amp;B264&amp;"|"&amp;C264,'Master Data'!$A$2:$A$2436,0))&amp;"","")</f>
        <v>Little</v>
      </c>
      <c r="G264" s="66" t="n">
        <f aca="false">IFERROR(INDEX('Master Data'!$G$2:$G$2436,MATCH($B$3&amp;"|"&amp;D264&amp;"|"&amp;B264&amp;"|"&amp;C264,'Master Data'!$A$2:$A$2436,0)),"")</f>
        <v>4</v>
      </c>
      <c r="H264" s="67" t="str">
        <f aca="false">IFERROR(INDEX('Master Data'!$K$2:$K$2436,MATCH($B$3&amp;"|"&amp;D264&amp;"|"&amp;B264&amp;"|"&amp;C264,'Master Data'!$A$2:$A$2436,0))&amp;"","")</f>
        <v/>
      </c>
      <c r="I264" s="67" t="s">
        <v>403</v>
      </c>
      <c r="J264" s="67" t="s">
        <v>134</v>
      </c>
      <c r="K264" s="68"/>
      <c r="L264" s="68"/>
      <c r="M264" s="68"/>
      <c r="N264" s="69"/>
      <c r="O264" s="68"/>
    </row>
    <row r="265" customFormat="false" ht="27.75" hidden="false" customHeight="true" outlineLevel="0" collapsed="false">
      <c r="A265" s="66" t="n">
        <v>174</v>
      </c>
      <c r="B265" s="67" t="s">
        <v>93</v>
      </c>
      <c r="C265" s="66" t="s">
        <v>99</v>
      </c>
      <c r="D265" s="66" t="n">
        <v>4</v>
      </c>
      <c r="E265" s="67" t="str">
        <f aca="false">IFERROR(INDEX('Master Data'!$L$2:$L$2436,MATCH($B$3&amp;"|"&amp;D265&amp;"|"&amp;B265&amp;"|"&amp;C265,'Master Data'!$A$2:$A$2436,0)),"")</f>
        <v>Belum terisi</v>
      </c>
      <c r="F265" s="67" t="str">
        <f aca="false">IFERROR(INDEX('Master Data'!$F$2:$F$2436,MATCH($B$3&amp;"|"&amp;D265&amp;"|"&amp;B265&amp;"|"&amp;C265,'Master Data'!$A$2:$A$2436,0))&amp;"","")</f>
        <v>Kids</v>
      </c>
      <c r="G265" s="66" t="n">
        <f aca="false">IFERROR(INDEX('Master Data'!$G$2:$G$2436,MATCH($B$3&amp;"|"&amp;D265&amp;"|"&amp;B265&amp;"|"&amp;C265,'Master Data'!$A$2:$A$2436,0)),"")</f>
        <v>4</v>
      </c>
      <c r="H265" s="67" t="str">
        <f aca="false">IFERROR(INDEX('Master Data'!$K$2:$K$2436,MATCH($B$3&amp;"|"&amp;D265&amp;"|"&amp;B265&amp;"|"&amp;C265,'Master Data'!$A$2:$A$2436,0))&amp;"","")</f>
        <v/>
      </c>
      <c r="I265" s="67" t="s">
        <v>403</v>
      </c>
      <c r="J265" s="67" t="s">
        <v>134</v>
      </c>
      <c r="K265" s="68"/>
      <c r="L265" s="68"/>
      <c r="M265" s="68"/>
      <c r="N265" s="69"/>
      <c r="O265" s="68"/>
    </row>
    <row r="266" customFormat="false" ht="40.5" hidden="false" customHeight="true" outlineLevel="0" collapsed="false">
      <c r="A266" s="66" t="n">
        <v>175</v>
      </c>
      <c r="B266" s="67" t="s">
        <v>93</v>
      </c>
      <c r="C266" s="66" t="s">
        <v>114</v>
      </c>
      <c r="D266" s="66" t="n">
        <v>1</v>
      </c>
      <c r="E266" s="67" t="str">
        <f aca="false">IFERROR(INDEX('Master Data'!$L$2:$L$2436,MATCH($B$3&amp;"|"&amp;D266&amp;"|"&amp;B266&amp;"|"&amp;C266,'Master Data'!$A$2:$A$2436,0)),"")</f>
        <v>Belum terisi</v>
      </c>
      <c r="F266" s="67" t="str">
        <f aca="false">IFERROR(INDEX('Master Data'!$F$2:$F$2436,MATCH($B$3&amp;"|"&amp;D266&amp;"|"&amp;B266&amp;"|"&amp;C266,'Master Data'!$A$2:$A$2436,0))&amp;"","")</f>
        <v>Baby</v>
      </c>
      <c r="G266" s="66" t="n">
        <f aca="false">IFERROR(INDEX('Master Data'!$G$2:$G$2436,MATCH($B$3&amp;"|"&amp;D266&amp;"|"&amp;B266&amp;"|"&amp;C266,'Master Data'!$A$2:$A$2436,0)),"")</f>
        <v>5</v>
      </c>
      <c r="H266" s="67" t="str">
        <f aca="false">IFERROR(INDEX('Master Data'!$K$2:$K$2436,MATCH($B$3&amp;"|"&amp;D266&amp;"|"&amp;B266&amp;"|"&amp;C266,'Master Data'!$A$2:$A$2436,0))&amp;"","")</f>
        <v/>
      </c>
      <c r="I266" s="67" t="s">
        <v>402</v>
      </c>
      <c r="J266" s="67" t="s">
        <v>134</v>
      </c>
      <c r="K266" s="68"/>
      <c r="L266" s="68"/>
      <c r="M266" s="68"/>
      <c r="N266" s="69"/>
      <c r="O266" s="68"/>
    </row>
    <row r="267" customFormat="false" ht="40.5" hidden="false" customHeight="true" outlineLevel="0" collapsed="false">
      <c r="A267" s="66" t="n">
        <v>176</v>
      </c>
      <c r="B267" s="67" t="s">
        <v>93</v>
      </c>
      <c r="C267" s="66" t="s">
        <v>114</v>
      </c>
      <c r="D267" s="66" t="n">
        <v>2</v>
      </c>
      <c r="E267" s="67" t="str">
        <f aca="false">IFERROR(INDEX('Master Data'!$L$2:$L$2436,MATCH($B$3&amp;"|"&amp;D267&amp;"|"&amp;B267&amp;"|"&amp;C267,'Master Data'!$A$2:$A$2436,0)),"")</f>
        <v>Belum terisi</v>
      </c>
      <c r="F267" s="67" t="str">
        <f aca="false">IFERROR(INDEX('Master Data'!$F$2:$F$2436,MATCH($B$3&amp;"|"&amp;D267&amp;"|"&amp;B267&amp;"|"&amp;C267,'Master Data'!$A$2:$A$2436,0))&amp;"","")</f>
        <v>Tiny</v>
      </c>
      <c r="G267" s="66" t="n">
        <f aca="false">IFERROR(INDEX('Master Data'!$G$2:$G$2436,MATCH($B$3&amp;"|"&amp;D267&amp;"|"&amp;B267&amp;"|"&amp;C267,'Master Data'!$A$2:$A$2436,0)),"")</f>
        <v>5</v>
      </c>
      <c r="H267" s="67" t="str">
        <f aca="false">IFERROR(INDEX('Master Data'!$K$2:$K$2436,MATCH($B$3&amp;"|"&amp;D267&amp;"|"&amp;B267&amp;"|"&amp;C267,'Master Data'!$A$2:$A$2436,0))&amp;"","")</f>
        <v/>
      </c>
      <c r="I267" s="67" t="s">
        <v>402</v>
      </c>
      <c r="J267" s="67" t="s">
        <v>134</v>
      </c>
      <c r="K267" s="68"/>
      <c r="L267" s="68"/>
      <c r="M267" s="68"/>
      <c r="N267" s="69"/>
      <c r="O267" s="68"/>
    </row>
    <row r="268" customFormat="false" ht="40.5" hidden="false" customHeight="true" outlineLevel="0" collapsed="false">
      <c r="A268" s="66" t="n">
        <v>177</v>
      </c>
      <c r="B268" s="67" t="s">
        <v>93</v>
      </c>
      <c r="C268" s="66" t="s">
        <v>114</v>
      </c>
      <c r="D268" s="66" t="n">
        <v>5</v>
      </c>
      <c r="E268" s="67" t="str">
        <f aca="false">IFERROR(INDEX('Master Data'!$L$2:$L$2436,MATCH($B$3&amp;"|"&amp;D268&amp;"|"&amp;B268&amp;"|"&amp;C268,'Master Data'!$A$2:$A$2436,0)),"")</f>
        <v>Slot kosong</v>
      </c>
      <c r="F268" s="67" t="str">
        <f aca="false">IFERROR(INDEX('Master Data'!$F$2:$F$2436,MATCH($B$3&amp;"|"&amp;D268&amp;"|"&amp;B268&amp;"|"&amp;C268,'Master Data'!$A$2:$A$2436,0))&amp;"","")</f>
        <v/>
      </c>
      <c r="G268" s="66" t="n">
        <f aca="false">IFERROR(INDEX('Master Data'!$G$2:$G$2436,MATCH($B$3&amp;"|"&amp;D268&amp;"|"&amp;B268&amp;"|"&amp;C268,'Master Data'!$A$2:$A$2436,0)),"")</f>
        <v>4</v>
      </c>
      <c r="H268" s="67" t="str">
        <f aca="false">IFERROR(INDEX('Master Data'!$K$2:$K$2436,MATCH($B$3&amp;"|"&amp;D268&amp;"|"&amp;B268&amp;"|"&amp;C268,'Master Data'!$A$2:$A$2436,0))&amp;"","")</f>
        <v/>
      </c>
      <c r="I268" s="67" t="s">
        <v>402</v>
      </c>
      <c r="J268" s="67" t="s">
        <v>134</v>
      </c>
      <c r="K268" s="68"/>
      <c r="L268" s="68"/>
      <c r="M268" s="68"/>
      <c r="N268" s="69"/>
      <c r="O268" s="68"/>
    </row>
    <row r="269" customFormat="false" ht="40.5" hidden="false" customHeight="true" outlineLevel="0" collapsed="false">
      <c r="A269" s="66" t="n">
        <v>178</v>
      </c>
      <c r="B269" s="67" t="s">
        <v>93</v>
      </c>
      <c r="C269" s="66" t="s">
        <v>100</v>
      </c>
      <c r="D269" s="66" t="n">
        <v>3</v>
      </c>
      <c r="E269" s="67" t="str">
        <f aca="false">IFERROR(INDEX('Master Data'!$L$2:$L$2436,MATCH($B$3&amp;"|"&amp;D269&amp;"|"&amp;B269&amp;"|"&amp;C269,'Master Data'!$A$2:$A$2436,0)),"")</f>
        <v>Belum terisi</v>
      </c>
      <c r="F269" s="67" t="str">
        <f aca="false">IFERROR(INDEX('Master Data'!$F$2:$F$2436,MATCH($B$3&amp;"|"&amp;D269&amp;"|"&amp;B269&amp;"|"&amp;C269,'Master Data'!$A$2:$A$2436,0))&amp;"","")</f>
        <v>Little</v>
      </c>
      <c r="G269" s="66" t="n">
        <f aca="false">IFERROR(INDEX('Master Data'!$G$2:$G$2436,MATCH($B$3&amp;"|"&amp;D269&amp;"|"&amp;B269&amp;"|"&amp;C269,'Master Data'!$A$2:$A$2436,0)),"")</f>
        <v>4</v>
      </c>
      <c r="H269" s="67" t="str">
        <f aca="false">IFERROR(INDEX('Master Data'!$K$2:$K$2436,MATCH($B$3&amp;"|"&amp;D269&amp;"|"&amp;B269&amp;"|"&amp;C269,'Master Data'!$A$2:$A$2436,0))&amp;"","")</f>
        <v/>
      </c>
      <c r="I269" s="67" t="s">
        <v>402</v>
      </c>
      <c r="J269" s="67" t="s">
        <v>134</v>
      </c>
      <c r="K269" s="68"/>
      <c r="L269" s="68"/>
      <c r="M269" s="68"/>
      <c r="N269" s="69"/>
      <c r="O269" s="68"/>
    </row>
    <row r="270" customFormat="false" ht="40.5" hidden="false" customHeight="true" outlineLevel="0" collapsed="false">
      <c r="A270" s="66" t="n">
        <v>179</v>
      </c>
      <c r="B270" s="67" t="s">
        <v>93</v>
      </c>
      <c r="C270" s="66" t="s">
        <v>100</v>
      </c>
      <c r="D270" s="66" t="n">
        <v>4</v>
      </c>
      <c r="E270" s="67" t="str">
        <f aca="false">IFERROR(INDEX('Master Data'!$L$2:$L$2436,MATCH($B$3&amp;"|"&amp;D270&amp;"|"&amp;B270&amp;"|"&amp;C270,'Master Data'!$A$2:$A$2436,0)),"")</f>
        <v>Belum terisi</v>
      </c>
      <c r="F270" s="67" t="str">
        <f aca="false">IFERROR(INDEX('Master Data'!$F$2:$F$2436,MATCH($B$3&amp;"|"&amp;D270&amp;"|"&amp;B270&amp;"|"&amp;C270,'Master Data'!$A$2:$A$2436,0))&amp;"","")</f>
        <v>Kids</v>
      </c>
      <c r="G270" s="66" t="n">
        <f aca="false">IFERROR(INDEX('Master Data'!$G$2:$G$2436,MATCH($B$3&amp;"|"&amp;D270&amp;"|"&amp;B270&amp;"|"&amp;C270,'Master Data'!$A$2:$A$2436,0)),"")</f>
        <v>4</v>
      </c>
      <c r="H270" s="67" t="str">
        <f aca="false">IFERROR(INDEX('Master Data'!$K$2:$K$2436,MATCH($B$3&amp;"|"&amp;D270&amp;"|"&amp;B270&amp;"|"&amp;C270,'Master Data'!$A$2:$A$2436,0))&amp;"","")</f>
        <v/>
      </c>
      <c r="I270" s="67" t="s">
        <v>402</v>
      </c>
      <c r="J270" s="67" t="s">
        <v>134</v>
      </c>
      <c r="K270" s="68"/>
      <c r="L270" s="68"/>
      <c r="M270" s="68"/>
      <c r="N270" s="69"/>
      <c r="O270" s="68"/>
    </row>
    <row r="271" customFormat="false" ht="40.5" hidden="false" customHeight="true" outlineLevel="0" collapsed="false">
      <c r="A271" s="66" t="n">
        <v>180</v>
      </c>
      <c r="B271" s="67" t="s">
        <v>93</v>
      </c>
      <c r="C271" s="66" t="s">
        <v>115</v>
      </c>
      <c r="D271" s="66" t="n">
        <v>1</v>
      </c>
      <c r="E271" s="67" t="str">
        <f aca="false">IFERROR(INDEX('Master Data'!$L$2:$L$2436,MATCH($B$3&amp;"|"&amp;D271&amp;"|"&amp;B271&amp;"|"&amp;C271,'Master Data'!$A$2:$A$2436,0)),"")</f>
        <v>Belum terisi</v>
      </c>
      <c r="F271" s="67" t="str">
        <f aca="false">IFERROR(INDEX('Master Data'!$F$2:$F$2436,MATCH($B$3&amp;"|"&amp;D271&amp;"|"&amp;B271&amp;"|"&amp;C271,'Master Data'!$A$2:$A$2436,0))&amp;"","")</f>
        <v>Baby</v>
      </c>
      <c r="G271" s="66" t="n">
        <f aca="false">IFERROR(INDEX('Master Data'!$G$2:$G$2436,MATCH($B$3&amp;"|"&amp;D271&amp;"|"&amp;B271&amp;"|"&amp;C271,'Master Data'!$A$2:$A$2436,0)),"")</f>
        <v>5</v>
      </c>
      <c r="H271" s="67" t="str">
        <f aca="false">IFERROR(INDEX('Master Data'!$K$2:$K$2436,MATCH($B$3&amp;"|"&amp;D271&amp;"|"&amp;B271&amp;"|"&amp;C271,'Master Data'!$A$2:$A$2436,0))&amp;"","")</f>
        <v/>
      </c>
      <c r="I271" s="67" t="s">
        <v>402</v>
      </c>
      <c r="J271" s="67" t="s">
        <v>134</v>
      </c>
      <c r="K271" s="68"/>
      <c r="L271" s="68"/>
      <c r="M271" s="68"/>
      <c r="N271" s="69"/>
      <c r="O271" s="68"/>
    </row>
    <row r="272" customFormat="false" ht="40.5" hidden="false" customHeight="true" outlineLevel="0" collapsed="false">
      <c r="A272" s="66" t="n">
        <v>181</v>
      </c>
      <c r="B272" s="67" t="s">
        <v>93</v>
      </c>
      <c r="C272" s="66" t="s">
        <v>115</v>
      </c>
      <c r="D272" s="66" t="n">
        <v>2</v>
      </c>
      <c r="E272" s="67" t="str">
        <f aca="false">IFERROR(INDEX('Master Data'!$L$2:$L$2436,MATCH($B$3&amp;"|"&amp;D272&amp;"|"&amp;B272&amp;"|"&amp;C272,'Master Data'!$A$2:$A$2436,0)),"")</f>
        <v>Belum terisi</v>
      </c>
      <c r="F272" s="67" t="str">
        <f aca="false">IFERROR(INDEX('Master Data'!$F$2:$F$2436,MATCH($B$3&amp;"|"&amp;D272&amp;"|"&amp;B272&amp;"|"&amp;C272,'Master Data'!$A$2:$A$2436,0))&amp;"","")</f>
        <v>Tiny</v>
      </c>
      <c r="G272" s="66" t="n">
        <f aca="false">IFERROR(INDEX('Master Data'!$G$2:$G$2436,MATCH($B$3&amp;"|"&amp;D272&amp;"|"&amp;B272&amp;"|"&amp;C272,'Master Data'!$A$2:$A$2436,0)),"")</f>
        <v>5</v>
      </c>
      <c r="H272" s="67" t="str">
        <f aca="false">IFERROR(INDEX('Master Data'!$K$2:$K$2436,MATCH($B$3&amp;"|"&amp;D272&amp;"|"&amp;B272&amp;"|"&amp;C272,'Master Data'!$A$2:$A$2436,0))&amp;"","")</f>
        <v/>
      </c>
      <c r="I272" s="67" t="s">
        <v>402</v>
      </c>
      <c r="J272" s="67" t="s">
        <v>134</v>
      </c>
      <c r="K272" s="68"/>
      <c r="L272" s="68"/>
      <c r="M272" s="68"/>
      <c r="N272" s="69"/>
      <c r="O272" s="68"/>
    </row>
    <row r="273" customFormat="false" ht="40.5" hidden="false" customHeight="true" outlineLevel="0" collapsed="false">
      <c r="A273" s="66" t="n">
        <v>182</v>
      </c>
      <c r="B273" s="67" t="s">
        <v>93</v>
      </c>
      <c r="C273" s="66" t="s">
        <v>115</v>
      </c>
      <c r="D273" s="66" t="n">
        <v>5</v>
      </c>
      <c r="E273" s="67" t="str">
        <f aca="false">IFERROR(INDEX('Master Data'!$L$2:$L$2436,MATCH($B$3&amp;"|"&amp;D273&amp;"|"&amp;B273&amp;"|"&amp;C273,'Master Data'!$A$2:$A$2436,0)),"")</f>
        <v>Slot kosong</v>
      </c>
      <c r="F273" s="67" t="str">
        <f aca="false">IFERROR(INDEX('Master Data'!$F$2:$F$2436,MATCH($B$3&amp;"|"&amp;D273&amp;"|"&amp;B273&amp;"|"&amp;C273,'Master Data'!$A$2:$A$2436,0))&amp;"","")</f>
        <v/>
      </c>
      <c r="G273" s="66" t="n">
        <f aca="false">IFERROR(INDEX('Master Data'!$G$2:$G$2436,MATCH($B$3&amp;"|"&amp;D273&amp;"|"&amp;B273&amp;"|"&amp;C273,'Master Data'!$A$2:$A$2436,0)),"")</f>
        <v>4</v>
      </c>
      <c r="H273" s="67" t="str">
        <f aca="false">IFERROR(INDEX('Master Data'!$K$2:$K$2436,MATCH($B$3&amp;"|"&amp;D273&amp;"|"&amp;B273&amp;"|"&amp;C273,'Master Data'!$A$2:$A$2436,0))&amp;"","")</f>
        <v/>
      </c>
      <c r="I273" s="67" t="s">
        <v>402</v>
      </c>
      <c r="J273" s="67" t="s">
        <v>134</v>
      </c>
      <c r="K273" s="68"/>
      <c r="L273" s="68"/>
      <c r="M273" s="68"/>
      <c r="N273" s="69"/>
      <c r="O273" s="68"/>
    </row>
    <row r="274" customFormat="false" ht="40.5" hidden="false" customHeight="true" outlineLevel="0" collapsed="false">
      <c r="A274" s="66" t="n">
        <v>183</v>
      </c>
      <c r="B274" s="67" t="s">
        <v>93</v>
      </c>
      <c r="C274" s="66" t="s">
        <v>101</v>
      </c>
      <c r="D274" s="66" t="n">
        <v>3</v>
      </c>
      <c r="E274" s="67" t="str">
        <f aca="false">IFERROR(INDEX('Master Data'!$L$2:$L$2436,MATCH($B$3&amp;"|"&amp;D274&amp;"|"&amp;B274&amp;"|"&amp;C274,'Master Data'!$A$2:$A$2436,0)),"")</f>
        <v>Belum terisi</v>
      </c>
      <c r="F274" s="67" t="str">
        <f aca="false">IFERROR(INDEX('Master Data'!$F$2:$F$2436,MATCH($B$3&amp;"|"&amp;D274&amp;"|"&amp;B274&amp;"|"&amp;C274,'Master Data'!$A$2:$A$2436,0))&amp;"","")</f>
        <v>Little</v>
      </c>
      <c r="G274" s="66" t="n">
        <f aca="false">IFERROR(INDEX('Master Data'!$G$2:$G$2436,MATCH($B$3&amp;"|"&amp;D274&amp;"|"&amp;B274&amp;"|"&amp;C274,'Master Data'!$A$2:$A$2436,0)),"")</f>
        <v>4</v>
      </c>
      <c r="H274" s="67" t="str">
        <f aca="false">IFERROR(INDEX('Master Data'!$K$2:$K$2436,MATCH($B$3&amp;"|"&amp;D274&amp;"|"&amp;B274&amp;"|"&amp;C274,'Master Data'!$A$2:$A$2436,0))&amp;"","")</f>
        <v/>
      </c>
      <c r="I274" s="67" t="s">
        <v>402</v>
      </c>
      <c r="J274" s="67" t="s">
        <v>134</v>
      </c>
      <c r="K274" s="68"/>
      <c r="L274" s="68"/>
      <c r="M274" s="68"/>
      <c r="N274" s="69"/>
      <c r="O274" s="68"/>
    </row>
    <row r="275" customFormat="false" ht="40.5" hidden="false" customHeight="true" outlineLevel="0" collapsed="false">
      <c r="A275" s="66" t="n">
        <v>184</v>
      </c>
      <c r="B275" s="67" t="s">
        <v>93</v>
      </c>
      <c r="C275" s="66" t="s">
        <v>101</v>
      </c>
      <c r="D275" s="66" t="n">
        <v>4</v>
      </c>
      <c r="E275" s="67" t="str">
        <f aca="false">IFERROR(INDEX('Master Data'!$L$2:$L$2436,MATCH($B$3&amp;"|"&amp;D275&amp;"|"&amp;B275&amp;"|"&amp;C275,'Master Data'!$A$2:$A$2436,0)),"")</f>
        <v>Belum terisi</v>
      </c>
      <c r="F275" s="67" t="str">
        <f aca="false">IFERROR(INDEX('Master Data'!$F$2:$F$2436,MATCH($B$3&amp;"|"&amp;D275&amp;"|"&amp;B275&amp;"|"&amp;C275,'Master Data'!$A$2:$A$2436,0))&amp;"","")</f>
        <v>Kids</v>
      </c>
      <c r="G275" s="66" t="n">
        <f aca="false">IFERROR(INDEX('Master Data'!$G$2:$G$2436,MATCH($B$3&amp;"|"&amp;D275&amp;"|"&amp;B275&amp;"|"&amp;C275,'Master Data'!$A$2:$A$2436,0)),"")</f>
        <v>4</v>
      </c>
      <c r="H275" s="67" t="str">
        <f aca="false">IFERROR(INDEX('Master Data'!$K$2:$K$2436,MATCH($B$3&amp;"|"&amp;D275&amp;"|"&amp;B275&amp;"|"&amp;C275,'Master Data'!$A$2:$A$2436,0))&amp;"","")</f>
        <v/>
      </c>
      <c r="I275" s="67" t="s">
        <v>402</v>
      </c>
      <c r="J275" s="67" t="s">
        <v>134</v>
      </c>
      <c r="K275" s="68"/>
      <c r="L275" s="68"/>
      <c r="M275" s="68"/>
      <c r="N275" s="69"/>
      <c r="O275" s="68"/>
    </row>
    <row r="276" customFormat="false" ht="27.75" hidden="false" customHeight="true" outlineLevel="0" collapsed="false">
      <c r="A276" s="66" t="n">
        <v>185</v>
      </c>
      <c r="B276" s="67" t="s">
        <v>93</v>
      </c>
      <c r="C276" s="66" t="s">
        <v>116</v>
      </c>
      <c r="D276" s="66" t="n">
        <v>1</v>
      </c>
      <c r="E276" s="67" t="str">
        <f aca="false">IFERROR(INDEX('Master Data'!$L$2:$L$2436,MATCH($B$3&amp;"|"&amp;D276&amp;"|"&amp;B276&amp;"|"&amp;C276,'Master Data'!$A$2:$A$2436,0)),"")</f>
        <v>Belum terisi</v>
      </c>
      <c r="F276" s="67" t="str">
        <f aca="false">IFERROR(INDEX('Master Data'!$F$2:$F$2436,MATCH($B$3&amp;"|"&amp;D276&amp;"|"&amp;B276&amp;"|"&amp;C276,'Master Data'!$A$2:$A$2436,0))&amp;"","")</f>
        <v>Baby</v>
      </c>
      <c r="G276" s="66" t="n">
        <f aca="false">IFERROR(INDEX('Master Data'!$G$2:$G$2436,MATCH($B$3&amp;"|"&amp;D276&amp;"|"&amp;B276&amp;"|"&amp;C276,'Master Data'!$A$2:$A$2436,0)),"")</f>
        <v>5</v>
      </c>
      <c r="H276" s="67" t="str">
        <f aca="false">IFERROR(INDEX('Master Data'!$K$2:$K$2436,MATCH($B$3&amp;"|"&amp;D276&amp;"|"&amp;B276&amp;"|"&amp;C276,'Master Data'!$A$2:$A$2436,0))&amp;"","")</f>
        <v/>
      </c>
      <c r="I276" s="67" t="s">
        <v>406</v>
      </c>
      <c r="J276" s="67" t="s">
        <v>134</v>
      </c>
      <c r="K276" s="68"/>
      <c r="L276" s="68"/>
      <c r="M276" s="68"/>
      <c r="N276" s="69"/>
      <c r="O276" s="68"/>
    </row>
    <row r="277" customFormat="false" ht="27.75" hidden="false" customHeight="true" outlineLevel="0" collapsed="false">
      <c r="A277" s="66" t="n">
        <v>186</v>
      </c>
      <c r="B277" s="67" t="s">
        <v>93</v>
      </c>
      <c r="C277" s="66" t="s">
        <v>116</v>
      </c>
      <c r="D277" s="66" t="n">
        <v>2</v>
      </c>
      <c r="E277" s="67" t="str">
        <f aca="false">IFERROR(INDEX('Master Data'!$L$2:$L$2436,MATCH($B$3&amp;"|"&amp;D277&amp;"|"&amp;B277&amp;"|"&amp;C277,'Master Data'!$A$2:$A$2436,0)),"")</f>
        <v>Belum terisi</v>
      </c>
      <c r="F277" s="67" t="str">
        <f aca="false">IFERROR(INDEX('Master Data'!$F$2:$F$2436,MATCH($B$3&amp;"|"&amp;D277&amp;"|"&amp;B277&amp;"|"&amp;C277,'Master Data'!$A$2:$A$2436,0))&amp;"","")</f>
        <v>Tiny</v>
      </c>
      <c r="G277" s="66" t="n">
        <f aca="false">IFERROR(INDEX('Master Data'!$G$2:$G$2436,MATCH($B$3&amp;"|"&amp;D277&amp;"|"&amp;B277&amp;"|"&amp;C277,'Master Data'!$A$2:$A$2436,0)),"")</f>
        <v>5</v>
      </c>
      <c r="H277" s="67" t="str">
        <f aca="false">IFERROR(INDEX('Master Data'!$K$2:$K$2436,MATCH($B$3&amp;"|"&amp;D277&amp;"|"&amp;B277&amp;"|"&amp;C277,'Master Data'!$A$2:$A$2436,0))&amp;"","")</f>
        <v/>
      </c>
      <c r="I277" s="67" t="s">
        <v>406</v>
      </c>
      <c r="J277" s="67" t="s">
        <v>134</v>
      </c>
      <c r="K277" s="68"/>
      <c r="L277" s="68"/>
      <c r="M277" s="68"/>
      <c r="N277" s="69"/>
      <c r="O277" s="68"/>
    </row>
    <row r="278" customFormat="false" ht="27.75" hidden="false" customHeight="true" outlineLevel="0" collapsed="false">
      <c r="A278" s="66" t="n">
        <v>187</v>
      </c>
      <c r="B278" s="67" t="s">
        <v>93</v>
      </c>
      <c r="C278" s="66" t="s">
        <v>116</v>
      </c>
      <c r="D278" s="66" t="n">
        <v>5</v>
      </c>
      <c r="E278" s="67" t="str">
        <f aca="false">IFERROR(INDEX('Master Data'!$L$2:$L$2436,MATCH($B$3&amp;"|"&amp;D278&amp;"|"&amp;B278&amp;"|"&amp;C278,'Master Data'!$A$2:$A$2436,0)),"")</f>
        <v>Slot kosong</v>
      </c>
      <c r="F278" s="67" t="str">
        <f aca="false">IFERROR(INDEX('Master Data'!$F$2:$F$2436,MATCH($B$3&amp;"|"&amp;D278&amp;"|"&amp;B278&amp;"|"&amp;C278,'Master Data'!$A$2:$A$2436,0))&amp;"","")</f>
        <v/>
      </c>
      <c r="G278" s="66" t="n">
        <f aca="false">IFERROR(INDEX('Master Data'!$G$2:$G$2436,MATCH($B$3&amp;"|"&amp;D278&amp;"|"&amp;B278&amp;"|"&amp;C278,'Master Data'!$A$2:$A$2436,0)),"")</f>
        <v>4</v>
      </c>
      <c r="H278" s="67" t="str">
        <f aca="false">IFERROR(INDEX('Master Data'!$K$2:$K$2436,MATCH($B$3&amp;"|"&amp;D278&amp;"|"&amp;B278&amp;"|"&amp;C278,'Master Data'!$A$2:$A$2436,0))&amp;"","")</f>
        <v/>
      </c>
      <c r="I278" s="67" t="s">
        <v>406</v>
      </c>
      <c r="J278" s="67" t="s">
        <v>134</v>
      </c>
      <c r="K278" s="68"/>
      <c r="L278" s="68"/>
      <c r="M278" s="68"/>
      <c r="N278" s="69"/>
      <c r="O278" s="68"/>
    </row>
    <row r="279" customFormat="false" ht="27.75" hidden="false" customHeight="true" outlineLevel="0" collapsed="false">
      <c r="A279" s="66" t="n">
        <v>188</v>
      </c>
      <c r="B279" s="67" t="s">
        <v>93</v>
      </c>
      <c r="C279" s="66" t="s">
        <v>102</v>
      </c>
      <c r="D279" s="66" t="n">
        <v>4</v>
      </c>
      <c r="E279" s="67" t="str">
        <f aca="false">IFERROR(INDEX('Master Data'!$L$2:$L$2436,MATCH($B$3&amp;"|"&amp;D279&amp;"|"&amp;B279&amp;"|"&amp;C279,'Master Data'!$A$2:$A$2436,0)),"")</f>
        <v>Belum terisi</v>
      </c>
      <c r="F279" s="67" t="str">
        <f aca="false">IFERROR(INDEX('Master Data'!$F$2:$F$2436,MATCH($B$3&amp;"|"&amp;D279&amp;"|"&amp;B279&amp;"|"&amp;C279,'Master Data'!$A$2:$A$2436,0))&amp;"","")</f>
        <v>Kids</v>
      </c>
      <c r="G279" s="66" t="n">
        <f aca="false">IFERROR(INDEX('Master Data'!$G$2:$G$2436,MATCH($B$3&amp;"|"&amp;D279&amp;"|"&amp;B279&amp;"|"&amp;C279,'Master Data'!$A$2:$A$2436,0)),"")</f>
        <v>4</v>
      </c>
      <c r="H279" s="67" t="str">
        <f aca="false">IFERROR(INDEX('Master Data'!$K$2:$K$2436,MATCH($B$3&amp;"|"&amp;D279&amp;"|"&amp;B279&amp;"|"&amp;C279,'Master Data'!$A$2:$A$2436,0))&amp;"","")</f>
        <v/>
      </c>
      <c r="I279" s="67" t="s">
        <v>406</v>
      </c>
      <c r="J279" s="67" t="s">
        <v>134</v>
      </c>
      <c r="K279" s="68"/>
      <c r="L279" s="68"/>
      <c r="M279" s="68"/>
      <c r="N279" s="69"/>
      <c r="O279" s="68"/>
    </row>
    <row r="280" customFormat="false" ht="27.75" hidden="false" customHeight="true" outlineLevel="0" collapsed="false">
      <c r="A280" s="66" t="n">
        <v>189</v>
      </c>
      <c r="B280" s="67" t="s">
        <v>93</v>
      </c>
      <c r="C280" s="66" t="s">
        <v>117</v>
      </c>
      <c r="D280" s="66" t="n">
        <v>1</v>
      </c>
      <c r="E280" s="67" t="str">
        <f aca="false">IFERROR(INDEX('Master Data'!$L$2:$L$2436,MATCH($B$3&amp;"|"&amp;D280&amp;"|"&amp;B280&amp;"|"&amp;C280,'Master Data'!$A$2:$A$2436,0)),"")</f>
        <v>Belum terisi</v>
      </c>
      <c r="F280" s="67" t="str">
        <f aca="false">IFERROR(INDEX('Master Data'!$F$2:$F$2436,MATCH($B$3&amp;"|"&amp;D280&amp;"|"&amp;B280&amp;"|"&amp;C280,'Master Data'!$A$2:$A$2436,0))&amp;"","")</f>
        <v>Baby</v>
      </c>
      <c r="G280" s="66" t="n">
        <f aca="false">IFERROR(INDEX('Master Data'!$G$2:$G$2436,MATCH($B$3&amp;"|"&amp;D280&amp;"|"&amp;B280&amp;"|"&amp;C280,'Master Data'!$A$2:$A$2436,0)),"")</f>
        <v>5</v>
      </c>
      <c r="H280" s="67" t="str">
        <f aca="false">IFERROR(INDEX('Master Data'!$K$2:$K$2436,MATCH($B$3&amp;"|"&amp;D280&amp;"|"&amp;B280&amp;"|"&amp;C280,'Master Data'!$A$2:$A$2436,0))&amp;"","")</f>
        <v/>
      </c>
      <c r="I280" s="67" t="s">
        <v>406</v>
      </c>
      <c r="J280" s="67" t="s">
        <v>134</v>
      </c>
      <c r="K280" s="68"/>
      <c r="L280" s="68"/>
      <c r="M280" s="68"/>
      <c r="N280" s="69"/>
      <c r="O280" s="68"/>
    </row>
    <row r="281" customFormat="false" ht="27.75" hidden="false" customHeight="true" outlineLevel="0" collapsed="false">
      <c r="A281" s="66" t="n">
        <v>190</v>
      </c>
      <c r="B281" s="67" t="s">
        <v>93</v>
      </c>
      <c r="C281" s="66" t="s">
        <v>117</v>
      </c>
      <c r="D281" s="66" t="n">
        <v>2</v>
      </c>
      <c r="E281" s="67" t="str">
        <f aca="false">IFERROR(INDEX('Master Data'!$L$2:$L$2436,MATCH($B$3&amp;"|"&amp;D281&amp;"|"&amp;B281&amp;"|"&amp;C281,'Master Data'!$A$2:$A$2436,0)),"")</f>
        <v>Belum terisi</v>
      </c>
      <c r="F281" s="67" t="str">
        <f aca="false">IFERROR(INDEX('Master Data'!$F$2:$F$2436,MATCH($B$3&amp;"|"&amp;D281&amp;"|"&amp;B281&amp;"|"&amp;C281,'Master Data'!$A$2:$A$2436,0))&amp;"","")</f>
        <v>Tiny</v>
      </c>
      <c r="G281" s="66" t="n">
        <f aca="false">IFERROR(INDEX('Master Data'!$G$2:$G$2436,MATCH($B$3&amp;"|"&amp;D281&amp;"|"&amp;B281&amp;"|"&amp;C281,'Master Data'!$A$2:$A$2436,0)),"")</f>
        <v>5</v>
      </c>
      <c r="H281" s="67" t="str">
        <f aca="false">IFERROR(INDEX('Master Data'!$K$2:$K$2436,MATCH($B$3&amp;"|"&amp;D281&amp;"|"&amp;B281&amp;"|"&amp;C281,'Master Data'!$A$2:$A$2436,0))&amp;"","")</f>
        <v/>
      </c>
      <c r="I281" s="67" t="s">
        <v>406</v>
      </c>
      <c r="J281" s="67" t="s">
        <v>134</v>
      </c>
      <c r="K281" s="68"/>
      <c r="L281" s="68"/>
      <c r="M281" s="68"/>
      <c r="N281" s="69"/>
      <c r="O281" s="68"/>
    </row>
    <row r="282" customFormat="false" ht="27.75" hidden="false" customHeight="true" outlineLevel="0" collapsed="false">
      <c r="A282" s="66" t="n">
        <v>191</v>
      </c>
      <c r="B282" s="67" t="s">
        <v>93</v>
      </c>
      <c r="C282" s="66" t="s">
        <v>117</v>
      </c>
      <c r="D282" s="66" t="n">
        <v>5</v>
      </c>
      <c r="E282" s="67" t="str">
        <f aca="false">IFERROR(INDEX('Master Data'!$L$2:$L$2436,MATCH($B$3&amp;"|"&amp;D282&amp;"|"&amp;B282&amp;"|"&amp;C282,'Master Data'!$A$2:$A$2436,0)),"")</f>
        <v>Slot kosong</v>
      </c>
      <c r="F282" s="67" t="str">
        <f aca="false">IFERROR(INDEX('Master Data'!$F$2:$F$2436,MATCH($B$3&amp;"|"&amp;D282&amp;"|"&amp;B282&amp;"|"&amp;C282,'Master Data'!$A$2:$A$2436,0))&amp;"","")</f>
        <v/>
      </c>
      <c r="G282" s="66" t="n">
        <f aca="false">IFERROR(INDEX('Master Data'!$G$2:$G$2436,MATCH($B$3&amp;"|"&amp;D282&amp;"|"&amp;B282&amp;"|"&amp;C282,'Master Data'!$A$2:$A$2436,0)),"")</f>
        <v>4</v>
      </c>
      <c r="H282" s="67" t="str">
        <f aca="false">IFERROR(INDEX('Master Data'!$K$2:$K$2436,MATCH($B$3&amp;"|"&amp;D282&amp;"|"&amp;B282&amp;"|"&amp;C282,'Master Data'!$A$2:$A$2436,0))&amp;"","")</f>
        <v/>
      </c>
      <c r="I282" s="67" t="s">
        <v>406</v>
      </c>
      <c r="J282" s="67" t="s">
        <v>134</v>
      </c>
      <c r="K282" s="68"/>
      <c r="L282" s="68"/>
      <c r="M282" s="68"/>
      <c r="N282" s="69"/>
      <c r="O282" s="68"/>
    </row>
    <row r="283" customFormat="false" ht="40.5" hidden="false" customHeight="true" outlineLevel="0" collapsed="false">
      <c r="A283" s="66" t="n">
        <v>192</v>
      </c>
      <c r="B283" s="67" t="s">
        <v>93</v>
      </c>
      <c r="C283" s="66" t="s">
        <v>103</v>
      </c>
      <c r="D283" s="66" t="n">
        <v>3</v>
      </c>
      <c r="E283" s="67" t="str">
        <f aca="false">IFERROR(INDEX('Master Data'!$L$2:$L$2436,MATCH($B$3&amp;"|"&amp;D283&amp;"|"&amp;B283&amp;"|"&amp;C283,'Master Data'!$A$2:$A$2436,0)),"")</f>
        <v>Belum terisi</v>
      </c>
      <c r="F283" s="67" t="str">
        <f aca="false">IFERROR(INDEX('Master Data'!$F$2:$F$2436,MATCH($B$3&amp;"|"&amp;D283&amp;"|"&amp;B283&amp;"|"&amp;C283,'Master Data'!$A$2:$A$2436,0))&amp;"","")</f>
        <v>Little</v>
      </c>
      <c r="G283" s="66" t="n">
        <f aca="false">IFERROR(INDEX('Master Data'!$G$2:$G$2436,MATCH($B$3&amp;"|"&amp;D283&amp;"|"&amp;B283&amp;"|"&amp;C283,'Master Data'!$A$2:$A$2436,0)),"")</f>
        <v>4</v>
      </c>
      <c r="H283" s="67" t="str">
        <f aca="false">IFERROR(INDEX('Master Data'!$K$2:$K$2436,MATCH($B$3&amp;"|"&amp;D283&amp;"|"&amp;B283&amp;"|"&amp;C283,'Master Data'!$A$2:$A$2436,0))&amp;"","")</f>
        <v/>
      </c>
      <c r="I283" s="67" t="s">
        <v>402</v>
      </c>
      <c r="J283" s="67" t="s">
        <v>134</v>
      </c>
      <c r="K283" s="68"/>
      <c r="L283" s="68"/>
      <c r="M283" s="68"/>
      <c r="N283" s="69"/>
      <c r="O283" s="68"/>
    </row>
    <row r="284" customFormat="false" ht="40.5" hidden="false" customHeight="true" outlineLevel="0" collapsed="false">
      <c r="A284" s="66" t="n">
        <v>193</v>
      </c>
      <c r="B284" s="67" t="s">
        <v>93</v>
      </c>
      <c r="C284" s="66" t="s">
        <v>103</v>
      </c>
      <c r="D284" s="66" t="n">
        <v>4</v>
      </c>
      <c r="E284" s="67" t="str">
        <f aca="false">IFERROR(INDEX('Master Data'!$L$2:$L$2436,MATCH($B$3&amp;"|"&amp;D284&amp;"|"&amp;B284&amp;"|"&amp;C284,'Master Data'!$A$2:$A$2436,0)),"")</f>
        <v>Belum terisi</v>
      </c>
      <c r="F284" s="67" t="str">
        <f aca="false">IFERROR(INDEX('Master Data'!$F$2:$F$2436,MATCH($B$3&amp;"|"&amp;D284&amp;"|"&amp;B284&amp;"|"&amp;C284,'Master Data'!$A$2:$A$2436,0))&amp;"","")</f>
        <v>Kids</v>
      </c>
      <c r="G284" s="66" t="n">
        <f aca="false">IFERROR(INDEX('Master Data'!$G$2:$G$2436,MATCH($B$3&amp;"|"&amp;D284&amp;"|"&amp;B284&amp;"|"&amp;C284,'Master Data'!$A$2:$A$2436,0)),"")</f>
        <v>4</v>
      </c>
      <c r="H284" s="67" t="str">
        <f aca="false">IFERROR(INDEX('Master Data'!$K$2:$K$2436,MATCH($B$3&amp;"|"&amp;D284&amp;"|"&amp;B284&amp;"|"&amp;C284,'Master Data'!$A$2:$A$2436,0))&amp;"","")</f>
        <v/>
      </c>
      <c r="I284" s="67" t="s">
        <v>402</v>
      </c>
      <c r="J284" s="67" t="s">
        <v>134</v>
      </c>
      <c r="K284" s="68"/>
      <c r="L284" s="68"/>
      <c r="M284" s="68"/>
      <c r="N284" s="69"/>
      <c r="O284" s="68"/>
    </row>
    <row r="285" customFormat="false" ht="27.75" hidden="false" customHeight="true" outlineLevel="0" collapsed="false">
      <c r="A285" s="66" t="n">
        <v>194</v>
      </c>
      <c r="B285" s="67" t="s">
        <v>93</v>
      </c>
      <c r="C285" s="66" t="s">
        <v>118</v>
      </c>
      <c r="D285" s="66" t="n">
        <v>1</v>
      </c>
      <c r="E285" s="67" t="str">
        <f aca="false">IFERROR(INDEX('Master Data'!$L$2:$L$2436,MATCH($B$3&amp;"|"&amp;D285&amp;"|"&amp;B285&amp;"|"&amp;C285,'Master Data'!$A$2:$A$2436,0)),"")</f>
        <v>Belum terisi</v>
      </c>
      <c r="F285" s="67" t="str">
        <f aca="false">IFERROR(INDEX('Master Data'!$F$2:$F$2436,MATCH($B$3&amp;"|"&amp;D285&amp;"|"&amp;B285&amp;"|"&amp;C285,'Master Data'!$A$2:$A$2436,0))&amp;"","")</f>
        <v>Baby</v>
      </c>
      <c r="G285" s="66" t="n">
        <f aca="false">IFERROR(INDEX('Master Data'!$G$2:$G$2436,MATCH($B$3&amp;"|"&amp;D285&amp;"|"&amp;B285&amp;"|"&amp;C285,'Master Data'!$A$2:$A$2436,0)),"")</f>
        <v>5</v>
      </c>
      <c r="H285" s="67" t="str">
        <f aca="false">IFERROR(INDEX('Master Data'!$K$2:$K$2436,MATCH($B$3&amp;"|"&amp;D285&amp;"|"&amp;B285&amp;"|"&amp;C285,'Master Data'!$A$2:$A$2436,0))&amp;"","")</f>
        <v/>
      </c>
      <c r="I285" s="67" t="s">
        <v>403</v>
      </c>
      <c r="J285" s="67" t="s">
        <v>134</v>
      </c>
      <c r="K285" s="68"/>
      <c r="L285" s="68"/>
      <c r="M285" s="68"/>
      <c r="N285" s="69"/>
      <c r="O285" s="68"/>
    </row>
    <row r="286" customFormat="false" ht="27.75" hidden="false" customHeight="true" outlineLevel="0" collapsed="false">
      <c r="A286" s="66" t="n">
        <v>195</v>
      </c>
      <c r="B286" s="67" t="s">
        <v>93</v>
      </c>
      <c r="C286" s="66" t="s">
        <v>118</v>
      </c>
      <c r="D286" s="66" t="n">
        <v>2</v>
      </c>
      <c r="E286" s="67" t="str">
        <f aca="false">IFERROR(INDEX('Master Data'!$L$2:$L$2436,MATCH($B$3&amp;"|"&amp;D286&amp;"|"&amp;B286&amp;"|"&amp;C286,'Master Data'!$A$2:$A$2436,0)),"")</f>
        <v>Belum terisi</v>
      </c>
      <c r="F286" s="67" t="str">
        <f aca="false">IFERROR(INDEX('Master Data'!$F$2:$F$2436,MATCH($B$3&amp;"|"&amp;D286&amp;"|"&amp;B286&amp;"|"&amp;C286,'Master Data'!$A$2:$A$2436,0))&amp;"","")</f>
        <v>Tiny</v>
      </c>
      <c r="G286" s="66" t="n">
        <f aca="false">IFERROR(INDEX('Master Data'!$G$2:$G$2436,MATCH($B$3&amp;"|"&amp;D286&amp;"|"&amp;B286&amp;"|"&amp;C286,'Master Data'!$A$2:$A$2436,0)),"")</f>
        <v>5</v>
      </c>
      <c r="H286" s="67" t="str">
        <f aca="false">IFERROR(INDEX('Master Data'!$K$2:$K$2436,MATCH($B$3&amp;"|"&amp;D286&amp;"|"&amp;B286&amp;"|"&amp;C286,'Master Data'!$A$2:$A$2436,0))&amp;"","")</f>
        <v/>
      </c>
      <c r="I286" s="67" t="s">
        <v>403</v>
      </c>
      <c r="J286" s="67" t="s">
        <v>134</v>
      </c>
      <c r="K286" s="68"/>
      <c r="L286" s="68"/>
      <c r="M286" s="68"/>
      <c r="N286" s="69"/>
      <c r="O286" s="68"/>
    </row>
    <row r="287" customFormat="false" ht="27.75" hidden="false" customHeight="true" outlineLevel="0" collapsed="false">
      <c r="A287" s="66" t="n">
        <v>196</v>
      </c>
      <c r="B287" s="67" t="s">
        <v>93</v>
      </c>
      <c r="C287" s="66" t="s">
        <v>118</v>
      </c>
      <c r="D287" s="66" t="n">
        <v>5</v>
      </c>
      <c r="E287" s="67" t="str">
        <f aca="false">IFERROR(INDEX('Master Data'!$L$2:$L$2436,MATCH($B$3&amp;"|"&amp;D287&amp;"|"&amp;B287&amp;"|"&amp;C287,'Master Data'!$A$2:$A$2436,0)),"")</f>
        <v>Slot kosong</v>
      </c>
      <c r="F287" s="67" t="str">
        <f aca="false">IFERROR(INDEX('Master Data'!$F$2:$F$2436,MATCH($B$3&amp;"|"&amp;D287&amp;"|"&amp;B287&amp;"|"&amp;C287,'Master Data'!$A$2:$A$2436,0))&amp;"","")</f>
        <v/>
      </c>
      <c r="G287" s="66" t="n">
        <f aca="false">IFERROR(INDEX('Master Data'!$G$2:$G$2436,MATCH($B$3&amp;"|"&amp;D287&amp;"|"&amp;B287&amp;"|"&amp;C287,'Master Data'!$A$2:$A$2436,0)),"")</f>
        <v>4</v>
      </c>
      <c r="H287" s="67" t="str">
        <f aca="false">IFERROR(INDEX('Master Data'!$K$2:$K$2436,MATCH($B$3&amp;"|"&amp;D287&amp;"|"&amp;B287&amp;"|"&amp;C287,'Master Data'!$A$2:$A$2436,0))&amp;"","")</f>
        <v/>
      </c>
      <c r="I287" s="67" t="s">
        <v>403</v>
      </c>
      <c r="J287" s="67" t="s">
        <v>134</v>
      </c>
      <c r="K287" s="68"/>
      <c r="L287" s="68"/>
      <c r="M287" s="68"/>
      <c r="N287" s="69"/>
      <c r="O287" s="68"/>
    </row>
    <row r="288" customFormat="false" ht="27.75" hidden="false" customHeight="true" outlineLevel="0" collapsed="false">
      <c r="A288" s="66" t="n">
        <v>197</v>
      </c>
      <c r="B288" s="67" t="s">
        <v>93</v>
      </c>
      <c r="C288" s="66" t="s">
        <v>104</v>
      </c>
      <c r="D288" s="66" t="n">
        <v>3</v>
      </c>
      <c r="E288" s="67" t="str">
        <f aca="false">IFERROR(INDEX('Master Data'!$L$2:$L$2436,MATCH($B$3&amp;"|"&amp;D288&amp;"|"&amp;B288&amp;"|"&amp;C288,'Master Data'!$A$2:$A$2436,0)),"")</f>
        <v>Belum terisi</v>
      </c>
      <c r="F288" s="67" t="str">
        <f aca="false">IFERROR(INDEX('Master Data'!$F$2:$F$2436,MATCH($B$3&amp;"|"&amp;D288&amp;"|"&amp;B288&amp;"|"&amp;C288,'Master Data'!$A$2:$A$2436,0))&amp;"","")</f>
        <v>Little</v>
      </c>
      <c r="G288" s="66" t="n">
        <f aca="false">IFERROR(INDEX('Master Data'!$G$2:$G$2436,MATCH($B$3&amp;"|"&amp;D288&amp;"|"&amp;B288&amp;"|"&amp;C288,'Master Data'!$A$2:$A$2436,0)),"")</f>
        <v>4</v>
      </c>
      <c r="H288" s="67" t="str">
        <f aca="false">IFERROR(INDEX('Master Data'!$K$2:$K$2436,MATCH($B$3&amp;"|"&amp;D288&amp;"|"&amp;B288&amp;"|"&amp;C288,'Master Data'!$A$2:$A$2436,0))&amp;"","")</f>
        <v/>
      </c>
      <c r="I288" s="67" t="s">
        <v>403</v>
      </c>
      <c r="J288" s="67" t="s">
        <v>134</v>
      </c>
      <c r="K288" s="68"/>
      <c r="L288" s="68"/>
      <c r="M288" s="68"/>
      <c r="N288" s="69"/>
      <c r="O288" s="68"/>
    </row>
    <row r="289" customFormat="false" ht="15.75" hidden="false" customHeight="true" outlineLevel="0" collapsed="false">
      <c r="A289" s="66" t="n">
        <v>198</v>
      </c>
      <c r="B289" s="67" t="s">
        <v>93</v>
      </c>
      <c r="C289" s="66" t="s">
        <v>119</v>
      </c>
      <c r="D289" s="66" t="n">
        <v>1</v>
      </c>
      <c r="E289" s="67" t="str">
        <f aca="false">IFERROR(INDEX('Master Data'!$L$2:$L$2436,MATCH($B$3&amp;"|"&amp;D289&amp;"|"&amp;B289&amp;"|"&amp;C289,'Master Data'!$A$2:$A$2436,0)),"")</f>
        <v>Belum terisi</v>
      </c>
      <c r="F289" s="67" t="str">
        <f aca="false">IFERROR(INDEX('Master Data'!$F$2:$F$2436,MATCH($B$3&amp;"|"&amp;D289&amp;"|"&amp;B289&amp;"|"&amp;C289,'Master Data'!$A$2:$A$2436,0))&amp;"","")</f>
        <v>Baby</v>
      </c>
      <c r="G289" s="66" t="n">
        <f aca="false">IFERROR(INDEX('Master Data'!$G$2:$G$2436,MATCH($B$3&amp;"|"&amp;D289&amp;"|"&amp;B289&amp;"|"&amp;C289,'Master Data'!$A$2:$A$2436,0)),"")</f>
        <v>5</v>
      </c>
      <c r="H289" s="67" t="str">
        <f aca="false">IFERROR(INDEX('Master Data'!$K$2:$K$2436,MATCH($B$3&amp;"|"&amp;D289&amp;"|"&amp;B289&amp;"|"&amp;C289,'Master Data'!$A$2:$A$2436,0))&amp;"","")</f>
        <v/>
      </c>
      <c r="I289" s="67" t="s">
        <v>405</v>
      </c>
      <c r="J289" s="67" t="s">
        <v>221</v>
      </c>
      <c r="K289" s="68"/>
      <c r="L289" s="68"/>
      <c r="M289" s="68"/>
      <c r="N289" s="69"/>
      <c r="O289" s="68"/>
    </row>
    <row r="290" customFormat="false" ht="15.75" hidden="false" customHeight="true" outlineLevel="0" collapsed="false">
      <c r="A290" s="66" t="n">
        <v>199</v>
      </c>
      <c r="B290" s="67" t="s">
        <v>93</v>
      </c>
      <c r="C290" s="66" t="s">
        <v>119</v>
      </c>
      <c r="D290" s="66" t="n">
        <v>2</v>
      </c>
      <c r="E290" s="67" t="str">
        <f aca="false">IFERROR(INDEX('Master Data'!$L$2:$L$2436,MATCH($B$3&amp;"|"&amp;D290&amp;"|"&amp;B290&amp;"|"&amp;C290,'Master Data'!$A$2:$A$2436,0)),"")</f>
        <v>Belum terisi</v>
      </c>
      <c r="F290" s="67" t="str">
        <f aca="false">IFERROR(INDEX('Master Data'!$F$2:$F$2436,MATCH($B$3&amp;"|"&amp;D290&amp;"|"&amp;B290&amp;"|"&amp;C290,'Master Data'!$A$2:$A$2436,0))&amp;"","")</f>
        <v>Tiny</v>
      </c>
      <c r="G290" s="66" t="n">
        <f aca="false">IFERROR(INDEX('Master Data'!$G$2:$G$2436,MATCH($B$3&amp;"|"&amp;D290&amp;"|"&amp;B290&amp;"|"&amp;C290,'Master Data'!$A$2:$A$2436,0)),"")</f>
        <v>5</v>
      </c>
      <c r="H290" s="67" t="str">
        <f aca="false">IFERROR(INDEX('Master Data'!$K$2:$K$2436,MATCH($B$3&amp;"|"&amp;D290&amp;"|"&amp;B290&amp;"|"&amp;C290,'Master Data'!$A$2:$A$2436,0))&amp;"","")</f>
        <v/>
      </c>
      <c r="I290" s="67" t="s">
        <v>405</v>
      </c>
      <c r="J290" s="67" t="s">
        <v>144</v>
      </c>
      <c r="K290" s="68"/>
      <c r="L290" s="68"/>
      <c r="M290" s="68"/>
      <c r="N290" s="69"/>
      <c r="O290" s="68"/>
    </row>
    <row r="291" customFormat="false" ht="15.75" hidden="false" customHeight="true" outlineLevel="0" collapsed="false">
      <c r="A291" s="66" t="n">
        <v>200</v>
      </c>
      <c r="B291" s="67" t="s">
        <v>93</v>
      </c>
      <c r="C291" s="66" t="s">
        <v>119</v>
      </c>
      <c r="D291" s="66" t="n">
        <v>5</v>
      </c>
      <c r="E291" s="67" t="str">
        <f aca="false">IFERROR(INDEX('Master Data'!$L$2:$L$2436,MATCH($B$3&amp;"|"&amp;D291&amp;"|"&amp;B291&amp;"|"&amp;C291,'Master Data'!$A$2:$A$2436,0)),"")</f>
        <v>Slot kosong</v>
      </c>
      <c r="F291" s="67" t="str">
        <f aca="false">IFERROR(INDEX('Master Data'!$F$2:$F$2436,MATCH($B$3&amp;"|"&amp;D291&amp;"|"&amp;B291&amp;"|"&amp;C291,'Master Data'!$A$2:$A$2436,0))&amp;"","")</f>
        <v/>
      </c>
      <c r="G291" s="66" t="n">
        <f aca="false">IFERROR(INDEX('Master Data'!$G$2:$G$2436,MATCH($B$3&amp;"|"&amp;D291&amp;"|"&amp;B291&amp;"|"&amp;C291,'Master Data'!$A$2:$A$2436,0)),"")</f>
        <v>4</v>
      </c>
      <c r="H291" s="67" t="str">
        <f aca="false">IFERROR(INDEX('Master Data'!$K$2:$K$2436,MATCH($B$3&amp;"|"&amp;D291&amp;"|"&amp;B291&amp;"|"&amp;C291,'Master Data'!$A$2:$A$2436,0))&amp;"","")</f>
        <v/>
      </c>
      <c r="I291" s="67" t="s">
        <v>405</v>
      </c>
      <c r="J291" s="67" t="s">
        <v>203</v>
      </c>
      <c r="K291" s="68"/>
      <c r="L291" s="68"/>
      <c r="M291" s="68"/>
      <c r="N291" s="69"/>
      <c r="O291" s="68"/>
    </row>
    <row r="292" customFormat="false" ht="15.75" hidden="false" customHeight="true" outlineLevel="0" collapsed="false">
      <c r="A292" s="66" t="n">
        <v>201</v>
      </c>
      <c r="B292" s="67" t="s">
        <v>93</v>
      </c>
      <c r="C292" s="66" t="s">
        <v>120</v>
      </c>
      <c r="D292" s="66" t="n">
        <v>1</v>
      </c>
      <c r="E292" s="67" t="str">
        <f aca="false">IFERROR(INDEX('Master Data'!$L$2:$L$2436,MATCH($B$3&amp;"|"&amp;D292&amp;"|"&amp;B292&amp;"|"&amp;C292,'Master Data'!$A$2:$A$2436,0)),"")</f>
        <v>Belum terisi</v>
      </c>
      <c r="F292" s="67" t="str">
        <f aca="false">IFERROR(INDEX('Master Data'!$F$2:$F$2436,MATCH($B$3&amp;"|"&amp;D292&amp;"|"&amp;B292&amp;"|"&amp;C292,'Master Data'!$A$2:$A$2436,0))&amp;"","")</f>
        <v>Baby</v>
      </c>
      <c r="G292" s="66" t="n">
        <f aca="false">IFERROR(INDEX('Master Data'!$G$2:$G$2436,MATCH($B$3&amp;"|"&amp;D292&amp;"|"&amp;B292&amp;"|"&amp;C292,'Master Data'!$A$2:$A$2436,0)),"")</f>
        <v>5</v>
      </c>
      <c r="H292" s="67" t="str">
        <f aca="false">IFERROR(INDEX('Master Data'!$K$2:$K$2436,MATCH($B$3&amp;"|"&amp;D292&amp;"|"&amp;B292&amp;"|"&amp;C292,'Master Data'!$A$2:$A$2436,0))&amp;"","")</f>
        <v/>
      </c>
      <c r="I292" s="67" t="s">
        <v>407</v>
      </c>
      <c r="J292" s="67" t="s">
        <v>221</v>
      </c>
      <c r="K292" s="68"/>
      <c r="L292" s="68"/>
      <c r="M292" s="68"/>
      <c r="N292" s="69"/>
      <c r="O292" s="68"/>
    </row>
    <row r="293" customFormat="false" ht="15.75" hidden="false" customHeight="true" outlineLevel="0" collapsed="false">
      <c r="A293" s="66" t="n">
        <v>202</v>
      </c>
      <c r="B293" s="67" t="s">
        <v>93</v>
      </c>
      <c r="C293" s="66" t="s">
        <v>120</v>
      </c>
      <c r="D293" s="66" t="n">
        <v>2</v>
      </c>
      <c r="E293" s="67" t="str">
        <f aca="false">IFERROR(INDEX('Master Data'!$L$2:$L$2436,MATCH($B$3&amp;"|"&amp;D293&amp;"|"&amp;B293&amp;"|"&amp;C293,'Master Data'!$A$2:$A$2436,0)),"")</f>
        <v>Belum terisi</v>
      </c>
      <c r="F293" s="67" t="str">
        <f aca="false">IFERROR(INDEX('Master Data'!$F$2:$F$2436,MATCH($B$3&amp;"|"&amp;D293&amp;"|"&amp;B293&amp;"|"&amp;C293,'Master Data'!$A$2:$A$2436,0))&amp;"","")</f>
        <v>Tiny</v>
      </c>
      <c r="G293" s="66" t="n">
        <f aca="false">IFERROR(INDEX('Master Data'!$G$2:$G$2436,MATCH($B$3&amp;"|"&amp;D293&amp;"|"&amp;B293&amp;"|"&amp;C293,'Master Data'!$A$2:$A$2436,0)),"")</f>
        <v>5</v>
      </c>
      <c r="H293" s="67" t="str">
        <f aca="false">IFERROR(INDEX('Master Data'!$K$2:$K$2436,MATCH($B$3&amp;"|"&amp;D293&amp;"|"&amp;B293&amp;"|"&amp;C293,'Master Data'!$A$2:$A$2436,0))&amp;"","")</f>
        <v/>
      </c>
      <c r="I293" s="67" t="s">
        <v>407</v>
      </c>
      <c r="J293" s="67" t="s">
        <v>144</v>
      </c>
      <c r="K293" s="68"/>
      <c r="L293" s="68"/>
      <c r="M293" s="68"/>
      <c r="N293" s="69"/>
      <c r="O293" s="68"/>
    </row>
    <row r="294" customFormat="false" ht="15.75" hidden="false" customHeight="true" outlineLevel="0" collapsed="false">
      <c r="A294" s="66" t="n">
        <v>203</v>
      </c>
      <c r="B294" s="67" t="s">
        <v>93</v>
      </c>
      <c r="C294" s="66" t="s">
        <v>120</v>
      </c>
      <c r="D294" s="66" t="n">
        <v>5</v>
      </c>
      <c r="E294" s="67" t="str">
        <f aca="false">IFERROR(INDEX('Master Data'!$L$2:$L$2436,MATCH($B$3&amp;"|"&amp;D294&amp;"|"&amp;B294&amp;"|"&amp;C294,'Master Data'!$A$2:$A$2436,0)),"")</f>
        <v>Slot kosong</v>
      </c>
      <c r="F294" s="67" t="str">
        <f aca="false">IFERROR(INDEX('Master Data'!$F$2:$F$2436,MATCH($B$3&amp;"|"&amp;D294&amp;"|"&amp;B294&amp;"|"&amp;C294,'Master Data'!$A$2:$A$2436,0))&amp;"","")</f>
        <v/>
      </c>
      <c r="G294" s="66" t="n">
        <f aca="false">IFERROR(INDEX('Master Data'!$G$2:$G$2436,MATCH($B$3&amp;"|"&amp;D294&amp;"|"&amp;B294&amp;"|"&amp;C294,'Master Data'!$A$2:$A$2436,0)),"")</f>
        <v>4</v>
      </c>
      <c r="H294" s="67" t="str">
        <f aca="false">IFERROR(INDEX('Master Data'!$K$2:$K$2436,MATCH($B$3&amp;"|"&amp;D294&amp;"|"&amp;B294&amp;"|"&amp;C294,'Master Data'!$A$2:$A$2436,0))&amp;"","")</f>
        <v/>
      </c>
      <c r="I294" s="67" t="s">
        <v>407</v>
      </c>
      <c r="J294" s="67" t="s">
        <v>203</v>
      </c>
      <c r="K294" s="68"/>
      <c r="L294" s="68"/>
      <c r="M294" s="68"/>
      <c r="N294" s="69"/>
      <c r="O294" s="68"/>
    </row>
    <row r="295" customFormat="false" ht="15.75" hidden="false" customHeight="true" outlineLevel="0" collapsed="false">
      <c r="A295" s="66" t="n">
        <v>204</v>
      </c>
      <c r="B295" s="67" t="s">
        <v>93</v>
      </c>
      <c r="C295" s="66" t="s">
        <v>121</v>
      </c>
      <c r="D295" s="66" t="n">
        <v>1</v>
      </c>
      <c r="E295" s="67" t="str">
        <f aca="false">IFERROR(INDEX('Master Data'!$L$2:$L$2436,MATCH($B$3&amp;"|"&amp;D295&amp;"|"&amp;B295&amp;"|"&amp;C295,'Master Data'!$A$2:$A$2436,0)),"")</f>
        <v>Belum terisi</v>
      </c>
      <c r="F295" s="67" t="str">
        <f aca="false">IFERROR(INDEX('Master Data'!$F$2:$F$2436,MATCH($B$3&amp;"|"&amp;D295&amp;"|"&amp;B295&amp;"|"&amp;C295,'Master Data'!$A$2:$A$2436,0))&amp;"","")</f>
        <v>Baby</v>
      </c>
      <c r="G295" s="66" t="n">
        <f aca="false">IFERROR(INDEX('Master Data'!$G$2:$G$2436,MATCH($B$3&amp;"|"&amp;D295&amp;"|"&amp;B295&amp;"|"&amp;C295,'Master Data'!$A$2:$A$2436,0)),"")</f>
        <v>5</v>
      </c>
      <c r="H295" s="67" t="str">
        <f aca="false">IFERROR(INDEX('Master Data'!$K$2:$K$2436,MATCH($B$3&amp;"|"&amp;D295&amp;"|"&amp;B295&amp;"|"&amp;C295,'Master Data'!$A$2:$A$2436,0))&amp;"","")</f>
        <v/>
      </c>
      <c r="I295" s="67" t="s">
        <v>408</v>
      </c>
      <c r="J295" s="67" t="s">
        <v>134</v>
      </c>
      <c r="K295" s="68"/>
      <c r="L295" s="68"/>
      <c r="M295" s="68"/>
      <c r="N295" s="69"/>
      <c r="O295" s="68"/>
    </row>
    <row r="296" customFormat="false" ht="15.75" hidden="false" customHeight="true" outlineLevel="0" collapsed="false">
      <c r="A296" s="66" t="n">
        <v>205</v>
      </c>
      <c r="B296" s="67" t="s">
        <v>93</v>
      </c>
      <c r="C296" s="66" t="s">
        <v>121</v>
      </c>
      <c r="D296" s="66" t="n">
        <v>2</v>
      </c>
      <c r="E296" s="67" t="str">
        <f aca="false">IFERROR(INDEX('Master Data'!$L$2:$L$2436,MATCH($B$3&amp;"|"&amp;D296&amp;"|"&amp;B296&amp;"|"&amp;C296,'Master Data'!$A$2:$A$2436,0)),"")</f>
        <v>Belum terisi</v>
      </c>
      <c r="F296" s="67" t="str">
        <f aca="false">IFERROR(INDEX('Master Data'!$F$2:$F$2436,MATCH($B$3&amp;"|"&amp;D296&amp;"|"&amp;B296&amp;"|"&amp;C296,'Master Data'!$A$2:$A$2436,0))&amp;"","")</f>
        <v>Tiny</v>
      </c>
      <c r="G296" s="66" t="n">
        <f aca="false">IFERROR(INDEX('Master Data'!$G$2:$G$2436,MATCH($B$3&amp;"|"&amp;D296&amp;"|"&amp;B296&amp;"|"&amp;C296,'Master Data'!$A$2:$A$2436,0)),"")</f>
        <v>5</v>
      </c>
      <c r="H296" s="67" t="str">
        <f aca="false">IFERROR(INDEX('Master Data'!$K$2:$K$2436,MATCH($B$3&amp;"|"&amp;D296&amp;"|"&amp;B296&amp;"|"&amp;C296,'Master Data'!$A$2:$A$2436,0))&amp;"","")</f>
        <v/>
      </c>
      <c r="I296" s="67" t="s">
        <v>408</v>
      </c>
      <c r="J296" s="67" t="s">
        <v>134</v>
      </c>
      <c r="K296" s="68"/>
      <c r="L296" s="68"/>
      <c r="M296" s="68"/>
      <c r="N296" s="69"/>
      <c r="O296" s="68"/>
    </row>
    <row r="297" customFormat="false" ht="15.75" hidden="false" customHeight="true" outlineLevel="0" collapsed="false">
      <c r="A297" s="66" t="n">
        <v>206</v>
      </c>
      <c r="B297" s="67" t="s">
        <v>93</v>
      </c>
      <c r="C297" s="66" t="s">
        <v>121</v>
      </c>
      <c r="D297" s="66" t="n">
        <v>5</v>
      </c>
      <c r="E297" s="67" t="str">
        <f aca="false">IFERROR(INDEX('Master Data'!$L$2:$L$2436,MATCH($B$3&amp;"|"&amp;D297&amp;"|"&amp;B297&amp;"|"&amp;C297,'Master Data'!$A$2:$A$2436,0)),"")</f>
        <v>Slot kosong</v>
      </c>
      <c r="F297" s="67" t="str">
        <f aca="false">IFERROR(INDEX('Master Data'!$F$2:$F$2436,MATCH($B$3&amp;"|"&amp;D297&amp;"|"&amp;B297&amp;"|"&amp;C297,'Master Data'!$A$2:$A$2436,0))&amp;"","")</f>
        <v/>
      </c>
      <c r="G297" s="66" t="n">
        <f aca="false">IFERROR(INDEX('Master Data'!$G$2:$G$2436,MATCH($B$3&amp;"|"&amp;D297&amp;"|"&amp;B297&amp;"|"&amp;C297,'Master Data'!$A$2:$A$2436,0)),"")</f>
        <v>4</v>
      </c>
      <c r="H297" s="67" t="str">
        <f aca="false">IFERROR(INDEX('Master Data'!$K$2:$K$2436,MATCH($B$3&amp;"|"&amp;D297&amp;"|"&amp;B297&amp;"|"&amp;C297,'Master Data'!$A$2:$A$2436,0))&amp;"","")</f>
        <v/>
      </c>
      <c r="I297" s="67" t="s">
        <v>408</v>
      </c>
      <c r="J297" s="67" t="s">
        <v>134</v>
      </c>
      <c r="K297" s="68"/>
      <c r="L297" s="68"/>
      <c r="M297" s="68"/>
      <c r="N297" s="69"/>
      <c r="O297" s="68"/>
    </row>
    <row r="298" customFormat="false" ht="27.75" hidden="false" customHeight="true" outlineLevel="0" collapsed="false">
      <c r="A298" s="66" t="n">
        <v>207</v>
      </c>
      <c r="B298" s="67" t="s">
        <v>93</v>
      </c>
      <c r="C298" s="66" t="s">
        <v>107</v>
      </c>
      <c r="D298" s="66" t="n">
        <v>3</v>
      </c>
      <c r="E298" s="67" t="str">
        <f aca="false">IFERROR(INDEX('Master Data'!$L$2:$L$2436,MATCH($B$3&amp;"|"&amp;D298&amp;"|"&amp;B298&amp;"|"&amp;C298,'Master Data'!$A$2:$A$2436,0)),"")</f>
        <v>Belum terisi</v>
      </c>
      <c r="F298" s="67" t="str">
        <f aca="false">IFERROR(INDEX('Master Data'!$F$2:$F$2436,MATCH($B$3&amp;"|"&amp;D298&amp;"|"&amp;B298&amp;"|"&amp;C298,'Master Data'!$A$2:$A$2436,0))&amp;"","")</f>
        <v>Little</v>
      </c>
      <c r="G298" s="66" t="n">
        <f aca="false">IFERROR(INDEX('Master Data'!$G$2:$G$2436,MATCH($B$3&amp;"|"&amp;D298&amp;"|"&amp;B298&amp;"|"&amp;C298,'Master Data'!$A$2:$A$2436,0)),"")</f>
        <v>4</v>
      </c>
      <c r="H298" s="67" t="str">
        <f aca="false">IFERROR(INDEX('Master Data'!$K$2:$K$2436,MATCH($B$3&amp;"|"&amp;D298&amp;"|"&amp;B298&amp;"|"&amp;C298,'Master Data'!$A$2:$A$2436,0))&amp;"","")</f>
        <v/>
      </c>
      <c r="I298" s="67" t="s">
        <v>409</v>
      </c>
      <c r="J298" s="67" t="s">
        <v>134</v>
      </c>
      <c r="K298" s="68"/>
      <c r="L298" s="68"/>
      <c r="M298" s="68"/>
      <c r="N298" s="69"/>
      <c r="O298" s="68"/>
    </row>
    <row r="299" customFormat="false" ht="52.5" hidden="false" customHeight="true" outlineLevel="0" collapsed="false">
      <c r="A299" s="66" t="n">
        <v>208</v>
      </c>
      <c r="B299" s="67" t="s">
        <v>94</v>
      </c>
      <c r="C299" s="66" t="s">
        <v>110</v>
      </c>
      <c r="D299" s="66" t="n">
        <v>1</v>
      </c>
      <c r="E299" s="67" t="str">
        <f aca="false">IFERROR(INDEX('Master Data'!$L$2:$L$2436,MATCH($B$3&amp;"|"&amp;D299&amp;"|"&amp;B299&amp;"|"&amp;C299,'Master Data'!$A$2:$A$2436,0)),"")</f>
        <v>Belum terisi</v>
      </c>
      <c r="F299" s="67" t="str">
        <f aca="false">IFERROR(INDEX('Master Data'!$F$2:$F$2436,MATCH($B$3&amp;"|"&amp;D299&amp;"|"&amp;B299&amp;"|"&amp;C299,'Master Data'!$A$2:$A$2436,0))&amp;"","")</f>
        <v>Baby</v>
      </c>
      <c r="G299" s="66" t="n">
        <f aca="false">IFERROR(INDEX('Master Data'!$G$2:$G$2436,MATCH($B$3&amp;"|"&amp;D299&amp;"|"&amp;B299&amp;"|"&amp;C299,'Master Data'!$A$2:$A$2436,0)),"")</f>
        <v>5</v>
      </c>
      <c r="H299" s="67" t="str">
        <f aca="false">IFERROR(INDEX('Master Data'!$K$2:$K$2436,MATCH($B$3&amp;"|"&amp;D299&amp;"|"&amp;B299&amp;"|"&amp;C299,'Master Data'!$A$2:$A$2436,0))&amp;"","")</f>
        <v/>
      </c>
      <c r="I299" s="67" t="s">
        <v>410</v>
      </c>
      <c r="J299" s="67" t="s">
        <v>134</v>
      </c>
      <c r="K299" s="68"/>
      <c r="L299" s="68"/>
      <c r="M299" s="68"/>
      <c r="N299" s="69"/>
      <c r="O299" s="68"/>
    </row>
    <row r="300" customFormat="false" ht="52.5" hidden="false" customHeight="true" outlineLevel="0" collapsed="false">
      <c r="A300" s="66" t="n">
        <v>209</v>
      </c>
      <c r="B300" s="67" t="s">
        <v>94</v>
      </c>
      <c r="C300" s="66" t="s">
        <v>110</v>
      </c>
      <c r="D300" s="66" t="n">
        <v>2</v>
      </c>
      <c r="E300" s="67" t="str">
        <f aca="false">IFERROR(INDEX('Master Data'!$L$2:$L$2436,MATCH($B$3&amp;"|"&amp;D300&amp;"|"&amp;B300&amp;"|"&amp;C300,'Master Data'!$A$2:$A$2436,0)),"")</f>
        <v>Belum terisi</v>
      </c>
      <c r="F300" s="67" t="str">
        <f aca="false">IFERROR(INDEX('Master Data'!$F$2:$F$2436,MATCH($B$3&amp;"|"&amp;D300&amp;"|"&amp;B300&amp;"|"&amp;C300,'Master Data'!$A$2:$A$2436,0))&amp;"","")</f>
        <v>Tiny</v>
      </c>
      <c r="G300" s="66" t="n">
        <f aca="false">IFERROR(INDEX('Master Data'!$G$2:$G$2436,MATCH($B$3&amp;"|"&amp;D300&amp;"|"&amp;B300&amp;"|"&amp;C300,'Master Data'!$A$2:$A$2436,0)),"")</f>
        <v>5</v>
      </c>
      <c r="H300" s="67" t="str">
        <f aca="false">IFERROR(INDEX('Master Data'!$K$2:$K$2436,MATCH($B$3&amp;"|"&amp;D300&amp;"|"&amp;B300&amp;"|"&amp;C300,'Master Data'!$A$2:$A$2436,0))&amp;"","")</f>
        <v/>
      </c>
      <c r="I300" s="67" t="s">
        <v>410</v>
      </c>
      <c r="J300" s="67" t="s">
        <v>134</v>
      </c>
      <c r="K300" s="68"/>
      <c r="L300" s="68"/>
      <c r="M300" s="68"/>
      <c r="N300" s="69"/>
      <c r="O300" s="68"/>
    </row>
    <row r="301" customFormat="false" ht="52.5" hidden="false" customHeight="true" outlineLevel="0" collapsed="false">
      <c r="A301" s="66" t="n">
        <v>210</v>
      </c>
      <c r="B301" s="67" t="s">
        <v>94</v>
      </c>
      <c r="C301" s="66" t="s">
        <v>110</v>
      </c>
      <c r="D301" s="66" t="n">
        <v>5</v>
      </c>
      <c r="E301" s="67" t="str">
        <f aca="false">IFERROR(INDEX('Master Data'!$L$2:$L$2436,MATCH($B$3&amp;"|"&amp;D301&amp;"|"&amp;B301&amp;"|"&amp;C301,'Master Data'!$A$2:$A$2436,0)),"")</f>
        <v>Slot kosong</v>
      </c>
      <c r="F301" s="67" t="str">
        <f aca="false">IFERROR(INDEX('Master Data'!$F$2:$F$2436,MATCH($B$3&amp;"|"&amp;D301&amp;"|"&amp;B301&amp;"|"&amp;C301,'Master Data'!$A$2:$A$2436,0))&amp;"","")</f>
        <v/>
      </c>
      <c r="G301" s="66" t="n">
        <f aca="false">IFERROR(INDEX('Master Data'!$G$2:$G$2436,MATCH($B$3&amp;"|"&amp;D301&amp;"|"&amp;B301&amp;"|"&amp;C301,'Master Data'!$A$2:$A$2436,0)),"")</f>
        <v>4</v>
      </c>
      <c r="H301" s="67" t="str">
        <f aca="false">IFERROR(INDEX('Master Data'!$K$2:$K$2436,MATCH($B$3&amp;"|"&amp;D301&amp;"|"&amp;B301&amp;"|"&amp;C301,'Master Data'!$A$2:$A$2436,0))&amp;"","")</f>
        <v/>
      </c>
      <c r="I301" s="67" t="s">
        <v>410</v>
      </c>
      <c r="J301" s="67" t="s">
        <v>134</v>
      </c>
      <c r="K301" s="68"/>
      <c r="L301" s="68"/>
      <c r="M301" s="68"/>
      <c r="N301" s="69"/>
      <c r="O301" s="68"/>
    </row>
    <row r="302" customFormat="false" ht="27.75" hidden="false" customHeight="true" outlineLevel="0" collapsed="false">
      <c r="A302" s="66" t="n">
        <v>211</v>
      </c>
      <c r="B302" s="67" t="s">
        <v>94</v>
      </c>
      <c r="C302" s="66" t="s">
        <v>96</v>
      </c>
      <c r="D302" s="66" t="n">
        <v>3</v>
      </c>
      <c r="E302" s="67" t="str">
        <f aca="false">IFERROR(INDEX('Master Data'!$L$2:$L$2436,MATCH($B$3&amp;"|"&amp;D302&amp;"|"&amp;B302&amp;"|"&amp;C302,'Master Data'!$A$2:$A$2436,0)),"")</f>
        <v>Belum terisi</v>
      </c>
      <c r="F302" s="67" t="str">
        <f aca="false">IFERROR(INDEX('Master Data'!$F$2:$F$2436,MATCH($B$3&amp;"|"&amp;D302&amp;"|"&amp;B302&amp;"|"&amp;C302,'Master Data'!$A$2:$A$2436,0))&amp;"","")</f>
        <v>Little</v>
      </c>
      <c r="G302" s="66" t="n">
        <f aca="false">IFERROR(INDEX('Master Data'!$G$2:$G$2436,MATCH($B$3&amp;"|"&amp;D302&amp;"|"&amp;B302&amp;"|"&amp;C302,'Master Data'!$A$2:$A$2436,0)),"")</f>
        <v>4</v>
      </c>
      <c r="H302" s="67" t="str">
        <f aca="false">IFERROR(INDEX('Master Data'!$K$2:$K$2436,MATCH($B$3&amp;"|"&amp;D302&amp;"|"&amp;B302&amp;"|"&amp;C302,'Master Data'!$A$2:$A$2436,0))&amp;"","")</f>
        <v/>
      </c>
      <c r="I302" s="67" t="s">
        <v>411</v>
      </c>
      <c r="J302" s="67" t="s">
        <v>134</v>
      </c>
      <c r="K302" s="68"/>
      <c r="L302" s="68"/>
      <c r="M302" s="68"/>
      <c r="N302" s="69"/>
      <c r="O302" s="68"/>
    </row>
    <row r="303" customFormat="false" ht="27.75" hidden="false" customHeight="true" outlineLevel="0" collapsed="false">
      <c r="A303" s="66" t="n">
        <v>212</v>
      </c>
      <c r="B303" s="67" t="s">
        <v>94</v>
      </c>
      <c r="C303" s="66" t="s">
        <v>96</v>
      </c>
      <c r="D303" s="66" t="n">
        <v>4</v>
      </c>
      <c r="E303" s="67" t="str">
        <f aca="false">IFERROR(INDEX('Master Data'!$L$2:$L$2436,MATCH($B$3&amp;"|"&amp;D303&amp;"|"&amp;B303&amp;"|"&amp;C303,'Master Data'!$A$2:$A$2436,0)),"")</f>
        <v>Belum terisi</v>
      </c>
      <c r="F303" s="67" t="str">
        <f aca="false">IFERROR(INDEX('Master Data'!$F$2:$F$2436,MATCH($B$3&amp;"|"&amp;D303&amp;"|"&amp;B303&amp;"|"&amp;C303,'Master Data'!$A$2:$A$2436,0))&amp;"","")</f>
        <v>Kids</v>
      </c>
      <c r="G303" s="66" t="n">
        <f aca="false">IFERROR(INDEX('Master Data'!$G$2:$G$2436,MATCH($B$3&amp;"|"&amp;D303&amp;"|"&amp;B303&amp;"|"&amp;C303,'Master Data'!$A$2:$A$2436,0)),"")</f>
        <v>4</v>
      </c>
      <c r="H303" s="67" t="str">
        <f aca="false">IFERROR(INDEX('Master Data'!$K$2:$K$2436,MATCH($B$3&amp;"|"&amp;D303&amp;"|"&amp;B303&amp;"|"&amp;C303,'Master Data'!$A$2:$A$2436,0))&amp;"","")</f>
        <v/>
      </c>
      <c r="I303" s="67" t="s">
        <v>411</v>
      </c>
      <c r="J303" s="67" t="s">
        <v>134</v>
      </c>
      <c r="K303" s="68"/>
      <c r="L303" s="68"/>
      <c r="M303" s="68"/>
      <c r="N303" s="69"/>
      <c r="O303" s="68"/>
    </row>
    <row r="304" customFormat="false" ht="27.75" hidden="false" customHeight="true" outlineLevel="0" collapsed="false">
      <c r="A304" s="66" t="n">
        <v>213</v>
      </c>
      <c r="B304" s="67" t="s">
        <v>94</v>
      </c>
      <c r="C304" s="66" t="s">
        <v>111</v>
      </c>
      <c r="D304" s="66" t="n">
        <v>5</v>
      </c>
      <c r="E304" s="67" t="str">
        <f aca="false">IFERROR(INDEX('Master Data'!$L$2:$L$2436,MATCH($B$3&amp;"|"&amp;D304&amp;"|"&amp;B304&amp;"|"&amp;C304,'Master Data'!$A$2:$A$2436,0)),"")</f>
        <v>Slot kosong</v>
      </c>
      <c r="F304" s="67" t="str">
        <f aca="false">IFERROR(INDEX('Master Data'!$F$2:$F$2436,MATCH($B$3&amp;"|"&amp;D304&amp;"|"&amp;B304&amp;"|"&amp;C304,'Master Data'!$A$2:$A$2436,0))&amp;"","")</f>
        <v/>
      </c>
      <c r="G304" s="66" t="n">
        <f aca="false">IFERROR(INDEX('Master Data'!$G$2:$G$2436,MATCH($B$3&amp;"|"&amp;D304&amp;"|"&amp;B304&amp;"|"&amp;C304,'Master Data'!$A$2:$A$2436,0)),"")</f>
        <v>4</v>
      </c>
      <c r="H304" s="67" t="str">
        <f aca="false">IFERROR(INDEX('Master Data'!$K$2:$K$2436,MATCH($B$3&amp;"|"&amp;D304&amp;"|"&amp;B304&amp;"|"&amp;C304,'Master Data'!$A$2:$A$2436,0))&amp;"","")</f>
        <v/>
      </c>
      <c r="I304" s="67" t="s">
        <v>411</v>
      </c>
      <c r="J304" s="67" t="s">
        <v>134</v>
      </c>
      <c r="K304" s="68"/>
      <c r="L304" s="68"/>
      <c r="M304" s="68"/>
      <c r="N304" s="69"/>
      <c r="O304" s="68"/>
    </row>
    <row r="305" customFormat="false" ht="27.75" hidden="false" customHeight="true" outlineLevel="0" collapsed="false">
      <c r="A305" s="66" t="n">
        <v>214</v>
      </c>
      <c r="B305" s="67" t="s">
        <v>94</v>
      </c>
      <c r="C305" s="66" t="s">
        <v>97</v>
      </c>
      <c r="D305" s="66" t="n">
        <v>3</v>
      </c>
      <c r="E305" s="67" t="str">
        <f aca="false">IFERROR(INDEX('Master Data'!$L$2:$L$2436,MATCH($B$3&amp;"|"&amp;D305&amp;"|"&amp;B305&amp;"|"&amp;C305,'Master Data'!$A$2:$A$2436,0)),"")</f>
        <v>Belum terisi</v>
      </c>
      <c r="F305" s="67" t="str">
        <f aca="false">IFERROR(INDEX('Master Data'!$F$2:$F$2436,MATCH($B$3&amp;"|"&amp;D305&amp;"|"&amp;B305&amp;"|"&amp;C305,'Master Data'!$A$2:$A$2436,0))&amp;"","")</f>
        <v>Little</v>
      </c>
      <c r="G305" s="66" t="n">
        <f aca="false">IFERROR(INDEX('Master Data'!$G$2:$G$2436,MATCH($B$3&amp;"|"&amp;D305&amp;"|"&amp;B305&amp;"|"&amp;C305,'Master Data'!$A$2:$A$2436,0)),"")</f>
        <v>4</v>
      </c>
      <c r="H305" s="67" t="str">
        <f aca="false">IFERROR(INDEX('Master Data'!$K$2:$K$2436,MATCH($B$3&amp;"|"&amp;D305&amp;"|"&amp;B305&amp;"|"&amp;C305,'Master Data'!$A$2:$A$2436,0))&amp;"","")</f>
        <v/>
      </c>
      <c r="I305" s="67" t="s">
        <v>411</v>
      </c>
      <c r="J305" s="67" t="s">
        <v>134</v>
      </c>
      <c r="K305" s="68"/>
      <c r="L305" s="68"/>
      <c r="M305" s="68"/>
      <c r="N305" s="69"/>
      <c r="O305" s="68"/>
    </row>
    <row r="306" customFormat="false" ht="27.75" hidden="false" customHeight="true" outlineLevel="0" collapsed="false">
      <c r="A306" s="66" t="n">
        <v>215</v>
      </c>
      <c r="B306" s="67" t="s">
        <v>94</v>
      </c>
      <c r="C306" s="66" t="s">
        <v>97</v>
      </c>
      <c r="D306" s="66" t="n">
        <v>4</v>
      </c>
      <c r="E306" s="67" t="str">
        <f aca="false">IFERROR(INDEX('Master Data'!$L$2:$L$2436,MATCH($B$3&amp;"|"&amp;D306&amp;"|"&amp;B306&amp;"|"&amp;C306,'Master Data'!$A$2:$A$2436,0)),"")</f>
        <v>Belum terisi</v>
      </c>
      <c r="F306" s="67" t="str">
        <f aca="false">IFERROR(INDEX('Master Data'!$F$2:$F$2436,MATCH($B$3&amp;"|"&amp;D306&amp;"|"&amp;B306&amp;"|"&amp;C306,'Master Data'!$A$2:$A$2436,0))&amp;"","")</f>
        <v>Kids</v>
      </c>
      <c r="G306" s="66" t="n">
        <f aca="false">IFERROR(INDEX('Master Data'!$G$2:$G$2436,MATCH($B$3&amp;"|"&amp;D306&amp;"|"&amp;B306&amp;"|"&amp;C306,'Master Data'!$A$2:$A$2436,0)),"")</f>
        <v>4</v>
      </c>
      <c r="H306" s="67" t="str">
        <f aca="false">IFERROR(INDEX('Master Data'!$K$2:$K$2436,MATCH($B$3&amp;"|"&amp;D306&amp;"|"&amp;B306&amp;"|"&amp;C306,'Master Data'!$A$2:$A$2436,0))&amp;"","")</f>
        <v/>
      </c>
      <c r="I306" s="67" t="s">
        <v>411</v>
      </c>
      <c r="J306" s="67" t="s">
        <v>134</v>
      </c>
      <c r="K306" s="68"/>
      <c r="L306" s="68"/>
      <c r="M306" s="68"/>
      <c r="N306" s="69"/>
      <c r="O306" s="68"/>
    </row>
    <row r="307" customFormat="false" ht="52.5" hidden="false" customHeight="true" outlineLevel="0" collapsed="false">
      <c r="A307" s="66" t="n">
        <v>216</v>
      </c>
      <c r="B307" s="67" t="s">
        <v>94</v>
      </c>
      <c r="C307" s="66" t="s">
        <v>112</v>
      </c>
      <c r="D307" s="66" t="n">
        <v>1</v>
      </c>
      <c r="E307" s="67" t="str">
        <f aca="false">IFERROR(INDEX('Master Data'!$L$2:$L$2436,MATCH($B$3&amp;"|"&amp;D307&amp;"|"&amp;B307&amp;"|"&amp;C307,'Master Data'!$A$2:$A$2436,0)),"")</f>
        <v>Belum terisi</v>
      </c>
      <c r="F307" s="67" t="str">
        <f aca="false">IFERROR(INDEX('Master Data'!$F$2:$F$2436,MATCH($B$3&amp;"|"&amp;D307&amp;"|"&amp;B307&amp;"|"&amp;C307,'Master Data'!$A$2:$A$2436,0))&amp;"","")</f>
        <v>Baby</v>
      </c>
      <c r="G307" s="66" t="n">
        <f aca="false">IFERROR(INDEX('Master Data'!$G$2:$G$2436,MATCH($B$3&amp;"|"&amp;D307&amp;"|"&amp;B307&amp;"|"&amp;C307,'Master Data'!$A$2:$A$2436,0)),"")</f>
        <v>5</v>
      </c>
      <c r="H307" s="67" t="str">
        <f aca="false">IFERROR(INDEX('Master Data'!$K$2:$K$2436,MATCH($B$3&amp;"|"&amp;D307&amp;"|"&amp;B307&amp;"|"&amp;C307,'Master Data'!$A$2:$A$2436,0))&amp;"","")</f>
        <v/>
      </c>
      <c r="I307" s="67" t="s">
        <v>410</v>
      </c>
      <c r="J307" s="67" t="s">
        <v>134</v>
      </c>
      <c r="K307" s="68"/>
      <c r="L307" s="68"/>
      <c r="M307" s="68"/>
      <c r="N307" s="69"/>
      <c r="O307" s="68"/>
    </row>
    <row r="308" customFormat="false" ht="52.5" hidden="false" customHeight="true" outlineLevel="0" collapsed="false">
      <c r="A308" s="66" t="n">
        <v>217</v>
      </c>
      <c r="B308" s="67" t="s">
        <v>94</v>
      </c>
      <c r="C308" s="66" t="s">
        <v>112</v>
      </c>
      <c r="D308" s="66" t="n">
        <v>2</v>
      </c>
      <c r="E308" s="67" t="str">
        <f aca="false">IFERROR(INDEX('Master Data'!$L$2:$L$2436,MATCH($B$3&amp;"|"&amp;D308&amp;"|"&amp;B308&amp;"|"&amp;C308,'Master Data'!$A$2:$A$2436,0)),"")</f>
        <v>Belum terisi</v>
      </c>
      <c r="F308" s="67" t="str">
        <f aca="false">IFERROR(INDEX('Master Data'!$F$2:$F$2436,MATCH($B$3&amp;"|"&amp;D308&amp;"|"&amp;B308&amp;"|"&amp;C308,'Master Data'!$A$2:$A$2436,0))&amp;"","")</f>
        <v>Tiny</v>
      </c>
      <c r="G308" s="66" t="n">
        <f aca="false">IFERROR(INDEX('Master Data'!$G$2:$G$2436,MATCH($B$3&amp;"|"&amp;D308&amp;"|"&amp;B308&amp;"|"&amp;C308,'Master Data'!$A$2:$A$2436,0)),"")</f>
        <v>5</v>
      </c>
      <c r="H308" s="67" t="str">
        <f aca="false">IFERROR(INDEX('Master Data'!$K$2:$K$2436,MATCH($B$3&amp;"|"&amp;D308&amp;"|"&amp;B308&amp;"|"&amp;C308,'Master Data'!$A$2:$A$2436,0))&amp;"","")</f>
        <v/>
      </c>
      <c r="I308" s="67" t="s">
        <v>410</v>
      </c>
      <c r="J308" s="67" t="s">
        <v>134</v>
      </c>
      <c r="K308" s="68"/>
      <c r="L308" s="68"/>
      <c r="M308" s="68"/>
      <c r="N308" s="69"/>
      <c r="O308" s="68"/>
    </row>
    <row r="309" customFormat="false" ht="52.5" hidden="false" customHeight="true" outlineLevel="0" collapsed="false">
      <c r="A309" s="66" t="n">
        <v>218</v>
      </c>
      <c r="B309" s="67" t="s">
        <v>94</v>
      </c>
      <c r="C309" s="66" t="s">
        <v>112</v>
      </c>
      <c r="D309" s="66" t="n">
        <v>5</v>
      </c>
      <c r="E309" s="67" t="str">
        <f aca="false">IFERROR(INDEX('Master Data'!$L$2:$L$2436,MATCH($B$3&amp;"|"&amp;D309&amp;"|"&amp;B309&amp;"|"&amp;C309,'Master Data'!$A$2:$A$2436,0)),"")</f>
        <v>Slot kosong</v>
      </c>
      <c r="F309" s="67" t="str">
        <f aca="false">IFERROR(INDEX('Master Data'!$F$2:$F$2436,MATCH($B$3&amp;"|"&amp;D309&amp;"|"&amp;B309&amp;"|"&amp;C309,'Master Data'!$A$2:$A$2436,0))&amp;"","")</f>
        <v/>
      </c>
      <c r="G309" s="66" t="n">
        <f aca="false">IFERROR(INDEX('Master Data'!$G$2:$G$2436,MATCH($B$3&amp;"|"&amp;D309&amp;"|"&amp;B309&amp;"|"&amp;C309,'Master Data'!$A$2:$A$2436,0)),"")</f>
        <v>4</v>
      </c>
      <c r="H309" s="67" t="str">
        <f aca="false">IFERROR(INDEX('Master Data'!$K$2:$K$2436,MATCH($B$3&amp;"|"&amp;D309&amp;"|"&amp;B309&amp;"|"&amp;C309,'Master Data'!$A$2:$A$2436,0))&amp;"","")</f>
        <v/>
      </c>
      <c r="I309" s="67" t="s">
        <v>410</v>
      </c>
      <c r="J309" s="67" t="s">
        <v>134</v>
      </c>
      <c r="K309" s="68"/>
      <c r="L309" s="68"/>
      <c r="M309" s="68"/>
      <c r="N309" s="69"/>
      <c r="O309" s="68"/>
    </row>
    <row r="310" customFormat="false" ht="52.5" hidden="false" customHeight="true" outlineLevel="0" collapsed="false">
      <c r="A310" s="66" t="n">
        <v>219</v>
      </c>
      <c r="B310" s="67" t="s">
        <v>94</v>
      </c>
      <c r="C310" s="66" t="s">
        <v>98</v>
      </c>
      <c r="D310" s="66" t="n">
        <v>3</v>
      </c>
      <c r="E310" s="67" t="str">
        <f aca="false">IFERROR(INDEX('Master Data'!$L$2:$L$2436,MATCH($B$3&amp;"|"&amp;D310&amp;"|"&amp;B310&amp;"|"&amp;C310,'Master Data'!$A$2:$A$2436,0)),"")</f>
        <v>Belum terisi</v>
      </c>
      <c r="F310" s="67" t="str">
        <f aca="false">IFERROR(INDEX('Master Data'!$F$2:$F$2436,MATCH($B$3&amp;"|"&amp;D310&amp;"|"&amp;B310&amp;"|"&amp;C310,'Master Data'!$A$2:$A$2436,0))&amp;"","")</f>
        <v>Little</v>
      </c>
      <c r="G310" s="66" t="n">
        <f aca="false">IFERROR(INDEX('Master Data'!$G$2:$G$2436,MATCH($B$3&amp;"|"&amp;D310&amp;"|"&amp;B310&amp;"|"&amp;C310,'Master Data'!$A$2:$A$2436,0)),"")</f>
        <v>4</v>
      </c>
      <c r="H310" s="67" t="str">
        <f aca="false">IFERROR(INDEX('Master Data'!$K$2:$K$2436,MATCH($B$3&amp;"|"&amp;D310&amp;"|"&amp;B310&amp;"|"&amp;C310,'Master Data'!$A$2:$A$2436,0))&amp;"","")</f>
        <v/>
      </c>
      <c r="I310" s="67" t="s">
        <v>410</v>
      </c>
      <c r="J310" s="67" t="s">
        <v>134</v>
      </c>
      <c r="K310" s="68"/>
      <c r="L310" s="68"/>
      <c r="M310" s="68"/>
      <c r="N310" s="69"/>
      <c r="O310" s="68"/>
    </row>
    <row r="311" customFormat="false" ht="52.5" hidden="false" customHeight="true" outlineLevel="0" collapsed="false">
      <c r="A311" s="66" t="n">
        <v>220</v>
      </c>
      <c r="B311" s="67" t="s">
        <v>94</v>
      </c>
      <c r="C311" s="66" t="s">
        <v>98</v>
      </c>
      <c r="D311" s="66" t="n">
        <v>4</v>
      </c>
      <c r="E311" s="67" t="str">
        <f aca="false">IFERROR(INDEX('Master Data'!$L$2:$L$2436,MATCH($B$3&amp;"|"&amp;D311&amp;"|"&amp;B311&amp;"|"&amp;C311,'Master Data'!$A$2:$A$2436,0)),"")</f>
        <v>Belum terisi</v>
      </c>
      <c r="F311" s="67" t="str">
        <f aca="false">IFERROR(INDEX('Master Data'!$F$2:$F$2436,MATCH($B$3&amp;"|"&amp;D311&amp;"|"&amp;B311&amp;"|"&amp;C311,'Master Data'!$A$2:$A$2436,0))&amp;"","")</f>
        <v>Kids</v>
      </c>
      <c r="G311" s="66" t="n">
        <f aca="false">IFERROR(INDEX('Master Data'!$G$2:$G$2436,MATCH($B$3&amp;"|"&amp;D311&amp;"|"&amp;B311&amp;"|"&amp;C311,'Master Data'!$A$2:$A$2436,0)),"")</f>
        <v>4</v>
      </c>
      <c r="H311" s="67" t="str">
        <f aca="false">IFERROR(INDEX('Master Data'!$K$2:$K$2436,MATCH($B$3&amp;"|"&amp;D311&amp;"|"&amp;B311&amp;"|"&amp;C311,'Master Data'!$A$2:$A$2436,0))&amp;"","")</f>
        <v/>
      </c>
      <c r="I311" s="67" t="s">
        <v>410</v>
      </c>
      <c r="J311" s="67" t="s">
        <v>134</v>
      </c>
      <c r="K311" s="68"/>
      <c r="L311" s="68"/>
      <c r="M311" s="68"/>
      <c r="N311" s="69"/>
      <c r="O311" s="68"/>
    </row>
    <row r="312" customFormat="false" ht="52.5" hidden="false" customHeight="true" outlineLevel="0" collapsed="false">
      <c r="A312" s="66" t="n">
        <v>221</v>
      </c>
      <c r="B312" s="67" t="s">
        <v>94</v>
      </c>
      <c r="C312" s="66" t="s">
        <v>113</v>
      </c>
      <c r="D312" s="66" t="n">
        <v>1</v>
      </c>
      <c r="E312" s="67" t="str">
        <f aca="false">IFERROR(INDEX('Master Data'!$L$2:$L$2436,MATCH($B$3&amp;"|"&amp;D312&amp;"|"&amp;B312&amp;"|"&amp;C312,'Master Data'!$A$2:$A$2436,0)),"")</f>
        <v>Belum terisi</v>
      </c>
      <c r="F312" s="67" t="str">
        <f aca="false">IFERROR(INDEX('Master Data'!$F$2:$F$2436,MATCH($B$3&amp;"|"&amp;D312&amp;"|"&amp;B312&amp;"|"&amp;C312,'Master Data'!$A$2:$A$2436,0))&amp;"","")</f>
        <v>Baby</v>
      </c>
      <c r="G312" s="66" t="n">
        <f aca="false">IFERROR(INDEX('Master Data'!$G$2:$G$2436,MATCH($B$3&amp;"|"&amp;D312&amp;"|"&amp;B312&amp;"|"&amp;C312,'Master Data'!$A$2:$A$2436,0)),"")</f>
        <v>5</v>
      </c>
      <c r="H312" s="67" t="str">
        <f aca="false">IFERROR(INDEX('Master Data'!$K$2:$K$2436,MATCH($B$3&amp;"|"&amp;D312&amp;"|"&amp;B312&amp;"|"&amp;C312,'Master Data'!$A$2:$A$2436,0))&amp;"","")</f>
        <v/>
      </c>
      <c r="I312" s="67" t="s">
        <v>410</v>
      </c>
      <c r="J312" s="67" t="s">
        <v>134</v>
      </c>
      <c r="K312" s="68"/>
      <c r="L312" s="68"/>
      <c r="M312" s="68"/>
      <c r="N312" s="69"/>
      <c r="O312" s="68"/>
    </row>
    <row r="313" customFormat="false" ht="52.5" hidden="false" customHeight="true" outlineLevel="0" collapsed="false">
      <c r="A313" s="66" t="n">
        <v>222</v>
      </c>
      <c r="B313" s="67" t="s">
        <v>94</v>
      </c>
      <c r="C313" s="66" t="s">
        <v>113</v>
      </c>
      <c r="D313" s="66" t="n">
        <v>2</v>
      </c>
      <c r="E313" s="67" t="str">
        <f aca="false">IFERROR(INDEX('Master Data'!$L$2:$L$2436,MATCH($B$3&amp;"|"&amp;D313&amp;"|"&amp;B313&amp;"|"&amp;C313,'Master Data'!$A$2:$A$2436,0)),"")</f>
        <v>Belum terisi</v>
      </c>
      <c r="F313" s="67" t="str">
        <f aca="false">IFERROR(INDEX('Master Data'!$F$2:$F$2436,MATCH($B$3&amp;"|"&amp;D313&amp;"|"&amp;B313&amp;"|"&amp;C313,'Master Data'!$A$2:$A$2436,0))&amp;"","")</f>
        <v>Tiny</v>
      </c>
      <c r="G313" s="66" t="n">
        <f aca="false">IFERROR(INDEX('Master Data'!$G$2:$G$2436,MATCH($B$3&amp;"|"&amp;D313&amp;"|"&amp;B313&amp;"|"&amp;C313,'Master Data'!$A$2:$A$2436,0)),"")</f>
        <v>5</v>
      </c>
      <c r="H313" s="67" t="str">
        <f aca="false">IFERROR(INDEX('Master Data'!$K$2:$K$2436,MATCH($B$3&amp;"|"&amp;D313&amp;"|"&amp;B313&amp;"|"&amp;C313,'Master Data'!$A$2:$A$2436,0))&amp;"","")</f>
        <v/>
      </c>
      <c r="I313" s="67" t="s">
        <v>410</v>
      </c>
      <c r="J313" s="67" t="s">
        <v>134</v>
      </c>
      <c r="K313" s="68"/>
      <c r="L313" s="68"/>
      <c r="M313" s="68"/>
      <c r="N313" s="69"/>
      <c r="O313" s="68"/>
    </row>
    <row r="314" customFormat="false" ht="52.5" hidden="false" customHeight="true" outlineLevel="0" collapsed="false">
      <c r="A314" s="66" t="n">
        <v>223</v>
      </c>
      <c r="B314" s="67" t="s">
        <v>94</v>
      </c>
      <c r="C314" s="66" t="s">
        <v>113</v>
      </c>
      <c r="D314" s="66" t="n">
        <v>5</v>
      </c>
      <c r="E314" s="67" t="str">
        <f aca="false">IFERROR(INDEX('Master Data'!$L$2:$L$2436,MATCH($B$3&amp;"|"&amp;D314&amp;"|"&amp;B314&amp;"|"&amp;C314,'Master Data'!$A$2:$A$2436,0)),"")</f>
        <v>Slot kosong</v>
      </c>
      <c r="F314" s="67" t="str">
        <f aca="false">IFERROR(INDEX('Master Data'!$F$2:$F$2436,MATCH($B$3&amp;"|"&amp;D314&amp;"|"&amp;B314&amp;"|"&amp;C314,'Master Data'!$A$2:$A$2436,0))&amp;"","")</f>
        <v/>
      </c>
      <c r="G314" s="66" t="n">
        <f aca="false">IFERROR(INDEX('Master Data'!$G$2:$G$2436,MATCH($B$3&amp;"|"&amp;D314&amp;"|"&amp;B314&amp;"|"&amp;C314,'Master Data'!$A$2:$A$2436,0)),"")</f>
        <v>4</v>
      </c>
      <c r="H314" s="67" t="str">
        <f aca="false">IFERROR(INDEX('Master Data'!$K$2:$K$2436,MATCH($B$3&amp;"|"&amp;D314&amp;"|"&amp;B314&amp;"|"&amp;C314,'Master Data'!$A$2:$A$2436,0))&amp;"","")</f>
        <v/>
      </c>
      <c r="I314" s="67" t="s">
        <v>410</v>
      </c>
      <c r="J314" s="67" t="s">
        <v>134</v>
      </c>
      <c r="K314" s="68"/>
      <c r="L314" s="68"/>
      <c r="M314" s="68"/>
      <c r="N314" s="69"/>
      <c r="O314" s="68"/>
    </row>
    <row r="315" customFormat="false" ht="52.5" hidden="false" customHeight="true" outlineLevel="0" collapsed="false">
      <c r="A315" s="66" t="n">
        <v>224</v>
      </c>
      <c r="B315" s="67" t="s">
        <v>94</v>
      </c>
      <c r="C315" s="66" t="s">
        <v>99</v>
      </c>
      <c r="D315" s="66" t="n">
        <v>3</v>
      </c>
      <c r="E315" s="67" t="str">
        <f aca="false">IFERROR(INDEX('Master Data'!$L$2:$L$2436,MATCH($B$3&amp;"|"&amp;D315&amp;"|"&amp;B315&amp;"|"&amp;C315,'Master Data'!$A$2:$A$2436,0)),"")</f>
        <v>Belum terisi</v>
      </c>
      <c r="F315" s="67" t="str">
        <f aca="false">IFERROR(INDEX('Master Data'!$F$2:$F$2436,MATCH($B$3&amp;"|"&amp;D315&amp;"|"&amp;B315&amp;"|"&amp;C315,'Master Data'!$A$2:$A$2436,0))&amp;"","")</f>
        <v>Little</v>
      </c>
      <c r="G315" s="66" t="n">
        <f aca="false">IFERROR(INDEX('Master Data'!$G$2:$G$2436,MATCH($B$3&amp;"|"&amp;D315&amp;"|"&amp;B315&amp;"|"&amp;C315,'Master Data'!$A$2:$A$2436,0)),"")</f>
        <v>4</v>
      </c>
      <c r="H315" s="67" t="str">
        <f aca="false">IFERROR(INDEX('Master Data'!$K$2:$K$2436,MATCH($B$3&amp;"|"&amp;D315&amp;"|"&amp;B315&amp;"|"&amp;C315,'Master Data'!$A$2:$A$2436,0))&amp;"","")</f>
        <v/>
      </c>
      <c r="I315" s="67" t="s">
        <v>410</v>
      </c>
      <c r="J315" s="67" t="s">
        <v>134</v>
      </c>
      <c r="K315" s="68"/>
      <c r="L315" s="68"/>
      <c r="M315" s="68"/>
      <c r="N315" s="69"/>
      <c r="O315" s="68"/>
    </row>
    <row r="316" customFormat="false" ht="52.5" hidden="false" customHeight="true" outlineLevel="0" collapsed="false">
      <c r="A316" s="66" t="n">
        <v>225</v>
      </c>
      <c r="B316" s="67" t="s">
        <v>94</v>
      </c>
      <c r="C316" s="66" t="s">
        <v>99</v>
      </c>
      <c r="D316" s="66" t="n">
        <v>4</v>
      </c>
      <c r="E316" s="67" t="str">
        <f aca="false">IFERROR(INDEX('Master Data'!$L$2:$L$2436,MATCH($B$3&amp;"|"&amp;D316&amp;"|"&amp;B316&amp;"|"&amp;C316,'Master Data'!$A$2:$A$2436,0)),"")</f>
        <v>Belum terisi</v>
      </c>
      <c r="F316" s="67" t="str">
        <f aca="false">IFERROR(INDEX('Master Data'!$F$2:$F$2436,MATCH($B$3&amp;"|"&amp;D316&amp;"|"&amp;B316&amp;"|"&amp;C316,'Master Data'!$A$2:$A$2436,0))&amp;"","")</f>
        <v>Kids</v>
      </c>
      <c r="G316" s="66" t="n">
        <f aca="false">IFERROR(INDEX('Master Data'!$G$2:$G$2436,MATCH($B$3&amp;"|"&amp;D316&amp;"|"&amp;B316&amp;"|"&amp;C316,'Master Data'!$A$2:$A$2436,0)),"")</f>
        <v>4</v>
      </c>
      <c r="H316" s="67" t="str">
        <f aca="false">IFERROR(INDEX('Master Data'!$K$2:$K$2436,MATCH($B$3&amp;"|"&amp;D316&amp;"|"&amp;B316&amp;"|"&amp;C316,'Master Data'!$A$2:$A$2436,0))&amp;"","")</f>
        <v/>
      </c>
      <c r="I316" s="67" t="s">
        <v>410</v>
      </c>
      <c r="J316" s="67" t="s">
        <v>134</v>
      </c>
      <c r="K316" s="68"/>
      <c r="L316" s="68"/>
      <c r="M316" s="68"/>
      <c r="N316" s="69"/>
      <c r="O316" s="68"/>
    </row>
    <row r="317" customFormat="false" ht="52.5" hidden="false" customHeight="true" outlineLevel="0" collapsed="false">
      <c r="A317" s="66" t="n">
        <v>226</v>
      </c>
      <c r="B317" s="67" t="s">
        <v>94</v>
      </c>
      <c r="C317" s="66" t="s">
        <v>114</v>
      </c>
      <c r="D317" s="66" t="n">
        <v>1</v>
      </c>
      <c r="E317" s="67" t="str">
        <f aca="false">IFERROR(INDEX('Master Data'!$L$2:$L$2436,MATCH($B$3&amp;"|"&amp;D317&amp;"|"&amp;B317&amp;"|"&amp;C317,'Master Data'!$A$2:$A$2436,0)),"")</f>
        <v>Belum terisi</v>
      </c>
      <c r="F317" s="67" t="str">
        <f aca="false">IFERROR(INDEX('Master Data'!$F$2:$F$2436,MATCH($B$3&amp;"|"&amp;D317&amp;"|"&amp;B317&amp;"|"&amp;C317,'Master Data'!$A$2:$A$2436,0))&amp;"","")</f>
        <v>Baby</v>
      </c>
      <c r="G317" s="66" t="n">
        <f aca="false">IFERROR(INDEX('Master Data'!$G$2:$G$2436,MATCH($B$3&amp;"|"&amp;D317&amp;"|"&amp;B317&amp;"|"&amp;C317,'Master Data'!$A$2:$A$2436,0)),"")</f>
        <v>5</v>
      </c>
      <c r="H317" s="67" t="str">
        <f aca="false">IFERROR(INDEX('Master Data'!$K$2:$K$2436,MATCH($B$3&amp;"|"&amp;D317&amp;"|"&amp;B317&amp;"|"&amp;C317,'Master Data'!$A$2:$A$2436,0))&amp;"","")</f>
        <v/>
      </c>
      <c r="I317" s="67" t="s">
        <v>410</v>
      </c>
      <c r="J317" s="67" t="s">
        <v>134</v>
      </c>
      <c r="K317" s="68"/>
      <c r="L317" s="68"/>
      <c r="M317" s="68"/>
      <c r="N317" s="69"/>
      <c r="O317" s="68"/>
    </row>
    <row r="318" customFormat="false" ht="52.5" hidden="false" customHeight="true" outlineLevel="0" collapsed="false">
      <c r="A318" s="66" t="n">
        <v>227</v>
      </c>
      <c r="B318" s="67" t="s">
        <v>94</v>
      </c>
      <c r="C318" s="66" t="s">
        <v>114</v>
      </c>
      <c r="D318" s="66" t="n">
        <v>2</v>
      </c>
      <c r="E318" s="67" t="str">
        <f aca="false">IFERROR(INDEX('Master Data'!$L$2:$L$2436,MATCH($B$3&amp;"|"&amp;D318&amp;"|"&amp;B318&amp;"|"&amp;C318,'Master Data'!$A$2:$A$2436,0)),"")</f>
        <v>Belum terisi</v>
      </c>
      <c r="F318" s="67" t="str">
        <f aca="false">IFERROR(INDEX('Master Data'!$F$2:$F$2436,MATCH($B$3&amp;"|"&amp;D318&amp;"|"&amp;B318&amp;"|"&amp;C318,'Master Data'!$A$2:$A$2436,0))&amp;"","")</f>
        <v>Tiny</v>
      </c>
      <c r="G318" s="66" t="n">
        <f aca="false">IFERROR(INDEX('Master Data'!$G$2:$G$2436,MATCH($B$3&amp;"|"&amp;D318&amp;"|"&amp;B318&amp;"|"&amp;C318,'Master Data'!$A$2:$A$2436,0)),"")</f>
        <v>5</v>
      </c>
      <c r="H318" s="67" t="str">
        <f aca="false">IFERROR(INDEX('Master Data'!$K$2:$K$2436,MATCH($B$3&amp;"|"&amp;D318&amp;"|"&amp;B318&amp;"|"&amp;C318,'Master Data'!$A$2:$A$2436,0))&amp;"","")</f>
        <v/>
      </c>
      <c r="I318" s="67" t="s">
        <v>410</v>
      </c>
      <c r="J318" s="67" t="s">
        <v>134</v>
      </c>
      <c r="K318" s="68"/>
      <c r="L318" s="68"/>
      <c r="M318" s="68"/>
      <c r="N318" s="69"/>
      <c r="O318" s="68"/>
    </row>
    <row r="319" customFormat="false" ht="52.5" hidden="false" customHeight="true" outlineLevel="0" collapsed="false">
      <c r="A319" s="66" t="n">
        <v>228</v>
      </c>
      <c r="B319" s="67" t="s">
        <v>94</v>
      </c>
      <c r="C319" s="66" t="s">
        <v>114</v>
      </c>
      <c r="D319" s="66" t="n">
        <v>5</v>
      </c>
      <c r="E319" s="67" t="str">
        <f aca="false">IFERROR(INDEX('Master Data'!$L$2:$L$2436,MATCH($B$3&amp;"|"&amp;D319&amp;"|"&amp;B319&amp;"|"&amp;C319,'Master Data'!$A$2:$A$2436,0)),"")</f>
        <v>Slot kosong</v>
      </c>
      <c r="F319" s="67" t="str">
        <f aca="false">IFERROR(INDEX('Master Data'!$F$2:$F$2436,MATCH($B$3&amp;"|"&amp;D319&amp;"|"&amp;B319&amp;"|"&amp;C319,'Master Data'!$A$2:$A$2436,0))&amp;"","")</f>
        <v/>
      </c>
      <c r="G319" s="66" t="n">
        <f aca="false">IFERROR(INDEX('Master Data'!$G$2:$G$2436,MATCH($B$3&amp;"|"&amp;D319&amp;"|"&amp;B319&amp;"|"&amp;C319,'Master Data'!$A$2:$A$2436,0)),"")</f>
        <v>4</v>
      </c>
      <c r="H319" s="67" t="str">
        <f aca="false">IFERROR(INDEX('Master Data'!$K$2:$K$2436,MATCH($B$3&amp;"|"&amp;D319&amp;"|"&amp;B319&amp;"|"&amp;C319,'Master Data'!$A$2:$A$2436,0))&amp;"","")</f>
        <v/>
      </c>
      <c r="I319" s="67" t="s">
        <v>410</v>
      </c>
      <c r="J319" s="67" t="s">
        <v>134</v>
      </c>
      <c r="K319" s="68"/>
      <c r="L319" s="68"/>
      <c r="M319" s="68"/>
      <c r="N319" s="69"/>
      <c r="O319" s="68"/>
    </row>
    <row r="320" customFormat="false" ht="52.5" hidden="false" customHeight="true" outlineLevel="0" collapsed="false">
      <c r="A320" s="66" t="n">
        <v>229</v>
      </c>
      <c r="B320" s="67" t="s">
        <v>94</v>
      </c>
      <c r="C320" s="66" t="s">
        <v>100</v>
      </c>
      <c r="D320" s="66" t="n">
        <v>3</v>
      </c>
      <c r="E320" s="67" t="str">
        <f aca="false">IFERROR(INDEX('Master Data'!$L$2:$L$2436,MATCH($B$3&amp;"|"&amp;D320&amp;"|"&amp;B320&amp;"|"&amp;C320,'Master Data'!$A$2:$A$2436,0)),"")</f>
        <v>Belum terisi</v>
      </c>
      <c r="F320" s="67" t="str">
        <f aca="false">IFERROR(INDEX('Master Data'!$F$2:$F$2436,MATCH($B$3&amp;"|"&amp;D320&amp;"|"&amp;B320&amp;"|"&amp;C320,'Master Data'!$A$2:$A$2436,0))&amp;"","")</f>
        <v>Little</v>
      </c>
      <c r="G320" s="66" t="n">
        <f aca="false">IFERROR(INDEX('Master Data'!$G$2:$G$2436,MATCH($B$3&amp;"|"&amp;D320&amp;"|"&amp;B320&amp;"|"&amp;C320,'Master Data'!$A$2:$A$2436,0)),"")</f>
        <v>4</v>
      </c>
      <c r="H320" s="67" t="str">
        <f aca="false">IFERROR(INDEX('Master Data'!$K$2:$K$2436,MATCH($B$3&amp;"|"&amp;D320&amp;"|"&amp;B320&amp;"|"&amp;C320,'Master Data'!$A$2:$A$2436,0))&amp;"","")</f>
        <v/>
      </c>
      <c r="I320" s="67" t="s">
        <v>410</v>
      </c>
      <c r="J320" s="67" t="s">
        <v>134</v>
      </c>
      <c r="K320" s="68"/>
      <c r="L320" s="68"/>
      <c r="M320" s="68"/>
      <c r="N320" s="69"/>
      <c r="O320" s="68"/>
    </row>
    <row r="321" customFormat="false" ht="52.5" hidden="false" customHeight="true" outlineLevel="0" collapsed="false">
      <c r="A321" s="66" t="n">
        <v>230</v>
      </c>
      <c r="B321" s="67" t="s">
        <v>94</v>
      </c>
      <c r="C321" s="66" t="s">
        <v>100</v>
      </c>
      <c r="D321" s="66" t="n">
        <v>4</v>
      </c>
      <c r="E321" s="67" t="str">
        <f aca="false">IFERROR(INDEX('Master Data'!$L$2:$L$2436,MATCH($B$3&amp;"|"&amp;D321&amp;"|"&amp;B321&amp;"|"&amp;C321,'Master Data'!$A$2:$A$2436,0)),"")</f>
        <v>Belum terisi</v>
      </c>
      <c r="F321" s="67" t="str">
        <f aca="false">IFERROR(INDEX('Master Data'!$F$2:$F$2436,MATCH($B$3&amp;"|"&amp;D321&amp;"|"&amp;B321&amp;"|"&amp;C321,'Master Data'!$A$2:$A$2436,0))&amp;"","")</f>
        <v>Kids</v>
      </c>
      <c r="G321" s="66" t="n">
        <f aca="false">IFERROR(INDEX('Master Data'!$G$2:$G$2436,MATCH($B$3&amp;"|"&amp;D321&amp;"|"&amp;B321&amp;"|"&amp;C321,'Master Data'!$A$2:$A$2436,0)),"")</f>
        <v>4</v>
      </c>
      <c r="H321" s="67" t="str">
        <f aca="false">IFERROR(INDEX('Master Data'!$K$2:$K$2436,MATCH($B$3&amp;"|"&amp;D321&amp;"|"&amp;B321&amp;"|"&amp;C321,'Master Data'!$A$2:$A$2436,0))&amp;"","")</f>
        <v/>
      </c>
      <c r="I321" s="67" t="s">
        <v>410</v>
      </c>
      <c r="J321" s="67" t="s">
        <v>134</v>
      </c>
      <c r="K321" s="68"/>
      <c r="L321" s="68"/>
      <c r="M321" s="68"/>
      <c r="N321" s="69"/>
      <c r="O321" s="68"/>
    </row>
    <row r="322" customFormat="false" ht="52.5" hidden="false" customHeight="true" outlineLevel="0" collapsed="false">
      <c r="A322" s="66" t="n">
        <v>231</v>
      </c>
      <c r="B322" s="67" t="s">
        <v>94</v>
      </c>
      <c r="C322" s="66" t="s">
        <v>115</v>
      </c>
      <c r="D322" s="66" t="n">
        <v>1</v>
      </c>
      <c r="E322" s="67" t="str">
        <f aca="false">IFERROR(INDEX('Master Data'!$L$2:$L$2436,MATCH($B$3&amp;"|"&amp;D322&amp;"|"&amp;B322&amp;"|"&amp;C322,'Master Data'!$A$2:$A$2436,0)),"")</f>
        <v>Belum terisi</v>
      </c>
      <c r="F322" s="67" t="str">
        <f aca="false">IFERROR(INDEX('Master Data'!$F$2:$F$2436,MATCH($B$3&amp;"|"&amp;D322&amp;"|"&amp;B322&amp;"|"&amp;C322,'Master Data'!$A$2:$A$2436,0))&amp;"","")</f>
        <v>Baby</v>
      </c>
      <c r="G322" s="66" t="n">
        <f aca="false">IFERROR(INDEX('Master Data'!$G$2:$G$2436,MATCH($B$3&amp;"|"&amp;D322&amp;"|"&amp;B322&amp;"|"&amp;C322,'Master Data'!$A$2:$A$2436,0)),"")</f>
        <v>5</v>
      </c>
      <c r="H322" s="67" t="str">
        <f aca="false">IFERROR(INDEX('Master Data'!$K$2:$K$2436,MATCH($B$3&amp;"|"&amp;D322&amp;"|"&amp;B322&amp;"|"&amp;C322,'Master Data'!$A$2:$A$2436,0))&amp;"","")</f>
        <v/>
      </c>
      <c r="I322" s="67" t="s">
        <v>410</v>
      </c>
      <c r="J322" s="67" t="s">
        <v>134</v>
      </c>
      <c r="K322" s="68"/>
      <c r="L322" s="68"/>
      <c r="M322" s="68"/>
      <c r="N322" s="69"/>
      <c r="O322" s="68"/>
    </row>
    <row r="323" customFormat="false" ht="52.5" hidden="false" customHeight="true" outlineLevel="0" collapsed="false">
      <c r="A323" s="66" t="n">
        <v>232</v>
      </c>
      <c r="B323" s="67" t="s">
        <v>94</v>
      </c>
      <c r="C323" s="66" t="s">
        <v>115</v>
      </c>
      <c r="D323" s="66" t="n">
        <v>2</v>
      </c>
      <c r="E323" s="67" t="str">
        <f aca="false">IFERROR(INDEX('Master Data'!$L$2:$L$2436,MATCH($B$3&amp;"|"&amp;D323&amp;"|"&amp;B323&amp;"|"&amp;C323,'Master Data'!$A$2:$A$2436,0)),"")</f>
        <v>Belum terisi</v>
      </c>
      <c r="F323" s="67" t="str">
        <f aca="false">IFERROR(INDEX('Master Data'!$F$2:$F$2436,MATCH($B$3&amp;"|"&amp;D323&amp;"|"&amp;B323&amp;"|"&amp;C323,'Master Data'!$A$2:$A$2436,0))&amp;"","")</f>
        <v>Tiny</v>
      </c>
      <c r="G323" s="66" t="n">
        <f aca="false">IFERROR(INDEX('Master Data'!$G$2:$G$2436,MATCH($B$3&amp;"|"&amp;D323&amp;"|"&amp;B323&amp;"|"&amp;C323,'Master Data'!$A$2:$A$2436,0)),"")</f>
        <v>5</v>
      </c>
      <c r="H323" s="67" t="str">
        <f aca="false">IFERROR(INDEX('Master Data'!$K$2:$K$2436,MATCH($B$3&amp;"|"&amp;D323&amp;"|"&amp;B323&amp;"|"&amp;C323,'Master Data'!$A$2:$A$2436,0))&amp;"","")</f>
        <v/>
      </c>
      <c r="I323" s="67" t="s">
        <v>410</v>
      </c>
      <c r="J323" s="67" t="s">
        <v>134</v>
      </c>
      <c r="K323" s="68"/>
      <c r="L323" s="68"/>
      <c r="M323" s="68"/>
      <c r="N323" s="69"/>
      <c r="O323" s="68"/>
    </row>
    <row r="324" customFormat="false" ht="52.5" hidden="false" customHeight="true" outlineLevel="0" collapsed="false">
      <c r="A324" s="66" t="n">
        <v>233</v>
      </c>
      <c r="B324" s="67" t="s">
        <v>94</v>
      </c>
      <c r="C324" s="66" t="s">
        <v>115</v>
      </c>
      <c r="D324" s="66" t="n">
        <v>5</v>
      </c>
      <c r="E324" s="67" t="str">
        <f aca="false">IFERROR(INDEX('Master Data'!$L$2:$L$2436,MATCH($B$3&amp;"|"&amp;D324&amp;"|"&amp;B324&amp;"|"&amp;C324,'Master Data'!$A$2:$A$2436,0)),"")</f>
        <v>Slot kosong</v>
      </c>
      <c r="F324" s="67" t="str">
        <f aca="false">IFERROR(INDEX('Master Data'!$F$2:$F$2436,MATCH($B$3&amp;"|"&amp;D324&amp;"|"&amp;B324&amp;"|"&amp;C324,'Master Data'!$A$2:$A$2436,0))&amp;"","")</f>
        <v/>
      </c>
      <c r="G324" s="66" t="n">
        <f aca="false">IFERROR(INDEX('Master Data'!$G$2:$G$2436,MATCH($B$3&amp;"|"&amp;D324&amp;"|"&amp;B324&amp;"|"&amp;C324,'Master Data'!$A$2:$A$2436,0)),"")</f>
        <v>4</v>
      </c>
      <c r="H324" s="67" t="str">
        <f aca="false">IFERROR(INDEX('Master Data'!$K$2:$K$2436,MATCH($B$3&amp;"|"&amp;D324&amp;"|"&amp;B324&amp;"|"&amp;C324,'Master Data'!$A$2:$A$2436,0))&amp;"","")</f>
        <v/>
      </c>
      <c r="I324" s="67" t="s">
        <v>410</v>
      </c>
      <c r="J324" s="67" t="s">
        <v>134</v>
      </c>
      <c r="K324" s="68"/>
      <c r="L324" s="68"/>
      <c r="M324" s="68"/>
      <c r="N324" s="69"/>
      <c r="O324" s="68"/>
    </row>
    <row r="325" customFormat="false" ht="52.5" hidden="false" customHeight="true" outlineLevel="0" collapsed="false">
      <c r="A325" s="66" t="n">
        <v>234</v>
      </c>
      <c r="B325" s="67" t="s">
        <v>94</v>
      </c>
      <c r="C325" s="66" t="s">
        <v>101</v>
      </c>
      <c r="D325" s="66" t="n">
        <v>3</v>
      </c>
      <c r="E325" s="67" t="str">
        <f aca="false">IFERROR(INDEX('Master Data'!$L$2:$L$2436,MATCH($B$3&amp;"|"&amp;D325&amp;"|"&amp;B325&amp;"|"&amp;C325,'Master Data'!$A$2:$A$2436,0)),"")</f>
        <v>Belum terisi</v>
      </c>
      <c r="F325" s="67" t="str">
        <f aca="false">IFERROR(INDEX('Master Data'!$F$2:$F$2436,MATCH($B$3&amp;"|"&amp;D325&amp;"|"&amp;B325&amp;"|"&amp;C325,'Master Data'!$A$2:$A$2436,0))&amp;"","")</f>
        <v>Little</v>
      </c>
      <c r="G325" s="66" t="n">
        <f aca="false">IFERROR(INDEX('Master Data'!$G$2:$G$2436,MATCH($B$3&amp;"|"&amp;D325&amp;"|"&amp;B325&amp;"|"&amp;C325,'Master Data'!$A$2:$A$2436,0)),"")</f>
        <v>4</v>
      </c>
      <c r="H325" s="67" t="str">
        <f aca="false">IFERROR(INDEX('Master Data'!$K$2:$K$2436,MATCH($B$3&amp;"|"&amp;D325&amp;"|"&amp;B325&amp;"|"&amp;C325,'Master Data'!$A$2:$A$2436,0))&amp;"","")</f>
        <v/>
      </c>
      <c r="I325" s="67" t="s">
        <v>410</v>
      </c>
      <c r="J325" s="67" t="s">
        <v>134</v>
      </c>
      <c r="K325" s="68"/>
      <c r="L325" s="68"/>
      <c r="M325" s="68"/>
      <c r="N325" s="69"/>
      <c r="O325" s="68"/>
    </row>
    <row r="326" customFormat="false" ht="52.5" hidden="false" customHeight="true" outlineLevel="0" collapsed="false">
      <c r="A326" s="66" t="n">
        <v>235</v>
      </c>
      <c r="B326" s="67" t="s">
        <v>94</v>
      </c>
      <c r="C326" s="66" t="s">
        <v>101</v>
      </c>
      <c r="D326" s="66" t="n">
        <v>4</v>
      </c>
      <c r="E326" s="67" t="str">
        <f aca="false">IFERROR(INDEX('Master Data'!$L$2:$L$2436,MATCH($B$3&amp;"|"&amp;D326&amp;"|"&amp;B326&amp;"|"&amp;C326,'Master Data'!$A$2:$A$2436,0)),"")</f>
        <v>Belum terisi</v>
      </c>
      <c r="F326" s="67" t="str">
        <f aca="false">IFERROR(INDEX('Master Data'!$F$2:$F$2436,MATCH($B$3&amp;"|"&amp;D326&amp;"|"&amp;B326&amp;"|"&amp;C326,'Master Data'!$A$2:$A$2436,0))&amp;"","")</f>
        <v>Kids</v>
      </c>
      <c r="G326" s="66" t="n">
        <f aca="false">IFERROR(INDEX('Master Data'!$G$2:$G$2436,MATCH($B$3&amp;"|"&amp;D326&amp;"|"&amp;B326&amp;"|"&amp;C326,'Master Data'!$A$2:$A$2436,0)),"")</f>
        <v>4</v>
      </c>
      <c r="H326" s="67" t="str">
        <f aca="false">IFERROR(INDEX('Master Data'!$K$2:$K$2436,MATCH($B$3&amp;"|"&amp;D326&amp;"|"&amp;B326&amp;"|"&amp;C326,'Master Data'!$A$2:$A$2436,0))&amp;"","")</f>
        <v/>
      </c>
      <c r="I326" s="67" t="s">
        <v>410</v>
      </c>
      <c r="J326" s="67" t="s">
        <v>134</v>
      </c>
      <c r="K326" s="68"/>
      <c r="L326" s="68"/>
      <c r="M326" s="68"/>
      <c r="N326" s="69"/>
      <c r="O326" s="68"/>
    </row>
    <row r="327" customFormat="false" ht="52.5" hidden="false" customHeight="true" outlineLevel="0" collapsed="false">
      <c r="A327" s="66" t="n">
        <v>236</v>
      </c>
      <c r="B327" s="67" t="s">
        <v>94</v>
      </c>
      <c r="C327" s="66" t="s">
        <v>116</v>
      </c>
      <c r="D327" s="66" t="n">
        <v>1</v>
      </c>
      <c r="E327" s="67" t="str">
        <f aca="false">IFERROR(INDEX('Master Data'!$L$2:$L$2436,MATCH($B$3&amp;"|"&amp;D327&amp;"|"&amp;B327&amp;"|"&amp;C327,'Master Data'!$A$2:$A$2436,0)),"")</f>
        <v>Belum terisi</v>
      </c>
      <c r="F327" s="67" t="str">
        <f aca="false">IFERROR(INDEX('Master Data'!$F$2:$F$2436,MATCH($B$3&amp;"|"&amp;D327&amp;"|"&amp;B327&amp;"|"&amp;C327,'Master Data'!$A$2:$A$2436,0))&amp;"","")</f>
        <v>Baby</v>
      </c>
      <c r="G327" s="66" t="n">
        <f aca="false">IFERROR(INDEX('Master Data'!$G$2:$G$2436,MATCH($B$3&amp;"|"&amp;D327&amp;"|"&amp;B327&amp;"|"&amp;C327,'Master Data'!$A$2:$A$2436,0)),"")</f>
        <v>5</v>
      </c>
      <c r="H327" s="67" t="str">
        <f aca="false">IFERROR(INDEX('Master Data'!$K$2:$K$2436,MATCH($B$3&amp;"|"&amp;D327&amp;"|"&amp;B327&amp;"|"&amp;C327,'Master Data'!$A$2:$A$2436,0))&amp;"","")</f>
        <v/>
      </c>
      <c r="I327" s="67" t="s">
        <v>410</v>
      </c>
      <c r="J327" s="67" t="s">
        <v>134</v>
      </c>
      <c r="K327" s="68"/>
      <c r="L327" s="68"/>
      <c r="M327" s="68"/>
      <c r="N327" s="69"/>
      <c r="O327" s="68"/>
    </row>
    <row r="328" customFormat="false" ht="52.5" hidden="false" customHeight="true" outlineLevel="0" collapsed="false">
      <c r="A328" s="66" t="n">
        <v>237</v>
      </c>
      <c r="B328" s="67" t="s">
        <v>94</v>
      </c>
      <c r="C328" s="66" t="s">
        <v>116</v>
      </c>
      <c r="D328" s="66" t="n">
        <v>2</v>
      </c>
      <c r="E328" s="67" t="str">
        <f aca="false">IFERROR(INDEX('Master Data'!$L$2:$L$2436,MATCH($B$3&amp;"|"&amp;D328&amp;"|"&amp;B328&amp;"|"&amp;C328,'Master Data'!$A$2:$A$2436,0)),"")</f>
        <v>Belum terisi</v>
      </c>
      <c r="F328" s="67" t="str">
        <f aca="false">IFERROR(INDEX('Master Data'!$F$2:$F$2436,MATCH($B$3&amp;"|"&amp;D328&amp;"|"&amp;B328&amp;"|"&amp;C328,'Master Data'!$A$2:$A$2436,0))&amp;"","")</f>
        <v>Tiny</v>
      </c>
      <c r="G328" s="66" t="n">
        <f aca="false">IFERROR(INDEX('Master Data'!$G$2:$G$2436,MATCH($B$3&amp;"|"&amp;D328&amp;"|"&amp;B328&amp;"|"&amp;C328,'Master Data'!$A$2:$A$2436,0)),"")</f>
        <v>5</v>
      </c>
      <c r="H328" s="67" t="str">
        <f aca="false">IFERROR(INDEX('Master Data'!$K$2:$K$2436,MATCH($B$3&amp;"|"&amp;D328&amp;"|"&amp;B328&amp;"|"&amp;C328,'Master Data'!$A$2:$A$2436,0))&amp;"","")</f>
        <v/>
      </c>
      <c r="I328" s="67" t="s">
        <v>410</v>
      </c>
      <c r="J328" s="67" t="s">
        <v>134</v>
      </c>
      <c r="K328" s="68"/>
      <c r="L328" s="68"/>
      <c r="M328" s="68"/>
      <c r="N328" s="69"/>
      <c r="O328" s="68"/>
    </row>
    <row r="329" customFormat="false" ht="52.5" hidden="false" customHeight="true" outlineLevel="0" collapsed="false">
      <c r="A329" s="66" t="n">
        <v>238</v>
      </c>
      <c r="B329" s="67" t="s">
        <v>94</v>
      </c>
      <c r="C329" s="66" t="s">
        <v>116</v>
      </c>
      <c r="D329" s="66" t="n">
        <v>5</v>
      </c>
      <c r="E329" s="67" t="str">
        <f aca="false">IFERROR(INDEX('Master Data'!$L$2:$L$2436,MATCH($B$3&amp;"|"&amp;D329&amp;"|"&amp;B329&amp;"|"&amp;C329,'Master Data'!$A$2:$A$2436,0)),"")</f>
        <v>Slot kosong</v>
      </c>
      <c r="F329" s="67" t="str">
        <f aca="false">IFERROR(INDEX('Master Data'!$F$2:$F$2436,MATCH($B$3&amp;"|"&amp;D329&amp;"|"&amp;B329&amp;"|"&amp;C329,'Master Data'!$A$2:$A$2436,0))&amp;"","")</f>
        <v/>
      </c>
      <c r="G329" s="66" t="n">
        <f aca="false">IFERROR(INDEX('Master Data'!$G$2:$G$2436,MATCH($B$3&amp;"|"&amp;D329&amp;"|"&amp;B329&amp;"|"&amp;C329,'Master Data'!$A$2:$A$2436,0)),"")</f>
        <v>4</v>
      </c>
      <c r="H329" s="67" t="str">
        <f aca="false">IFERROR(INDEX('Master Data'!$K$2:$K$2436,MATCH($B$3&amp;"|"&amp;D329&amp;"|"&amp;B329&amp;"|"&amp;C329,'Master Data'!$A$2:$A$2436,0))&amp;"","")</f>
        <v/>
      </c>
      <c r="I329" s="67" t="s">
        <v>410</v>
      </c>
      <c r="J329" s="67" t="s">
        <v>134</v>
      </c>
      <c r="K329" s="68"/>
      <c r="L329" s="68"/>
      <c r="M329" s="68"/>
      <c r="N329" s="69"/>
      <c r="O329" s="68"/>
    </row>
    <row r="330" customFormat="false" ht="52.5" hidden="false" customHeight="true" outlineLevel="0" collapsed="false">
      <c r="A330" s="66" t="n">
        <v>239</v>
      </c>
      <c r="B330" s="67" t="s">
        <v>94</v>
      </c>
      <c r="C330" s="66" t="s">
        <v>102</v>
      </c>
      <c r="D330" s="66" t="n">
        <v>3</v>
      </c>
      <c r="E330" s="67" t="str">
        <f aca="false">IFERROR(INDEX('Master Data'!$L$2:$L$2436,MATCH($B$3&amp;"|"&amp;D330&amp;"|"&amp;B330&amp;"|"&amp;C330,'Master Data'!$A$2:$A$2436,0)),"")</f>
        <v>Belum terisi</v>
      </c>
      <c r="F330" s="67" t="str">
        <f aca="false">IFERROR(INDEX('Master Data'!$F$2:$F$2436,MATCH($B$3&amp;"|"&amp;D330&amp;"|"&amp;B330&amp;"|"&amp;C330,'Master Data'!$A$2:$A$2436,0))&amp;"","")</f>
        <v>Little</v>
      </c>
      <c r="G330" s="66" t="n">
        <f aca="false">IFERROR(INDEX('Master Data'!$G$2:$G$2436,MATCH($B$3&amp;"|"&amp;D330&amp;"|"&amp;B330&amp;"|"&amp;C330,'Master Data'!$A$2:$A$2436,0)),"")</f>
        <v>4</v>
      </c>
      <c r="H330" s="67" t="str">
        <f aca="false">IFERROR(INDEX('Master Data'!$K$2:$K$2436,MATCH($B$3&amp;"|"&amp;D330&amp;"|"&amp;B330&amp;"|"&amp;C330,'Master Data'!$A$2:$A$2436,0))&amp;"","")</f>
        <v/>
      </c>
      <c r="I330" s="67" t="s">
        <v>410</v>
      </c>
      <c r="J330" s="67" t="s">
        <v>134</v>
      </c>
      <c r="K330" s="68"/>
      <c r="L330" s="68"/>
      <c r="M330" s="68"/>
      <c r="N330" s="69"/>
      <c r="O330" s="68"/>
    </row>
    <row r="331" customFormat="false" ht="52.5" hidden="false" customHeight="true" outlineLevel="0" collapsed="false">
      <c r="A331" s="66" t="n">
        <v>240</v>
      </c>
      <c r="B331" s="67" t="s">
        <v>94</v>
      </c>
      <c r="C331" s="66" t="s">
        <v>102</v>
      </c>
      <c r="D331" s="66" t="n">
        <v>4</v>
      </c>
      <c r="E331" s="67" t="str">
        <f aca="false">IFERROR(INDEX('Master Data'!$L$2:$L$2436,MATCH($B$3&amp;"|"&amp;D331&amp;"|"&amp;B331&amp;"|"&amp;C331,'Master Data'!$A$2:$A$2436,0)),"")</f>
        <v>Belum terisi</v>
      </c>
      <c r="F331" s="67" t="str">
        <f aca="false">IFERROR(INDEX('Master Data'!$F$2:$F$2436,MATCH($B$3&amp;"|"&amp;D331&amp;"|"&amp;B331&amp;"|"&amp;C331,'Master Data'!$A$2:$A$2436,0))&amp;"","")</f>
        <v>Kids</v>
      </c>
      <c r="G331" s="66" t="n">
        <f aca="false">IFERROR(INDEX('Master Data'!$G$2:$G$2436,MATCH($B$3&amp;"|"&amp;D331&amp;"|"&amp;B331&amp;"|"&amp;C331,'Master Data'!$A$2:$A$2436,0)),"")</f>
        <v>4</v>
      </c>
      <c r="H331" s="67" t="str">
        <f aca="false">IFERROR(INDEX('Master Data'!$K$2:$K$2436,MATCH($B$3&amp;"|"&amp;D331&amp;"|"&amp;B331&amp;"|"&amp;C331,'Master Data'!$A$2:$A$2436,0))&amp;"","")</f>
        <v/>
      </c>
      <c r="I331" s="67" t="s">
        <v>410</v>
      </c>
      <c r="J331" s="67" t="s">
        <v>134</v>
      </c>
      <c r="K331" s="68"/>
      <c r="L331" s="68"/>
      <c r="M331" s="68"/>
      <c r="N331" s="69"/>
      <c r="O331" s="68"/>
    </row>
    <row r="332" customFormat="false" ht="40.5" hidden="false" customHeight="true" outlineLevel="0" collapsed="false">
      <c r="A332" s="66" t="n">
        <v>241</v>
      </c>
      <c r="B332" s="67" t="s">
        <v>94</v>
      </c>
      <c r="C332" s="66" t="s">
        <v>117</v>
      </c>
      <c r="D332" s="66" t="n">
        <v>1</v>
      </c>
      <c r="E332" s="67" t="str">
        <f aca="false">IFERROR(INDEX('Master Data'!$L$2:$L$2436,MATCH($B$3&amp;"|"&amp;D332&amp;"|"&amp;B332&amp;"|"&amp;C332,'Master Data'!$A$2:$A$2436,0)),"")</f>
        <v>Belum terisi</v>
      </c>
      <c r="F332" s="67" t="str">
        <f aca="false">IFERROR(INDEX('Master Data'!$F$2:$F$2436,MATCH($B$3&amp;"|"&amp;D332&amp;"|"&amp;B332&amp;"|"&amp;C332,'Master Data'!$A$2:$A$2436,0))&amp;"","")</f>
        <v>Baby</v>
      </c>
      <c r="G332" s="66" t="n">
        <f aca="false">IFERROR(INDEX('Master Data'!$G$2:$G$2436,MATCH($B$3&amp;"|"&amp;D332&amp;"|"&amp;B332&amp;"|"&amp;C332,'Master Data'!$A$2:$A$2436,0)),"")</f>
        <v>5</v>
      </c>
      <c r="H332" s="67" t="str">
        <f aca="false">IFERROR(INDEX('Master Data'!$K$2:$K$2436,MATCH($B$3&amp;"|"&amp;D332&amp;"|"&amp;B332&amp;"|"&amp;C332,'Master Data'!$A$2:$A$2436,0))&amp;"","")</f>
        <v/>
      </c>
      <c r="I332" s="67" t="s">
        <v>412</v>
      </c>
      <c r="J332" s="67" t="s">
        <v>134</v>
      </c>
      <c r="K332" s="68"/>
      <c r="L332" s="68"/>
      <c r="M332" s="68"/>
      <c r="N332" s="69"/>
      <c r="O332" s="68"/>
    </row>
    <row r="333" customFormat="false" ht="40.5" hidden="false" customHeight="true" outlineLevel="0" collapsed="false">
      <c r="A333" s="66" t="n">
        <v>242</v>
      </c>
      <c r="B333" s="67" t="s">
        <v>94</v>
      </c>
      <c r="C333" s="66" t="s">
        <v>117</v>
      </c>
      <c r="D333" s="66" t="n">
        <v>2</v>
      </c>
      <c r="E333" s="67" t="str">
        <f aca="false">IFERROR(INDEX('Master Data'!$L$2:$L$2436,MATCH($B$3&amp;"|"&amp;D333&amp;"|"&amp;B333&amp;"|"&amp;C333,'Master Data'!$A$2:$A$2436,0)),"")</f>
        <v>Belum terisi</v>
      </c>
      <c r="F333" s="67" t="str">
        <f aca="false">IFERROR(INDEX('Master Data'!$F$2:$F$2436,MATCH($B$3&amp;"|"&amp;D333&amp;"|"&amp;B333&amp;"|"&amp;C333,'Master Data'!$A$2:$A$2436,0))&amp;"","")</f>
        <v>Tiny</v>
      </c>
      <c r="G333" s="66" t="n">
        <f aca="false">IFERROR(INDEX('Master Data'!$G$2:$G$2436,MATCH($B$3&amp;"|"&amp;D333&amp;"|"&amp;B333&amp;"|"&amp;C333,'Master Data'!$A$2:$A$2436,0)),"")</f>
        <v>5</v>
      </c>
      <c r="H333" s="67" t="str">
        <f aca="false">IFERROR(INDEX('Master Data'!$K$2:$K$2436,MATCH($B$3&amp;"|"&amp;D333&amp;"|"&amp;B333&amp;"|"&amp;C333,'Master Data'!$A$2:$A$2436,0))&amp;"","")</f>
        <v/>
      </c>
      <c r="I333" s="67" t="s">
        <v>412</v>
      </c>
      <c r="J333" s="67" t="s">
        <v>134</v>
      </c>
      <c r="K333" s="68"/>
      <c r="L333" s="68"/>
      <c r="M333" s="68"/>
      <c r="N333" s="69"/>
      <c r="O333" s="68"/>
    </row>
    <row r="334" customFormat="false" ht="40.5" hidden="false" customHeight="true" outlineLevel="0" collapsed="false">
      <c r="A334" s="66" t="n">
        <v>243</v>
      </c>
      <c r="B334" s="67" t="s">
        <v>94</v>
      </c>
      <c r="C334" s="66" t="s">
        <v>117</v>
      </c>
      <c r="D334" s="66" t="n">
        <v>5</v>
      </c>
      <c r="E334" s="67" t="str">
        <f aca="false">IFERROR(INDEX('Master Data'!$L$2:$L$2436,MATCH($B$3&amp;"|"&amp;D334&amp;"|"&amp;B334&amp;"|"&amp;C334,'Master Data'!$A$2:$A$2436,0)),"")</f>
        <v>Slot kosong</v>
      </c>
      <c r="F334" s="67" t="str">
        <f aca="false">IFERROR(INDEX('Master Data'!$F$2:$F$2436,MATCH($B$3&amp;"|"&amp;D334&amp;"|"&amp;B334&amp;"|"&amp;C334,'Master Data'!$A$2:$A$2436,0))&amp;"","")</f>
        <v/>
      </c>
      <c r="G334" s="66" t="n">
        <f aca="false">IFERROR(INDEX('Master Data'!$G$2:$G$2436,MATCH($B$3&amp;"|"&amp;D334&amp;"|"&amp;B334&amp;"|"&amp;C334,'Master Data'!$A$2:$A$2436,0)),"")</f>
        <v>4</v>
      </c>
      <c r="H334" s="67" t="str">
        <f aca="false">IFERROR(INDEX('Master Data'!$K$2:$K$2436,MATCH($B$3&amp;"|"&amp;D334&amp;"|"&amp;B334&amp;"|"&amp;C334,'Master Data'!$A$2:$A$2436,0))&amp;"","")</f>
        <v/>
      </c>
      <c r="I334" s="67" t="s">
        <v>412</v>
      </c>
      <c r="J334" s="67" t="s">
        <v>134</v>
      </c>
      <c r="K334" s="68"/>
      <c r="L334" s="68"/>
      <c r="M334" s="68"/>
      <c r="N334" s="69"/>
      <c r="O334" s="68"/>
    </row>
    <row r="335" customFormat="false" ht="40.5" hidden="false" customHeight="true" outlineLevel="0" collapsed="false">
      <c r="A335" s="66" t="n">
        <v>244</v>
      </c>
      <c r="B335" s="67" t="s">
        <v>94</v>
      </c>
      <c r="C335" s="66" t="s">
        <v>103</v>
      </c>
      <c r="D335" s="66" t="n">
        <v>3</v>
      </c>
      <c r="E335" s="67" t="str">
        <f aca="false">IFERROR(INDEX('Master Data'!$L$2:$L$2436,MATCH($B$3&amp;"|"&amp;D335&amp;"|"&amp;B335&amp;"|"&amp;C335,'Master Data'!$A$2:$A$2436,0)),"")</f>
        <v>Belum terisi</v>
      </c>
      <c r="F335" s="67" t="str">
        <f aca="false">IFERROR(INDEX('Master Data'!$F$2:$F$2436,MATCH($B$3&amp;"|"&amp;D335&amp;"|"&amp;B335&amp;"|"&amp;C335,'Master Data'!$A$2:$A$2436,0))&amp;"","")</f>
        <v>Little</v>
      </c>
      <c r="G335" s="66" t="n">
        <f aca="false">IFERROR(INDEX('Master Data'!$G$2:$G$2436,MATCH($B$3&amp;"|"&amp;D335&amp;"|"&amp;B335&amp;"|"&amp;C335,'Master Data'!$A$2:$A$2436,0)),"")</f>
        <v>4</v>
      </c>
      <c r="H335" s="67" t="str">
        <f aca="false">IFERROR(INDEX('Master Data'!$K$2:$K$2436,MATCH($B$3&amp;"|"&amp;D335&amp;"|"&amp;B335&amp;"|"&amp;C335,'Master Data'!$A$2:$A$2436,0))&amp;"","")</f>
        <v/>
      </c>
      <c r="I335" s="67" t="s">
        <v>412</v>
      </c>
      <c r="J335" s="67" t="s">
        <v>134</v>
      </c>
      <c r="K335" s="68"/>
      <c r="L335" s="68"/>
      <c r="M335" s="68"/>
      <c r="N335" s="69"/>
      <c r="O335" s="68"/>
    </row>
    <row r="336" customFormat="false" ht="27.75" hidden="false" customHeight="true" outlineLevel="0" collapsed="false">
      <c r="A336" s="66" t="n">
        <v>245</v>
      </c>
      <c r="B336" s="67" t="s">
        <v>94</v>
      </c>
      <c r="C336" s="66" t="s">
        <v>118</v>
      </c>
      <c r="D336" s="66" t="n">
        <v>1</v>
      </c>
      <c r="E336" s="67" t="str">
        <f aca="false">IFERROR(INDEX('Master Data'!$L$2:$L$2436,MATCH($B$3&amp;"|"&amp;D336&amp;"|"&amp;B336&amp;"|"&amp;C336,'Master Data'!$A$2:$A$2436,0)),"")</f>
        <v>Belum terisi</v>
      </c>
      <c r="F336" s="67" t="str">
        <f aca="false">IFERROR(INDEX('Master Data'!$F$2:$F$2436,MATCH($B$3&amp;"|"&amp;D336&amp;"|"&amp;B336&amp;"|"&amp;C336,'Master Data'!$A$2:$A$2436,0))&amp;"","")</f>
        <v>Baby</v>
      </c>
      <c r="G336" s="66" t="n">
        <f aca="false">IFERROR(INDEX('Master Data'!$G$2:$G$2436,MATCH($B$3&amp;"|"&amp;D336&amp;"|"&amp;B336&amp;"|"&amp;C336,'Master Data'!$A$2:$A$2436,0)),"")</f>
        <v>5</v>
      </c>
      <c r="H336" s="67" t="str">
        <f aca="false">IFERROR(INDEX('Master Data'!$K$2:$K$2436,MATCH($B$3&amp;"|"&amp;D336&amp;"|"&amp;B336&amp;"|"&amp;C336,'Master Data'!$A$2:$A$2436,0))&amp;"","")</f>
        <v/>
      </c>
      <c r="I336" s="67" t="s">
        <v>413</v>
      </c>
      <c r="J336" s="67" t="s">
        <v>134</v>
      </c>
      <c r="K336" s="68"/>
      <c r="L336" s="68"/>
      <c r="M336" s="68"/>
      <c r="N336" s="69"/>
      <c r="O336" s="68"/>
    </row>
    <row r="337" customFormat="false" ht="27.75" hidden="false" customHeight="true" outlineLevel="0" collapsed="false">
      <c r="A337" s="66" t="n">
        <v>246</v>
      </c>
      <c r="B337" s="67" t="s">
        <v>94</v>
      </c>
      <c r="C337" s="66" t="s">
        <v>118</v>
      </c>
      <c r="D337" s="66" t="n">
        <v>2</v>
      </c>
      <c r="E337" s="67" t="str">
        <f aca="false">IFERROR(INDEX('Master Data'!$L$2:$L$2436,MATCH($B$3&amp;"|"&amp;D337&amp;"|"&amp;B337&amp;"|"&amp;C337,'Master Data'!$A$2:$A$2436,0)),"")</f>
        <v>Belum terisi</v>
      </c>
      <c r="F337" s="67" t="str">
        <f aca="false">IFERROR(INDEX('Master Data'!$F$2:$F$2436,MATCH($B$3&amp;"|"&amp;D337&amp;"|"&amp;B337&amp;"|"&amp;C337,'Master Data'!$A$2:$A$2436,0))&amp;"","")</f>
        <v>Tiny</v>
      </c>
      <c r="G337" s="66" t="n">
        <f aca="false">IFERROR(INDEX('Master Data'!$G$2:$G$2436,MATCH($B$3&amp;"|"&amp;D337&amp;"|"&amp;B337&amp;"|"&amp;C337,'Master Data'!$A$2:$A$2436,0)),"")</f>
        <v>5</v>
      </c>
      <c r="H337" s="67" t="str">
        <f aca="false">IFERROR(INDEX('Master Data'!$K$2:$K$2436,MATCH($B$3&amp;"|"&amp;D337&amp;"|"&amp;B337&amp;"|"&amp;C337,'Master Data'!$A$2:$A$2436,0))&amp;"","")</f>
        <v/>
      </c>
      <c r="I337" s="67" t="s">
        <v>413</v>
      </c>
      <c r="J337" s="67" t="s">
        <v>134</v>
      </c>
      <c r="K337" s="68"/>
      <c r="L337" s="68"/>
      <c r="M337" s="68"/>
      <c r="N337" s="69"/>
      <c r="O337" s="68"/>
    </row>
    <row r="338" customFormat="false" ht="27.75" hidden="false" customHeight="true" outlineLevel="0" collapsed="false">
      <c r="A338" s="66" t="n">
        <v>247</v>
      </c>
      <c r="B338" s="67" t="s">
        <v>94</v>
      </c>
      <c r="C338" s="66" t="s">
        <v>118</v>
      </c>
      <c r="D338" s="66" t="n">
        <v>5</v>
      </c>
      <c r="E338" s="67" t="str">
        <f aca="false">IFERROR(INDEX('Master Data'!$L$2:$L$2436,MATCH($B$3&amp;"|"&amp;D338&amp;"|"&amp;B338&amp;"|"&amp;C338,'Master Data'!$A$2:$A$2436,0)),"")</f>
        <v>Slot kosong</v>
      </c>
      <c r="F338" s="67" t="str">
        <f aca="false">IFERROR(INDEX('Master Data'!$F$2:$F$2436,MATCH($B$3&amp;"|"&amp;D338&amp;"|"&amp;B338&amp;"|"&amp;C338,'Master Data'!$A$2:$A$2436,0))&amp;"","")</f>
        <v/>
      </c>
      <c r="G338" s="66" t="n">
        <f aca="false">IFERROR(INDEX('Master Data'!$G$2:$G$2436,MATCH($B$3&amp;"|"&amp;D338&amp;"|"&amp;B338&amp;"|"&amp;C338,'Master Data'!$A$2:$A$2436,0)),"")</f>
        <v>4</v>
      </c>
      <c r="H338" s="67" t="str">
        <f aca="false">IFERROR(INDEX('Master Data'!$K$2:$K$2436,MATCH($B$3&amp;"|"&amp;D338&amp;"|"&amp;B338&amp;"|"&amp;C338,'Master Data'!$A$2:$A$2436,0))&amp;"","")</f>
        <v/>
      </c>
      <c r="I338" s="67" t="s">
        <v>413</v>
      </c>
      <c r="J338" s="67" t="s">
        <v>134</v>
      </c>
      <c r="K338" s="68"/>
      <c r="L338" s="68"/>
      <c r="M338" s="68"/>
      <c r="N338" s="69"/>
      <c r="O338" s="68"/>
    </row>
    <row r="339" customFormat="false" ht="15.75" hidden="false" customHeight="true" outlineLevel="0" collapsed="false">
      <c r="A339" s="66" t="n">
        <v>248</v>
      </c>
      <c r="B339" s="67" t="s">
        <v>94</v>
      </c>
      <c r="C339" s="66" t="s">
        <v>119</v>
      </c>
      <c r="D339" s="66" t="n">
        <v>1</v>
      </c>
      <c r="E339" s="67" t="str">
        <f aca="false">IFERROR(INDEX('Master Data'!$L$2:$L$2436,MATCH($B$3&amp;"|"&amp;D339&amp;"|"&amp;B339&amp;"|"&amp;C339,'Master Data'!$A$2:$A$2436,0)),"")</f>
        <v>Belum terisi</v>
      </c>
      <c r="F339" s="67" t="str">
        <f aca="false">IFERROR(INDEX('Master Data'!$F$2:$F$2436,MATCH($B$3&amp;"|"&amp;D339&amp;"|"&amp;B339&amp;"|"&amp;C339,'Master Data'!$A$2:$A$2436,0))&amp;"","")</f>
        <v>Baby</v>
      </c>
      <c r="G339" s="66" t="n">
        <f aca="false">IFERROR(INDEX('Master Data'!$G$2:$G$2436,MATCH($B$3&amp;"|"&amp;D339&amp;"|"&amp;B339&amp;"|"&amp;C339,'Master Data'!$A$2:$A$2436,0)),"")</f>
        <v>5</v>
      </c>
      <c r="H339" s="67" t="str">
        <f aca="false">IFERROR(INDEX('Master Data'!$K$2:$K$2436,MATCH($B$3&amp;"|"&amp;D339&amp;"|"&amp;B339&amp;"|"&amp;C339,'Master Data'!$A$2:$A$2436,0))&amp;"","")</f>
        <v/>
      </c>
      <c r="I339" s="67" t="s">
        <v>407</v>
      </c>
      <c r="J339" s="67" t="s">
        <v>221</v>
      </c>
      <c r="K339" s="68"/>
      <c r="L339" s="68"/>
      <c r="M339" s="68"/>
      <c r="N339" s="69"/>
      <c r="O339" s="68"/>
    </row>
    <row r="340" customFormat="false" ht="15.75" hidden="false" customHeight="true" outlineLevel="0" collapsed="false">
      <c r="A340" s="66" t="n">
        <v>249</v>
      </c>
      <c r="B340" s="67" t="s">
        <v>94</v>
      </c>
      <c r="C340" s="66" t="s">
        <v>119</v>
      </c>
      <c r="D340" s="66" t="n">
        <v>2</v>
      </c>
      <c r="E340" s="67" t="str">
        <f aca="false">IFERROR(INDEX('Master Data'!$L$2:$L$2436,MATCH($B$3&amp;"|"&amp;D340&amp;"|"&amp;B340&amp;"|"&amp;C340,'Master Data'!$A$2:$A$2436,0)),"")</f>
        <v>Belum terisi</v>
      </c>
      <c r="F340" s="67" t="str">
        <f aca="false">IFERROR(INDEX('Master Data'!$F$2:$F$2436,MATCH($B$3&amp;"|"&amp;D340&amp;"|"&amp;B340&amp;"|"&amp;C340,'Master Data'!$A$2:$A$2436,0))&amp;"","")</f>
        <v>Tiny</v>
      </c>
      <c r="G340" s="66" t="n">
        <f aca="false">IFERROR(INDEX('Master Data'!$G$2:$G$2436,MATCH($B$3&amp;"|"&amp;D340&amp;"|"&amp;B340&amp;"|"&amp;C340,'Master Data'!$A$2:$A$2436,0)),"")</f>
        <v>5</v>
      </c>
      <c r="H340" s="67" t="str">
        <f aca="false">IFERROR(INDEX('Master Data'!$K$2:$K$2436,MATCH($B$3&amp;"|"&amp;D340&amp;"|"&amp;B340&amp;"|"&amp;C340,'Master Data'!$A$2:$A$2436,0))&amp;"","")</f>
        <v/>
      </c>
      <c r="I340" s="67" t="s">
        <v>407</v>
      </c>
      <c r="J340" s="67" t="s">
        <v>144</v>
      </c>
      <c r="K340" s="68"/>
      <c r="L340" s="68"/>
      <c r="M340" s="68"/>
      <c r="N340" s="69"/>
      <c r="O340" s="68"/>
    </row>
    <row r="341" customFormat="false" ht="15.75" hidden="false" customHeight="true" outlineLevel="0" collapsed="false">
      <c r="A341" s="66" t="n">
        <v>250</v>
      </c>
      <c r="B341" s="67" t="s">
        <v>94</v>
      </c>
      <c r="C341" s="66" t="s">
        <v>119</v>
      </c>
      <c r="D341" s="66" t="n">
        <v>5</v>
      </c>
      <c r="E341" s="67" t="str">
        <f aca="false">IFERROR(INDEX('Master Data'!$L$2:$L$2436,MATCH($B$3&amp;"|"&amp;D341&amp;"|"&amp;B341&amp;"|"&amp;C341,'Master Data'!$A$2:$A$2436,0)),"")</f>
        <v>Slot kosong</v>
      </c>
      <c r="F341" s="67" t="str">
        <f aca="false">IFERROR(INDEX('Master Data'!$F$2:$F$2436,MATCH($B$3&amp;"|"&amp;D341&amp;"|"&amp;B341&amp;"|"&amp;C341,'Master Data'!$A$2:$A$2436,0))&amp;"","")</f>
        <v/>
      </c>
      <c r="G341" s="66" t="n">
        <f aca="false">IFERROR(INDEX('Master Data'!$G$2:$G$2436,MATCH($B$3&amp;"|"&amp;D341&amp;"|"&amp;B341&amp;"|"&amp;C341,'Master Data'!$A$2:$A$2436,0)),"")</f>
        <v>4</v>
      </c>
      <c r="H341" s="67" t="str">
        <f aca="false">IFERROR(INDEX('Master Data'!$K$2:$K$2436,MATCH($B$3&amp;"|"&amp;D341&amp;"|"&amp;B341&amp;"|"&amp;C341,'Master Data'!$A$2:$A$2436,0))&amp;"","")</f>
        <v/>
      </c>
      <c r="I341" s="67" t="s">
        <v>407</v>
      </c>
      <c r="J341" s="67" t="s">
        <v>203</v>
      </c>
      <c r="K341" s="68"/>
      <c r="L341" s="68"/>
      <c r="M341" s="68"/>
      <c r="N341" s="69"/>
      <c r="O341" s="68"/>
    </row>
    <row r="342" customFormat="false" ht="15.75" hidden="false" customHeight="true" outlineLevel="0" collapsed="false">
      <c r="A342" s="66" t="n">
        <v>251</v>
      </c>
      <c r="B342" s="67" t="s">
        <v>94</v>
      </c>
      <c r="C342" s="66" t="s">
        <v>120</v>
      </c>
      <c r="D342" s="66" t="n">
        <v>1</v>
      </c>
      <c r="E342" s="67" t="str">
        <f aca="false">IFERROR(INDEX('Master Data'!$L$2:$L$2436,MATCH($B$3&amp;"|"&amp;D342&amp;"|"&amp;B342&amp;"|"&amp;C342,'Master Data'!$A$2:$A$2436,0)),"")</f>
        <v>Belum terisi</v>
      </c>
      <c r="F342" s="67" t="str">
        <f aca="false">IFERROR(INDEX('Master Data'!$F$2:$F$2436,MATCH($B$3&amp;"|"&amp;D342&amp;"|"&amp;B342&amp;"|"&amp;C342,'Master Data'!$A$2:$A$2436,0))&amp;"","")</f>
        <v>Baby</v>
      </c>
      <c r="G342" s="66" t="n">
        <f aca="false">IFERROR(INDEX('Master Data'!$G$2:$G$2436,MATCH($B$3&amp;"|"&amp;D342&amp;"|"&amp;B342&amp;"|"&amp;C342,'Master Data'!$A$2:$A$2436,0)),"")</f>
        <v>5</v>
      </c>
      <c r="H342" s="67" t="str">
        <f aca="false">IFERROR(INDEX('Master Data'!$K$2:$K$2436,MATCH($B$3&amp;"|"&amp;D342&amp;"|"&amp;B342&amp;"|"&amp;C342,'Master Data'!$A$2:$A$2436,0))&amp;"","")</f>
        <v/>
      </c>
      <c r="I342" s="67" t="s">
        <v>405</v>
      </c>
      <c r="J342" s="67" t="s">
        <v>221</v>
      </c>
      <c r="K342" s="68"/>
      <c r="L342" s="68"/>
      <c r="M342" s="68"/>
      <c r="N342" s="69"/>
      <c r="O342" s="68"/>
    </row>
    <row r="343" customFormat="false" ht="15.75" hidden="false" customHeight="true" outlineLevel="0" collapsed="false">
      <c r="A343" s="66" t="n">
        <v>252</v>
      </c>
      <c r="B343" s="67" t="s">
        <v>94</v>
      </c>
      <c r="C343" s="66" t="s">
        <v>120</v>
      </c>
      <c r="D343" s="66" t="n">
        <v>2</v>
      </c>
      <c r="E343" s="67" t="str">
        <f aca="false">IFERROR(INDEX('Master Data'!$L$2:$L$2436,MATCH($B$3&amp;"|"&amp;D343&amp;"|"&amp;B343&amp;"|"&amp;C343,'Master Data'!$A$2:$A$2436,0)),"")</f>
        <v>Belum terisi</v>
      </c>
      <c r="F343" s="67" t="str">
        <f aca="false">IFERROR(INDEX('Master Data'!$F$2:$F$2436,MATCH($B$3&amp;"|"&amp;D343&amp;"|"&amp;B343&amp;"|"&amp;C343,'Master Data'!$A$2:$A$2436,0))&amp;"","")</f>
        <v>Tiny</v>
      </c>
      <c r="G343" s="66" t="n">
        <f aca="false">IFERROR(INDEX('Master Data'!$G$2:$G$2436,MATCH($B$3&amp;"|"&amp;D343&amp;"|"&amp;B343&amp;"|"&amp;C343,'Master Data'!$A$2:$A$2436,0)),"")</f>
        <v>5</v>
      </c>
      <c r="H343" s="67" t="str">
        <f aca="false">IFERROR(INDEX('Master Data'!$K$2:$K$2436,MATCH($B$3&amp;"|"&amp;D343&amp;"|"&amp;B343&amp;"|"&amp;C343,'Master Data'!$A$2:$A$2436,0))&amp;"","")</f>
        <v/>
      </c>
      <c r="I343" s="67" t="s">
        <v>405</v>
      </c>
      <c r="J343" s="67" t="s">
        <v>144</v>
      </c>
      <c r="K343" s="68"/>
      <c r="L343" s="68"/>
      <c r="M343" s="68"/>
      <c r="N343" s="69"/>
      <c r="O343" s="68"/>
    </row>
    <row r="344" customFormat="false" ht="15.75" hidden="false" customHeight="true" outlineLevel="0" collapsed="false">
      <c r="A344" s="66" t="n">
        <v>253</v>
      </c>
      <c r="B344" s="67" t="s">
        <v>94</v>
      </c>
      <c r="C344" s="66" t="s">
        <v>120</v>
      </c>
      <c r="D344" s="66" t="n">
        <v>5</v>
      </c>
      <c r="E344" s="67" t="str">
        <f aca="false">IFERROR(INDEX('Master Data'!$L$2:$L$2436,MATCH($B$3&amp;"|"&amp;D344&amp;"|"&amp;B344&amp;"|"&amp;C344,'Master Data'!$A$2:$A$2436,0)),"")</f>
        <v>Slot kosong</v>
      </c>
      <c r="F344" s="67" t="str">
        <f aca="false">IFERROR(INDEX('Master Data'!$F$2:$F$2436,MATCH($B$3&amp;"|"&amp;D344&amp;"|"&amp;B344&amp;"|"&amp;C344,'Master Data'!$A$2:$A$2436,0))&amp;"","")</f>
        <v/>
      </c>
      <c r="G344" s="66" t="n">
        <f aca="false">IFERROR(INDEX('Master Data'!$G$2:$G$2436,MATCH($B$3&amp;"|"&amp;D344&amp;"|"&amp;B344&amp;"|"&amp;C344,'Master Data'!$A$2:$A$2436,0)),"")</f>
        <v>4</v>
      </c>
      <c r="H344" s="67" t="str">
        <f aca="false">IFERROR(INDEX('Master Data'!$K$2:$K$2436,MATCH($B$3&amp;"|"&amp;D344&amp;"|"&amp;B344&amp;"|"&amp;C344,'Master Data'!$A$2:$A$2436,0))&amp;"","")</f>
        <v/>
      </c>
      <c r="I344" s="67" t="s">
        <v>405</v>
      </c>
      <c r="J344" s="67" t="s">
        <v>203</v>
      </c>
      <c r="K344" s="68"/>
      <c r="L344" s="68"/>
      <c r="M344" s="68"/>
      <c r="N344" s="69"/>
      <c r="O344" s="68"/>
    </row>
    <row r="345" customFormat="false" ht="15.75" hidden="false" customHeight="true" outlineLevel="0" collapsed="false">
      <c r="A345" s="66" t="n">
        <v>254</v>
      </c>
      <c r="B345" s="67" t="s">
        <v>94</v>
      </c>
      <c r="C345" s="66" t="s">
        <v>121</v>
      </c>
      <c r="D345" s="66" t="n">
        <v>1</v>
      </c>
      <c r="E345" s="67" t="str">
        <f aca="false">IFERROR(INDEX('Master Data'!$L$2:$L$2436,MATCH($B$3&amp;"|"&amp;D345&amp;"|"&amp;B345&amp;"|"&amp;C345,'Master Data'!$A$2:$A$2436,0)),"")</f>
        <v>Belum terisi</v>
      </c>
      <c r="F345" s="67" t="str">
        <f aca="false">IFERROR(INDEX('Master Data'!$F$2:$F$2436,MATCH($B$3&amp;"|"&amp;D345&amp;"|"&amp;B345&amp;"|"&amp;C345,'Master Data'!$A$2:$A$2436,0))&amp;"","")</f>
        <v>Baby</v>
      </c>
      <c r="G345" s="66" t="n">
        <f aca="false">IFERROR(INDEX('Master Data'!$G$2:$G$2436,MATCH($B$3&amp;"|"&amp;D345&amp;"|"&amp;B345&amp;"|"&amp;C345,'Master Data'!$A$2:$A$2436,0)),"")</f>
        <v>5</v>
      </c>
      <c r="H345" s="67" t="str">
        <f aca="false">IFERROR(INDEX('Master Data'!$K$2:$K$2436,MATCH($B$3&amp;"|"&amp;D345&amp;"|"&amp;B345&amp;"|"&amp;C345,'Master Data'!$A$2:$A$2436,0))&amp;"","")</f>
        <v/>
      </c>
      <c r="I345" s="67" t="s">
        <v>414</v>
      </c>
      <c r="J345" s="67" t="s">
        <v>134</v>
      </c>
      <c r="K345" s="68"/>
      <c r="L345" s="68"/>
      <c r="M345" s="68"/>
      <c r="N345" s="69"/>
      <c r="O345" s="68"/>
    </row>
    <row r="346" customFormat="false" ht="15.75" hidden="false" customHeight="true" outlineLevel="0" collapsed="false">
      <c r="A346" s="66" t="n">
        <v>255</v>
      </c>
      <c r="B346" s="67" t="s">
        <v>94</v>
      </c>
      <c r="C346" s="66" t="s">
        <v>121</v>
      </c>
      <c r="D346" s="66" t="n">
        <v>2</v>
      </c>
      <c r="E346" s="67" t="str">
        <f aca="false">IFERROR(INDEX('Master Data'!$L$2:$L$2436,MATCH($B$3&amp;"|"&amp;D346&amp;"|"&amp;B346&amp;"|"&amp;C346,'Master Data'!$A$2:$A$2436,0)),"")</f>
        <v>Belum terisi</v>
      </c>
      <c r="F346" s="67" t="str">
        <f aca="false">IFERROR(INDEX('Master Data'!$F$2:$F$2436,MATCH($B$3&amp;"|"&amp;D346&amp;"|"&amp;B346&amp;"|"&amp;C346,'Master Data'!$A$2:$A$2436,0))&amp;"","")</f>
        <v>Tiny</v>
      </c>
      <c r="G346" s="66" t="n">
        <f aca="false">IFERROR(INDEX('Master Data'!$G$2:$G$2436,MATCH($B$3&amp;"|"&amp;D346&amp;"|"&amp;B346&amp;"|"&amp;C346,'Master Data'!$A$2:$A$2436,0)),"")</f>
        <v>5</v>
      </c>
      <c r="H346" s="67" t="str">
        <f aca="false">IFERROR(INDEX('Master Data'!$K$2:$K$2436,MATCH($B$3&amp;"|"&amp;D346&amp;"|"&amp;B346&amp;"|"&amp;C346,'Master Data'!$A$2:$A$2436,0))&amp;"","")</f>
        <v/>
      </c>
      <c r="I346" s="67" t="s">
        <v>414</v>
      </c>
      <c r="J346" s="67" t="s">
        <v>134</v>
      </c>
      <c r="K346" s="68"/>
      <c r="L346" s="68"/>
      <c r="M346" s="68"/>
      <c r="N346" s="69"/>
      <c r="O346" s="68"/>
    </row>
    <row r="347" customFormat="false" ht="15.75" hidden="false" customHeight="true" outlineLevel="0" collapsed="false">
      <c r="A347" s="66" t="n">
        <v>256</v>
      </c>
      <c r="B347" s="67" t="s">
        <v>94</v>
      </c>
      <c r="C347" s="66" t="s">
        <v>121</v>
      </c>
      <c r="D347" s="66" t="n">
        <v>5</v>
      </c>
      <c r="E347" s="67" t="str">
        <f aca="false">IFERROR(INDEX('Master Data'!$L$2:$L$2436,MATCH($B$3&amp;"|"&amp;D347&amp;"|"&amp;B347&amp;"|"&amp;C347,'Master Data'!$A$2:$A$2436,0)),"")</f>
        <v>Slot kosong</v>
      </c>
      <c r="F347" s="67" t="str">
        <f aca="false">IFERROR(INDEX('Master Data'!$F$2:$F$2436,MATCH($B$3&amp;"|"&amp;D347&amp;"|"&amp;B347&amp;"|"&amp;C347,'Master Data'!$A$2:$A$2436,0))&amp;"","")</f>
        <v/>
      </c>
      <c r="G347" s="66" t="n">
        <f aca="false">IFERROR(INDEX('Master Data'!$G$2:$G$2436,MATCH($B$3&amp;"|"&amp;D347&amp;"|"&amp;B347&amp;"|"&amp;C347,'Master Data'!$A$2:$A$2436,0)),"")</f>
        <v>4</v>
      </c>
      <c r="H347" s="67" t="str">
        <f aca="false">IFERROR(INDEX('Master Data'!$K$2:$K$2436,MATCH($B$3&amp;"|"&amp;D347&amp;"|"&amp;B347&amp;"|"&amp;C347,'Master Data'!$A$2:$A$2436,0))&amp;"","")</f>
        <v/>
      </c>
      <c r="I347" s="67" t="s">
        <v>414</v>
      </c>
      <c r="J347" s="67" t="s">
        <v>134</v>
      </c>
      <c r="K347" s="68"/>
      <c r="L347" s="68"/>
      <c r="M347" s="68"/>
      <c r="N347" s="69"/>
      <c r="O347" s="68"/>
    </row>
    <row r="348" customFormat="false" ht="65.25" hidden="false" customHeight="true" outlineLevel="0" collapsed="false">
      <c r="A348" s="66" t="n">
        <v>257</v>
      </c>
      <c r="B348" s="67" t="s">
        <v>95</v>
      </c>
      <c r="C348" s="66" t="s">
        <v>110</v>
      </c>
      <c r="D348" s="66" t="n">
        <v>1</v>
      </c>
      <c r="E348" s="67" t="str">
        <f aca="false">IFERROR(INDEX('Master Data'!$L$2:$L$2436,MATCH($B$3&amp;"|"&amp;D348&amp;"|"&amp;B348&amp;"|"&amp;C348,'Master Data'!$A$2:$A$2436,0)),"")</f>
        <v>Belum terisi</v>
      </c>
      <c r="F348" s="67" t="str">
        <f aca="false">IFERROR(INDEX('Master Data'!$F$2:$F$2436,MATCH($B$3&amp;"|"&amp;D348&amp;"|"&amp;B348&amp;"|"&amp;C348,'Master Data'!$A$2:$A$2436,0))&amp;"","")</f>
        <v>Baby</v>
      </c>
      <c r="G348" s="66" t="n">
        <f aca="false">IFERROR(INDEX('Master Data'!$G$2:$G$2436,MATCH($B$3&amp;"|"&amp;D348&amp;"|"&amp;B348&amp;"|"&amp;C348,'Master Data'!$A$2:$A$2436,0)),"")</f>
        <v>5</v>
      </c>
      <c r="H348" s="67" t="str">
        <f aca="false">IFERROR(INDEX('Master Data'!$K$2:$K$2436,MATCH($B$3&amp;"|"&amp;D348&amp;"|"&amp;B348&amp;"|"&amp;C348,'Master Data'!$A$2:$A$2436,0))&amp;"","")</f>
        <v/>
      </c>
      <c r="I348" s="67" t="s">
        <v>415</v>
      </c>
      <c r="J348" s="67" t="s">
        <v>134</v>
      </c>
      <c r="K348" s="68"/>
      <c r="L348" s="68"/>
      <c r="M348" s="68"/>
      <c r="N348" s="69"/>
      <c r="O348" s="68"/>
    </row>
    <row r="349" customFormat="false" ht="65.25" hidden="false" customHeight="true" outlineLevel="0" collapsed="false">
      <c r="A349" s="66" t="n">
        <v>258</v>
      </c>
      <c r="B349" s="67" t="s">
        <v>95</v>
      </c>
      <c r="C349" s="66" t="s">
        <v>110</v>
      </c>
      <c r="D349" s="66" t="n">
        <v>2</v>
      </c>
      <c r="E349" s="67" t="str">
        <f aca="false">IFERROR(INDEX('Master Data'!$L$2:$L$2436,MATCH($B$3&amp;"|"&amp;D349&amp;"|"&amp;B349&amp;"|"&amp;C349,'Master Data'!$A$2:$A$2436,0)),"")</f>
        <v>Belum terisi</v>
      </c>
      <c r="F349" s="67" t="str">
        <f aca="false">IFERROR(INDEX('Master Data'!$F$2:$F$2436,MATCH($B$3&amp;"|"&amp;D349&amp;"|"&amp;B349&amp;"|"&amp;C349,'Master Data'!$A$2:$A$2436,0))&amp;"","")</f>
        <v>Tiny</v>
      </c>
      <c r="G349" s="66" t="n">
        <f aca="false">IFERROR(INDEX('Master Data'!$G$2:$G$2436,MATCH($B$3&amp;"|"&amp;D349&amp;"|"&amp;B349&amp;"|"&amp;C349,'Master Data'!$A$2:$A$2436,0)),"")</f>
        <v>5</v>
      </c>
      <c r="H349" s="67" t="str">
        <f aca="false">IFERROR(INDEX('Master Data'!$K$2:$K$2436,MATCH($B$3&amp;"|"&amp;D349&amp;"|"&amp;B349&amp;"|"&amp;C349,'Master Data'!$A$2:$A$2436,0))&amp;"","")</f>
        <v/>
      </c>
      <c r="I349" s="67" t="s">
        <v>415</v>
      </c>
      <c r="J349" s="67" t="s">
        <v>134</v>
      </c>
      <c r="K349" s="68"/>
      <c r="L349" s="68"/>
      <c r="M349" s="68"/>
      <c r="N349" s="69"/>
      <c r="O349" s="68"/>
    </row>
    <row r="350" customFormat="false" ht="65.25" hidden="false" customHeight="true" outlineLevel="0" collapsed="false">
      <c r="A350" s="66" t="n">
        <v>259</v>
      </c>
      <c r="B350" s="67" t="s">
        <v>95</v>
      </c>
      <c r="C350" s="66" t="s">
        <v>110</v>
      </c>
      <c r="D350" s="66" t="n">
        <v>5</v>
      </c>
      <c r="E350" s="67" t="str">
        <f aca="false">IFERROR(INDEX('Master Data'!$L$2:$L$2436,MATCH($B$3&amp;"|"&amp;D350&amp;"|"&amp;B350&amp;"|"&amp;C350,'Master Data'!$A$2:$A$2436,0)),"")</f>
        <v>Slot kosong</v>
      </c>
      <c r="F350" s="67" t="str">
        <f aca="false">IFERROR(INDEX('Master Data'!$F$2:$F$2436,MATCH($B$3&amp;"|"&amp;D350&amp;"|"&amp;B350&amp;"|"&amp;C350,'Master Data'!$A$2:$A$2436,0))&amp;"","")</f>
        <v/>
      </c>
      <c r="G350" s="66" t="n">
        <f aca="false">IFERROR(INDEX('Master Data'!$G$2:$G$2436,MATCH($B$3&amp;"|"&amp;D350&amp;"|"&amp;B350&amp;"|"&amp;C350,'Master Data'!$A$2:$A$2436,0)),"")</f>
        <v>4</v>
      </c>
      <c r="H350" s="67" t="str">
        <f aca="false">IFERROR(INDEX('Master Data'!$K$2:$K$2436,MATCH($B$3&amp;"|"&amp;D350&amp;"|"&amp;B350&amp;"|"&amp;C350,'Master Data'!$A$2:$A$2436,0))&amp;"","")</f>
        <v/>
      </c>
      <c r="I350" s="67" t="s">
        <v>415</v>
      </c>
      <c r="J350" s="67" t="s">
        <v>134</v>
      </c>
      <c r="K350" s="68"/>
      <c r="L350" s="68"/>
      <c r="M350" s="68"/>
      <c r="N350" s="69"/>
      <c r="O350" s="68"/>
    </row>
    <row r="351" customFormat="false" ht="40.5" hidden="false" customHeight="true" outlineLevel="0" collapsed="false">
      <c r="A351" s="66" t="n">
        <v>260</v>
      </c>
      <c r="B351" s="67" t="s">
        <v>95</v>
      </c>
      <c r="C351" s="66" t="s">
        <v>96</v>
      </c>
      <c r="D351" s="66" t="n">
        <v>3</v>
      </c>
      <c r="E351" s="67" t="str">
        <f aca="false">IFERROR(INDEX('Master Data'!$L$2:$L$2436,MATCH($B$3&amp;"|"&amp;D351&amp;"|"&amp;B351&amp;"|"&amp;C351,'Master Data'!$A$2:$A$2436,0)),"")</f>
        <v>Belum terisi</v>
      </c>
      <c r="F351" s="67" t="str">
        <f aca="false">IFERROR(INDEX('Master Data'!$F$2:$F$2436,MATCH($B$3&amp;"|"&amp;D351&amp;"|"&amp;B351&amp;"|"&amp;C351,'Master Data'!$A$2:$A$2436,0))&amp;"","")</f>
        <v>Little</v>
      </c>
      <c r="G351" s="66" t="n">
        <f aca="false">IFERROR(INDEX('Master Data'!$G$2:$G$2436,MATCH($B$3&amp;"|"&amp;D351&amp;"|"&amp;B351&amp;"|"&amp;C351,'Master Data'!$A$2:$A$2436,0)),"")</f>
        <v>4</v>
      </c>
      <c r="H351" s="67" t="str">
        <f aca="false">IFERROR(INDEX('Master Data'!$K$2:$K$2436,MATCH($B$3&amp;"|"&amp;D351&amp;"|"&amp;B351&amp;"|"&amp;C351,'Master Data'!$A$2:$A$2436,0))&amp;"","")</f>
        <v/>
      </c>
      <c r="I351" s="67" t="s">
        <v>416</v>
      </c>
      <c r="J351" s="67" t="s">
        <v>134</v>
      </c>
      <c r="K351" s="68"/>
      <c r="L351" s="68"/>
      <c r="M351" s="68"/>
      <c r="N351" s="69"/>
      <c r="O351" s="68"/>
    </row>
    <row r="352" customFormat="false" ht="40.5" hidden="false" customHeight="true" outlineLevel="0" collapsed="false">
      <c r="A352" s="66" t="n">
        <v>261</v>
      </c>
      <c r="B352" s="67" t="s">
        <v>95</v>
      </c>
      <c r="C352" s="66" t="s">
        <v>96</v>
      </c>
      <c r="D352" s="66" t="n">
        <v>4</v>
      </c>
      <c r="E352" s="67" t="str">
        <f aca="false">IFERROR(INDEX('Master Data'!$L$2:$L$2436,MATCH($B$3&amp;"|"&amp;D352&amp;"|"&amp;B352&amp;"|"&amp;C352,'Master Data'!$A$2:$A$2436,0)),"")</f>
        <v>Belum terisi</v>
      </c>
      <c r="F352" s="67" t="str">
        <f aca="false">IFERROR(INDEX('Master Data'!$F$2:$F$2436,MATCH($B$3&amp;"|"&amp;D352&amp;"|"&amp;B352&amp;"|"&amp;C352,'Master Data'!$A$2:$A$2436,0))&amp;"","")</f>
        <v>Kids</v>
      </c>
      <c r="G352" s="66" t="n">
        <f aca="false">IFERROR(INDEX('Master Data'!$G$2:$G$2436,MATCH($B$3&amp;"|"&amp;D352&amp;"|"&amp;B352&amp;"|"&amp;C352,'Master Data'!$A$2:$A$2436,0)),"")</f>
        <v>4</v>
      </c>
      <c r="H352" s="67" t="str">
        <f aca="false">IFERROR(INDEX('Master Data'!$K$2:$K$2436,MATCH($B$3&amp;"|"&amp;D352&amp;"|"&amp;B352&amp;"|"&amp;C352,'Master Data'!$A$2:$A$2436,0))&amp;"","")</f>
        <v/>
      </c>
      <c r="I352" s="67" t="s">
        <v>416</v>
      </c>
      <c r="J352" s="67" t="s">
        <v>134</v>
      </c>
      <c r="K352" s="68"/>
      <c r="L352" s="68"/>
      <c r="M352" s="68"/>
      <c r="N352" s="69"/>
      <c r="O352" s="68"/>
    </row>
    <row r="353" customFormat="false" ht="40.5" hidden="false" customHeight="true" outlineLevel="0" collapsed="false">
      <c r="A353" s="66" t="n">
        <v>262</v>
      </c>
      <c r="B353" s="67" t="s">
        <v>95</v>
      </c>
      <c r="C353" s="66" t="s">
        <v>111</v>
      </c>
      <c r="D353" s="66" t="n">
        <v>5</v>
      </c>
      <c r="E353" s="67" t="str">
        <f aca="false">IFERROR(INDEX('Master Data'!$L$2:$L$2436,MATCH($B$3&amp;"|"&amp;D353&amp;"|"&amp;B353&amp;"|"&amp;C353,'Master Data'!$A$2:$A$2436,0)),"")</f>
        <v>Slot kosong</v>
      </c>
      <c r="F353" s="67" t="str">
        <f aca="false">IFERROR(INDEX('Master Data'!$F$2:$F$2436,MATCH($B$3&amp;"|"&amp;D353&amp;"|"&amp;B353&amp;"|"&amp;C353,'Master Data'!$A$2:$A$2436,0))&amp;"","")</f>
        <v/>
      </c>
      <c r="G353" s="66" t="n">
        <f aca="false">IFERROR(INDEX('Master Data'!$G$2:$G$2436,MATCH($B$3&amp;"|"&amp;D353&amp;"|"&amp;B353&amp;"|"&amp;C353,'Master Data'!$A$2:$A$2436,0)),"")</f>
        <v>4</v>
      </c>
      <c r="H353" s="67" t="str">
        <f aca="false">IFERROR(INDEX('Master Data'!$K$2:$K$2436,MATCH($B$3&amp;"|"&amp;D353&amp;"|"&amp;B353&amp;"|"&amp;C353,'Master Data'!$A$2:$A$2436,0))&amp;"","")</f>
        <v/>
      </c>
      <c r="I353" s="67" t="s">
        <v>417</v>
      </c>
      <c r="J353" s="67" t="s">
        <v>134</v>
      </c>
      <c r="K353" s="68"/>
      <c r="L353" s="68"/>
      <c r="M353" s="68"/>
      <c r="N353" s="69"/>
      <c r="O353" s="68"/>
    </row>
    <row r="354" customFormat="false" ht="40.5" hidden="false" customHeight="true" outlineLevel="0" collapsed="false">
      <c r="A354" s="66" t="n">
        <v>263</v>
      </c>
      <c r="B354" s="67" t="s">
        <v>95</v>
      </c>
      <c r="C354" s="66" t="s">
        <v>97</v>
      </c>
      <c r="D354" s="66" t="n">
        <v>4</v>
      </c>
      <c r="E354" s="67" t="str">
        <f aca="false">IFERROR(INDEX('Master Data'!$L$2:$L$2436,MATCH($B$3&amp;"|"&amp;D354&amp;"|"&amp;B354&amp;"|"&amp;C354,'Master Data'!$A$2:$A$2436,0)),"")</f>
        <v>Belum terisi</v>
      </c>
      <c r="F354" s="67" t="str">
        <f aca="false">IFERROR(INDEX('Master Data'!$F$2:$F$2436,MATCH($B$3&amp;"|"&amp;D354&amp;"|"&amp;B354&amp;"|"&amp;C354,'Master Data'!$A$2:$A$2436,0))&amp;"","")</f>
        <v>Kids</v>
      </c>
      <c r="G354" s="66" t="n">
        <f aca="false">IFERROR(INDEX('Master Data'!$G$2:$G$2436,MATCH($B$3&amp;"|"&amp;D354&amp;"|"&amp;B354&amp;"|"&amp;C354,'Master Data'!$A$2:$A$2436,0)),"")</f>
        <v>4</v>
      </c>
      <c r="H354" s="67" t="str">
        <f aca="false">IFERROR(INDEX('Master Data'!$K$2:$K$2436,MATCH($B$3&amp;"|"&amp;D354&amp;"|"&amp;B354&amp;"|"&amp;C354,'Master Data'!$A$2:$A$2436,0))&amp;"","")</f>
        <v/>
      </c>
      <c r="I354" s="67" t="s">
        <v>417</v>
      </c>
      <c r="J354" s="67" t="s">
        <v>134</v>
      </c>
      <c r="K354" s="68"/>
      <c r="L354" s="68"/>
      <c r="M354" s="68"/>
      <c r="N354" s="69"/>
      <c r="O354" s="68"/>
    </row>
    <row r="355" customFormat="false" ht="40.5" hidden="false" customHeight="true" outlineLevel="0" collapsed="false">
      <c r="A355" s="66" t="n">
        <v>264</v>
      </c>
      <c r="B355" s="67" t="s">
        <v>95</v>
      </c>
      <c r="C355" s="66" t="s">
        <v>112</v>
      </c>
      <c r="D355" s="66" t="n">
        <v>2</v>
      </c>
      <c r="E355" s="67" t="str">
        <f aca="false">IFERROR(INDEX('Master Data'!$L$2:$L$2436,MATCH($B$3&amp;"|"&amp;D355&amp;"|"&amp;B355&amp;"|"&amp;C355,'Master Data'!$A$2:$A$2436,0)),"")</f>
        <v>Belum terisi</v>
      </c>
      <c r="F355" s="67" t="str">
        <f aca="false">IFERROR(INDEX('Master Data'!$F$2:$F$2436,MATCH($B$3&amp;"|"&amp;D355&amp;"|"&amp;B355&amp;"|"&amp;C355,'Master Data'!$A$2:$A$2436,0))&amp;"","")</f>
        <v>Tiny</v>
      </c>
      <c r="G355" s="66" t="n">
        <f aca="false">IFERROR(INDEX('Master Data'!$G$2:$G$2436,MATCH($B$3&amp;"|"&amp;D355&amp;"|"&amp;B355&amp;"|"&amp;C355,'Master Data'!$A$2:$A$2436,0)),"")</f>
        <v>5</v>
      </c>
      <c r="H355" s="67" t="str">
        <f aca="false">IFERROR(INDEX('Master Data'!$K$2:$K$2436,MATCH($B$3&amp;"|"&amp;D355&amp;"|"&amp;B355&amp;"|"&amp;C355,'Master Data'!$A$2:$A$2436,0))&amp;"","")</f>
        <v/>
      </c>
      <c r="I355" s="67" t="s">
        <v>418</v>
      </c>
      <c r="J355" s="67" t="s">
        <v>134</v>
      </c>
      <c r="K355" s="68"/>
      <c r="L355" s="68"/>
      <c r="M355" s="68"/>
      <c r="N355" s="69"/>
      <c r="O355" s="68"/>
    </row>
    <row r="356" customFormat="false" ht="40.5" hidden="false" customHeight="true" outlineLevel="0" collapsed="false">
      <c r="A356" s="66" t="n">
        <v>265</v>
      </c>
      <c r="B356" s="67" t="s">
        <v>95</v>
      </c>
      <c r="C356" s="66" t="s">
        <v>112</v>
      </c>
      <c r="D356" s="66" t="n">
        <v>5</v>
      </c>
      <c r="E356" s="67" t="str">
        <f aca="false">IFERROR(INDEX('Master Data'!$L$2:$L$2436,MATCH($B$3&amp;"|"&amp;D356&amp;"|"&amp;B356&amp;"|"&amp;C356,'Master Data'!$A$2:$A$2436,0)),"")</f>
        <v>Slot kosong</v>
      </c>
      <c r="F356" s="67" t="str">
        <f aca="false">IFERROR(INDEX('Master Data'!$F$2:$F$2436,MATCH($B$3&amp;"|"&amp;D356&amp;"|"&amp;B356&amp;"|"&amp;C356,'Master Data'!$A$2:$A$2436,0))&amp;"","")</f>
        <v/>
      </c>
      <c r="G356" s="66" t="n">
        <f aca="false">IFERROR(INDEX('Master Data'!$G$2:$G$2436,MATCH($B$3&amp;"|"&amp;D356&amp;"|"&amp;B356&amp;"|"&amp;C356,'Master Data'!$A$2:$A$2436,0)),"")</f>
        <v>4</v>
      </c>
      <c r="H356" s="67" t="str">
        <f aca="false">IFERROR(INDEX('Master Data'!$K$2:$K$2436,MATCH($B$3&amp;"|"&amp;D356&amp;"|"&amp;B356&amp;"|"&amp;C356,'Master Data'!$A$2:$A$2436,0))&amp;"","")</f>
        <v/>
      </c>
      <c r="I356" s="67" t="s">
        <v>418</v>
      </c>
      <c r="J356" s="67" t="s">
        <v>134</v>
      </c>
      <c r="K356" s="68"/>
      <c r="L356" s="68"/>
      <c r="M356" s="68"/>
      <c r="N356" s="69"/>
      <c r="O356" s="68"/>
    </row>
    <row r="357" customFormat="false" ht="27.75" hidden="false" customHeight="true" outlineLevel="0" collapsed="false">
      <c r="A357" s="66" t="n">
        <v>266</v>
      </c>
      <c r="B357" s="67" t="s">
        <v>95</v>
      </c>
      <c r="C357" s="66" t="s">
        <v>113</v>
      </c>
      <c r="D357" s="66" t="n">
        <v>1</v>
      </c>
      <c r="E357" s="67" t="str">
        <f aca="false">IFERROR(INDEX('Master Data'!$L$2:$L$2436,MATCH($B$3&amp;"|"&amp;D357&amp;"|"&amp;B357&amp;"|"&amp;C357,'Master Data'!$A$2:$A$2436,0)),"")</f>
        <v>Belum terisi</v>
      </c>
      <c r="F357" s="67" t="str">
        <f aca="false">IFERROR(INDEX('Master Data'!$F$2:$F$2436,MATCH($B$3&amp;"|"&amp;D357&amp;"|"&amp;B357&amp;"|"&amp;C357,'Master Data'!$A$2:$A$2436,0))&amp;"","")</f>
        <v>Baby</v>
      </c>
      <c r="G357" s="66" t="n">
        <f aca="false">IFERROR(INDEX('Master Data'!$G$2:$G$2436,MATCH($B$3&amp;"|"&amp;D357&amp;"|"&amp;B357&amp;"|"&amp;C357,'Master Data'!$A$2:$A$2436,0)),"")</f>
        <v>5</v>
      </c>
      <c r="H357" s="67" t="str">
        <f aca="false">IFERROR(INDEX('Master Data'!$K$2:$K$2436,MATCH($B$3&amp;"|"&amp;D357&amp;"|"&amp;B357&amp;"|"&amp;C357,'Master Data'!$A$2:$A$2436,0))&amp;"","")</f>
        <v/>
      </c>
      <c r="I357" s="67" t="s">
        <v>413</v>
      </c>
      <c r="J357" s="67" t="s">
        <v>134</v>
      </c>
      <c r="K357" s="68"/>
      <c r="L357" s="68"/>
      <c r="M357" s="68"/>
      <c r="N357" s="69"/>
      <c r="O357" s="68"/>
    </row>
    <row r="358" customFormat="false" ht="27.75" hidden="false" customHeight="true" outlineLevel="0" collapsed="false">
      <c r="A358" s="66" t="n">
        <v>267</v>
      </c>
      <c r="B358" s="67" t="s">
        <v>95</v>
      </c>
      <c r="C358" s="66" t="s">
        <v>113</v>
      </c>
      <c r="D358" s="66" t="n">
        <v>5</v>
      </c>
      <c r="E358" s="67" t="str">
        <f aca="false">IFERROR(INDEX('Master Data'!$L$2:$L$2436,MATCH($B$3&amp;"|"&amp;D358&amp;"|"&amp;B358&amp;"|"&amp;C358,'Master Data'!$A$2:$A$2436,0)),"")</f>
        <v>Slot kosong</v>
      </c>
      <c r="F358" s="67" t="str">
        <f aca="false">IFERROR(INDEX('Master Data'!$F$2:$F$2436,MATCH($B$3&amp;"|"&amp;D358&amp;"|"&amp;B358&amp;"|"&amp;C358,'Master Data'!$A$2:$A$2436,0))&amp;"","")</f>
        <v/>
      </c>
      <c r="G358" s="66" t="n">
        <f aca="false">IFERROR(INDEX('Master Data'!$G$2:$G$2436,MATCH($B$3&amp;"|"&amp;D358&amp;"|"&amp;B358&amp;"|"&amp;C358,'Master Data'!$A$2:$A$2436,0)),"")</f>
        <v>4</v>
      </c>
      <c r="H358" s="67" t="str">
        <f aca="false">IFERROR(INDEX('Master Data'!$K$2:$K$2436,MATCH($B$3&amp;"|"&amp;D358&amp;"|"&amp;B358&amp;"|"&amp;C358,'Master Data'!$A$2:$A$2436,0))&amp;"","")</f>
        <v/>
      </c>
      <c r="I358" s="67" t="s">
        <v>413</v>
      </c>
      <c r="J358" s="67" t="s">
        <v>134</v>
      </c>
      <c r="K358" s="68"/>
      <c r="L358" s="68"/>
      <c r="M358" s="68"/>
      <c r="N358" s="69"/>
      <c r="O358" s="68"/>
    </row>
    <row r="359" customFormat="false" ht="52.5" hidden="false" customHeight="true" outlineLevel="0" collapsed="false">
      <c r="A359" s="66" t="n">
        <v>268</v>
      </c>
      <c r="B359" s="67" t="s">
        <v>95</v>
      </c>
      <c r="C359" s="66" t="s">
        <v>114</v>
      </c>
      <c r="D359" s="66" t="n">
        <v>1</v>
      </c>
      <c r="E359" s="67" t="str">
        <f aca="false">IFERROR(INDEX('Master Data'!$L$2:$L$2436,MATCH($B$3&amp;"|"&amp;D359&amp;"|"&amp;B359&amp;"|"&amp;C359,'Master Data'!$A$2:$A$2436,0)),"")</f>
        <v>Belum terisi</v>
      </c>
      <c r="F359" s="67" t="str">
        <f aca="false">IFERROR(INDEX('Master Data'!$F$2:$F$2436,MATCH($B$3&amp;"|"&amp;D359&amp;"|"&amp;B359&amp;"|"&amp;C359,'Master Data'!$A$2:$A$2436,0))&amp;"","")</f>
        <v>Baby</v>
      </c>
      <c r="G359" s="66" t="n">
        <f aca="false">IFERROR(INDEX('Master Data'!$G$2:$G$2436,MATCH($B$3&amp;"|"&amp;D359&amp;"|"&amp;B359&amp;"|"&amp;C359,'Master Data'!$A$2:$A$2436,0)),"")</f>
        <v>5</v>
      </c>
      <c r="H359" s="67" t="str">
        <f aca="false">IFERROR(INDEX('Master Data'!$K$2:$K$2436,MATCH($B$3&amp;"|"&amp;D359&amp;"|"&amp;B359&amp;"|"&amp;C359,'Master Data'!$A$2:$A$2436,0))&amp;"","")</f>
        <v/>
      </c>
      <c r="I359" s="67" t="s">
        <v>419</v>
      </c>
      <c r="J359" s="67" t="s">
        <v>134</v>
      </c>
      <c r="K359" s="68"/>
      <c r="L359" s="68"/>
      <c r="M359" s="68"/>
      <c r="N359" s="69"/>
      <c r="O359" s="68"/>
    </row>
    <row r="360" customFormat="false" ht="52.5" hidden="false" customHeight="true" outlineLevel="0" collapsed="false">
      <c r="A360" s="66" t="n">
        <v>269</v>
      </c>
      <c r="B360" s="67" t="s">
        <v>95</v>
      </c>
      <c r="C360" s="66" t="s">
        <v>114</v>
      </c>
      <c r="D360" s="66" t="n">
        <v>2</v>
      </c>
      <c r="E360" s="67" t="str">
        <f aca="false">IFERROR(INDEX('Master Data'!$L$2:$L$2436,MATCH($B$3&amp;"|"&amp;D360&amp;"|"&amp;B360&amp;"|"&amp;C360,'Master Data'!$A$2:$A$2436,0)),"")</f>
        <v>Belum terisi</v>
      </c>
      <c r="F360" s="67" t="str">
        <f aca="false">IFERROR(INDEX('Master Data'!$F$2:$F$2436,MATCH($B$3&amp;"|"&amp;D360&amp;"|"&amp;B360&amp;"|"&amp;C360,'Master Data'!$A$2:$A$2436,0))&amp;"","")</f>
        <v>Tiny</v>
      </c>
      <c r="G360" s="66" t="n">
        <f aca="false">IFERROR(INDEX('Master Data'!$G$2:$G$2436,MATCH($B$3&amp;"|"&amp;D360&amp;"|"&amp;B360&amp;"|"&amp;C360,'Master Data'!$A$2:$A$2436,0)),"")</f>
        <v>5</v>
      </c>
      <c r="H360" s="67" t="str">
        <f aca="false">IFERROR(INDEX('Master Data'!$K$2:$K$2436,MATCH($B$3&amp;"|"&amp;D360&amp;"|"&amp;B360&amp;"|"&amp;C360,'Master Data'!$A$2:$A$2436,0))&amp;"","")</f>
        <v/>
      </c>
      <c r="I360" s="67" t="s">
        <v>419</v>
      </c>
      <c r="J360" s="67" t="s">
        <v>134</v>
      </c>
      <c r="K360" s="68"/>
      <c r="L360" s="68"/>
      <c r="M360" s="68"/>
      <c r="N360" s="69"/>
      <c r="O360" s="68"/>
    </row>
    <row r="361" customFormat="false" ht="52.5" hidden="false" customHeight="true" outlineLevel="0" collapsed="false">
      <c r="A361" s="66" t="n">
        <v>270</v>
      </c>
      <c r="B361" s="67" t="s">
        <v>95</v>
      </c>
      <c r="C361" s="66" t="s">
        <v>114</v>
      </c>
      <c r="D361" s="66" t="n">
        <v>5</v>
      </c>
      <c r="E361" s="67" t="str">
        <f aca="false">IFERROR(INDEX('Master Data'!$L$2:$L$2436,MATCH($B$3&amp;"|"&amp;D361&amp;"|"&amp;B361&amp;"|"&amp;C361,'Master Data'!$A$2:$A$2436,0)),"")</f>
        <v>Slot kosong</v>
      </c>
      <c r="F361" s="67" t="str">
        <f aca="false">IFERROR(INDEX('Master Data'!$F$2:$F$2436,MATCH($B$3&amp;"|"&amp;D361&amp;"|"&amp;B361&amp;"|"&amp;C361,'Master Data'!$A$2:$A$2436,0))&amp;"","")</f>
        <v/>
      </c>
      <c r="G361" s="66" t="n">
        <f aca="false">IFERROR(INDEX('Master Data'!$G$2:$G$2436,MATCH($B$3&amp;"|"&amp;D361&amp;"|"&amp;B361&amp;"|"&amp;C361,'Master Data'!$A$2:$A$2436,0)),"")</f>
        <v>4</v>
      </c>
      <c r="H361" s="67" t="str">
        <f aca="false">IFERROR(INDEX('Master Data'!$K$2:$K$2436,MATCH($B$3&amp;"|"&amp;D361&amp;"|"&amp;B361&amp;"|"&amp;C361,'Master Data'!$A$2:$A$2436,0))&amp;"","")</f>
        <v/>
      </c>
      <c r="I361" s="67" t="s">
        <v>419</v>
      </c>
      <c r="J361" s="67" t="s">
        <v>134</v>
      </c>
      <c r="K361" s="68"/>
      <c r="L361" s="68"/>
      <c r="M361" s="68"/>
      <c r="N361" s="69"/>
      <c r="O361" s="68"/>
    </row>
    <row r="362" customFormat="false" ht="52.5" hidden="false" customHeight="true" outlineLevel="0" collapsed="false">
      <c r="A362" s="66" t="n">
        <v>271</v>
      </c>
      <c r="B362" s="67" t="s">
        <v>95</v>
      </c>
      <c r="C362" s="66" t="s">
        <v>100</v>
      </c>
      <c r="D362" s="66" t="n">
        <v>3</v>
      </c>
      <c r="E362" s="67" t="str">
        <f aca="false">IFERROR(INDEX('Master Data'!$L$2:$L$2436,MATCH($B$3&amp;"|"&amp;D362&amp;"|"&amp;B362&amp;"|"&amp;C362,'Master Data'!$A$2:$A$2436,0)),"")</f>
        <v>Belum terisi</v>
      </c>
      <c r="F362" s="67" t="str">
        <f aca="false">IFERROR(INDEX('Master Data'!$F$2:$F$2436,MATCH($B$3&amp;"|"&amp;D362&amp;"|"&amp;B362&amp;"|"&amp;C362,'Master Data'!$A$2:$A$2436,0))&amp;"","")</f>
        <v>Little</v>
      </c>
      <c r="G362" s="66" t="n">
        <f aca="false">IFERROR(INDEX('Master Data'!$G$2:$G$2436,MATCH($B$3&amp;"|"&amp;D362&amp;"|"&amp;B362&amp;"|"&amp;C362,'Master Data'!$A$2:$A$2436,0)),"")</f>
        <v>4</v>
      </c>
      <c r="H362" s="67" t="str">
        <f aca="false">IFERROR(INDEX('Master Data'!$K$2:$K$2436,MATCH($B$3&amp;"|"&amp;D362&amp;"|"&amp;B362&amp;"|"&amp;C362,'Master Data'!$A$2:$A$2436,0))&amp;"","")</f>
        <v/>
      </c>
      <c r="I362" s="67" t="s">
        <v>420</v>
      </c>
      <c r="J362" s="67" t="s">
        <v>134</v>
      </c>
      <c r="K362" s="68"/>
      <c r="L362" s="68"/>
      <c r="M362" s="68"/>
      <c r="N362" s="69"/>
      <c r="O362" s="68"/>
    </row>
    <row r="363" customFormat="false" ht="52.5" hidden="false" customHeight="true" outlineLevel="0" collapsed="false">
      <c r="A363" s="66" t="n">
        <v>272</v>
      </c>
      <c r="B363" s="67" t="s">
        <v>95</v>
      </c>
      <c r="C363" s="66" t="s">
        <v>100</v>
      </c>
      <c r="D363" s="66" t="n">
        <v>4</v>
      </c>
      <c r="E363" s="67" t="str">
        <f aca="false">IFERROR(INDEX('Master Data'!$L$2:$L$2436,MATCH($B$3&amp;"|"&amp;D363&amp;"|"&amp;B363&amp;"|"&amp;C363,'Master Data'!$A$2:$A$2436,0)),"")</f>
        <v>Belum terisi</v>
      </c>
      <c r="F363" s="67" t="str">
        <f aca="false">IFERROR(INDEX('Master Data'!$F$2:$F$2436,MATCH($B$3&amp;"|"&amp;D363&amp;"|"&amp;B363&amp;"|"&amp;C363,'Master Data'!$A$2:$A$2436,0))&amp;"","")</f>
        <v>Kids</v>
      </c>
      <c r="G363" s="66" t="n">
        <f aca="false">IFERROR(INDEX('Master Data'!$G$2:$G$2436,MATCH($B$3&amp;"|"&amp;D363&amp;"|"&amp;B363&amp;"|"&amp;C363,'Master Data'!$A$2:$A$2436,0)),"")</f>
        <v>4</v>
      </c>
      <c r="H363" s="67" t="str">
        <f aca="false">IFERROR(INDEX('Master Data'!$K$2:$K$2436,MATCH($B$3&amp;"|"&amp;D363&amp;"|"&amp;B363&amp;"|"&amp;C363,'Master Data'!$A$2:$A$2436,0))&amp;"","")</f>
        <v/>
      </c>
      <c r="I363" s="67" t="s">
        <v>420</v>
      </c>
      <c r="J363" s="67" t="s">
        <v>134</v>
      </c>
      <c r="K363" s="68"/>
      <c r="L363" s="68"/>
      <c r="M363" s="68"/>
      <c r="N363" s="69"/>
      <c r="O363" s="68"/>
    </row>
    <row r="364" customFormat="false" ht="52.5" hidden="false" customHeight="true" outlineLevel="0" collapsed="false">
      <c r="A364" s="66" t="n">
        <v>273</v>
      </c>
      <c r="B364" s="67" t="s">
        <v>95</v>
      </c>
      <c r="C364" s="66" t="s">
        <v>115</v>
      </c>
      <c r="D364" s="66" t="n">
        <v>2</v>
      </c>
      <c r="E364" s="67" t="str">
        <f aca="false">IFERROR(INDEX('Master Data'!$L$2:$L$2436,MATCH($B$3&amp;"|"&amp;D364&amp;"|"&amp;B364&amp;"|"&amp;C364,'Master Data'!$A$2:$A$2436,0)),"")</f>
        <v>Belum terisi</v>
      </c>
      <c r="F364" s="67" t="str">
        <f aca="false">IFERROR(INDEX('Master Data'!$F$2:$F$2436,MATCH($B$3&amp;"|"&amp;D364&amp;"|"&amp;B364&amp;"|"&amp;C364,'Master Data'!$A$2:$A$2436,0))&amp;"","")</f>
        <v>Tiny</v>
      </c>
      <c r="G364" s="66" t="n">
        <f aca="false">IFERROR(INDEX('Master Data'!$G$2:$G$2436,MATCH($B$3&amp;"|"&amp;D364&amp;"|"&amp;B364&amp;"|"&amp;C364,'Master Data'!$A$2:$A$2436,0)),"")</f>
        <v>5</v>
      </c>
      <c r="H364" s="67" t="str">
        <f aca="false">IFERROR(INDEX('Master Data'!$K$2:$K$2436,MATCH($B$3&amp;"|"&amp;D364&amp;"|"&amp;B364&amp;"|"&amp;C364,'Master Data'!$A$2:$A$2436,0))&amp;"","")</f>
        <v/>
      </c>
      <c r="I364" s="67" t="s">
        <v>420</v>
      </c>
      <c r="J364" s="67" t="s">
        <v>134</v>
      </c>
      <c r="K364" s="68"/>
      <c r="L364" s="68"/>
      <c r="M364" s="68"/>
      <c r="N364" s="69"/>
      <c r="O364" s="68"/>
    </row>
    <row r="365" customFormat="false" ht="52.5" hidden="false" customHeight="true" outlineLevel="0" collapsed="false">
      <c r="A365" s="66" t="n">
        <v>274</v>
      </c>
      <c r="B365" s="67" t="s">
        <v>95</v>
      </c>
      <c r="C365" s="66" t="s">
        <v>115</v>
      </c>
      <c r="D365" s="66" t="n">
        <v>5</v>
      </c>
      <c r="E365" s="67" t="str">
        <f aca="false">IFERROR(INDEX('Master Data'!$L$2:$L$2436,MATCH($B$3&amp;"|"&amp;D365&amp;"|"&amp;B365&amp;"|"&amp;C365,'Master Data'!$A$2:$A$2436,0)),"")</f>
        <v>Slot kosong</v>
      </c>
      <c r="F365" s="67" t="str">
        <f aca="false">IFERROR(INDEX('Master Data'!$F$2:$F$2436,MATCH($B$3&amp;"|"&amp;D365&amp;"|"&amp;B365&amp;"|"&amp;C365,'Master Data'!$A$2:$A$2436,0))&amp;"","")</f>
        <v/>
      </c>
      <c r="G365" s="66" t="n">
        <f aca="false">IFERROR(INDEX('Master Data'!$G$2:$G$2436,MATCH($B$3&amp;"|"&amp;D365&amp;"|"&amp;B365&amp;"|"&amp;C365,'Master Data'!$A$2:$A$2436,0)),"")</f>
        <v>4</v>
      </c>
      <c r="H365" s="67" t="str">
        <f aca="false">IFERROR(INDEX('Master Data'!$K$2:$K$2436,MATCH($B$3&amp;"|"&amp;D365&amp;"|"&amp;B365&amp;"|"&amp;C365,'Master Data'!$A$2:$A$2436,0))&amp;"","")</f>
        <v/>
      </c>
      <c r="I365" s="67" t="s">
        <v>420</v>
      </c>
      <c r="J365" s="67" t="s">
        <v>134</v>
      </c>
      <c r="K365" s="68"/>
      <c r="L365" s="68"/>
      <c r="M365" s="68"/>
      <c r="N365" s="69"/>
      <c r="O365" s="68"/>
    </row>
    <row r="366" customFormat="false" ht="52.5" hidden="false" customHeight="true" outlineLevel="0" collapsed="false">
      <c r="A366" s="66" t="n">
        <v>275</v>
      </c>
      <c r="B366" s="67" t="s">
        <v>95</v>
      </c>
      <c r="C366" s="66" t="s">
        <v>101</v>
      </c>
      <c r="D366" s="66" t="n">
        <v>3</v>
      </c>
      <c r="E366" s="67" t="str">
        <f aca="false">IFERROR(INDEX('Master Data'!$L$2:$L$2436,MATCH($B$3&amp;"|"&amp;D366&amp;"|"&amp;B366&amp;"|"&amp;C366,'Master Data'!$A$2:$A$2436,0)),"")</f>
        <v>Belum terisi</v>
      </c>
      <c r="F366" s="67" t="str">
        <f aca="false">IFERROR(INDEX('Master Data'!$F$2:$F$2436,MATCH($B$3&amp;"|"&amp;D366&amp;"|"&amp;B366&amp;"|"&amp;C366,'Master Data'!$A$2:$A$2436,0))&amp;"","")</f>
        <v>Little</v>
      </c>
      <c r="G366" s="66" t="n">
        <f aca="false">IFERROR(INDEX('Master Data'!$G$2:$G$2436,MATCH($B$3&amp;"|"&amp;D366&amp;"|"&amp;B366&amp;"|"&amp;C366,'Master Data'!$A$2:$A$2436,0)),"")</f>
        <v>4</v>
      </c>
      <c r="H366" s="67" t="str">
        <f aca="false">IFERROR(INDEX('Master Data'!$K$2:$K$2436,MATCH($B$3&amp;"|"&amp;D366&amp;"|"&amp;B366&amp;"|"&amp;C366,'Master Data'!$A$2:$A$2436,0))&amp;"","")</f>
        <v/>
      </c>
      <c r="I366" s="67" t="s">
        <v>420</v>
      </c>
      <c r="J366" s="67" t="s">
        <v>134</v>
      </c>
      <c r="K366" s="68"/>
      <c r="L366" s="68"/>
      <c r="M366" s="68"/>
      <c r="N366" s="69"/>
      <c r="O366" s="68"/>
    </row>
    <row r="367" customFormat="false" ht="52.5" hidden="false" customHeight="true" outlineLevel="0" collapsed="false">
      <c r="A367" s="66" t="n">
        <v>276</v>
      </c>
      <c r="B367" s="67" t="s">
        <v>95</v>
      </c>
      <c r="C367" s="66" t="s">
        <v>101</v>
      </c>
      <c r="D367" s="66" t="n">
        <v>4</v>
      </c>
      <c r="E367" s="67" t="str">
        <f aca="false">IFERROR(INDEX('Master Data'!$L$2:$L$2436,MATCH($B$3&amp;"|"&amp;D367&amp;"|"&amp;B367&amp;"|"&amp;C367,'Master Data'!$A$2:$A$2436,0)),"")</f>
        <v>Belum terisi</v>
      </c>
      <c r="F367" s="67" t="str">
        <f aca="false">IFERROR(INDEX('Master Data'!$F$2:$F$2436,MATCH($B$3&amp;"|"&amp;D367&amp;"|"&amp;B367&amp;"|"&amp;C367,'Master Data'!$A$2:$A$2436,0))&amp;"","")</f>
        <v>Kids</v>
      </c>
      <c r="G367" s="66" t="n">
        <f aca="false">IFERROR(INDEX('Master Data'!$G$2:$G$2436,MATCH($B$3&amp;"|"&amp;D367&amp;"|"&amp;B367&amp;"|"&amp;C367,'Master Data'!$A$2:$A$2436,0)),"")</f>
        <v>4</v>
      </c>
      <c r="H367" s="67" t="str">
        <f aca="false">IFERROR(INDEX('Master Data'!$K$2:$K$2436,MATCH($B$3&amp;"|"&amp;D367&amp;"|"&amp;B367&amp;"|"&amp;C367,'Master Data'!$A$2:$A$2436,0))&amp;"","")</f>
        <v/>
      </c>
      <c r="I367" s="67" t="s">
        <v>420</v>
      </c>
      <c r="J367" s="67" t="s">
        <v>134</v>
      </c>
      <c r="K367" s="68"/>
      <c r="L367" s="68"/>
      <c r="M367" s="68"/>
      <c r="N367" s="69"/>
      <c r="O367" s="68"/>
    </row>
    <row r="368" customFormat="false" ht="52.5" hidden="false" customHeight="true" outlineLevel="0" collapsed="false">
      <c r="A368" s="66" t="n">
        <v>277</v>
      </c>
      <c r="B368" s="67" t="s">
        <v>95</v>
      </c>
      <c r="C368" s="66" t="s">
        <v>116</v>
      </c>
      <c r="D368" s="66" t="n">
        <v>2</v>
      </c>
      <c r="E368" s="67" t="str">
        <f aca="false">IFERROR(INDEX('Master Data'!$L$2:$L$2436,MATCH($B$3&amp;"|"&amp;D368&amp;"|"&amp;B368&amp;"|"&amp;C368,'Master Data'!$A$2:$A$2436,0)),"")</f>
        <v>Belum terisi</v>
      </c>
      <c r="F368" s="67" t="str">
        <f aca="false">IFERROR(INDEX('Master Data'!$F$2:$F$2436,MATCH($B$3&amp;"|"&amp;D368&amp;"|"&amp;B368&amp;"|"&amp;C368,'Master Data'!$A$2:$A$2436,0))&amp;"","")</f>
        <v>Tiny</v>
      </c>
      <c r="G368" s="66" t="n">
        <f aca="false">IFERROR(INDEX('Master Data'!$G$2:$G$2436,MATCH($B$3&amp;"|"&amp;D368&amp;"|"&amp;B368&amp;"|"&amp;C368,'Master Data'!$A$2:$A$2436,0)),"")</f>
        <v>5</v>
      </c>
      <c r="H368" s="67" t="str">
        <f aca="false">IFERROR(INDEX('Master Data'!$K$2:$K$2436,MATCH($B$3&amp;"|"&amp;D368&amp;"|"&amp;B368&amp;"|"&amp;C368,'Master Data'!$A$2:$A$2436,0))&amp;"","")</f>
        <v/>
      </c>
      <c r="I368" s="67" t="s">
        <v>421</v>
      </c>
      <c r="J368" s="67" t="s">
        <v>134</v>
      </c>
      <c r="K368" s="68"/>
      <c r="L368" s="68"/>
      <c r="M368" s="68"/>
      <c r="N368" s="69"/>
      <c r="O368" s="68"/>
    </row>
    <row r="369" customFormat="false" ht="52.5" hidden="false" customHeight="true" outlineLevel="0" collapsed="false">
      <c r="A369" s="66" t="n">
        <v>278</v>
      </c>
      <c r="B369" s="67" t="s">
        <v>95</v>
      </c>
      <c r="C369" s="66" t="s">
        <v>116</v>
      </c>
      <c r="D369" s="66" t="n">
        <v>5</v>
      </c>
      <c r="E369" s="67" t="str">
        <f aca="false">IFERROR(INDEX('Master Data'!$L$2:$L$2436,MATCH($B$3&amp;"|"&amp;D369&amp;"|"&amp;B369&amp;"|"&amp;C369,'Master Data'!$A$2:$A$2436,0)),"")</f>
        <v>Slot kosong</v>
      </c>
      <c r="F369" s="67" t="str">
        <f aca="false">IFERROR(INDEX('Master Data'!$F$2:$F$2436,MATCH($B$3&amp;"|"&amp;D369&amp;"|"&amp;B369&amp;"|"&amp;C369,'Master Data'!$A$2:$A$2436,0))&amp;"","")</f>
        <v/>
      </c>
      <c r="G369" s="66" t="n">
        <f aca="false">IFERROR(INDEX('Master Data'!$G$2:$G$2436,MATCH($B$3&amp;"|"&amp;D369&amp;"|"&amp;B369&amp;"|"&amp;C369,'Master Data'!$A$2:$A$2436,0)),"")</f>
        <v>4</v>
      </c>
      <c r="H369" s="67" t="str">
        <f aca="false">IFERROR(INDEX('Master Data'!$K$2:$K$2436,MATCH($B$3&amp;"|"&amp;D369&amp;"|"&amp;B369&amp;"|"&amp;C369,'Master Data'!$A$2:$A$2436,0))&amp;"","")</f>
        <v/>
      </c>
      <c r="I369" s="67" t="s">
        <v>421</v>
      </c>
      <c r="J369" s="67" t="s">
        <v>134</v>
      </c>
      <c r="K369" s="68"/>
      <c r="L369" s="68"/>
      <c r="M369" s="68"/>
      <c r="N369" s="69"/>
      <c r="O369" s="68"/>
    </row>
    <row r="370" customFormat="false" ht="52.5" hidden="false" customHeight="true" outlineLevel="0" collapsed="false">
      <c r="A370" s="66" t="n">
        <v>279</v>
      </c>
      <c r="B370" s="67" t="s">
        <v>95</v>
      </c>
      <c r="C370" s="66" t="s">
        <v>102</v>
      </c>
      <c r="D370" s="66" t="n">
        <v>3</v>
      </c>
      <c r="E370" s="67" t="str">
        <f aca="false">IFERROR(INDEX('Master Data'!$L$2:$L$2436,MATCH($B$3&amp;"|"&amp;D370&amp;"|"&amp;B370&amp;"|"&amp;C370,'Master Data'!$A$2:$A$2436,0)),"")</f>
        <v>Belum terisi</v>
      </c>
      <c r="F370" s="67" t="str">
        <f aca="false">IFERROR(INDEX('Master Data'!$F$2:$F$2436,MATCH($B$3&amp;"|"&amp;D370&amp;"|"&amp;B370&amp;"|"&amp;C370,'Master Data'!$A$2:$A$2436,0))&amp;"","")</f>
        <v>Little</v>
      </c>
      <c r="G370" s="66" t="n">
        <f aca="false">IFERROR(INDEX('Master Data'!$G$2:$G$2436,MATCH($B$3&amp;"|"&amp;D370&amp;"|"&amp;B370&amp;"|"&amp;C370,'Master Data'!$A$2:$A$2436,0)),"")</f>
        <v>4</v>
      </c>
      <c r="H370" s="67" t="str">
        <f aca="false">IFERROR(INDEX('Master Data'!$K$2:$K$2436,MATCH($B$3&amp;"|"&amp;D370&amp;"|"&amp;B370&amp;"|"&amp;C370,'Master Data'!$A$2:$A$2436,0))&amp;"","")</f>
        <v/>
      </c>
      <c r="I370" s="67" t="s">
        <v>421</v>
      </c>
      <c r="J370" s="67" t="s">
        <v>134</v>
      </c>
      <c r="K370" s="68"/>
      <c r="L370" s="68"/>
      <c r="M370" s="68"/>
      <c r="N370" s="69"/>
      <c r="O370" s="68"/>
    </row>
    <row r="371" customFormat="false" ht="52.5" hidden="false" customHeight="true" outlineLevel="0" collapsed="false">
      <c r="A371" s="66" t="n">
        <v>280</v>
      </c>
      <c r="B371" s="67" t="s">
        <v>95</v>
      </c>
      <c r="C371" s="66" t="s">
        <v>102</v>
      </c>
      <c r="D371" s="66" t="n">
        <v>4</v>
      </c>
      <c r="E371" s="67" t="str">
        <f aca="false">IFERROR(INDEX('Master Data'!$L$2:$L$2436,MATCH($B$3&amp;"|"&amp;D371&amp;"|"&amp;B371&amp;"|"&amp;C371,'Master Data'!$A$2:$A$2436,0)),"")</f>
        <v>Belum terisi</v>
      </c>
      <c r="F371" s="67" t="str">
        <f aca="false">IFERROR(INDEX('Master Data'!$F$2:$F$2436,MATCH($B$3&amp;"|"&amp;D371&amp;"|"&amp;B371&amp;"|"&amp;C371,'Master Data'!$A$2:$A$2436,0))&amp;"","")</f>
        <v>Kids</v>
      </c>
      <c r="G371" s="66" t="n">
        <f aca="false">IFERROR(INDEX('Master Data'!$G$2:$G$2436,MATCH($B$3&amp;"|"&amp;D371&amp;"|"&amp;B371&amp;"|"&amp;C371,'Master Data'!$A$2:$A$2436,0)),"")</f>
        <v>4</v>
      </c>
      <c r="H371" s="67" t="str">
        <f aca="false">IFERROR(INDEX('Master Data'!$K$2:$K$2436,MATCH($B$3&amp;"|"&amp;D371&amp;"|"&amp;B371&amp;"|"&amp;C371,'Master Data'!$A$2:$A$2436,0))&amp;"","")</f>
        <v/>
      </c>
      <c r="I371" s="67" t="s">
        <v>421</v>
      </c>
      <c r="J371" s="67" t="s">
        <v>134</v>
      </c>
      <c r="K371" s="68"/>
      <c r="L371" s="68"/>
      <c r="M371" s="68"/>
      <c r="N371" s="69"/>
      <c r="O371" s="68"/>
    </row>
    <row r="372" customFormat="false" ht="52.5" hidden="false" customHeight="true" outlineLevel="0" collapsed="false">
      <c r="A372" s="66" t="n">
        <v>281</v>
      </c>
      <c r="B372" s="67" t="s">
        <v>95</v>
      </c>
      <c r="C372" s="66" t="s">
        <v>117</v>
      </c>
      <c r="D372" s="66" t="n">
        <v>1</v>
      </c>
      <c r="E372" s="67" t="str">
        <f aca="false">IFERROR(INDEX('Master Data'!$L$2:$L$2436,MATCH($B$3&amp;"|"&amp;D372&amp;"|"&amp;B372&amp;"|"&amp;C372,'Master Data'!$A$2:$A$2436,0)),"")</f>
        <v>Belum terisi</v>
      </c>
      <c r="F372" s="67" t="str">
        <f aca="false">IFERROR(INDEX('Master Data'!$F$2:$F$2436,MATCH($B$3&amp;"|"&amp;D372&amp;"|"&amp;B372&amp;"|"&amp;C372,'Master Data'!$A$2:$A$2436,0))&amp;"","")</f>
        <v>Baby</v>
      </c>
      <c r="G372" s="66" t="n">
        <f aca="false">IFERROR(INDEX('Master Data'!$G$2:$G$2436,MATCH($B$3&amp;"|"&amp;D372&amp;"|"&amp;B372&amp;"|"&amp;C372,'Master Data'!$A$2:$A$2436,0)),"")</f>
        <v>5</v>
      </c>
      <c r="H372" s="67" t="str">
        <f aca="false">IFERROR(INDEX('Master Data'!$K$2:$K$2436,MATCH($B$3&amp;"|"&amp;D372&amp;"|"&amp;B372&amp;"|"&amp;C372,'Master Data'!$A$2:$A$2436,0))&amp;"","")</f>
        <v/>
      </c>
      <c r="I372" s="67" t="s">
        <v>422</v>
      </c>
      <c r="J372" s="67" t="s">
        <v>134</v>
      </c>
      <c r="K372" s="68"/>
      <c r="L372" s="68"/>
      <c r="M372" s="68"/>
      <c r="N372" s="69"/>
      <c r="O372" s="68"/>
    </row>
    <row r="373" customFormat="false" ht="52.5" hidden="false" customHeight="true" outlineLevel="0" collapsed="false">
      <c r="A373" s="66" t="n">
        <v>282</v>
      </c>
      <c r="B373" s="67" t="s">
        <v>95</v>
      </c>
      <c r="C373" s="66" t="s">
        <v>117</v>
      </c>
      <c r="D373" s="66" t="n">
        <v>2</v>
      </c>
      <c r="E373" s="67" t="str">
        <f aca="false">IFERROR(INDEX('Master Data'!$L$2:$L$2436,MATCH($B$3&amp;"|"&amp;D373&amp;"|"&amp;B373&amp;"|"&amp;C373,'Master Data'!$A$2:$A$2436,0)),"")</f>
        <v>Belum terisi</v>
      </c>
      <c r="F373" s="67" t="str">
        <f aca="false">IFERROR(INDEX('Master Data'!$F$2:$F$2436,MATCH($B$3&amp;"|"&amp;D373&amp;"|"&amp;B373&amp;"|"&amp;C373,'Master Data'!$A$2:$A$2436,0))&amp;"","")</f>
        <v>Tiny</v>
      </c>
      <c r="G373" s="66" t="n">
        <f aca="false">IFERROR(INDEX('Master Data'!$G$2:$G$2436,MATCH($B$3&amp;"|"&amp;D373&amp;"|"&amp;B373&amp;"|"&amp;C373,'Master Data'!$A$2:$A$2436,0)),"")</f>
        <v>5</v>
      </c>
      <c r="H373" s="67" t="str">
        <f aca="false">IFERROR(INDEX('Master Data'!$K$2:$K$2436,MATCH($B$3&amp;"|"&amp;D373&amp;"|"&amp;B373&amp;"|"&amp;C373,'Master Data'!$A$2:$A$2436,0))&amp;"","")</f>
        <v/>
      </c>
      <c r="I373" s="67" t="s">
        <v>422</v>
      </c>
      <c r="J373" s="67" t="s">
        <v>134</v>
      </c>
      <c r="K373" s="68"/>
      <c r="L373" s="68"/>
      <c r="M373" s="68"/>
      <c r="N373" s="69"/>
      <c r="O373" s="68"/>
    </row>
    <row r="374" customFormat="false" ht="52.5" hidden="false" customHeight="true" outlineLevel="0" collapsed="false">
      <c r="A374" s="66" t="n">
        <v>283</v>
      </c>
      <c r="B374" s="67" t="s">
        <v>95</v>
      </c>
      <c r="C374" s="66" t="s">
        <v>117</v>
      </c>
      <c r="D374" s="66" t="n">
        <v>5</v>
      </c>
      <c r="E374" s="67" t="str">
        <f aca="false">IFERROR(INDEX('Master Data'!$L$2:$L$2436,MATCH($B$3&amp;"|"&amp;D374&amp;"|"&amp;B374&amp;"|"&amp;C374,'Master Data'!$A$2:$A$2436,0)),"")</f>
        <v>Slot kosong</v>
      </c>
      <c r="F374" s="67" t="str">
        <f aca="false">IFERROR(INDEX('Master Data'!$F$2:$F$2436,MATCH($B$3&amp;"|"&amp;D374&amp;"|"&amp;B374&amp;"|"&amp;C374,'Master Data'!$A$2:$A$2436,0))&amp;"","")</f>
        <v/>
      </c>
      <c r="G374" s="66" t="n">
        <f aca="false">IFERROR(INDEX('Master Data'!$G$2:$G$2436,MATCH($B$3&amp;"|"&amp;D374&amp;"|"&amp;B374&amp;"|"&amp;C374,'Master Data'!$A$2:$A$2436,0)),"")</f>
        <v>4</v>
      </c>
      <c r="H374" s="67" t="str">
        <f aca="false">IFERROR(INDEX('Master Data'!$K$2:$K$2436,MATCH($B$3&amp;"|"&amp;D374&amp;"|"&amp;B374&amp;"|"&amp;C374,'Master Data'!$A$2:$A$2436,0))&amp;"","")</f>
        <v/>
      </c>
      <c r="I374" s="67" t="s">
        <v>422</v>
      </c>
      <c r="J374" s="67" t="s">
        <v>134</v>
      </c>
      <c r="K374" s="68"/>
      <c r="L374" s="68"/>
      <c r="M374" s="68"/>
      <c r="N374" s="69"/>
      <c r="O374" s="68"/>
    </row>
    <row r="375" customFormat="false" ht="52.5" hidden="false" customHeight="true" outlineLevel="0" collapsed="false">
      <c r="A375" s="66" t="n">
        <v>284</v>
      </c>
      <c r="B375" s="67" t="s">
        <v>95</v>
      </c>
      <c r="C375" s="66" t="s">
        <v>103</v>
      </c>
      <c r="D375" s="66" t="n">
        <v>3</v>
      </c>
      <c r="E375" s="67" t="str">
        <f aca="false">IFERROR(INDEX('Master Data'!$L$2:$L$2436,MATCH($B$3&amp;"|"&amp;D375&amp;"|"&amp;B375&amp;"|"&amp;C375,'Master Data'!$A$2:$A$2436,0)),"")</f>
        <v>Belum terisi</v>
      </c>
      <c r="F375" s="67" t="str">
        <f aca="false">IFERROR(INDEX('Master Data'!$F$2:$F$2436,MATCH($B$3&amp;"|"&amp;D375&amp;"|"&amp;B375&amp;"|"&amp;C375,'Master Data'!$A$2:$A$2436,0))&amp;"","")</f>
        <v>Little</v>
      </c>
      <c r="G375" s="66" t="n">
        <f aca="false">IFERROR(INDEX('Master Data'!$G$2:$G$2436,MATCH($B$3&amp;"|"&amp;D375&amp;"|"&amp;B375&amp;"|"&amp;C375,'Master Data'!$A$2:$A$2436,0)),"")</f>
        <v>4</v>
      </c>
      <c r="H375" s="67" t="str">
        <f aca="false">IFERROR(INDEX('Master Data'!$K$2:$K$2436,MATCH($B$3&amp;"|"&amp;D375&amp;"|"&amp;B375&amp;"|"&amp;C375,'Master Data'!$A$2:$A$2436,0))&amp;"","")</f>
        <v/>
      </c>
      <c r="I375" s="67" t="s">
        <v>422</v>
      </c>
      <c r="J375" s="67" t="s">
        <v>134</v>
      </c>
      <c r="K375" s="68"/>
      <c r="L375" s="68"/>
      <c r="M375" s="68"/>
      <c r="N375" s="69"/>
      <c r="O375" s="68"/>
    </row>
    <row r="376" customFormat="false" ht="52.5" hidden="false" customHeight="true" outlineLevel="0" collapsed="false">
      <c r="A376" s="66" t="n">
        <v>285</v>
      </c>
      <c r="B376" s="67" t="s">
        <v>95</v>
      </c>
      <c r="C376" s="66" t="s">
        <v>118</v>
      </c>
      <c r="D376" s="66" t="n">
        <v>1</v>
      </c>
      <c r="E376" s="67" t="str">
        <f aca="false">IFERROR(INDEX('Master Data'!$L$2:$L$2436,MATCH($B$3&amp;"|"&amp;D376&amp;"|"&amp;B376&amp;"|"&amp;C376,'Master Data'!$A$2:$A$2436,0)),"")</f>
        <v>Belum terisi</v>
      </c>
      <c r="F376" s="67" t="str">
        <f aca="false">IFERROR(INDEX('Master Data'!$F$2:$F$2436,MATCH($B$3&amp;"|"&amp;D376&amp;"|"&amp;B376&amp;"|"&amp;C376,'Master Data'!$A$2:$A$2436,0))&amp;"","")</f>
        <v>Baby</v>
      </c>
      <c r="G376" s="66" t="n">
        <f aca="false">IFERROR(INDEX('Master Data'!$G$2:$G$2436,MATCH($B$3&amp;"|"&amp;D376&amp;"|"&amp;B376&amp;"|"&amp;C376,'Master Data'!$A$2:$A$2436,0)),"")</f>
        <v>5</v>
      </c>
      <c r="H376" s="67" t="str">
        <f aca="false">IFERROR(INDEX('Master Data'!$K$2:$K$2436,MATCH($B$3&amp;"|"&amp;D376&amp;"|"&amp;B376&amp;"|"&amp;C376,'Master Data'!$A$2:$A$2436,0))&amp;"","")</f>
        <v/>
      </c>
      <c r="I376" s="67" t="s">
        <v>423</v>
      </c>
      <c r="J376" s="67" t="s">
        <v>134</v>
      </c>
      <c r="K376" s="68"/>
      <c r="L376" s="68"/>
      <c r="M376" s="68"/>
      <c r="N376" s="69"/>
      <c r="O376" s="68"/>
    </row>
    <row r="377" customFormat="false" ht="52.5" hidden="false" customHeight="true" outlineLevel="0" collapsed="false">
      <c r="A377" s="66" t="n">
        <v>286</v>
      </c>
      <c r="B377" s="67" t="s">
        <v>95</v>
      </c>
      <c r="C377" s="66" t="s">
        <v>118</v>
      </c>
      <c r="D377" s="66" t="n">
        <v>2</v>
      </c>
      <c r="E377" s="67" t="str">
        <f aca="false">IFERROR(INDEX('Master Data'!$L$2:$L$2436,MATCH($B$3&amp;"|"&amp;D377&amp;"|"&amp;B377&amp;"|"&amp;C377,'Master Data'!$A$2:$A$2436,0)),"")</f>
        <v>Belum terisi</v>
      </c>
      <c r="F377" s="67" t="str">
        <f aca="false">IFERROR(INDEX('Master Data'!$F$2:$F$2436,MATCH($B$3&amp;"|"&amp;D377&amp;"|"&amp;B377&amp;"|"&amp;C377,'Master Data'!$A$2:$A$2436,0))&amp;"","")</f>
        <v>Tiny</v>
      </c>
      <c r="G377" s="66" t="n">
        <f aca="false">IFERROR(INDEX('Master Data'!$G$2:$G$2436,MATCH($B$3&amp;"|"&amp;D377&amp;"|"&amp;B377&amp;"|"&amp;C377,'Master Data'!$A$2:$A$2436,0)),"")</f>
        <v>5</v>
      </c>
      <c r="H377" s="67" t="str">
        <f aca="false">IFERROR(INDEX('Master Data'!$K$2:$K$2436,MATCH($B$3&amp;"|"&amp;D377&amp;"|"&amp;B377&amp;"|"&amp;C377,'Master Data'!$A$2:$A$2436,0))&amp;"","")</f>
        <v/>
      </c>
      <c r="I377" s="67" t="s">
        <v>423</v>
      </c>
      <c r="J377" s="67" t="s">
        <v>134</v>
      </c>
      <c r="K377" s="68"/>
      <c r="L377" s="68"/>
      <c r="M377" s="68"/>
      <c r="N377" s="69"/>
      <c r="O377" s="68"/>
    </row>
    <row r="378" customFormat="false" ht="52.5" hidden="false" customHeight="true" outlineLevel="0" collapsed="false">
      <c r="A378" s="66" t="n">
        <v>287</v>
      </c>
      <c r="B378" s="67" t="s">
        <v>95</v>
      </c>
      <c r="C378" s="66" t="s">
        <v>118</v>
      </c>
      <c r="D378" s="66" t="n">
        <v>5</v>
      </c>
      <c r="E378" s="67" t="str">
        <f aca="false">IFERROR(INDEX('Master Data'!$L$2:$L$2436,MATCH($B$3&amp;"|"&amp;D378&amp;"|"&amp;B378&amp;"|"&amp;C378,'Master Data'!$A$2:$A$2436,0)),"")</f>
        <v>Slot kosong</v>
      </c>
      <c r="F378" s="67" t="str">
        <f aca="false">IFERROR(INDEX('Master Data'!$F$2:$F$2436,MATCH($B$3&amp;"|"&amp;D378&amp;"|"&amp;B378&amp;"|"&amp;C378,'Master Data'!$A$2:$A$2436,0))&amp;"","")</f>
        <v/>
      </c>
      <c r="G378" s="66" t="n">
        <f aca="false">IFERROR(INDEX('Master Data'!$G$2:$G$2436,MATCH($B$3&amp;"|"&amp;D378&amp;"|"&amp;B378&amp;"|"&amp;C378,'Master Data'!$A$2:$A$2436,0)),"")</f>
        <v>4</v>
      </c>
      <c r="H378" s="67" t="str">
        <f aca="false">IFERROR(INDEX('Master Data'!$K$2:$K$2436,MATCH($B$3&amp;"|"&amp;D378&amp;"|"&amp;B378&amp;"|"&amp;C378,'Master Data'!$A$2:$A$2436,0))&amp;"","")</f>
        <v/>
      </c>
      <c r="I378" s="67" t="s">
        <v>423</v>
      </c>
      <c r="J378" s="67" t="s">
        <v>134</v>
      </c>
      <c r="K378" s="68"/>
      <c r="L378" s="68"/>
      <c r="M378" s="68"/>
      <c r="N378" s="69"/>
      <c r="O378" s="68"/>
    </row>
    <row r="379" customFormat="false" ht="65.25" hidden="false" customHeight="true" outlineLevel="0" collapsed="false">
      <c r="A379" s="66" t="n">
        <v>288</v>
      </c>
      <c r="B379" s="67" t="s">
        <v>95</v>
      </c>
      <c r="C379" s="66" t="s">
        <v>104</v>
      </c>
      <c r="D379" s="66" t="n">
        <v>3</v>
      </c>
      <c r="E379" s="67" t="str">
        <f aca="false">IFERROR(INDEX('Master Data'!$L$2:$L$2436,MATCH($B$3&amp;"|"&amp;D379&amp;"|"&amp;B379&amp;"|"&amp;C379,'Master Data'!$A$2:$A$2436,0)),"")</f>
        <v>Belum terisi</v>
      </c>
      <c r="F379" s="67" t="str">
        <f aca="false">IFERROR(INDEX('Master Data'!$F$2:$F$2436,MATCH($B$3&amp;"|"&amp;D379&amp;"|"&amp;B379&amp;"|"&amp;C379,'Master Data'!$A$2:$A$2436,0))&amp;"","")</f>
        <v>Little</v>
      </c>
      <c r="G379" s="66" t="n">
        <f aca="false">IFERROR(INDEX('Master Data'!$G$2:$G$2436,MATCH($B$3&amp;"|"&amp;D379&amp;"|"&amp;B379&amp;"|"&amp;C379,'Master Data'!$A$2:$A$2436,0)),"")</f>
        <v>4</v>
      </c>
      <c r="H379" s="67" t="str">
        <f aca="false">IFERROR(INDEX('Master Data'!$K$2:$K$2436,MATCH($B$3&amp;"|"&amp;D379&amp;"|"&amp;B379&amp;"|"&amp;C379,'Master Data'!$A$2:$A$2436,0))&amp;"","")</f>
        <v/>
      </c>
      <c r="I379" s="67" t="s">
        <v>424</v>
      </c>
      <c r="J379" s="67" t="s">
        <v>134</v>
      </c>
      <c r="K379" s="68"/>
      <c r="L379" s="68"/>
      <c r="M379" s="68"/>
      <c r="N379" s="69"/>
      <c r="O379" s="68"/>
    </row>
    <row r="380" customFormat="false" ht="52.5" hidden="false" customHeight="true" outlineLevel="0" collapsed="false">
      <c r="A380" s="66" t="n">
        <v>289</v>
      </c>
      <c r="B380" s="67" t="s">
        <v>95</v>
      </c>
      <c r="C380" s="66" t="s">
        <v>119</v>
      </c>
      <c r="D380" s="66" t="n">
        <v>1</v>
      </c>
      <c r="E380" s="67" t="str">
        <f aca="false">IFERROR(INDEX('Master Data'!$L$2:$L$2436,MATCH($B$3&amp;"|"&amp;D380&amp;"|"&amp;B380&amp;"|"&amp;C380,'Master Data'!$A$2:$A$2436,0)),"")</f>
        <v>Belum terisi</v>
      </c>
      <c r="F380" s="67" t="str">
        <f aca="false">IFERROR(INDEX('Master Data'!$F$2:$F$2436,MATCH($B$3&amp;"|"&amp;D380&amp;"|"&amp;B380&amp;"|"&amp;C380,'Master Data'!$A$2:$A$2436,0))&amp;"","")</f>
        <v>Baby</v>
      </c>
      <c r="G380" s="66" t="n">
        <f aca="false">IFERROR(INDEX('Master Data'!$G$2:$G$2436,MATCH($B$3&amp;"|"&amp;D380&amp;"|"&amp;B380&amp;"|"&amp;C380,'Master Data'!$A$2:$A$2436,0)),"")</f>
        <v>5</v>
      </c>
      <c r="H380" s="67" t="str">
        <f aca="false">IFERROR(INDEX('Master Data'!$K$2:$K$2436,MATCH($B$3&amp;"|"&amp;D380&amp;"|"&amp;B380&amp;"|"&amp;C380,'Master Data'!$A$2:$A$2436,0))&amp;"","")</f>
        <v/>
      </c>
      <c r="I380" s="67" t="s">
        <v>425</v>
      </c>
      <c r="J380" s="67" t="s">
        <v>134</v>
      </c>
      <c r="K380" s="68"/>
      <c r="L380" s="68"/>
      <c r="M380" s="68"/>
      <c r="N380" s="69"/>
      <c r="O380" s="68"/>
    </row>
    <row r="381" customFormat="false" ht="52.5" hidden="false" customHeight="true" outlineLevel="0" collapsed="false">
      <c r="A381" s="66" t="n">
        <v>290</v>
      </c>
      <c r="B381" s="67" t="s">
        <v>95</v>
      </c>
      <c r="C381" s="66" t="s">
        <v>119</v>
      </c>
      <c r="D381" s="66" t="n">
        <v>2</v>
      </c>
      <c r="E381" s="67" t="str">
        <f aca="false">IFERROR(INDEX('Master Data'!$L$2:$L$2436,MATCH($B$3&amp;"|"&amp;D381&amp;"|"&amp;B381&amp;"|"&amp;C381,'Master Data'!$A$2:$A$2436,0)),"")</f>
        <v>Belum terisi</v>
      </c>
      <c r="F381" s="67" t="str">
        <f aca="false">IFERROR(INDEX('Master Data'!$F$2:$F$2436,MATCH($B$3&amp;"|"&amp;D381&amp;"|"&amp;B381&amp;"|"&amp;C381,'Master Data'!$A$2:$A$2436,0))&amp;"","")</f>
        <v>Tiny</v>
      </c>
      <c r="G381" s="66" t="n">
        <f aca="false">IFERROR(INDEX('Master Data'!$G$2:$G$2436,MATCH($B$3&amp;"|"&amp;D381&amp;"|"&amp;B381&amp;"|"&amp;C381,'Master Data'!$A$2:$A$2436,0)),"")</f>
        <v>5</v>
      </c>
      <c r="H381" s="67" t="str">
        <f aca="false">IFERROR(INDEX('Master Data'!$K$2:$K$2436,MATCH($B$3&amp;"|"&amp;D381&amp;"|"&amp;B381&amp;"|"&amp;C381,'Master Data'!$A$2:$A$2436,0))&amp;"","")</f>
        <v/>
      </c>
      <c r="I381" s="67" t="s">
        <v>425</v>
      </c>
      <c r="J381" s="67" t="s">
        <v>134</v>
      </c>
      <c r="K381" s="68"/>
      <c r="L381" s="68"/>
      <c r="M381" s="68"/>
      <c r="N381" s="69"/>
      <c r="O381" s="68"/>
    </row>
    <row r="382" customFormat="false" ht="52.5" hidden="false" customHeight="true" outlineLevel="0" collapsed="false">
      <c r="A382" s="66" t="n">
        <v>291</v>
      </c>
      <c r="B382" s="67" t="s">
        <v>95</v>
      </c>
      <c r="C382" s="66" t="s">
        <v>119</v>
      </c>
      <c r="D382" s="66" t="n">
        <v>5</v>
      </c>
      <c r="E382" s="67" t="str">
        <f aca="false">IFERROR(INDEX('Master Data'!$L$2:$L$2436,MATCH($B$3&amp;"|"&amp;D382&amp;"|"&amp;B382&amp;"|"&amp;C382,'Master Data'!$A$2:$A$2436,0)),"")</f>
        <v>Slot kosong</v>
      </c>
      <c r="F382" s="67" t="str">
        <f aca="false">IFERROR(INDEX('Master Data'!$F$2:$F$2436,MATCH($B$3&amp;"|"&amp;D382&amp;"|"&amp;B382&amp;"|"&amp;C382,'Master Data'!$A$2:$A$2436,0))&amp;"","")</f>
        <v/>
      </c>
      <c r="G382" s="66" t="n">
        <f aca="false">IFERROR(INDEX('Master Data'!$G$2:$G$2436,MATCH($B$3&amp;"|"&amp;D382&amp;"|"&amp;B382&amp;"|"&amp;C382,'Master Data'!$A$2:$A$2436,0)),"")</f>
        <v>4</v>
      </c>
      <c r="H382" s="67" t="str">
        <f aca="false">IFERROR(INDEX('Master Data'!$K$2:$K$2436,MATCH($B$3&amp;"|"&amp;D382&amp;"|"&amp;B382&amp;"|"&amp;C382,'Master Data'!$A$2:$A$2436,0))&amp;"","")</f>
        <v/>
      </c>
      <c r="I382" s="67" t="s">
        <v>425</v>
      </c>
      <c r="J382" s="67" t="s">
        <v>134</v>
      </c>
      <c r="K382" s="68"/>
      <c r="L382" s="68"/>
      <c r="M382" s="68"/>
      <c r="N382" s="69"/>
      <c r="O382" s="68"/>
    </row>
    <row r="383" customFormat="false" ht="52.5" hidden="false" customHeight="true" outlineLevel="0" collapsed="false">
      <c r="A383" s="66" t="n">
        <v>292</v>
      </c>
      <c r="B383" s="67" t="s">
        <v>95</v>
      </c>
      <c r="C383" s="66" t="s">
        <v>105</v>
      </c>
      <c r="D383" s="66" t="n">
        <v>4</v>
      </c>
      <c r="E383" s="67" t="str">
        <f aca="false">IFERROR(INDEX('Master Data'!$L$2:$L$2436,MATCH($B$3&amp;"|"&amp;D383&amp;"|"&amp;B383&amp;"|"&amp;C383,'Master Data'!$A$2:$A$2436,0)),"")</f>
        <v>Belum terisi</v>
      </c>
      <c r="F383" s="67" t="str">
        <f aca="false">IFERROR(INDEX('Master Data'!$F$2:$F$2436,MATCH($B$3&amp;"|"&amp;D383&amp;"|"&amp;B383&amp;"|"&amp;C383,'Master Data'!$A$2:$A$2436,0))&amp;"","")</f>
        <v>Kids</v>
      </c>
      <c r="G383" s="66" t="n">
        <f aca="false">IFERROR(INDEX('Master Data'!$G$2:$G$2436,MATCH($B$3&amp;"|"&amp;D383&amp;"|"&amp;B383&amp;"|"&amp;C383,'Master Data'!$A$2:$A$2436,0)),"")</f>
        <v>4</v>
      </c>
      <c r="H383" s="67" t="str">
        <f aca="false">IFERROR(INDEX('Master Data'!$K$2:$K$2436,MATCH($B$3&amp;"|"&amp;D383&amp;"|"&amp;B383&amp;"|"&amp;C383,'Master Data'!$A$2:$A$2436,0))&amp;"","")</f>
        <v/>
      </c>
      <c r="I383" s="67" t="s">
        <v>384</v>
      </c>
      <c r="J383" s="67" t="s">
        <v>134</v>
      </c>
      <c r="K383" s="68"/>
      <c r="L383" s="68"/>
      <c r="M383" s="68"/>
      <c r="N383" s="69"/>
      <c r="O383" s="68"/>
    </row>
    <row r="384" customFormat="false" ht="27.75" hidden="false" customHeight="true" outlineLevel="0" collapsed="false">
      <c r="A384" s="66" t="n">
        <v>293</v>
      </c>
      <c r="B384" s="67" t="s">
        <v>95</v>
      </c>
      <c r="C384" s="66" t="s">
        <v>120</v>
      </c>
      <c r="D384" s="66" t="n">
        <v>1</v>
      </c>
      <c r="E384" s="67" t="str">
        <f aca="false">IFERROR(INDEX('Master Data'!$L$2:$L$2436,MATCH($B$3&amp;"|"&amp;D384&amp;"|"&amp;B384&amp;"|"&amp;C384,'Master Data'!$A$2:$A$2436,0)),"")</f>
        <v>Belum terisi</v>
      </c>
      <c r="F384" s="67" t="str">
        <f aca="false">IFERROR(INDEX('Master Data'!$F$2:$F$2436,MATCH($B$3&amp;"|"&amp;D384&amp;"|"&amp;B384&amp;"|"&amp;C384,'Master Data'!$A$2:$A$2436,0))&amp;"","")</f>
        <v>Baby</v>
      </c>
      <c r="G384" s="66" t="n">
        <f aca="false">IFERROR(INDEX('Master Data'!$G$2:$G$2436,MATCH($B$3&amp;"|"&amp;D384&amp;"|"&amp;B384&amp;"|"&amp;C384,'Master Data'!$A$2:$A$2436,0)),"")</f>
        <v>5</v>
      </c>
      <c r="H384" s="67" t="str">
        <f aca="false">IFERROR(INDEX('Master Data'!$K$2:$K$2436,MATCH($B$3&amp;"|"&amp;D384&amp;"|"&amp;B384&amp;"|"&amp;C384,'Master Data'!$A$2:$A$2436,0))&amp;"","")</f>
        <v/>
      </c>
      <c r="I384" s="67" t="s">
        <v>390</v>
      </c>
      <c r="J384" s="67" t="s">
        <v>134</v>
      </c>
      <c r="K384" s="68"/>
      <c r="L384" s="68"/>
      <c r="M384" s="68"/>
      <c r="N384" s="69"/>
      <c r="O384" s="68"/>
    </row>
    <row r="385" customFormat="false" ht="27.75" hidden="false" customHeight="true" outlineLevel="0" collapsed="false">
      <c r="A385" s="66" t="n">
        <v>294</v>
      </c>
      <c r="B385" s="67" t="s">
        <v>95</v>
      </c>
      <c r="C385" s="66" t="s">
        <v>120</v>
      </c>
      <c r="D385" s="66" t="n">
        <v>5</v>
      </c>
      <c r="E385" s="67" t="str">
        <f aca="false">IFERROR(INDEX('Master Data'!$L$2:$L$2436,MATCH($B$3&amp;"|"&amp;D385&amp;"|"&amp;B385&amp;"|"&amp;C385,'Master Data'!$A$2:$A$2436,0)),"")</f>
        <v>Slot kosong</v>
      </c>
      <c r="F385" s="67" t="str">
        <f aca="false">IFERROR(INDEX('Master Data'!$F$2:$F$2436,MATCH($B$3&amp;"|"&amp;D385&amp;"|"&amp;B385&amp;"|"&amp;C385,'Master Data'!$A$2:$A$2436,0))&amp;"","")</f>
        <v/>
      </c>
      <c r="G385" s="66" t="n">
        <f aca="false">IFERROR(INDEX('Master Data'!$G$2:$G$2436,MATCH($B$3&amp;"|"&amp;D385&amp;"|"&amp;B385&amp;"|"&amp;C385,'Master Data'!$A$2:$A$2436,0)),"")</f>
        <v>4</v>
      </c>
      <c r="H385" s="67" t="str">
        <f aca="false">IFERROR(INDEX('Master Data'!$K$2:$K$2436,MATCH($B$3&amp;"|"&amp;D385&amp;"|"&amp;B385&amp;"|"&amp;C385,'Master Data'!$A$2:$A$2436,0))&amp;"","")</f>
        <v/>
      </c>
      <c r="I385" s="67" t="s">
        <v>390</v>
      </c>
      <c r="J385" s="67" t="s">
        <v>134</v>
      </c>
      <c r="K385" s="68"/>
      <c r="L385" s="68"/>
      <c r="M385" s="68"/>
      <c r="N385" s="69"/>
      <c r="O385" s="68"/>
    </row>
    <row r="386" customFormat="false" ht="52.5" hidden="false" customHeight="true" outlineLevel="0" collapsed="false">
      <c r="A386" s="66" t="n">
        <v>295</v>
      </c>
      <c r="B386" s="67" t="s">
        <v>95</v>
      </c>
      <c r="C386" s="66" t="s">
        <v>121</v>
      </c>
      <c r="D386" s="66" t="n">
        <v>1</v>
      </c>
      <c r="E386" s="67" t="str">
        <f aca="false">IFERROR(INDEX('Master Data'!$L$2:$L$2436,MATCH($B$3&amp;"|"&amp;D386&amp;"|"&amp;B386&amp;"|"&amp;C386,'Master Data'!$A$2:$A$2436,0)),"")</f>
        <v>Belum terisi</v>
      </c>
      <c r="F386" s="67" t="str">
        <f aca="false">IFERROR(INDEX('Master Data'!$F$2:$F$2436,MATCH($B$3&amp;"|"&amp;D386&amp;"|"&amp;B386&amp;"|"&amp;C386,'Master Data'!$A$2:$A$2436,0))&amp;"","")</f>
        <v>Baby</v>
      </c>
      <c r="G386" s="66" t="n">
        <f aca="false">IFERROR(INDEX('Master Data'!$G$2:$G$2436,MATCH($B$3&amp;"|"&amp;D386&amp;"|"&amp;B386&amp;"|"&amp;C386,'Master Data'!$A$2:$A$2436,0)),"")</f>
        <v>5</v>
      </c>
      <c r="H386" s="67" t="str">
        <f aca="false">IFERROR(INDEX('Master Data'!$K$2:$K$2436,MATCH($B$3&amp;"|"&amp;D386&amp;"|"&amp;B386&amp;"|"&amp;C386,'Master Data'!$A$2:$A$2436,0))&amp;"","")</f>
        <v/>
      </c>
      <c r="I386" s="67" t="s">
        <v>426</v>
      </c>
      <c r="J386" s="67" t="s">
        <v>134</v>
      </c>
      <c r="K386" s="68"/>
      <c r="L386" s="68"/>
      <c r="M386" s="68"/>
      <c r="N386" s="69"/>
      <c r="O386" s="68"/>
    </row>
    <row r="387" customFormat="false" ht="52.5" hidden="false" customHeight="true" outlineLevel="0" collapsed="false">
      <c r="A387" s="66" t="n">
        <v>296</v>
      </c>
      <c r="B387" s="67" t="s">
        <v>95</v>
      </c>
      <c r="C387" s="66" t="s">
        <v>121</v>
      </c>
      <c r="D387" s="66" t="n">
        <v>2</v>
      </c>
      <c r="E387" s="67" t="str">
        <f aca="false">IFERROR(INDEX('Master Data'!$L$2:$L$2436,MATCH($B$3&amp;"|"&amp;D387&amp;"|"&amp;B387&amp;"|"&amp;C387,'Master Data'!$A$2:$A$2436,0)),"")</f>
        <v>Belum terisi</v>
      </c>
      <c r="F387" s="67" t="str">
        <f aca="false">IFERROR(INDEX('Master Data'!$F$2:$F$2436,MATCH($B$3&amp;"|"&amp;D387&amp;"|"&amp;B387&amp;"|"&amp;C387,'Master Data'!$A$2:$A$2436,0))&amp;"","")</f>
        <v>Tiny</v>
      </c>
      <c r="G387" s="66" t="n">
        <f aca="false">IFERROR(INDEX('Master Data'!$G$2:$G$2436,MATCH($B$3&amp;"|"&amp;D387&amp;"|"&amp;B387&amp;"|"&amp;C387,'Master Data'!$A$2:$A$2436,0)),"")</f>
        <v>5</v>
      </c>
      <c r="H387" s="67" t="str">
        <f aca="false">IFERROR(INDEX('Master Data'!$K$2:$K$2436,MATCH($B$3&amp;"|"&amp;D387&amp;"|"&amp;B387&amp;"|"&amp;C387,'Master Data'!$A$2:$A$2436,0))&amp;"","")</f>
        <v/>
      </c>
      <c r="I387" s="67" t="s">
        <v>426</v>
      </c>
      <c r="J387" s="67" t="s">
        <v>134</v>
      </c>
      <c r="K387" s="68"/>
      <c r="L387" s="68"/>
      <c r="M387" s="68"/>
      <c r="N387" s="69"/>
      <c r="O387" s="68"/>
    </row>
    <row r="388" customFormat="false" ht="52.5" hidden="false" customHeight="true" outlineLevel="0" collapsed="false">
      <c r="A388" s="66" t="n">
        <v>297</v>
      </c>
      <c r="B388" s="67" t="s">
        <v>95</v>
      </c>
      <c r="C388" s="66" t="s">
        <v>121</v>
      </c>
      <c r="D388" s="66" t="n">
        <v>5</v>
      </c>
      <c r="E388" s="67" t="str">
        <f aca="false">IFERROR(INDEX('Master Data'!$L$2:$L$2436,MATCH($B$3&amp;"|"&amp;D388&amp;"|"&amp;B388&amp;"|"&amp;C388,'Master Data'!$A$2:$A$2436,0)),"")</f>
        <v>Slot kosong</v>
      </c>
      <c r="F388" s="67" t="str">
        <f aca="false">IFERROR(INDEX('Master Data'!$F$2:$F$2436,MATCH($B$3&amp;"|"&amp;D388&amp;"|"&amp;B388&amp;"|"&amp;C388,'Master Data'!$A$2:$A$2436,0))&amp;"","")</f>
        <v/>
      </c>
      <c r="G388" s="66" t="n">
        <f aca="false">IFERROR(INDEX('Master Data'!$G$2:$G$2436,MATCH($B$3&amp;"|"&amp;D388&amp;"|"&amp;B388&amp;"|"&amp;C388,'Master Data'!$A$2:$A$2436,0)),"")</f>
        <v>4</v>
      </c>
      <c r="H388" s="67" t="str">
        <f aca="false">IFERROR(INDEX('Master Data'!$K$2:$K$2436,MATCH($B$3&amp;"|"&amp;D388&amp;"|"&amp;B388&amp;"|"&amp;C388,'Master Data'!$A$2:$A$2436,0))&amp;"","")</f>
        <v/>
      </c>
      <c r="I388" s="67" t="s">
        <v>426</v>
      </c>
      <c r="J388" s="67" t="s">
        <v>134</v>
      </c>
      <c r="K388" s="68"/>
      <c r="L388" s="68"/>
      <c r="M388" s="68"/>
      <c r="N388" s="69"/>
      <c r="O388" s="68"/>
    </row>
    <row r="389" customFormat="false" ht="65.25" hidden="false" customHeight="true" outlineLevel="0" collapsed="false">
      <c r="A389" s="66" t="n">
        <v>298</v>
      </c>
      <c r="B389" s="67" t="s">
        <v>95</v>
      </c>
      <c r="C389" s="66" t="s">
        <v>107</v>
      </c>
      <c r="D389" s="66" t="n">
        <v>3</v>
      </c>
      <c r="E389" s="67" t="str">
        <f aca="false">IFERROR(INDEX('Master Data'!$L$2:$L$2436,MATCH($B$3&amp;"|"&amp;D389&amp;"|"&amp;B389&amp;"|"&amp;C389,'Master Data'!$A$2:$A$2436,0)),"")</f>
        <v>Belum terisi</v>
      </c>
      <c r="F389" s="67" t="str">
        <f aca="false">IFERROR(INDEX('Master Data'!$F$2:$F$2436,MATCH($B$3&amp;"|"&amp;D389&amp;"|"&amp;B389&amp;"|"&amp;C389,'Master Data'!$A$2:$A$2436,0))&amp;"","")</f>
        <v>Little</v>
      </c>
      <c r="G389" s="66" t="n">
        <f aca="false">IFERROR(INDEX('Master Data'!$G$2:$G$2436,MATCH($B$3&amp;"|"&amp;D389&amp;"|"&amp;B389&amp;"|"&amp;C389,'Master Data'!$A$2:$A$2436,0)),"")</f>
        <v>4</v>
      </c>
      <c r="H389" s="67" t="str">
        <f aca="false">IFERROR(INDEX('Master Data'!$K$2:$K$2436,MATCH($B$3&amp;"|"&amp;D389&amp;"|"&amp;B389&amp;"|"&amp;C389,'Master Data'!$A$2:$A$2436,0))&amp;"","")</f>
        <v/>
      </c>
      <c r="I389" s="67" t="s">
        <v>415</v>
      </c>
      <c r="J389" s="67" t="s">
        <v>134</v>
      </c>
      <c r="K389" s="68"/>
      <c r="L389" s="68"/>
      <c r="M389" s="68"/>
      <c r="N389" s="69"/>
      <c r="O389" s="68"/>
    </row>
    <row r="390" customFormat="false" ht="65.25" hidden="false" customHeight="true" outlineLevel="0" collapsed="false">
      <c r="A390" s="66" t="n">
        <v>299</v>
      </c>
      <c r="B390" s="67" t="s">
        <v>95</v>
      </c>
      <c r="C390" s="66" t="s">
        <v>107</v>
      </c>
      <c r="D390" s="66" t="n">
        <v>4</v>
      </c>
      <c r="E390" s="67" t="str">
        <f aca="false">IFERROR(INDEX('Master Data'!$L$2:$L$2436,MATCH($B$3&amp;"|"&amp;D390&amp;"|"&amp;B390&amp;"|"&amp;C390,'Master Data'!$A$2:$A$2436,0)),"")</f>
        <v>Belum terisi</v>
      </c>
      <c r="F390" s="67" t="str">
        <f aca="false">IFERROR(INDEX('Master Data'!$F$2:$F$2436,MATCH($B$3&amp;"|"&amp;D390&amp;"|"&amp;B390&amp;"|"&amp;C390,'Master Data'!$A$2:$A$2436,0))&amp;"","")</f>
        <v>Kids</v>
      </c>
      <c r="G390" s="66" t="n">
        <f aca="false">IFERROR(INDEX('Master Data'!$G$2:$G$2436,MATCH($B$3&amp;"|"&amp;D390&amp;"|"&amp;B390&amp;"|"&amp;C390,'Master Data'!$A$2:$A$2436,0)),"")</f>
        <v>4</v>
      </c>
      <c r="H390" s="67" t="str">
        <f aca="false">IFERROR(INDEX('Master Data'!$K$2:$K$2436,MATCH($B$3&amp;"|"&amp;D390&amp;"|"&amp;B390&amp;"|"&amp;C390,'Master Data'!$A$2:$A$2436,0))&amp;"","")</f>
        <v/>
      </c>
      <c r="I390" s="67" t="s">
        <v>415</v>
      </c>
      <c r="J390" s="67" t="s">
        <v>134</v>
      </c>
      <c r="K390" s="68"/>
      <c r="L390" s="68"/>
      <c r="M390" s="68"/>
      <c r="N390" s="69"/>
      <c r="O390" s="68"/>
    </row>
    <row r="391" customFormat="false" ht="40.5" hidden="false" customHeight="true" outlineLevel="0" collapsed="false">
      <c r="A391" s="66" t="n">
        <v>300</v>
      </c>
      <c r="B391" s="67" t="s">
        <v>78</v>
      </c>
      <c r="C391" s="66" t="s">
        <v>110</v>
      </c>
      <c r="D391" s="66" t="n">
        <v>1</v>
      </c>
      <c r="E391" s="67" t="str">
        <f aca="false">IFERROR(INDEX('Master Data'!$L$2:$L$2436,MATCH($B$3&amp;"|"&amp;D391&amp;"|"&amp;B391&amp;"|"&amp;C391,'Master Data'!$A$2:$A$2436,0)),"")</f>
        <v>Belum terisi</v>
      </c>
      <c r="F391" s="67" t="str">
        <f aca="false">IFERROR(INDEX('Master Data'!$F$2:$F$2436,MATCH($B$3&amp;"|"&amp;D391&amp;"|"&amp;B391&amp;"|"&amp;C391,'Master Data'!$A$2:$A$2436,0))&amp;"","")</f>
        <v>Baby</v>
      </c>
      <c r="G391" s="66" t="n">
        <f aca="false">IFERROR(INDEX('Master Data'!$G$2:$G$2436,MATCH($B$3&amp;"|"&amp;D391&amp;"|"&amp;B391&amp;"|"&amp;C391,'Master Data'!$A$2:$A$2436,0)),"")</f>
        <v>5</v>
      </c>
      <c r="H391" s="67" t="str">
        <f aca="false">IFERROR(INDEX('Master Data'!$K$2:$K$2436,MATCH($B$3&amp;"|"&amp;D391&amp;"|"&amp;B391&amp;"|"&amp;C391,'Master Data'!$A$2:$A$2436,0))&amp;"","")</f>
        <v/>
      </c>
      <c r="I391" s="67" t="s">
        <v>427</v>
      </c>
      <c r="J391" s="67" t="s">
        <v>134</v>
      </c>
      <c r="K391" s="68"/>
      <c r="L391" s="68"/>
      <c r="M391" s="68"/>
      <c r="N391" s="69"/>
      <c r="O391" s="68"/>
    </row>
    <row r="392" customFormat="false" ht="40.5" hidden="false" customHeight="true" outlineLevel="0" collapsed="false">
      <c r="A392" s="66" t="n">
        <v>301</v>
      </c>
      <c r="B392" s="67" t="s">
        <v>78</v>
      </c>
      <c r="C392" s="66" t="s">
        <v>110</v>
      </c>
      <c r="D392" s="66" t="n">
        <v>2</v>
      </c>
      <c r="E392" s="67" t="str">
        <f aca="false">IFERROR(INDEX('Master Data'!$L$2:$L$2436,MATCH($B$3&amp;"|"&amp;D392&amp;"|"&amp;B392&amp;"|"&amp;C392,'Master Data'!$A$2:$A$2436,0)),"")</f>
        <v>Belum terisi</v>
      </c>
      <c r="F392" s="67" t="str">
        <f aca="false">IFERROR(INDEX('Master Data'!$F$2:$F$2436,MATCH($B$3&amp;"|"&amp;D392&amp;"|"&amp;B392&amp;"|"&amp;C392,'Master Data'!$A$2:$A$2436,0))&amp;"","")</f>
        <v>Tiny</v>
      </c>
      <c r="G392" s="66" t="n">
        <f aca="false">IFERROR(INDEX('Master Data'!$G$2:$G$2436,MATCH($B$3&amp;"|"&amp;D392&amp;"|"&amp;B392&amp;"|"&amp;C392,'Master Data'!$A$2:$A$2436,0)),"")</f>
        <v>5</v>
      </c>
      <c r="H392" s="67" t="str">
        <f aca="false">IFERROR(INDEX('Master Data'!$K$2:$K$2436,MATCH($B$3&amp;"|"&amp;D392&amp;"|"&amp;B392&amp;"|"&amp;C392,'Master Data'!$A$2:$A$2436,0))&amp;"","")</f>
        <v/>
      </c>
      <c r="I392" s="67" t="s">
        <v>427</v>
      </c>
      <c r="J392" s="67" t="s">
        <v>134</v>
      </c>
      <c r="K392" s="68"/>
      <c r="L392" s="68"/>
      <c r="M392" s="68"/>
      <c r="N392" s="69"/>
      <c r="O392" s="68"/>
    </row>
    <row r="393" customFormat="false" ht="40.5" hidden="false" customHeight="true" outlineLevel="0" collapsed="false">
      <c r="A393" s="66" t="n">
        <v>302</v>
      </c>
      <c r="B393" s="67" t="s">
        <v>78</v>
      </c>
      <c r="C393" s="66" t="s">
        <v>110</v>
      </c>
      <c r="D393" s="66" t="n">
        <v>5</v>
      </c>
      <c r="E393" s="67" t="str">
        <f aca="false">IFERROR(INDEX('Master Data'!$L$2:$L$2436,MATCH($B$3&amp;"|"&amp;D393&amp;"|"&amp;B393&amp;"|"&amp;C393,'Master Data'!$A$2:$A$2436,0)),"")</f>
        <v>Slot kosong</v>
      </c>
      <c r="F393" s="67" t="str">
        <f aca="false">IFERROR(INDEX('Master Data'!$F$2:$F$2436,MATCH($B$3&amp;"|"&amp;D393&amp;"|"&amp;B393&amp;"|"&amp;C393,'Master Data'!$A$2:$A$2436,0))&amp;"","")</f>
        <v/>
      </c>
      <c r="G393" s="66" t="n">
        <f aca="false">IFERROR(INDEX('Master Data'!$G$2:$G$2436,MATCH($B$3&amp;"|"&amp;D393&amp;"|"&amp;B393&amp;"|"&amp;C393,'Master Data'!$A$2:$A$2436,0)),"")</f>
        <v>4</v>
      </c>
      <c r="H393" s="67" t="str">
        <f aca="false">IFERROR(INDEX('Master Data'!$K$2:$K$2436,MATCH($B$3&amp;"|"&amp;D393&amp;"|"&amp;B393&amp;"|"&amp;C393,'Master Data'!$A$2:$A$2436,0))&amp;"","")</f>
        <v/>
      </c>
      <c r="I393" s="67" t="s">
        <v>427</v>
      </c>
      <c r="J393" s="67" t="s">
        <v>134</v>
      </c>
      <c r="K393" s="68"/>
      <c r="L393" s="68"/>
      <c r="M393" s="68"/>
      <c r="N393" s="69"/>
      <c r="O393" s="68"/>
    </row>
    <row r="394" customFormat="false" ht="27.75" hidden="false" customHeight="true" outlineLevel="0" collapsed="false">
      <c r="A394" s="66" t="n">
        <v>303</v>
      </c>
      <c r="B394" s="67" t="s">
        <v>78</v>
      </c>
      <c r="C394" s="66" t="s">
        <v>96</v>
      </c>
      <c r="D394" s="66" t="n">
        <v>3</v>
      </c>
      <c r="E394" s="67" t="str">
        <f aca="false">IFERROR(INDEX('Master Data'!$L$2:$L$2436,MATCH($B$3&amp;"|"&amp;D394&amp;"|"&amp;B394&amp;"|"&amp;C394,'Master Data'!$A$2:$A$2436,0)),"")</f>
        <v>Belum terisi</v>
      </c>
      <c r="F394" s="67" t="str">
        <f aca="false">IFERROR(INDEX('Master Data'!$F$2:$F$2436,MATCH($B$3&amp;"|"&amp;D394&amp;"|"&amp;B394&amp;"|"&amp;C394,'Master Data'!$A$2:$A$2436,0))&amp;"","")</f>
        <v>Little</v>
      </c>
      <c r="G394" s="66" t="n">
        <f aca="false">IFERROR(INDEX('Master Data'!$G$2:$G$2436,MATCH($B$3&amp;"|"&amp;D394&amp;"|"&amp;B394&amp;"|"&amp;C394,'Master Data'!$A$2:$A$2436,0)),"")</f>
        <v>4</v>
      </c>
      <c r="H394" s="67" t="str">
        <f aca="false">IFERROR(INDEX('Master Data'!$K$2:$K$2436,MATCH($B$3&amp;"|"&amp;D394&amp;"|"&amp;B394&amp;"|"&amp;C394,'Master Data'!$A$2:$A$2436,0))&amp;"","")</f>
        <v/>
      </c>
      <c r="I394" s="67" t="s">
        <v>428</v>
      </c>
      <c r="J394" s="67" t="s">
        <v>134</v>
      </c>
      <c r="K394" s="68"/>
      <c r="L394" s="68"/>
      <c r="M394" s="68"/>
      <c r="N394" s="69"/>
      <c r="O394" s="68"/>
    </row>
    <row r="395" customFormat="false" ht="27.75" hidden="false" customHeight="true" outlineLevel="0" collapsed="false">
      <c r="A395" s="66" t="n">
        <v>304</v>
      </c>
      <c r="B395" s="67" t="s">
        <v>78</v>
      </c>
      <c r="C395" s="66" t="s">
        <v>96</v>
      </c>
      <c r="D395" s="66" t="n">
        <v>4</v>
      </c>
      <c r="E395" s="67" t="str">
        <f aca="false">IFERROR(INDEX('Master Data'!$L$2:$L$2436,MATCH($B$3&amp;"|"&amp;D395&amp;"|"&amp;B395&amp;"|"&amp;C395,'Master Data'!$A$2:$A$2436,0)),"")</f>
        <v>Belum terisi</v>
      </c>
      <c r="F395" s="67" t="str">
        <f aca="false">IFERROR(INDEX('Master Data'!$F$2:$F$2436,MATCH($B$3&amp;"|"&amp;D395&amp;"|"&amp;B395&amp;"|"&amp;C395,'Master Data'!$A$2:$A$2436,0))&amp;"","")</f>
        <v>Kids</v>
      </c>
      <c r="G395" s="66" t="n">
        <f aca="false">IFERROR(INDEX('Master Data'!$G$2:$G$2436,MATCH($B$3&amp;"|"&amp;D395&amp;"|"&amp;B395&amp;"|"&amp;C395,'Master Data'!$A$2:$A$2436,0)),"")</f>
        <v>4</v>
      </c>
      <c r="H395" s="67" t="str">
        <f aca="false">IFERROR(INDEX('Master Data'!$K$2:$K$2436,MATCH($B$3&amp;"|"&amp;D395&amp;"|"&amp;B395&amp;"|"&amp;C395,'Master Data'!$A$2:$A$2436,0))&amp;"","")</f>
        <v/>
      </c>
      <c r="I395" s="67" t="s">
        <v>428</v>
      </c>
      <c r="J395" s="67" t="s">
        <v>134</v>
      </c>
      <c r="K395" s="68"/>
      <c r="L395" s="68"/>
      <c r="M395" s="68"/>
      <c r="N395" s="69"/>
      <c r="O395" s="68"/>
    </row>
    <row r="396" customFormat="false" ht="15.75" hidden="false" customHeight="true" outlineLevel="0" collapsed="false">
      <c r="A396" s="66" t="n">
        <v>305</v>
      </c>
      <c r="B396" s="67" t="s">
        <v>78</v>
      </c>
      <c r="C396" s="66" t="s">
        <v>111</v>
      </c>
      <c r="D396" s="66" t="n">
        <v>1</v>
      </c>
      <c r="E396" s="67" t="str">
        <f aca="false">IFERROR(INDEX('Master Data'!$L$2:$L$2436,MATCH($B$3&amp;"|"&amp;D396&amp;"|"&amp;B396&amp;"|"&amp;C396,'Master Data'!$A$2:$A$2436,0)),"")</f>
        <v>Belum terisi</v>
      </c>
      <c r="F396" s="67" t="str">
        <f aca="false">IFERROR(INDEX('Master Data'!$F$2:$F$2436,MATCH($B$3&amp;"|"&amp;D396&amp;"|"&amp;B396&amp;"|"&amp;C396,'Master Data'!$A$2:$A$2436,0))&amp;"","")</f>
        <v>Baby</v>
      </c>
      <c r="G396" s="66" t="n">
        <f aca="false">IFERROR(INDEX('Master Data'!$G$2:$G$2436,MATCH($B$3&amp;"|"&amp;D396&amp;"|"&amp;B396&amp;"|"&amp;C396,'Master Data'!$A$2:$A$2436,0)),"")</f>
        <v>5</v>
      </c>
      <c r="H396" s="67" t="str">
        <f aca="false">IFERROR(INDEX('Master Data'!$K$2:$K$2436,MATCH($B$3&amp;"|"&amp;D396&amp;"|"&amp;B396&amp;"|"&amp;C396,'Master Data'!$A$2:$A$2436,0))&amp;"","")</f>
        <v/>
      </c>
      <c r="I396" s="67" t="s">
        <v>394</v>
      </c>
      <c r="J396" s="67" t="s">
        <v>134</v>
      </c>
      <c r="K396" s="68"/>
      <c r="L396" s="68"/>
      <c r="M396" s="68"/>
      <c r="N396" s="69"/>
      <c r="O396" s="68"/>
    </row>
    <row r="397" customFormat="false" ht="15.75" hidden="false" customHeight="true" outlineLevel="0" collapsed="false">
      <c r="A397" s="66" t="n">
        <v>306</v>
      </c>
      <c r="B397" s="67" t="s">
        <v>78</v>
      </c>
      <c r="C397" s="66" t="s">
        <v>111</v>
      </c>
      <c r="D397" s="66" t="n">
        <v>5</v>
      </c>
      <c r="E397" s="67" t="str">
        <f aca="false">IFERROR(INDEX('Master Data'!$L$2:$L$2436,MATCH($B$3&amp;"|"&amp;D397&amp;"|"&amp;B397&amp;"|"&amp;C397,'Master Data'!$A$2:$A$2436,0)),"")</f>
        <v>Slot kosong</v>
      </c>
      <c r="F397" s="67" t="str">
        <f aca="false">IFERROR(INDEX('Master Data'!$F$2:$F$2436,MATCH($B$3&amp;"|"&amp;D397&amp;"|"&amp;B397&amp;"|"&amp;C397,'Master Data'!$A$2:$A$2436,0))&amp;"","")</f>
        <v/>
      </c>
      <c r="G397" s="66" t="n">
        <f aca="false">IFERROR(INDEX('Master Data'!$G$2:$G$2436,MATCH($B$3&amp;"|"&amp;D397&amp;"|"&amp;B397&amp;"|"&amp;C397,'Master Data'!$A$2:$A$2436,0)),"")</f>
        <v>4</v>
      </c>
      <c r="H397" s="67" t="str">
        <f aca="false">IFERROR(INDEX('Master Data'!$K$2:$K$2436,MATCH($B$3&amp;"|"&amp;D397&amp;"|"&amp;B397&amp;"|"&amp;C397,'Master Data'!$A$2:$A$2436,0))&amp;"","")</f>
        <v/>
      </c>
      <c r="I397" s="67" t="s">
        <v>394</v>
      </c>
      <c r="J397" s="67" t="s">
        <v>134</v>
      </c>
      <c r="K397" s="68"/>
      <c r="L397" s="68"/>
      <c r="M397" s="68"/>
      <c r="N397" s="69"/>
      <c r="O397" s="68"/>
    </row>
    <row r="398" customFormat="false" ht="15.75" hidden="false" customHeight="true" outlineLevel="0" collapsed="false">
      <c r="A398" s="66" t="n">
        <v>307</v>
      </c>
      <c r="B398" s="67" t="s">
        <v>78</v>
      </c>
      <c r="C398" s="66" t="s">
        <v>112</v>
      </c>
      <c r="D398" s="66" t="n">
        <v>5</v>
      </c>
      <c r="E398" s="67" t="str">
        <f aca="false">IFERROR(INDEX('Master Data'!$L$2:$L$2436,MATCH($B$3&amp;"|"&amp;D398&amp;"|"&amp;B398&amp;"|"&amp;C398,'Master Data'!$A$2:$A$2436,0)),"")</f>
        <v>Slot kosong</v>
      </c>
      <c r="F398" s="67" t="str">
        <f aca="false">IFERROR(INDEX('Master Data'!$F$2:$F$2436,MATCH($B$3&amp;"|"&amp;D398&amp;"|"&amp;B398&amp;"|"&amp;C398,'Master Data'!$A$2:$A$2436,0))&amp;"","")</f>
        <v/>
      </c>
      <c r="G398" s="66" t="n">
        <f aca="false">IFERROR(INDEX('Master Data'!$G$2:$G$2436,MATCH($B$3&amp;"|"&amp;D398&amp;"|"&amp;B398&amp;"|"&amp;C398,'Master Data'!$A$2:$A$2436,0)),"")</f>
        <v>4</v>
      </c>
      <c r="H398" s="67" t="str">
        <f aca="false">IFERROR(INDEX('Master Data'!$K$2:$K$2436,MATCH($B$3&amp;"|"&amp;D398&amp;"|"&amp;B398&amp;"|"&amp;C398,'Master Data'!$A$2:$A$2436,0))&amp;"","")</f>
        <v/>
      </c>
      <c r="I398" s="70" t="s">
        <v>154</v>
      </c>
      <c r="J398" s="67" t="s">
        <v>155</v>
      </c>
      <c r="K398" s="68"/>
      <c r="L398" s="68"/>
      <c r="M398" s="68"/>
      <c r="N398" s="69"/>
      <c r="O398" s="68"/>
    </row>
    <row r="399" customFormat="false" ht="15.75" hidden="false" customHeight="true" outlineLevel="0" collapsed="false">
      <c r="A399" s="66" t="n">
        <v>308</v>
      </c>
      <c r="B399" s="67" t="s">
        <v>78</v>
      </c>
      <c r="C399" s="66" t="s">
        <v>98</v>
      </c>
      <c r="D399" s="66" t="n">
        <v>4</v>
      </c>
      <c r="E399" s="67" t="str">
        <f aca="false">IFERROR(INDEX('Master Data'!$L$2:$L$2436,MATCH($B$3&amp;"|"&amp;D399&amp;"|"&amp;B399&amp;"|"&amp;C399,'Master Data'!$A$2:$A$2436,0)),"")</f>
        <v>Belum terisi</v>
      </c>
      <c r="F399" s="67" t="str">
        <f aca="false">IFERROR(INDEX('Master Data'!$F$2:$F$2436,MATCH($B$3&amp;"|"&amp;D399&amp;"|"&amp;B399&amp;"|"&amp;C399,'Master Data'!$A$2:$A$2436,0))&amp;"","")</f>
        <v>Kids</v>
      </c>
      <c r="G399" s="66" t="n">
        <f aca="false">IFERROR(INDEX('Master Data'!$G$2:$G$2436,MATCH($B$3&amp;"|"&amp;D399&amp;"|"&amp;B399&amp;"|"&amp;C399,'Master Data'!$A$2:$A$2436,0)),"")</f>
        <v>4</v>
      </c>
      <c r="H399" s="67" t="str">
        <f aca="false">IFERROR(INDEX('Master Data'!$K$2:$K$2436,MATCH($B$3&amp;"|"&amp;D399&amp;"|"&amp;B399&amp;"|"&amp;C399,'Master Data'!$A$2:$A$2436,0))&amp;"","")</f>
        <v/>
      </c>
      <c r="I399" s="67" t="s">
        <v>387</v>
      </c>
      <c r="J399" s="67" t="s">
        <v>203</v>
      </c>
      <c r="K399" s="68"/>
      <c r="L399" s="68"/>
      <c r="M399" s="68"/>
      <c r="N399" s="69"/>
      <c r="O399" s="68"/>
    </row>
    <row r="400" customFormat="false" ht="27.75" hidden="false" customHeight="true" outlineLevel="0" collapsed="false">
      <c r="A400" s="66" t="n">
        <v>309</v>
      </c>
      <c r="B400" s="67" t="s">
        <v>78</v>
      </c>
      <c r="C400" s="66" t="s">
        <v>113</v>
      </c>
      <c r="D400" s="66" t="n">
        <v>1</v>
      </c>
      <c r="E400" s="67" t="str">
        <f aca="false">IFERROR(INDEX('Master Data'!$L$2:$L$2436,MATCH($B$3&amp;"|"&amp;D400&amp;"|"&amp;B400&amp;"|"&amp;C400,'Master Data'!$A$2:$A$2436,0)),"")</f>
        <v>Belum terisi</v>
      </c>
      <c r="F400" s="67" t="str">
        <f aca="false">IFERROR(INDEX('Master Data'!$F$2:$F$2436,MATCH($B$3&amp;"|"&amp;D400&amp;"|"&amp;B400&amp;"|"&amp;C400,'Master Data'!$A$2:$A$2436,0))&amp;"","")</f>
        <v>Baby</v>
      </c>
      <c r="G400" s="66" t="n">
        <f aca="false">IFERROR(INDEX('Master Data'!$G$2:$G$2436,MATCH($B$3&amp;"|"&amp;D400&amp;"|"&amp;B400&amp;"|"&amp;C400,'Master Data'!$A$2:$A$2436,0)),"")</f>
        <v>5</v>
      </c>
      <c r="H400" s="67" t="str">
        <f aca="false">IFERROR(INDEX('Master Data'!$K$2:$K$2436,MATCH($B$3&amp;"|"&amp;D400&amp;"|"&amp;B400&amp;"|"&amp;C400,'Master Data'!$A$2:$A$2436,0))&amp;"","")</f>
        <v/>
      </c>
      <c r="I400" s="67" t="s">
        <v>400</v>
      </c>
      <c r="J400" s="67" t="s">
        <v>134</v>
      </c>
      <c r="K400" s="68"/>
      <c r="L400" s="68"/>
      <c r="M400" s="68"/>
      <c r="N400" s="69"/>
      <c r="O400" s="68"/>
    </row>
    <row r="401" customFormat="false" ht="27.75" hidden="false" customHeight="true" outlineLevel="0" collapsed="false">
      <c r="A401" s="66" t="n">
        <v>310</v>
      </c>
      <c r="B401" s="67" t="s">
        <v>78</v>
      </c>
      <c r="C401" s="66" t="s">
        <v>113</v>
      </c>
      <c r="D401" s="66" t="n">
        <v>2</v>
      </c>
      <c r="E401" s="67" t="str">
        <f aca="false">IFERROR(INDEX('Master Data'!$L$2:$L$2436,MATCH($B$3&amp;"|"&amp;D401&amp;"|"&amp;B401&amp;"|"&amp;C401,'Master Data'!$A$2:$A$2436,0)),"")</f>
        <v>Belum terisi</v>
      </c>
      <c r="F401" s="67" t="str">
        <f aca="false">IFERROR(INDEX('Master Data'!$F$2:$F$2436,MATCH($B$3&amp;"|"&amp;D401&amp;"|"&amp;B401&amp;"|"&amp;C401,'Master Data'!$A$2:$A$2436,0))&amp;"","")</f>
        <v>Tiny</v>
      </c>
      <c r="G401" s="66" t="n">
        <f aca="false">IFERROR(INDEX('Master Data'!$G$2:$G$2436,MATCH($B$3&amp;"|"&amp;D401&amp;"|"&amp;B401&amp;"|"&amp;C401,'Master Data'!$A$2:$A$2436,0)),"")</f>
        <v>5</v>
      </c>
      <c r="H401" s="67" t="str">
        <f aca="false">IFERROR(INDEX('Master Data'!$K$2:$K$2436,MATCH($B$3&amp;"|"&amp;D401&amp;"|"&amp;B401&amp;"|"&amp;C401,'Master Data'!$A$2:$A$2436,0))&amp;"","")</f>
        <v/>
      </c>
      <c r="I401" s="67" t="s">
        <v>400</v>
      </c>
      <c r="J401" s="67" t="s">
        <v>134</v>
      </c>
      <c r="K401" s="68"/>
      <c r="L401" s="68"/>
      <c r="M401" s="68"/>
      <c r="N401" s="69"/>
      <c r="O401" s="68"/>
    </row>
    <row r="402" customFormat="false" ht="27.75" hidden="false" customHeight="true" outlineLevel="0" collapsed="false">
      <c r="A402" s="66" t="n">
        <v>311</v>
      </c>
      <c r="B402" s="67" t="s">
        <v>78</v>
      </c>
      <c r="C402" s="66" t="s">
        <v>113</v>
      </c>
      <c r="D402" s="66" t="n">
        <v>5</v>
      </c>
      <c r="E402" s="67" t="str">
        <f aca="false">IFERROR(INDEX('Master Data'!$L$2:$L$2436,MATCH($B$3&amp;"|"&amp;D402&amp;"|"&amp;B402&amp;"|"&amp;C402,'Master Data'!$A$2:$A$2436,0)),"")</f>
        <v>Slot kosong</v>
      </c>
      <c r="F402" s="67" t="str">
        <f aca="false">IFERROR(INDEX('Master Data'!$F$2:$F$2436,MATCH($B$3&amp;"|"&amp;D402&amp;"|"&amp;B402&amp;"|"&amp;C402,'Master Data'!$A$2:$A$2436,0))&amp;"","")</f>
        <v/>
      </c>
      <c r="G402" s="66" t="n">
        <f aca="false">IFERROR(INDEX('Master Data'!$G$2:$G$2436,MATCH($B$3&amp;"|"&amp;D402&amp;"|"&amp;B402&amp;"|"&amp;C402,'Master Data'!$A$2:$A$2436,0)),"")</f>
        <v>4</v>
      </c>
      <c r="H402" s="67" t="str">
        <f aca="false">IFERROR(INDEX('Master Data'!$K$2:$K$2436,MATCH($B$3&amp;"|"&amp;D402&amp;"|"&amp;B402&amp;"|"&amp;C402,'Master Data'!$A$2:$A$2436,0))&amp;"","")</f>
        <v/>
      </c>
      <c r="I402" s="67" t="s">
        <v>400</v>
      </c>
      <c r="J402" s="67" t="s">
        <v>134</v>
      </c>
      <c r="K402" s="68"/>
      <c r="L402" s="68"/>
      <c r="M402" s="68"/>
      <c r="N402" s="69"/>
      <c r="O402" s="68"/>
    </row>
    <row r="403" customFormat="false" ht="40.5" hidden="false" customHeight="true" outlineLevel="0" collapsed="false">
      <c r="A403" s="66" t="n">
        <v>312</v>
      </c>
      <c r="B403" s="67" t="s">
        <v>78</v>
      </c>
      <c r="C403" s="66" t="s">
        <v>99</v>
      </c>
      <c r="D403" s="66" t="n">
        <v>4</v>
      </c>
      <c r="E403" s="67" t="str">
        <f aca="false">IFERROR(INDEX('Master Data'!$L$2:$L$2436,MATCH($B$3&amp;"|"&amp;D403&amp;"|"&amp;B403&amp;"|"&amp;C403,'Master Data'!$A$2:$A$2436,0)),"")</f>
        <v>Belum terisi</v>
      </c>
      <c r="F403" s="67" t="str">
        <f aca="false">IFERROR(INDEX('Master Data'!$F$2:$F$2436,MATCH($B$3&amp;"|"&amp;D403&amp;"|"&amp;B403&amp;"|"&amp;C403,'Master Data'!$A$2:$A$2436,0))&amp;"","")</f>
        <v>Kids</v>
      </c>
      <c r="G403" s="66" t="n">
        <f aca="false">IFERROR(INDEX('Master Data'!$G$2:$G$2436,MATCH($B$3&amp;"|"&amp;D403&amp;"|"&amp;B403&amp;"|"&amp;C403,'Master Data'!$A$2:$A$2436,0)),"")</f>
        <v>4</v>
      </c>
      <c r="H403" s="67" t="str">
        <f aca="false">IFERROR(INDEX('Master Data'!$K$2:$K$2436,MATCH($B$3&amp;"|"&amp;D403&amp;"|"&amp;B403&amp;"|"&amp;C403,'Master Data'!$A$2:$A$2436,0))&amp;"","")</f>
        <v/>
      </c>
      <c r="I403" s="67" t="s">
        <v>429</v>
      </c>
      <c r="J403" s="67" t="s">
        <v>134</v>
      </c>
      <c r="K403" s="68"/>
      <c r="L403" s="68"/>
      <c r="M403" s="68"/>
      <c r="N403" s="69"/>
      <c r="O403" s="68"/>
    </row>
    <row r="404" customFormat="false" ht="40.5" hidden="false" customHeight="true" outlineLevel="0" collapsed="false">
      <c r="A404" s="66" t="n">
        <v>313</v>
      </c>
      <c r="B404" s="67" t="s">
        <v>78</v>
      </c>
      <c r="C404" s="66" t="s">
        <v>114</v>
      </c>
      <c r="D404" s="66" t="n">
        <v>1</v>
      </c>
      <c r="E404" s="67" t="str">
        <f aca="false">IFERROR(INDEX('Master Data'!$L$2:$L$2436,MATCH($B$3&amp;"|"&amp;D404&amp;"|"&amp;B404&amp;"|"&amp;C404,'Master Data'!$A$2:$A$2436,0)),"")</f>
        <v>Belum terisi</v>
      </c>
      <c r="F404" s="67" t="str">
        <f aca="false">IFERROR(INDEX('Master Data'!$F$2:$F$2436,MATCH($B$3&amp;"|"&amp;D404&amp;"|"&amp;B404&amp;"|"&amp;C404,'Master Data'!$A$2:$A$2436,0))&amp;"","")</f>
        <v>Baby</v>
      </c>
      <c r="G404" s="66" t="n">
        <f aca="false">IFERROR(INDEX('Master Data'!$G$2:$G$2436,MATCH($B$3&amp;"|"&amp;D404&amp;"|"&amp;B404&amp;"|"&amp;C404,'Master Data'!$A$2:$A$2436,0)),"")</f>
        <v>5</v>
      </c>
      <c r="H404" s="67" t="str">
        <f aca="false">IFERROR(INDEX('Master Data'!$K$2:$K$2436,MATCH($B$3&amp;"|"&amp;D404&amp;"|"&amp;B404&amp;"|"&amp;C404,'Master Data'!$A$2:$A$2436,0))&amp;"","")</f>
        <v/>
      </c>
      <c r="I404" s="67" t="s">
        <v>429</v>
      </c>
      <c r="J404" s="67" t="s">
        <v>134</v>
      </c>
      <c r="K404" s="68"/>
      <c r="L404" s="68"/>
      <c r="M404" s="68"/>
      <c r="N404" s="69"/>
      <c r="O404" s="68"/>
    </row>
    <row r="405" customFormat="false" ht="40.5" hidden="false" customHeight="true" outlineLevel="0" collapsed="false">
      <c r="A405" s="66" t="n">
        <v>314</v>
      </c>
      <c r="B405" s="67" t="s">
        <v>78</v>
      </c>
      <c r="C405" s="66" t="s">
        <v>114</v>
      </c>
      <c r="D405" s="66" t="n">
        <v>2</v>
      </c>
      <c r="E405" s="67" t="str">
        <f aca="false">IFERROR(INDEX('Master Data'!$L$2:$L$2436,MATCH($B$3&amp;"|"&amp;D405&amp;"|"&amp;B405&amp;"|"&amp;C405,'Master Data'!$A$2:$A$2436,0)),"")</f>
        <v>Belum terisi</v>
      </c>
      <c r="F405" s="67" t="str">
        <f aca="false">IFERROR(INDEX('Master Data'!$F$2:$F$2436,MATCH($B$3&amp;"|"&amp;D405&amp;"|"&amp;B405&amp;"|"&amp;C405,'Master Data'!$A$2:$A$2436,0))&amp;"","")</f>
        <v>Tiny</v>
      </c>
      <c r="G405" s="66" t="n">
        <f aca="false">IFERROR(INDEX('Master Data'!$G$2:$G$2436,MATCH($B$3&amp;"|"&amp;D405&amp;"|"&amp;B405&amp;"|"&amp;C405,'Master Data'!$A$2:$A$2436,0)),"")</f>
        <v>5</v>
      </c>
      <c r="H405" s="67" t="str">
        <f aca="false">IFERROR(INDEX('Master Data'!$K$2:$K$2436,MATCH($B$3&amp;"|"&amp;D405&amp;"|"&amp;B405&amp;"|"&amp;C405,'Master Data'!$A$2:$A$2436,0))&amp;"","")</f>
        <v/>
      </c>
      <c r="I405" s="67" t="s">
        <v>429</v>
      </c>
      <c r="J405" s="67" t="s">
        <v>134</v>
      </c>
      <c r="K405" s="68"/>
      <c r="L405" s="68"/>
      <c r="M405" s="68"/>
      <c r="N405" s="69"/>
      <c r="O405" s="68"/>
    </row>
    <row r="406" customFormat="false" ht="40.5" hidden="false" customHeight="true" outlineLevel="0" collapsed="false">
      <c r="A406" s="66" t="n">
        <v>315</v>
      </c>
      <c r="B406" s="67" t="s">
        <v>78</v>
      </c>
      <c r="C406" s="66" t="s">
        <v>114</v>
      </c>
      <c r="D406" s="66" t="n">
        <v>5</v>
      </c>
      <c r="E406" s="67" t="str">
        <f aca="false">IFERROR(INDEX('Master Data'!$L$2:$L$2436,MATCH($B$3&amp;"|"&amp;D406&amp;"|"&amp;B406&amp;"|"&amp;C406,'Master Data'!$A$2:$A$2436,0)),"")</f>
        <v>Slot kosong</v>
      </c>
      <c r="F406" s="67" t="str">
        <f aca="false">IFERROR(INDEX('Master Data'!$F$2:$F$2436,MATCH($B$3&amp;"|"&amp;D406&amp;"|"&amp;B406&amp;"|"&amp;C406,'Master Data'!$A$2:$A$2436,0))&amp;"","")</f>
        <v/>
      </c>
      <c r="G406" s="66" t="n">
        <f aca="false">IFERROR(INDEX('Master Data'!$G$2:$G$2436,MATCH($B$3&amp;"|"&amp;D406&amp;"|"&amp;B406&amp;"|"&amp;C406,'Master Data'!$A$2:$A$2436,0)),"")</f>
        <v>4</v>
      </c>
      <c r="H406" s="67" t="str">
        <f aca="false">IFERROR(INDEX('Master Data'!$K$2:$K$2436,MATCH($B$3&amp;"|"&amp;D406&amp;"|"&amp;B406&amp;"|"&amp;C406,'Master Data'!$A$2:$A$2436,0))&amp;"","")</f>
        <v/>
      </c>
      <c r="I406" s="67" t="s">
        <v>429</v>
      </c>
      <c r="J406" s="67" t="s">
        <v>134</v>
      </c>
      <c r="K406" s="68"/>
      <c r="L406" s="68"/>
      <c r="M406" s="68"/>
      <c r="N406" s="69"/>
      <c r="O406" s="68"/>
    </row>
    <row r="407" customFormat="false" ht="40.5" hidden="false" customHeight="true" outlineLevel="0" collapsed="false">
      <c r="A407" s="66" t="n">
        <v>316</v>
      </c>
      <c r="B407" s="67" t="s">
        <v>78</v>
      </c>
      <c r="C407" s="66" t="s">
        <v>100</v>
      </c>
      <c r="D407" s="66" t="n">
        <v>3</v>
      </c>
      <c r="E407" s="67" t="str">
        <f aca="false">IFERROR(INDEX('Master Data'!$L$2:$L$2436,MATCH($B$3&amp;"|"&amp;D407&amp;"|"&amp;B407&amp;"|"&amp;C407,'Master Data'!$A$2:$A$2436,0)),"")</f>
        <v>Belum terisi</v>
      </c>
      <c r="F407" s="67" t="str">
        <f aca="false">IFERROR(INDEX('Master Data'!$F$2:$F$2436,MATCH($B$3&amp;"|"&amp;D407&amp;"|"&amp;B407&amp;"|"&amp;C407,'Master Data'!$A$2:$A$2436,0))&amp;"","")</f>
        <v>Little</v>
      </c>
      <c r="G407" s="66" t="n">
        <f aca="false">IFERROR(INDEX('Master Data'!$G$2:$G$2436,MATCH($B$3&amp;"|"&amp;D407&amp;"|"&amp;B407&amp;"|"&amp;C407,'Master Data'!$A$2:$A$2436,0)),"")</f>
        <v>4</v>
      </c>
      <c r="H407" s="67" t="str">
        <f aca="false">IFERROR(INDEX('Master Data'!$K$2:$K$2436,MATCH($B$3&amp;"|"&amp;D407&amp;"|"&amp;B407&amp;"|"&amp;C407,'Master Data'!$A$2:$A$2436,0))&amp;"","")</f>
        <v/>
      </c>
      <c r="I407" s="67" t="s">
        <v>427</v>
      </c>
      <c r="J407" s="67" t="s">
        <v>134</v>
      </c>
      <c r="K407" s="68"/>
      <c r="L407" s="68"/>
      <c r="M407" s="68"/>
      <c r="N407" s="69"/>
      <c r="O407" s="68"/>
    </row>
    <row r="408" customFormat="false" ht="40.5" hidden="false" customHeight="true" outlineLevel="0" collapsed="false">
      <c r="A408" s="66" t="n">
        <v>317</v>
      </c>
      <c r="B408" s="67" t="s">
        <v>78</v>
      </c>
      <c r="C408" s="66" t="s">
        <v>100</v>
      </c>
      <c r="D408" s="66" t="n">
        <v>4</v>
      </c>
      <c r="E408" s="67" t="str">
        <f aca="false">IFERROR(INDEX('Master Data'!$L$2:$L$2436,MATCH($B$3&amp;"|"&amp;D408&amp;"|"&amp;B408&amp;"|"&amp;C408,'Master Data'!$A$2:$A$2436,0)),"")</f>
        <v>Belum terisi</v>
      </c>
      <c r="F408" s="67" t="str">
        <f aca="false">IFERROR(INDEX('Master Data'!$F$2:$F$2436,MATCH($B$3&amp;"|"&amp;D408&amp;"|"&amp;B408&amp;"|"&amp;C408,'Master Data'!$A$2:$A$2436,0))&amp;"","")</f>
        <v>Kids</v>
      </c>
      <c r="G408" s="66" t="n">
        <f aca="false">IFERROR(INDEX('Master Data'!$G$2:$G$2436,MATCH($B$3&amp;"|"&amp;D408&amp;"|"&amp;B408&amp;"|"&amp;C408,'Master Data'!$A$2:$A$2436,0)),"")</f>
        <v>4</v>
      </c>
      <c r="H408" s="67" t="str">
        <f aca="false">IFERROR(INDEX('Master Data'!$K$2:$K$2436,MATCH($B$3&amp;"|"&amp;D408&amp;"|"&amp;B408&amp;"|"&amp;C408,'Master Data'!$A$2:$A$2436,0))&amp;"","")</f>
        <v/>
      </c>
      <c r="I408" s="67" t="s">
        <v>427</v>
      </c>
      <c r="J408" s="67" t="s">
        <v>134</v>
      </c>
      <c r="K408" s="68"/>
      <c r="L408" s="68"/>
      <c r="M408" s="68"/>
      <c r="N408" s="69"/>
      <c r="O408" s="68"/>
    </row>
    <row r="409" customFormat="false" ht="40.5" hidden="false" customHeight="true" outlineLevel="0" collapsed="false">
      <c r="A409" s="66" t="n">
        <v>318</v>
      </c>
      <c r="B409" s="67" t="s">
        <v>78</v>
      </c>
      <c r="C409" s="66" t="s">
        <v>115</v>
      </c>
      <c r="D409" s="66" t="n">
        <v>1</v>
      </c>
      <c r="E409" s="67" t="str">
        <f aca="false">IFERROR(INDEX('Master Data'!$L$2:$L$2436,MATCH($B$3&amp;"|"&amp;D409&amp;"|"&amp;B409&amp;"|"&amp;C409,'Master Data'!$A$2:$A$2436,0)),"")</f>
        <v>Belum terisi</v>
      </c>
      <c r="F409" s="67" t="str">
        <f aca="false">IFERROR(INDEX('Master Data'!$F$2:$F$2436,MATCH($B$3&amp;"|"&amp;D409&amp;"|"&amp;B409&amp;"|"&amp;C409,'Master Data'!$A$2:$A$2436,0))&amp;"","")</f>
        <v>Baby</v>
      </c>
      <c r="G409" s="66" t="n">
        <f aca="false">IFERROR(INDEX('Master Data'!$G$2:$G$2436,MATCH($B$3&amp;"|"&amp;D409&amp;"|"&amp;B409&amp;"|"&amp;C409,'Master Data'!$A$2:$A$2436,0)),"")</f>
        <v>5</v>
      </c>
      <c r="H409" s="67" t="str">
        <f aca="false">IFERROR(INDEX('Master Data'!$K$2:$K$2436,MATCH($B$3&amp;"|"&amp;D409&amp;"|"&amp;B409&amp;"|"&amp;C409,'Master Data'!$A$2:$A$2436,0))&amp;"","")</f>
        <v/>
      </c>
      <c r="I409" s="67" t="s">
        <v>427</v>
      </c>
      <c r="J409" s="67" t="s">
        <v>134</v>
      </c>
      <c r="K409" s="68"/>
      <c r="L409" s="68"/>
      <c r="M409" s="68"/>
      <c r="N409" s="69"/>
      <c r="O409" s="68"/>
    </row>
    <row r="410" customFormat="false" ht="40.5" hidden="false" customHeight="true" outlineLevel="0" collapsed="false">
      <c r="A410" s="66" t="n">
        <v>319</v>
      </c>
      <c r="B410" s="67" t="s">
        <v>78</v>
      </c>
      <c r="C410" s="66" t="s">
        <v>115</v>
      </c>
      <c r="D410" s="66" t="n">
        <v>2</v>
      </c>
      <c r="E410" s="67" t="str">
        <f aca="false">IFERROR(INDEX('Master Data'!$L$2:$L$2436,MATCH($B$3&amp;"|"&amp;D410&amp;"|"&amp;B410&amp;"|"&amp;C410,'Master Data'!$A$2:$A$2436,0)),"")</f>
        <v>Belum terisi</v>
      </c>
      <c r="F410" s="67" t="str">
        <f aca="false">IFERROR(INDEX('Master Data'!$F$2:$F$2436,MATCH($B$3&amp;"|"&amp;D410&amp;"|"&amp;B410&amp;"|"&amp;C410,'Master Data'!$A$2:$A$2436,0))&amp;"","")</f>
        <v>Tiny</v>
      </c>
      <c r="G410" s="66" t="n">
        <f aca="false">IFERROR(INDEX('Master Data'!$G$2:$G$2436,MATCH($B$3&amp;"|"&amp;D410&amp;"|"&amp;B410&amp;"|"&amp;C410,'Master Data'!$A$2:$A$2436,0)),"")</f>
        <v>5</v>
      </c>
      <c r="H410" s="67" t="str">
        <f aca="false">IFERROR(INDEX('Master Data'!$K$2:$K$2436,MATCH($B$3&amp;"|"&amp;D410&amp;"|"&amp;B410&amp;"|"&amp;C410,'Master Data'!$A$2:$A$2436,0))&amp;"","")</f>
        <v/>
      </c>
      <c r="I410" s="67" t="s">
        <v>427</v>
      </c>
      <c r="J410" s="67" t="s">
        <v>134</v>
      </c>
      <c r="K410" s="68"/>
      <c r="L410" s="68"/>
      <c r="M410" s="68"/>
      <c r="N410" s="69"/>
      <c r="O410" s="68"/>
    </row>
    <row r="411" customFormat="false" ht="40.5" hidden="false" customHeight="true" outlineLevel="0" collapsed="false">
      <c r="A411" s="66" t="n">
        <v>320</v>
      </c>
      <c r="B411" s="67" t="s">
        <v>78</v>
      </c>
      <c r="C411" s="66" t="s">
        <v>115</v>
      </c>
      <c r="D411" s="66" t="n">
        <v>5</v>
      </c>
      <c r="E411" s="67" t="str">
        <f aca="false">IFERROR(INDEX('Master Data'!$L$2:$L$2436,MATCH($B$3&amp;"|"&amp;D411&amp;"|"&amp;B411&amp;"|"&amp;C411,'Master Data'!$A$2:$A$2436,0)),"")</f>
        <v>Slot kosong</v>
      </c>
      <c r="F411" s="67" t="str">
        <f aca="false">IFERROR(INDEX('Master Data'!$F$2:$F$2436,MATCH($B$3&amp;"|"&amp;D411&amp;"|"&amp;B411&amp;"|"&amp;C411,'Master Data'!$A$2:$A$2436,0))&amp;"","")</f>
        <v/>
      </c>
      <c r="G411" s="66" t="n">
        <f aca="false">IFERROR(INDEX('Master Data'!$G$2:$G$2436,MATCH($B$3&amp;"|"&amp;D411&amp;"|"&amp;B411&amp;"|"&amp;C411,'Master Data'!$A$2:$A$2436,0)),"")</f>
        <v>4</v>
      </c>
      <c r="H411" s="67" t="str">
        <f aca="false">IFERROR(INDEX('Master Data'!$K$2:$K$2436,MATCH($B$3&amp;"|"&amp;D411&amp;"|"&amp;B411&amp;"|"&amp;C411,'Master Data'!$A$2:$A$2436,0))&amp;"","")</f>
        <v/>
      </c>
      <c r="I411" s="67" t="s">
        <v>427</v>
      </c>
      <c r="J411" s="67" t="s">
        <v>134</v>
      </c>
      <c r="K411" s="68"/>
      <c r="L411" s="68"/>
      <c r="M411" s="68"/>
      <c r="N411" s="69"/>
      <c r="O411" s="68"/>
    </row>
    <row r="412" customFormat="false" ht="40.5" hidden="false" customHeight="true" outlineLevel="0" collapsed="false">
      <c r="A412" s="66" t="n">
        <v>321</v>
      </c>
      <c r="B412" s="67" t="s">
        <v>78</v>
      </c>
      <c r="C412" s="66" t="s">
        <v>101</v>
      </c>
      <c r="D412" s="66" t="n">
        <v>3</v>
      </c>
      <c r="E412" s="67" t="str">
        <f aca="false">IFERROR(INDEX('Master Data'!$L$2:$L$2436,MATCH($B$3&amp;"|"&amp;D412&amp;"|"&amp;B412&amp;"|"&amp;C412,'Master Data'!$A$2:$A$2436,0)),"")</f>
        <v>Belum terisi</v>
      </c>
      <c r="F412" s="67" t="str">
        <f aca="false">IFERROR(INDEX('Master Data'!$F$2:$F$2436,MATCH($B$3&amp;"|"&amp;D412&amp;"|"&amp;B412&amp;"|"&amp;C412,'Master Data'!$A$2:$A$2436,0))&amp;"","")</f>
        <v>Little</v>
      </c>
      <c r="G412" s="66" t="n">
        <f aca="false">IFERROR(INDEX('Master Data'!$G$2:$G$2436,MATCH($B$3&amp;"|"&amp;D412&amp;"|"&amp;B412&amp;"|"&amp;C412,'Master Data'!$A$2:$A$2436,0)),"")</f>
        <v>4</v>
      </c>
      <c r="H412" s="67" t="str">
        <f aca="false">IFERROR(INDEX('Master Data'!$K$2:$K$2436,MATCH($B$3&amp;"|"&amp;D412&amp;"|"&amp;B412&amp;"|"&amp;C412,'Master Data'!$A$2:$A$2436,0))&amp;"","")</f>
        <v/>
      </c>
      <c r="I412" s="67" t="s">
        <v>427</v>
      </c>
      <c r="J412" s="67" t="s">
        <v>134</v>
      </c>
      <c r="K412" s="68"/>
      <c r="L412" s="68"/>
      <c r="M412" s="68"/>
      <c r="N412" s="69"/>
      <c r="O412" s="68"/>
    </row>
    <row r="413" customFormat="false" ht="40.5" hidden="false" customHeight="true" outlineLevel="0" collapsed="false">
      <c r="A413" s="66" t="n">
        <v>322</v>
      </c>
      <c r="B413" s="67" t="s">
        <v>78</v>
      </c>
      <c r="C413" s="66" t="s">
        <v>101</v>
      </c>
      <c r="D413" s="66" t="n">
        <v>4</v>
      </c>
      <c r="E413" s="67" t="str">
        <f aca="false">IFERROR(INDEX('Master Data'!$L$2:$L$2436,MATCH($B$3&amp;"|"&amp;D413&amp;"|"&amp;B413&amp;"|"&amp;C413,'Master Data'!$A$2:$A$2436,0)),"")</f>
        <v>Belum terisi</v>
      </c>
      <c r="F413" s="67" t="str">
        <f aca="false">IFERROR(INDEX('Master Data'!$F$2:$F$2436,MATCH($B$3&amp;"|"&amp;D413&amp;"|"&amp;B413&amp;"|"&amp;C413,'Master Data'!$A$2:$A$2436,0))&amp;"","")</f>
        <v>Kids</v>
      </c>
      <c r="G413" s="66" t="n">
        <f aca="false">IFERROR(INDEX('Master Data'!$G$2:$G$2436,MATCH($B$3&amp;"|"&amp;D413&amp;"|"&amp;B413&amp;"|"&amp;C413,'Master Data'!$A$2:$A$2436,0)),"")</f>
        <v>4</v>
      </c>
      <c r="H413" s="67" t="str">
        <f aca="false">IFERROR(INDEX('Master Data'!$K$2:$K$2436,MATCH($B$3&amp;"|"&amp;D413&amp;"|"&amp;B413&amp;"|"&amp;C413,'Master Data'!$A$2:$A$2436,0))&amp;"","")</f>
        <v/>
      </c>
      <c r="I413" s="67" t="s">
        <v>427</v>
      </c>
      <c r="J413" s="67" t="s">
        <v>134</v>
      </c>
      <c r="K413" s="68"/>
      <c r="L413" s="68"/>
      <c r="M413" s="68"/>
      <c r="N413" s="69"/>
      <c r="O413" s="68"/>
    </row>
    <row r="414" customFormat="false" ht="40.5" hidden="false" customHeight="true" outlineLevel="0" collapsed="false">
      <c r="A414" s="66" t="n">
        <v>323</v>
      </c>
      <c r="B414" s="67" t="s">
        <v>78</v>
      </c>
      <c r="C414" s="66" t="s">
        <v>116</v>
      </c>
      <c r="D414" s="66" t="n">
        <v>1</v>
      </c>
      <c r="E414" s="67" t="str">
        <f aca="false">IFERROR(INDEX('Master Data'!$L$2:$L$2436,MATCH($B$3&amp;"|"&amp;D414&amp;"|"&amp;B414&amp;"|"&amp;C414,'Master Data'!$A$2:$A$2436,0)),"")</f>
        <v>Belum terisi</v>
      </c>
      <c r="F414" s="67" t="str">
        <f aca="false">IFERROR(INDEX('Master Data'!$F$2:$F$2436,MATCH($B$3&amp;"|"&amp;D414&amp;"|"&amp;B414&amp;"|"&amp;C414,'Master Data'!$A$2:$A$2436,0))&amp;"","")</f>
        <v>Baby</v>
      </c>
      <c r="G414" s="66" t="n">
        <f aca="false">IFERROR(INDEX('Master Data'!$G$2:$G$2436,MATCH($B$3&amp;"|"&amp;D414&amp;"|"&amp;B414&amp;"|"&amp;C414,'Master Data'!$A$2:$A$2436,0)),"")</f>
        <v>5</v>
      </c>
      <c r="H414" s="67" t="str">
        <f aca="false">IFERROR(INDEX('Master Data'!$K$2:$K$2436,MATCH($B$3&amp;"|"&amp;D414&amp;"|"&amp;B414&amp;"|"&amp;C414,'Master Data'!$A$2:$A$2436,0))&amp;"","")</f>
        <v/>
      </c>
      <c r="I414" s="67" t="s">
        <v>427</v>
      </c>
      <c r="J414" s="67" t="s">
        <v>134</v>
      </c>
      <c r="K414" s="68"/>
      <c r="L414" s="68"/>
      <c r="M414" s="68"/>
      <c r="N414" s="69"/>
      <c r="O414" s="68"/>
    </row>
    <row r="415" customFormat="false" ht="40.5" hidden="false" customHeight="true" outlineLevel="0" collapsed="false">
      <c r="A415" s="66" t="n">
        <v>324</v>
      </c>
      <c r="B415" s="67" t="s">
        <v>78</v>
      </c>
      <c r="C415" s="66" t="s">
        <v>116</v>
      </c>
      <c r="D415" s="66" t="n">
        <v>2</v>
      </c>
      <c r="E415" s="67" t="str">
        <f aca="false">IFERROR(INDEX('Master Data'!$L$2:$L$2436,MATCH($B$3&amp;"|"&amp;D415&amp;"|"&amp;B415&amp;"|"&amp;C415,'Master Data'!$A$2:$A$2436,0)),"")</f>
        <v>Belum terisi</v>
      </c>
      <c r="F415" s="67" t="str">
        <f aca="false">IFERROR(INDEX('Master Data'!$F$2:$F$2436,MATCH($B$3&amp;"|"&amp;D415&amp;"|"&amp;B415&amp;"|"&amp;C415,'Master Data'!$A$2:$A$2436,0))&amp;"","")</f>
        <v>Tiny</v>
      </c>
      <c r="G415" s="66" t="n">
        <f aca="false">IFERROR(INDEX('Master Data'!$G$2:$G$2436,MATCH($B$3&amp;"|"&amp;D415&amp;"|"&amp;B415&amp;"|"&amp;C415,'Master Data'!$A$2:$A$2436,0)),"")</f>
        <v>5</v>
      </c>
      <c r="H415" s="67" t="str">
        <f aca="false">IFERROR(INDEX('Master Data'!$K$2:$K$2436,MATCH($B$3&amp;"|"&amp;D415&amp;"|"&amp;B415&amp;"|"&amp;C415,'Master Data'!$A$2:$A$2436,0))&amp;"","")</f>
        <v/>
      </c>
      <c r="I415" s="67" t="s">
        <v>427</v>
      </c>
      <c r="J415" s="67" t="s">
        <v>134</v>
      </c>
      <c r="K415" s="68"/>
      <c r="L415" s="68"/>
      <c r="M415" s="68"/>
      <c r="N415" s="69"/>
      <c r="O415" s="68"/>
    </row>
    <row r="416" customFormat="false" ht="40.5" hidden="false" customHeight="true" outlineLevel="0" collapsed="false">
      <c r="A416" s="66" t="n">
        <v>325</v>
      </c>
      <c r="B416" s="67" t="s">
        <v>78</v>
      </c>
      <c r="C416" s="66" t="s">
        <v>116</v>
      </c>
      <c r="D416" s="66" t="n">
        <v>5</v>
      </c>
      <c r="E416" s="67" t="str">
        <f aca="false">IFERROR(INDEX('Master Data'!$L$2:$L$2436,MATCH($B$3&amp;"|"&amp;D416&amp;"|"&amp;B416&amp;"|"&amp;C416,'Master Data'!$A$2:$A$2436,0)),"")</f>
        <v>Slot kosong</v>
      </c>
      <c r="F416" s="67" t="str">
        <f aca="false">IFERROR(INDEX('Master Data'!$F$2:$F$2436,MATCH($B$3&amp;"|"&amp;D416&amp;"|"&amp;B416&amp;"|"&amp;C416,'Master Data'!$A$2:$A$2436,0))&amp;"","")</f>
        <v/>
      </c>
      <c r="G416" s="66" t="n">
        <f aca="false">IFERROR(INDEX('Master Data'!$G$2:$G$2436,MATCH($B$3&amp;"|"&amp;D416&amp;"|"&amp;B416&amp;"|"&amp;C416,'Master Data'!$A$2:$A$2436,0)),"")</f>
        <v>4</v>
      </c>
      <c r="H416" s="67" t="str">
        <f aca="false">IFERROR(INDEX('Master Data'!$K$2:$K$2436,MATCH($B$3&amp;"|"&amp;D416&amp;"|"&amp;B416&amp;"|"&amp;C416,'Master Data'!$A$2:$A$2436,0))&amp;"","")</f>
        <v/>
      </c>
      <c r="I416" s="67" t="s">
        <v>427</v>
      </c>
      <c r="J416" s="67" t="s">
        <v>134</v>
      </c>
      <c r="K416" s="68"/>
      <c r="L416" s="68"/>
      <c r="M416" s="68"/>
      <c r="N416" s="69"/>
      <c r="O416" s="68"/>
    </row>
    <row r="417" customFormat="false" ht="40.5" hidden="false" customHeight="true" outlineLevel="0" collapsed="false">
      <c r="A417" s="66" t="n">
        <v>326</v>
      </c>
      <c r="B417" s="67" t="s">
        <v>78</v>
      </c>
      <c r="C417" s="66" t="s">
        <v>102</v>
      </c>
      <c r="D417" s="66" t="n">
        <v>3</v>
      </c>
      <c r="E417" s="67" t="str">
        <f aca="false">IFERROR(INDEX('Master Data'!$L$2:$L$2436,MATCH($B$3&amp;"|"&amp;D417&amp;"|"&amp;B417&amp;"|"&amp;C417,'Master Data'!$A$2:$A$2436,0)),"")</f>
        <v>Belum terisi</v>
      </c>
      <c r="F417" s="67" t="str">
        <f aca="false">IFERROR(INDEX('Master Data'!$F$2:$F$2436,MATCH($B$3&amp;"|"&amp;D417&amp;"|"&amp;B417&amp;"|"&amp;C417,'Master Data'!$A$2:$A$2436,0))&amp;"","")</f>
        <v>Little</v>
      </c>
      <c r="G417" s="66" t="n">
        <f aca="false">IFERROR(INDEX('Master Data'!$G$2:$G$2436,MATCH($B$3&amp;"|"&amp;D417&amp;"|"&amp;B417&amp;"|"&amp;C417,'Master Data'!$A$2:$A$2436,0)),"")</f>
        <v>4</v>
      </c>
      <c r="H417" s="67" t="str">
        <f aca="false">IFERROR(INDEX('Master Data'!$K$2:$K$2436,MATCH($B$3&amp;"|"&amp;D417&amp;"|"&amp;B417&amp;"|"&amp;C417,'Master Data'!$A$2:$A$2436,0))&amp;"","")</f>
        <v/>
      </c>
      <c r="I417" s="67" t="s">
        <v>427</v>
      </c>
      <c r="J417" s="67" t="s">
        <v>134</v>
      </c>
      <c r="K417" s="68"/>
      <c r="L417" s="68"/>
      <c r="M417" s="68"/>
      <c r="N417" s="69"/>
      <c r="O417" s="68"/>
    </row>
    <row r="418" customFormat="false" ht="40.5" hidden="false" customHeight="true" outlineLevel="0" collapsed="false">
      <c r="A418" s="66" t="n">
        <v>327</v>
      </c>
      <c r="B418" s="67" t="s">
        <v>78</v>
      </c>
      <c r="C418" s="66" t="s">
        <v>102</v>
      </c>
      <c r="D418" s="66" t="n">
        <v>4</v>
      </c>
      <c r="E418" s="67" t="str">
        <f aca="false">IFERROR(INDEX('Master Data'!$L$2:$L$2436,MATCH($B$3&amp;"|"&amp;D418&amp;"|"&amp;B418&amp;"|"&amp;C418,'Master Data'!$A$2:$A$2436,0)),"")</f>
        <v>Belum terisi</v>
      </c>
      <c r="F418" s="67" t="str">
        <f aca="false">IFERROR(INDEX('Master Data'!$F$2:$F$2436,MATCH($B$3&amp;"|"&amp;D418&amp;"|"&amp;B418&amp;"|"&amp;C418,'Master Data'!$A$2:$A$2436,0))&amp;"","")</f>
        <v>Kids</v>
      </c>
      <c r="G418" s="66" t="n">
        <f aca="false">IFERROR(INDEX('Master Data'!$G$2:$G$2436,MATCH($B$3&amp;"|"&amp;D418&amp;"|"&amp;B418&amp;"|"&amp;C418,'Master Data'!$A$2:$A$2436,0)),"")</f>
        <v>4</v>
      </c>
      <c r="H418" s="67" t="str">
        <f aca="false">IFERROR(INDEX('Master Data'!$K$2:$K$2436,MATCH($B$3&amp;"|"&amp;D418&amp;"|"&amp;B418&amp;"|"&amp;C418,'Master Data'!$A$2:$A$2436,0))&amp;"","")</f>
        <v/>
      </c>
      <c r="I418" s="67" t="s">
        <v>427</v>
      </c>
      <c r="J418" s="67" t="s">
        <v>134</v>
      </c>
      <c r="K418" s="68"/>
      <c r="L418" s="68"/>
      <c r="M418" s="68"/>
      <c r="N418" s="69"/>
      <c r="O418" s="68"/>
    </row>
    <row r="419" customFormat="false" ht="27.75" hidden="false" customHeight="true" outlineLevel="0" collapsed="false">
      <c r="A419" s="66" t="n">
        <v>328</v>
      </c>
      <c r="B419" s="67" t="s">
        <v>78</v>
      </c>
      <c r="C419" s="66" t="s">
        <v>117</v>
      </c>
      <c r="D419" s="66" t="n">
        <v>1</v>
      </c>
      <c r="E419" s="67" t="str">
        <f aca="false">IFERROR(INDEX('Master Data'!$L$2:$L$2436,MATCH($B$3&amp;"|"&amp;D419&amp;"|"&amp;B419&amp;"|"&amp;C419,'Master Data'!$A$2:$A$2436,0)),"")</f>
        <v>Belum terisi</v>
      </c>
      <c r="F419" s="67" t="str">
        <f aca="false">IFERROR(INDEX('Master Data'!$F$2:$F$2436,MATCH($B$3&amp;"|"&amp;D419&amp;"|"&amp;B419&amp;"|"&amp;C419,'Master Data'!$A$2:$A$2436,0))&amp;"","")</f>
        <v>Baby</v>
      </c>
      <c r="G419" s="66" t="n">
        <f aca="false">IFERROR(INDEX('Master Data'!$G$2:$G$2436,MATCH($B$3&amp;"|"&amp;D419&amp;"|"&amp;B419&amp;"|"&amp;C419,'Master Data'!$A$2:$A$2436,0)),"")</f>
        <v>5</v>
      </c>
      <c r="H419" s="67" t="str">
        <f aca="false">IFERROR(INDEX('Master Data'!$K$2:$K$2436,MATCH($B$3&amp;"|"&amp;D419&amp;"|"&amp;B419&amp;"|"&amp;C419,'Master Data'!$A$2:$A$2436,0))&amp;"","")</f>
        <v/>
      </c>
      <c r="I419" s="67" t="s">
        <v>428</v>
      </c>
      <c r="J419" s="67" t="s">
        <v>134</v>
      </c>
      <c r="K419" s="68"/>
      <c r="L419" s="68"/>
      <c r="M419" s="68"/>
      <c r="N419" s="69"/>
      <c r="O419" s="68"/>
    </row>
    <row r="420" customFormat="false" ht="27.75" hidden="false" customHeight="true" outlineLevel="0" collapsed="false">
      <c r="A420" s="66" t="n">
        <v>329</v>
      </c>
      <c r="B420" s="67" t="s">
        <v>78</v>
      </c>
      <c r="C420" s="66" t="s">
        <v>117</v>
      </c>
      <c r="D420" s="66" t="n">
        <v>2</v>
      </c>
      <c r="E420" s="67" t="str">
        <f aca="false">IFERROR(INDEX('Master Data'!$L$2:$L$2436,MATCH($B$3&amp;"|"&amp;D420&amp;"|"&amp;B420&amp;"|"&amp;C420,'Master Data'!$A$2:$A$2436,0)),"")</f>
        <v>Belum terisi</v>
      </c>
      <c r="F420" s="67" t="str">
        <f aca="false">IFERROR(INDEX('Master Data'!$F$2:$F$2436,MATCH($B$3&amp;"|"&amp;D420&amp;"|"&amp;B420&amp;"|"&amp;C420,'Master Data'!$A$2:$A$2436,0))&amp;"","")</f>
        <v>Tiny</v>
      </c>
      <c r="G420" s="66" t="n">
        <f aca="false">IFERROR(INDEX('Master Data'!$G$2:$G$2436,MATCH($B$3&amp;"|"&amp;D420&amp;"|"&amp;B420&amp;"|"&amp;C420,'Master Data'!$A$2:$A$2436,0)),"")</f>
        <v>5</v>
      </c>
      <c r="H420" s="67" t="str">
        <f aca="false">IFERROR(INDEX('Master Data'!$K$2:$K$2436,MATCH($B$3&amp;"|"&amp;D420&amp;"|"&amp;B420&amp;"|"&amp;C420,'Master Data'!$A$2:$A$2436,0))&amp;"","")</f>
        <v/>
      </c>
      <c r="I420" s="67" t="s">
        <v>428</v>
      </c>
      <c r="J420" s="67" t="s">
        <v>134</v>
      </c>
      <c r="K420" s="68"/>
      <c r="L420" s="68"/>
      <c r="M420" s="68"/>
      <c r="N420" s="69"/>
      <c r="O420" s="68"/>
    </row>
    <row r="421" customFormat="false" ht="27.75" hidden="false" customHeight="true" outlineLevel="0" collapsed="false">
      <c r="A421" s="66" t="n">
        <v>330</v>
      </c>
      <c r="B421" s="67" t="s">
        <v>78</v>
      </c>
      <c r="C421" s="66" t="s">
        <v>117</v>
      </c>
      <c r="D421" s="66" t="n">
        <v>5</v>
      </c>
      <c r="E421" s="67" t="str">
        <f aca="false">IFERROR(INDEX('Master Data'!$L$2:$L$2436,MATCH($B$3&amp;"|"&amp;D421&amp;"|"&amp;B421&amp;"|"&amp;C421,'Master Data'!$A$2:$A$2436,0)),"")</f>
        <v>Slot kosong</v>
      </c>
      <c r="F421" s="67" t="str">
        <f aca="false">IFERROR(INDEX('Master Data'!$F$2:$F$2436,MATCH($B$3&amp;"|"&amp;D421&amp;"|"&amp;B421&amp;"|"&amp;C421,'Master Data'!$A$2:$A$2436,0))&amp;"","")</f>
        <v/>
      </c>
      <c r="G421" s="66" t="n">
        <f aca="false">IFERROR(INDEX('Master Data'!$G$2:$G$2436,MATCH($B$3&amp;"|"&amp;D421&amp;"|"&amp;B421&amp;"|"&amp;C421,'Master Data'!$A$2:$A$2436,0)),"")</f>
        <v>4</v>
      </c>
      <c r="H421" s="67" t="str">
        <f aca="false">IFERROR(INDEX('Master Data'!$K$2:$K$2436,MATCH($B$3&amp;"|"&amp;D421&amp;"|"&amp;B421&amp;"|"&amp;C421,'Master Data'!$A$2:$A$2436,0))&amp;"","")</f>
        <v/>
      </c>
      <c r="I421" s="67" t="s">
        <v>428</v>
      </c>
      <c r="J421" s="67" t="s">
        <v>134</v>
      </c>
      <c r="K421" s="68"/>
      <c r="L421" s="68"/>
      <c r="M421" s="68"/>
      <c r="N421" s="69"/>
      <c r="O421" s="68"/>
    </row>
    <row r="422" customFormat="false" ht="27.75" hidden="false" customHeight="true" outlineLevel="0" collapsed="false">
      <c r="A422" s="66" t="n">
        <v>331</v>
      </c>
      <c r="B422" s="67" t="s">
        <v>78</v>
      </c>
      <c r="C422" s="66" t="s">
        <v>103</v>
      </c>
      <c r="D422" s="66" t="n">
        <v>3</v>
      </c>
      <c r="E422" s="67" t="str">
        <f aca="false">IFERROR(INDEX('Master Data'!$L$2:$L$2436,MATCH($B$3&amp;"|"&amp;D422&amp;"|"&amp;B422&amp;"|"&amp;C422,'Master Data'!$A$2:$A$2436,0)),"")</f>
        <v>Belum terisi</v>
      </c>
      <c r="F422" s="67" t="str">
        <f aca="false">IFERROR(INDEX('Master Data'!$F$2:$F$2436,MATCH($B$3&amp;"|"&amp;D422&amp;"|"&amp;B422&amp;"|"&amp;C422,'Master Data'!$A$2:$A$2436,0))&amp;"","")</f>
        <v>Little</v>
      </c>
      <c r="G422" s="66" t="n">
        <f aca="false">IFERROR(INDEX('Master Data'!$G$2:$G$2436,MATCH($B$3&amp;"|"&amp;D422&amp;"|"&amp;B422&amp;"|"&amp;C422,'Master Data'!$A$2:$A$2436,0)),"")</f>
        <v>4</v>
      </c>
      <c r="H422" s="67" t="str">
        <f aca="false">IFERROR(INDEX('Master Data'!$K$2:$K$2436,MATCH($B$3&amp;"|"&amp;D422&amp;"|"&amp;B422&amp;"|"&amp;C422,'Master Data'!$A$2:$A$2436,0))&amp;"","")</f>
        <v/>
      </c>
      <c r="I422" s="67" t="s">
        <v>428</v>
      </c>
      <c r="J422" s="67" t="s">
        <v>134</v>
      </c>
      <c r="K422" s="68"/>
      <c r="L422" s="68"/>
      <c r="M422" s="68"/>
      <c r="N422" s="69"/>
      <c r="O422" s="68"/>
    </row>
    <row r="423" customFormat="false" ht="27.75" hidden="false" customHeight="true" outlineLevel="0" collapsed="false">
      <c r="A423" s="66" t="n">
        <v>332</v>
      </c>
      <c r="B423" s="67" t="s">
        <v>78</v>
      </c>
      <c r="C423" s="66" t="s">
        <v>118</v>
      </c>
      <c r="D423" s="66" t="n">
        <v>1</v>
      </c>
      <c r="E423" s="67" t="str">
        <f aca="false">IFERROR(INDEX('Master Data'!$L$2:$L$2436,MATCH($B$3&amp;"|"&amp;D423&amp;"|"&amp;B423&amp;"|"&amp;C423,'Master Data'!$A$2:$A$2436,0)),"")</f>
        <v>Belum terisi</v>
      </c>
      <c r="F423" s="67" t="str">
        <f aca="false">IFERROR(INDEX('Master Data'!$F$2:$F$2436,MATCH($B$3&amp;"|"&amp;D423&amp;"|"&amp;B423&amp;"|"&amp;C423,'Master Data'!$A$2:$A$2436,0))&amp;"","")</f>
        <v>Baby</v>
      </c>
      <c r="G423" s="66" t="n">
        <f aca="false">IFERROR(INDEX('Master Data'!$G$2:$G$2436,MATCH($B$3&amp;"|"&amp;D423&amp;"|"&amp;B423&amp;"|"&amp;C423,'Master Data'!$A$2:$A$2436,0)),"")</f>
        <v>5</v>
      </c>
      <c r="H423" s="67" t="str">
        <f aca="false">IFERROR(INDEX('Master Data'!$K$2:$K$2436,MATCH($B$3&amp;"|"&amp;D423&amp;"|"&amp;B423&amp;"|"&amp;C423,'Master Data'!$A$2:$A$2436,0))&amp;"","")</f>
        <v/>
      </c>
      <c r="I423" s="67" t="s">
        <v>430</v>
      </c>
      <c r="J423" s="67" t="s">
        <v>134</v>
      </c>
      <c r="K423" s="68"/>
      <c r="L423" s="68"/>
      <c r="M423" s="68"/>
      <c r="N423" s="69"/>
      <c r="O423" s="68"/>
    </row>
    <row r="424" customFormat="false" ht="27.75" hidden="false" customHeight="true" outlineLevel="0" collapsed="false">
      <c r="A424" s="66" t="n">
        <v>333</v>
      </c>
      <c r="B424" s="67" t="s">
        <v>78</v>
      </c>
      <c r="C424" s="66" t="s">
        <v>118</v>
      </c>
      <c r="D424" s="66" t="n">
        <v>2</v>
      </c>
      <c r="E424" s="67" t="str">
        <f aca="false">IFERROR(INDEX('Master Data'!$L$2:$L$2436,MATCH($B$3&amp;"|"&amp;D424&amp;"|"&amp;B424&amp;"|"&amp;C424,'Master Data'!$A$2:$A$2436,0)),"")</f>
        <v>Belum terisi</v>
      </c>
      <c r="F424" s="67" t="str">
        <f aca="false">IFERROR(INDEX('Master Data'!$F$2:$F$2436,MATCH($B$3&amp;"|"&amp;D424&amp;"|"&amp;B424&amp;"|"&amp;C424,'Master Data'!$A$2:$A$2436,0))&amp;"","")</f>
        <v>Tiny</v>
      </c>
      <c r="G424" s="66" t="n">
        <f aca="false">IFERROR(INDEX('Master Data'!$G$2:$G$2436,MATCH($B$3&amp;"|"&amp;D424&amp;"|"&amp;B424&amp;"|"&amp;C424,'Master Data'!$A$2:$A$2436,0)),"")</f>
        <v>5</v>
      </c>
      <c r="H424" s="67" t="str">
        <f aca="false">IFERROR(INDEX('Master Data'!$K$2:$K$2436,MATCH($B$3&amp;"|"&amp;D424&amp;"|"&amp;B424&amp;"|"&amp;C424,'Master Data'!$A$2:$A$2436,0))&amp;"","")</f>
        <v/>
      </c>
      <c r="I424" s="67" t="s">
        <v>430</v>
      </c>
      <c r="J424" s="67" t="s">
        <v>134</v>
      </c>
      <c r="K424" s="68"/>
      <c r="L424" s="68"/>
      <c r="M424" s="68"/>
      <c r="N424" s="69"/>
      <c r="O424" s="68"/>
    </row>
    <row r="425" customFormat="false" ht="27.75" hidden="false" customHeight="true" outlineLevel="0" collapsed="false">
      <c r="A425" s="66" t="n">
        <v>334</v>
      </c>
      <c r="B425" s="67" t="s">
        <v>78</v>
      </c>
      <c r="C425" s="66" t="s">
        <v>118</v>
      </c>
      <c r="D425" s="66" t="n">
        <v>5</v>
      </c>
      <c r="E425" s="67" t="str">
        <f aca="false">IFERROR(INDEX('Master Data'!$L$2:$L$2436,MATCH($B$3&amp;"|"&amp;D425&amp;"|"&amp;B425&amp;"|"&amp;C425,'Master Data'!$A$2:$A$2436,0)),"")</f>
        <v>Slot kosong</v>
      </c>
      <c r="F425" s="67" t="str">
        <f aca="false">IFERROR(INDEX('Master Data'!$F$2:$F$2436,MATCH($B$3&amp;"|"&amp;D425&amp;"|"&amp;B425&amp;"|"&amp;C425,'Master Data'!$A$2:$A$2436,0))&amp;"","")</f>
        <v/>
      </c>
      <c r="G425" s="66" t="n">
        <f aca="false">IFERROR(INDEX('Master Data'!$G$2:$G$2436,MATCH($B$3&amp;"|"&amp;D425&amp;"|"&amp;B425&amp;"|"&amp;C425,'Master Data'!$A$2:$A$2436,0)),"")</f>
        <v>4</v>
      </c>
      <c r="H425" s="67" t="str">
        <f aca="false">IFERROR(INDEX('Master Data'!$K$2:$K$2436,MATCH($B$3&amp;"|"&amp;D425&amp;"|"&amp;B425&amp;"|"&amp;C425,'Master Data'!$A$2:$A$2436,0))&amp;"","")</f>
        <v/>
      </c>
      <c r="I425" s="67" t="s">
        <v>430</v>
      </c>
      <c r="J425" s="67" t="s">
        <v>134</v>
      </c>
      <c r="K425" s="68"/>
      <c r="L425" s="68"/>
      <c r="M425" s="68"/>
      <c r="N425" s="69"/>
      <c r="O425" s="68"/>
    </row>
    <row r="426" customFormat="false" ht="40.5" hidden="false" customHeight="true" outlineLevel="0" collapsed="false">
      <c r="A426" s="66" t="n">
        <v>335</v>
      </c>
      <c r="B426" s="67" t="s">
        <v>78</v>
      </c>
      <c r="C426" s="66" t="s">
        <v>104</v>
      </c>
      <c r="D426" s="66" t="n">
        <v>4</v>
      </c>
      <c r="E426" s="67" t="str">
        <f aca="false">IFERROR(INDEX('Master Data'!$L$2:$L$2436,MATCH($B$3&amp;"|"&amp;D426&amp;"|"&amp;B426&amp;"|"&amp;C426,'Master Data'!$A$2:$A$2436,0)),"")</f>
        <v>Belum terisi</v>
      </c>
      <c r="F426" s="67" t="str">
        <f aca="false">IFERROR(INDEX('Master Data'!$F$2:$F$2436,MATCH($B$3&amp;"|"&amp;D426&amp;"|"&amp;B426&amp;"|"&amp;C426,'Master Data'!$A$2:$A$2436,0))&amp;"","")</f>
        <v>Kids</v>
      </c>
      <c r="G426" s="66" t="n">
        <f aca="false">IFERROR(INDEX('Master Data'!$G$2:$G$2436,MATCH($B$3&amp;"|"&amp;D426&amp;"|"&amp;B426&amp;"|"&amp;C426,'Master Data'!$A$2:$A$2436,0)),"")</f>
        <v>4</v>
      </c>
      <c r="H426" s="67" t="str">
        <f aca="false">IFERROR(INDEX('Master Data'!$K$2:$K$2436,MATCH($B$3&amp;"|"&amp;D426&amp;"|"&amp;B426&amp;"|"&amp;C426,'Master Data'!$A$2:$A$2436,0))&amp;"","")</f>
        <v/>
      </c>
      <c r="I426" s="67" t="s">
        <v>431</v>
      </c>
      <c r="J426" s="67" t="s">
        <v>134</v>
      </c>
      <c r="K426" s="68"/>
      <c r="L426" s="68"/>
      <c r="M426" s="68"/>
      <c r="N426" s="69"/>
      <c r="O426" s="68"/>
    </row>
    <row r="427" customFormat="false" ht="15.75" hidden="false" customHeight="true" outlineLevel="0" collapsed="false">
      <c r="A427" s="66" t="n">
        <v>336</v>
      </c>
      <c r="B427" s="67" t="s">
        <v>78</v>
      </c>
      <c r="C427" s="66" t="s">
        <v>119</v>
      </c>
      <c r="D427" s="66" t="n">
        <v>1</v>
      </c>
      <c r="E427" s="67" t="str">
        <f aca="false">IFERROR(INDEX('Master Data'!$L$2:$L$2436,MATCH($B$3&amp;"|"&amp;D427&amp;"|"&amp;B427&amp;"|"&amp;C427,'Master Data'!$A$2:$A$2436,0)),"")</f>
        <v>Belum terisi</v>
      </c>
      <c r="F427" s="67" t="str">
        <f aca="false">IFERROR(INDEX('Master Data'!$F$2:$F$2436,MATCH($B$3&amp;"|"&amp;D427&amp;"|"&amp;B427&amp;"|"&amp;C427,'Master Data'!$A$2:$A$2436,0))&amp;"","")</f>
        <v>Baby</v>
      </c>
      <c r="G427" s="66" t="n">
        <f aca="false">IFERROR(INDEX('Master Data'!$G$2:$G$2436,MATCH($B$3&amp;"|"&amp;D427&amp;"|"&amp;B427&amp;"|"&amp;C427,'Master Data'!$A$2:$A$2436,0)),"")</f>
        <v>5</v>
      </c>
      <c r="H427" s="67" t="str">
        <f aca="false">IFERROR(INDEX('Master Data'!$K$2:$K$2436,MATCH($B$3&amp;"|"&amp;D427&amp;"|"&amp;B427&amp;"|"&amp;C427,'Master Data'!$A$2:$A$2436,0))&amp;"","")</f>
        <v/>
      </c>
      <c r="I427" s="67" t="s">
        <v>408</v>
      </c>
      <c r="J427" s="67" t="s">
        <v>134</v>
      </c>
      <c r="K427" s="68"/>
      <c r="L427" s="68"/>
      <c r="M427" s="68"/>
      <c r="N427" s="69"/>
      <c r="O427" s="68"/>
    </row>
    <row r="428" customFormat="false" ht="15.75" hidden="false" customHeight="true" outlineLevel="0" collapsed="false">
      <c r="A428" s="66" t="n">
        <v>337</v>
      </c>
      <c r="B428" s="67" t="s">
        <v>78</v>
      </c>
      <c r="C428" s="66" t="s">
        <v>119</v>
      </c>
      <c r="D428" s="66" t="n">
        <v>2</v>
      </c>
      <c r="E428" s="67" t="str">
        <f aca="false">IFERROR(INDEX('Master Data'!$L$2:$L$2436,MATCH($B$3&amp;"|"&amp;D428&amp;"|"&amp;B428&amp;"|"&amp;C428,'Master Data'!$A$2:$A$2436,0)),"")</f>
        <v>Belum terisi</v>
      </c>
      <c r="F428" s="67" t="str">
        <f aca="false">IFERROR(INDEX('Master Data'!$F$2:$F$2436,MATCH($B$3&amp;"|"&amp;D428&amp;"|"&amp;B428&amp;"|"&amp;C428,'Master Data'!$A$2:$A$2436,0))&amp;"","")</f>
        <v>Tiny</v>
      </c>
      <c r="G428" s="66" t="n">
        <f aca="false">IFERROR(INDEX('Master Data'!$G$2:$G$2436,MATCH($B$3&amp;"|"&amp;D428&amp;"|"&amp;B428&amp;"|"&amp;C428,'Master Data'!$A$2:$A$2436,0)),"")</f>
        <v>5</v>
      </c>
      <c r="H428" s="67" t="str">
        <f aca="false">IFERROR(INDEX('Master Data'!$K$2:$K$2436,MATCH($B$3&amp;"|"&amp;D428&amp;"|"&amp;B428&amp;"|"&amp;C428,'Master Data'!$A$2:$A$2436,0))&amp;"","")</f>
        <v/>
      </c>
      <c r="I428" s="67" t="s">
        <v>408</v>
      </c>
      <c r="J428" s="67" t="s">
        <v>134</v>
      </c>
      <c r="K428" s="68"/>
      <c r="L428" s="68"/>
      <c r="M428" s="68"/>
      <c r="N428" s="69"/>
      <c r="O428" s="68"/>
    </row>
    <row r="429" customFormat="false" ht="15.75" hidden="false" customHeight="true" outlineLevel="0" collapsed="false">
      <c r="A429" s="66" t="n">
        <v>338</v>
      </c>
      <c r="B429" s="67" t="s">
        <v>78</v>
      </c>
      <c r="C429" s="66" t="s">
        <v>119</v>
      </c>
      <c r="D429" s="66" t="n">
        <v>5</v>
      </c>
      <c r="E429" s="67" t="str">
        <f aca="false">IFERROR(INDEX('Master Data'!$L$2:$L$2436,MATCH($B$3&amp;"|"&amp;D429&amp;"|"&amp;B429&amp;"|"&amp;C429,'Master Data'!$A$2:$A$2436,0)),"")</f>
        <v>Slot kosong</v>
      </c>
      <c r="F429" s="67" t="str">
        <f aca="false">IFERROR(INDEX('Master Data'!$F$2:$F$2436,MATCH($B$3&amp;"|"&amp;D429&amp;"|"&amp;B429&amp;"|"&amp;C429,'Master Data'!$A$2:$A$2436,0))&amp;"","")</f>
        <v/>
      </c>
      <c r="G429" s="66" t="n">
        <f aca="false">IFERROR(INDEX('Master Data'!$G$2:$G$2436,MATCH($B$3&amp;"|"&amp;D429&amp;"|"&amp;B429&amp;"|"&amp;C429,'Master Data'!$A$2:$A$2436,0)),"")</f>
        <v>4</v>
      </c>
      <c r="H429" s="67" t="str">
        <f aca="false">IFERROR(INDEX('Master Data'!$K$2:$K$2436,MATCH($B$3&amp;"|"&amp;D429&amp;"|"&amp;B429&amp;"|"&amp;C429,'Master Data'!$A$2:$A$2436,0))&amp;"","")</f>
        <v/>
      </c>
      <c r="I429" s="67" t="s">
        <v>408</v>
      </c>
      <c r="J429" s="67" t="s">
        <v>134</v>
      </c>
      <c r="K429" s="68"/>
      <c r="L429" s="68"/>
      <c r="M429" s="68"/>
      <c r="N429" s="69"/>
      <c r="O429" s="68"/>
    </row>
    <row r="430" customFormat="false" ht="15.75" hidden="false" customHeight="true" outlineLevel="0" collapsed="false">
      <c r="A430" s="66" t="n">
        <v>339</v>
      </c>
      <c r="B430" s="67" t="s">
        <v>78</v>
      </c>
      <c r="C430" s="66" t="s">
        <v>120</v>
      </c>
      <c r="D430" s="66" t="n">
        <v>1</v>
      </c>
      <c r="E430" s="67" t="str">
        <f aca="false">IFERROR(INDEX('Master Data'!$L$2:$L$2436,MATCH($B$3&amp;"|"&amp;D430&amp;"|"&amp;B430&amp;"|"&amp;C430,'Master Data'!$A$2:$A$2436,0)),"")</f>
        <v>Belum terisi</v>
      </c>
      <c r="F430" s="67" t="str">
        <f aca="false">IFERROR(INDEX('Master Data'!$F$2:$F$2436,MATCH($B$3&amp;"|"&amp;D430&amp;"|"&amp;B430&amp;"|"&amp;C430,'Master Data'!$A$2:$A$2436,0))&amp;"","")</f>
        <v>Baby</v>
      </c>
      <c r="G430" s="66" t="n">
        <f aca="false">IFERROR(INDEX('Master Data'!$G$2:$G$2436,MATCH($B$3&amp;"|"&amp;D430&amp;"|"&amp;B430&amp;"|"&amp;C430,'Master Data'!$A$2:$A$2436,0)),"")</f>
        <v>5</v>
      </c>
      <c r="H430" s="67" t="str">
        <f aca="false">IFERROR(INDEX('Master Data'!$K$2:$K$2436,MATCH($B$3&amp;"|"&amp;D430&amp;"|"&amp;B430&amp;"|"&amp;C430,'Master Data'!$A$2:$A$2436,0))&amp;"","")</f>
        <v/>
      </c>
      <c r="I430" s="67" t="s">
        <v>394</v>
      </c>
      <c r="J430" s="67" t="s">
        <v>134</v>
      </c>
      <c r="K430" s="68"/>
      <c r="L430" s="68"/>
      <c r="M430" s="68"/>
      <c r="N430" s="69"/>
      <c r="O430" s="68"/>
    </row>
    <row r="431" customFormat="false" ht="15.75" hidden="false" customHeight="true" outlineLevel="0" collapsed="false">
      <c r="A431" s="66" t="n">
        <v>340</v>
      </c>
      <c r="B431" s="67" t="s">
        <v>78</v>
      </c>
      <c r="C431" s="66" t="s">
        <v>120</v>
      </c>
      <c r="D431" s="66" t="n">
        <v>5</v>
      </c>
      <c r="E431" s="67" t="str">
        <f aca="false">IFERROR(INDEX('Master Data'!$L$2:$L$2436,MATCH($B$3&amp;"|"&amp;D431&amp;"|"&amp;B431&amp;"|"&amp;C431,'Master Data'!$A$2:$A$2436,0)),"")</f>
        <v>Slot kosong</v>
      </c>
      <c r="F431" s="67" t="str">
        <f aca="false">IFERROR(INDEX('Master Data'!$F$2:$F$2436,MATCH($B$3&amp;"|"&amp;D431&amp;"|"&amp;B431&amp;"|"&amp;C431,'Master Data'!$A$2:$A$2436,0))&amp;"","")</f>
        <v/>
      </c>
      <c r="G431" s="66" t="n">
        <f aca="false">IFERROR(INDEX('Master Data'!$G$2:$G$2436,MATCH($B$3&amp;"|"&amp;D431&amp;"|"&amp;B431&amp;"|"&amp;C431,'Master Data'!$A$2:$A$2436,0)),"")</f>
        <v>4</v>
      </c>
      <c r="H431" s="67" t="str">
        <f aca="false">IFERROR(INDEX('Master Data'!$K$2:$K$2436,MATCH($B$3&amp;"|"&amp;D431&amp;"|"&amp;B431&amp;"|"&amp;C431,'Master Data'!$A$2:$A$2436,0))&amp;"","")</f>
        <v/>
      </c>
      <c r="I431" s="67" t="s">
        <v>394</v>
      </c>
      <c r="J431" s="67" t="s">
        <v>134</v>
      </c>
      <c r="K431" s="68"/>
      <c r="L431" s="68"/>
      <c r="M431" s="68"/>
      <c r="N431" s="69"/>
      <c r="O431" s="68"/>
    </row>
    <row r="432" customFormat="false" ht="40.5" hidden="false" customHeight="true" outlineLevel="0" collapsed="false">
      <c r="A432" s="66" t="n">
        <v>341</v>
      </c>
      <c r="B432" s="67" t="s">
        <v>78</v>
      </c>
      <c r="C432" s="66" t="s">
        <v>106</v>
      </c>
      <c r="D432" s="66" t="n">
        <v>3</v>
      </c>
      <c r="E432" s="67" t="str">
        <f aca="false">IFERROR(INDEX('Master Data'!$L$2:$L$2436,MATCH($B$3&amp;"|"&amp;D432&amp;"|"&amp;B432&amp;"|"&amp;C432,'Master Data'!$A$2:$A$2436,0)),"")</f>
        <v>Belum terisi</v>
      </c>
      <c r="F432" s="67" t="str">
        <f aca="false">IFERROR(INDEX('Master Data'!$F$2:$F$2436,MATCH($B$3&amp;"|"&amp;D432&amp;"|"&amp;B432&amp;"|"&amp;C432,'Master Data'!$A$2:$A$2436,0))&amp;"","")</f>
        <v>Little</v>
      </c>
      <c r="G432" s="66" t="n">
        <f aca="false">IFERROR(INDEX('Master Data'!$G$2:$G$2436,MATCH($B$3&amp;"|"&amp;D432&amp;"|"&amp;B432&amp;"|"&amp;C432,'Master Data'!$A$2:$A$2436,0)),"")</f>
        <v>4</v>
      </c>
      <c r="H432" s="67" t="str">
        <f aca="false">IFERROR(INDEX('Master Data'!$K$2:$K$2436,MATCH($B$3&amp;"|"&amp;D432&amp;"|"&amp;B432&amp;"|"&amp;C432,'Master Data'!$A$2:$A$2436,0))&amp;"","")</f>
        <v/>
      </c>
      <c r="I432" s="67" t="s">
        <v>432</v>
      </c>
      <c r="J432" s="67" t="s">
        <v>134</v>
      </c>
      <c r="K432" s="68"/>
      <c r="L432" s="68"/>
      <c r="M432" s="68"/>
      <c r="N432" s="69"/>
      <c r="O432" s="68"/>
    </row>
    <row r="433" customFormat="false" ht="40.5" hidden="false" customHeight="true" outlineLevel="0" collapsed="false">
      <c r="A433" s="66" t="n">
        <v>342</v>
      </c>
      <c r="B433" s="67" t="s">
        <v>78</v>
      </c>
      <c r="C433" s="66" t="s">
        <v>106</v>
      </c>
      <c r="D433" s="66" t="n">
        <v>4</v>
      </c>
      <c r="E433" s="67" t="str">
        <f aca="false">IFERROR(INDEX('Master Data'!$L$2:$L$2436,MATCH($B$3&amp;"|"&amp;D433&amp;"|"&amp;B433&amp;"|"&amp;C433,'Master Data'!$A$2:$A$2436,0)),"")</f>
        <v>Belum terisi</v>
      </c>
      <c r="F433" s="67" t="str">
        <f aca="false">IFERROR(INDEX('Master Data'!$F$2:$F$2436,MATCH($B$3&amp;"|"&amp;D433&amp;"|"&amp;B433&amp;"|"&amp;C433,'Master Data'!$A$2:$A$2436,0))&amp;"","")</f>
        <v>Kids</v>
      </c>
      <c r="G433" s="66" t="n">
        <f aca="false">IFERROR(INDEX('Master Data'!$G$2:$G$2436,MATCH($B$3&amp;"|"&amp;D433&amp;"|"&amp;B433&amp;"|"&amp;C433,'Master Data'!$A$2:$A$2436,0)),"")</f>
        <v>4</v>
      </c>
      <c r="H433" s="67" t="str">
        <f aca="false">IFERROR(INDEX('Master Data'!$K$2:$K$2436,MATCH($B$3&amp;"|"&amp;D433&amp;"|"&amp;B433&amp;"|"&amp;C433,'Master Data'!$A$2:$A$2436,0))&amp;"","")</f>
        <v/>
      </c>
      <c r="I433" s="67" t="s">
        <v>432</v>
      </c>
      <c r="J433" s="67" t="s">
        <v>134</v>
      </c>
      <c r="K433" s="68"/>
      <c r="L433" s="68"/>
      <c r="M433" s="68"/>
      <c r="N433" s="69"/>
      <c r="O433" s="68"/>
    </row>
    <row r="434" customFormat="false" ht="40.5" hidden="false" customHeight="true" outlineLevel="0" collapsed="false">
      <c r="A434" s="66" t="n">
        <v>343</v>
      </c>
      <c r="B434" s="67" t="s">
        <v>78</v>
      </c>
      <c r="C434" s="66" t="s">
        <v>121</v>
      </c>
      <c r="D434" s="66" t="n">
        <v>1</v>
      </c>
      <c r="E434" s="67" t="str">
        <f aca="false">IFERROR(INDEX('Master Data'!$L$2:$L$2436,MATCH($B$3&amp;"|"&amp;D434&amp;"|"&amp;B434&amp;"|"&amp;C434,'Master Data'!$A$2:$A$2436,0)),"")</f>
        <v>Belum terisi</v>
      </c>
      <c r="F434" s="67" t="str">
        <f aca="false">IFERROR(INDEX('Master Data'!$F$2:$F$2436,MATCH($B$3&amp;"|"&amp;D434&amp;"|"&amp;B434&amp;"|"&amp;C434,'Master Data'!$A$2:$A$2436,0))&amp;"","")</f>
        <v>Baby</v>
      </c>
      <c r="G434" s="66" t="n">
        <f aca="false">IFERROR(INDEX('Master Data'!$G$2:$G$2436,MATCH($B$3&amp;"|"&amp;D434&amp;"|"&amp;B434&amp;"|"&amp;C434,'Master Data'!$A$2:$A$2436,0)),"")</f>
        <v>5</v>
      </c>
      <c r="H434" s="67" t="str">
        <f aca="false">IFERROR(INDEX('Master Data'!$K$2:$K$2436,MATCH($B$3&amp;"|"&amp;D434&amp;"|"&amp;B434&amp;"|"&amp;C434,'Master Data'!$A$2:$A$2436,0))&amp;"","")</f>
        <v/>
      </c>
      <c r="I434" s="67" t="s">
        <v>427</v>
      </c>
      <c r="J434" s="67" t="s">
        <v>134</v>
      </c>
      <c r="K434" s="68"/>
      <c r="L434" s="68"/>
      <c r="M434" s="68"/>
      <c r="N434" s="69"/>
      <c r="O434" s="68"/>
    </row>
    <row r="435" customFormat="false" ht="40.5" hidden="false" customHeight="true" outlineLevel="0" collapsed="false">
      <c r="A435" s="66" t="n">
        <v>344</v>
      </c>
      <c r="B435" s="67" t="s">
        <v>78</v>
      </c>
      <c r="C435" s="66" t="s">
        <v>121</v>
      </c>
      <c r="D435" s="66" t="n">
        <v>2</v>
      </c>
      <c r="E435" s="67" t="str">
        <f aca="false">IFERROR(INDEX('Master Data'!$L$2:$L$2436,MATCH($B$3&amp;"|"&amp;D435&amp;"|"&amp;B435&amp;"|"&amp;C435,'Master Data'!$A$2:$A$2436,0)),"")</f>
        <v>Belum terisi</v>
      </c>
      <c r="F435" s="67" t="str">
        <f aca="false">IFERROR(INDEX('Master Data'!$F$2:$F$2436,MATCH($B$3&amp;"|"&amp;D435&amp;"|"&amp;B435&amp;"|"&amp;C435,'Master Data'!$A$2:$A$2436,0))&amp;"","")</f>
        <v>Tiny</v>
      </c>
      <c r="G435" s="66" t="n">
        <f aca="false">IFERROR(INDEX('Master Data'!$G$2:$G$2436,MATCH($B$3&amp;"|"&amp;D435&amp;"|"&amp;B435&amp;"|"&amp;C435,'Master Data'!$A$2:$A$2436,0)),"")</f>
        <v>5</v>
      </c>
      <c r="H435" s="67" t="str">
        <f aca="false">IFERROR(INDEX('Master Data'!$K$2:$K$2436,MATCH($B$3&amp;"|"&amp;D435&amp;"|"&amp;B435&amp;"|"&amp;C435,'Master Data'!$A$2:$A$2436,0))&amp;"","")</f>
        <v/>
      </c>
      <c r="I435" s="67" t="s">
        <v>427</v>
      </c>
      <c r="J435" s="67" t="s">
        <v>134</v>
      </c>
      <c r="K435" s="68"/>
      <c r="L435" s="68"/>
      <c r="M435" s="68"/>
      <c r="N435" s="69"/>
      <c r="O435" s="68"/>
    </row>
    <row r="436" customFormat="false" ht="40.5" hidden="false" customHeight="true" outlineLevel="0" collapsed="false">
      <c r="A436" s="66" t="n">
        <v>345</v>
      </c>
      <c r="B436" s="67" t="s">
        <v>78</v>
      </c>
      <c r="C436" s="66" t="s">
        <v>121</v>
      </c>
      <c r="D436" s="66" t="n">
        <v>5</v>
      </c>
      <c r="E436" s="67" t="str">
        <f aca="false">IFERROR(INDEX('Master Data'!$L$2:$L$2436,MATCH($B$3&amp;"|"&amp;D436&amp;"|"&amp;B436&amp;"|"&amp;C436,'Master Data'!$A$2:$A$2436,0)),"")</f>
        <v>Slot kosong</v>
      </c>
      <c r="F436" s="67" t="str">
        <f aca="false">IFERROR(INDEX('Master Data'!$F$2:$F$2436,MATCH($B$3&amp;"|"&amp;D436&amp;"|"&amp;B436&amp;"|"&amp;C436,'Master Data'!$A$2:$A$2436,0))&amp;"","")</f>
        <v/>
      </c>
      <c r="G436" s="66" t="n">
        <f aca="false">IFERROR(INDEX('Master Data'!$G$2:$G$2436,MATCH($B$3&amp;"|"&amp;D436&amp;"|"&amp;B436&amp;"|"&amp;C436,'Master Data'!$A$2:$A$2436,0)),"")</f>
        <v>4</v>
      </c>
      <c r="H436" s="67" t="str">
        <f aca="false">IFERROR(INDEX('Master Data'!$K$2:$K$2436,MATCH($B$3&amp;"|"&amp;D436&amp;"|"&amp;B436&amp;"|"&amp;C436,'Master Data'!$A$2:$A$2436,0))&amp;"","")</f>
        <v/>
      </c>
      <c r="I436" s="67" t="s">
        <v>427</v>
      </c>
      <c r="J436" s="67" t="s">
        <v>134</v>
      </c>
      <c r="K436" s="68"/>
      <c r="L436" s="68"/>
      <c r="M436" s="68"/>
      <c r="N436" s="69"/>
      <c r="O436" s="68"/>
    </row>
    <row r="437" customFormat="false" ht="40.5" hidden="false" customHeight="true" outlineLevel="0" collapsed="false">
      <c r="A437" s="66" t="n">
        <v>346</v>
      </c>
      <c r="B437" s="67" t="s">
        <v>78</v>
      </c>
      <c r="C437" s="66" t="s">
        <v>107</v>
      </c>
      <c r="D437" s="66" t="n">
        <v>3</v>
      </c>
      <c r="E437" s="67" t="str">
        <f aca="false">IFERROR(INDEX('Master Data'!$L$2:$L$2436,MATCH($B$3&amp;"|"&amp;D437&amp;"|"&amp;B437&amp;"|"&amp;C437,'Master Data'!$A$2:$A$2436,0)),"")</f>
        <v>Belum terisi</v>
      </c>
      <c r="F437" s="67" t="str">
        <f aca="false">IFERROR(INDEX('Master Data'!$F$2:$F$2436,MATCH($B$3&amp;"|"&amp;D437&amp;"|"&amp;B437&amp;"|"&amp;C437,'Master Data'!$A$2:$A$2436,0))&amp;"","")</f>
        <v>Little</v>
      </c>
      <c r="G437" s="66" t="n">
        <f aca="false">IFERROR(INDEX('Master Data'!$G$2:$G$2436,MATCH($B$3&amp;"|"&amp;D437&amp;"|"&amp;B437&amp;"|"&amp;C437,'Master Data'!$A$2:$A$2436,0)),"")</f>
        <v>4</v>
      </c>
      <c r="H437" s="67" t="str">
        <f aca="false">IFERROR(INDEX('Master Data'!$K$2:$K$2436,MATCH($B$3&amp;"|"&amp;D437&amp;"|"&amp;B437&amp;"|"&amp;C437,'Master Data'!$A$2:$A$2436,0))&amp;"","")</f>
        <v/>
      </c>
      <c r="I437" s="67" t="s">
        <v>427</v>
      </c>
      <c r="J437" s="67" t="s">
        <v>134</v>
      </c>
      <c r="K437" s="68"/>
      <c r="L437" s="68"/>
      <c r="M437" s="68"/>
      <c r="N437" s="69"/>
      <c r="O437" s="68"/>
    </row>
    <row r="438" customFormat="false" ht="40.5" hidden="false" customHeight="true" outlineLevel="0" collapsed="false">
      <c r="A438" s="66" t="n">
        <v>347</v>
      </c>
      <c r="B438" s="67" t="s">
        <v>78</v>
      </c>
      <c r="C438" s="66" t="s">
        <v>107</v>
      </c>
      <c r="D438" s="66" t="n">
        <v>4</v>
      </c>
      <c r="E438" s="67" t="str">
        <f aca="false">IFERROR(INDEX('Master Data'!$L$2:$L$2436,MATCH($B$3&amp;"|"&amp;D438&amp;"|"&amp;B438&amp;"|"&amp;C438,'Master Data'!$A$2:$A$2436,0)),"")</f>
        <v>Belum terisi</v>
      </c>
      <c r="F438" s="67" t="str">
        <f aca="false">IFERROR(INDEX('Master Data'!$F$2:$F$2436,MATCH($B$3&amp;"|"&amp;D438&amp;"|"&amp;B438&amp;"|"&amp;C438,'Master Data'!$A$2:$A$2436,0))&amp;"","")</f>
        <v>Kids</v>
      </c>
      <c r="G438" s="66" t="n">
        <f aca="false">IFERROR(INDEX('Master Data'!$G$2:$G$2436,MATCH($B$3&amp;"|"&amp;D438&amp;"|"&amp;B438&amp;"|"&amp;C438,'Master Data'!$A$2:$A$2436,0)),"")</f>
        <v>4</v>
      </c>
      <c r="H438" s="67" t="str">
        <f aca="false">IFERROR(INDEX('Master Data'!$K$2:$K$2436,MATCH($B$3&amp;"|"&amp;D438&amp;"|"&amp;B438&amp;"|"&amp;C438,'Master Data'!$A$2:$A$2436,0))&amp;"","")</f>
        <v/>
      </c>
      <c r="I438" s="67" t="s">
        <v>427</v>
      </c>
      <c r="J438" s="67" t="s">
        <v>134</v>
      </c>
      <c r="K438" s="68"/>
      <c r="L438" s="68"/>
      <c r="M438" s="68"/>
      <c r="N438" s="69"/>
      <c r="O438" s="68"/>
    </row>
    <row r="441" customFormat="false" ht="16.15" hidden="false" customHeight="false" outlineLevel="0" collapsed="false">
      <c r="A441" s="54" t="s">
        <v>188</v>
      </c>
      <c r="B441" s="55"/>
      <c r="C441" s="55"/>
      <c r="D441" s="55"/>
      <c r="E441" s="55"/>
      <c r="F441" s="55"/>
      <c r="G441" s="55"/>
      <c r="H441" s="55"/>
      <c r="I441" s="55"/>
      <c r="J441" s="55"/>
      <c r="K441" s="55"/>
      <c r="L441" s="55"/>
      <c r="M441" s="55"/>
      <c r="N441" s="55"/>
    </row>
    <row r="442" customFormat="false" ht="15" hidden="false" customHeight="false" outlineLevel="0" collapsed="false">
      <c r="A442" s="52" t="s">
        <v>189</v>
      </c>
    </row>
    <row r="443" customFormat="false" ht="22.35" hidden="false" customHeight="false" outlineLevel="0" collapsed="false">
      <c r="A443" s="64" t="s">
        <v>126</v>
      </c>
      <c r="B443" s="64" t="s">
        <v>190</v>
      </c>
      <c r="C443" s="64" t="s">
        <v>191</v>
      </c>
      <c r="D443" s="64" t="s">
        <v>90</v>
      </c>
      <c r="E443" s="64" t="s">
        <v>91</v>
      </c>
      <c r="F443" s="64" t="s">
        <v>92</v>
      </c>
      <c r="G443" s="64" t="s">
        <v>93</v>
      </c>
      <c r="H443" s="64" t="s">
        <v>94</v>
      </c>
      <c r="I443" s="64" t="s">
        <v>95</v>
      </c>
      <c r="J443" s="64" t="s">
        <v>78</v>
      </c>
      <c r="K443" s="64" t="s">
        <v>192</v>
      </c>
      <c r="L443" s="64" t="s">
        <v>193</v>
      </c>
    </row>
    <row r="444" customFormat="false" ht="15" hidden="false" customHeight="false" outlineLevel="0" collapsed="false">
      <c r="A444" s="71" t="n">
        <v>1</v>
      </c>
      <c r="B444" s="72" t="s">
        <v>433</v>
      </c>
      <c r="C444" s="73" t="s">
        <v>134</v>
      </c>
      <c r="D444" s="74" t="n">
        <f aca="false">COUNTIFS('Master Data'!$B$2:$B$2436,$B$3,'Master Data'!$K$2:$K$2436,$B444,'Master Data'!$D$2:$D$2436,D$443)</f>
        <v>0</v>
      </c>
      <c r="E444" s="74" t="n">
        <f aca="false">COUNTIFS('Master Data'!$B$2:$B$2436,$B$3,'Master Data'!$K$2:$K$2436,$B444,'Master Data'!$D$2:$D$2436,E$443)</f>
        <v>0</v>
      </c>
      <c r="F444" s="74" t="n">
        <f aca="false">COUNTIFS('Master Data'!$B$2:$B$2436,$B$3,'Master Data'!$K$2:$K$2436,$B444,'Master Data'!$D$2:$D$2436,F$443)</f>
        <v>4</v>
      </c>
      <c r="G444" s="74" t="n">
        <f aca="false">COUNTIFS('Master Data'!$B$2:$B$2436,$B$3,'Master Data'!$K$2:$K$2436,$B444,'Master Data'!$D$2:$D$2436,G$443)</f>
        <v>3</v>
      </c>
      <c r="H444" s="74" t="n">
        <f aca="false">COUNTIFS('Master Data'!$B$2:$B$2436,$B$3,'Master Data'!$K$2:$K$2436,$B444,'Master Data'!$D$2:$D$2436,H$443)</f>
        <v>3</v>
      </c>
      <c r="I444" s="74" t="n">
        <f aca="false">COUNTIFS('Master Data'!$B$2:$B$2436,$B$3,'Master Data'!$K$2:$K$2436,$B444,'Master Data'!$D$2:$D$2436,I$443)</f>
        <v>5</v>
      </c>
      <c r="J444" s="74" t="n">
        <f aca="false">COUNTIFS('Master Data'!$B$2:$B$2436,$B$3,'Master Data'!$K$2:$K$2436,$B444,'Master Data'!$D$2:$D$2436,J$443)</f>
        <v>4</v>
      </c>
      <c r="K444" s="71" t="n">
        <f aca="false">SUM(D444:J444)</f>
        <v>19</v>
      </c>
      <c r="L444" s="71" t="s">
        <v>208</v>
      </c>
    </row>
    <row r="445" customFormat="false" ht="15" hidden="false" customHeight="false" outlineLevel="0" collapsed="false">
      <c r="A445" s="71" t="n">
        <v>2</v>
      </c>
      <c r="B445" s="72" t="s">
        <v>434</v>
      </c>
      <c r="C445" s="73" t="s">
        <v>134</v>
      </c>
      <c r="D445" s="74" t="n">
        <f aca="false">COUNTIFS('Master Data'!$B$2:$B$2436,$B$3,'Master Data'!$K$2:$K$2436,$B445,'Master Data'!$D$2:$D$2436,D$443)</f>
        <v>2</v>
      </c>
      <c r="E445" s="74" t="n">
        <f aca="false">COUNTIFS('Master Data'!$B$2:$B$2436,$B$3,'Master Data'!$K$2:$K$2436,$B445,'Master Data'!$D$2:$D$2436,E$443)</f>
        <v>0</v>
      </c>
      <c r="F445" s="74" t="n">
        <f aca="false">COUNTIFS('Master Data'!$B$2:$B$2436,$B$3,'Master Data'!$K$2:$K$2436,$B445,'Master Data'!$D$2:$D$2436,F$443)</f>
        <v>0</v>
      </c>
      <c r="G445" s="74" t="n">
        <f aca="false">COUNTIFS('Master Data'!$B$2:$B$2436,$B$3,'Master Data'!$K$2:$K$2436,$B445,'Master Data'!$D$2:$D$2436,G$443)</f>
        <v>4</v>
      </c>
      <c r="H445" s="74" t="n">
        <f aca="false">COUNTIFS('Master Data'!$B$2:$B$2436,$B$3,'Master Data'!$K$2:$K$2436,$B445,'Master Data'!$D$2:$D$2436,H$443)</f>
        <v>4</v>
      </c>
      <c r="I445" s="74" t="n">
        <f aca="false">COUNTIFS('Master Data'!$B$2:$B$2436,$B$3,'Master Data'!$K$2:$K$2436,$B445,'Master Data'!$D$2:$D$2436,I$443)</f>
        <v>3</v>
      </c>
      <c r="J445" s="74" t="n">
        <f aca="false">COUNTIFS('Master Data'!$B$2:$B$2436,$B$3,'Master Data'!$K$2:$K$2436,$B445,'Master Data'!$D$2:$D$2436,J$443)</f>
        <v>3</v>
      </c>
      <c r="K445" s="71" t="n">
        <f aca="false">SUM(D445:J445)</f>
        <v>16</v>
      </c>
      <c r="L445" s="71" t="s">
        <v>208</v>
      </c>
    </row>
    <row r="446" customFormat="false" ht="15" hidden="false" customHeight="false" outlineLevel="0" collapsed="false">
      <c r="A446" s="71" t="n">
        <v>3</v>
      </c>
      <c r="B446" s="72" t="s">
        <v>435</v>
      </c>
      <c r="C446" s="73" t="s">
        <v>203</v>
      </c>
      <c r="D446" s="74" t="n">
        <f aca="false">COUNTIFS('Master Data'!$B$2:$B$2436,$B$3,'Master Data'!$K$2:$K$2436,$B446,'Master Data'!$D$2:$D$2436,D$443)</f>
        <v>2</v>
      </c>
      <c r="E446" s="74" t="n">
        <f aca="false">COUNTIFS('Master Data'!$B$2:$B$2436,$B$3,'Master Data'!$K$2:$K$2436,$B446,'Master Data'!$D$2:$D$2436,E$443)</f>
        <v>2</v>
      </c>
      <c r="F446" s="74" t="n">
        <f aca="false">COUNTIFS('Master Data'!$B$2:$B$2436,$B$3,'Master Data'!$K$2:$K$2436,$B446,'Master Data'!$D$2:$D$2436,F$443)</f>
        <v>4</v>
      </c>
      <c r="G446" s="74" t="n">
        <f aca="false">COUNTIFS('Master Data'!$B$2:$B$2436,$B$3,'Master Data'!$K$2:$K$2436,$B446,'Master Data'!$D$2:$D$2436,G$443)</f>
        <v>0</v>
      </c>
      <c r="H446" s="74" t="n">
        <f aca="false">COUNTIFS('Master Data'!$B$2:$B$2436,$B$3,'Master Data'!$K$2:$K$2436,$B446,'Master Data'!$D$2:$D$2436,H$443)</f>
        <v>0</v>
      </c>
      <c r="I446" s="74" t="n">
        <f aca="false">COUNTIFS('Master Data'!$B$2:$B$2436,$B$3,'Master Data'!$K$2:$K$2436,$B446,'Master Data'!$D$2:$D$2436,I$443)</f>
        <v>3</v>
      </c>
      <c r="J446" s="74" t="n">
        <f aca="false">COUNTIFS('Master Data'!$B$2:$B$2436,$B$3,'Master Data'!$K$2:$K$2436,$B446,'Master Data'!$D$2:$D$2436,J$443)</f>
        <v>3</v>
      </c>
      <c r="K446" s="71" t="n">
        <f aca="false">SUM(D446:J446)</f>
        <v>14</v>
      </c>
      <c r="L446" s="71" t="s">
        <v>436</v>
      </c>
    </row>
    <row r="447" customFormat="false" ht="15" hidden="false" customHeight="false" outlineLevel="0" collapsed="false">
      <c r="A447" s="71" t="n">
        <v>4</v>
      </c>
      <c r="B447" s="72" t="s">
        <v>437</v>
      </c>
      <c r="C447" s="73" t="s">
        <v>134</v>
      </c>
      <c r="D447" s="74" t="n">
        <f aca="false">COUNTIFS('Master Data'!$B$2:$B$2436,$B$3,'Master Data'!$K$2:$K$2436,$B447,'Master Data'!$D$2:$D$2436,D$443)</f>
        <v>1</v>
      </c>
      <c r="E447" s="74" t="n">
        <f aca="false">COUNTIFS('Master Data'!$B$2:$B$2436,$B$3,'Master Data'!$K$2:$K$2436,$B447,'Master Data'!$D$2:$D$2436,E$443)</f>
        <v>2</v>
      </c>
      <c r="F447" s="74" t="n">
        <f aca="false">COUNTIFS('Master Data'!$B$2:$B$2436,$B$3,'Master Data'!$K$2:$K$2436,$B447,'Master Data'!$D$2:$D$2436,F$443)</f>
        <v>1</v>
      </c>
      <c r="G447" s="74" t="n">
        <f aca="false">COUNTIFS('Master Data'!$B$2:$B$2436,$B$3,'Master Data'!$K$2:$K$2436,$B447,'Master Data'!$D$2:$D$2436,G$443)</f>
        <v>0</v>
      </c>
      <c r="H447" s="74" t="n">
        <f aca="false">COUNTIFS('Master Data'!$B$2:$B$2436,$B$3,'Master Data'!$K$2:$K$2436,$B447,'Master Data'!$D$2:$D$2436,H$443)</f>
        <v>0</v>
      </c>
      <c r="I447" s="74" t="n">
        <f aca="false">COUNTIFS('Master Data'!$B$2:$B$2436,$B$3,'Master Data'!$K$2:$K$2436,$B447,'Master Data'!$D$2:$D$2436,I$443)</f>
        <v>2</v>
      </c>
      <c r="J447" s="74" t="n">
        <f aca="false">COUNTIFS('Master Data'!$B$2:$B$2436,$B$3,'Master Data'!$K$2:$K$2436,$B447,'Master Data'!$D$2:$D$2436,J$443)</f>
        <v>2</v>
      </c>
      <c r="K447" s="71" t="n">
        <f aca="false">SUM(D447:J447)</f>
        <v>8</v>
      </c>
      <c r="L447" s="71" t="s">
        <v>438</v>
      </c>
    </row>
    <row r="448" customFormat="false" ht="15" hidden="false" customHeight="false" outlineLevel="0" collapsed="false">
      <c r="A448" s="71" t="n">
        <v>5</v>
      </c>
      <c r="B448" s="72" t="s">
        <v>439</v>
      </c>
      <c r="C448" s="73" t="s">
        <v>203</v>
      </c>
      <c r="D448" s="74" t="n">
        <f aca="false">COUNTIFS('Master Data'!$B$2:$B$2436,$B$3,'Master Data'!$K$2:$K$2436,$B448,'Master Data'!$D$2:$D$2436,D$443)</f>
        <v>0</v>
      </c>
      <c r="E448" s="74" t="n">
        <f aca="false">COUNTIFS('Master Data'!$B$2:$B$2436,$B$3,'Master Data'!$K$2:$K$2436,$B448,'Master Data'!$D$2:$D$2436,E$443)</f>
        <v>0</v>
      </c>
      <c r="F448" s="74" t="n">
        <f aca="false">COUNTIFS('Master Data'!$B$2:$B$2436,$B$3,'Master Data'!$K$2:$K$2436,$B448,'Master Data'!$D$2:$D$2436,F$443)</f>
        <v>1</v>
      </c>
      <c r="G448" s="74" t="n">
        <f aca="false">COUNTIFS('Master Data'!$B$2:$B$2436,$B$3,'Master Data'!$K$2:$K$2436,$B448,'Master Data'!$D$2:$D$2436,G$443)</f>
        <v>2</v>
      </c>
      <c r="H448" s="74" t="n">
        <f aca="false">COUNTIFS('Master Data'!$B$2:$B$2436,$B$3,'Master Data'!$K$2:$K$2436,$B448,'Master Data'!$D$2:$D$2436,H$443)</f>
        <v>2</v>
      </c>
      <c r="I448" s="74" t="n">
        <f aca="false">COUNTIFS('Master Data'!$B$2:$B$2436,$B$3,'Master Data'!$K$2:$K$2436,$B448,'Master Data'!$D$2:$D$2436,I$443)</f>
        <v>2</v>
      </c>
      <c r="J448" s="74" t="n">
        <f aca="false">COUNTIFS('Master Data'!$B$2:$B$2436,$B$3,'Master Data'!$K$2:$K$2436,$B448,'Master Data'!$D$2:$D$2436,J$443)</f>
        <v>0</v>
      </c>
      <c r="K448" s="71" t="n">
        <f aca="false">SUM(D448:J448)</f>
        <v>7</v>
      </c>
      <c r="L448" s="71" t="s">
        <v>440</v>
      </c>
    </row>
    <row r="449" customFormat="false" ht="15" hidden="false" customHeight="false" outlineLevel="0" collapsed="false">
      <c r="A449" s="71" t="n">
        <v>6</v>
      </c>
      <c r="B449" s="72" t="s">
        <v>441</v>
      </c>
      <c r="C449" s="73" t="s">
        <v>134</v>
      </c>
      <c r="D449" s="74" t="n">
        <f aca="false">COUNTIFS('Master Data'!$B$2:$B$2436,$B$3,'Master Data'!$K$2:$K$2436,$B449,'Master Data'!$D$2:$D$2436,D$443)</f>
        <v>2</v>
      </c>
      <c r="E449" s="74" t="n">
        <f aca="false">COUNTIFS('Master Data'!$B$2:$B$2436,$B$3,'Master Data'!$K$2:$K$2436,$B449,'Master Data'!$D$2:$D$2436,E$443)</f>
        <v>1</v>
      </c>
      <c r="F449" s="74" t="n">
        <f aca="false">COUNTIFS('Master Data'!$B$2:$B$2436,$B$3,'Master Data'!$K$2:$K$2436,$B449,'Master Data'!$D$2:$D$2436,F$443)</f>
        <v>0</v>
      </c>
      <c r="G449" s="74" t="n">
        <f aca="false">COUNTIFS('Master Data'!$B$2:$B$2436,$B$3,'Master Data'!$K$2:$K$2436,$B449,'Master Data'!$D$2:$D$2436,G$443)</f>
        <v>0</v>
      </c>
      <c r="H449" s="74" t="n">
        <f aca="false">COUNTIFS('Master Data'!$B$2:$B$2436,$B$3,'Master Data'!$K$2:$K$2436,$B449,'Master Data'!$D$2:$D$2436,H$443)</f>
        <v>1</v>
      </c>
      <c r="I449" s="74" t="n">
        <f aca="false">COUNTIFS('Master Data'!$B$2:$B$2436,$B$3,'Master Data'!$K$2:$K$2436,$B449,'Master Data'!$D$2:$D$2436,I$443)</f>
        <v>1</v>
      </c>
      <c r="J449" s="74" t="n">
        <f aca="false">COUNTIFS('Master Data'!$B$2:$B$2436,$B$3,'Master Data'!$K$2:$K$2436,$B449,'Master Data'!$D$2:$D$2436,J$443)</f>
        <v>0</v>
      </c>
      <c r="K449" s="71" t="n">
        <f aca="false">SUM(D449:J449)</f>
        <v>5</v>
      </c>
      <c r="L449" s="71" t="s">
        <v>208</v>
      </c>
    </row>
    <row r="450" customFormat="false" ht="15" hidden="false" customHeight="false" outlineLevel="0" collapsed="false">
      <c r="A450" s="71" t="n">
        <v>7</v>
      </c>
      <c r="B450" s="72" t="s">
        <v>442</v>
      </c>
      <c r="C450" s="73" t="s">
        <v>203</v>
      </c>
      <c r="D450" s="74" t="n">
        <f aca="false">COUNTIFS('Master Data'!$B$2:$B$2436,$B$3,'Master Data'!$K$2:$K$2436,$B450,'Master Data'!$D$2:$D$2436,D$443)</f>
        <v>1</v>
      </c>
      <c r="E450" s="74" t="n">
        <f aca="false">COUNTIFS('Master Data'!$B$2:$B$2436,$B$3,'Master Data'!$K$2:$K$2436,$B450,'Master Data'!$D$2:$D$2436,E$443)</f>
        <v>0</v>
      </c>
      <c r="F450" s="74" t="n">
        <f aca="false">COUNTIFS('Master Data'!$B$2:$B$2436,$B$3,'Master Data'!$K$2:$K$2436,$B450,'Master Data'!$D$2:$D$2436,F$443)</f>
        <v>0</v>
      </c>
      <c r="G450" s="74" t="n">
        <f aca="false">COUNTIFS('Master Data'!$B$2:$B$2436,$B$3,'Master Data'!$K$2:$K$2436,$B450,'Master Data'!$D$2:$D$2436,G$443)</f>
        <v>1</v>
      </c>
      <c r="H450" s="74" t="n">
        <f aca="false">COUNTIFS('Master Data'!$B$2:$B$2436,$B$3,'Master Data'!$K$2:$K$2436,$B450,'Master Data'!$D$2:$D$2436,H$443)</f>
        <v>1</v>
      </c>
      <c r="I450" s="74" t="n">
        <f aca="false">COUNTIFS('Master Data'!$B$2:$B$2436,$B$3,'Master Data'!$K$2:$K$2436,$B450,'Master Data'!$D$2:$D$2436,I$443)</f>
        <v>1</v>
      </c>
      <c r="J450" s="74" t="n">
        <f aca="false">COUNTIFS('Master Data'!$B$2:$B$2436,$B$3,'Master Data'!$K$2:$K$2436,$B450,'Master Data'!$D$2:$D$2436,J$443)</f>
        <v>0</v>
      </c>
      <c r="K450" s="71" t="n">
        <f aca="false">SUM(D450:J450)</f>
        <v>4</v>
      </c>
      <c r="L450" s="71" t="s">
        <v>443</v>
      </c>
    </row>
  </sheetData>
  <autoFilter ref="A91:O438"/>
  <mergeCells count="4">
    <mergeCell ref="A1:F1"/>
    <mergeCell ref="A2:F2"/>
    <mergeCell ref="D3:E3"/>
    <mergeCell ref="D4:E4"/>
  </mergeCells>
  <conditionalFormatting sqref="B15:H26">
    <cfRule type="expression" priority="2" aboveAverage="0" equalAverage="0" bottom="0" percent="0" rank="0" text="" dxfId="8">
      <formula>T15="Belum terisi"</formula>
    </cfRule>
    <cfRule type="expression" priority="3" aboveAverage="0" equalAverage="0" bottom="0" percent="0" rank="0" text="" dxfId="9">
      <formula>T15="Slot kosong"</formula>
    </cfRule>
    <cfRule type="expression" priority="4" aboveAverage="0" equalAverage="0" bottom="0" percent="0" rank="0" text="" dxfId="10">
      <formula>T15="Sebagian"</formula>
    </cfRule>
    <cfRule type="expression" priority="5" aboveAverage="0" equalAverage="0" bottom="0" percent="0" rank="0" text="" dxfId="11">
      <formula>T15="Penuh"</formula>
    </cfRule>
    <cfRule type="expression" priority="6" aboveAverage="0" equalAverage="0" bottom="0" percent="0" rank="0" text="" dxfId="12">
      <formula>T15="Lebih kapasitas"</formula>
    </cfRule>
    <cfRule type="expression" priority="7" aboveAverage="0" equalAverage="0" bottom="0" percent="0" rank="0" text="" dxfId="13">
      <formula>T15="Tutup"</formula>
    </cfRule>
    <cfRule type="expression" priority="8" aboveAverage="0" equalAverage="0" bottom="0" percent="0" rank="0" text="" dxfId="14">
      <formula>T15="Tidak dibuka"</formula>
    </cfRule>
  </conditionalFormatting>
  <conditionalFormatting sqref="B30:H41">
    <cfRule type="expression" priority="9" aboveAverage="0" equalAverage="0" bottom="0" percent="0" rank="0" text="" dxfId="8">
      <formula>T30="Belum terisi"</formula>
    </cfRule>
    <cfRule type="expression" priority="10" aboveAverage="0" equalAverage="0" bottom="0" percent="0" rank="0" text="" dxfId="9">
      <formula>T30="Slot kosong"</formula>
    </cfRule>
    <cfRule type="expression" priority="11" aboveAverage="0" equalAverage="0" bottom="0" percent="0" rank="0" text="" dxfId="10">
      <formula>T30="Sebagian"</formula>
    </cfRule>
    <cfRule type="expression" priority="12" aboveAverage="0" equalAverage="0" bottom="0" percent="0" rank="0" text="" dxfId="11">
      <formula>T30="Penuh"</formula>
    </cfRule>
    <cfRule type="expression" priority="13" aboveAverage="0" equalAverage="0" bottom="0" percent="0" rank="0" text="" dxfId="12">
      <formula>T30="Lebih kapasitas"</formula>
    </cfRule>
    <cfRule type="expression" priority="14" aboveAverage="0" equalAverage="0" bottom="0" percent="0" rank="0" text="" dxfId="13">
      <formula>T30="Tutup"</formula>
    </cfRule>
    <cfRule type="expression" priority="15" aboveAverage="0" equalAverage="0" bottom="0" percent="0" rank="0" text="" dxfId="14">
      <formula>T30="Tidak dibuka"</formula>
    </cfRule>
  </conditionalFormatting>
  <conditionalFormatting sqref="B45:H56">
    <cfRule type="expression" priority="16" aboveAverage="0" equalAverage="0" bottom="0" percent="0" rank="0" text="" dxfId="8">
      <formula>T45="Belum terisi"</formula>
    </cfRule>
    <cfRule type="expression" priority="17" aboveAverage="0" equalAverage="0" bottom="0" percent="0" rank="0" text="" dxfId="9">
      <formula>T45="Slot kosong"</formula>
    </cfRule>
    <cfRule type="expression" priority="18" aboveAverage="0" equalAverage="0" bottom="0" percent="0" rank="0" text="" dxfId="10">
      <formula>T45="Sebagian"</formula>
    </cfRule>
    <cfRule type="expression" priority="19" aboveAverage="0" equalAverage="0" bottom="0" percent="0" rank="0" text="" dxfId="11">
      <formula>T45="Penuh"</formula>
    </cfRule>
    <cfRule type="expression" priority="20" aboveAverage="0" equalAverage="0" bottom="0" percent="0" rank="0" text="" dxfId="12">
      <formula>T45="Lebih kapasitas"</formula>
    </cfRule>
    <cfRule type="expression" priority="21" aboveAverage="0" equalAverage="0" bottom="0" percent="0" rank="0" text="" dxfId="13">
      <formula>T45="Tutup"</formula>
    </cfRule>
    <cfRule type="expression" priority="22" aboveAverage="0" equalAverage="0" bottom="0" percent="0" rank="0" text="" dxfId="14">
      <formula>T45="Tidak dibuka"</formula>
    </cfRule>
  </conditionalFormatting>
  <conditionalFormatting sqref="B60:H71">
    <cfRule type="expression" priority="23" aboveAverage="0" equalAverage="0" bottom="0" percent="0" rank="0" text="" dxfId="8">
      <formula>T60="Belum terisi"</formula>
    </cfRule>
    <cfRule type="expression" priority="24" aboveAverage="0" equalAverage="0" bottom="0" percent="0" rank="0" text="" dxfId="9">
      <formula>T60="Slot kosong"</formula>
    </cfRule>
    <cfRule type="expression" priority="25" aboveAverage="0" equalAverage="0" bottom="0" percent="0" rank="0" text="" dxfId="10">
      <formula>T60="Sebagian"</formula>
    </cfRule>
    <cfRule type="expression" priority="26" aboveAverage="0" equalAverage="0" bottom="0" percent="0" rank="0" text="" dxfId="11">
      <formula>T60="Penuh"</formula>
    </cfRule>
    <cfRule type="expression" priority="27" aboveAverage="0" equalAverage="0" bottom="0" percent="0" rank="0" text="" dxfId="12">
      <formula>T60="Lebih kapasitas"</formula>
    </cfRule>
    <cfRule type="expression" priority="28" aboveAverage="0" equalAverage="0" bottom="0" percent="0" rank="0" text="" dxfId="13">
      <formula>T60="Tutup"</formula>
    </cfRule>
    <cfRule type="expression" priority="29" aboveAverage="0" equalAverage="0" bottom="0" percent="0" rank="0" text="" dxfId="14">
      <formula>T60="Tidak dibuka"</formula>
    </cfRule>
  </conditionalFormatting>
  <conditionalFormatting sqref="B75:H86">
    <cfRule type="expression" priority="30" aboveAverage="0" equalAverage="0" bottom="0" percent="0" rank="0" text="" dxfId="8">
      <formula>T75="Belum terisi"</formula>
    </cfRule>
    <cfRule type="expression" priority="31" aboveAverage="0" equalAverage="0" bottom="0" percent="0" rank="0" text="" dxfId="9">
      <formula>T75="Slot kosong"</formula>
    </cfRule>
    <cfRule type="expression" priority="32" aboveAverage="0" equalAverage="0" bottom="0" percent="0" rank="0" text="" dxfId="10">
      <formula>T75="Sebagian"</formula>
    </cfRule>
    <cfRule type="expression" priority="33" aboveAverage="0" equalAverage="0" bottom="0" percent="0" rank="0" text="" dxfId="11">
      <formula>T75="Penuh"</formula>
    </cfRule>
    <cfRule type="expression" priority="34" aboveAverage="0" equalAverage="0" bottom="0" percent="0" rank="0" text="" dxfId="12">
      <formula>T75="Lebih kapasitas"</formula>
    </cfRule>
    <cfRule type="expression" priority="35" aboveAverage="0" equalAverage="0" bottom="0" percent="0" rank="0" text="" dxfId="13">
      <formula>T75="Tutup"</formula>
    </cfRule>
    <cfRule type="expression" priority="36" aboveAverage="0" equalAverage="0" bottom="0" percent="0" rank="0" text="" dxfId="14">
      <formula>T75="Tidak dibuka"</formula>
    </cfRule>
  </conditionalFormatting>
  <conditionalFormatting sqref="E92:E438">
    <cfRule type="expression" priority="37" aboveAverage="0" equalAverage="0" bottom="0" percent="0" rank="0" text="" dxfId="8">
      <formula>E92="Belum terisi"</formula>
    </cfRule>
    <cfRule type="expression" priority="38" aboveAverage="0" equalAverage="0" bottom="0" percent="0" rank="0" text="" dxfId="9">
      <formula>E92="Slot kosong"</formula>
    </cfRule>
  </conditionalFormatting>
  <conditionalFormatting sqref="A92:O438">
    <cfRule type="expression" priority="39" aboveAverage="0" equalAverage="0" bottom="0" percent="0" rank="0" text="" dxfId="15">
      <formula>$K92="Jual minggu ini"</formula>
    </cfRule>
  </conditionalFormatting>
  <conditionalFormatting sqref="D444:J450">
    <cfRule type="colorScale" priority="40">
      <colorScale>
        <cfvo type="num" val="0"/>
        <cfvo type="max" val="0"/>
        <color rgb="FFFFFFFF"/>
        <color rgb="FF8EC6D0"/>
      </colorScale>
    </cfRule>
  </conditionalFormatting>
  <dataValidations count="4">
    <dataValidation allowBlank="true" error="Isi angka 0–20" errorStyle="stop" errorTitle="Target murid" operator="between" showDropDown="false" showErrorMessage="false" showInputMessage="false" sqref="N92:N438" type="whole">
      <formula1>0</formula1>
      <formula2>20</formula2>
    </dataValidation>
    <dataValidation allowBlank="true" errorStyle="stop" operator="between" showDropDown="false" showErrorMessage="false" showInputMessage="false" sqref="K92:K438" type="list">
      <formula1>"Jual minggu ini,Buka kelas baru,Ganti age group,Tahan,Tutup slot"</formula1>
      <formula2>0</formula2>
    </dataValidation>
    <dataValidation allowBlank="true" errorStyle="stop" operator="between" showDropDown="false" showErrorMessage="false" showInputMessage="false" sqref="L92:L438" type="list">
      <formula1>"Baby,Tiny,Little,Kids"</formula1>
      <formula2>0</formula2>
    </dataValidation>
    <dataValidation allowBlank="true" errorStyle="stop" operator="between" showDropDown="false" showErrorMessage="false" showInputMessage="false" sqref="M92:M438" type="list">
      <formula1>$B$444:$B$450</formula1>
      <formula2>0</formula2>
    </dataValidation>
  </dataValidations>
  <hyperlinks>
    <hyperlink ref="B11" r:id="rId1" location="'BTU'!A13" display="→ Slot Map"/>
    <hyperlink ref="C11" r:id="rId2" location="'BTU'!A89" display="→ Daftar Diskusi"/>
    <hyperlink ref="D11" r:id="rId3" location="'BTU'!A441" display="→ Coach"/>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43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0" topLeftCell="B1" activePane="topRight" state="frozen"/>
      <selection pane="topLeft" activeCell="A1" activeCellId="0" sqref="A1"/>
      <selection pane="topRigh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8" min="2" style="0" width="19"/>
    <col collapsed="false" customWidth="true" hidden="false" outlineLevel="0" max="9" min="9" style="0" width="40"/>
    <col collapsed="false" customWidth="true" hidden="false" outlineLevel="0" max="10" min="10" style="0" width="18"/>
    <col collapsed="false" customWidth="true" hidden="false" outlineLevel="0" max="11" min="11" style="0" width="16"/>
    <col collapsed="false" customWidth="true" hidden="false" outlineLevel="0" max="13" min="12" style="0" width="14"/>
    <col collapsed="false" customWidth="true" hidden="false" outlineLevel="0" max="14" min="14" style="0" width="11"/>
    <col collapsed="false" customWidth="true" hidden="false" outlineLevel="0" max="15" min="15" style="0" width="34"/>
    <col collapsed="false" customWidth="true" hidden="true" outlineLevel="0" max="26" min="20" style="0" width="13"/>
  </cols>
  <sheetData>
    <row r="1" customFormat="false" ht="19.7" hidden="false" customHeight="false" outlineLevel="0" collapsed="false">
      <c r="A1" s="29" t="s">
        <v>444</v>
      </c>
      <c r="B1" s="29"/>
      <c r="C1" s="29"/>
      <c r="D1" s="29"/>
      <c r="E1" s="29"/>
      <c r="F1" s="29"/>
    </row>
    <row r="2" customFormat="false" ht="15" hidden="false" customHeight="false" outlineLevel="0" collapsed="false">
      <c r="A2" s="30" t="s">
        <v>76</v>
      </c>
      <c r="B2" s="30"/>
      <c r="C2" s="30"/>
      <c r="D2" s="30"/>
      <c r="E2" s="30"/>
      <c r="F2" s="30"/>
    </row>
    <row r="3" customFormat="false" ht="15" hidden="false" customHeight="false" outlineLevel="0" collapsed="false">
      <c r="A3" s="13" t="s">
        <v>54</v>
      </c>
      <c r="B3" s="3" t="s">
        <v>71</v>
      </c>
      <c r="C3" s="13" t="s">
        <v>77</v>
      </c>
      <c r="D3" s="31"/>
      <c r="E3" s="31"/>
    </row>
    <row r="4" customFormat="false" ht="15" hidden="false" customHeight="false" outlineLevel="0" collapsed="false">
      <c r="A4" s="13" t="s">
        <v>78</v>
      </c>
      <c r="B4" s="31" t="s">
        <v>79</v>
      </c>
      <c r="C4" s="13" t="s">
        <v>80</v>
      </c>
      <c r="D4" s="31"/>
      <c r="E4" s="31"/>
    </row>
    <row r="6" customFormat="false" ht="15" hidden="false" customHeight="false" outlineLevel="0" collapsed="false">
      <c r="A6" s="32" t="s">
        <v>81</v>
      </c>
      <c r="B6" s="33" t="s">
        <v>55</v>
      </c>
      <c r="C6" s="33" t="s">
        <v>56</v>
      </c>
      <c r="D6" s="34" t="s">
        <v>14</v>
      </c>
      <c r="E6" s="35" t="s">
        <v>16</v>
      </c>
      <c r="F6" s="36" t="s">
        <v>18</v>
      </c>
      <c r="G6" s="37" t="s">
        <v>20</v>
      </c>
      <c r="H6" s="38" t="s">
        <v>22</v>
      </c>
    </row>
    <row r="7" customFormat="false" ht="19.7" hidden="false" customHeight="false" outlineLevel="0" collapsed="false">
      <c r="B7" s="39" t="n">
        <f aca="false">IFERROR(SUMIFS('Master Data'!$H$2:$H$2436,'Master Data'!$B$2:$B$2436,$B$3,'Master Data'!$G$2:$G$2436,"&gt;0")/SUMIFS('Master Data'!$G$2:$G$2436,'Master Data'!$B$2:$B$2436,$B$3,'Master Data'!$G$2:$G$2436,"&gt;0"),"")</f>
        <v>0.091991341991342</v>
      </c>
      <c r="C7" s="40" t="str">
        <f aca="false">SUMIFS('Master Data'!$H$2:$H$2436,'Master Data'!$B$2:$B$2436,$B$3,'Master Data'!$G$2:$G$2436,"&gt;0")&amp;" / "&amp;SUMIFS('Master Data'!$G$2:$G$2436,'Master Data'!$B$2:$B$2436,$B$3,'Master Data'!$G$2:$G$2436,"&gt;0")</f>
        <v>170 / 1848</v>
      </c>
      <c r="D7" s="41" t="n">
        <f aca="false">COUNTIFS('Master Data'!$B$2:$B$2436,$B$3,'Master Data'!$L$2:$L$2436,"Belum terisi")</f>
        <v>244</v>
      </c>
      <c r="E7" s="42" t="n">
        <f aca="false">COUNTIFS('Master Data'!$B$2:$B$2436,$B$3,'Master Data'!$L$2:$L$2436,"Slot kosong")</f>
        <v>84</v>
      </c>
      <c r="F7" s="43" t="n">
        <f aca="false">COUNTIFS('Master Data'!$B$2:$B$2436,$B$3,'Master Data'!$L$2:$L$2436,"Sebagian")</f>
        <v>82</v>
      </c>
      <c r="G7" s="44" t="n">
        <f aca="false">COUNTIFS('Master Data'!$B$2:$B$2436,$B$3,'Master Data'!$L$2:$L$2436,"Penuh")</f>
        <v>10</v>
      </c>
      <c r="H7" s="45" t="n">
        <f aca="false">COUNTIFS('Master Data'!$B$2:$B$2436,$B$3,'Master Data'!$L$2:$L$2436,"Lebih kapasitas")</f>
        <v>0</v>
      </c>
    </row>
    <row r="9" customFormat="false" ht="15" hidden="false" customHeight="false" outlineLevel="0" collapsed="false">
      <c r="A9" s="32" t="s">
        <v>82</v>
      </c>
      <c r="B9" s="46" t="s">
        <v>14</v>
      </c>
      <c r="C9" s="47" t="s">
        <v>16</v>
      </c>
      <c r="D9" s="48" t="s">
        <v>18</v>
      </c>
      <c r="E9" s="49" t="s">
        <v>20</v>
      </c>
      <c r="F9" s="50" t="s">
        <v>22</v>
      </c>
      <c r="G9" s="51" t="s">
        <v>24</v>
      </c>
    </row>
    <row r="10" customFormat="false" ht="15" hidden="false" customHeight="false" outlineLevel="0" collapsed="false">
      <c r="B10" s="52" t="s">
        <v>83</v>
      </c>
    </row>
    <row r="11" customFormat="false" ht="15" hidden="false" customHeight="false" outlineLevel="0" collapsed="false">
      <c r="A11" s="32" t="s">
        <v>84</v>
      </c>
      <c r="B11" s="53" t="s">
        <v>85</v>
      </c>
      <c r="C11" s="53" t="s">
        <v>86</v>
      </c>
      <c r="D11" s="53" t="s">
        <v>87</v>
      </c>
    </row>
    <row r="13" customFormat="false" ht="16.15" hidden="false" customHeight="false" outlineLevel="0" collapsed="false">
      <c r="A13" s="54" t="s">
        <v>88</v>
      </c>
      <c r="B13" s="55"/>
      <c r="C13" s="56" t="str">
        <f aca="false">"Utilisasi lane: "&amp;IFERROR(TEXT(SUMIFS('Master Data'!$H$2:$H$2436,'Master Data'!$B$2:$B$2436,$B$3,'Master Data'!$C$2:$C$2436,1,'Master Data'!$G$2:$G$2436,"&gt;0")/SUMIFS('Master Data'!$G$2:$G$2436,'Master Data'!$B$2:$B$2436,$B$3,'Master Data'!$C$2:$C$2436,1,'Master Data'!$G$2:$G$2436,"&gt;0"),"0%"),"–")&amp;"   ·   Belum terisi: "&amp;COUNTIFS('Master Data'!$B$2:$B$2436,$B$3,'Master Data'!$C$2:$C$2436,1,'Master Data'!$L$2:$L$2436,"Belum terisi")&amp;"   ·   Slot kosong: "&amp;COUNTIFS('Master Data'!$B$2:$B$2436,$B$3,'Master Data'!$C$2:$C$2436,1,'Master Data'!$L$2:$L$2436,"Slot kosong")</f>
        <v>Utilisasi lane: 5%   ·   Belum terisi: 70   ·   Slot kosong: 0</v>
      </c>
      <c r="D13" s="55"/>
      <c r="E13" s="55"/>
      <c r="F13" s="55"/>
      <c r="G13" s="55"/>
      <c r="H13" s="55"/>
    </row>
    <row r="14" customFormat="false" ht="15" hidden="false" customHeight="false" outlineLevel="0" collapsed="false">
      <c r="A14" s="57" t="s">
        <v>89</v>
      </c>
      <c r="B14" s="58" t="s">
        <v>90</v>
      </c>
      <c r="C14" s="58" t="s">
        <v>91</v>
      </c>
      <c r="D14" s="58" t="s">
        <v>92</v>
      </c>
      <c r="E14" s="58" t="s">
        <v>93</v>
      </c>
      <c r="F14" s="58" t="s">
        <v>94</v>
      </c>
      <c r="G14" s="58" t="s">
        <v>95</v>
      </c>
      <c r="H14" s="58" t="s">
        <v>78</v>
      </c>
    </row>
    <row r="15" customFormat="false" ht="30" hidden="false" customHeight="true" outlineLevel="0" collapsed="false">
      <c r="A15" s="59" t="s">
        <v>110</v>
      </c>
      <c r="B15" s="60" t="str">
        <f aca="false">IFERROR(INDEX('Master Data'!$M$2:$M$2436,MATCH($B$3&amp;"|1|"&amp;B$14&amp;"|"&amp;$A15,'Master Data'!$A$2:$A$2436,0)),"")</f>
        <v>Baby  0/5
coach: –</v>
      </c>
      <c r="C15" s="60" t="str">
        <f aca="false">IFERROR(INDEX('Master Data'!$M$2:$M$2436,MATCH($B$3&amp;"|1|"&amp;C$14&amp;"|"&amp;$A15,'Master Data'!$A$2:$A$2436,0)),"")</f>
        <v>Baby  0/5
coach: –</v>
      </c>
      <c r="D15" s="60" t="str">
        <f aca="false">IFERROR(INDEX('Master Data'!$M$2:$M$2436,MATCH($B$3&amp;"|1|"&amp;D$14&amp;"|"&amp;$A15,'Master Data'!$A$2:$A$2436,0)),"")</f>
        <v>Baby  0/5
coach: –</v>
      </c>
      <c r="E15" s="60" t="str">
        <f aca="false">IFERROR(INDEX('Master Data'!$M$2:$M$2436,MATCH($B$3&amp;"|1|"&amp;E$14&amp;"|"&amp;$A15,'Master Data'!$A$2:$A$2436,0)),"")</f>
        <v>Baby  0/5
coach: –</v>
      </c>
      <c r="F15" s="60" t="str">
        <f aca="false">IFERROR(INDEX('Master Data'!$M$2:$M$2436,MATCH($B$3&amp;"|1|"&amp;F$14&amp;"|"&amp;$A15,'Master Data'!$A$2:$A$2436,0)),"")</f>
        <v>Baby  0/5
coach: –</v>
      </c>
      <c r="G15" s="60" t="str">
        <f aca="false">IFERROR(INDEX('Master Data'!$M$2:$M$2436,MATCH($B$3&amp;"|1|"&amp;G$14&amp;"|"&amp;$A15,'Master Data'!$A$2:$A$2436,0)),"")</f>
        <v>Baby  0/5
coach: –</v>
      </c>
      <c r="H15" s="60" t="str">
        <f aca="false">IFERROR(INDEX('Master Data'!$M$2:$M$2436,MATCH($B$3&amp;"|1|"&amp;H$14&amp;"|"&amp;$A15,'Master Data'!$A$2:$A$2436,0)),"")</f>
        <v>Baby  0/5
coach: –</v>
      </c>
      <c r="T15" s="61" t="str">
        <f aca="false">IFERROR(INDEX('Master Data'!$L$2:$L$2436,MATCH($B$3&amp;"|1|"&amp;B$14&amp;"|"&amp;$A15,'Master Data'!$A$2:$A$2436,0)),"")</f>
        <v>Belum terisi</v>
      </c>
      <c r="U15" s="61" t="str">
        <f aca="false">IFERROR(INDEX('Master Data'!$L$2:$L$2436,MATCH($B$3&amp;"|1|"&amp;C$14&amp;"|"&amp;$A15,'Master Data'!$A$2:$A$2436,0)),"")</f>
        <v>Belum terisi</v>
      </c>
      <c r="V15" s="61" t="str">
        <f aca="false">IFERROR(INDEX('Master Data'!$L$2:$L$2436,MATCH($B$3&amp;"|1|"&amp;D$14&amp;"|"&amp;$A15,'Master Data'!$A$2:$A$2436,0)),"")</f>
        <v>Belum terisi</v>
      </c>
      <c r="W15" s="61" t="str">
        <f aca="false">IFERROR(INDEX('Master Data'!$L$2:$L$2436,MATCH($B$3&amp;"|1|"&amp;E$14&amp;"|"&amp;$A15,'Master Data'!$A$2:$A$2436,0)),"")</f>
        <v>Belum terisi</v>
      </c>
      <c r="X15" s="61" t="str">
        <f aca="false">IFERROR(INDEX('Master Data'!$L$2:$L$2436,MATCH($B$3&amp;"|1|"&amp;F$14&amp;"|"&amp;$A15,'Master Data'!$A$2:$A$2436,0)),"")</f>
        <v>Belum terisi</v>
      </c>
      <c r="Y15" s="61" t="str">
        <f aca="false">IFERROR(INDEX('Master Data'!$L$2:$L$2436,MATCH($B$3&amp;"|1|"&amp;G$14&amp;"|"&amp;$A15,'Master Data'!$A$2:$A$2436,0)),"")</f>
        <v>Belum terisi</v>
      </c>
      <c r="Z15" s="61" t="str">
        <f aca="false">IFERROR(INDEX('Master Data'!$L$2:$L$2436,MATCH($B$3&amp;"|1|"&amp;H$14&amp;"|"&amp;$A15,'Master Data'!$A$2:$A$2436,0)),"")</f>
        <v>Belum terisi</v>
      </c>
    </row>
    <row r="16" customFormat="false" ht="30" hidden="false" customHeight="true" outlineLevel="0" collapsed="false">
      <c r="A16" s="59" t="s">
        <v>111</v>
      </c>
      <c r="B16" s="60" t="str">
        <f aca="false">IFERROR(INDEX('Master Data'!$M$2:$M$2436,MATCH($B$3&amp;"|1|"&amp;B$14&amp;"|"&amp;$A16,'Master Data'!$A$2:$A$2436,0)),"")</f>
        <v>Baby  0/5
coach: –</v>
      </c>
      <c r="C16" s="60" t="str">
        <f aca="false">IFERROR(INDEX('Master Data'!$M$2:$M$2436,MATCH($B$3&amp;"|1|"&amp;C$14&amp;"|"&amp;$A16,'Master Data'!$A$2:$A$2436,0)),"")</f>
        <v>Baby  0/5
coach: –</v>
      </c>
      <c r="D16" s="60" t="str">
        <f aca="false">IFERROR(INDEX('Master Data'!$M$2:$M$2436,MATCH($B$3&amp;"|1|"&amp;D$14&amp;"|"&amp;$A16,'Master Data'!$A$2:$A$2436,0)),"")</f>
        <v>Baby  0/5
coach: –</v>
      </c>
      <c r="E16" s="60" t="str">
        <f aca="false">IFERROR(INDEX('Master Data'!$M$2:$M$2436,MATCH($B$3&amp;"|1|"&amp;E$14&amp;"|"&amp;$A16,'Master Data'!$A$2:$A$2436,0)),"")</f>
        <v>Baby  0/5
coach: –</v>
      </c>
      <c r="F16" s="60" t="str">
        <f aca="false">IFERROR(INDEX('Master Data'!$M$2:$M$2436,MATCH($B$3&amp;"|1|"&amp;F$14&amp;"|"&amp;$A16,'Master Data'!$A$2:$A$2436,0)),"")</f>
        <v>Baby  1/5
coach: Rizky</v>
      </c>
      <c r="G16" s="60" t="str">
        <f aca="false">IFERROR(INDEX('Master Data'!$M$2:$M$2436,MATCH($B$3&amp;"|1|"&amp;G$14&amp;"|"&amp;$A16,'Master Data'!$A$2:$A$2436,0)),"")</f>
        <v>Baby  1/5
coach: Shabrina</v>
      </c>
      <c r="H16" s="60" t="str">
        <f aca="false">IFERROR(INDEX('Master Data'!$M$2:$M$2436,MATCH($B$3&amp;"|1|"&amp;H$14&amp;"|"&amp;$A16,'Master Data'!$A$2:$A$2436,0)),"")</f>
        <v>Baby  0/5
coach: –</v>
      </c>
      <c r="T16" s="61" t="str">
        <f aca="false">IFERROR(INDEX('Master Data'!$L$2:$L$2436,MATCH($B$3&amp;"|1|"&amp;B$14&amp;"|"&amp;$A16,'Master Data'!$A$2:$A$2436,0)),"")</f>
        <v>Belum terisi</v>
      </c>
      <c r="U16" s="61" t="str">
        <f aca="false">IFERROR(INDEX('Master Data'!$L$2:$L$2436,MATCH($B$3&amp;"|1|"&amp;C$14&amp;"|"&amp;$A16,'Master Data'!$A$2:$A$2436,0)),"")</f>
        <v>Belum terisi</v>
      </c>
      <c r="V16" s="61" t="str">
        <f aca="false">IFERROR(INDEX('Master Data'!$L$2:$L$2436,MATCH($B$3&amp;"|1|"&amp;D$14&amp;"|"&amp;$A16,'Master Data'!$A$2:$A$2436,0)),"")</f>
        <v>Belum terisi</v>
      </c>
      <c r="W16" s="61" t="str">
        <f aca="false">IFERROR(INDEX('Master Data'!$L$2:$L$2436,MATCH($B$3&amp;"|1|"&amp;E$14&amp;"|"&amp;$A16,'Master Data'!$A$2:$A$2436,0)),"")</f>
        <v>Belum terisi</v>
      </c>
      <c r="X16" s="61" t="str">
        <f aca="false">IFERROR(INDEX('Master Data'!$L$2:$L$2436,MATCH($B$3&amp;"|1|"&amp;F$14&amp;"|"&amp;$A16,'Master Data'!$A$2:$A$2436,0)),"")</f>
        <v>Sebagian</v>
      </c>
      <c r="Y16" s="61" t="str">
        <f aca="false">IFERROR(INDEX('Master Data'!$L$2:$L$2436,MATCH($B$3&amp;"|1|"&amp;G$14&amp;"|"&amp;$A16,'Master Data'!$A$2:$A$2436,0)),"")</f>
        <v>Sebagian</v>
      </c>
      <c r="Z16" s="61" t="str">
        <f aca="false">IFERROR(INDEX('Master Data'!$L$2:$L$2436,MATCH($B$3&amp;"|1|"&amp;H$14&amp;"|"&amp;$A16,'Master Data'!$A$2:$A$2436,0)),"")</f>
        <v>Belum terisi</v>
      </c>
    </row>
    <row r="17" customFormat="false" ht="30" hidden="false" customHeight="true" outlineLevel="0" collapsed="false">
      <c r="A17" s="59" t="s">
        <v>112</v>
      </c>
      <c r="B17" s="60" t="str">
        <f aca="false">IFERROR(INDEX('Master Data'!$M$2:$M$2436,MATCH($B$3&amp;"|1|"&amp;B$14&amp;"|"&amp;$A17,'Master Data'!$A$2:$A$2436,0)),"")</f>
        <v>Baby  0/5
coach: –</v>
      </c>
      <c r="C17" s="60" t="str">
        <f aca="false">IFERROR(INDEX('Master Data'!$M$2:$M$2436,MATCH($B$3&amp;"|1|"&amp;C$14&amp;"|"&amp;$A17,'Master Data'!$A$2:$A$2436,0)),"")</f>
        <v>Baby  0/5
coach: –</v>
      </c>
      <c r="D17" s="60" t="str">
        <f aca="false">IFERROR(INDEX('Master Data'!$M$2:$M$2436,MATCH($B$3&amp;"|1|"&amp;D$14&amp;"|"&amp;$A17,'Master Data'!$A$2:$A$2436,0)),"")</f>
        <v>Baby  0/5
coach: –</v>
      </c>
      <c r="E17" s="60" t="str">
        <f aca="false">IFERROR(INDEX('Master Data'!$M$2:$M$2436,MATCH($B$3&amp;"|1|"&amp;E$14&amp;"|"&amp;$A17,'Master Data'!$A$2:$A$2436,0)),"")</f>
        <v>Baby  0/5
coach: –</v>
      </c>
      <c r="F17" s="60" t="str">
        <f aca="false">IFERROR(INDEX('Master Data'!$M$2:$M$2436,MATCH($B$3&amp;"|1|"&amp;F$14&amp;"|"&amp;$A17,'Master Data'!$A$2:$A$2436,0)),"")</f>
        <v>Baby  0/5
coach: –</v>
      </c>
      <c r="G17" s="60" t="str">
        <f aca="false">IFERROR(INDEX('Master Data'!$M$2:$M$2436,MATCH($B$3&amp;"|1|"&amp;G$14&amp;"|"&amp;$A17,'Master Data'!$A$2:$A$2436,0)),"")</f>
        <v>Baby  1/5
coach: Rizky</v>
      </c>
      <c r="H17" s="60" t="str">
        <f aca="false">IFERROR(INDEX('Master Data'!$M$2:$M$2436,MATCH($B$3&amp;"|1|"&amp;H$14&amp;"|"&amp;$A17,'Master Data'!$A$2:$A$2436,0)),"")</f>
        <v>Baby  4/5
coach: Rizky</v>
      </c>
      <c r="T17" s="61" t="str">
        <f aca="false">IFERROR(INDEX('Master Data'!$L$2:$L$2436,MATCH($B$3&amp;"|1|"&amp;B$14&amp;"|"&amp;$A17,'Master Data'!$A$2:$A$2436,0)),"")</f>
        <v>Belum terisi</v>
      </c>
      <c r="U17" s="61" t="str">
        <f aca="false">IFERROR(INDEX('Master Data'!$L$2:$L$2436,MATCH($B$3&amp;"|1|"&amp;C$14&amp;"|"&amp;$A17,'Master Data'!$A$2:$A$2436,0)),"")</f>
        <v>Belum terisi</v>
      </c>
      <c r="V17" s="61" t="str">
        <f aca="false">IFERROR(INDEX('Master Data'!$L$2:$L$2436,MATCH($B$3&amp;"|1|"&amp;D$14&amp;"|"&amp;$A17,'Master Data'!$A$2:$A$2436,0)),"")</f>
        <v>Belum terisi</v>
      </c>
      <c r="W17" s="61" t="str">
        <f aca="false">IFERROR(INDEX('Master Data'!$L$2:$L$2436,MATCH($B$3&amp;"|1|"&amp;E$14&amp;"|"&amp;$A17,'Master Data'!$A$2:$A$2436,0)),"")</f>
        <v>Belum terisi</v>
      </c>
      <c r="X17" s="61" t="str">
        <f aca="false">IFERROR(INDEX('Master Data'!$L$2:$L$2436,MATCH($B$3&amp;"|1|"&amp;F$14&amp;"|"&amp;$A17,'Master Data'!$A$2:$A$2436,0)),"")</f>
        <v>Belum terisi</v>
      </c>
      <c r="Y17" s="61" t="str">
        <f aca="false">IFERROR(INDEX('Master Data'!$L$2:$L$2436,MATCH($B$3&amp;"|1|"&amp;G$14&amp;"|"&amp;$A17,'Master Data'!$A$2:$A$2436,0)),"")</f>
        <v>Sebagian</v>
      </c>
      <c r="Z17" s="61" t="str">
        <f aca="false">IFERROR(INDEX('Master Data'!$L$2:$L$2436,MATCH($B$3&amp;"|1|"&amp;H$14&amp;"|"&amp;$A17,'Master Data'!$A$2:$A$2436,0)),"")</f>
        <v>Sebagian</v>
      </c>
    </row>
    <row r="18" customFormat="false" ht="30" hidden="false" customHeight="true" outlineLevel="0" collapsed="false">
      <c r="A18" s="59" t="s">
        <v>113</v>
      </c>
      <c r="B18" s="60" t="str">
        <f aca="false">IFERROR(INDEX('Master Data'!$M$2:$M$2436,MATCH($B$3&amp;"|1|"&amp;B$14&amp;"|"&amp;$A18,'Master Data'!$A$2:$A$2436,0)),"")</f>
        <v>Baby  0/5
coach: –</v>
      </c>
      <c r="C18" s="60" t="str">
        <f aca="false">IFERROR(INDEX('Master Data'!$M$2:$M$2436,MATCH($B$3&amp;"|1|"&amp;C$14&amp;"|"&amp;$A18,'Master Data'!$A$2:$A$2436,0)),"")</f>
        <v>Baby  0/5
coach: –</v>
      </c>
      <c r="D18" s="60" t="str">
        <f aca="false">IFERROR(INDEX('Master Data'!$M$2:$M$2436,MATCH($B$3&amp;"|1|"&amp;D$14&amp;"|"&amp;$A18,'Master Data'!$A$2:$A$2436,0)),"")</f>
        <v>Baby  0/5
coach: –</v>
      </c>
      <c r="E18" s="60" t="str">
        <f aca="false">IFERROR(INDEX('Master Data'!$M$2:$M$2436,MATCH($B$3&amp;"|1|"&amp;E$14&amp;"|"&amp;$A18,'Master Data'!$A$2:$A$2436,0)),"")</f>
        <v>Baby  0/5
coach: –</v>
      </c>
      <c r="F18" s="60" t="str">
        <f aca="false">IFERROR(INDEX('Master Data'!$M$2:$M$2436,MATCH($B$3&amp;"|1|"&amp;F$14&amp;"|"&amp;$A18,'Master Data'!$A$2:$A$2436,0)),"")</f>
        <v>Baby  0/5
coach: –</v>
      </c>
      <c r="G18" s="60" t="str">
        <f aca="false">IFERROR(INDEX('Master Data'!$M$2:$M$2436,MATCH($B$3&amp;"|1|"&amp;G$14&amp;"|"&amp;$A18,'Master Data'!$A$2:$A$2436,0)),"")</f>
        <v>Baby  3/5
coach: Rizky</v>
      </c>
      <c r="H18" s="60" t="str">
        <f aca="false">IFERROR(INDEX('Master Data'!$M$2:$M$2436,MATCH($B$3&amp;"|1|"&amp;H$14&amp;"|"&amp;$A18,'Master Data'!$A$2:$A$2436,0)),"")</f>
        <v>Baby  0/5
coach: –</v>
      </c>
      <c r="T18" s="61" t="str">
        <f aca="false">IFERROR(INDEX('Master Data'!$L$2:$L$2436,MATCH($B$3&amp;"|1|"&amp;B$14&amp;"|"&amp;$A18,'Master Data'!$A$2:$A$2436,0)),"")</f>
        <v>Belum terisi</v>
      </c>
      <c r="U18" s="61" t="str">
        <f aca="false">IFERROR(INDEX('Master Data'!$L$2:$L$2436,MATCH($B$3&amp;"|1|"&amp;C$14&amp;"|"&amp;$A18,'Master Data'!$A$2:$A$2436,0)),"")</f>
        <v>Belum terisi</v>
      </c>
      <c r="V18" s="61" t="str">
        <f aca="false">IFERROR(INDEX('Master Data'!$L$2:$L$2436,MATCH($B$3&amp;"|1|"&amp;D$14&amp;"|"&amp;$A18,'Master Data'!$A$2:$A$2436,0)),"")</f>
        <v>Belum terisi</v>
      </c>
      <c r="W18" s="61" t="str">
        <f aca="false">IFERROR(INDEX('Master Data'!$L$2:$L$2436,MATCH($B$3&amp;"|1|"&amp;E$14&amp;"|"&amp;$A18,'Master Data'!$A$2:$A$2436,0)),"")</f>
        <v>Belum terisi</v>
      </c>
      <c r="X18" s="61" t="str">
        <f aca="false">IFERROR(INDEX('Master Data'!$L$2:$L$2436,MATCH($B$3&amp;"|1|"&amp;F$14&amp;"|"&amp;$A18,'Master Data'!$A$2:$A$2436,0)),"")</f>
        <v>Belum terisi</v>
      </c>
      <c r="Y18" s="61" t="str">
        <f aca="false">IFERROR(INDEX('Master Data'!$L$2:$L$2436,MATCH($B$3&amp;"|1|"&amp;G$14&amp;"|"&amp;$A18,'Master Data'!$A$2:$A$2436,0)),"")</f>
        <v>Sebagian</v>
      </c>
      <c r="Z18" s="61" t="str">
        <f aca="false">IFERROR(INDEX('Master Data'!$L$2:$L$2436,MATCH($B$3&amp;"|1|"&amp;H$14&amp;"|"&amp;$A18,'Master Data'!$A$2:$A$2436,0)),"")</f>
        <v>Belum terisi</v>
      </c>
    </row>
    <row r="19" customFormat="false" ht="30" hidden="false" customHeight="true" outlineLevel="0" collapsed="false">
      <c r="A19" s="59" t="s">
        <v>114</v>
      </c>
      <c r="B19" s="60" t="str">
        <f aca="false">IFERROR(INDEX('Master Data'!$M$2:$M$2436,MATCH($B$3&amp;"|1|"&amp;B$14&amp;"|"&amp;$A19,'Master Data'!$A$2:$A$2436,0)),"")</f>
        <v>Baby  0/5
coach: –</v>
      </c>
      <c r="C19" s="60" t="str">
        <f aca="false">IFERROR(INDEX('Master Data'!$M$2:$M$2436,MATCH($B$3&amp;"|1|"&amp;C$14&amp;"|"&amp;$A19,'Master Data'!$A$2:$A$2436,0)),"")</f>
        <v>Baby  1/5
coach: Shabrina</v>
      </c>
      <c r="D19" s="60" t="str">
        <f aca="false">IFERROR(INDEX('Master Data'!$M$2:$M$2436,MATCH($B$3&amp;"|1|"&amp;D$14&amp;"|"&amp;$A19,'Master Data'!$A$2:$A$2436,0)),"")</f>
        <v>Baby  1/5
coach: Rizky</v>
      </c>
      <c r="E19" s="60" t="str">
        <f aca="false">IFERROR(INDEX('Master Data'!$M$2:$M$2436,MATCH($B$3&amp;"|1|"&amp;E$14&amp;"|"&amp;$A19,'Master Data'!$A$2:$A$2436,0)),"")</f>
        <v>Baby  0/5
coach: –</v>
      </c>
      <c r="F19" s="60" t="str">
        <f aca="false">IFERROR(INDEX('Master Data'!$M$2:$M$2436,MATCH($B$3&amp;"|1|"&amp;F$14&amp;"|"&amp;$A19,'Master Data'!$A$2:$A$2436,0)),"")</f>
        <v>Baby  0/5
coach: –</v>
      </c>
      <c r="G19" s="60" t="str">
        <f aca="false">IFERROR(INDEX('Master Data'!$M$2:$M$2436,MATCH($B$3&amp;"|1|"&amp;G$14&amp;"|"&amp;$A19,'Master Data'!$A$2:$A$2436,0)),"")</f>
        <v>Baby  0/5
coach: –</v>
      </c>
      <c r="H19" s="60" t="str">
        <f aca="false">IFERROR(INDEX('Master Data'!$M$2:$M$2436,MATCH($B$3&amp;"|1|"&amp;H$14&amp;"|"&amp;$A19,'Master Data'!$A$2:$A$2436,0)),"")</f>
        <v>Baby  0/5
coach: –</v>
      </c>
      <c r="T19" s="61" t="str">
        <f aca="false">IFERROR(INDEX('Master Data'!$L$2:$L$2436,MATCH($B$3&amp;"|1|"&amp;B$14&amp;"|"&amp;$A19,'Master Data'!$A$2:$A$2436,0)),"")</f>
        <v>Belum terisi</v>
      </c>
      <c r="U19" s="61" t="str">
        <f aca="false">IFERROR(INDEX('Master Data'!$L$2:$L$2436,MATCH($B$3&amp;"|1|"&amp;C$14&amp;"|"&amp;$A19,'Master Data'!$A$2:$A$2436,0)),"")</f>
        <v>Sebagian</v>
      </c>
      <c r="V19" s="61" t="str">
        <f aca="false">IFERROR(INDEX('Master Data'!$L$2:$L$2436,MATCH($B$3&amp;"|1|"&amp;D$14&amp;"|"&amp;$A19,'Master Data'!$A$2:$A$2436,0)),"")</f>
        <v>Sebagian</v>
      </c>
      <c r="W19" s="61" t="str">
        <f aca="false">IFERROR(INDEX('Master Data'!$L$2:$L$2436,MATCH($B$3&amp;"|1|"&amp;E$14&amp;"|"&amp;$A19,'Master Data'!$A$2:$A$2436,0)),"")</f>
        <v>Belum terisi</v>
      </c>
      <c r="X19" s="61" t="str">
        <f aca="false">IFERROR(INDEX('Master Data'!$L$2:$L$2436,MATCH($B$3&amp;"|1|"&amp;F$14&amp;"|"&amp;$A19,'Master Data'!$A$2:$A$2436,0)),"")</f>
        <v>Belum terisi</v>
      </c>
      <c r="Y19" s="61" t="str">
        <f aca="false">IFERROR(INDEX('Master Data'!$L$2:$L$2436,MATCH($B$3&amp;"|1|"&amp;G$14&amp;"|"&amp;$A19,'Master Data'!$A$2:$A$2436,0)),"")</f>
        <v>Belum terisi</v>
      </c>
      <c r="Z19" s="61" t="str">
        <f aca="false">IFERROR(INDEX('Master Data'!$L$2:$L$2436,MATCH($B$3&amp;"|1|"&amp;H$14&amp;"|"&amp;$A19,'Master Data'!$A$2:$A$2436,0)),"")</f>
        <v>Belum terisi</v>
      </c>
    </row>
    <row r="20" customFormat="false" ht="30" hidden="false" customHeight="true" outlineLevel="0" collapsed="false">
      <c r="A20" s="59" t="s">
        <v>115</v>
      </c>
      <c r="B20" s="60" t="str">
        <f aca="false">IFERROR(INDEX('Master Data'!$M$2:$M$2436,MATCH($B$3&amp;"|1|"&amp;B$14&amp;"|"&amp;$A20,'Master Data'!$A$2:$A$2436,0)),"")</f>
        <v>Baby  0/5
coach: –</v>
      </c>
      <c r="C20" s="60" t="str">
        <f aca="false">IFERROR(INDEX('Master Data'!$M$2:$M$2436,MATCH($B$3&amp;"|1|"&amp;C$14&amp;"|"&amp;$A20,'Master Data'!$A$2:$A$2436,0)),"")</f>
        <v>Baby  0/5
coach: –</v>
      </c>
      <c r="D20" s="60" t="str">
        <f aca="false">IFERROR(INDEX('Master Data'!$M$2:$M$2436,MATCH($B$3&amp;"|1|"&amp;D$14&amp;"|"&amp;$A20,'Master Data'!$A$2:$A$2436,0)),"")</f>
        <v>Baby  0/5
coach: –</v>
      </c>
      <c r="E20" s="60" t="str">
        <f aca="false">IFERROR(INDEX('Master Data'!$M$2:$M$2436,MATCH($B$3&amp;"|1|"&amp;E$14&amp;"|"&amp;$A20,'Master Data'!$A$2:$A$2436,0)),"")</f>
        <v>Baby  0/5
coach: –</v>
      </c>
      <c r="F20" s="60" t="str">
        <f aca="false">IFERROR(INDEX('Master Data'!$M$2:$M$2436,MATCH($B$3&amp;"|1|"&amp;F$14&amp;"|"&amp;$A20,'Master Data'!$A$2:$A$2436,0)),"")</f>
        <v>Baby  0/5
coach: –</v>
      </c>
      <c r="G20" s="60" t="str">
        <f aca="false">IFERROR(INDEX('Master Data'!$M$2:$M$2436,MATCH($B$3&amp;"|1|"&amp;G$14&amp;"|"&amp;$A20,'Master Data'!$A$2:$A$2436,0)),"")</f>
        <v>Baby  0/5
coach: –</v>
      </c>
      <c r="H20" s="60" t="str">
        <f aca="false">IFERROR(INDEX('Master Data'!$M$2:$M$2436,MATCH($B$3&amp;"|1|"&amp;H$14&amp;"|"&amp;$A20,'Master Data'!$A$2:$A$2436,0)),"")</f>
        <v>Baby  1/5
coach: Rizky</v>
      </c>
      <c r="T20" s="61" t="str">
        <f aca="false">IFERROR(INDEX('Master Data'!$L$2:$L$2436,MATCH($B$3&amp;"|1|"&amp;B$14&amp;"|"&amp;$A20,'Master Data'!$A$2:$A$2436,0)),"")</f>
        <v>Belum terisi</v>
      </c>
      <c r="U20" s="61" t="str">
        <f aca="false">IFERROR(INDEX('Master Data'!$L$2:$L$2436,MATCH($B$3&amp;"|1|"&amp;C$14&amp;"|"&amp;$A20,'Master Data'!$A$2:$A$2436,0)),"")</f>
        <v>Belum terisi</v>
      </c>
      <c r="V20" s="61" t="str">
        <f aca="false">IFERROR(INDEX('Master Data'!$L$2:$L$2436,MATCH($B$3&amp;"|1|"&amp;D$14&amp;"|"&amp;$A20,'Master Data'!$A$2:$A$2436,0)),"")</f>
        <v>Belum terisi</v>
      </c>
      <c r="W20" s="61" t="str">
        <f aca="false">IFERROR(INDEX('Master Data'!$L$2:$L$2436,MATCH($B$3&amp;"|1|"&amp;E$14&amp;"|"&amp;$A20,'Master Data'!$A$2:$A$2436,0)),"")</f>
        <v>Belum terisi</v>
      </c>
      <c r="X20" s="61" t="str">
        <f aca="false">IFERROR(INDEX('Master Data'!$L$2:$L$2436,MATCH($B$3&amp;"|1|"&amp;F$14&amp;"|"&amp;$A20,'Master Data'!$A$2:$A$2436,0)),"")</f>
        <v>Belum terisi</v>
      </c>
      <c r="Y20" s="61" t="str">
        <f aca="false">IFERROR(INDEX('Master Data'!$L$2:$L$2436,MATCH($B$3&amp;"|1|"&amp;G$14&amp;"|"&amp;$A20,'Master Data'!$A$2:$A$2436,0)),"")</f>
        <v>Belum terisi</v>
      </c>
      <c r="Z20" s="61" t="str">
        <f aca="false">IFERROR(INDEX('Master Data'!$L$2:$L$2436,MATCH($B$3&amp;"|1|"&amp;H$14&amp;"|"&amp;$A20,'Master Data'!$A$2:$A$2436,0)),"")</f>
        <v>Sebagian</v>
      </c>
    </row>
    <row r="21" customFormat="false" ht="30" hidden="false" customHeight="true" outlineLevel="0" collapsed="false">
      <c r="A21" s="59" t="s">
        <v>116</v>
      </c>
      <c r="B21" s="60" t="str">
        <f aca="false">IFERROR(INDEX('Master Data'!$M$2:$M$2436,MATCH($B$3&amp;"|1|"&amp;B$14&amp;"|"&amp;$A21,'Master Data'!$A$2:$A$2436,0)),"")</f>
        <v>Baby  0/5
coach: –</v>
      </c>
      <c r="C21" s="60" t="str">
        <f aca="false">IFERROR(INDEX('Master Data'!$M$2:$M$2436,MATCH($B$3&amp;"|1|"&amp;C$14&amp;"|"&amp;$A21,'Master Data'!$A$2:$A$2436,0)),"")</f>
        <v>Baby  0/5
coach: –</v>
      </c>
      <c r="D21" s="60" t="str">
        <f aca="false">IFERROR(INDEX('Master Data'!$M$2:$M$2436,MATCH($B$3&amp;"|1|"&amp;D$14&amp;"|"&amp;$A21,'Master Data'!$A$2:$A$2436,0)),"")</f>
        <v>Baby  0/5
coach: –</v>
      </c>
      <c r="E21" s="60" t="str">
        <f aca="false">IFERROR(INDEX('Master Data'!$M$2:$M$2436,MATCH($B$3&amp;"|1|"&amp;E$14&amp;"|"&amp;$A21,'Master Data'!$A$2:$A$2436,0)),"")</f>
        <v>Baby  1/5
coach: Rizky</v>
      </c>
      <c r="F21" s="60" t="str">
        <f aca="false">IFERROR(INDEX('Master Data'!$M$2:$M$2436,MATCH($B$3&amp;"|1|"&amp;F$14&amp;"|"&amp;$A21,'Master Data'!$A$2:$A$2436,0)),"")</f>
        <v>Baby  0/5
coach: –</v>
      </c>
      <c r="G21" s="60" t="str">
        <f aca="false">IFERROR(INDEX('Master Data'!$M$2:$M$2436,MATCH($B$3&amp;"|1|"&amp;G$14&amp;"|"&amp;$A21,'Master Data'!$A$2:$A$2436,0)),"")</f>
        <v>Baby  1/5
coach: Rizky</v>
      </c>
      <c r="H21" s="60" t="str">
        <f aca="false">IFERROR(INDEX('Master Data'!$M$2:$M$2436,MATCH($B$3&amp;"|1|"&amp;H$14&amp;"|"&amp;$A21,'Master Data'!$A$2:$A$2436,0)),"")</f>
        <v>Baby  0/5
coach: –</v>
      </c>
      <c r="T21" s="61" t="str">
        <f aca="false">IFERROR(INDEX('Master Data'!$L$2:$L$2436,MATCH($B$3&amp;"|1|"&amp;B$14&amp;"|"&amp;$A21,'Master Data'!$A$2:$A$2436,0)),"")</f>
        <v>Belum terisi</v>
      </c>
      <c r="U21" s="61" t="str">
        <f aca="false">IFERROR(INDEX('Master Data'!$L$2:$L$2436,MATCH($B$3&amp;"|1|"&amp;C$14&amp;"|"&amp;$A21,'Master Data'!$A$2:$A$2436,0)),"")</f>
        <v>Belum terisi</v>
      </c>
      <c r="V21" s="61" t="str">
        <f aca="false">IFERROR(INDEX('Master Data'!$L$2:$L$2436,MATCH($B$3&amp;"|1|"&amp;D$14&amp;"|"&amp;$A21,'Master Data'!$A$2:$A$2436,0)),"")</f>
        <v>Belum terisi</v>
      </c>
      <c r="W21" s="61" t="str">
        <f aca="false">IFERROR(INDEX('Master Data'!$L$2:$L$2436,MATCH($B$3&amp;"|1|"&amp;E$14&amp;"|"&amp;$A21,'Master Data'!$A$2:$A$2436,0)),"")</f>
        <v>Sebagian</v>
      </c>
      <c r="X21" s="61" t="str">
        <f aca="false">IFERROR(INDEX('Master Data'!$L$2:$L$2436,MATCH($B$3&amp;"|1|"&amp;F$14&amp;"|"&amp;$A21,'Master Data'!$A$2:$A$2436,0)),"")</f>
        <v>Belum terisi</v>
      </c>
      <c r="Y21" s="61" t="str">
        <f aca="false">IFERROR(INDEX('Master Data'!$L$2:$L$2436,MATCH($B$3&amp;"|1|"&amp;G$14&amp;"|"&amp;$A21,'Master Data'!$A$2:$A$2436,0)),"")</f>
        <v>Sebagian</v>
      </c>
      <c r="Z21" s="61" t="str">
        <f aca="false">IFERROR(INDEX('Master Data'!$L$2:$L$2436,MATCH($B$3&amp;"|1|"&amp;H$14&amp;"|"&amp;$A21,'Master Data'!$A$2:$A$2436,0)),"")</f>
        <v>Belum terisi</v>
      </c>
    </row>
    <row r="22" customFormat="false" ht="30" hidden="false" customHeight="true" outlineLevel="0" collapsed="false">
      <c r="A22" s="59" t="s">
        <v>117</v>
      </c>
      <c r="B22" s="60" t="str">
        <f aca="false">IFERROR(INDEX('Master Data'!$M$2:$M$2436,MATCH($B$3&amp;"|1|"&amp;B$14&amp;"|"&amp;$A22,'Master Data'!$A$2:$A$2436,0)),"")</f>
        <v>Baby  0/5
coach: –</v>
      </c>
      <c r="C22" s="60" t="str">
        <f aca="false">IFERROR(INDEX('Master Data'!$M$2:$M$2436,MATCH($B$3&amp;"|1|"&amp;C$14&amp;"|"&amp;$A22,'Master Data'!$A$2:$A$2436,0)),"")</f>
        <v>Baby  0/5
coach: –</v>
      </c>
      <c r="D22" s="60" t="str">
        <f aca="false">IFERROR(INDEX('Master Data'!$M$2:$M$2436,MATCH($B$3&amp;"|1|"&amp;D$14&amp;"|"&amp;$A22,'Master Data'!$A$2:$A$2436,0)),"")</f>
        <v>Baby  0/5
coach: –</v>
      </c>
      <c r="E22" s="60" t="str">
        <f aca="false">IFERROR(INDEX('Master Data'!$M$2:$M$2436,MATCH($B$3&amp;"|1|"&amp;E$14&amp;"|"&amp;$A22,'Master Data'!$A$2:$A$2436,0)),"")</f>
        <v>Baby  0/5
coach: –</v>
      </c>
      <c r="F22" s="60" t="str">
        <f aca="false">IFERROR(INDEX('Master Data'!$M$2:$M$2436,MATCH($B$3&amp;"|1|"&amp;F$14&amp;"|"&amp;$A22,'Master Data'!$A$2:$A$2436,0)),"")</f>
        <v>Baby  0/5
coach: –</v>
      </c>
      <c r="G22" s="60" t="str">
        <f aca="false">IFERROR(INDEX('Master Data'!$M$2:$M$2436,MATCH($B$3&amp;"|1|"&amp;G$14&amp;"|"&amp;$A22,'Master Data'!$A$2:$A$2436,0)),"")</f>
        <v>Baby  0/5
coach: –</v>
      </c>
      <c r="H22" s="60" t="str">
        <f aca="false">IFERROR(INDEX('Master Data'!$M$2:$M$2436,MATCH($B$3&amp;"|1|"&amp;H$14&amp;"|"&amp;$A22,'Master Data'!$A$2:$A$2436,0)),"")</f>
        <v>Baby  1/5
coach: Rizky</v>
      </c>
      <c r="T22" s="61" t="str">
        <f aca="false">IFERROR(INDEX('Master Data'!$L$2:$L$2436,MATCH($B$3&amp;"|1|"&amp;B$14&amp;"|"&amp;$A22,'Master Data'!$A$2:$A$2436,0)),"")</f>
        <v>Belum terisi</v>
      </c>
      <c r="U22" s="61" t="str">
        <f aca="false">IFERROR(INDEX('Master Data'!$L$2:$L$2436,MATCH($B$3&amp;"|1|"&amp;C$14&amp;"|"&amp;$A22,'Master Data'!$A$2:$A$2436,0)),"")</f>
        <v>Belum terisi</v>
      </c>
      <c r="V22" s="61" t="str">
        <f aca="false">IFERROR(INDEX('Master Data'!$L$2:$L$2436,MATCH($B$3&amp;"|1|"&amp;D$14&amp;"|"&amp;$A22,'Master Data'!$A$2:$A$2436,0)),"")</f>
        <v>Belum terisi</v>
      </c>
      <c r="W22" s="61" t="str">
        <f aca="false">IFERROR(INDEX('Master Data'!$L$2:$L$2436,MATCH($B$3&amp;"|1|"&amp;E$14&amp;"|"&amp;$A22,'Master Data'!$A$2:$A$2436,0)),"")</f>
        <v>Belum terisi</v>
      </c>
      <c r="X22" s="61" t="str">
        <f aca="false">IFERROR(INDEX('Master Data'!$L$2:$L$2436,MATCH($B$3&amp;"|1|"&amp;F$14&amp;"|"&amp;$A22,'Master Data'!$A$2:$A$2436,0)),"")</f>
        <v>Belum terisi</v>
      </c>
      <c r="Y22" s="61" t="str">
        <f aca="false">IFERROR(INDEX('Master Data'!$L$2:$L$2436,MATCH($B$3&amp;"|1|"&amp;G$14&amp;"|"&amp;$A22,'Master Data'!$A$2:$A$2436,0)),"")</f>
        <v>Belum terisi</v>
      </c>
      <c r="Z22" s="61" t="str">
        <f aca="false">IFERROR(INDEX('Master Data'!$L$2:$L$2436,MATCH($B$3&amp;"|1|"&amp;H$14&amp;"|"&amp;$A22,'Master Data'!$A$2:$A$2436,0)),"")</f>
        <v>Sebagian</v>
      </c>
    </row>
    <row r="23" customFormat="false" ht="30" hidden="false" customHeight="true" outlineLevel="0" collapsed="false">
      <c r="A23" s="59" t="s">
        <v>118</v>
      </c>
      <c r="B23" s="60" t="str">
        <f aca="false">IFERROR(INDEX('Master Data'!$M$2:$M$2436,MATCH($B$3&amp;"|1|"&amp;B$14&amp;"|"&amp;$A23,'Master Data'!$A$2:$A$2436,0)),"")</f>
        <v>Baby  0/5
coach: –</v>
      </c>
      <c r="C23" s="60" t="str">
        <f aca="false">IFERROR(INDEX('Master Data'!$M$2:$M$2436,MATCH($B$3&amp;"|1|"&amp;C$14&amp;"|"&amp;$A23,'Master Data'!$A$2:$A$2436,0)),"")</f>
        <v>Baby  0/5
coach: –</v>
      </c>
      <c r="D23" s="60" t="str">
        <f aca="false">IFERROR(INDEX('Master Data'!$M$2:$M$2436,MATCH($B$3&amp;"|1|"&amp;D$14&amp;"|"&amp;$A23,'Master Data'!$A$2:$A$2436,0)),"")</f>
        <v>Baby  1/5
coach: Shabrina</v>
      </c>
      <c r="E23" s="60" t="str">
        <f aca="false">IFERROR(INDEX('Master Data'!$M$2:$M$2436,MATCH($B$3&amp;"|1|"&amp;E$14&amp;"|"&amp;$A23,'Master Data'!$A$2:$A$2436,0)),"")</f>
        <v>Baby  0/5
coach: –</v>
      </c>
      <c r="F23" s="60" t="str">
        <f aca="false">IFERROR(INDEX('Master Data'!$M$2:$M$2436,MATCH($B$3&amp;"|1|"&amp;F$14&amp;"|"&amp;$A23,'Master Data'!$A$2:$A$2436,0)),"")</f>
        <v>Baby  0/5
coach: –</v>
      </c>
      <c r="G23" s="60" t="str">
        <f aca="false">IFERROR(INDEX('Master Data'!$M$2:$M$2436,MATCH($B$3&amp;"|1|"&amp;G$14&amp;"|"&amp;$A23,'Master Data'!$A$2:$A$2436,0)),"")</f>
        <v>Baby  0/5
coach: –</v>
      </c>
      <c r="H23" s="60" t="str">
        <f aca="false">IFERROR(INDEX('Master Data'!$M$2:$M$2436,MATCH($B$3&amp;"|1|"&amp;H$14&amp;"|"&amp;$A23,'Master Data'!$A$2:$A$2436,0)),"")</f>
        <v>Baby  0/5
coach: –</v>
      </c>
      <c r="T23" s="61" t="str">
        <f aca="false">IFERROR(INDEX('Master Data'!$L$2:$L$2436,MATCH($B$3&amp;"|1|"&amp;B$14&amp;"|"&amp;$A23,'Master Data'!$A$2:$A$2436,0)),"")</f>
        <v>Belum terisi</v>
      </c>
      <c r="U23" s="61" t="str">
        <f aca="false">IFERROR(INDEX('Master Data'!$L$2:$L$2436,MATCH($B$3&amp;"|1|"&amp;C$14&amp;"|"&amp;$A23,'Master Data'!$A$2:$A$2436,0)),"")</f>
        <v>Belum terisi</v>
      </c>
      <c r="V23" s="61" t="str">
        <f aca="false">IFERROR(INDEX('Master Data'!$L$2:$L$2436,MATCH($B$3&amp;"|1|"&amp;D$14&amp;"|"&amp;$A23,'Master Data'!$A$2:$A$2436,0)),"")</f>
        <v>Sebagian</v>
      </c>
      <c r="W23" s="61" t="str">
        <f aca="false">IFERROR(INDEX('Master Data'!$L$2:$L$2436,MATCH($B$3&amp;"|1|"&amp;E$14&amp;"|"&amp;$A23,'Master Data'!$A$2:$A$2436,0)),"")</f>
        <v>Belum terisi</v>
      </c>
      <c r="X23" s="61" t="str">
        <f aca="false">IFERROR(INDEX('Master Data'!$L$2:$L$2436,MATCH($B$3&amp;"|1|"&amp;F$14&amp;"|"&amp;$A23,'Master Data'!$A$2:$A$2436,0)),"")</f>
        <v>Belum terisi</v>
      </c>
      <c r="Y23" s="61" t="str">
        <f aca="false">IFERROR(INDEX('Master Data'!$L$2:$L$2436,MATCH($B$3&amp;"|1|"&amp;G$14&amp;"|"&amp;$A23,'Master Data'!$A$2:$A$2436,0)),"")</f>
        <v>Belum terisi</v>
      </c>
      <c r="Z23" s="61" t="str">
        <f aca="false">IFERROR(INDEX('Master Data'!$L$2:$L$2436,MATCH($B$3&amp;"|1|"&amp;H$14&amp;"|"&amp;$A23,'Master Data'!$A$2:$A$2436,0)),"")</f>
        <v>Belum terisi</v>
      </c>
    </row>
    <row r="24" customFormat="false" ht="30" hidden="false" customHeight="true" outlineLevel="0" collapsed="false">
      <c r="A24" s="59" t="s">
        <v>119</v>
      </c>
      <c r="B24" s="60" t="str">
        <f aca="false">IFERROR(INDEX('Master Data'!$M$2:$M$2436,MATCH($B$3&amp;"|1|"&amp;B$14&amp;"|"&amp;$A24,'Master Data'!$A$2:$A$2436,0)),"")</f>
        <v>Baby  0/5
coach: –</v>
      </c>
      <c r="C24" s="60" t="str">
        <f aca="false">IFERROR(INDEX('Master Data'!$M$2:$M$2436,MATCH($B$3&amp;"|1|"&amp;C$14&amp;"|"&amp;$A24,'Master Data'!$A$2:$A$2436,0)),"")</f>
        <v>Baby  0/5
coach: –</v>
      </c>
      <c r="D24" s="60" t="str">
        <f aca="false">IFERROR(INDEX('Master Data'!$M$2:$M$2436,MATCH($B$3&amp;"|1|"&amp;D$14&amp;"|"&amp;$A24,'Master Data'!$A$2:$A$2436,0)),"")</f>
        <v>Baby  0/5
coach: –</v>
      </c>
      <c r="E24" s="60" t="str">
        <f aca="false">IFERROR(INDEX('Master Data'!$M$2:$M$2436,MATCH($B$3&amp;"|1|"&amp;E$14&amp;"|"&amp;$A24,'Master Data'!$A$2:$A$2436,0)),"")</f>
        <v>Baby  0/5
coach: –</v>
      </c>
      <c r="F24" s="60" t="str">
        <f aca="false">IFERROR(INDEX('Master Data'!$M$2:$M$2436,MATCH($B$3&amp;"|1|"&amp;F$14&amp;"|"&amp;$A24,'Master Data'!$A$2:$A$2436,0)),"")</f>
        <v>Baby  0/5
coach: –</v>
      </c>
      <c r="G24" s="60" t="str">
        <f aca="false">IFERROR(INDEX('Master Data'!$M$2:$M$2436,MATCH($B$3&amp;"|1|"&amp;G$14&amp;"|"&amp;$A24,'Master Data'!$A$2:$A$2436,0)),"")</f>
        <v>Baby  0/5
coach: Shabrina</v>
      </c>
      <c r="H24" s="60" t="str">
        <f aca="false">IFERROR(INDEX('Master Data'!$M$2:$M$2436,MATCH($B$3&amp;"|1|"&amp;H$14&amp;"|"&amp;$A24,'Master Data'!$A$2:$A$2436,0)),"")</f>
        <v>Baby  0/5
coach: –</v>
      </c>
      <c r="T24" s="61" t="str">
        <f aca="false">IFERROR(INDEX('Master Data'!$L$2:$L$2436,MATCH($B$3&amp;"|1|"&amp;B$14&amp;"|"&amp;$A24,'Master Data'!$A$2:$A$2436,0)),"")</f>
        <v>Belum terisi</v>
      </c>
      <c r="U24" s="61" t="str">
        <f aca="false">IFERROR(INDEX('Master Data'!$L$2:$L$2436,MATCH($B$3&amp;"|1|"&amp;C$14&amp;"|"&amp;$A24,'Master Data'!$A$2:$A$2436,0)),"")</f>
        <v>Belum terisi</v>
      </c>
      <c r="V24" s="61" t="str">
        <f aca="false">IFERROR(INDEX('Master Data'!$L$2:$L$2436,MATCH($B$3&amp;"|1|"&amp;D$14&amp;"|"&amp;$A24,'Master Data'!$A$2:$A$2436,0)),"")</f>
        <v>Belum terisi</v>
      </c>
      <c r="W24" s="61" t="str">
        <f aca="false">IFERROR(INDEX('Master Data'!$L$2:$L$2436,MATCH($B$3&amp;"|1|"&amp;E$14&amp;"|"&amp;$A24,'Master Data'!$A$2:$A$2436,0)),"")</f>
        <v>Belum terisi</v>
      </c>
      <c r="X24" s="61" t="str">
        <f aca="false">IFERROR(INDEX('Master Data'!$L$2:$L$2436,MATCH($B$3&amp;"|1|"&amp;F$14&amp;"|"&amp;$A24,'Master Data'!$A$2:$A$2436,0)),"")</f>
        <v>Belum terisi</v>
      </c>
      <c r="Y24" s="61" t="str">
        <f aca="false">IFERROR(INDEX('Master Data'!$L$2:$L$2436,MATCH($B$3&amp;"|1|"&amp;G$14&amp;"|"&amp;$A24,'Master Data'!$A$2:$A$2436,0)),"")</f>
        <v>Belum terisi</v>
      </c>
      <c r="Z24" s="61" t="str">
        <f aca="false">IFERROR(INDEX('Master Data'!$L$2:$L$2436,MATCH($B$3&amp;"|1|"&amp;H$14&amp;"|"&amp;$A24,'Master Data'!$A$2:$A$2436,0)),"")</f>
        <v>Belum terisi</v>
      </c>
    </row>
    <row r="25" customFormat="false" ht="30" hidden="false" customHeight="true" outlineLevel="0" collapsed="false">
      <c r="A25" s="59" t="s">
        <v>120</v>
      </c>
      <c r="B25" s="60" t="str">
        <f aca="false">IFERROR(INDEX('Master Data'!$M$2:$M$2436,MATCH($B$3&amp;"|1|"&amp;B$14&amp;"|"&amp;$A25,'Master Data'!$A$2:$A$2436,0)),"")</f>
        <v>Baby  0/5
coach: –</v>
      </c>
      <c r="C25" s="60" t="str">
        <f aca="false">IFERROR(INDEX('Master Data'!$M$2:$M$2436,MATCH($B$3&amp;"|1|"&amp;C$14&amp;"|"&amp;$A25,'Master Data'!$A$2:$A$2436,0)),"")</f>
        <v>Baby  0/5
coach: –</v>
      </c>
      <c r="D25" s="60" t="str">
        <f aca="false">IFERROR(INDEX('Master Data'!$M$2:$M$2436,MATCH($B$3&amp;"|1|"&amp;D$14&amp;"|"&amp;$A25,'Master Data'!$A$2:$A$2436,0)),"")</f>
        <v>Baby  0/5
coach: –</v>
      </c>
      <c r="E25" s="60" t="str">
        <f aca="false">IFERROR(INDEX('Master Data'!$M$2:$M$2436,MATCH($B$3&amp;"|1|"&amp;E$14&amp;"|"&amp;$A25,'Master Data'!$A$2:$A$2436,0)),"")</f>
        <v>Baby  0/5
coach: –</v>
      </c>
      <c r="F25" s="60" t="str">
        <f aca="false">IFERROR(INDEX('Master Data'!$M$2:$M$2436,MATCH($B$3&amp;"|1|"&amp;F$14&amp;"|"&amp;$A25,'Master Data'!$A$2:$A$2436,0)),"")</f>
        <v>Baby  2/5
coach: Rizky</v>
      </c>
      <c r="G25" s="60" t="str">
        <f aca="false">IFERROR(INDEX('Master Data'!$M$2:$M$2436,MATCH($B$3&amp;"|1|"&amp;G$14&amp;"|"&amp;$A25,'Master Data'!$A$2:$A$2436,0)),"")</f>
        <v>Baby  2/5
coach: Shabrina</v>
      </c>
      <c r="H25" s="60" t="str">
        <f aca="false">IFERROR(INDEX('Master Data'!$M$2:$M$2436,MATCH($B$3&amp;"|1|"&amp;H$14&amp;"|"&amp;$A25,'Master Data'!$A$2:$A$2436,0)),"")</f>
        <v>Baby  0/5
coach: –</v>
      </c>
      <c r="T25" s="61" t="str">
        <f aca="false">IFERROR(INDEX('Master Data'!$L$2:$L$2436,MATCH($B$3&amp;"|1|"&amp;B$14&amp;"|"&amp;$A25,'Master Data'!$A$2:$A$2436,0)),"")</f>
        <v>Belum terisi</v>
      </c>
      <c r="U25" s="61" t="str">
        <f aca="false">IFERROR(INDEX('Master Data'!$L$2:$L$2436,MATCH($B$3&amp;"|1|"&amp;C$14&amp;"|"&amp;$A25,'Master Data'!$A$2:$A$2436,0)),"")</f>
        <v>Belum terisi</v>
      </c>
      <c r="V25" s="61" t="str">
        <f aca="false">IFERROR(INDEX('Master Data'!$L$2:$L$2436,MATCH($B$3&amp;"|1|"&amp;D$14&amp;"|"&amp;$A25,'Master Data'!$A$2:$A$2436,0)),"")</f>
        <v>Belum terisi</v>
      </c>
      <c r="W25" s="61" t="str">
        <f aca="false">IFERROR(INDEX('Master Data'!$L$2:$L$2436,MATCH($B$3&amp;"|1|"&amp;E$14&amp;"|"&amp;$A25,'Master Data'!$A$2:$A$2436,0)),"")</f>
        <v>Belum terisi</v>
      </c>
      <c r="X25" s="61" t="str">
        <f aca="false">IFERROR(INDEX('Master Data'!$L$2:$L$2436,MATCH($B$3&amp;"|1|"&amp;F$14&amp;"|"&amp;$A25,'Master Data'!$A$2:$A$2436,0)),"")</f>
        <v>Sebagian</v>
      </c>
      <c r="Y25" s="61" t="str">
        <f aca="false">IFERROR(INDEX('Master Data'!$L$2:$L$2436,MATCH($B$3&amp;"|1|"&amp;G$14&amp;"|"&amp;$A25,'Master Data'!$A$2:$A$2436,0)),"")</f>
        <v>Sebagian</v>
      </c>
      <c r="Z25" s="61" t="str">
        <f aca="false">IFERROR(INDEX('Master Data'!$L$2:$L$2436,MATCH($B$3&amp;"|1|"&amp;H$14&amp;"|"&amp;$A25,'Master Data'!$A$2:$A$2436,0)),"")</f>
        <v>Belum terisi</v>
      </c>
    </row>
    <row r="26" customFormat="false" ht="30" hidden="false" customHeight="true" outlineLevel="0" collapsed="false">
      <c r="A26" s="59" t="s">
        <v>121</v>
      </c>
      <c r="B26" s="60" t="str">
        <f aca="false">IFERROR(INDEX('Master Data'!$M$2:$M$2436,MATCH($B$3&amp;"|1|"&amp;B$14&amp;"|"&amp;$A26,'Master Data'!$A$2:$A$2436,0)),"")</f>
        <v>Baby  0/5
coach: –</v>
      </c>
      <c r="C26" s="60" t="str">
        <f aca="false">IFERROR(INDEX('Master Data'!$M$2:$M$2436,MATCH($B$3&amp;"|1|"&amp;C$14&amp;"|"&amp;$A26,'Master Data'!$A$2:$A$2436,0)),"")</f>
        <v>Baby  0/5
coach: –</v>
      </c>
      <c r="D26" s="60" t="str">
        <f aca="false">IFERROR(INDEX('Master Data'!$M$2:$M$2436,MATCH($B$3&amp;"|1|"&amp;D$14&amp;"|"&amp;$A26,'Master Data'!$A$2:$A$2436,0)),"")</f>
        <v>Baby  0/5
coach: –</v>
      </c>
      <c r="E26" s="60" t="str">
        <f aca="false">IFERROR(INDEX('Master Data'!$M$2:$M$2436,MATCH($B$3&amp;"|1|"&amp;E$14&amp;"|"&amp;$A26,'Master Data'!$A$2:$A$2436,0)),"")</f>
        <v>Baby  0/5
coach: –</v>
      </c>
      <c r="F26" s="60" t="str">
        <f aca="false">IFERROR(INDEX('Master Data'!$M$2:$M$2436,MATCH($B$3&amp;"|1|"&amp;F$14&amp;"|"&amp;$A26,'Master Data'!$A$2:$A$2436,0)),"")</f>
        <v>Baby  0/5
coach: –</v>
      </c>
      <c r="G26" s="60" t="str">
        <f aca="false">IFERROR(INDEX('Master Data'!$M$2:$M$2436,MATCH($B$3&amp;"|1|"&amp;G$14&amp;"|"&amp;$A26,'Master Data'!$A$2:$A$2436,0)),"")</f>
        <v>Baby  0/5
coach: –</v>
      </c>
      <c r="H26" s="60" t="str">
        <f aca="false">IFERROR(INDEX('Master Data'!$M$2:$M$2436,MATCH($B$3&amp;"|1|"&amp;H$14&amp;"|"&amp;$A26,'Master Data'!$A$2:$A$2436,0)),"")</f>
        <v>Baby  0/5
coach: –</v>
      </c>
      <c r="T26" s="61" t="str">
        <f aca="false">IFERROR(INDEX('Master Data'!$L$2:$L$2436,MATCH($B$3&amp;"|1|"&amp;B$14&amp;"|"&amp;$A26,'Master Data'!$A$2:$A$2436,0)),"")</f>
        <v>Belum terisi</v>
      </c>
      <c r="U26" s="61" t="str">
        <f aca="false">IFERROR(INDEX('Master Data'!$L$2:$L$2436,MATCH($B$3&amp;"|1|"&amp;C$14&amp;"|"&amp;$A26,'Master Data'!$A$2:$A$2436,0)),"")</f>
        <v>Belum terisi</v>
      </c>
      <c r="V26" s="61" t="str">
        <f aca="false">IFERROR(INDEX('Master Data'!$L$2:$L$2436,MATCH($B$3&amp;"|1|"&amp;D$14&amp;"|"&amp;$A26,'Master Data'!$A$2:$A$2436,0)),"")</f>
        <v>Belum terisi</v>
      </c>
      <c r="W26" s="61" t="str">
        <f aca="false">IFERROR(INDEX('Master Data'!$L$2:$L$2436,MATCH($B$3&amp;"|1|"&amp;E$14&amp;"|"&amp;$A26,'Master Data'!$A$2:$A$2436,0)),"")</f>
        <v>Belum terisi</v>
      </c>
      <c r="X26" s="61" t="str">
        <f aca="false">IFERROR(INDEX('Master Data'!$L$2:$L$2436,MATCH($B$3&amp;"|1|"&amp;F$14&amp;"|"&amp;$A26,'Master Data'!$A$2:$A$2436,0)),"")</f>
        <v>Belum terisi</v>
      </c>
      <c r="Y26" s="61" t="str">
        <f aca="false">IFERROR(INDEX('Master Data'!$L$2:$L$2436,MATCH($B$3&amp;"|1|"&amp;G$14&amp;"|"&amp;$A26,'Master Data'!$A$2:$A$2436,0)),"")</f>
        <v>Belum terisi</v>
      </c>
      <c r="Z26" s="61" t="str">
        <f aca="false">IFERROR(INDEX('Master Data'!$L$2:$L$2436,MATCH($B$3&amp;"|1|"&amp;H$14&amp;"|"&amp;$A26,'Master Data'!$A$2:$A$2436,0)),"")</f>
        <v>Belum terisi</v>
      </c>
    </row>
    <row r="28" customFormat="false" ht="16.15" hidden="false" customHeight="false" outlineLevel="0" collapsed="false">
      <c r="A28" s="54" t="s">
        <v>108</v>
      </c>
      <c r="B28" s="55"/>
      <c r="C28" s="56" t="str">
        <f aca="false">"Utilisasi lane: "&amp;IFERROR(TEXT(SUMIFS('Master Data'!$H$2:$H$2436,'Master Data'!$B$2:$B$2436,$B$3,'Master Data'!$C$2:$C$2436,2,'Master Data'!$G$2:$G$2436,"&gt;0")/SUMIFS('Master Data'!$G$2:$G$2436,'Master Data'!$B$2:$B$2436,$B$3,'Master Data'!$C$2:$C$2436,2,'Master Data'!$G$2:$G$2436,"&gt;0"),"0%"),"–")&amp;"   ·   Belum terisi: "&amp;COUNTIFS('Master Data'!$B$2:$B$2436,$B$3,'Master Data'!$C$2:$C$2436,2,'Master Data'!$L$2:$L$2436,"Belum terisi")&amp;"   ·   Slot kosong: "&amp;COUNTIFS('Master Data'!$B$2:$B$2436,$B$3,'Master Data'!$C$2:$C$2436,2,'Master Data'!$L$2:$L$2436,"Slot kosong")</f>
        <v>Utilisasi lane: 7%   ·   Belum terisi: 66   ·   Slot kosong: 0</v>
      </c>
      <c r="D28" s="55"/>
      <c r="E28" s="55"/>
      <c r="F28" s="55"/>
      <c r="G28" s="55"/>
      <c r="H28" s="55"/>
    </row>
    <row r="29" customFormat="false" ht="15" hidden="false" customHeight="false" outlineLevel="0" collapsed="false">
      <c r="A29" s="57" t="s">
        <v>89</v>
      </c>
      <c r="B29" s="58" t="s">
        <v>90</v>
      </c>
      <c r="C29" s="58" t="s">
        <v>91</v>
      </c>
      <c r="D29" s="58" t="s">
        <v>92</v>
      </c>
      <c r="E29" s="58" t="s">
        <v>93</v>
      </c>
      <c r="F29" s="58" t="s">
        <v>94</v>
      </c>
      <c r="G29" s="58" t="s">
        <v>95</v>
      </c>
      <c r="H29" s="58" t="s">
        <v>78</v>
      </c>
    </row>
    <row r="30" customFormat="false" ht="30" hidden="false" customHeight="true" outlineLevel="0" collapsed="false">
      <c r="A30" s="59" t="s">
        <v>110</v>
      </c>
      <c r="B30" s="60" t="str">
        <f aca="false">IFERROR(INDEX('Master Data'!$M$2:$M$2436,MATCH($B$3&amp;"|2|"&amp;B$29&amp;"|"&amp;$A30,'Master Data'!$A$2:$A$2436,0)),"")</f>
        <v>Tiny  0/5
coach: –</v>
      </c>
      <c r="C30" s="60" t="str">
        <f aca="false">IFERROR(INDEX('Master Data'!$M$2:$M$2436,MATCH($B$3&amp;"|2|"&amp;C$29&amp;"|"&amp;$A30,'Master Data'!$A$2:$A$2436,0)),"")</f>
        <v>Tiny  0/5
coach: –</v>
      </c>
      <c r="D30" s="60" t="str">
        <f aca="false">IFERROR(INDEX('Master Data'!$M$2:$M$2436,MATCH($B$3&amp;"|2|"&amp;D$29&amp;"|"&amp;$A30,'Master Data'!$A$2:$A$2436,0)),"")</f>
        <v>Tiny  0/5
coach: –</v>
      </c>
      <c r="E30" s="60" t="str">
        <f aca="false">IFERROR(INDEX('Master Data'!$M$2:$M$2436,MATCH($B$3&amp;"|2|"&amp;E$29&amp;"|"&amp;$A30,'Master Data'!$A$2:$A$2436,0)),"")</f>
        <v>Tiny  0/5
coach: –</v>
      </c>
      <c r="F30" s="60" t="str">
        <f aca="false">IFERROR(INDEX('Master Data'!$M$2:$M$2436,MATCH($B$3&amp;"|2|"&amp;F$29&amp;"|"&amp;$A30,'Master Data'!$A$2:$A$2436,0)),"")</f>
        <v>Tiny  0/5
coach: –</v>
      </c>
      <c r="G30" s="60" t="str">
        <f aca="false">IFERROR(INDEX('Master Data'!$M$2:$M$2436,MATCH($B$3&amp;"|2|"&amp;G$29&amp;"|"&amp;$A30,'Master Data'!$A$2:$A$2436,0)),"")</f>
        <v>Tiny  0/5
coach: –</v>
      </c>
      <c r="H30" s="60" t="str">
        <f aca="false">IFERROR(INDEX('Master Data'!$M$2:$M$2436,MATCH($B$3&amp;"|2|"&amp;H$29&amp;"|"&amp;$A30,'Master Data'!$A$2:$A$2436,0)),"")</f>
        <v>Tiny  0/5
coach: –</v>
      </c>
      <c r="T30" s="61" t="str">
        <f aca="false">IFERROR(INDEX('Master Data'!$L$2:$L$2436,MATCH($B$3&amp;"|2|"&amp;B$29&amp;"|"&amp;$A30,'Master Data'!$A$2:$A$2436,0)),"")</f>
        <v>Belum terisi</v>
      </c>
      <c r="U30" s="61" t="str">
        <f aca="false">IFERROR(INDEX('Master Data'!$L$2:$L$2436,MATCH($B$3&amp;"|2|"&amp;C$29&amp;"|"&amp;$A30,'Master Data'!$A$2:$A$2436,0)),"")</f>
        <v>Belum terisi</v>
      </c>
      <c r="V30" s="61" t="str">
        <f aca="false">IFERROR(INDEX('Master Data'!$L$2:$L$2436,MATCH($B$3&amp;"|2|"&amp;D$29&amp;"|"&amp;$A30,'Master Data'!$A$2:$A$2436,0)),"")</f>
        <v>Belum terisi</v>
      </c>
      <c r="W30" s="61" t="str">
        <f aca="false">IFERROR(INDEX('Master Data'!$L$2:$L$2436,MATCH($B$3&amp;"|2|"&amp;E$29&amp;"|"&amp;$A30,'Master Data'!$A$2:$A$2436,0)),"")</f>
        <v>Belum terisi</v>
      </c>
      <c r="X30" s="61" t="str">
        <f aca="false">IFERROR(INDEX('Master Data'!$L$2:$L$2436,MATCH($B$3&amp;"|2|"&amp;F$29&amp;"|"&amp;$A30,'Master Data'!$A$2:$A$2436,0)),"")</f>
        <v>Belum terisi</v>
      </c>
      <c r="Y30" s="61" t="str">
        <f aca="false">IFERROR(INDEX('Master Data'!$L$2:$L$2436,MATCH($B$3&amp;"|2|"&amp;G$29&amp;"|"&amp;$A30,'Master Data'!$A$2:$A$2436,0)),"")</f>
        <v>Belum terisi</v>
      </c>
      <c r="Z30" s="61" t="str">
        <f aca="false">IFERROR(INDEX('Master Data'!$L$2:$L$2436,MATCH($B$3&amp;"|2|"&amp;H$29&amp;"|"&amp;$A30,'Master Data'!$A$2:$A$2436,0)),"")</f>
        <v>Belum terisi</v>
      </c>
    </row>
    <row r="31" customFormat="false" ht="30" hidden="false" customHeight="true" outlineLevel="0" collapsed="false">
      <c r="A31" s="59" t="s">
        <v>111</v>
      </c>
      <c r="B31" s="60" t="str">
        <f aca="false">IFERROR(INDEX('Master Data'!$M$2:$M$2436,MATCH($B$3&amp;"|2|"&amp;B$29&amp;"|"&amp;$A31,'Master Data'!$A$2:$A$2436,0)),"")</f>
        <v>Tiny  0/5
coach: –</v>
      </c>
      <c r="C31" s="60" t="str">
        <f aca="false">IFERROR(INDEX('Master Data'!$M$2:$M$2436,MATCH($B$3&amp;"|2|"&amp;C$29&amp;"|"&amp;$A31,'Master Data'!$A$2:$A$2436,0)),"")</f>
        <v>Tiny  0/5
coach: –</v>
      </c>
      <c r="D31" s="60" t="str">
        <f aca="false">IFERROR(INDEX('Master Data'!$M$2:$M$2436,MATCH($B$3&amp;"|2|"&amp;D$29&amp;"|"&amp;$A31,'Master Data'!$A$2:$A$2436,0)),"")</f>
        <v>Tiny  1/5
coach: Shabrina</v>
      </c>
      <c r="E31" s="60" t="str">
        <f aca="false">IFERROR(INDEX('Master Data'!$M$2:$M$2436,MATCH($B$3&amp;"|2|"&amp;E$29&amp;"|"&amp;$A31,'Master Data'!$A$2:$A$2436,0)),"")</f>
        <v>Tiny  0/5
coach: –</v>
      </c>
      <c r="F31" s="60" t="str">
        <f aca="false">IFERROR(INDEX('Master Data'!$M$2:$M$2436,MATCH($B$3&amp;"|2|"&amp;F$29&amp;"|"&amp;$A31,'Master Data'!$A$2:$A$2436,0)),"")</f>
        <v>Tiny  0/5
coach: –</v>
      </c>
      <c r="G31" s="60" t="str">
        <f aca="false">IFERROR(INDEX('Master Data'!$M$2:$M$2436,MATCH($B$3&amp;"|2|"&amp;G$29&amp;"|"&amp;$A31,'Master Data'!$A$2:$A$2436,0)),"")</f>
        <v>Tiny  3/5
coach: Rizky</v>
      </c>
      <c r="H31" s="60" t="str">
        <f aca="false">IFERROR(INDEX('Master Data'!$M$2:$M$2436,MATCH($B$3&amp;"|2|"&amp;H$29&amp;"|"&amp;$A31,'Master Data'!$A$2:$A$2436,0)),"")</f>
        <v>Tiny  1/5
coach: Rizky</v>
      </c>
      <c r="T31" s="61" t="str">
        <f aca="false">IFERROR(INDEX('Master Data'!$L$2:$L$2436,MATCH($B$3&amp;"|2|"&amp;B$29&amp;"|"&amp;$A31,'Master Data'!$A$2:$A$2436,0)),"")</f>
        <v>Belum terisi</v>
      </c>
      <c r="U31" s="61" t="str">
        <f aca="false">IFERROR(INDEX('Master Data'!$L$2:$L$2436,MATCH($B$3&amp;"|2|"&amp;C$29&amp;"|"&amp;$A31,'Master Data'!$A$2:$A$2436,0)),"")</f>
        <v>Belum terisi</v>
      </c>
      <c r="V31" s="61" t="str">
        <f aca="false">IFERROR(INDEX('Master Data'!$L$2:$L$2436,MATCH($B$3&amp;"|2|"&amp;D$29&amp;"|"&amp;$A31,'Master Data'!$A$2:$A$2436,0)),"")</f>
        <v>Sebagian</v>
      </c>
      <c r="W31" s="61" t="str">
        <f aca="false">IFERROR(INDEX('Master Data'!$L$2:$L$2436,MATCH($B$3&amp;"|2|"&amp;E$29&amp;"|"&amp;$A31,'Master Data'!$A$2:$A$2436,0)),"")</f>
        <v>Belum terisi</v>
      </c>
      <c r="X31" s="61" t="str">
        <f aca="false">IFERROR(INDEX('Master Data'!$L$2:$L$2436,MATCH($B$3&amp;"|2|"&amp;F$29&amp;"|"&amp;$A31,'Master Data'!$A$2:$A$2436,0)),"")</f>
        <v>Belum terisi</v>
      </c>
      <c r="Y31" s="61" t="str">
        <f aca="false">IFERROR(INDEX('Master Data'!$L$2:$L$2436,MATCH($B$3&amp;"|2|"&amp;G$29&amp;"|"&amp;$A31,'Master Data'!$A$2:$A$2436,0)),"")</f>
        <v>Sebagian</v>
      </c>
      <c r="Z31" s="61" t="str">
        <f aca="false">IFERROR(INDEX('Master Data'!$L$2:$L$2436,MATCH($B$3&amp;"|2|"&amp;H$29&amp;"|"&amp;$A31,'Master Data'!$A$2:$A$2436,0)),"")</f>
        <v>Sebagian</v>
      </c>
    </row>
    <row r="32" customFormat="false" ht="30" hidden="false" customHeight="true" outlineLevel="0" collapsed="false">
      <c r="A32" s="59" t="s">
        <v>112</v>
      </c>
      <c r="B32" s="60" t="str">
        <f aca="false">IFERROR(INDEX('Master Data'!$M$2:$M$2436,MATCH($B$3&amp;"|2|"&amp;B$29&amp;"|"&amp;$A32,'Master Data'!$A$2:$A$2436,0)),"")</f>
        <v>Tiny  0/5
coach: –</v>
      </c>
      <c r="C32" s="60" t="str">
        <f aca="false">IFERROR(INDEX('Master Data'!$M$2:$M$2436,MATCH($B$3&amp;"|2|"&amp;C$29&amp;"|"&amp;$A32,'Master Data'!$A$2:$A$2436,0)),"")</f>
        <v>Tiny  0/5
coach: –</v>
      </c>
      <c r="D32" s="60" t="str">
        <f aca="false">IFERROR(INDEX('Master Data'!$M$2:$M$2436,MATCH($B$3&amp;"|2|"&amp;D$29&amp;"|"&amp;$A32,'Master Data'!$A$2:$A$2436,0)),"")</f>
        <v>Tiny  2/5
coach: Rizky</v>
      </c>
      <c r="E32" s="60" t="str">
        <f aca="false">IFERROR(INDEX('Master Data'!$M$2:$M$2436,MATCH($B$3&amp;"|2|"&amp;E$29&amp;"|"&amp;$A32,'Master Data'!$A$2:$A$2436,0)),"")</f>
        <v>Tiny  2/5
coach: Rizky</v>
      </c>
      <c r="F32" s="60" t="str">
        <f aca="false">IFERROR(INDEX('Master Data'!$M$2:$M$2436,MATCH($B$3&amp;"|2|"&amp;F$29&amp;"|"&amp;$A32,'Master Data'!$A$2:$A$2436,0)),"")</f>
        <v>Tiny  1/5
coach: Rizky</v>
      </c>
      <c r="G32" s="60" t="str">
        <f aca="false">IFERROR(INDEX('Master Data'!$M$2:$M$2436,MATCH($B$3&amp;"|2|"&amp;G$29&amp;"|"&amp;$A32,'Master Data'!$A$2:$A$2436,0)),"")</f>
        <v>Tiny  1/5
coach: Shabrina</v>
      </c>
      <c r="H32" s="60" t="str">
        <f aca="false">IFERROR(INDEX('Master Data'!$M$2:$M$2436,MATCH($B$3&amp;"|2|"&amp;H$29&amp;"|"&amp;$A32,'Master Data'!$A$2:$A$2436,0)),"")</f>
        <v>Tiny  0/5
coach: –</v>
      </c>
      <c r="T32" s="61" t="str">
        <f aca="false">IFERROR(INDEX('Master Data'!$L$2:$L$2436,MATCH($B$3&amp;"|2|"&amp;B$29&amp;"|"&amp;$A32,'Master Data'!$A$2:$A$2436,0)),"")</f>
        <v>Belum terisi</v>
      </c>
      <c r="U32" s="61" t="str">
        <f aca="false">IFERROR(INDEX('Master Data'!$L$2:$L$2436,MATCH($B$3&amp;"|2|"&amp;C$29&amp;"|"&amp;$A32,'Master Data'!$A$2:$A$2436,0)),"")</f>
        <v>Belum terisi</v>
      </c>
      <c r="V32" s="61" t="str">
        <f aca="false">IFERROR(INDEX('Master Data'!$L$2:$L$2436,MATCH($B$3&amp;"|2|"&amp;D$29&amp;"|"&amp;$A32,'Master Data'!$A$2:$A$2436,0)),"")</f>
        <v>Sebagian</v>
      </c>
      <c r="W32" s="61" t="str">
        <f aca="false">IFERROR(INDEX('Master Data'!$L$2:$L$2436,MATCH($B$3&amp;"|2|"&amp;E$29&amp;"|"&amp;$A32,'Master Data'!$A$2:$A$2436,0)),"")</f>
        <v>Sebagian</v>
      </c>
      <c r="X32" s="61" t="str">
        <f aca="false">IFERROR(INDEX('Master Data'!$L$2:$L$2436,MATCH($B$3&amp;"|2|"&amp;F$29&amp;"|"&amp;$A32,'Master Data'!$A$2:$A$2436,0)),"")</f>
        <v>Sebagian</v>
      </c>
      <c r="Y32" s="61" t="str">
        <f aca="false">IFERROR(INDEX('Master Data'!$L$2:$L$2436,MATCH($B$3&amp;"|2|"&amp;G$29&amp;"|"&amp;$A32,'Master Data'!$A$2:$A$2436,0)),"")</f>
        <v>Sebagian</v>
      </c>
      <c r="Z32" s="61" t="str">
        <f aca="false">IFERROR(INDEX('Master Data'!$L$2:$L$2436,MATCH($B$3&amp;"|2|"&amp;H$29&amp;"|"&amp;$A32,'Master Data'!$A$2:$A$2436,0)),"")</f>
        <v>Belum terisi</v>
      </c>
    </row>
    <row r="33" customFormat="false" ht="30" hidden="false" customHeight="true" outlineLevel="0" collapsed="false">
      <c r="A33" s="59" t="s">
        <v>113</v>
      </c>
      <c r="B33" s="60" t="str">
        <f aca="false">IFERROR(INDEX('Master Data'!$M$2:$M$2436,MATCH($B$3&amp;"|2|"&amp;B$29&amp;"|"&amp;$A33,'Master Data'!$A$2:$A$2436,0)),"")</f>
        <v>Tiny  1/5
coach: Shabrina</v>
      </c>
      <c r="C33" s="60" t="str">
        <f aca="false">IFERROR(INDEX('Master Data'!$M$2:$M$2436,MATCH($B$3&amp;"|2|"&amp;C$29&amp;"|"&amp;$A33,'Master Data'!$A$2:$A$2436,0)),"")</f>
        <v>Tiny  0/5
coach: –</v>
      </c>
      <c r="D33" s="60" t="str">
        <f aca="false">IFERROR(INDEX('Master Data'!$M$2:$M$2436,MATCH($B$3&amp;"|2|"&amp;D$29&amp;"|"&amp;$A33,'Master Data'!$A$2:$A$2436,0)),"")</f>
        <v>Tiny  2/5
coach: Rizky</v>
      </c>
      <c r="E33" s="60" t="str">
        <f aca="false">IFERROR(INDEX('Master Data'!$M$2:$M$2436,MATCH($B$3&amp;"|2|"&amp;E$29&amp;"|"&amp;$A33,'Master Data'!$A$2:$A$2436,0)),"")</f>
        <v>Tiny  1/5
coach: Rizky</v>
      </c>
      <c r="F33" s="60" t="str">
        <f aca="false">IFERROR(INDEX('Master Data'!$M$2:$M$2436,MATCH($B$3&amp;"|2|"&amp;F$29&amp;"|"&amp;$A33,'Master Data'!$A$2:$A$2436,0)),"")</f>
        <v>Tiny  0/5
coach: –</v>
      </c>
      <c r="G33" s="60" t="str">
        <f aca="false">IFERROR(INDEX('Master Data'!$M$2:$M$2436,MATCH($B$3&amp;"|2|"&amp;G$29&amp;"|"&amp;$A33,'Master Data'!$A$2:$A$2436,0)),"")</f>
        <v>Tiny  2/5
coach: Shabrina</v>
      </c>
      <c r="H33" s="60" t="str">
        <f aca="false">IFERROR(INDEX('Master Data'!$M$2:$M$2436,MATCH($B$3&amp;"|2|"&amp;H$29&amp;"|"&amp;$A33,'Master Data'!$A$2:$A$2436,0)),"")</f>
        <v>Tiny  0/5
coach: –</v>
      </c>
      <c r="T33" s="61" t="str">
        <f aca="false">IFERROR(INDEX('Master Data'!$L$2:$L$2436,MATCH($B$3&amp;"|2|"&amp;B$29&amp;"|"&amp;$A33,'Master Data'!$A$2:$A$2436,0)),"")</f>
        <v>Sebagian</v>
      </c>
      <c r="U33" s="61" t="str">
        <f aca="false">IFERROR(INDEX('Master Data'!$L$2:$L$2436,MATCH($B$3&amp;"|2|"&amp;C$29&amp;"|"&amp;$A33,'Master Data'!$A$2:$A$2436,0)),"")</f>
        <v>Belum terisi</v>
      </c>
      <c r="V33" s="61" t="str">
        <f aca="false">IFERROR(INDEX('Master Data'!$L$2:$L$2436,MATCH($B$3&amp;"|2|"&amp;D$29&amp;"|"&amp;$A33,'Master Data'!$A$2:$A$2436,0)),"")</f>
        <v>Sebagian</v>
      </c>
      <c r="W33" s="61" t="str">
        <f aca="false">IFERROR(INDEX('Master Data'!$L$2:$L$2436,MATCH($B$3&amp;"|2|"&amp;E$29&amp;"|"&amp;$A33,'Master Data'!$A$2:$A$2436,0)),"")</f>
        <v>Sebagian</v>
      </c>
      <c r="X33" s="61" t="str">
        <f aca="false">IFERROR(INDEX('Master Data'!$L$2:$L$2436,MATCH($B$3&amp;"|2|"&amp;F$29&amp;"|"&amp;$A33,'Master Data'!$A$2:$A$2436,0)),"")</f>
        <v>Belum terisi</v>
      </c>
      <c r="Y33" s="61" t="str">
        <f aca="false">IFERROR(INDEX('Master Data'!$L$2:$L$2436,MATCH($B$3&amp;"|2|"&amp;G$29&amp;"|"&amp;$A33,'Master Data'!$A$2:$A$2436,0)),"")</f>
        <v>Sebagian</v>
      </c>
      <c r="Z33" s="61" t="str">
        <f aca="false">IFERROR(INDEX('Master Data'!$L$2:$L$2436,MATCH($B$3&amp;"|2|"&amp;H$29&amp;"|"&amp;$A33,'Master Data'!$A$2:$A$2436,0)),"")</f>
        <v>Belum terisi</v>
      </c>
    </row>
    <row r="34" customFormat="false" ht="30" hidden="false" customHeight="true" outlineLevel="0" collapsed="false">
      <c r="A34" s="59" t="s">
        <v>114</v>
      </c>
      <c r="B34" s="60" t="str">
        <f aca="false">IFERROR(INDEX('Master Data'!$M$2:$M$2436,MATCH($B$3&amp;"|2|"&amp;B$29&amp;"|"&amp;$A34,'Master Data'!$A$2:$A$2436,0)),"")</f>
        <v>Tiny  0/5
coach: –</v>
      </c>
      <c r="C34" s="60" t="str">
        <f aca="false">IFERROR(INDEX('Master Data'!$M$2:$M$2436,MATCH($B$3&amp;"|2|"&amp;C$29&amp;"|"&amp;$A34,'Master Data'!$A$2:$A$2436,0)),"")</f>
        <v>Tiny  0/5
coach: –</v>
      </c>
      <c r="D34" s="60" t="str">
        <f aca="false">IFERROR(INDEX('Master Data'!$M$2:$M$2436,MATCH($B$3&amp;"|2|"&amp;D$29&amp;"|"&amp;$A34,'Master Data'!$A$2:$A$2436,0)),"")</f>
        <v>Tiny  0/5
coach: –</v>
      </c>
      <c r="E34" s="60" t="str">
        <f aca="false">IFERROR(INDEX('Master Data'!$M$2:$M$2436,MATCH($B$3&amp;"|2|"&amp;E$29&amp;"|"&amp;$A34,'Master Data'!$A$2:$A$2436,0)),"")</f>
        <v>Tiny  1/5
coach: Rizky</v>
      </c>
      <c r="F34" s="60" t="str">
        <f aca="false">IFERROR(INDEX('Master Data'!$M$2:$M$2436,MATCH($B$3&amp;"|2|"&amp;F$29&amp;"|"&amp;$A34,'Master Data'!$A$2:$A$2436,0)),"")</f>
        <v>Tiny  0/5
coach: –</v>
      </c>
      <c r="G34" s="60" t="str">
        <f aca="false">IFERROR(INDEX('Master Data'!$M$2:$M$2436,MATCH($B$3&amp;"|2|"&amp;G$29&amp;"|"&amp;$A34,'Master Data'!$A$2:$A$2436,0)),"")</f>
        <v>Tiny  0/5
coach: –</v>
      </c>
      <c r="H34" s="60" t="str">
        <f aca="false">IFERROR(INDEX('Master Data'!$M$2:$M$2436,MATCH($B$3&amp;"|2|"&amp;H$29&amp;"|"&amp;$A34,'Master Data'!$A$2:$A$2436,0)),"")</f>
        <v>Tiny  3/5
coach: Rizky</v>
      </c>
      <c r="T34" s="61" t="str">
        <f aca="false">IFERROR(INDEX('Master Data'!$L$2:$L$2436,MATCH($B$3&amp;"|2|"&amp;B$29&amp;"|"&amp;$A34,'Master Data'!$A$2:$A$2436,0)),"")</f>
        <v>Belum terisi</v>
      </c>
      <c r="U34" s="61" t="str">
        <f aca="false">IFERROR(INDEX('Master Data'!$L$2:$L$2436,MATCH($B$3&amp;"|2|"&amp;C$29&amp;"|"&amp;$A34,'Master Data'!$A$2:$A$2436,0)),"")</f>
        <v>Belum terisi</v>
      </c>
      <c r="V34" s="61" t="str">
        <f aca="false">IFERROR(INDEX('Master Data'!$L$2:$L$2436,MATCH($B$3&amp;"|2|"&amp;D$29&amp;"|"&amp;$A34,'Master Data'!$A$2:$A$2436,0)),"")</f>
        <v>Belum terisi</v>
      </c>
      <c r="W34" s="61" t="str">
        <f aca="false">IFERROR(INDEX('Master Data'!$L$2:$L$2436,MATCH($B$3&amp;"|2|"&amp;E$29&amp;"|"&amp;$A34,'Master Data'!$A$2:$A$2436,0)),"")</f>
        <v>Sebagian</v>
      </c>
      <c r="X34" s="61" t="str">
        <f aca="false">IFERROR(INDEX('Master Data'!$L$2:$L$2436,MATCH($B$3&amp;"|2|"&amp;F$29&amp;"|"&amp;$A34,'Master Data'!$A$2:$A$2436,0)),"")</f>
        <v>Belum terisi</v>
      </c>
      <c r="Y34" s="61" t="str">
        <f aca="false">IFERROR(INDEX('Master Data'!$L$2:$L$2436,MATCH($B$3&amp;"|2|"&amp;G$29&amp;"|"&amp;$A34,'Master Data'!$A$2:$A$2436,0)),"")</f>
        <v>Belum terisi</v>
      </c>
      <c r="Z34" s="61" t="str">
        <f aca="false">IFERROR(INDEX('Master Data'!$L$2:$L$2436,MATCH($B$3&amp;"|2|"&amp;H$29&amp;"|"&amp;$A34,'Master Data'!$A$2:$A$2436,0)),"")</f>
        <v>Sebagian</v>
      </c>
    </row>
    <row r="35" customFormat="false" ht="30" hidden="false" customHeight="true" outlineLevel="0" collapsed="false">
      <c r="A35" s="59" t="s">
        <v>115</v>
      </c>
      <c r="B35" s="60" t="str">
        <f aca="false">IFERROR(INDEX('Master Data'!$M$2:$M$2436,MATCH($B$3&amp;"|2|"&amp;B$29&amp;"|"&amp;$A35,'Master Data'!$A$2:$A$2436,0)),"")</f>
        <v>Tiny  0/5
coach: –</v>
      </c>
      <c r="C35" s="60" t="str">
        <f aca="false">IFERROR(INDEX('Master Data'!$M$2:$M$2436,MATCH($B$3&amp;"|2|"&amp;C$29&amp;"|"&amp;$A35,'Master Data'!$A$2:$A$2436,0)),"")</f>
        <v>Tiny  0/5
coach: –</v>
      </c>
      <c r="D35" s="60" t="str">
        <f aca="false">IFERROR(INDEX('Master Data'!$M$2:$M$2436,MATCH($B$3&amp;"|2|"&amp;D$29&amp;"|"&amp;$A35,'Master Data'!$A$2:$A$2436,0)),"")</f>
        <v>Tiny  0/5
coach: –</v>
      </c>
      <c r="E35" s="60" t="str">
        <f aca="false">IFERROR(INDEX('Master Data'!$M$2:$M$2436,MATCH($B$3&amp;"|2|"&amp;E$29&amp;"|"&amp;$A35,'Master Data'!$A$2:$A$2436,0)),"")</f>
        <v>Tiny  1/5
coach: Rizky</v>
      </c>
      <c r="F35" s="60" t="str">
        <f aca="false">IFERROR(INDEX('Master Data'!$M$2:$M$2436,MATCH($B$3&amp;"|2|"&amp;F$29&amp;"|"&amp;$A35,'Master Data'!$A$2:$A$2436,0)),"")</f>
        <v>Tiny  0/5
coach: –</v>
      </c>
      <c r="G35" s="60" t="str">
        <f aca="false">IFERROR(INDEX('Master Data'!$M$2:$M$2436,MATCH($B$3&amp;"|2|"&amp;G$29&amp;"|"&amp;$A35,'Master Data'!$A$2:$A$2436,0)),"")</f>
        <v>Tiny  2/5
coach: Rizky</v>
      </c>
      <c r="H35" s="60" t="str">
        <f aca="false">IFERROR(INDEX('Master Data'!$M$2:$M$2436,MATCH($B$3&amp;"|2|"&amp;H$29&amp;"|"&amp;$A35,'Master Data'!$A$2:$A$2436,0)),"")</f>
        <v>Tiny  0/5
coach: –</v>
      </c>
      <c r="T35" s="61" t="str">
        <f aca="false">IFERROR(INDEX('Master Data'!$L$2:$L$2436,MATCH($B$3&amp;"|2|"&amp;B$29&amp;"|"&amp;$A35,'Master Data'!$A$2:$A$2436,0)),"")</f>
        <v>Belum terisi</v>
      </c>
      <c r="U35" s="61" t="str">
        <f aca="false">IFERROR(INDEX('Master Data'!$L$2:$L$2436,MATCH($B$3&amp;"|2|"&amp;C$29&amp;"|"&amp;$A35,'Master Data'!$A$2:$A$2436,0)),"")</f>
        <v>Belum terisi</v>
      </c>
      <c r="V35" s="61" t="str">
        <f aca="false">IFERROR(INDEX('Master Data'!$L$2:$L$2436,MATCH($B$3&amp;"|2|"&amp;D$29&amp;"|"&amp;$A35,'Master Data'!$A$2:$A$2436,0)),"")</f>
        <v>Belum terisi</v>
      </c>
      <c r="W35" s="61" t="str">
        <f aca="false">IFERROR(INDEX('Master Data'!$L$2:$L$2436,MATCH($B$3&amp;"|2|"&amp;E$29&amp;"|"&amp;$A35,'Master Data'!$A$2:$A$2436,0)),"")</f>
        <v>Sebagian</v>
      </c>
      <c r="X35" s="61" t="str">
        <f aca="false">IFERROR(INDEX('Master Data'!$L$2:$L$2436,MATCH($B$3&amp;"|2|"&amp;F$29&amp;"|"&amp;$A35,'Master Data'!$A$2:$A$2436,0)),"")</f>
        <v>Belum terisi</v>
      </c>
      <c r="Y35" s="61" t="str">
        <f aca="false">IFERROR(INDEX('Master Data'!$L$2:$L$2436,MATCH($B$3&amp;"|2|"&amp;G$29&amp;"|"&amp;$A35,'Master Data'!$A$2:$A$2436,0)),"")</f>
        <v>Sebagian</v>
      </c>
      <c r="Z35" s="61" t="str">
        <f aca="false">IFERROR(INDEX('Master Data'!$L$2:$L$2436,MATCH($B$3&amp;"|2|"&amp;H$29&amp;"|"&amp;$A35,'Master Data'!$A$2:$A$2436,0)),"")</f>
        <v>Belum terisi</v>
      </c>
    </row>
    <row r="36" customFormat="false" ht="30" hidden="false" customHeight="true" outlineLevel="0" collapsed="false">
      <c r="A36" s="59" t="s">
        <v>116</v>
      </c>
      <c r="B36" s="60" t="str">
        <f aca="false">IFERROR(INDEX('Master Data'!$M$2:$M$2436,MATCH($B$3&amp;"|2|"&amp;B$29&amp;"|"&amp;$A36,'Master Data'!$A$2:$A$2436,0)),"")</f>
        <v>Tiny  0/5
coach: –</v>
      </c>
      <c r="C36" s="60" t="str">
        <f aca="false">IFERROR(INDEX('Master Data'!$M$2:$M$2436,MATCH($B$3&amp;"|2|"&amp;C$29&amp;"|"&amp;$A36,'Master Data'!$A$2:$A$2436,0)),"")</f>
        <v>Tiny  0/5
coach: –</v>
      </c>
      <c r="D36" s="60" t="str">
        <f aca="false">IFERROR(INDEX('Master Data'!$M$2:$M$2436,MATCH($B$3&amp;"|2|"&amp;D$29&amp;"|"&amp;$A36,'Master Data'!$A$2:$A$2436,0)),"")</f>
        <v>Tiny  0/5
coach: –</v>
      </c>
      <c r="E36" s="60" t="str">
        <f aca="false">IFERROR(INDEX('Master Data'!$M$2:$M$2436,MATCH($B$3&amp;"|2|"&amp;E$29&amp;"|"&amp;$A36,'Master Data'!$A$2:$A$2436,0)),"")</f>
        <v>Tiny  0/5
coach: –</v>
      </c>
      <c r="F36" s="60" t="str">
        <f aca="false">IFERROR(INDEX('Master Data'!$M$2:$M$2436,MATCH($B$3&amp;"|2|"&amp;F$29&amp;"|"&amp;$A36,'Master Data'!$A$2:$A$2436,0)),"")</f>
        <v>Tiny  0/5
coach: –</v>
      </c>
      <c r="G36" s="60" t="str">
        <f aca="false">IFERROR(INDEX('Master Data'!$M$2:$M$2436,MATCH($B$3&amp;"|2|"&amp;G$29&amp;"|"&amp;$A36,'Master Data'!$A$2:$A$2436,0)),"")</f>
        <v>Tiny  0/5
coach: –</v>
      </c>
      <c r="H36" s="60" t="str">
        <f aca="false">IFERROR(INDEX('Master Data'!$M$2:$M$2436,MATCH($B$3&amp;"|2|"&amp;H$29&amp;"|"&amp;$A36,'Master Data'!$A$2:$A$2436,0)),"")</f>
        <v>Tiny  0/5
coach: –</v>
      </c>
      <c r="T36" s="61" t="str">
        <f aca="false">IFERROR(INDEX('Master Data'!$L$2:$L$2436,MATCH($B$3&amp;"|2|"&amp;B$29&amp;"|"&amp;$A36,'Master Data'!$A$2:$A$2436,0)),"")</f>
        <v>Belum terisi</v>
      </c>
      <c r="U36" s="61" t="str">
        <f aca="false">IFERROR(INDEX('Master Data'!$L$2:$L$2436,MATCH($B$3&amp;"|2|"&amp;C$29&amp;"|"&amp;$A36,'Master Data'!$A$2:$A$2436,0)),"")</f>
        <v>Belum terisi</v>
      </c>
      <c r="V36" s="61" t="str">
        <f aca="false">IFERROR(INDEX('Master Data'!$L$2:$L$2436,MATCH($B$3&amp;"|2|"&amp;D$29&amp;"|"&amp;$A36,'Master Data'!$A$2:$A$2436,0)),"")</f>
        <v>Belum terisi</v>
      </c>
      <c r="W36" s="61" t="str">
        <f aca="false">IFERROR(INDEX('Master Data'!$L$2:$L$2436,MATCH($B$3&amp;"|2|"&amp;E$29&amp;"|"&amp;$A36,'Master Data'!$A$2:$A$2436,0)),"")</f>
        <v>Belum terisi</v>
      </c>
      <c r="X36" s="61" t="str">
        <f aca="false">IFERROR(INDEX('Master Data'!$L$2:$L$2436,MATCH($B$3&amp;"|2|"&amp;F$29&amp;"|"&amp;$A36,'Master Data'!$A$2:$A$2436,0)),"")</f>
        <v>Belum terisi</v>
      </c>
      <c r="Y36" s="61" t="str">
        <f aca="false">IFERROR(INDEX('Master Data'!$L$2:$L$2436,MATCH($B$3&amp;"|2|"&amp;G$29&amp;"|"&amp;$A36,'Master Data'!$A$2:$A$2436,0)),"")</f>
        <v>Belum terisi</v>
      </c>
      <c r="Z36" s="61" t="str">
        <f aca="false">IFERROR(INDEX('Master Data'!$L$2:$L$2436,MATCH($B$3&amp;"|2|"&amp;H$29&amp;"|"&amp;$A36,'Master Data'!$A$2:$A$2436,0)),"")</f>
        <v>Belum terisi</v>
      </c>
    </row>
    <row r="37" customFormat="false" ht="30" hidden="false" customHeight="true" outlineLevel="0" collapsed="false">
      <c r="A37" s="59" t="s">
        <v>117</v>
      </c>
      <c r="B37" s="60" t="str">
        <f aca="false">IFERROR(INDEX('Master Data'!$M$2:$M$2436,MATCH($B$3&amp;"|2|"&amp;B$29&amp;"|"&amp;$A37,'Master Data'!$A$2:$A$2436,0)),"")</f>
        <v>Tiny  0/5
coach: –</v>
      </c>
      <c r="C37" s="60" t="str">
        <f aca="false">IFERROR(INDEX('Master Data'!$M$2:$M$2436,MATCH($B$3&amp;"|2|"&amp;C$29&amp;"|"&amp;$A37,'Master Data'!$A$2:$A$2436,0)),"")</f>
        <v>Tiny  0/5
coach: –</v>
      </c>
      <c r="D37" s="60" t="str">
        <f aca="false">IFERROR(INDEX('Master Data'!$M$2:$M$2436,MATCH($B$3&amp;"|2|"&amp;D$29&amp;"|"&amp;$A37,'Master Data'!$A$2:$A$2436,0)),"")</f>
        <v>Tiny  0/5
coach: –</v>
      </c>
      <c r="E37" s="60" t="str">
        <f aca="false">IFERROR(INDEX('Master Data'!$M$2:$M$2436,MATCH($B$3&amp;"|2|"&amp;E$29&amp;"|"&amp;$A37,'Master Data'!$A$2:$A$2436,0)),"")</f>
        <v>Tiny  0/5
coach: –</v>
      </c>
      <c r="F37" s="60" t="str">
        <f aca="false">IFERROR(INDEX('Master Data'!$M$2:$M$2436,MATCH($B$3&amp;"|2|"&amp;F$29&amp;"|"&amp;$A37,'Master Data'!$A$2:$A$2436,0)),"")</f>
        <v>Tiny  0/5
coach: –</v>
      </c>
      <c r="G37" s="60" t="str">
        <f aca="false">IFERROR(INDEX('Master Data'!$M$2:$M$2436,MATCH($B$3&amp;"|2|"&amp;G$29&amp;"|"&amp;$A37,'Master Data'!$A$2:$A$2436,0)),"")</f>
        <v>Tiny  0/5
coach: –</v>
      </c>
      <c r="H37" s="60" t="str">
        <f aca="false">IFERROR(INDEX('Master Data'!$M$2:$M$2436,MATCH($B$3&amp;"|2|"&amp;H$29&amp;"|"&amp;$A37,'Master Data'!$A$2:$A$2436,0)),"")</f>
        <v>Tiny  0/5
coach: –</v>
      </c>
      <c r="T37" s="61" t="str">
        <f aca="false">IFERROR(INDEX('Master Data'!$L$2:$L$2436,MATCH($B$3&amp;"|2|"&amp;B$29&amp;"|"&amp;$A37,'Master Data'!$A$2:$A$2436,0)),"")</f>
        <v>Belum terisi</v>
      </c>
      <c r="U37" s="61" t="str">
        <f aca="false">IFERROR(INDEX('Master Data'!$L$2:$L$2436,MATCH($B$3&amp;"|2|"&amp;C$29&amp;"|"&amp;$A37,'Master Data'!$A$2:$A$2436,0)),"")</f>
        <v>Belum terisi</v>
      </c>
      <c r="V37" s="61" t="str">
        <f aca="false">IFERROR(INDEX('Master Data'!$L$2:$L$2436,MATCH($B$3&amp;"|2|"&amp;D$29&amp;"|"&amp;$A37,'Master Data'!$A$2:$A$2436,0)),"")</f>
        <v>Belum terisi</v>
      </c>
      <c r="W37" s="61" t="str">
        <f aca="false">IFERROR(INDEX('Master Data'!$L$2:$L$2436,MATCH($B$3&amp;"|2|"&amp;E$29&amp;"|"&amp;$A37,'Master Data'!$A$2:$A$2436,0)),"")</f>
        <v>Belum terisi</v>
      </c>
      <c r="X37" s="61" t="str">
        <f aca="false">IFERROR(INDEX('Master Data'!$L$2:$L$2436,MATCH($B$3&amp;"|2|"&amp;F$29&amp;"|"&amp;$A37,'Master Data'!$A$2:$A$2436,0)),"")</f>
        <v>Belum terisi</v>
      </c>
      <c r="Y37" s="61" t="str">
        <f aca="false">IFERROR(INDEX('Master Data'!$L$2:$L$2436,MATCH($B$3&amp;"|2|"&amp;G$29&amp;"|"&amp;$A37,'Master Data'!$A$2:$A$2436,0)),"")</f>
        <v>Belum terisi</v>
      </c>
      <c r="Z37" s="61" t="str">
        <f aca="false">IFERROR(INDEX('Master Data'!$L$2:$L$2436,MATCH($B$3&amp;"|2|"&amp;H$29&amp;"|"&amp;$A37,'Master Data'!$A$2:$A$2436,0)),"")</f>
        <v>Belum terisi</v>
      </c>
    </row>
    <row r="38" customFormat="false" ht="30" hidden="false" customHeight="true" outlineLevel="0" collapsed="false">
      <c r="A38" s="59" t="s">
        <v>118</v>
      </c>
      <c r="B38" s="60" t="str">
        <f aca="false">IFERROR(INDEX('Master Data'!$M$2:$M$2436,MATCH($B$3&amp;"|2|"&amp;B$29&amp;"|"&amp;$A38,'Master Data'!$A$2:$A$2436,0)),"")</f>
        <v>Tiny  0/5
coach: –</v>
      </c>
      <c r="C38" s="60" t="str">
        <f aca="false">IFERROR(INDEX('Master Data'!$M$2:$M$2436,MATCH($B$3&amp;"|2|"&amp;C$29&amp;"|"&amp;$A38,'Master Data'!$A$2:$A$2436,0)),"")</f>
        <v>Tiny  0/5
coach: –</v>
      </c>
      <c r="D38" s="60" t="str">
        <f aca="false">IFERROR(INDEX('Master Data'!$M$2:$M$2436,MATCH($B$3&amp;"|2|"&amp;D$29&amp;"|"&amp;$A38,'Master Data'!$A$2:$A$2436,0)),"")</f>
        <v>Tiny  0/5
coach: –</v>
      </c>
      <c r="E38" s="60" t="str">
        <f aca="false">IFERROR(INDEX('Master Data'!$M$2:$M$2436,MATCH($B$3&amp;"|2|"&amp;E$29&amp;"|"&amp;$A38,'Master Data'!$A$2:$A$2436,0)),"")</f>
        <v>Tiny  0/5
coach: –</v>
      </c>
      <c r="F38" s="60" t="str">
        <f aca="false">IFERROR(INDEX('Master Data'!$M$2:$M$2436,MATCH($B$3&amp;"|2|"&amp;F$29&amp;"|"&amp;$A38,'Master Data'!$A$2:$A$2436,0)),"")</f>
        <v>Tiny  0/5
coach: –</v>
      </c>
      <c r="G38" s="60" t="str">
        <f aca="false">IFERROR(INDEX('Master Data'!$M$2:$M$2436,MATCH($B$3&amp;"|2|"&amp;G$29&amp;"|"&amp;$A38,'Master Data'!$A$2:$A$2436,0)),"")</f>
        <v>Tiny  0/5
coach: –</v>
      </c>
      <c r="H38" s="60" t="str">
        <f aca="false">IFERROR(INDEX('Master Data'!$M$2:$M$2436,MATCH($B$3&amp;"|2|"&amp;H$29&amp;"|"&amp;$A38,'Master Data'!$A$2:$A$2436,0)),"")</f>
        <v>Tiny  0/5
coach: –</v>
      </c>
      <c r="T38" s="61" t="str">
        <f aca="false">IFERROR(INDEX('Master Data'!$L$2:$L$2436,MATCH($B$3&amp;"|2|"&amp;B$29&amp;"|"&amp;$A38,'Master Data'!$A$2:$A$2436,0)),"")</f>
        <v>Belum terisi</v>
      </c>
      <c r="U38" s="61" t="str">
        <f aca="false">IFERROR(INDEX('Master Data'!$L$2:$L$2436,MATCH($B$3&amp;"|2|"&amp;C$29&amp;"|"&amp;$A38,'Master Data'!$A$2:$A$2436,0)),"")</f>
        <v>Belum terisi</v>
      </c>
      <c r="V38" s="61" t="str">
        <f aca="false">IFERROR(INDEX('Master Data'!$L$2:$L$2436,MATCH($B$3&amp;"|2|"&amp;D$29&amp;"|"&amp;$A38,'Master Data'!$A$2:$A$2436,0)),"")</f>
        <v>Belum terisi</v>
      </c>
      <c r="W38" s="61" t="str">
        <f aca="false">IFERROR(INDEX('Master Data'!$L$2:$L$2436,MATCH($B$3&amp;"|2|"&amp;E$29&amp;"|"&amp;$A38,'Master Data'!$A$2:$A$2436,0)),"")</f>
        <v>Belum terisi</v>
      </c>
      <c r="X38" s="61" t="str">
        <f aca="false">IFERROR(INDEX('Master Data'!$L$2:$L$2436,MATCH($B$3&amp;"|2|"&amp;F$29&amp;"|"&amp;$A38,'Master Data'!$A$2:$A$2436,0)),"")</f>
        <v>Belum terisi</v>
      </c>
      <c r="Y38" s="61" t="str">
        <f aca="false">IFERROR(INDEX('Master Data'!$L$2:$L$2436,MATCH($B$3&amp;"|2|"&amp;G$29&amp;"|"&amp;$A38,'Master Data'!$A$2:$A$2436,0)),"")</f>
        <v>Belum terisi</v>
      </c>
      <c r="Z38" s="61" t="str">
        <f aca="false">IFERROR(INDEX('Master Data'!$L$2:$L$2436,MATCH($B$3&amp;"|2|"&amp;H$29&amp;"|"&amp;$A38,'Master Data'!$A$2:$A$2436,0)),"")</f>
        <v>Belum terisi</v>
      </c>
    </row>
    <row r="39" customFormat="false" ht="30" hidden="false" customHeight="true" outlineLevel="0" collapsed="false">
      <c r="A39" s="59" t="s">
        <v>119</v>
      </c>
      <c r="B39" s="60" t="str">
        <f aca="false">IFERROR(INDEX('Master Data'!$M$2:$M$2436,MATCH($B$3&amp;"|2|"&amp;B$29&amp;"|"&amp;$A39,'Master Data'!$A$2:$A$2436,0)),"")</f>
        <v>Tiny  0/5
coach: –</v>
      </c>
      <c r="C39" s="60" t="str">
        <f aca="false">IFERROR(INDEX('Master Data'!$M$2:$M$2436,MATCH($B$3&amp;"|2|"&amp;C$29&amp;"|"&amp;$A39,'Master Data'!$A$2:$A$2436,0)),"")</f>
        <v>Tiny  0/5
coach: –</v>
      </c>
      <c r="D39" s="60" t="str">
        <f aca="false">IFERROR(INDEX('Master Data'!$M$2:$M$2436,MATCH($B$3&amp;"|2|"&amp;D$29&amp;"|"&amp;$A39,'Master Data'!$A$2:$A$2436,0)),"")</f>
        <v>Tiny  4/5
coach: Rizky</v>
      </c>
      <c r="E39" s="60" t="str">
        <f aca="false">IFERROR(INDEX('Master Data'!$M$2:$M$2436,MATCH($B$3&amp;"|2|"&amp;E$29&amp;"|"&amp;$A39,'Master Data'!$A$2:$A$2436,0)),"")</f>
        <v>Tiny  0/5
coach: –</v>
      </c>
      <c r="F39" s="60" t="str">
        <f aca="false">IFERROR(INDEX('Master Data'!$M$2:$M$2436,MATCH($B$3&amp;"|2|"&amp;F$29&amp;"|"&amp;$A39,'Master Data'!$A$2:$A$2436,0)),"")</f>
        <v>Tiny  1/5
coach: Rizky</v>
      </c>
      <c r="G39" s="60" t="str">
        <f aca="false">IFERROR(INDEX('Master Data'!$M$2:$M$2436,MATCH($B$3&amp;"|2|"&amp;G$29&amp;"|"&amp;$A39,'Master Data'!$A$2:$A$2436,0)),"")</f>
        <v>Tiny  1/5
coach: Shabrina</v>
      </c>
      <c r="H39" s="60" t="str">
        <f aca="false">IFERROR(INDEX('Master Data'!$M$2:$M$2436,MATCH($B$3&amp;"|2|"&amp;H$29&amp;"|"&amp;$A39,'Master Data'!$A$2:$A$2436,0)),"")</f>
        <v>Tiny  0/5
coach: –</v>
      </c>
      <c r="T39" s="61" t="str">
        <f aca="false">IFERROR(INDEX('Master Data'!$L$2:$L$2436,MATCH($B$3&amp;"|2|"&amp;B$29&amp;"|"&amp;$A39,'Master Data'!$A$2:$A$2436,0)),"")</f>
        <v>Belum terisi</v>
      </c>
      <c r="U39" s="61" t="str">
        <f aca="false">IFERROR(INDEX('Master Data'!$L$2:$L$2436,MATCH($B$3&amp;"|2|"&amp;C$29&amp;"|"&amp;$A39,'Master Data'!$A$2:$A$2436,0)),"")</f>
        <v>Belum terisi</v>
      </c>
      <c r="V39" s="61" t="str">
        <f aca="false">IFERROR(INDEX('Master Data'!$L$2:$L$2436,MATCH($B$3&amp;"|2|"&amp;D$29&amp;"|"&amp;$A39,'Master Data'!$A$2:$A$2436,0)),"")</f>
        <v>Sebagian</v>
      </c>
      <c r="W39" s="61" t="str">
        <f aca="false">IFERROR(INDEX('Master Data'!$L$2:$L$2436,MATCH($B$3&amp;"|2|"&amp;E$29&amp;"|"&amp;$A39,'Master Data'!$A$2:$A$2436,0)),"")</f>
        <v>Belum terisi</v>
      </c>
      <c r="X39" s="61" t="str">
        <f aca="false">IFERROR(INDEX('Master Data'!$L$2:$L$2436,MATCH($B$3&amp;"|2|"&amp;F$29&amp;"|"&amp;$A39,'Master Data'!$A$2:$A$2436,0)),"")</f>
        <v>Sebagian</v>
      </c>
      <c r="Y39" s="61" t="str">
        <f aca="false">IFERROR(INDEX('Master Data'!$L$2:$L$2436,MATCH($B$3&amp;"|2|"&amp;G$29&amp;"|"&amp;$A39,'Master Data'!$A$2:$A$2436,0)),"")</f>
        <v>Sebagian</v>
      </c>
      <c r="Z39" s="61" t="str">
        <f aca="false">IFERROR(INDEX('Master Data'!$L$2:$L$2436,MATCH($B$3&amp;"|2|"&amp;H$29&amp;"|"&amp;$A39,'Master Data'!$A$2:$A$2436,0)),"")</f>
        <v>Belum terisi</v>
      </c>
    </row>
    <row r="40" customFormat="false" ht="30" hidden="false" customHeight="true" outlineLevel="0" collapsed="false">
      <c r="A40" s="59" t="s">
        <v>120</v>
      </c>
      <c r="B40" s="60" t="str">
        <f aca="false">IFERROR(INDEX('Master Data'!$M$2:$M$2436,MATCH($B$3&amp;"|2|"&amp;B$29&amp;"|"&amp;$A40,'Master Data'!$A$2:$A$2436,0)),"")</f>
        <v>Tiny  0/5
coach: –</v>
      </c>
      <c r="C40" s="60" t="str">
        <f aca="false">IFERROR(INDEX('Master Data'!$M$2:$M$2436,MATCH($B$3&amp;"|2|"&amp;C$29&amp;"|"&amp;$A40,'Master Data'!$A$2:$A$2436,0)),"")</f>
        <v>Tiny  0/5
coach: –</v>
      </c>
      <c r="D40" s="60" t="str">
        <f aca="false">IFERROR(INDEX('Master Data'!$M$2:$M$2436,MATCH($B$3&amp;"|2|"&amp;D$29&amp;"|"&amp;$A40,'Master Data'!$A$2:$A$2436,0)),"")</f>
        <v>Tiny  0/5
coach: Shabrina</v>
      </c>
      <c r="E40" s="60" t="str">
        <f aca="false">IFERROR(INDEX('Master Data'!$M$2:$M$2436,MATCH($B$3&amp;"|2|"&amp;E$29&amp;"|"&amp;$A40,'Master Data'!$A$2:$A$2436,0)),"")</f>
        <v>Tiny  0/5
coach: –</v>
      </c>
      <c r="F40" s="60" t="str">
        <f aca="false">IFERROR(INDEX('Master Data'!$M$2:$M$2436,MATCH($B$3&amp;"|2|"&amp;F$29&amp;"|"&amp;$A40,'Master Data'!$A$2:$A$2436,0)),"")</f>
        <v>Tiny  0/5
coach: –</v>
      </c>
      <c r="G40" s="60" t="str">
        <f aca="false">IFERROR(INDEX('Master Data'!$M$2:$M$2436,MATCH($B$3&amp;"|2|"&amp;G$29&amp;"|"&amp;$A40,'Master Data'!$A$2:$A$2436,0)),"")</f>
        <v>Tiny  0/5
coach: –</v>
      </c>
      <c r="H40" s="60" t="str">
        <f aca="false">IFERROR(INDEX('Master Data'!$M$2:$M$2436,MATCH($B$3&amp;"|2|"&amp;H$29&amp;"|"&amp;$A40,'Master Data'!$A$2:$A$2436,0)),"")</f>
        <v>Tiny  0/5
coach: –</v>
      </c>
      <c r="T40" s="61" t="str">
        <f aca="false">IFERROR(INDEX('Master Data'!$L$2:$L$2436,MATCH($B$3&amp;"|2|"&amp;B$29&amp;"|"&amp;$A40,'Master Data'!$A$2:$A$2436,0)),"")</f>
        <v>Belum terisi</v>
      </c>
      <c r="U40" s="61" t="str">
        <f aca="false">IFERROR(INDEX('Master Data'!$L$2:$L$2436,MATCH($B$3&amp;"|2|"&amp;C$29&amp;"|"&amp;$A40,'Master Data'!$A$2:$A$2436,0)),"")</f>
        <v>Belum terisi</v>
      </c>
      <c r="V40" s="61" t="str">
        <f aca="false">IFERROR(INDEX('Master Data'!$L$2:$L$2436,MATCH($B$3&amp;"|2|"&amp;D$29&amp;"|"&amp;$A40,'Master Data'!$A$2:$A$2436,0)),"")</f>
        <v>Belum terisi</v>
      </c>
      <c r="W40" s="61" t="str">
        <f aca="false">IFERROR(INDEX('Master Data'!$L$2:$L$2436,MATCH($B$3&amp;"|2|"&amp;E$29&amp;"|"&amp;$A40,'Master Data'!$A$2:$A$2436,0)),"")</f>
        <v>Belum terisi</v>
      </c>
      <c r="X40" s="61" t="str">
        <f aca="false">IFERROR(INDEX('Master Data'!$L$2:$L$2436,MATCH($B$3&amp;"|2|"&amp;F$29&amp;"|"&amp;$A40,'Master Data'!$A$2:$A$2436,0)),"")</f>
        <v>Belum terisi</v>
      </c>
      <c r="Y40" s="61" t="str">
        <f aca="false">IFERROR(INDEX('Master Data'!$L$2:$L$2436,MATCH($B$3&amp;"|2|"&amp;G$29&amp;"|"&amp;$A40,'Master Data'!$A$2:$A$2436,0)),"")</f>
        <v>Belum terisi</v>
      </c>
      <c r="Z40" s="61" t="str">
        <f aca="false">IFERROR(INDEX('Master Data'!$L$2:$L$2436,MATCH($B$3&amp;"|2|"&amp;H$29&amp;"|"&amp;$A40,'Master Data'!$A$2:$A$2436,0)),"")</f>
        <v>Belum terisi</v>
      </c>
    </row>
    <row r="41" customFormat="false" ht="30" hidden="false" customHeight="true" outlineLevel="0" collapsed="false">
      <c r="A41" s="59" t="s">
        <v>121</v>
      </c>
      <c r="B41" s="60" t="str">
        <f aca="false">IFERROR(INDEX('Master Data'!$M$2:$M$2436,MATCH($B$3&amp;"|2|"&amp;B$29&amp;"|"&amp;$A41,'Master Data'!$A$2:$A$2436,0)),"")</f>
        <v>Tiny  0/5
coach: –</v>
      </c>
      <c r="C41" s="60" t="str">
        <f aca="false">IFERROR(INDEX('Master Data'!$M$2:$M$2436,MATCH($B$3&amp;"|2|"&amp;C$29&amp;"|"&amp;$A41,'Master Data'!$A$2:$A$2436,0)),"")</f>
        <v>Tiny  0/5
coach: –</v>
      </c>
      <c r="D41" s="60" t="str">
        <f aca="false">IFERROR(INDEX('Master Data'!$M$2:$M$2436,MATCH($B$3&amp;"|2|"&amp;D$29&amp;"|"&amp;$A41,'Master Data'!$A$2:$A$2436,0)),"")</f>
        <v>Tiny  0/5
coach: –</v>
      </c>
      <c r="E41" s="60" t="str">
        <f aca="false">IFERROR(INDEX('Master Data'!$M$2:$M$2436,MATCH($B$3&amp;"|2|"&amp;E$29&amp;"|"&amp;$A41,'Master Data'!$A$2:$A$2436,0)),"")</f>
        <v>Tiny  0/5
coach: –</v>
      </c>
      <c r="F41" s="60" t="str">
        <f aca="false">IFERROR(INDEX('Master Data'!$M$2:$M$2436,MATCH($B$3&amp;"|2|"&amp;F$29&amp;"|"&amp;$A41,'Master Data'!$A$2:$A$2436,0)),"")</f>
        <v>Tiny  0/5
coach: –</v>
      </c>
      <c r="G41" s="60" t="str">
        <f aca="false">IFERROR(INDEX('Master Data'!$M$2:$M$2436,MATCH($B$3&amp;"|2|"&amp;G$29&amp;"|"&amp;$A41,'Master Data'!$A$2:$A$2436,0)),"")</f>
        <v>Tiny  0/5
coach: –</v>
      </c>
      <c r="H41" s="60" t="str">
        <f aca="false">IFERROR(INDEX('Master Data'!$M$2:$M$2436,MATCH($B$3&amp;"|2|"&amp;H$29&amp;"|"&amp;$A41,'Master Data'!$A$2:$A$2436,0)),"")</f>
        <v>Tiny  0/5
coach: –</v>
      </c>
      <c r="T41" s="61" t="str">
        <f aca="false">IFERROR(INDEX('Master Data'!$L$2:$L$2436,MATCH($B$3&amp;"|2|"&amp;B$29&amp;"|"&amp;$A41,'Master Data'!$A$2:$A$2436,0)),"")</f>
        <v>Belum terisi</v>
      </c>
      <c r="U41" s="61" t="str">
        <f aca="false">IFERROR(INDEX('Master Data'!$L$2:$L$2436,MATCH($B$3&amp;"|2|"&amp;C$29&amp;"|"&amp;$A41,'Master Data'!$A$2:$A$2436,0)),"")</f>
        <v>Belum terisi</v>
      </c>
      <c r="V41" s="61" t="str">
        <f aca="false">IFERROR(INDEX('Master Data'!$L$2:$L$2436,MATCH($B$3&amp;"|2|"&amp;D$29&amp;"|"&amp;$A41,'Master Data'!$A$2:$A$2436,0)),"")</f>
        <v>Belum terisi</v>
      </c>
      <c r="W41" s="61" t="str">
        <f aca="false">IFERROR(INDEX('Master Data'!$L$2:$L$2436,MATCH($B$3&amp;"|2|"&amp;E$29&amp;"|"&amp;$A41,'Master Data'!$A$2:$A$2436,0)),"")</f>
        <v>Belum terisi</v>
      </c>
      <c r="X41" s="61" t="str">
        <f aca="false">IFERROR(INDEX('Master Data'!$L$2:$L$2436,MATCH($B$3&amp;"|2|"&amp;F$29&amp;"|"&amp;$A41,'Master Data'!$A$2:$A$2436,0)),"")</f>
        <v>Belum terisi</v>
      </c>
      <c r="Y41" s="61" t="str">
        <f aca="false">IFERROR(INDEX('Master Data'!$L$2:$L$2436,MATCH($B$3&amp;"|2|"&amp;G$29&amp;"|"&amp;$A41,'Master Data'!$A$2:$A$2436,0)),"")</f>
        <v>Belum terisi</v>
      </c>
      <c r="Z41" s="61" t="str">
        <f aca="false">IFERROR(INDEX('Master Data'!$L$2:$L$2436,MATCH($B$3&amp;"|2|"&amp;H$29&amp;"|"&amp;$A41,'Master Data'!$A$2:$A$2436,0)),"")</f>
        <v>Belum terisi</v>
      </c>
    </row>
    <row r="43" customFormat="false" ht="16.15" hidden="false" customHeight="false" outlineLevel="0" collapsed="false">
      <c r="A43" s="54" t="s">
        <v>109</v>
      </c>
      <c r="B43" s="55"/>
      <c r="C43" s="56" t="str">
        <f aca="false">"Utilisasi lane: "&amp;IFERROR(TEXT(SUMIFS('Master Data'!$H$2:$H$2436,'Master Data'!$B$2:$B$2436,$B$3,'Master Data'!$C$2:$C$2436,3,'Master Data'!$G$2:$G$2436,"&gt;0")/SUMIFS('Master Data'!$G$2:$G$2436,'Master Data'!$B$2:$B$2436,$B$3,'Master Data'!$C$2:$C$2436,3,'Master Data'!$G$2:$G$2436,"&gt;0"),"0%"),"–")&amp;"   ·   Belum terisi: "&amp;COUNTIFS('Master Data'!$B$2:$B$2436,$B$3,'Master Data'!$C$2:$C$2436,3,'Master Data'!$L$2:$L$2436,"Belum terisi")&amp;"   ·   Slot kosong: "&amp;COUNTIFS('Master Data'!$B$2:$B$2436,$B$3,'Master Data'!$C$2:$C$2436,3,'Master Data'!$L$2:$L$2436,"Slot kosong")</f>
        <v>Utilisasi lane: 18%   ·   Belum terisi: 52   ·   Slot kosong: 0</v>
      </c>
      <c r="D43" s="55"/>
      <c r="E43" s="55"/>
      <c r="F43" s="55"/>
      <c r="G43" s="55"/>
      <c r="H43" s="55"/>
    </row>
    <row r="44" customFormat="false" ht="15" hidden="false" customHeight="false" outlineLevel="0" collapsed="false">
      <c r="A44" s="57" t="s">
        <v>89</v>
      </c>
      <c r="B44" s="58" t="s">
        <v>90</v>
      </c>
      <c r="C44" s="58" t="s">
        <v>91</v>
      </c>
      <c r="D44" s="58" t="s">
        <v>92</v>
      </c>
      <c r="E44" s="58" t="s">
        <v>93</v>
      </c>
      <c r="F44" s="58" t="s">
        <v>94</v>
      </c>
      <c r="G44" s="58" t="s">
        <v>95</v>
      </c>
      <c r="H44" s="58" t="s">
        <v>78</v>
      </c>
    </row>
    <row r="45" customFormat="false" ht="30" hidden="false" customHeight="true" outlineLevel="0" collapsed="false">
      <c r="A45" s="59" t="s">
        <v>96</v>
      </c>
      <c r="B45" s="60" t="str">
        <f aca="false">IFERROR(INDEX('Master Data'!$M$2:$M$2436,MATCH($B$3&amp;"|3|"&amp;B$44&amp;"|"&amp;$A45,'Master Data'!$A$2:$A$2436,0)),"")</f>
        <v>Little  0/4
coach: –</v>
      </c>
      <c r="C45" s="60" t="str">
        <f aca="false">IFERROR(INDEX('Master Data'!$M$2:$M$2436,MATCH($B$3&amp;"|3|"&amp;C$44&amp;"|"&amp;$A45,'Master Data'!$A$2:$A$2436,0)),"")</f>
        <v>Little  0/4
coach: –</v>
      </c>
      <c r="D45" s="60" t="str">
        <f aca="false">IFERROR(INDEX('Master Data'!$M$2:$M$2436,MATCH($B$3&amp;"|3|"&amp;D$44&amp;"|"&amp;$A45,'Master Data'!$A$2:$A$2436,0)),"")</f>
        <v>Little  0/4
coach: –</v>
      </c>
      <c r="E45" s="60" t="str">
        <f aca="false">IFERROR(INDEX('Master Data'!$M$2:$M$2436,MATCH($B$3&amp;"|3|"&amp;E$44&amp;"|"&amp;$A45,'Master Data'!$A$2:$A$2436,0)),"")</f>
        <v>Little  0/4
coach: –</v>
      </c>
      <c r="F45" s="60" t="str">
        <f aca="false">IFERROR(INDEX('Master Data'!$M$2:$M$2436,MATCH($B$3&amp;"|3|"&amp;F$44&amp;"|"&amp;$A45,'Master Data'!$A$2:$A$2436,0)),"")</f>
        <v>Little  0/4
coach: –</v>
      </c>
      <c r="G45" s="60" t="str">
        <f aca="false">IFERROR(INDEX('Master Data'!$M$2:$M$2436,MATCH($B$3&amp;"|3|"&amp;G$44&amp;"|"&amp;$A45,'Master Data'!$A$2:$A$2436,0)),"")</f>
        <v>Little  0/4
coach: –</v>
      </c>
      <c r="H45" s="60" t="str">
        <f aca="false">IFERROR(INDEX('Master Data'!$M$2:$M$2436,MATCH($B$3&amp;"|3|"&amp;H$44&amp;"|"&amp;$A45,'Master Data'!$A$2:$A$2436,0)),"")</f>
        <v>Little  0/4
coach: –</v>
      </c>
      <c r="T45" s="61" t="str">
        <f aca="false">IFERROR(INDEX('Master Data'!$L$2:$L$2436,MATCH($B$3&amp;"|3|"&amp;B$44&amp;"|"&amp;$A45,'Master Data'!$A$2:$A$2436,0)),"")</f>
        <v>Belum terisi</v>
      </c>
      <c r="U45" s="61" t="str">
        <f aca="false">IFERROR(INDEX('Master Data'!$L$2:$L$2436,MATCH($B$3&amp;"|3|"&amp;C$44&amp;"|"&amp;$A45,'Master Data'!$A$2:$A$2436,0)),"")</f>
        <v>Belum terisi</v>
      </c>
      <c r="V45" s="61" t="str">
        <f aca="false">IFERROR(INDEX('Master Data'!$L$2:$L$2436,MATCH($B$3&amp;"|3|"&amp;D$44&amp;"|"&amp;$A45,'Master Data'!$A$2:$A$2436,0)),"")</f>
        <v>Belum terisi</v>
      </c>
      <c r="W45" s="61" t="str">
        <f aca="false">IFERROR(INDEX('Master Data'!$L$2:$L$2436,MATCH($B$3&amp;"|3|"&amp;E$44&amp;"|"&amp;$A45,'Master Data'!$A$2:$A$2436,0)),"")</f>
        <v>Belum terisi</v>
      </c>
      <c r="X45" s="61" t="str">
        <f aca="false">IFERROR(INDEX('Master Data'!$L$2:$L$2436,MATCH($B$3&amp;"|3|"&amp;F$44&amp;"|"&amp;$A45,'Master Data'!$A$2:$A$2436,0)),"")</f>
        <v>Belum terisi</v>
      </c>
      <c r="Y45" s="61" t="str">
        <f aca="false">IFERROR(INDEX('Master Data'!$L$2:$L$2436,MATCH($B$3&amp;"|3|"&amp;G$44&amp;"|"&amp;$A45,'Master Data'!$A$2:$A$2436,0)),"")</f>
        <v>Belum terisi</v>
      </c>
      <c r="Z45" s="61" t="str">
        <f aca="false">IFERROR(INDEX('Master Data'!$L$2:$L$2436,MATCH($B$3&amp;"|3|"&amp;H$44&amp;"|"&amp;$A45,'Master Data'!$A$2:$A$2436,0)),"")</f>
        <v>Belum terisi</v>
      </c>
    </row>
    <row r="46" customFormat="false" ht="30" hidden="false" customHeight="true" outlineLevel="0" collapsed="false">
      <c r="A46" s="59" t="s">
        <v>97</v>
      </c>
      <c r="B46" s="60" t="str">
        <f aca="false">IFERROR(INDEX('Master Data'!$M$2:$M$2436,MATCH($B$3&amp;"|3|"&amp;B$44&amp;"|"&amp;$A46,'Master Data'!$A$2:$A$2436,0)),"")</f>
        <v>Little  0/4
coach: –</v>
      </c>
      <c r="C46" s="60" t="str">
        <f aca="false">IFERROR(INDEX('Master Data'!$M$2:$M$2436,MATCH($B$3&amp;"|3|"&amp;C$44&amp;"|"&amp;$A46,'Master Data'!$A$2:$A$2436,0)),"")</f>
        <v>Little  0/4
coach: –</v>
      </c>
      <c r="D46" s="60" t="str">
        <f aca="false">IFERROR(INDEX('Master Data'!$M$2:$M$2436,MATCH($B$3&amp;"|3|"&amp;D$44&amp;"|"&amp;$A46,'Master Data'!$A$2:$A$2436,0)),"")</f>
        <v>Little  0/4
coach: –</v>
      </c>
      <c r="E46" s="60" t="str">
        <f aca="false">IFERROR(INDEX('Master Data'!$M$2:$M$2436,MATCH($B$3&amp;"|3|"&amp;E$44&amp;"|"&amp;$A46,'Master Data'!$A$2:$A$2436,0)),"")</f>
        <v>Little  0/4
coach: –</v>
      </c>
      <c r="F46" s="60" t="str">
        <f aca="false">IFERROR(INDEX('Master Data'!$M$2:$M$2436,MATCH($B$3&amp;"|3|"&amp;F$44&amp;"|"&amp;$A46,'Master Data'!$A$2:$A$2436,0)),"")</f>
        <v>Little  0/4
coach: –</v>
      </c>
      <c r="G46" s="60" t="str">
        <f aca="false">IFERROR(INDEX('Master Data'!$M$2:$M$2436,MATCH($B$3&amp;"|3|"&amp;G$44&amp;"|"&amp;$A46,'Master Data'!$A$2:$A$2436,0)),"")</f>
        <v>Little  4/4
coach: Silvi</v>
      </c>
      <c r="H46" s="60" t="str">
        <f aca="false">IFERROR(INDEX('Master Data'!$M$2:$M$2436,MATCH($B$3&amp;"|3|"&amp;H$44&amp;"|"&amp;$A46,'Master Data'!$A$2:$A$2436,0)),"")</f>
        <v>Little  3/4
coach: Silvi</v>
      </c>
      <c r="T46" s="61" t="str">
        <f aca="false">IFERROR(INDEX('Master Data'!$L$2:$L$2436,MATCH($B$3&amp;"|3|"&amp;B$44&amp;"|"&amp;$A46,'Master Data'!$A$2:$A$2436,0)),"")</f>
        <v>Belum terisi</v>
      </c>
      <c r="U46" s="61" t="str">
        <f aca="false">IFERROR(INDEX('Master Data'!$L$2:$L$2436,MATCH($B$3&amp;"|3|"&amp;C$44&amp;"|"&amp;$A46,'Master Data'!$A$2:$A$2436,0)),"")</f>
        <v>Belum terisi</v>
      </c>
      <c r="V46" s="61" t="str">
        <f aca="false">IFERROR(INDEX('Master Data'!$L$2:$L$2436,MATCH($B$3&amp;"|3|"&amp;D$44&amp;"|"&amp;$A46,'Master Data'!$A$2:$A$2436,0)),"")</f>
        <v>Belum terisi</v>
      </c>
      <c r="W46" s="61" t="str">
        <f aca="false">IFERROR(INDEX('Master Data'!$L$2:$L$2436,MATCH($B$3&amp;"|3|"&amp;E$44&amp;"|"&amp;$A46,'Master Data'!$A$2:$A$2436,0)),"")</f>
        <v>Belum terisi</v>
      </c>
      <c r="X46" s="61" t="str">
        <f aca="false">IFERROR(INDEX('Master Data'!$L$2:$L$2436,MATCH($B$3&amp;"|3|"&amp;F$44&amp;"|"&amp;$A46,'Master Data'!$A$2:$A$2436,0)),"")</f>
        <v>Belum terisi</v>
      </c>
      <c r="Y46" s="61" t="str">
        <f aca="false">IFERROR(INDEX('Master Data'!$L$2:$L$2436,MATCH($B$3&amp;"|3|"&amp;G$44&amp;"|"&amp;$A46,'Master Data'!$A$2:$A$2436,0)),"")</f>
        <v>Penuh</v>
      </c>
      <c r="Z46" s="61" t="str">
        <f aca="false">IFERROR(INDEX('Master Data'!$L$2:$L$2436,MATCH($B$3&amp;"|3|"&amp;H$44&amp;"|"&amp;$A46,'Master Data'!$A$2:$A$2436,0)),"")</f>
        <v>Sebagian</v>
      </c>
    </row>
    <row r="47" customFormat="false" ht="30" hidden="false" customHeight="true" outlineLevel="0" collapsed="false">
      <c r="A47" s="59" t="s">
        <v>98</v>
      </c>
      <c r="B47" s="60" t="str">
        <f aca="false">IFERROR(INDEX('Master Data'!$M$2:$M$2436,MATCH($B$3&amp;"|3|"&amp;B$44&amp;"|"&amp;$A47,'Master Data'!$A$2:$A$2436,0)),"")</f>
        <v>Little  1/4
coach: Silvi</v>
      </c>
      <c r="C47" s="60" t="str">
        <f aca="false">IFERROR(INDEX('Master Data'!$M$2:$M$2436,MATCH($B$3&amp;"|3|"&amp;C$44&amp;"|"&amp;$A47,'Master Data'!$A$2:$A$2436,0)),"")</f>
        <v>Little  3/4
coach: Angga</v>
      </c>
      <c r="D47" s="60" t="str">
        <f aca="false">IFERROR(INDEX('Master Data'!$M$2:$M$2436,MATCH($B$3&amp;"|3|"&amp;D$44&amp;"|"&amp;$A47,'Master Data'!$A$2:$A$2436,0)),"")</f>
        <v>Little  0/4
coach: –</v>
      </c>
      <c r="E47" s="60" t="str">
        <f aca="false">IFERROR(INDEX('Master Data'!$M$2:$M$2436,MATCH($B$3&amp;"|3|"&amp;E$44&amp;"|"&amp;$A47,'Master Data'!$A$2:$A$2436,0)),"")</f>
        <v>Little  3/4
coach: Juan</v>
      </c>
      <c r="F47" s="60" t="str">
        <f aca="false">IFERROR(INDEX('Master Data'!$M$2:$M$2436,MATCH($B$3&amp;"|3|"&amp;F$44&amp;"|"&amp;$A47,'Master Data'!$A$2:$A$2436,0)),"")</f>
        <v>Little  0/4
coach: –</v>
      </c>
      <c r="G47" s="60" t="str">
        <f aca="false">IFERROR(INDEX('Master Data'!$M$2:$M$2436,MATCH($B$3&amp;"|3|"&amp;G$44&amp;"|"&amp;$A47,'Master Data'!$A$2:$A$2436,0)),"")</f>
        <v>Little  4/4
coach: Silvi</v>
      </c>
      <c r="H47" s="60" t="str">
        <f aca="false">IFERROR(INDEX('Master Data'!$M$2:$M$2436,MATCH($B$3&amp;"|3|"&amp;H$44&amp;"|"&amp;$A47,'Master Data'!$A$2:$A$2436,0)),"")</f>
        <v>Little  3/4
coach: Angga</v>
      </c>
      <c r="T47" s="61" t="str">
        <f aca="false">IFERROR(INDEX('Master Data'!$L$2:$L$2436,MATCH($B$3&amp;"|3|"&amp;B$44&amp;"|"&amp;$A47,'Master Data'!$A$2:$A$2436,0)),"")</f>
        <v>Sebagian</v>
      </c>
      <c r="U47" s="61" t="str">
        <f aca="false">IFERROR(INDEX('Master Data'!$L$2:$L$2436,MATCH($B$3&amp;"|3|"&amp;C$44&amp;"|"&amp;$A47,'Master Data'!$A$2:$A$2436,0)),"")</f>
        <v>Sebagian</v>
      </c>
      <c r="V47" s="61" t="str">
        <f aca="false">IFERROR(INDEX('Master Data'!$L$2:$L$2436,MATCH($B$3&amp;"|3|"&amp;D$44&amp;"|"&amp;$A47,'Master Data'!$A$2:$A$2436,0)),"")</f>
        <v>Belum terisi</v>
      </c>
      <c r="W47" s="61" t="str">
        <f aca="false">IFERROR(INDEX('Master Data'!$L$2:$L$2436,MATCH($B$3&amp;"|3|"&amp;E$44&amp;"|"&amp;$A47,'Master Data'!$A$2:$A$2436,0)),"")</f>
        <v>Sebagian</v>
      </c>
      <c r="X47" s="61" t="str">
        <f aca="false">IFERROR(INDEX('Master Data'!$L$2:$L$2436,MATCH($B$3&amp;"|3|"&amp;F$44&amp;"|"&amp;$A47,'Master Data'!$A$2:$A$2436,0)),"")</f>
        <v>Belum terisi</v>
      </c>
      <c r="Y47" s="61" t="str">
        <f aca="false">IFERROR(INDEX('Master Data'!$L$2:$L$2436,MATCH($B$3&amp;"|3|"&amp;G$44&amp;"|"&amp;$A47,'Master Data'!$A$2:$A$2436,0)),"")</f>
        <v>Penuh</v>
      </c>
      <c r="Z47" s="61" t="str">
        <f aca="false">IFERROR(INDEX('Master Data'!$L$2:$L$2436,MATCH($B$3&amp;"|3|"&amp;H$44&amp;"|"&amp;$A47,'Master Data'!$A$2:$A$2436,0)),"")</f>
        <v>Sebagian</v>
      </c>
    </row>
    <row r="48" customFormat="false" ht="30" hidden="false" customHeight="true" outlineLevel="0" collapsed="false">
      <c r="A48" s="59" t="s">
        <v>99</v>
      </c>
      <c r="B48" s="60" t="str">
        <f aca="false">IFERROR(INDEX('Master Data'!$M$2:$M$2436,MATCH($B$3&amp;"|3|"&amp;B$44&amp;"|"&amp;$A48,'Master Data'!$A$2:$A$2436,0)),"")</f>
        <v>Little  1/4
coach: Silvi</v>
      </c>
      <c r="C48" s="60" t="str">
        <f aca="false">IFERROR(INDEX('Master Data'!$M$2:$M$2436,MATCH($B$3&amp;"|3|"&amp;C$44&amp;"|"&amp;$A48,'Master Data'!$A$2:$A$2436,0)),"")</f>
        <v>Little  0/4
coach: –</v>
      </c>
      <c r="D48" s="60" t="str">
        <f aca="false">IFERROR(INDEX('Master Data'!$M$2:$M$2436,MATCH($B$3&amp;"|3|"&amp;D$44&amp;"|"&amp;$A48,'Master Data'!$A$2:$A$2436,0)),"")</f>
        <v>Little  1/4
coach: Angga</v>
      </c>
      <c r="E48" s="60" t="str">
        <f aca="false">IFERROR(INDEX('Master Data'!$M$2:$M$2436,MATCH($B$3&amp;"|3|"&amp;E$44&amp;"|"&amp;$A48,'Master Data'!$A$2:$A$2436,0)),"")</f>
        <v>Little  1/4
coach: Juan</v>
      </c>
      <c r="F48" s="60" t="str">
        <f aca="false">IFERROR(INDEX('Master Data'!$M$2:$M$2436,MATCH($B$3&amp;"|3|"&amp;F$44&amp;"|"&amp;$A48,'Master Data'!$A$2:$A$2436,0)),"")</f>
        <v>Little  1/4
coach: Juan</v>
      </c>
      <c r="G48" s="60" t="str">
        <f aca="false">IFERROR(INDEX('Master Data'!$M$2:$M$2436,MATCH($B$3&amp;"|3|"&amp;G$44&amp;"|"&amp;$A48,'Master Data'!$A$2:$A$2436,0)),"")</f>
        <v>Little  4/4
coach: Juan</v>
      </c>
      <c r="H48" s="60" t="str">
        <f aca="false">IFERROR(INDEX('Master Data'!$M$2:$M$2436,MATCH($B$3&amp;"|3|"&amp;H$44&amp;"|"&amp;$A48,'Master Data'!$A$2:$A$2436,0)),"")</f>
        <v>Little  4/4
coach: Juan</v>
      </c>
      <c r="T48" s="61" t="str">
        <f aca="false">IFERROR(INDEX('Master Data'!$L$2:$L$2436,MATCH($B$3&amp;"|3|"&amp;B$44&amp;"|"&amp;$A48,'Master Data'!$A$2:$A$2436,0)),"")</f>
        <v>Sebagian</v>
      </c>
      <c r="U48" s="61" t="str">
        <f aca="false">IFERROR(INDEX('Master Data'!$L$2:$L$2436,MATCH($B$3&amp;"|3|"&amp;C$44&amp;"|"&amp;$A48,'Master Data'!$A$2:$A$2436,0)),"")</f>
        <v>Belum terisi</v>
      </c>
      <c r="V48" s="61" t="str">
        <f aca="false">IFERROR(INDEX('Master Data'!$L$2:$L$2436,MATCH($B$3&amp;"|3|"&amp;D$44&amp;"|"&amp;$A48,'Master Data'!$A$2:$A$2436,0)),"")</f>
        <v>Sebagian</v>
      </c>
      <c r="W48" s="61" t="str">
        <f aca="false">IFERROR(INDEX('Master Data'!$L$2:$L$2436,MATCH($B$3&amp;"|3|"&amp;E$44&amp;"|"&amp;$A48,'Master Data'!$A$2:$A$2436,0)),"")</f>
        <v>Sebagian</v>
      </c>
      <c r="X48" s="61" t="str">
        <f aca="false">IFERROR(INDEX('Master Data'!$L$2:$L$2436,MATCH($B$3&amp;"|3|"&amp;F$44&amp;"|"&amp;$A48,'Master Data'!$A$2:$A$2436,0)),"")</f>
        <v>Sebagian</v>
      </c>
      <c r="Y48" s="61" t="str">
        <f aca="false">IFERROR(INDEX('Master Data'!$L$2:$L$2436,MATCH($B$3&amp;"|3|"&amp;G$44&amp;"|"&amp;$A48,'Master Data'!$A$2:$A$2436,0)),"")</f>
        <v>Penuh</v>
      </c>
      <c r="Z48" s="61" t="str">
        <f aca="false">IFERROR(INDEX('Master Data'!$L$2:$L$2436,MATCH($B$3&amp;"|3|"&amp;H$44&amp;"|"&amp;$A48,'Master Data'!$A$2:$A$2436,0)),"")</f>
        <v>Penuh</v>
      </c>
    </row>
    <row r="49" customFormat="false" ht="30" hidden="false" customHeight="true" outlineLevel="0" collapsed="false">
      <c r="A49" s="59" t="s">
        <v>100</v>
      </c>
      <c r="B49" s="60" t="str">
        <f aca="false">IFERROR(INDEX('Master Data'!$M$2:$M$2436,MATCH($B$3&amp;"|3|"&amp;B$44&amp;"|"&amp;$A49,'Master Data'!$A$2:$A$2436,0)),"")</f>
        <v>Little  1/4
coach: Silvi</v>
      </c>
      <c r="C49" s="60" t="str">
        <f aca="false">IFERROR(INDEX('Master Data'!$M$2:$M$2436,MATCH($B$3&amp;"|3|"&amp;C$44&amp;"|"&amp;$A49,'Master Data'!$A$2:$A$2436,0)),"")</f>
        <v>Little  2/4
coach: Angga</v>
      </c>
      <c r="D49" s="60" t="str">
        <f aca="false">IFERROR(INDEX('Master Data'!$M$2:$M$2436,MATCH($B$3&amp;"|3|"&amp;D$44&amp;"|"&amp;$A49,'Master Data'!$A$2:$A$2436,0)),"")</f>
        <v>Little  0/4
coach: –</v>
      </c>
      <c r="E49" s="60" t="str">
        <f aca="false">IFERROR(INDEX('Master Data'!$M$2:$M$2436,MATCH($B$3&amp;"|3|"&amp;E$44&amp;"|"&amp;$A49,'Master Data'!$A$2:$A$2436,0)),"")</f>
        <v>Little  1/4
coach: Juan</v>
      </c>
      <c r="F49" s="60" t="str">
        <f aca="false">IFERROR(INDEX('Master Data'!$M$2:$M$2436,MATCH($B$3&amp;"|3|"&amp;F$44&amp;"|"&amp;$A49,'Master Data'!$A$2:$A$2436,0)),"")</f>
        <v>Little  1/4
coach: Silvi</v>
      </c>
      <c r="G49" s="60" t="str">
        <f aca="false">IFERROR(INDEX('Master Data'!$M$2:$M$2436,MATCH($B$3&amp;"|3|"&amp;G$44&amp;"|"&amp;$A49,'Master Data'!$A$2:$A$2436,0)),"")</f>
        <v>Little  2/4
coach: Angga</v>
      </c>
      <c r="H49" s="60" t="str">
        <f aca="false">IFERROR(INDEX('Master Data'!$M$2:$M$2436,MATCH($B$3&amp;"|3|"&amp;H$44&amp;"|"&amp;$A49,'Master Data'!$A$2:$A$2436,0)),"")</f>
        <v>Little  2/4
coach: Indra</v>
      </c>
      <c r="T49" s="61" t="str">
        <f aca="false">IFERROR(INDEX('Master Data'!$L$2:$L$2436,MATCH($B$3&amp;"|3|"&amp;B$44&amp;"|"&amp;$A49,'Master Data'!$A$2:$A$2436,0)),"")</f>
        <v>Sebagian</v>
      </c>
      <c r="U49" s="61" t="str">
        <f aca="false">IFERROR(INDEX('Master Data'!$L$2:$L$2436,MATCH($B$3&amp;"|3|"&amp;C$44&amp;"|"&amp;$A49,'Master Data'!$A$2:$A$2436,0)),"")</f>
        <v>Sebagian</v>
      </c>
      <c r="V49" s="61" t="str">
        <f aca="false">IFERROR(INDEX('Master Data'!$L$2:$L$2436,MATCH($B$3&amp;"|3|"&amp;D$44&amp;"|"&amp;$A49,'Master Data'!$A$2:$A$2436,0)),"")</f>
        <v>Belum terisi</v>
      </c>
      <c r="W49" s="61" t="str">
        <f aca="false">IFERROR(INDEX('Master Data'!$L$2:$L$2436,MATCH($B$3&amp;"|3|"&amp;E$44&amp;"|"&amp;$A49,'Master Data'!$A$2:$A$2436,0)),"")</f>
        <v>Sebagian</v>
      </c>
      <c r="X49" s="61" t="str">
        <f aca="false">IFERROR(INDEX('Master Data'!$L$2:$L$2436,MATCH($B$3&amp;"|3|"&amp;F$44&amp;"|"&amp;$A49,'Master Data'!$A$2:$A$2436,0)),"")</f>
        <v>Sebagian</v>
      </c>
      <c r="Y49" s="61" t="str">
        <f aca="false">IFERROR(INDEX('Master Data'!$L$2:$L$2436,MATCH($B$3&amp;"|3|"&amp;G$44&amp;"|"&amp;$A49,'Master Data'!$A$2:$A$2436,0)),"")</f>
        <v>Sebagian</v>
      </c>
      <c r="Z49" s="61" t="str">
        <f aca="false">IFERROR(INDEX('Master Data'!$L$2:$L$2436,MATCH($B$3&amp;"|3|"&amp;H$44&amp;"|"&amp;$A49,'Master Data'!$A$2:$A$2436,0)),"")</f>
        <v>Sebagian</v>
      </c>
    </row>
    <row r="50" customFormat="false" ht="30" hidden="false" customHeight="true" outlineLevel="0" collapsed="false">
      <c r="A50" s="59" t="s">
        <v>101</v>
      </c>
      <c r="B50" s="60" t="str">
        <f aca="false">IFERROR(INDEX('Master Data'!$M$2:$M$2436,MATCH($B$3&amp;"|3|"&amp;B$44&amp;"|"&amp;$A50,'Master Data'!$A$2:$A$2436,0)),"")</f>
        <v>Little  0/4
coach: –</v>
      </c>
      <c r="C50" s="60" t="str">
        <f aca="false">IFERROR(INDEX('Master Data'!$M$2:$M$2436,MATCH($B$3&amp;"|3|"&amp;C$44&amp;"|"&amp;$A50,'Master Data'!$A$2:$A$2436,0)),"")</f>
        <v>Little  0/4
coach: –</v>
      </c>
      <c r="D50" s="60" t="str">
        <f aca="false">IFERROR(INDEX('Master Data'!$M$2:$M$2436,MATCH($B$3&amp;"|3|"&amp;D$44&amp;"|"&amp;$A50,'Master Data'!$A$2:$A$2436,0)),"")</f>
        <v>Little  0/4
coach: –</v>
      </c>
      <c r="E50" s="60" t="str">
        <f aca="false">IFERROR(INDEX('Master Data'!$M$2:$M$2436,MATCH($B$3&amp;"|3|"&amp;E$44&amp;"|"&amp;$A50,'Master Data'!$A$2:$A$2436,0)),"")</f>
        <v>Little  0/4
coach: –</v>
      </c>
      <c r="F50" s="60" t="str">
        <f aca="false">IFERROR(INDEX('Master Data'!$M$2:$M$2436,MATCH($B$3&amp;"|3|"&amp;F$44&amp;"|"&amp;$A50,'Master Data'!$A$2:$A$2436,0)),"")</f>
        <v>Little  0/4
coach: –</v>
      </c>
      <c r="G50" s="60" t="str">
        <f aca="false">IFERROR(INDEX('Master Data'!$M$2:$M$2436,MATCH($B$3&amp;"|3|"&amp;G$44&amp;"|"&amp;$A50,'Master Data'!$A$2:$A$2436,0)),"")</f>
        <v>Little  0/4
coach: –</v>
      </c>
      <c r="H50" s="60" t="str">
        <f aca="false">IFERROR(INDEX('Master Data'!$M$2:$M$2436,MATCH($B$3&amp;"|3|"&amp;H$44&amp;"|"&amp;$A50,'Master Data'!$A$2:$A$2436,0)),"")</f>
        <v>Little  0/4
coach: –</v>
      </c>
      <c r="T50" s="61" t="str">
        <f aca="false">IFERROR(INDEX('Master Data'!$L$2:$L$2436,MATCH($B$3&amp;"|3|"&amp;B$44&amp;"|"&amp;$A50,'Master Data'!$A$2:$A$2436,0)),"")</f>
        <v>Belum terisi</v>
      </c>
      <c r="U50" s="61" t="str">
        <f aca="false">IFERROR(INDEX('Master Data'!$L$2:$L$2436,MATCH($B$3&amp;"|3|"&amp;C$44&amp;"|"&amp;$A50,'Master Data'!$A$2:$A$2436,0)),"")</f>
        <v>Belum terisi</v>
      </c>
      <c r="V50" s="61" t="str">
        <f aca="false">IFERROR(INDEX('Master Data'!$L$2:$L$2436,MATCH($B$3&amp;"|3|"&amp;D$44&amp;"|"&amp;$A50,'Master Data'!$A$2:$A$2436,0)),"")</f>
        <v>Belum terisi</v>
      </c>
      <c r="W50" s="61" t="str">
        <f aca="false">IFERROR(INDEX('Master Data'!$L$2:$L$2436,MATCH($B$3&amp;"|3|"&amp;E$44&amp;"|"&amp;$A50,'Master Data'!$A$2:$A$2436,0)),"")</f>
        <v>Belum terisi</v>
      </c>
      <c r="X50" s="61" t="str">
        <f aca="false">IFERROR(INDEX('Master Data'!$L$2:$L$2436,MATCH($B$3&amp;"|3|"&amp;F$44&amp;"|"&amp;$A50,'Master Data'!$A$2:$A$2436,0)),"")</f>
        <v>Belum terisi</v>
      </c>
      <c r="Y50" s="61" t="str">
        <f aca="false">IFERROR(INDEX('Master Data'!$L$2:$L$2436,MATCH($B$3&amp;"|3|"&amp;G$44&amp;"|"&amp;$A50,'Master Data'!$A$2:$A$2436,0)),"")</f>
        <v>Belum terisi</v>
      </c>
      <c r="Z50" s="61" t="str">
        <f aca="false">IFERROR(INDEX('Master Data'!$L$2:$L$2436,MATCH($B$3&amp;"|3|"&amp;H$44&amp;"|"&amp;$A50,'Master Data'!$A$2:$A$2436,0)),"")</f>
        <v>Belum terisi</v>
      </c>
    </row>
    <row r="51" customFormat="false" ht="30" hidden="false" customHeight="true" outlineLevel="0" collapsed="false">
      <c r="A51" s="59" t="s">
        <v>102</v>
      </c>
      <c r="B51" s="60" t="str">
        <f aca="false">IFERROR(INDEX('Master Data'!$M$2:$M$2436,MATCH($B$3&amp;"|3|"&amp;B$44&amp;"|"&amp;$A51,'Master Data'!$A$2:$A$2436,0)),"")</f>
        <v>Little  1/4
coach: Silvi</v>
      </c>
      <c r="C51" s="60" t="str">
        <f aca="false">IFERROR(INDEX('Master Data'!$M$2:$M$2436,MATCH($B$3&amp;"|3|"&amp;C$44&amp;"|"&amp;$A51,'Master Data'!$A$2:$A$2436,0)),"")</f>
        <v>Little  0/4
coach: –</v>
      </c>
      <c r="D51" s="60" t="str">
        <f aca="false">IFERROR(INDEX('Master Data'!$M$2:$M$2436,MATCH($B$3&amp;"|3|"&amp;D$44&amp;"|"&amp;$A51,'Master Data'!$A$2:$A$2436,0)),"")</f>
        <v>Little  0/4
coach: –</v>
      </c>
      <c r="E51" s="60" t="str">
        <f aca="false">IFERROR(INDEX('Master Data'!$M$2:$M$2436,MATCH($B$3&amp;"|3|"&amp;E$44&amp;"|"&amp;$A51,'Master Data'!$A$2:$A$2436,0)),"")</f>
        <v>Little  0/4
coach: –</v>
      </c>
      <c r="F51" s="60" t="str">
        <f aca="false">IFERROR(INDEX('Master Data'!$M$2:$M$2436,MATCH($B$3&amp;"|3|"&amp;F$44&amp;"|"&amp;$A51,'Master Data'!$A$2:$A$2436,0)),"")</f>
        <v>Little  1/4
coach: Silvi</v>
      </c>
      <c r="G51" s="60" t="str">
        <f aca="false">IFERROR(INDEX('Master Data'!$M$2:$M$2436,MATCH($B$3&amp;"|3|"&amp;G$44&amp;"|"&amp;$A51,'Master Data'!$A$2:$A$2436,0)),"")</f>
        <v>Little  1/4
coach: –</v>
      </c>
      <c r="H51" s="60" t="str">
        <f aca="false">IFERROR(INDEX('Master Data'!$M$2:$M$2436,MATCH($B$3&amp;"|3|"&amp;H$44&amp;"|"&amp;$A51,'Master Data'!$A$2:$A$2436,0)),"")</f>
        <v>Little  0/4
coach: –</v>
      </c>
      <c r="T51" s="61" t="str">
        <f aca="false">IFERROR(INDEX('Master Data'!$L$2:$L$2436,MATCH($B$3&amp;"|3|"&amp;B$44&amp;"|"&amp;$A51,'Master Data'!$A$2:$A$2436,0)),"")</f>
        <v>Sebagian</v>
      </c>
      <c r="U51" s="61" t="str">
        <f aca="false">IFERROR(INDEX('Master Data'!$L$2:$L$2436,MATCH($B$3&amp;"|3|"&amp;C$44&amp;"|"&amp;$A51,'Master Data'!$A$2:$A$2436,0)),"")</f>
        <v>Belum terisi</v>
      </c>
      <c r="V51" s="61" t="str">
        <f aca="false">IFERROR(INDEX('Master Data'!$L$2:$L$2436,MATCH($B$3&amp;"|3|"&amp;D$44&amp;"|"&amp;$A51,'Master Data'!$A$2:$A$2436,0)),"")</f>
        <v>Belum terisi</v>
      </c>
      <c r="W51" s="61" t="str">
        <f aca="false">IFERROR(INDEX('Master Data'!$L$2:$L$2436,MATCH($B$3&amp;"|3|"&amp;E$44&amp;"|"&amp;$A51,'Master Data'!$A$2:$A$2436,0)),"")</f>
        <v>Belum terisi</v>
      </c>
      <c r="X51" s="61" t="str">
        <f aca="false">IFERROR(INDEX('Master Data'!$L$2:$L$2436,MATCH($B$3&amp;"|3|"&amp;F$44&amp;"|"&amp;$A51,'Master Data'!$A$2:$A$2436,0)),"")</f>
        <v>Sebagian</v>
      </c>
      <c r="Y51" s="61" t="str">
        <f aca="false">IFERROR(INDEX('Master Data'!$L$2:$L$2436,MATCH($B$3&amp;"|3|"&amp;G$44&amp;"|"&amp;$A51,'Master Data'!$A$2:$A$2436,0)),"")</f>
        <v>Sebagian</v>
      </c>
      <c r="Z51" s="61" t="str">
        <f aca="false">IFERROR(INDEX('Master Data'!$L$2:$L$2436,MATCH($B$3&amp;"|3|"&amp;H$44&amp;"|"&amp;$A51,'Master Data'!$A$2:$A$2436,0)),"")</f>
        <v>Belum terisi</v>
      </c>
    </row>
    <row r="52" customFormat="false" ht="30" hidden="false" customHeight="true" outlineLevel="0" collapsed="false">
      <c r="A52" s="59" t="s">
        <v>103</v>
      </c>
      <c r="B52" s="60" t="str">
        <f aca="false">IFERROR(INDEX('Master Data'!$M$2:$M$2436,MATCH($B$3&amp;"|3|"&amp;B$44&amp;"|"&amp;$A52,'Master Data'!$A$2:$A$2436,0)),"")</f>
        <v>Little  0/4
coach: –</v>
      </c>
      <c r="C52" s="60" t="str">
        <f aca="false">IFERROR(INDEX('Master Data'!$M$2:$M$2436,MATCH($B$3&amp;"|3|"&amp;C$44&amp;"|"&amp;$A52,'Master Data'!$A$2:$A$2436,0)),"")</f>
        <v>Little  0/4
coach: –</v>
      </c>
      <c r="D52" s="60" t="str">
        <f aca="false">IFERROR(INDEX('Master Data'!$M$2:$M$2436,MATCH($B$3&amp;"|3|"&amp;D$44&amp;"|"&amp;$A52,'Master Data'!$A$2:$A$2436,0)),"")</f>
        <v>Little  0/4
coach: –</v>
      </c>
      <c r="E52" s="60" t="str">
        <f aca="false">IFERROR(INDEX('Master Data'!$M$2:$M$2436,MATCH($B$3&amp;"|3|"&amp;E$44&amp;"|"&amp;$A52,'Master Data'!$A$2:$A$2436,0)),"")</f>
        <v>Little  0/4
coach: –</v>
      </c>
      <c r="F52" s="60" t="str">
        <f aca="false">IFERROR(INDEX('Master Data'!$M$2:$M$2436,MATCH($B$3&amp;"|3|"&amp;F$44&amp;"|"&amp;$A52,'Master Data'!$A$2:$A$2436,0)),"")</f>
        <v>Little  0/4
coach: –</v>
      </c>
      <c r="G52" s="60" t="str">
        <f aca="false">IFERROR(INDEX('Master Data'!$M$2:$M$2436,MATCH($B$3&amp;"|3|"&amp;G$44&amp;"|"&amp;$A52,'Master Data'!$A$2:$A$2436,0)),"")</f>
        <v>Little  1/4
coach: Shabrina</v>
      </c>
      <c r="H52" s="60" t="str">
        <f aca="false">IFERROR(INDEX('Master Data'!$M$2:$M$2436,MATCH($B$3&amp;"|3|"&amp;H$44&amp;"|"&amp;$A52,'Master Data'!$A$2:$A$2436,0)),"")</f>
        <v>Little  0/4
coach: –</v>
      </c>
      <c r="T52" s="61" t="str">
        <f aca="false">IFERROR(INDEX('Master Data'!$L$2:$L$2436,MATCH($B$3&amp;"|3|"&amp;B$44&amp;"|"&amp;$A52,'Master Data'!$A$2:$A$2436,0)),"")</f>
        <v>Belum terisi</v>
      </c>
      <c r="U52" s="61" t="str">
        <f aca="false">IFERROR(INDEX('Master Data'!$L$2:$L$2436,MATCH($B$3&amp;"|3|"&amp;C$44&amp;"|"&amp;$A52,'Master Data'!$A$2:$A$2436,0)),"")</f>
        <v>Belum terisi</v>
      </c>
      <c r="V52" s="61" t="str">
        <f aca="false">IFERROR(INDEX('Master Data'!$L$2:$L$2436,MATCH($B$3&amp;"|3|"&amp;D$44&amp;"|"&amp;$A52,'Master Data'!$A$2:$A$2436,0)),"")</f>
        <v>Belum terisi</v>
      </c>
      <c r="W52" s="61" t="str">
        <f aca="false">IFERROR(INDEX('Master Data'!$L$2:$L$2436,MATCH($B$3&amp;"|3|"&amp;E$44&amp;"|"&amp;$A52,'Master Data'!$A$2:$A$2436,0)),"")</f>
        <v>Belum terisi</v>
      </c>
      <c r="X52" s="61" t="str">
        <f aca="false">IFERROR(INDEX('Master Data'!$L$2:$L$2436,MATCH($B$3&amp;"|3|"&amp;F$44&amp;"|"&amp;$A52,'Master Data'!$A$2:$A$2436,0)),"")</f>
        <v>Belum terisi</v>
      </c>
      <c r="Y52" s="61" t="str">
        <f aca="false">IFERROR(INDEX('Master Data'!$L$2:$L$2436,MATCH($B$3&amp;"|3|"&amp;G$44&amp;"|"&amp;$A52,'Master Data'!$A$2:$A$2436,0)),"")</f>
        <v>Sebagian</v>
      </c>
      <c r="Z52" s="61" t="str">
        <f aca="false">IFERROR(INDEX('Master Data'!$L$2:$L$2436,MATCH($B$3&amp;"|3|"&amp;H$44&amp;"|"&amp;$A52,'Master Data'!$A$2:$A$2436,0)),"")</f>
        <v>Belum terisi</v>
      </c>
    </row>
    <row r="53" customFormat="false" ht="30" hidden="false" customHeight="true" outlineLevel="0" collapsed="false">
      <c r="A53" s="59" t="s">
        <v>104</v>
      </c>
      <c r="B53" s="60" t="str">
        <f aca="false">IFERROR(INDEX('Master Data'!$M$2:$M$2436,MATCH($B$3&amp;"|3|"&amp;B$44&amp;"|"&amp;$A53,'Master Data'!$A$2:$A$2436,0)),"")</f>
        <v>Little  0/4
coach: –</v>
      </c>
      <c r="C53" s="60" t="str">
        <f aca="false">IFERROR(INDEX('Master Data'!$M$2:$M$2436,MATCH($B$3&amp;"|3|"&amp;C$44&amp;"|"&amp;$A53,'Master Data'!$A$2:$A$2436,0)),"")</f>
        <v>Little  0/4
coach: –</v>
      </c>
      <c r="D53" s="60" t="str">
        <f aca="false">IFERROR(INDEX('Master Data'!$M$2:$M$2436,MATCH($B$3&amp;"|3|"&amp;D$44&amp;"|"&amp;$A53,'Master Data'!$A$2:$A$2436,0)),"")</f>
        <v>Little  2/4
coach: Angga</v>
      </c>
      <c r="E53" s="60" t="str">
        <f aca="false">IFERROR(INDEX('Master Data'!$M$2:$M$2436,MATCH($B$3&amp;"|3|"&amp;E$44&amp;"|"&amp;$A53,'Master Data'!$A$2:$A$2436,0)),"")</f>
        <v>Little  0/4
coach: –</v>
      </c>
      <c r="F53" s="60" t="str">
        <f aca="false">IFERROR(INDEX('Master Data'!$M$2:$M$2436,MATCH($B$3&amp;"|3|"&amp;F$44&amp;"|"&amp;$A53,'Master Data'!$A$2:$A$2436,0)),"")</f>
        <v>Little  0/4
coach: –</v>
      </c>
      <c r="G53" s="60" t="str">
        <f aca="false">IFERROR(INDEX('Master Data'!$M$2:$M$2436,MATCH($B$3&amp;"|3|"&amp;G$44&amp;"|"&amp;$A53,'Master Data'!$A$2:$A$2436,0)),"")</f>
        <v>Little  1/4
coach: Angga</v>
      </c>
      <c r="H53" s="60" t="str">
        <f aca="false">IFERROR(INDEX('Master Data'!$M$2:$M$2436,MATCH($B$3&amp;"|3|"&amp;H$44&amp;"|"&amp;$A53,'Master Data'!$A$2:$A$2436,0)),"")</f>
        <v>Little  0/4
coach: –</v>
      </c>
      <c r="T53" s="61" t="str">
        <f aca="false">IFERROR(INDEX('Master Data'!$L$2:$L$2436,MATCH($B$3&amp;"|3|"&amp;B$44&amp;"|"&amp;$A53,'Master Data'!$A$2:$A$2436,0)),"")</f>
        <v>Belum terisi</v>
      </c>
      <c r="U53" s="61" t="str">
        <f aca="false">IFERROR(INDEX('Master Data'!$L$2:$L$2436,MATCH($B$3&amp;"|3|"&amp;C$44&amp;"|"&amp;$A53,'Master Data'!$A$2:$A$2436,0)),"")</f>
        <v>Belum terisi</v>
      </c>
      <c r="V53" s="61" t="str">
        <f aca="false">IFERROR(INDEX('Master Data'!$L$2:$L$2436,MATCH($B$3&amp;"|3|"&amp;D$44&amp;"|"&amp;$A53,'Master Data'!$A$2:$A$2436,0)),"")</f>
        <v>Sebagian</v>
      </c>
      <c r="W53" s="61" t="str">
        <f aca="false">IFERROR(INDEX('Master Data'!$L$2:$L$2436,MATCH($B$3&amp;"|3|"&amp;E$44&amp;"|"&amp;$A53,'Master Data'!$A$2:$A$2436,0)),"")</f>
        <v>Belum terisi</v>
      </c>
      <c r="X53" s="61" t="str">
        <f aca="false">IFERROR(INDEX('Master Data'!$L$2:$L$2436,MATCH($B$3&amp;"|3|"&amp;F$44&amp;"|"&amp;$A53,'Master Data'!$A$2:$A$2436,0)),"")</f>
        <v>Belum terisi</v>
      </c>
      <c r="Y53" s="61" t="str">
        <f aca="false">IFERROR(INDEX('Master Data'!$L$2:$L$2436,MATCH($B$3&amp;"|3|"&amp;G$44&amp;"|"&amp;$A53,'Master Data'!$A$2:$A$2436,0)),"")</f>
        <v>Sebagian</v>
      </c>
      <c r="Z53" s="61" t="str">
        <f aca="false">IFERROR(INDEX('Master Data'!$L$2:$L$2436,MATCH($B$3&amp;"|3|"&amp;H$44&amp;"|"&amp;$A53,'Master Data'!$A$2:$A$2436,0)),"")</f>
        <v>Belum terisi</v>
      </c>
    </row>
    <row r="54" customFormat="false" ht="30" hidden="false" customHeight="true" outlineLevel="0" collapsed="false">
      <c r="A54" s="59" t="s">
        <v>105</v>
      </c>
      <c r="B54" s="60" t="str">
        <f aca="false">IFERROR(INDEX('Master Data'!$M$2:$M$2436,MATCH($B$3&amp;"|3|"&amp;B$44&amp;"|"&amp;$A54,'Master Data'!$A$2:$A$2436,0)),"")</f>
        <v>Little  1/4
coach: Angga</v>
      </c>
      <c r="C54" s="60" t="str">
        <f aca="false">IFERROR(INDEX('Master Data'!$M$2:$M$2436,MATCH($B$3&amp;"|3|"&amp;C$44&amp;"|"&amp;$A54,'Master Data'!$A$2:$A$2436,0)),"")</f>
        <v>Little  2/4
coach: Silvi</v>
      </c>
      <c r="D54" s="60" t="str">
        <f aca="false">IFERROR(INDEX('Master Data'!$M$2:$M$2436,MATCH($B$3&amp;"|3|"&amp;D$44&amp;"|"&amp;$A54,'Master Data'!$A$2:$A$2436,0)),"")</f>
        <v>Little  1/4
coach: Angga</v>
      </c>
      <c r="E54" s="60" t="str">
        <f aca="false">IFERROR(INDEX('Master Data'!$M$2:$M$2436,MATCH($B$3&amp;"|3|"&amp;E$44&amp;"|"&amp;$A54,'Master Data'!$A$2:$A$2436,0)),"")</f>
        <v>Little  1/4
coach: Indra</v>
      </c>
      <c r="F54" s="60" t="str">
        <f aca="false">IFERROR(INDEX('Master Data'!$M$2:$M$2436,MATCH($B$3&amp;"|3|"&amp;F$44&amp;"|"&amp;$A54,'Master Data'!$A$2:$A$2436,0)),"")</f>
        <v>Little  2/4
coach: Juan</v>
      </c>
      <c r="G54" s="60" t="str">
        <f aca="false">IFERROR(INDEX('Master Data'!$M$2:$M$2436,MATCH($B$3&amp;"|3|"&amp;G$44&amp;"|"&amp;$A54,'Master Data'!$A$2:$A$2436,0)),"")</f>
        <v>Little  0/4
coach: –</v>
      </c>
      <c r="H54" s="60" t="str">
        <f aca="false">IFERROR(INDEX('Master Data'!$M$2:$M$2436,MATCH($B$3&amp;"|3|"&amp;H$44&amp;"|"&amp;$A54,'Master Data'!$A$2:$A$2436,0)),"")</f>
        <v>Little  1/4
coach: Juan</v>
      </c>
      <c r="T54" s="61" t="str">
        <f aca="false">IFERROR(INDEX('Master Data'!$L$2:$L$2436,MATCH($B$3&amp;"|3|"&amp;B$44&amp;"|"&amp;$A54,'Master Data'!$A$2:$A$2436,0)),"")</f>
        <v>Sebagian</v>
      </c>
      <c r="U54" s="61" t="str">
        <f aca="false">IFERROR(INDEX('Master Data'!$L$2:$L$2436,MATCH($B$3&amp;"|3|"&amp;C$44&amp;"|"&amp;$A54,'Master Data'!$A$2:$A$2436,0)),"")</f>
        <v>Sebagian</v>
      </c>
      <c r="V54" s="61" t="str">
        <f aca="false">IFERROR(INDEX('Master Data'!$L$2:$L$2436,MATCH($B$3&amp;"|3|"&amp;D$44&amp;"|"&amp;$A54,'Master Data'!$A$2:$A$2436,0)),"")</f>
        <v>Sebagian</v>
      </c>
      <c r="W54" s="61" t="str">
        <f aca="false">IFERROR(INDEX('Master Data'!$L$2:$L$2436,MATCH($B$3&amp;"|3|"&amp;E$44&amp;"|"&amp;$A54,'Master Data'!$A$2:$A$2436,0)),"")</f>
        <v>Sebagian</v>
      </c>
      <c r="X54" s="61" t="str">
        <f aca="false">IFERROR(INDEX('Master Data'!$L$2:$L$2436,MATCH($B$3&amp;"|3|"&amp;F$44&amp;"|"&amp;$A54,'Master Data'!$A$2:$A$2436,0)),"")</f>
        <v>Sebagian</v>
      </c>
      <c r="Y54" s="61" t="str">
        <f aca="false">IFERROR(INDEX('Master Data'!$L$2:$L$2436,MATCH($B$3&amp;"|3|"&amp;G$44&amp;"|"&amp;$A54,'Master Data'!$A$2:$A$2436,0)),"")</f>
        <v>Belum terisi</v>
      </c>
      <c r="Z54" s="61" t="str">
        <f aca="false">IFERROR(INDEX('Master Data'!$L$2:$L$2436,MATCH($B$3&amp;"|3|"&amp;H$44&amp;"|"&amp;$A54,'Master Data'!$A$2:$A$2436,0)),"")</f>
        <v>Sebagian</v>
      </c>
    </row>
    <row r="55" customFormat="false" ht="30" hidden="false" customHeight="true" outlineLevel="0" collapsed="false">
      <c r="A55" s="59" t="s">
        <v>106</v>
      </c>
      <c r="B55" s="60" t="str">
        <f aca="false">IFERROR(INDEX('Master Data'!$M$2:$M$2436,MATCH($B$3&amp;"|3|"&amp;B$44&amp;"|"&amp;$A55,'Master Data'!$A$2:$A$2436,0)),"")</f>
        <v>Little  0/4
coach: –</v>
      </c>
      <c r="C55" s="60" t="str">
        <f aca="false">IFERROR(INDEX('Master Data'!$M$2:$M$2436,MATCH($B$3&amp;"|3|"&amp;C$44&amp;"|"&amp;$A55,'Master Data'!$A$2:$A$2436,0)),"")</f>
        <v>Little  0/4
coach: –</v>
      </c>
      <c r="D55" s="60" t="str">
        <f aca="false">IFERROR(INDEX('Master Data'!$M$2:$M$2436,MATCH($B$3&amp;"|3|"&amp;D$44&amp;"|"&amp;$A55,'Master Data'!$A$2:$A$2436,0)),"")</f>
        <v>Little  0/4
coach: –</v>
      </c>
      <c r="E55" s="60" t="str">
        <f aca="false">IFERROR(INDEX('Master Data'!$M$2:$M$2436,MATCH($B$3&amp;"|3|"&amp;E$44&amp;"|"&amp;$A55,'Master Data'!$A$2:$A$2436,0)),"")</f>
        <v>Little  0/4
coach: –</v>
      </c>
      <c r="F55" s="60" t="str">
        <f aca="false">IFERROR(INDEX('Master Data'!$M$2:$M$2436,MATCH($B$3&amp;"|3|"&amp;F$44&amp;"|"&amp;$A55,'Master Data'!$A$2:$A$2436,0)),"")</f>
        <v>Little  2/4
coach: Silvi</v>
      </c>
      <c r="G55" s="60" t="str">
        <f aca="false">IFERROR(INDEX('Master Data'!$M$2:$M$2436,MATCH($B$3&amp;"|3|"&amp;G$44&amp;"|"&amp;$A55,'Master Data'!$A$2:$A$2436,0)),"")</f>
        <v>Little  0/4
coach: –</v>
      </c>
      <c r="H55" s="60" t="str">
        <f aca="false">IFERROR(INDEX('Master Data'!$M$2:$M$2436,MATCH($B$3&amp;"|3|"&amp;H$44&amp;"|"&amp;$A55,'Master Data'!$A$2:$A$2436,0)),"")</f>
        <v>Little  0/4
coach: –</v>
      </c>
      <c r="T55" s="61" t="str">
        <f aca="false">IFERROR(INDEX('Master Data'!$L$2:$L$2436,MATCH($B$3&amp;"|3|"&amp;B$44&amp;"|"&amp;$A55,'Master Data'!$A$2:$A$2436,0)),"")</f>
        <v>Belum terisi</v>
      </c>
      <c r="U55" s="61" t="str">
        <f aca="false">IFERROR(INDEX('Master Data'!$L$2:$L$2436,MATCH($B$3&amp;"|3|"&amp;C$44&amp;"|"&amp;$A55,'Master Data'!$A$2:$A$2436,0)),"")</f>
        <v>Belum terisi</v>
      </c>
      <c r="V55" s="61" t="str">
        <f aca="false">IFERROR(INDEX('Master Data'!$L$2:$L$2436,MATCH($B$3&amp;"|3|"&amp;D$44&amp;"|"&amp;$A55,'Master Data'!$A$2:$A$2436,0)),"")</f>
        <v>Belum terisi</v>
      </c>
      <c r="W55" s="61" t="str">
        <f aca="false">IFERROR(INDEX('Master Data'!$L$2:$L$2436,MATCH($B$3&amp;"|3|"&amp;E$44&amp;"|"&amp;$A55,'Master Data'!$A$2:$A$2436,0)),"")</f>
        <v>Belum terisi</v>
      </c>
      <c r="X55" s="61" t="str">
        <f aca="false">IFERROR(INDEX('Master Data'!$L$2:$L$2436,MATCH($B$3&amp;"|3|"&amp;F$44&amp;"|"&amp;$A55,'Master Data'!$A$2:$A$2436,0)),"")</f>
        <v>Sebagian</v>
      </c>
      <c r="Y55" s="61" t="str">
        <f aca="false">IFERROR(INDEX('Master Data'!$L$2:$L$2436,MATCH($B$3&amp;"|3|"&amp;G$44&amp;"|"&amp;$A55,'Master Data'!$A$2:$A$2436,0)),"")</f>
        <v>Belum terisi</v>
      </c>
      <c r="Z55" s="61" t="str">
        <f aca="false">IFERROR(INDEX('Master Data'!$L$2:$L$2436,MATCH($B$3&amp;"|3|"&amp;H$44&amp;"|"&amp;$A55,'Master Data'!$A$2:$A$2436,0)),"")</f>
        <v>Belum terisi</v>
      </c>
    </row>
    <row r="56" customFormat="false" ht="30" hidden="false" customHeight="true" outlineLevel="0" collapsed="false">
      <c r="A56" s="59" t="s">
        <v>107</v>
      </c>
      <c r="B56" s="60" t="str">
        <f aca="false">IFERROR(INDEX('Master Data'!$M$2:$M$2436,MATCH($B$3&amp;"|3|"&amp;B$44&amp;"|"&amp;$A56,'Master Data'!$A$2:$A$2436,0)),"")</f>
        <v>Little  0/4
coach: –</v>
      </c>
      <c r="C56" s="60" t="str">
        <f aca="false">IFERROR(INDEX('Master Data'!$M$2:$M$2436,MATCH($B$3&amp;"|3|"&amp;C$44&amp;"|"&amp;$A56,'Master Data'!$A$2:$A$2436,0)),"")</f>
        <v>Little  0/4
coach: –</v>
      </c>
      <c r="D56" s="60" t="str">
        <f aca="false">IFERROR(INDEX('Master Data'!$M$2:$M$2436,MATCH($B$3&amp;"|3|"&amp;D$44&amp;"|"&amp;$A56,'Master Data'!$A$2:$A$2436,0)),"")</f>
        <v>Little  0/4
coach: –</v>
      </c>
      <c r="E56" s="60" t="str">
        <f aca="false">IFERROR(INDEX('Master Data'!$M$2:$M$2436,MATCH($B$3&amp;"|3|"&amp;E$44&amp;"|"&amp;$A56,'Master Data'!$A$2:$A$2436,0)),"")</f>
        <v>Little  0/4
coach: –</v>
      </c>
      <c r="F56" s="60" t="str">
        <f aca="false">IFERROR(INDEX('Master Data'!$M$2:$M$2436,MATCH($B$3&amp;"|3|"&amp;F$44&amp;"|"&amp;$A56,'Master Data'!$A$2:$A$2436,0)),"")</f>
        <v>Little  0/4
coach: –</v>
      </c>
      <c r="G56" s="60" t="str">
        <f aca="false">IFERROR(INDEX('Master Data'!$M$2:$M$2436,MATCH($B$3&amp;"|3|"&amp;G$44&amp;"|"&amp;$A56,'Master Data'!$A$2:$A$2436,0)),"")</f>
        <v>Little  0/4
coach: –</v>
      </c>
      <c r="H56" s="60" t="str">
        <f aca="false">IFERROR(INDEX('Master Data'!$M$2:$M$2436,MATCH($B$3&amp;"|3|"&amp;H$44&amp;"|"&amp;$A56,'Master Data'!$A$2:$A$2436,0)),"")</f>
        <v>Little  0/4
coach: –</v>
      </c>
      <c r="T56" s="61" t="str">
        <f aca="false">IFERROR(INDEX('Master Data'!$L$2:$L$2436,MATCH($B$3&amp;"|3|"&amp;B$44&amp;"|"&amp;$A56,'Master Data'!$A$2:$A$2436,0)),"")</f>
        <v>Belum terisi</v>
      </c>
      <c r="U56" s="61" t="str">
        <f aca="false">IFERROR(INDEX('Master Data'!$L$2:$L$2436,MATCH($B$3&amp;"|3|"&amp;C$44&amp;"|"&amp;$A56,'Master Data'!$A$2:$A$2436,0)),"")</f>
        <v>Belum terisi</v>
      </c>
      <c r="V56" s="61" t="str">
        <f aca="false">IFERROR(INDEX('Master Data'!$L$2:$L$2436,MATCH($B$3&amp;"|3|"&amp;D$44&amp;"|"&amp;$A56,'Master Data'!$A$2:$A$2436,0)),"")</f>
        <v>Belum terisi</v>
      </c>
      <c r="W56" s="61" t="str">
        <f aca="false">IFERROR(INDEX('Master Data'!$L$2:$L$2436,MATCH($B$3&amp;"|3|"&amp;E$44&amp;"|"&amp;$A56,'Master Data'!$A$2:$A$2436,0)),"")</f>
        <v>Belum terisi</v>
      </c>
      <c r="X56" s="61" t="str">
        <f aca="false">IFERROR(INDEX('Master Data'!$L$2:$L$2436,MATCH($B$3&amp;"|3|"&amp;F$44&amp;"|"&amp;$A56,'Master Data'!$A$2:$A$2436,0)),"")</f>
        <v>Belum terisi</v>
      </c>
      <c r="Y56" s="61" t="str">
        <f aca="false">IFERROR(INDEX('Master Data'!$L$2:$L$2436,MATCH($B$3&amp;"|3|"&amp;G$44&amp;"|"&amp;$A56,'Master Data'!$A$2:$A$2436,0)),"")</f>
        <v>Belum terisi</v>
      </c>
      <c r="Z56" s="61" t="str">
        <f aca="false">IFERROR(INDEX('Master Data'!$L$2:$L$2436,MATCH($B$3&amp;"|3|"&amp;H$44&amp;"|"&amp;$A56,'Master Data'!$A$2:$A$2436,0)),"")</f>
        <v>Belum terisi</v>
      </c>
    </row>
    <row r="58" customFormat="false" ht="16.15" hidden="false" customHeight="false" outlineLevel="0" collapsed="false">
      <c r="A58" s="54" t="s">
        <v>122</v>
      </c>
      <c r="B58" s="55"/>
      <c r="C58" s="56" t="str">
        <f aca="false">"Utilisasi lane: "&amp;IFERROR(TEXT(SUMIFS('Master Data'!$H$2:$H$2436,'Master Data'!$B$2:$B$2436,$B$3,'Master Data'!$C$2:$C$2436,4,'Master Data'!$G$2:$G$2436,"&gt;0")/SUMIFS('Master Data'!$G$2:$G$2436,'Master Data'!$B$2:$B$2436,$B$3,'Master Data'!$C$2:$C$2436,4,'Master Data'!$G$2:$G$2436,"&gt;0"),"0%"),"–")&amp;"   ·   Belum terisi: "&amp;COUNTIFS('Master Data'!$B$2:$B$2436,$B$3,'Master Data'!$C$2:$C$2436,4,'Master Data'!$L$2:$L$2436,"Belum terisi")&amp;"   ·   Slot kosong: "&amp;COUNTIFS('Master Data'!$B$2:$B$2436,$B$3,'Master Data'!$C$2:$C$2436,4,'Master Data'!$L$2:$L$2436,"Slot kosong")</f>
        <v>Utilisasi lane: 18%   ·   Belum terisi: 56   ·   Slot kosong: 0</v>
      </c>
      <c r="D58" s="55"/>
      <c r="E58" s="55"/>
      <c r="F58" s="55"/>
      <c r="G58" s="55"/>
      <c r="H58" s="55"/>
    </row>
    <row r="59" customFormat="false" ht="15" hidden="false" customHeight="false" outlineLevel="0" collapsed="false">
      <c r="A59" s="57" t="s">
        <v>89</v>
      </c>
      <c r="B59" s="58" t="s">
        <v>90</v>
      </c>
      <c r="C59" s="58" t="s">
        <v>91</v>
      </c>
      <c r="D59" s="58" t="s">
        <v>92</v>
      </c>
      <c r="E59" s="58" t="s">
        <v>93</v>
      </c>
      <c r="F59" s="58" t="s">
        <v>94</v>
      </c>
      <c r="G59" s="58" t="s">
        <v>95</v>
      </c>
      <c r="H59" s="58" t="s">
        <v>78</v>
      </c>
    </row>
    <row r="60" customFormat="false" ht="30" hidden="false" customHeight="true" outlineLevel="0" collapsed="false">
      <c r="A60" s="59" t="s">
        <v>96</v>
      </c>
      <c r="B60" s="60" t="str">
        <f aca="false">IFERROR(INDEX('Master Data'!$M$2:$M$2436,MATCH($B$3&amp;"|4|"&amp;B$59&amp;"|"&amp;$A60,'Master Data'!$A$2:$A$2436,0)),"")</f>
        <v>Kids  0/4
coach: –</v>
      </c>
      <c r="C60" s="60" t="str">
        <f aca="false">IFERROR(INDEX('Master Data'!$M$2:$M$2436,MATCH($B$3&amp;"|4|"&amp;C$59&amp;"|"&amp;$A60,'Master Data'!$A$2:$A$2436,0)),"")</f>
        <v>Kids  0/4
coach: –</v>
      </c>
      <c r="D60" s="60" t="str">
        <f aca="false">IFERROR(INDEX('Master Data'!$M$2:$M$2436,MATCH($B$3&amp;"|4|"&amp;D$59&amp;"|"&amp;$A60,'Master Data'!$A$2:$A$2436,0)),"")</f>
        <v>Kids  0/4
coach: –</v>
      </c>
      <c r="E60" s="60" t="str">
        <f aca="false">IFERROR(INDEX('Master Data'!$M$2:$M$2436,MATCH($B$3&amp;"|4|"&amp;E$59&amp;"|"&amp;$A60,'Master Data'!$A$2:$A$2436,0)),"")</f>
        <v>Kids  0/4
coach: –</v>
      </c>
      <c r="F60" s="60" t="str">
        <f aca="false">IFERROR(INDEX('Master Data'!$M$2:$M$2436,MATCH($B$3&amp;"|4|"&amp;F$59&amp;"|"&amp;$A60,'Master Data'!$A$2:$A$2436,0)),"")</f>
        <v>Kids  0/4
coach: –</v>
      </c>
      <c r="G60" s="60" t="str">
        <f aca="false">IFERROR(INDEX('Master Data'!$M$2:$M$2436,MATCH($B$3&amp;"|4|"&amp;G$59&amp;"|"&amp;$A60,'Master Data'!$A$2:$A$2436,0)),"")</f>
        <v>Kids  0/4
coach: –</v>
      </c>
      <c r="H60" s="60" t="str">
        <f aca="false">IFERROR(INDEX('Master Data'!$M$2:$M$2436,MATCH($B$3&amp;"|4|"&amp;H$59&amp;"|"&amp;$A60,'Master Data'!$A$2:$A$2436,0)),"")</f>
        <v>Kids  0/4
coach: –</v>
      </c>
      <c r="T60" s="61" t="str">
        <f aca="false">IFERROR(INDEX('Master Data'!$L$2:$L$2436,MATCH($B$3&amp;"|4|"&amp;B$59&amp;"|"&amp;$A60,'Master Data'!$A$2:$A$2436,0)),"")</f>
        <v>Belum terisi</v>
      </c>
      <c r="U60" s="61" t="str">
        <f aca="false">IFERROR(INDEX('Master Data'!$L$2:$L$2436,MATCH($B$3&amp;"|4|"&amp;C$59&amp;"|"&amp;$A60,'Master Data'!$A$2:$A$2436,0)),"")</f>
        <v>Belum terisi</v>
      </c>
      <c r="V60" s="61" t="str">
        <f aca="false">IFERROR(INDEX('Master Data'!$L$2:$L$2436,MATCH($B$3&amp;"|4|"&amp;D$59&amp;"|"&amp;$A60,'Master Data'!$A$2:$A$2436,0)),"")</f>
        <v>Belum terisi</v>
      </c>
      <c r="W60" s="61" t="str">
        <f aca="false">IFERROR(INDEX('Master Data'!$L$2:$L$2436,MATCH($B$3&amp;"|4|"&amp;E$59&amp;"|"&amp;$A60,'Master Data'!$A$2:$A$2436,0)),"")</f>
        <v>Belum terisi</v>
      </c>
      <c r="X60" s="61" t="str">
        <f aca="false">IFERROR(INDEX('Master Data'!$L$2:$L$2436,MATCH($B$3&amp;"|4|"&amp;F$59&amp;"|"&amp;$A60,'Master Data'!$A$2:$A$2436,0)),"")</f>
        <v>Belum terisi</v>
      </c>
      <c r="Y60" s="61" t="str">
        <f aca="false">IFERROR(INDEX('Master Data'!$L$2:$L$2436,MATCH($B$3&amp;"|4|"&amp;G$59&amp;"|"&amp;$A60,'Master Data'!$A$2:$A$2436,0)),"")</f>
        <v>Belum terisi</v>
      </c>
      <c r="Z60" s="61" t="str">
        <f aca="false">IFERROR(INDEX('Master Data'!$L$2:$L$2436,MATCH($B$3&amp;"|4|"&amp;H$59&amp;"|"&amp;$A60,'Master Data'!$A$2:$A$2436,0)),"")</f>
        <v>Belum terisi</v>
      </c>
    </row>
    <row r="61" customFormat="false" ht="30" hidden="false" customHeight="true" outlineLevel="0" collapsed="false">
      <c r="A61" s="59" t="s">
        <v>97</v>
      </c>
      <c r="B61" s="60" t="str">
        <f aca="false">IFERROR(INDEX('Master Data'!$M$2:$M$2436,MATCH($B$3&amp;"|4|"&amp;B$59&amp;"|"&amp;$A61,'Master Data'!$A$2:$A$2436,0)),"")</f>
        <v>Kids  0/4
coach: –</v>
      </c>
      <c r="C61" s="60" t="str">
        <f aca="false">IFERROR(INDEX('Master Data'!$M$2:$M$2436,MATCH($B$3&amp;"|4|"&amp;C$59&amp;"|"&amp;$A61,'Master Data'!$A$2:$A$2436,0)),"")</f>
        <v>Kids  0/4
coach: –</v>
      </c>
      <c r="D61" s="60" t="str">
        <f aca="false">IFERROR(INDEX('Master Data'!$M$2:$M$2436,MATCH($B$3&amp;"|4|"&amp;D$59&amp;"|"&amp;$A61,'Master Data'!$A$2:$A$2436,0)),"")</f>
        <v>Kids  0/4
coach: –</v>
      </c>
      <c r="E61" s="60" t="str">
        <f aca="false">IFERROR(INDEX('Master Data'!$M$2:$M$2436,MATCH($B$3&amp;"|4|"&amp;E$59&amp;"|"&amp;$A61,'Master Data'!$A$2:$A$2436,0)),"")</f>
        <v>Kids  0/4
coach: –</v>
      </c>
      <c r="F61" s="60" t="str">
        <f aca="false">IFERROR(INDEX('Master Data'!$M$2:$M$2436,MATCH($B$3&amp;"|4|"&amp;F$59&amp;"|"&amp;$A61,'Master Data'!$A$2:$A$2436,0)),"")</f>
        <v>Kids  0/4
coach: –</v>
      </c>
      <c r="G61" s="60" t="str">
        <f aca="false">IFERROR(INDEX('Master Data'!$M$2:$M$2436,MATCH($B$3&amp;"|4|"&amp;G$59&amp;"|"&amp;$A61,'Master Data'!$A$2:$A$2436,0)),"")</f>
        <v>Kids  4/4
coach: Angga</v>
      </c>
      <c r="H61" s="60" t="str">
        <f aca="false">IFERROR(INDEX('Master Data'!$M$2:$M$2436,MATCH($B$3&amp;"|4|"&amp;H$59&amp;"|"&amp;$A61,'Master Data'!$A$2:$A$2436,0)),"")</f>
        <v>Kids  2/4
coach: Angga</v>
      </c>
      <c r="T61" s="61" t="str">
        <f aca="false">IFERROR(INDEX('Master Data'!$L$2:$L$2436,MATCH($B$3&amp;"|4|"&amp;B$59&amp;"|"&amp;$A61,'Master Data'!$A$2:$A$2436,0)),"")</f>
        <v>Belum terisi</v>
      </c>
      <c r="U61" s="61" t="str">
        <f aca="false">IFERROR(INDEX('Master Data'!$L$2:$L$2436,MATCH($B$3&amp;"|4|"&amp;C$59&amp;"|"&amp;$A61,'Master Data'!$A$2:$A$2436,0)),"")</f>
        <v>Belum terisi</v>
      </c>
      <c r="V61" s="61" t="str">
        <f aca="false">IFERROR(INDEX('Master Data'!$L$2:$L$2436,MATCH($B$3&amp;"|4|"&amp;D$59&amp;"|"&amp;$A61,'Master Data'!$A$2:$A$2436,0)),"")</f>
        <v>Belum terisi</v>
      </c>
      <c r="W61" s="61" t="str">
        <f aca="false">IFERROR(INDEX('Master Data'!$L$2:$L$2436,MATCH($B$3&amp;"|4|"&amp;E$59&amp;"|"&amp;$A61,'Master Data'!$A$2:$A$2436,0)),"")</f>
        <v>Belum terisi</v>
      </c>
      <c r="X61" s="61" t="str">
        <f aca="false">IFERROR(INDEX('Master Data'!$L$2:$L$2436,MATCH($B$3&amp;"|4|"&amp;F$59&amp;"|"&amp;$A61,'Master Data'!$A$2:$A$2436,0)),"")</f>
        <v>Belum terisi</v>
      </c>
      <c r="Y61" s="61" t="str">
        <f aca="false">IFERROR(INDEX('Master Data'!$L$2:$L$2436,MATCH($B$3&amp;"|4|"&amp;G$59&amp;"|"&amp;$A61,'Master Data'!$A$2:$A$2436,0)),"")</f>
        <v>Penuh</v>
      </c>
      <c r="Z61" s="61" t="str">
        <f aca="false">IFERROR(INDEX('Master Data'!$L$2:$L$2436,MATCH($B$3&amp;"|4|"&amp;H$59&amp;"|"&amp;$A61,'Master Data'!$A$2:$A$2436,0)),"")</f>
        <v>Sebagian</v>
      </c>
    </row>
    <row r="62" customFormat="false" ht="30" hidden="false" customHeight="true" outlineLevel="0" collapsed="false">
      <c r="A62" s="59" t="s">
        <v>98</v>
      </c>
      <c r="B62" s="60" t="str">
        <f aca="false">IFERROR(INDEX('Master Data'!$M$2:$M$2436,MATCH($B$3&amp;"|4|"&amp;B$59&amp;"|"&amp;$A62,'Master Data'!$A$2:$A$2436,0)),"")</f>
        <v>Kids  0/4
coach: –</v>
      </c>
      <c r="C62" s="60" t="str">
        <f aca="false">IFERROR(INDEX('Master Data'!$M$2:$M$2436,MATCH($B$3&amp;"|4|"&amp;C$59&amp;"|"&amp;$A62,'Master Data'!$A$2:$A$2436,0)),"")</f>
        <v>Kids  0/4
coach: –</v>
      </c>
      <c r="D62" s="60" t="str">
        <f aca="false">IFERROR(INDEX('Master Data'!$M$2:$M$2436,MATCH($B$3&amp;"|4|"&amp;D$59&amp;"|"&amp;$A62,'Master Data'!$A$2:$A$2436,0)),"")</f>
        <v>Kids  0/4
coach: –</v>
      </c>
      <c r="E62" s="60" t="str">
        <f aca="false">IFERROR(INDEX('Master Data'!$M$2:$M$2436,MATCH($B$3&amp;"|4|"&amp;E$59&amp;"|"&amp;$A62,'Master Data'!$A$2:$A$2436,0)),"")</f>
        <v>Kids  0/4
coach: –</v>
      </c>
      <c r="F62" s="60" t="str">
        <f aca="false">IFERROR(INDEX('Master Data'!$M$2:$M$2436,MATCH($B$3&amp;"|4|"&amp;F$59&amp;"|"&amp;$A62,'Master Data'!$A$2:$A$2436,0)),"")</f>
        <v>Kids  0/4
coach: –</v>
      </c>
      <c r="G62" s="60" t="str">
        <f aca="false">IFERROR(INDEX('Master Data'!$M$2:$M$2436,MATCH($B$3&amp;"|4|"&amp;G$59&amp;"|"&amp;$A62,'Master Data'!$A$2:$A$2436,0)),"")</f>
        <v>Kids  1/4
coach: Juan</v>
      </c>
      <c r="H62" s="60" t="str">
        <f aca="false">IFERROR(INDEX('Master Data'!$M$2:$M$2436,MATCH($B$3&amp;"|4|"&amp;H$59&amp;"|"&amp;$A62,'Master Data'!$A$2:$A$2436,0)),"")</f>
        <v>Kids  0/4
coach: –</v>
      </c>
      <c r="T62" s="61" t="str">
        <f aca="false">IFERROR(INDEX('Master Data'!$L$2:$L$2436,MATCH($B$3&amp;"|4|"&amp;B$59&amp;"|"&amp;$A62,'Master Data'!$A$2:$A$2436,0)),"")</f>
        <v>Belum terisi</v>
      </c>
      <c r="U62" s="61" t="str">
        <f aca="false">IFERROR(INDEX('Master Data'!$L$2:$L$2436,MATCH($B$3&amp;"|4|"&amp;C$59&amp;"|"&amp;$A62,'Master Data'!$A$2:$A$2436,0)),"")</f>
        <v>Belum terisi</v>
      </c>
      <c r="V62" s="61" t="str">
        <f aca="false">IFERROR(INDEX('Master Data'!$L$2:$L$2436,MATCH($B$3&amp;"|4|"&amp;D$59&amp;"|"&amp;$A62,'Master Data'!$A$2:$A$2436,0)),"")</f>
        <v>Belum terisi</v>
      </c>
      <c r="W62" s="61" t="str">
        <f aca="false">IFERROR(INDEX('Master Data'!$L$2:$L$2436,MATCH($B$3&amp;"|4|"&amp;E$59&amp;"|"&amp;$A62,'Master Data'!$A$2:$A$2436,0)),"")</f>
        <v>Belum terisi</v>
      </c>
      <c r="X62" s="61" t="str">
        <f aca="false">IFERROR(INDEX('Master Data'!$L$2:$L$2436,MATCH($B$3&amp;"|4|"&amp;F$59&amp;"|"&amp;$A62,'Master Data'!$A$2:$A$2436,0)),"")</f>
        <v>Belum terisi</v>
      </c>
      <c r="Y62" s="61" t="str">
        <f aca="false">IFERROR(INDEX('Master Data'!$L$2:$L$2436,MATCH($B$3&amp;"|4|"&amp;G$59&amp;"|"&amp;$A62,'Master Data'!$A$2:$A$2436,0)),"")</f>
        <v>Sebagian</v>
      </c>
      <c r="Z62" s="61" t="str">
        <f aca="false">IFERROR(INDEX('Master Data'!$L$2:$L$2436,MATCH($B$3&amp;"|4|"&amp;H$59&amp;"|"&amp;$A62,'Master Data'!$A$2:$A$2436,0)),"")</f>
        <v>Belum terisi</v>
      </c>
    </row>
    <row r="63" customFormat="false" ht="30" hidden="false" customHeight="true" outlineLevel="0" collapsed="false">
      <c r="A63" s="59" t="s">
        <v>99</v>
      </c>
      <c r="B63" s="60" t="str">
        <f aca="false">IFERROR(INDEX('Master Data'!$M$2:$M$2436,MATCH($B$3&amp;"|4|"&amp;B$59&amp;"|"&amp;$A63,'Master Data'!$A$2:$A$2436,0)),"")</f>
        <v>Kids  0/4
coach: –</v>
      </c>
      <c r="C63" s="60" t="str">
        <f aca="false">IFERROR(INDEX('Master Data'!$M$2:$M$2436,MATCH($B$3&amp;"|4|"&amp;C$59&amp;"|"&amp;$A63,'Master Data'!$A$2:$A$2436,0)),"")</f>
        <v>Kids  0/4
coach: –</v>
      </c>
      <c r="D63" s="60" t="str">
        <f aca="false">IFERROR(INDEX('Master Data'!$M$2:$M$2436,MATCH($B$3&amp;"|4|"&amp;D$59&amp;"|"&amp;$A63,'Master Data'!$A$2:$A$2436,0)),"")</f>
        <v>Kids  0/4
coach: –</v>
      </c>
      <c r="E63" s="60" t="str">
        <f aca="false">IFERROR(INDEX('Master Data'!$M$2:$M$2436,MATCH($B$3&amp;"|4|"&amp;E$59&amp;"|"&amp;$A63,'Master Data'!$A$2:$A$2436,0)),"")</f>
        <v>Kids  0/4
coach: –</v>
      </c>
      <c r="F63" s="60" t="str">
        <f aca="false">IFERROR(INDEX('Master Data'!$M$2:$M$2436,MATCH($B$3&amp;"|4|"&amp;F$59&amp;"|"&amp;$A63,'Master Data'!$A$2:$A$2436,0)),"")</f>
        <v>Kids  0/4
coach: –</v>
      </c>
      <c r="G63" s="60" t="str">
        <f aca="false">IFERROR(INDEX('Master Data'!$M$2:$M$2436,MATCH($B$3&amp;"|4|"&amp;G$59&amp;"|"&amp;$A63,'Master Data'!$A$2:$A$2436,0)),"")</f>
        <v>Kids  0/4
coach: –</v>
      </c>
      <c r="H63" s="60" t="str">
        <f aca="false">IFERROR(INDEX('Master Data'!$M$2:$M$2436,MATCH($B$3&amp;"|4|"&amp;H$59&amp;"|"&amp;$A63,'Master Data'!$A$2:$A$2436,0)),"")</f>
        <v>Kids  2/4
coach: Silvi</v>
      </c>
      <c r="T63" s="61" t="str">
        <f aca="false">IFERROR(INDEX('Master Data'!$L$2:$L$2436,MATCH($B$3&amp;"|4|"&amp;B$59&amp;"|"&amp;$A63,'Master Data'!$A$2:$A$2436,0)),"")</f>
        <v>Belum terisi</v>
      </c>
      <c r="U63" s="61" t="str">
        <f aca="false">IFERROR(INDEX('Master Data'!$L$2:$L$2436,MATCH($B$3&amp;"|4|"&amp;C$59&amp;"|"&amp;$A63,'Master Data'!$A$2:$A$2436,0)),"")</f>
        <v>Belum terisi</v>
      </c>
      <c r="V63" s="61" t="str">
        <f aca="false">IFERROR(INDEX('Master Data'!$L$2:$L$2436,MATCH($B$3&amp;"|4|"&amp;D$59&amp;"|"&amp;$A63,'Master Data'!$A$2:$A$2436,0)),"")</f>
        <v>Belum terisi</v>
      </c>
      <c r="W63" s="61" t="str">
        <f aca="false">IFERROR(INDEX('Master Data'!$L$2:$L$2436,MATCH($B$3&amp;"|4|"&amp;E$59&amp;"|"&amp;$A63,'Master Data'!$A$2:$A$2436,0)),"")</f>
        <v>Belum terisi</v>
      </c>
      <c r="X63" s="61" t="str">
        <f aca="false">IFERROR(INDEX('Master Data'!$L$2:$L$2436,MATCH($B$3&amp;"|4|"&amp;F$59&amp;"|"&amp;$A63,'Master Data'!$A$2:$A$2436,0)),"")</f>
        <v>Belum terisi</v>
      </c>
      <c r="Y63" s="61" t="str">
        <f aca="false">IFERROR(INDEX('Master Data'!$L$2:$L$2436,MATCH($B$3&amp;"|4|"&amp;G$59&amp;"|"&amp;$A63,'Master Data'!$A$2:$A$2436,0)),"")</f>
        <v>Belum terisi</v>
      </c>
      <c r="Z63" s="61" t="str">
        <f aca="false">IFERROR(INDEX('Master Data'!$L$2:$L$2436,MATCH($B$3&amp;"|4|"&amp;H$59&amp;"|"&amp;$A63,'Master Data'!$A$2:$A$2436,0)),"")</f>
        <v>Sebagian</v>
      </c>
    </row>
    <row r="64" customFormat="false" ht="30" hidden="false" customHeight="true" outlineLevel="0" collapsed="false">
      <c r="A64" s="59" t="s">
        <v>100</v>
      </c>
      <c r="B64" s="60" t="str">
        <f aca="false">IFERROR(INDEX('Master Data'!$M$2:$M$2436,MATCH($B$3&amp;"|4|"&amp;B$59&amp;"|"&amp;$A64,'Master Data'!$A$2:$A$2436,0)),"")</f>
        <v>Kids  0/4
coach: –</v>
      </c>
      <c r="C64" s="60" t="str">
        <f aca="false">IFERROR(INDEX('Master Data'!$M$2:$M$2436,MATCH($B$3&amp;"|4|"&amp;C$59&amp;"|"&amp;$A64,'Master Data'!$A$2:$A$2436,0)),"")</f>
        <v>Kids  0/4
coach: –</v>
      </c>
      <c r="D64" s="60" t="str">
        <f aca="false">IFERROR(INDEX('Master Data'!$M$2:$M$2436,MATCH($B$3&amp;"|4|"&amp;D$59&amp;"|"&amp;$A64,'Master Data'!$A$2:$A$2436,0)),"")</f>
        <v>Kids  1/4
coach: Angga</v>
      </c>
      <c r="E64" s="60" t="str">
        <f aca="false">IFERROR(INDEX('Master Data'!$M$2:$M$2436,MATCH($B$3&amp;"|4|"&amp;E$59&amp;"|"&amp;$A64,'Master Data'!$A$2:$A$2436,0)),"")</f>
        <v>Kids  0/4
coach: –</v>
      </c>
      <c r="F64" s="60" t="str">
        <f aca="false">IFERROR(INDEX('Master Data'!$M$2:$M$2436,MATCH($B$3&amp;"|4|"&amp;F$59&amp;"|"&amp;$A64,'Master Data'!$A$2:$A$2436,0)),"")</f>
        <v>Kids  0/4
coach: –</v>
      </c>
      <c r="G64" s="60" t="str">
        <f aca="false">IFERROR(INDEX('Master Data'!$M$2:$M$2436,MATCH($B$3&amp;"|4|"&amp;G$59&amp;"|"&amp;$A64,'Master Data'!$A$2:$A$2436,0)),"")</f>
        <v>Kids  3/4
coach: Indra</v>
      </c>
      <c r="H64" s="60" t="str">
        <f aca="false">IFERROR(INDEX('Master Data'!$M$2:$M$2436,MATCH($B$3&amp;"|4|"&amp;H$59&amp;"|"&amp;$A64,'Master Data'!$A$2:$A$2436,0)),"")</f>
        <v>Kids  0/4
coach: –</v>
      </c>
      <c r="T64" s="61" t="str">
        <f aca="false">IFERROR(INDEX('Master Data'!$L$2:$L$2436,MATCH($B$3&amp;"|4|"&amp;B$59&amp;"|"&amp;$A64,'Master Data'!$A$2:$A$2436,0)),"")</f>
        <v>Belum terisi</v>
      </c>
      <c r="U64" s="61" t="str">
        <f aca="false">IFERROR(INDEX('Master Data'!$L$2:$L$2436,MATCH($B$3&amp;"|4|"&amp;C$59&amp;"|"&amp;$A64,'Master Data'!$A$2:$A$2436,0)),"")</f>
        <v>Belum terisi</v>
      </c>
      <c r="V64" s="61" t="str">
        <f aca="false">IFERROR(INDEX('Master Data'!$L$2:$L$2436,MATCH($B$3&amp;"|4|"&amp;D$59&amp;"|"&amp;$A64,'Master Data'!$A$2:$A$2436,0)),"")</f>
        <v>Sebagian</v>
      </c>
      <c r="W64" s="61" t="str">
        <f aca="false">IFERROR(INDEX('Master Data'!$L$2:$L$2436,MATCH($B$3&amp;"|4|"&amp;E$59&amp;"|"&amp;$A64,'Master Data'!$A$2:$A$2436,0)),"")</f>
        <v>Belum terisi</v>
      </c>
      <c r="X64" s="61" t="str">
        <f aca="false">IFERROR(INDEX('Master Data'!$L$2:$L$2436,MATCH($B$3&amp;"|4|"&amp;F$59&amp;"|"&amp;$A64,'Master Data'!$A$2:$A$2436,0)),"")</f>
        <v>Belum terisi</v>
      </c>
      <c r="Y64" s="61" t="str">
        <f aca="false">IFERROR(INDEX('Master Data'!$L$2:$L$2436,MATCH($B$3&amp;"|4|"&amp;G$59&amp;"|"&amp;$A64,'Master Data'!$A$2:$A$2436,0)),"")</f>
        <v>Sebagian</v>
      </c>
      <c r="Z64" s="61" t="str">
        <f aca="false">IFERROR(INDEX('Master Data'!$L$2:$L$2436,MATCH($B$3&amp;"|4|"&amp;H$59&amp;"|"&amp;$A64,'Master Data'!$A$2:$A$2436,0)),"")</f>
        <v>Belum terisi</v>
      </c>
    </row>
    <row r="65" customFormat="false" ht="30" hidden="false" customHeight="true" outlineLevel="0" collapsed="false">
      <c r="A65" s="59" t="s">
        <v>101</v>
      </c>
      <c r="B65" s="60" t="str">
        <f aca="false">IFERROR(INDEX('Master Data'!$M$2:$M$2436,MATCH($B$3&amp;"|4|"&amp;B$59&amp;"|"&amp;$A65,'Master Data'!$A$2:$A$2436,0)),"")</f>
        <v>Kids  0/4
coach: –</v>
      </c>
      <c r="C65" s="60" t="str">
        <f aca="false">IFERROR(INDEX('Master Data'!$M$2:$M$2436,MATCH($B$3&amp;"|4|"&amp;C$59&amp;"|"&amp;$A65,'Master Data'!$A$2:$A$2436,0)),"")</f>
        <v>Kids  0/4
coach: –</v>
      </c>
      <c r="D65" s="60" t="str">
        <f aca="false">IFERROR(INDEX('Master Data'!$M$2:$M$2436,MATCH($B$3&amp;"|4|"&amp;D$59&amp;"|"&amp;$A65,'Master Data'!$A$2:$A$2436,0)),"")</f>
        <v>Kids  0/4
coach: –</v>
      </c>
      <c r="E65" s="60" t="str">
        <f aca="false">IFERROR(INDEX('Master Data'!$M$2:$M$2436,MATCH($B$3&amp;"|4|"&amp;E$59&amp;"|"&amp;$A65,'Master Data'!$A$2:$A$2436,0)),"")</f>
        <v>Kids  0/4
coach: –</v>
      </c>
      <c r="F65" s="60" t="str">
        <f aca="false">IFERROR(INDEX('Master Data'!$M$2:$M$2436,MATCH($B$3&amp;"|4|"&amp;F$59&amp;"|"&amp;$A65,'Master Data'!$A$2:$A$2436,0)),"")</f>
        <v>Kids  0/4
coach: –</v>
      </c>
      <c r="G65" s="60" t="str">
        <f aca="false">IFERROR(INDEX('Master Data'!$M$2:$M$2436,MATCH($B$3&amp;"|4|"&amp;G$59&amp;"|"&amp;$A65,'Master Data'!$A$2:$A$2436,0)),"")</f>
        <v>Kids  0/4
coach: –</v>
      </c>
      <c r="H65" s="60" t="str">
        <f aca="false">IFERROR(INDEX('Master Data'!$M$2:$M$2436,MATCH($B$3&amp;"|4|"&amp;H$59&amp;"|"&amp;$A65,'Master Data'!$A$2:$A$2436,0)),"")</f>
        <v>Kids  0/4
coach: –</v>
      </c>
      <c r="T65" s="61" t="str">
        <f aca="false">IFERROR(INDEX('Master Data'!$L$2:$L$2436,MATCH($B$3&amp;"|4|"&amp;B$59&amp;"|"&amp;$A65,'Master Data'!$A$2:$A$2436,0)),"")</f>
        <v>Belum terisi</v>
      </c>
      <c r="U65" s="61" t="str">
        <f aca="false">IFERROR(INDEX('Master Data'!$L$2:$L$2436,MATCH($B$3&amp;"|4|"&amp;C$59&amp;"|"&amp;$A65,'Master Data'!$A$2:$A$2436,0)),"")</f>
        <v>Belum terisi</v>
      </c>
      <c r="V65" s="61" t="str">
        <f aca="false">IFERROR(INDEX('Master Data'!$L$2:$L$2436,MATCH($B$3&amp;"|4|"&amp;D$59&amp;"|"&amp;$A65,'Master Data'!$A$2:$A$2436,0)),"")</f>
        <v>Belum terisi</v>
      </c>
      <c r="W65" s="61" t="str">
        <f aca="false">IFERROR(INDEX('Master Data'!$L$2:$L$2436,MATCH($B$3&amp;"|4|"&amp;E$59&amp;"|"&amp;$A65,'Master Data'!$A$2:$A$2436,0)),"")</f>
        <v>Belum terisi</v>
      </c>
      <c r="X65" s="61" t="str">
        <f aca="false">IFERROR(INDEX('Master Data'!$L$2:$L$2436,MATCH($B$3&amp;"|4|"&amp;F$59&amp;"|"&amp;$A65,'Master Data'!$A$2:$A$2436,0)),"")</f>
        <v>Belum terisi</v>
      </c>
      <c r="Y65" s="61" t="str">
        <f aca="false">IFERROR(INDEX('Master Data'!$L$2:$L$2436,MATCH($B$3&amp;"|4|"&amp;G$59&amp;"|"&amp;$A65,'Master Data'!$A$2:$A$2436,0)),"")</f>
        <v>Belum terisi</v>
      </c>
      <c r="Z65" s="61" t="str">
        <f aca="false">IFERROR(INDEX('Master Data'!$L$2:$L$2436,MATCH($B$3&amp;"|4|"&amp;H$59&amp;"|"&amp;$A65,'Master Data'!$A$2:$A$2436,0)),"")</f>
        <v>Belum terisi</v>
      </c>
    </row>
    <row r="66" customFormat="false" ht="30" hidden="false" customHeight="true" outlineLevel="0" collapsed="false">
      <c r="A66" s="59" t="s">
        <v>102</v>
      </c>
      <c r="B66" s="60" t="str">
        <f aca="false">IFERROR(INDEX('Master Data'!$M$2:$M$2436,MATCH($B$3&amp;"|4|"&amp;B$59&amp;"|"&amp;$A66,'Master Data'!$A$2:$A$2436,0)),"")</f>
        <v>Kids  0/4
coach: –</v>
      </c>
      <c r="C66" s="60" t="str">
        <f aca="false">IFERROR(INDEX('Master Data'!$M$2:$M$2436,MATCH($B$3&amp;"|4|"&amp;C$59&amp;"|"&amp;$A66,'Master Data'!$A$2:$A$2436,0)),"")</f>
        <v>Kids  0/4
coach: –</v>
      </c>
      <c r="D66" s="60" t="str">
        <f aca="false">IFERROR(INDEX('Master Data'!$M$2:$M$2436,MATCH($B$3&amp;"|4|"&amp;D$59&amp;"|"&amp;$A66,'Master Data'!$A$2:$A$2436,0)),"")</f>
        <v>Kids  1/4
coach: Rizky</v>
      </c>
      <c r="E66" s="60" t="str">
        <f aca="false">IFERROR(INDEX('Master Data'!$M$2:$M$2436,MATCH($B$3&amp;"|4|"&amp;E$59&amp;"|"&amp;$A66,'Master Data'!$A$2:$A$2436,0)),"")</f>
        <v>Kids  0/4
coach: –</v>
      </c>
      <c r="F66" s="60" t="str">
        <f aca="false">IFERROR(INDEX('Master Data'!$M$2:$M$2436,MATCH($B$3&amp;"|4|"&amp;F$59&amp;"|"&amp;$A66,'Master Data'!$A$2:$A$2436,0)),"")</f>
        <v>Kids  2/4
coach: Juan</v>
      </c>
      <c r="G66" s="60" t="str">
        <f aca="false">IFERROR(INDEX('Master Data'!$M$2:$M$2436,MATCH($B$3&amp;"|4|"&amp;G$59&amp;"|"&amp;$A66,'Master Data'!$A$2:$A$2436,0)),"")</f>
        <v>Kids  3/4
coach: Angga</v>
      </c>
      <c r="H66" s="60" t="str">
        <f aca="false">IFERROR(INDEX('Master Data'!$M$2:$M$2436,MATCH($B$3&amp;"|4|"&amp;H$59&amp;"|"&amp;$A66,'Master Data'!$A$2:$A$2436,0)),"")</f>
        <v>Kids  0/4
coach: –</v>
      </c>
      <c r="T66" s="61" t="str">
        <f aca="false">IFERROR(INDEX('Master Data'!$L$2:$L$2436,MATCH($B$3&amp;"|4|"&amp;B$59&amp;"|"&amp;$A66,'Master Data'!$A$2:$A$2436,0)),"")</f>
        <v>Belum terisi</v>
      </c>
      <c r="U66" s="61" t="str">
        <f aca="false">IFERROR(INDEX('Master Data'!$L$2:$L$2436,MATCH($B$3&amp;"|4|"&amp;C$59&amp;"|"&amp;$A66,'Master Data'!$A$2:$A$2436,0)),"")</f>
        <v>Belum terisi</v>
      </c>
      <c r="V66" s="61" t="str">
        <f aca="false">IFERROR(INDEX('Master Data'!$L$2:$L$2436,MATCH($B$3&amp;"|4|"&amp;D$59&amp;"|"&amp;$A66,'Master Data'!$A$2:$A$2436,0)),"")</f>
        <v>Sebagian</v>
      </c>
      <c r="W66" s="61" t="str">
        <f aca="false">IFERROR(INDEX('Master Data'!$L$2:$L$2436,MATCH($B$3&amp;"|4|"&amp;E$59&amp;"|"&amp;$A66,'Master Data'!$A$2:$A$2436,0)),"")</f>
        <v>Belum terisi</v>
      </c>
      <c r="X66" s="61" t="str">
        <f aca="false">IFERROR(INDEX('Master Data'!$L$2:$L$2436,MATCH($B$3&amp;"|4|"&amp;F$59&amp;"|"&amp;$A66,'Master Data'!$A$2:$A$2436,0)),"")</f>
        <v>Sebagian</v>
      </c>
      <c r="Y66" s="61" t="str">
        <f aca="false">IFERROR(INDEX('Master Data'!$L$2:$L$2436,MATCH($B$3&amp;"|4|"&amp;G$59&amp;"|"&amp;$A66,'Master Data'!$A$2:$A$2436,0)),"")</f>
        <v>Sebagian</v>
      </c>
      <c r="Z66" s="61" t="str">
        <f aca="false">IFERROR(INDEX('Master Data'!$L$2:$L$2436,MATCH($B$3&amp;"|4|"&amp;H$59&amp;"|"&amp;$A66,'Master Data'!$A$2:$A$2436,0)),"")</f>
        <v>Belum terisi</v>
      </c>
    </row>
    <row r="67" customFormat="false" ht="30" hidden="false" customHeight="true" outlineLevel="0" collapsed="false">
      <c r="A67" s="59" t="s">
        <v>103</v>
      </c>
      <c r="B67" s="60" t="str">
        <f aca="false">IFERROR(INDEX('Master Data'!$M$2:$M$2436,MATCH($B$3&amp;"|4|"&amp;B$59&amp;"|"&amp;$A67,'Master Data'!$A$2:$A$2436,0)),"")</f>
        <v>Kids  0/4
coach: –</v>
      </c>
      <c r="C67" s="60" t="str">
        <f aca="false">IFERROR(INDEX('Master Data'!$M$2:$M$2436,MATCH($B$3&amp;"|4|"&amp;C$59&amp;"|"&amp;$A67,'Master Data'!$A$2:$A$2436,0)),"")</f>
        <v>Kids  1/4
coach: Silvi</v>
      </c>
      <c r="D67" s="60" t="str">
        <f aca="false">IFERROR(INDEX('Master Data'!$M$2:$M$2436,MATCH($B$3&amp;"|4|"&amp;D$59&amp;"|"&amp;$A67,'Master Data'!$A$2:$A$2436,0)),"")</f>
        <v>Kids  0/4
coach: –</v>
      </c>
      <c r="E67" s="60" t="str">
        <f aca="false">IFERROR(INDEX('Master Data'!$M$2:$M$2436,MATCH($B$3&amp;"|4|"&amp;E$59&amp;"|"&amp;$A67,'Master Data'!$A$2:$A$2436,0)),"")</f>
        <v>Kids  1/4
coach: Indra</v>
      </c>
      <c r="F67" s="60" t="str">
        <f aca="false">IFERROR(INDEX('Master Data'!$M$2:$M$2436,MATCH($B$3&amp;"|4|"&amp;F$59&amp;"|"&amp;$A67,'Master Data'!$A$2:$A$2436,0)),"")</f>
        <v>Kids  2/4
coach: Juan</v>
      </c>
      <c r="G67" s="60" t="str">
        <f aca="false">IFERROR(INDEX('Master Data'!$M$2:$M$2436,MATCH($B$3&amp;"|4|"&amp;G$59&amp;"|"&amp;$A67,'Master Data'!$A$2:$A$2436,0)),"")</f>
        <v>Kids  4/4
coach: Silvi</v>
      </c>
      <c r="H67" s="60" t="str">
        <f aca="false">IFERROR(INDEX('Master Data'!$M$2:$M$2436,MATCH($B$3&amp;"|4|"&amp;H$59&amp;"|"&amp;$A67,'Master Data'!$A$2:$A$2436,0)),"")</f>
        <v>Kids  1/4
coach: Indra</v>
      </c>
      <c r="T67" s="61" t="str">
        <f aca="false">IFERROR(INDEX('Master Data'!$L$2:$L$2436,MATCH($B$3&amp;"|4|"&amp;B$59&amp;"|"&amp;$A67,'Master Data'!$A$2:$A$2436,0)),"")</f>
        <v>Belum terisi</v>
      </c>
      <c r="U67" s="61" t="str">
        <f aca="false">IFERROR(INDEX('Master Data'!$L$2:$L$2436,MATCH($B$3&amp;"|4|"&amp;C$59&amp;"|"&amp;$A67,'Master Data'!$A$2:$A$2436,0)),"")</f>
        <v>Sebagian</v>
      </c>
      <c r="V67" s="61" t="str">
        <f aca="false">IFERROR(INDEX('Master Data'!$L$2:$L$2436,MATCH($B$3&amp;"|4|"&amp;D$59&amp;"|"&amp;$A67,'Master Data'!$A$2:$A$2436,0)),"")</f>
        <v>Belum terisi</v>
      </c>
      <c r="W67" s="61" t="str">
        <f aca="false">IFERROR(INDEX('Master Data'!$L$2:$L$2436,MATCH($B$3&amp;"|4|"&amp;E$59&amp;"|"&amp;$A67,'Master Data'!$A$2:$A$2436,0)),"")</f>
        <v>Sebagian</v>
      </c>
      <c r="X67" s="61" t="str">
        <f aca="false">IFERROR(INDEX('Master Data'!$L$2:$L$2436,MATCH($B$3&amp;"|4|"&amp;F$59&amp;"|"&amp;$A67,'Master Data'!$A$2:$A$2436,0)),"")</f>
        <v>Sebagian</v>
      </c>
      <c r="Y67" s="61" t="str">
        <f aca="false">IFERROR(INDEX('Master Data'!$L$2:$L$2436,MATCH($B$3&amp;"|4|"&amp;G$59&amp;"|"&amp;$A67,'Master Data'!$A$2:$A$2436,0)),"")</f>
        <v>Penuh</v>
      </c>
      <c r="Z67" s="61" t="str">
        <f aca="false">IFERROR(INDEX('Master Data'!$L$2:$L$2436,MATCH($B$3&amp;"|4|"&amp;H$59&amp;"|"&amp;$A67,'Master Data'!$A$2:$A$2436,0)),"")</f>
        <v>Sebagian</v>
      </c>
    </row>
    <row r="68" customFormat="false" ht="30" hidden="false" customHeight="true" outlineLevel="0" collapsed="false">
      <c r="A68" s="59" t="s">
        <v>104</v>
      </c>
      <c r="B68" s="60" t="str">
        <f aca="false">IFERROR(INDEX('Master Data'!$M$2:$M$2436,MATCH($B$3&amp;"|4|"&amp;B$59&amp;"|"&amp;$A68,'Master Data'!$A$2:$A$2436,0)),"")</f>
        <v>Kids  0/4
coach: Angga</v>
      </c>
      <c r="C68" s="60" t="str">
        <f aca="false">IFERROR(INDEX('Master Data'!$M$2:$M$2436,MATCH($B$3&amp;"|4|"&amp;C$59&amp;"|"&amp;$A68,'Master Data'!$A$2:$A$2436,0)),"")</f>
        <v>Kids  0/4
coach: –</v>
      </c>
      <c r="D68" s="60" t="str">
        <f aca="false">IFERROR(INDEX('Master Data'!$M$2:$M$2436,MATCH($B$3&amp;"|4|"&amp;D$59&amp;"|"&amp;$A68,'Master Data'!$A$2:$A$2436,0)),"")</f>
        <v>Kids  0/4
coach: –</v>
      </c>
      <c r="E68" s="60" t="str">
        <f aca="false">IFERROR(INDEX('Master Data'!$M$2:$M$2436,MATCH($B$3&amp;"|4|"&amp;E$59&amp;"|"&amp;$A68,'Master Data'!$A$2:$A$2436,0)),"")</f>
        <v>Kids  0/4
coach: –</v>
      </c>
      <c r="F68" s="60" t="str">
        <f aca="false">IFERROR(INDEX('Master Data'!$M$2:$M$2436,MATCH($B$3&amp;"|4|"&amp;F$59&amp;"|"&amp;$A68,'Master Data'!$A$2:$A$2436,0)),"")</f>
        <v>Kids  3/4
coach: Silvi</v>
      </c>
      <c r="G68" s="60" t="str">
        <f aca="false">IFERROR(INDEX('Master Data'!$M$2:$M$2436,MATCH($B$3&amp;"|4|"&amp;G$59&amp;"|"&amp;$A68,'Master Data'!$A$2:$A$2436,0)),"")</f>
        <v>Kids  4/4
coach: Juan</v>
      </c>
      <c r="H68" s="60" t="str">
        <f aca="false">IFERROR(INDEX('Master Data'!$M$2:$M$2436,MATCH($B$3&amp;"|4|"&amp;H$59&amp;"|"&amp;$A68,'Master Data'!$A$2:$A$2436,0)),"")</f>
        <v>Kids  0/4
coach: –</v>
      </c>
      <c r="T68" s="61" t="str">
        <f aca="false">IFERROR(INDEX('Master Data'!$L$2:$L$2436,MATCH($B$3&amp;"|4|"&amp;B$59&amp;"|"&amp;$A68,'Master Data'!$A$2:$A$2436,0)),"")</f>
        <v>Belum terisi</v>
      </c>
      <c r="U68" s="61" t="str">
        <f aca="false">IFERROR(INDEX('Master Data'!$L$2:$L$2436,MATCH($B$3&amp;"|4|"&amp;C$59&amp;"|"&amp;$A68,'Master Data'!$A$2:$A$2436,0)),"")</f>
        <v>Belum terisi</v>
      </c>
      <c r="V68" s="61" t="str">
        <f aca="false">IFERROR(INDEX('Master Data'!$L$2:$L$2436,MATCH($B$3&amp;"|4|"&amp;D$59&amp;"|"&amp;$A68,'Master Data'!$A$2:$A$2436,0)),"")</f>
        <v>Belum terisi</v>
      </c>
      <c r="W68" s="61" t="str">
        <f aca="false">IFERROR(INDEX('Master Data'!$L$2:$L$2436,MATCH($B$3&amp;"|4|"&amp;E$59&amp;"|"&amp;$A68,'Master Data'!$A$2:$A$2436,0)),"")</f>
        <v>Belum terisi</v>
      </c>
      <c r="X68" s="61" t="str">
        <f aca="false">IFERROR(INDEX('Master Data'!$L$2:$L$2436,MATCH($B$3&amp;"|4|"&amp;F$59&amp;"|"&amp;$A68,'Master Data'!$A$2:$A$2436,0)),"")</f>
        <v>Sebagian</v>
      </c>
      <c r="Y68" s="61" t="str">
        <f aca="false">IFERROR(INDEX('Master Data'!$L$2:$L$2436,MATCH($B$3&amp;"|4|"&amp;G$59&amp;"|"&amp;$A68,'Master Data'!$A$2:$A$2436,0)),"")</f>
        <v>Penuh</v>
      </c>
      <c r="Z68" s="61" t="str">
        <f aca="false">IFERROR(INDEX('Master Data'!$L$2:$L$2436,MATCH($B$3&amp;"|4|"&amp;H$59&amp;"|"&amp;$A68,'Master Data'!$A$2:$A$2436,0)),"")</f>
        <v>Belum terisi</v>
      </c>
    </row>
    <row r="69" customFormat="false" ht="30" hidden="false" customHeight="true" outlineLevel="0" collapsed="false">
      <c r="A69" s="59" t="s">
        <v>105</v>
      </c>
      <c r="B69" s="60" t="str">
        <f aca="false">IFERROR(INDEX('Master Data'!$M$2:$M$2436,MATCH($B$3&amp;"|4|"&amp;B$59&amp;"|"&amp;$A69,'Master Data'!$A$2:$A$2436,0)),"")</f>
        <v>Kids  0/4
coach: –</v>
      </c>
      <c r="C69" s="60" t="str">
        <f aca="false">IFERROR(INDEX('Master Data'!$M$2:$M$2436,MATCH($B$3&amp;"|4|"&amp;C$59&amp;"|"&amp;$A69,'Master Data'!$A$2:$A$2436,0)),"")</f>
        <v>Kids  0/4
coach: –</v>
      </c>
      <c r="D69" s="60" t="str">
        <f aca="false">IFERROR(INDEX('Master Data'!$M$2:$M$2436,MATCH($B$3&amp;"|4|"&amp;D$59&amp;"|"&amp;$A69,'Master Data'!$A$2:$A$2436,0)),"")</f>
        <v>Kids  1/4
coach: Indra</v>
      </c>
      <c r="E69" s="60" t="str">
        <f aca="false">IFERROR(INDEX('Master Data'!$M$2:$M$2436,MATCH($B$3&amp;"|4|"&amp;E$59&amp;"|"&amp;$A69,'Master Data'!$A$2:$A$2436,0)),"")</f>
        <v>Kids  4/4
coach: Juan</v>
      </c>
      <c r="F69" s="60" t="str">
        <f aca="false">IFERROR(INDEX('Master Data'!$M$2:$M$2436,MATCH($B$3&amp;"|4|"&amp;F$59&amp;"|"&amp;$A69,'Master Data'!$A$2:$A$2436,0)),"")</f>
        <v>Kids  4/4
coach: Silvi</v>
      </c>
      <c r="G69" s="60" t="str">
        <f aca="false">IFERROR(INDEX('Master Data'!$M$2:$M$2436,MATCH($B$3&amp;"|4|"&amp;G$59&amp;"|"&amp;$A69,'Master Data'!$A$2:$A$2436,0)),"")</f>
        <v>Kids  0/4
coach: –</v>
      </c>
      <c r="H69" s="60" t="str">
        <f aca="false">IFERROR(INDEX('Master Data'!$M$2:$M$2436,MATCH($B$3&amp;"|4|"&amp;H$59&amp;"|"&amp;$A69,'Master Data'!$A$2:$A$2436,0)),"")</f>
        <v>Kids  0/4
coach: –</v>
      </c>
      <c r="T69" s="61" t="str">
        <f aca="false">IFERROR(INDEX('Master Data'!$L$2:$L$2436,MATCH($B$3&amp;"|4|"&amp;B$59&amp;"|"&amp;$A69,'Master Data'!$A$2:$A$2436,0)),"")</f>
        <v>Belum terisi</v>
      </c>
      <c r="U69" s="61" t="str">
        <f aca="false">IFERROR(INDEX('Master Data'!$L$2:$L$2436,MATCH($B$3&amp;"|4|"&amp;C$59&amp;"|"&amp;$A69,'Master Data'!$A$2:$A$2436,0)),"")</f>
        <v>Belum terisi</v>
      </c>
      <c r="V69" s="61" t="str">
        <f aca="false">IFERROR(INDEX('Master Data'!$L$2:$L$2436,MATCH($B$3&amp;"|4|"&amp;D$59&amp;"|"&amp;$A69,'Master Data'!$A$2:$A$2436,0)),"")</f>
        <v>Sebagian</v>
      </c>
      <c r="W69" s="61" t="str">
        <f aca="false">IFERROR(INDEX('Master Data'!$L$2:$L$2436,MATCH($B$3&amp;"|4|"&amp;E$59&amp;"|"&amp;$A69,'Master Data'!$A$2:$A$2436,0)),"")</f>
        <v>Penuh</v>
      </c>
      <c r="X69" s="61" t="str">
        <f aca="false">IFERROR(INDEX('Master Data'!$L$2:$L$2436,MATCH($B$3&amp;"|4|"&amp;F$59&amp;"|"&amp;$A69,'Master Data'!$A$2:$A$2436,0)),"")</f>
        <v>Penuh</v>
      </c>
      <c r="Y69" s="61" t="str">
        <f aca="false">IFERROR(INDEX('Master Data'!$L$2:$L$2436,MATCH($B$3&amp;"|4|"&amp;G$59&amp;"|"&amp;$A69,'Master Data'!$A$2:$A$2436,0)),"")</f>
        <v>Belum terisi</v>
      </c>
      <c r="Z69" s="61" t="str">
        <f aca="false">IFERROR(INDEX('Master Data'!$L$2:$L$2436,MATCH($B$3&amp;"|4|"&amp;H$59&amp;"|"&amp;$A69,'Master Data'!$A$2:$A$2436,0)),"")</f>
        <v>Belum terisi</v>
      </c>
    </row>
    <row r="70" customFormat="false" ht="30" hidden="false" customHeight="true" outlineLevel="0" collapsed="false">
      <c r="A70" s="59" t="s">
        <v>106</v>
      </c>
      <c r="B70" s="60" t="str">
        <f aca="false">IFERROR(INDEX('Master Data'!$M$2:$M$2436,MATCH($B$3&amp;"|4|"&amp;B$59&amp;"|"&amp;$A70,'Master Data'!$A$2:$A$2436,0)),"")</f>
        <v>Kids  1/4
coach: –</v>
      </c>
      <c r="C70" s="60" t="str">
        <f aca="false">IFERROR(INDEX('Master Data'!$M$2:$M$2436,MATCH($B$3&amp;"|4|"&amp;C$59&amp;"|"&amp;$A70,'Master Data'!$A$2:$A$2436,0)),"")</f>
        <v>Kids  1/4
coach: Silvi</v>
      </c>
      <c r="D70" s="60" t="str">
        <f aca="false">IFERROR(INDEX('Master Data'!$M$2:$M$2436,MATCH($B$3&amp;"|4|"&amp;D$59&amp;"|"&amp;$A70,'Master Data'!$A$2:$A$2436,0)),"")</f>
        <v>Kids  0/4
coach: –</v>
      </c>
      <c r="E70" s="60" t="str">
        <f aca="false">IFERROR(INDEX('Master Data'!$M$2:$M$2436,MATCH($B$3&amp;"|4|"&amp;E$59&amp;"|"&amp;$A70,'Master Data'!$A$2:$A$2436,0)),"")</f>
        <v>Kids  1/4
coach: Indra</v>
      </c>
      <c r="F70" s="60" t="str">
        <f aca="false">IFERROR(INDEX('Master Data'!$M$2:$M$2436,MATCH($B$3&amp;"|4|"&amp;F$59&amp;"|"&amp;$A70,'Master Data'!$A$2:$A$2436,0)),"")</f>
        <v>Kids  4/4
coach: Juan</v>
      </c>
      <c r="G70" s="60" t="str">
        <f aca="false">IFERROR(INDEX('Master Data'!$M$2:$M$2436,MATCH($B$3&amp;"|4|"&amp;G$59&amp;"|"&amp;$A70,'Master Data'!$A$2:$A$2436,0)),"")</f>
        <v>Kids  2/4
coach: Juan</v>
      </c>
      <c r="H70" s="60" t="str">
        <f aca="false">IFERROR(INDEX('Master Data'!$M$2:$M$2436,MATCH($B$3&amp;"|4|"&amp;H$59&amp;"|"&amp;$A70,'Master Data'!$A$2:$A$2436,0)),"")</f>
        <v>Kids  1/4
coach: Juan</v>
      </c>
      <c r="T70" s="61" t="str">
        <f aca="false">IFERROR(INDEX('Master Data'!$L$2:$L$2436,MATCH($B$3&amp;"|4|"&amp;B$59&amp;"|"&amp;$A70,'Master Data'!$A$2:$A$2436,0)),"")</f>
        <v>Sebagian</v>
      </c>
      <c r="U70" s="61" t="str">
        <f aca="false">IFERROR(INDEX('Master Data'!$L$2:$L$2436,MATCH($B$3&amp;"|4|"&amp;C$59&amp;"|"&amp;$A70,'Master Data'!$A$2:$A$2436,0)),"")</f>
        <v>Sebagian</v>
      </c>
      <c r="V70" s="61" t="str">
        <f aca="false">IFERROR(INDEX('Master Data'!$L$2:$L$2436,MATCH($B$3&amp;"|4|"&amp;D$59&amp;"|"&amp;$A70,'Master Data'!$A$2:$A$2436,0)),"")</f>
        <v>Belum terisi</v>
      </c>
      <c r="W70" s="61" t="str">
        <f aca="false">IFERROR(INDEX('Master Data'!$L$2:$L$2436,MATCH($B$3&amp;"|4|"&amp;E$59&amp;"|"&amp;$A70,'Master Data'!$A$2:$A$2436,0)),"")</f>
        <v>Sebagian</v>
      </c>
      <c r="X70" s="61" t="str">
        <f aca="false">IFERROR(INDEX('Master Data'!$L$2:$L$2436,MATCH($B$3&amp;"|4|"&amp;F$59&amp;"|"&amp;$A70,'Master Data'!$A$2:$A$2436,0)),"")</f>
        <v>Penuh</v>
      </c>
      <c r="Y70" s="61" t="str">
        <f aca="false">IFERROR(INDEX('Master Data'!$L$2:$L$2436,MATCH($B$3&amp;"|4|"&amp;G$59&amp;"|"&amp;$A70,'Master Data'!$A$2:$A$2436,0)),"")</f>
        <v>Sebagian</v>
      </c>
      <c r="Z70" s="61" t="str">
        <f aca="false">IFERROR(INDEX('Master Data'!$L$2:$L$2436,MATCH($B$3&amp;"|4|"&amp;H$59&amp;"|"&amp;$A70,'Master Data'!$A$2:$A$2436,0)),"")</f>
        <v>Sebagian</v>
      </c>
    </row>
    <row r="71" customFormat="false" ht="30" hidden="false" customHeight="true" outlineLevel="0" collapsed="false">
      <c r="A71" s="59" t="s">
        <v>107</v>
      </c>
      <c r="B71" s="60" t="str">
        <f aca="false">IFERROR(INDEX('Master Data'!$M$2:$M$2436,MATCH($B$3&amp;"|4|"&amp;B$59&amp;"|"&amp;$A71,'Master Data'!$A$2:$A$2436,0)),"")</f>
        <v>Kids  2/4
coach: Angga</v>
      </c>
      <c r="C71" s="60" t="str">
        <f aca="false">IFERROR(INDEX('Master Data'!$M$2:$M$2436,MATCH($B$3&amp;"|4|"&amp;C$59&amp;"|"&amp;$A71,'Master Data'!$A$2:$A$2436,0)),"")</f>
        <v>Kids  0/4
coach: –</v>
      </c>
      <c r="D71" s="60" t="str">
        <f aca="false">IFERROR(INDEX('Master Data'!$M$2:$M$2436,MATCH($B$3&amp;"|4|"&amp;D$59&amp;"|"&amp;$A71,'Master Data'!$A$2:$A$2436,0)),"")</f>
        <v>Kids  0/4
coach: –</v>
      </c>
      <c r="E71" s="60" t="str">
        <f aca="false">IFERROR(INDEX('Master Data'!$M$2:$M$2436,MATCH($B$3&amp;"|4|"&amp;E$59&amp;"|"&amp;$A71,'Master Data'!$A$2:$A$2436,0)),"")</f>
        <v>Kids  0/4
coach: –</v>
      </c>
      <c r="F71" s="60" t="str">
        <f aca="false">IFERROR(INDEX('Master Data'!$M$2:$M$2436,MATCH($B$3&amp;"|4|"&amp;F$59&amp;"|"&amp;$A71,'Master Data'!$A$2:$A$2436,0)),"")</f>
        <v>Kids  3/4
coach: Indra</v>
      </c>
      <c r="G71" s="60" t="str">
        <f aca="false">IFERROR(INDEX('Master Data'!$M$2:$M$2436,MATCH($B$3&amp;"|4|"&amp;G$59&amp;"|"&amp;$A71,'Master Data'!$A$2:$A$2436,0)),"")</f>
        <v>Kids  1/4
coach: Juan</v>
      </c>
      <c r="H71" s="60" t="str">
        <f aca="false">IFERROR(INDEX('Master Data'!$M$2:$M$2436,MATCH($B$3&amp;"|4|"&amp;H$59&amp;"|"&amp;$A71,'Master Data'!$A$2:$A$2436,0)),"")</f>
        <v>Kids  0/4
coach: –</v>
      </c>
      <c r="T71" s="61" t="str">
        <f aca="false">IFERROR(INDEX('Master Data'!$L$2:$L$2436,MATCH($B$3&amp;"|4|"&amp;B$59&amp;"|"&amp;$A71,'Master Data'!$A$2:$A$2436,0)),"")</f>
        <v>Sebagian</v>
      </c>
      <c r="U71" s="61" t="str">
        <f aca="false">IFERROR(INDEX('Master Data'!$L$2:$L$2436,MATCH($B$3&amp;"|4|"&amp;C$59&amp;"|"&amp;$A71,'Master Data'!$A$2:$A$2436,0)),"")</f>
        <v>Belum terisi</v>
      </c>
      <c r="V71" s="61" t="str">
        <f aca="false">IFERROR(INDEX('Master Data'!$L$2:$L$2436,MATCH($B$3&amp;"|4|"&amp;D$59&amp;"|"&amp;$A71,'Master Data'!$A$2:$A$2436,0)),"")</f>
        <v>Belum terisi</v>
      </c>
      <c r="W71" s="61" t="str">
        <f aca="false">IFERROR(INDEX('Master Data'!$L$2:$L$2436,MATCH($B$3&amp;"|4|"&amp;E$59&amp;"|"&amp;$A71,'Master Data'!$A$2:$A$2436,0)),"")</f>
        <v>Belum terisi</v>
      </c>
      <c r="X71" s="61" t="str">
        <f aca="false">IFERROR(INDEX('Master Data'!$L$2:$L$2436,MATCH($B$3&amp;"|4|"&amp;F$59&amp;"|"&amp;$A71,'Master Data'!$A$2:$A$2436,0)),"")</f>
        <v>Sebagian</v>
      </c>
      <c r="Y71" s="61" t="str">
        <f aca="false">IFERROR(INDEX('Master Data'!$L$2:$L$2436,MATCH($B$3&amp;"|4|"&amp;G$59&amp;"|"&amp;$A71,'Master Data'!$A$2:$A$2436,0)),"")</f>
        <v>Sebagian</v>
      </c>
      <c r="Z71" s="61" t="str">
        <f aca="false">IFERROR(INDEX('Master Data'!$L$2:$L$2436,MATCH($B$3&amp;"|4|"&amp;H$59&amp;"|"&amp;$A71,'Master Data'!$A$2:$A$2436,0)),"")</f>
        <v>Belum terisi</v>
      </c>
    </row>
    <row r="73" customFormat="false" ht="16.15" hidden="false" customHeight="false" outlineLevel="0" collapsed="false">
      <c r="A73" s="54" t="s">
        <v>123</v>
      </c>
      <c r="B73" s="55"/>
      <c r="C73" s="56" t="str">
        <f aca="false">"Utilisasi lane: "&amp;IFERROR(TEXT(SUMIFS('Master Data'!$H$2:$H$2436,'Master Data'!$B$2:$B$2436,$B$3,'Master Data'!$C$2:$C$2436,5,'Master Data'!$G$2:$G$2436,"&gt;0")/SUMIFS('Master Data'!$G$2:$G$2436,'Master Data'!$B$2:$B$2436,$B$3,'Master Data'!$C$2:$C$2436,5,'Master Data'!$G$2:$G$2436,"&gt;0"),"0%"),"–")&amp;"   ·   Belum terisi: "&amp;COUNTIFS('Master Data'!$B$2:$B$2436,$B$3,'Master Data'!$C$2:$C$2436,5,'Master Data'!$L$2:$L$2436,"Belum terisi")&amp;"   ·   Slot kosong: "&amp;COUNTIFS('Master Data'!$B$2:$B$2436,$B$3,'Master Data'!$C$2:$C$2436,5,'Master Data'!$L$2:$L$2436,"Slot kosong")</f>
        <v>Utilisasi lane: 0%   ·   Belum terisi: 0   ·   Slot kosong: 84</v>
      </c>
      <c r="D73" s="55"/>
      <c r="E73" s="55"/>
      <c r="F73" s="55"/>
      <c r="G73" s="55"/>
      <c r="H73" s="55"/>
    </row>
    <row r="74" customFormat="false" ht="15" hidden="false" customHeight="false" outlineLevel="0" collapsed="false">
      <c r="A74" s="57" t="s">
        <v>89</v>
      </c>
      <c r="B74" s="58" t="s">
        <v>90</v>
      </c>
      <c r="C74" s="58" t="s">
        <v>91</v>
      </c>
      <c r="D74" s="58" t="s">
        <v>92</v>
      </c>
      <c r="E74" s="58" t="s">
        <v>93</v>
      </c>
      <c r="F74" s="58" t="s">
        <v>94</v>
      </c>
      <c r="G74" s="58" t="s">
        <v>95</v>
      </c>
      <c r="H74" s="58" t="s">
        <v>78</v>
      </c>
    </row>
    <row r="75" customFormat="false" ht="30" hidden="false" customHeight="true" outlineLevel="0" collapsed="false">
      <c r="A75" s="59" t="s">
        <v>110</v>
      </c>
      <c r="B75" s="60" t="str">
        <f aca="false">IFERROR(INDEX('Master Data'!$M$2:$M$2436,MATCH($B$3&amp;"|5|"&amp;B$74&amp;"|"&amp;$A75,'Master Data'!$A$2:$A$2436,0)),"")</f>
        <v>(tanpa age group)  0/4
coach: –</v>
      </c>
      <c r="C75" s="60" t="str">
        <f aca="false">IFERROR(INDEX('Master Data'!$M$2:$M$2436,MATCH($B$3&amp;"|5|"&amp;C$74&amp;"|"&amp;$A75,'Master Data'!$A$2:$A$2436,0)),"")</f>
        <v>(tanpa age group)  0/4
coach: –</v>
      </c>
      <c r="D75" s="60" t="str">
        <f aca="false">IFERROR(INDEX('Master Data'!$M$2:$M$2436,MATCH($B$3&amp;"|5|"&amp;D$74&amp;"|"&amp;$A75,'Master Data'!$A$2:$A$2436,0)),"")</f>
        <v>(tanpa age group)  0/4
coach: –</v>
      </c>
      <c r="E75" s="60" t="str">
        <f aca="false">IFERROR(INDEX('Master Data'!$M$2:$M$2436,MATCH($B$3&amp;"|5|"&amp;E$74&amp;"|"&amp;$A75,'Master Data'!$A$2:$A$2436,0)),"")</f>
        <v>(tanpa age group)  0/4
coach: –</v>
      </c>
      <c r="F75" s="60" t="str">
        <f aca="false">IFERROR(INDEX('Master Data'!$M$2:$M$2436,MATCH($B$3&amp;"|5|"&amp;F$74&amp;"|"&amp;$A75,'Master Data'!$A$2:$A$2436,0)),"")</f>
        <v>(tanpa age group)  0/4
coach: –</v>
      </c>
      <c r="G75" s="60" t="str">
        <f aca="false">IFERROR(INDEX('Master Data'!$M$2:$M$2436,MATCH($B$3&amp;"|5|"&amp;G$74&amp;"|"&amp;$A75,'Master Data'!$A$2:$A$2436,0)),"")</f>
        <v>(tanpa age group)  0/4
coach: –</v>
      </c>
      <c r="H75" s="60" t="str">
        <f aca="false">IFERROR(INDEX('Master Data'!$M$2:$M$2436,MATCH($B$3&amp;"|5|"&amp;H$74&amp;"|"&amp;$A75,'Master Data'!$A$2:$A$2436,0)),"")</f>
        <v>(tanpa age group)  0/4
coach: –</v>
      </c>
      <c r="T75" s="61" t="str">
        <f aca="false">IFERROR(INDEX('Master Data'!$L$2:$L$2436,MATCH($B$3&amp;"|5|"&amp;B$74&amp;"|"&amp;$A75,'Master Data'!$A$2:$A$2436,0)),"")</f>
        <v>Slot kosong</v>
      </c>
      <c r="U75" s="61" t="str">
        <f aca="false">IFERROR(INDEX('Master Data'!$L$2:$L$2436,MATCH($B$3&amp;"|5|"&amp;C$74&amp;"|"&amp;$A75,'Master Data'!$A$2:$A$2436,0)),"")</f>
        <v>Slot kosong</v>
      </c>
      <c r="V75" s="61" t="str">
        <f aca="false">IFERROR(INDEX('Master Data'!$L$2:$L$2436,MATCH($B$3&amp;"|5|"&amp;D$74&amp;"|"&amp;$A75,'Master Data'!$A$2:$A$2436,0)),"")</f>
        <v>Slot kosong</v>
      </c>
      <c r="W75" s="61" t="str">
        <f aca="false">IFERROR(INDEX('Master Data'!$L$2:$L$2436,MATCH($B$3&amp;"|5|"&amp;E$74&amp;"|"&amp;$A75,'Master Data'!$A$2:$A$2436,0)),"")</f>
        <v>Slot kosong</v>
      </c>
      <c r="X75" s="61" t="str">
        <f aca="false">IFERROR(INDEX('Master Data'!$L$2:$L$2436,MATCH($B$3&amp;"|5|"&amp;F$74&amp;"|"&amp;$A75,'Master Data'!$A$2:$A$2436,0)),"")</f>
        <v>Slot kosong</v>
      </c>
      <c r="Y75" s="61" t="str">
        <f aca="false">IFERROR(INDEX('Master Data'!$L$2:$L$2436,MATCH($B$3&amp;"|5|"&amp;G$74&amp;"|"&amp;$A75,'Master Data'!$A$2:$A$2436,0)),"")</f>
        <v>Slot kosong</v>
      </c>
      <c r="Z75" s="61" t="str">
        <f aca="false">IFERROR(INDEX('Master Data'!$L$2:$L$2436,MATCH($B$3&amp;"|5|"&amp;H$74&amp;"|"&amp;$A75,'Master Data'!$A$2:$A$2436,0)),"")</f>
        <v>Slot kosong</v>
      </c>
    </row>
    <row r="76" customFormat="false" ht="30" hidden="false" customHeight="true" outlineLevel="0" collapsed="false">
      <c r="A76" s="59" t="s">
        <v>111</v>
      </c>
      <c r="B76" s="60" t="str">
        <f aca="false">IFERROR(INDEX('Master Data'!$M$2:$M$2436,MATCH($B$3&amp;"|5|"&amp;B$74&amp;"|"&amp;$A76,'Master Data'!$A$2:$A$2436,0)),"")</f>
        <v>(tanpa age group)  0/4
coach: –</v>
      </c>
      <c r="C76" s="60" t="str">
        <f aca="false">IFERROR(INDEX('Master Data'!$M$2:$M$2436,MATCH($B$3&amp;"|5|"&amp;C$74&amp;"|"&amp;$A76,'Master Data'!$A$2:$A$2436,0)),"")</f>
        <v>(tanpa age group)  0/4
coach: –</v>
      </c>
      <c r="D76" s="60" t="str">
        <f aca="false">IFERROR(INDEX('Master Data'!$M$2:$M$2436,MATCH($B$3&amp;"|5|"&amp;D$74&amp;"|"&amp;$A76,'Master Data'!$A$2:$A$2436,0)),"")</f>
        <v>(tanpa age group)  0/4
coach: –</v>
      </c>
      <c r="E76" s="60" t="str">
        <f aca="false">IFERROR(INDEX('Master Data'!$M$2:$M$2436,MATCH($B$3&amp;"|5|"&amp;E$74&amp;"|"&amp;$A76,'Master Data'!$A$2:$A$2436,0)),"")</f>
        <v>(tanpa age group)  0/4
coach: –</v>
      </c>
      <c r="F76" s="60" t="str">
        <f aca="false">IFERROR(INDEX('Master Data'!$M$2:$M$2436,MATCH($B$3&amp;"|5|"&amp;F$74&amp;"|"&amp;$A76,'Master Data'!$A$2:$A$2436,0)),"")</f>
        <v>(tanpa age group)  0/4
coach: –</v>
      </c>
      <c r="G76" s="60" t="str">
        <f aca="false">IFERROR(INDEX('Master Data'!$M$2:$M$2436,MATCH($B$3&amp;"|5|"&amp;G$74&amp;"|"&amp;$A76,'Master Data'!$A$2:$A$2436,0)),"")</f>
        <v>(tanpa age group)  0/4
coach: –</v>
      </c>
      <c r="H76" s="60" t="str">
        <f aca="false">IFERROR(INDEX('Master Data'!$M$2:$M$2436,MATCH($B$3&amp;"|5|"&amp;H$74&amp;"|"&amp;$A76,'Master Data'!$A$2:$A$2436,0)),"")</f>
        <v>(tanpa age group)  0/4
coach: –</v>
      </c>
      <c r="T76" s="61" t="str">
        <f aca="false">IFERROR(INDEX('Master Data'!$L$2:$L$2436,MATCH($B$3&amp;"|5|"&amp;B$74&amp;"|"&amp;$A76,'Master Data'!$A$2:$A$2436,0)),"")</f>
        <v>Slot kosong</v>
      </c>
      <c r="U76" s="61" t="str">
        <f aca="false">IFERROR(INDEX('Master Data'!$L$2:$L$2436,MATCH($B$3&amp;"|5|"&amp;C$74&amp;"|"&amp;$A76,'Master Data'!$A$2:$A$2436,0)),"")</f>
        <v>Slot kosong</v>
      </c>
      <c r="V76" s="61" t="str">
        <f aca="false">IFERROR(INDEX('Master Data'!$L$2:$L$2436,MATCH($B$3&amp;"|5|"&amp;D$74&amp;"|"&amp;$A76,'Master Data'!$A$2:$A$2436,0)),"")</f>
        <v>Slot kosong</v>
      </c>
      <c r="W76" s="61" t="str">
        <f aca="false">IFERROR(INDEX('Master Data'!$L$2:$L$2436,MATCH($B$3&amp;"|5|"&amp;E$74&amp;"|"&amp;$A76,'Master Data'!$A$2:$A$2436,0)),"")</f>
        <v>Slot kosong</v>
      </c>
      <c r="X76" s="61" t="str">
        <f aca="false">IFERROR(INDEX('Master Data'!$L$2:$L$2436,MATCH($B$3&amp;"|5|"&amp;F$74&amp;"|"&amp;$A76,'Master Data'!$A$2:$A$2436,0)),"")</f>
        <v>Slot kosong</v>
      </c>
      <c r="Y76" s="61" t="str">
        <f aca="false">IFERROR(INDEX('Master Data'!$L$2:$L$2436,MATCH($B$3&amp;"|5|"&amp;G$74&amp;"|"&amp;$A76,'Master Data'!$A$2:$A$2436,0)),"")</f>
        <v>Slot kosong</v>
      </c>
      <c r="Z76" s="61" t="str">
        <f aca="false">IFERROR(INDEX('Master Data'!$L$2:$L$2436,MATCH($B$3&amp;"|5|"&amp;H$74&amp;"|"&amp;$A76,'Master Data'!$A$2:$A$2436,0)),"")</f>
        <v>Slot kosong</v>
      </c>
    </row>
    <row r="77" customFormat="false" ht="30" hidden="false" customHeight="true" outlineLevel="0" collapsed="false">
      <c r="A77" s="59" t="s">
        <v>112</v>
      </c>
      <c r="B77" s="60" t="str">
        <f aca="false">IFERROR(INDEX('Master Data'!$M$2:$M$2436,MATCH($B$3&amp;"|5|"&amp;B$74&amp;"|"&amp;$A77,'Master Data'!$A$2:$A$2436,0)),"")</f>
        <v>(tanpa age group)  0/4
coach: –</v>
      </c>
      <c r="C77" s="60" t="str">
        <f aca="false">IFERROR(INDEX('Master Data'!$M$2:$M$2436,MATCH($B$3&amp;"|5|"&amp;C$74&amp;"|"&amp;$A77,'Master Data'!$A$2:$A$2436,0)),"")</f>
        <v>(tanpa age group)  0/4
coach: –</v>
      </c>
      <c r="D77" s="60" t="str">
        <f aca="false">IFERROR(INDEX('Master Data'!$M$2:$M$2436,MATCH($B$3&amp;"|5|"&amp;D$74&amp;"|"&amp;$A77,'Master Data'!$A$2:$A$2436,0)),"")</f>
        <v>(tanpa age group)  0/4
coach: –</v>
      </c>
      <c r="E77" s="60" t="str">
        <f aca="false">IFERROR(INDEX('Master Data'!$M$2:$M$2436,MATCH($B$3&amp;"|5|"&amp;E$74&amp;"|"&amp;$A77,'Master Data'!$A$2:$A$2436,0)),"")</f>
        <v>(tanpa age group)  0/4
coach: –</v>
      </c>
      <c r="F77" s="60" t="str">
        <f aca="false">IFERROR(INDEX('Master Data'!$M$2:$M$2436,MATCH($B$3&amp;"|5|"&amp;F$74&amp;"|"&amp;$A77,'Master Data'!$A$2:$A$2436,0)),"")</f>
        <v>(tanpa age group)  0/4
coach: –</v>
      </c>
      <c r="G77" s="60" t="str">
        <f aca="false">IFERROR(INDEX('Master Data'!$M$2:$M$2436,MATCH($B$3&amp;"|5|"&amp;G$74&amp;"|"&amp;$A77,'Master Data'!$A$2:$A$2436,0)),"")</f>
        <v>(tanpa age group)  0/4
coach: –</v>
      </c>
      <c r="H77" s="60" t="str">
        <f aca="false">IFERROR(INDEX('Master Data'!$M$2:$M$2436,MATCH($B$3&amp;"|5|"&amp;H$74&amp;"|"&amp;$A77,'Master Data'!$A$2:$A$2436,0)),"")</f>
        <v>(tanpa age group)  0/4
coach: –</v>
      </c>
      <c r="T77" s="61" t="str">
        <f aca="false">IFERROR(INDEX('Master Data'!$L$2:$L$2436,MATCH($B$3&amp;"|5|"&amp;B$74&amp;"|"&amp;$A77,'Master Data'!$A$2:$A$2436,0)),"")</f>
        <v>Slot kosong</v>
      </c>
      <c r="U77" s="61" t="str">
        <f aca="false">IFERROR(INDEX('Master Data'!$L$2:$L$2436,MATCH($B$3&amp;"|5|"&amp;C$74&amp;"|"&amp;$A77,'Master Data'!$A$2:$A$2436,0)),"")</f>
        <v>Slot kosong</v>
      </c>
      <c r="V77" s="61" t="str">
        <f aca="false">IFERROR(INDEX('Master Data'!$L$2:$L$2436,MATCH($B$3&amp;"|5|"&amp;D$74&amp;"|"&amp;$A77,'Master Data'!$A$2:$A$2436,0)),"")</f>
        <v>Slot kosong</v>
      </c>
      <c r="W77" s="61" t="str">
        <f aca="false">IFERROR(INDEX('Master Data'!$L$2:$L$2436,MATCH($B$3&amp;"|5|"&amp;E$74&amp;"|"&amp;$A77,'Master Data'!$A$2:$A$2436,0)),"")</f>
        <v>Slot kosong</v>
      </c>
      <c r="X77" s="61" t="str">
        <f aca="false">IFERROR(INDEX('Master Data'!$L$2:$L$2436,MATCH($B$3&amp;"|5|"&amp;F$74&amp;"|"&amp;$A77,'Master Data'!$A$2:$A$2436,0)),"")</f>
        <v>Slot kosong</v>
      </c>
      <c r="Y77" s="61" t="str">
        <f aca="false">IFERROR(INDEX('Master Data'!$L$2:$L$2436,MATCH($B$3&amp;"|5|"&amp;G$74&amp;"|"&amp;$A77,'Master Data'!$A$2:$A$2436,0)),"")</f>
        <v>Slot kosong</v>
      </c>
      <c r="Z77" s="61" t="str">
        <f aca="false">IFERROR(INDEX('Master Data'!$L$2:$L$2436,MATCH($B$3&amp;"|5|"&amp;H$74&amp;"|"&amp;$A77,'Master Data'!$A$2:$A$2436,0)),"")</f>
        <v>Slot kosong</v>
      </c>
    </row>
    <row r="78" customFormat="false" ht="30" hidden="false" customHeight="true" outlineLevel="0" collapsed="false">
      <c r="A78" s="59" t="s">
        <v>113</v>
      </c>
      <c r="B78" s="60" t="str">
        <f aca="false">IFERROR(INDEX('Master Data'!$M$2:$M$2436,MATCH($B$3&amp;"|5|"&amp;B$74&amp;"|"&amp;$A78,'Master Data'!$A$2:$A$2436,0)),"")</f>
        <v>(tanpa age group)  0/4
coach: –</v>
      </c>
      <c r="C78" s="60" t="str">
        <f aca="false">IFERROR(INDEX('Master Data'!$M$2:$M$2436,MATCH($B$3&amp;"|5|"&amp;C$74&amp;"|"&amp;$A78,'Master Data'!$A$2:$A$2436,0)),"")</f>
        <v>(tanpa age group)  0/4
coach: –</v>
      </c>
      <c r="D78" s="60" t="str">
        <f aca="false">IFERROR(INDEX('Master Data'!$M$2:$M$2436,MATCH($B$3&amp;"|5|"&amp;D$74&amp;"|"&amp;$A78,'Master Data'!$A$2:$A$2436,0)),"")</f>
        <v>(tanpa age group)  0/4
coach: –</v>
      </c>
      <c r="E78" s="60" t="str">
        <f aca="false">IFERROR(INDEX('Master Data'!$M$2:$M$2436,MATCH($B$3&amp;"|5|"&amp;E$74&amp;"|"&amp;$A78,'Master Data'!$A$2:$A$2436,0)),"")</f>
        <v>(tanpa age group)  0/4
coach: –</v>
      </c>
      <c r="F78" s="60" t="str">
        <f aca="false">IFERROR(INDEX('Master Data'!$M$2:$M$2436,MATCH($B$3&amp;"|5|"&amp;F$74&amp;"|"&amp;$A78,'Master Data'!$A$2:$A$2436,0)),"")</f>
        <v>(tanpa age group)  0/4
coach: –</v>
      </c>
      <c r="G78" s="60" t="str">
        <f aca="false">IFERROR(INDEX('Master Data'!$M$2:$M$2436,MATCH($B$3&amp;"|5|"&amp;G$74&amp;"|"&amp;$A78,'Master Data'!$A$2:$A$2436,0)),"")</f>
        <v>(tanpa age group)  0/4
coach: –</v>
      </c>
      <c r="H78" s="60" t="str">
        <f aca="false">IFERROR(INDEX('Master Data'!$M$2:$M$2436,MATCH($B$3&amp;"|5|"&amp;H$74&amp;"|"&amp;$A78,'Master Data'!$A$2:$A$2436,0)),"")</f>
        <v>(tanpa age group)  0/4
coach: –</v>
      </c>
      <c r="T78" s="61" t="str">
        <f aca="false">IFERROR(INDEX('Master Data'!$L$2:$L$2436,MATCH($B$3&amp;"|5|"&amp;B$74&amp;"|"&amp;$A78,'Master Data'!$A$2:$A$2436,0)),"")</f>
        <v>Slot kosong</v>
      </c>
      <c r="U78" s="61" t="str">
        <f aca="false">IFERROR(INDEX('Master Data'!$L$2:$L$2436,MATCH($B$3&amp;"|5|"&amp;C$74&amp;"|"&amp;$A78,'Master Data'!$A$2:$A$2436,0)),"")</f>
        <v>Slot kosong</v>
      </c>
      <c r="V78" s="61" t="str">
        <f aca="false">IFERROR(INDEX('Master Data'!$L$2:$L$2436,MATCH($B$3&amp;"|5|"&amp;D$74&amp;"|"&amp;$A78,'Master Data'!$A$2:$A$2436,0)),"")</f>
        <v>Slot kosong</v>
      </c>
      <c r="W78" s="61" t="str">
        <f aca="false">IFERROR(INDEX('Master Data'!$L$2:$L$2436,MATCH($B$3&amp;"|5|"&amp;E$74&amp;"|"&amp;$A78,'Master Data'!$A$2:$A$2436,0)),"")</f>
        <v>Slot kosong</v>
      </c>
      <c r="X78" s="61" t="str">
        <f aca="false">IFERROR(INDEX('Master Data'!$L$2:$L$2436,MATCH($B$3&amp;"|5|"&amp;F$74&amp;"|"&amp;$A78,'Master Data'!$A$2:$A$2436,0)),"")</f>
        <v>Slot kosong</v>
      </c>
      <c r="Y78" s="61" t="str">
        <f aca="false">IFERROR(INDEX('Master Data'!$L$2:$L$2436,MATCH($B$3&amp;"|5|"&amp;G$74&amp;"|"&amp;$A78,'Master Data'!$A$2:$A$2436,0)),"")</f>
        <v>Slot kosong</v>
      </c>
      <c r="Z78" s="61" t="str">
        <f aca="false">IFERROR(INDEX('Master Data'!$L$2:$L$2436,MATCH($B$3&amp;"|5|"&amp;H$74&amp;"|"&amp;$A78,'Master Data'!$A$2:$A$2436,0)),"")</f>
        <v>Slot kosong</v>
      </c>
    </row>
    <row r="79" customFormat="false" ht="30" hidden="false" customHeight="true" outlineLevel="0" collapsed="false">
      <c r="A79" s="59" t="s">
        <v>114</v>
      </c>
      <c r="B79" s="60" t="str">
        <f aca="false">IFERROR(INDEX('Master Data'!$M$2:$M$2436,MATCH($B$3&amp;"|5|"&amp;B$74&amp;"|"&amp;$A79,'Master Data'!$A$2:$A$2436,0)),"")</f>
        <v>(tanpa age group)  0/4
coach: –</v>
      </c>
      <c r="C79" s="60" t="str">
        <f aca="false">IFERROR(INDEX('Master Data'!$M$2:$M$2436,MATCH($B$3&amp;"|5|"&amp;C$74&amp;"|"&amp;$A79,'Master Data'!$A$2:$A$2436,0)),"")</f>
        <v>(tanpa age group)  0/4
coach: –</v>
      </c>
      <c r="D79" s="60" t="str">
        <f aca="false">IFERROR(INDEX('Master Data'!$M$2:$M$2436,MATCH($B$3&amp;"|5|"&amp;D$74&amp;"|"&amp;$A79,'Master Data'!$A$2:$A$2436,0)),"")</f>
        <v>(tanpa age group)  0/4
coach: –</v>
      </c>
      <c r="E79" s="60" t="str">
        <f aca="false">IFERROR(INDEX('Master Data'!$M$2:$M$2436,MATCH($B$3&amp;"|5|"&amp;E$74&amp;"|"&amp;$A79,'Master Data'!$A$2:$A$2436,0)),"")</f>
        <v>(tanpa age group)  0/4
coach: –</v>
      </c>
      <c r="F79" s="60" t="str">
        <f aca="false">IFERROR(INDEX('Master Data'!$M$2:$M$2436,MATCH($B$3&amp;"|5|"&amp;F$74&amp;"|"&amp;$A79,'Master Data'!$A$2:$A$2436,0)),"")</f>
        <v>(tanpa age group)  0/4
coach: –</v>
      </c>
      <c r="G79" s="60" t="str">
        <f aca="false">IFERROR(INDEX('Master Data'!$M$2:$M$2436,MATCH($B$3&amp;"|5|"&amp;G$74&amp;"|"&amp;$A79,'Master Data'!$A$2:$A$2436,0)),"")</f>
        <v>(tanpa age group)  0/4
coach: –</v>
      </c>
      <c r="H79" s="60" t="str">
        <f aca="false">IFERROR(INDEX('Master Data'!$M$2:$M$2436,MATCH($B$3&amp;"|5|"&amp;H$74&amp;"|"&amp;$A79,'Master Data'!$A$2:$A$2436,0)),"")</f>
        <v>(tanpa age group)  0/4
coach: –</v>
      </c>
      <c r="T79" s="61" t="str">
        <f aca="false">IFERROR(INDEX('Master Data'!$L$2:$L$2436,MATCH($B$3&amp;"|5|"&amp;B$74&amp;"|"&amp;$A79,'Master Data'!$A$2:$A$2436,0)),"")</f>
        <v>Slot kosong</v>
      </c>
      <c r="U79" s="61" t="str">
        <f aca="false">IFERROR(INDEX('Master Data'!$L$2:$L$2436,MATCH($B$3&amp;"|5|"&amp;C$74&amp;"|"&amp;$A79,'Master Data'!$A$2:$A$2436,0)),"")</f>
        <v>Slot kosong</v>
      </c>
      <c r="V79" s="61" t="str">
        <f aca="false">IFERROR(INDEX('Master Data'!$L$2:$L$2436,MATCH($B$3&amp;"|5|"&amp;D$74&amp;"|"&amp;$A79,'Master Data'!$A$2:$A$2436,0)),"")</f>
        <v>Slot kosong</v>
      </c>
      <c r="W79" s="61" t="str">
        <f aca="false">IFERROR(INDEX('Master Data'!$L$2:$L$2436,MATCH($B$3&amp;"|5|"&amp;E$74&amp;"|"&amp;$A79,'Master Data'!$A$2:$A$2436,0)),"")</f>
        <v>Slot kosong</v>
      </c>
      <c r="X79" s="61" t="str">
        <f aca="false">IFERROR(INDEX('Master Data'!$L$2:$L$2436,MATCH($B$3&amp;"|5|"&amp;F$74&amp;"|"&amp;$A79,'Master Data'!$A$2:$A$2436,0)),"")</f>
        <v>Slot kosong</v>
      </c>
      <c r="Y79" s="61" t="str">
        <f aca="false">IFERROR(INDEX('Master Data'!$L$2:$L$2436,MATCH($B$3&amp;"|5|"&amp;G$74&amp;"|"&amp;$A79,'Master Data'!$A$2:$A$2436,0)),"")</f>
        <v>Slot kosong</v>
      </c>
      <c r="Z79" s="61" t="str">
        <f aca="false">IFERROR(INDEX('Master Data'!$L$2:$L$2436,MATCH($B$3&amp;"|5|"&amp;H$74&amp;"|"&amp;$A79,'Master Data'!$A$2:$A$2436,0)),"")</f>
        <v>Slot kosong</v>
      </c>
    </row>
    <row r="80" customFormat="false" ht="30" hidden="false" customHeight="true" outlineLevel="0" collapsed="false">
      <c r="A80" s="59" t="s">
        <v>115</v>
      </c>
      <c r="B80" s="60" t="str">
        <f aca="false">IFERROR(INDEX('Master Data'!$M$2:$M$2436,MATCH($B$3&amp;"|5|"&amp;B$74&amp;"|"&amp;$A80,'Master Data'!$A$2:$A$2436,0)),"")</f>
        <v>(tanpa age group)  0/4
coach: –</v>
      </c>
      <c r="C80" s="60" t="str">
        <f aca="false">IFERROR(INDEX('Master Data'!$M$2:$M$2436,MATCH($B$3&amp;"|5|"&amp;C$74&amp;"|"&amp;$A80,'Master Data'!$A$2:$A$2436,0)),"")</f>
        <v>(tanpa age group)  0/4
coach: –</v>
      </c>
      <c r="D80" s="60" t="str">
        <f aca="false">IFERROR(INDEX('Master Data'!$M$2:$M$2436,MATCH($B$3&amp;"|5|"&amp;D$74&amp;"|"&amp;$A80,'Master Data'!$A$2:$A$2436,0)),"")</f>
        <v>(tanpa age group)  0/4
coach: –</v>
      </c>
      <c r="E80" s="60" t="str">
        <f aca="false">IFERROR(INDEX('Master Data'!$M$2:$M$2436,MATCH($B$3&amp;"|5|"&amp;E$74&amp;"|"&amp;$A80,'Master Data'!$A$2:$A$2436,0)),"")</f>
        <v>(tanpa age group)  0/4
coach: –</v>
      </c>
      <c r="F80" s="60" t="str">
        <f aca="false">IFERROR(INDEX('Master Data'!$M$2:$M$2436,MATCH($B$3&amp;"|5|"&amp;F$74&amp;"|"&amp;$A80,'Master Data'!$A$2:$A$2436,0)),"")</f>
        <v>(tanpa age group)  0/4
coach: –</v>
      </c>
      <c r="G80" s="60" t="str">
        <f aca="false">IFERROR(INDEX('Master Data'!$M$2:$M$2436,MATCH($B$3&amp;"|5|"&amp;G$74&amp;"|"&amp;$A80,'Master Data'!$A$2:$A$2436,0)),"")</f>
        <v>(tanpa age group)  0/4
coach: –</v>
      </c>
      <c r="H80" s="60" t="str">
        <f aca="false">IFERROR(INDEX('Master Data'!$M$2:$M$2436,MATCH($B$3&amp;"|5|"&amp;H$74&amp;"|"&amp;$A80,'Master Data'!$A$2:$A$2436,0)),"")</f>
        <v>(tanpa age group)  0/4
coach: –</v>
      </c>
      <c r="T80" s="61" t="str">
        <f aca="false">IFERROR(INDEX('Master Data'!$L$2:$L$2436,MATCH($B$3&amp;"|5|"&amp;B$74&amp;"|"&amp;$A80,'Master Data'!$A$2:$A$2436,0)),"")</f>
        <v>Slot kosong</v>
      </c>
      <c r="U80" s="61" t="str">
        <f aca="false">IFERROR(INDEX('Master Data'!$L$2:$L$2436,MATCH($B$3&amp;"|5|"&amp;C$74&amp;"|"&amp;$A80,'Master Data'!$A$2:$A$2436,0)),"")</f>
        <v>Slot kosong</v>
      </c>
      <c r="V80" s="61" t="str">
        <f aca="false">IFERROR(INDEX('Master Data'!$L$2:$L$2436,MATCH($B$3&amp;"|5|"&amp;D$74&amp;"|"&amp;$A80,'Master Data'!$A$2:$A$2436,0)),"")</f>
        <v>Slot kosong</v>
      </c>
      <c r="W80" s="61" t="str">
        <f aca="false">IFERROR(INDEX('Master Data'!$L$2:$L$2436,MATCH($B$3&amp;"|5|"&amp;E$74&amp;"|"&amp;$A80,'Master Data'!$A$2:$A$2436,0)),"")</f>
        <v>Slot kosong</v>
      </c>
      <c r="X80" s="61" t="str">
        <f aca="false">IFERROR(INDEX('Master Data'!$L$2:$L$2436,MATCH($B$3&amp;"|5|"&amp;F$74&amp;"|"&amp;$A80,'Master Data'!$A$2:$A$2436,0)),"")</f>
        <v>Slot kosong</v>
      </c>
      <c r="Y80" s="61" t="str">
        <f aca="false">IFERROR(INDEX('Master Data'!$L$2:$L$2436,MATCH($B$3&amp;"|5|"&amp;G$74&amp;"|"&amp;$A80,'Master Data'!$A$2:$A$2436,0)),"")</f>
        <v>Slot kosong</v>
      </c>
      <c r="Z80" s="61" t="str">
        <f aca="false">IFERROR(INDEX('Master Data'!$L$2:$L$2436,MATCH($B$3&amp;"|5|"&amp;H$74&amp;"|"&amp;$A80,'Master Data'!$A$2:$A$2436,0)),"")</f>
        <v>Slot kosong</v>
      </c>
    </row>
    <row r="81" customFormat="false" ht="30" hidden="false" customHeight="true" outlineLevel="0" collapsed="false">
      <c r="A81" s="59" t="s">
        <v>116</v>
      </c>
      <c r="B81" s="60" t="str">
        <f aca="false">IFERROR(INDEX('Master Data'!$M$2:$M$2436,MATCH($B$3&amp;"|5|"&amp;B$74&amp;"|"&amp;$A81,'Master Data'!$A$2:$A$2436,0)),"")</f>
        <v>(tanpa age group)  0/4
coach: –</v>
      </c>
      <c r="C81" s="60" t="str">
        <f aca="false">IFERROR(INDEX('Master Data'!$M$2:$M$2436,MATCH($B$3&amp;"|5|"&amp;C$74&amp;"|"&amp;$A81,'Master Data'!$A$2:$A$2436,0)),"")</f>
        <v>(tanpa age group)  0/4
coach: –</v>
      </c>
      <c r="D81" s="60" t="str">
        <f aca="false">IFERROR(INDEX('Master Data'!$M$2:$M$2436,MATCH($B$3&amp;"|5|"&amp;D$74&amp;"|"&amp;$A81,'Master Data'!$A$2:$A$2436,0)),"")</f>
        <v>(tanpa age group)  0/4
coach: –</v>
      </c>
      <c r="E81" s="60" t="str">
        <f aca="false">IFERROR(INDEX('Master Data'!$M$2:$M$2436,MATCH($B$3&amp;"|5|"&amp;E$74&amp;"|"&amp;$A81,'Master Data'!$A$2:$A$2436,0)),"")</f>
        <v>(tanpa age group)  0/4
coach: –</v>
      </c>
      <c r="F81" s="60" t="str">
        <f aca="false">IFERROR(INDEX('Master Data'!$M$2:$M$2436,MATCH($B$3&amp;"|5|"&amp;F$74&amp;"|"&amp;$A81,'Master Data'!$A$2:$A$2436,0)),"")</f>
        <v>(tanpa age group)  0/4
coach: –</v>
      </c>
      <c r="G81" s="60" t="str">
        <f aca="false">IFERROR(INDEX('Master Data'!$M$2:$M$2436,MATCH($B$3&amp;"|5|"&amp;G$74&amp;"|"&amp;$A81,'Master Data'!$A$2:$A$2436,0)),"")</f>
        <v>(tanpa age group)  0/4
coach: –</v>
      </c>
      <c r="H81" s="60" t="str">
        <f aca="false">IFERROR(INDEX('Master Data'!$M$2:$M$2436,MATCH($B$3&amp;"|5|"&amp;H$74&amp;"|"&amp;$A81,'Master Data'!$A$2:$A$2436,0)),"")</f>
        <v>(tanpa age group)  0/4
coach: –</v>
      </c>
      <c r="T81" s="61" t="str">
        <f aca="false">IFERROR(INDEX('Master Data'!$L$2:$L$2436,MATCH($B$3&amp;"|5|"&amp;B$74&amp;"|"&amp;$A81,'Master Data'!$A$2:$A$2436,0)),"")</f>
        <v>Slot kosong</v>
      </c>
      <c r="U81" s="61" t="str">
        <f aca="false">IFERROR(INDEX('Master Data'!$L$2:$L$2436,MATCH($B$3&amp;"|5|"&amp;C$74&amp;"|"&amp;$A81,'Master Data'!$A$2:$A$2436,0)),"")</f>
        <v>Slot kosong</v>
      </c>
      <c r="V81" s="61" t="str">
        <f aca="false">IFERROR(INDEX('Master Data'!$L$2:$L$2436,MATCH($B$3&amp;"|5|"&amp;D$74&amp;"|"&amp;$A81,'Master Data'!$A$2:$A$2436,0)),"")</f>
        <v>Slot kosong</v>
      </c>
      <c r="W81" s="61" t="str">
        <f aca="false">IFERROR(INDEX('Master Data'!$L$2:$L$2436,MATCH($B$3&amp;"|5|"&amp;E$74&amp;"|"&amp;$A81,'Master Data'!$A$2:$A$2436,0)),"")</f>
        <v>Slot kosong</v>
      </c>
      <c r="X81" s="61" t="str">
        <f aca="false">IFERROR(INDEX('Master Data'!$L$2:$L$2436,MATCH($B$3&amp;"|5|"&amp;F$74&amp;"|"&amp;$A81,'Master Data'!$A$2:$A$2436,0)),"")</f>
        <v>Slot kosong</v>
      </c>
      <c r="Y81" s="61" t="str">
        <f aca="false">IFERROR(INDEX('Master Data'!$L$2:$L$2436,MATCH($B$3&amp;"|5|"&amp;G$74&amp;"|"&amp;$A81,'Master Data'!$A$2:$A$2436,0)),"")</f>
        <v>Slot kosong</v>
      </c>
      <c r="Z81" s="61" t="str">
        <f aca="false">IFERROR(INDEX('Master Data'!$L$2:$L$2436,MATCH($B$3&amp;"|5|"&amp;H$74&amp;"|"&amp;$A81,'Master Data'!$A$2:$A$2436,0)),"")</f>
        <v>Slot kosong</v>
      </c>
    </row>
    <row r="82" customFormat="false" ht="30" hidden="false" customHeight="true" outlineLevel="0" collapsed="false">
      <c r="A82" s="59" t="s">
        <v>117</v>
      </c>
      <c r="B82" s="60" t="str">
        <f aca="false">IFERROR(INDEX('Master Data'!$M$2:$M$2436,MATCH($B$3&amp;"|5|"&amp;B$74&amp;"|"&amp;$A82,'Master Data'!$A$2:$A$2436,0)),"")</f>
        <v>(tanpa age group)  0/4
coach: –</v>
      </c>
      <c r="C82" s="60" t="str">
        <f aca="false">IFERROR(INDEX('Master Data'!$M$2:$M$2436,MATCH($B$3&amp;"|5|"&amp;C$74&amp;"|"&amp;$A82,'Master Data'!$A$2:$A$2436,0)),"")</f>
        <v>(tanpa age group)  0/4
coach: –</v>
      </c>
      <c r="D82" s="60" t="str">
        <f aca="false">IFERROR(INDEX('Master Data'!$M$2:$M$2436,MATCH($B$3&amp;"|5|"&amp;D$74&amp;"|"&amp;$A82,'Master Data'!$A$2:$A$2436,0)),"")</f>
        <v>(tanpa age group)  0/4
coach: –</v>
      </c>
      <c r="E82" s="60" t="str">
        <f aca="false">IFERROR(INDEX('Master Data'!$M$2:$M$2436,MATCH($B$3&amp;"|5|"&amp;E$74&amp;"|"&amp;$A82,'Master Data'!$A$2:$A$2436,0)),"")</f>
        <v>(tanpa age group)  0/4
coach: –</v>
      </c>
      <c r="F82" s="60" t="str">
        <f aca="false">IFERROR(INDEX('Master Data'!$M$2:$M$2436,MATCH($B$3&amp;"|5|"&amp;F$74&amp;"|"&amp;$A82,'Master Data'!$A$2:$A$2436,0)),"")</f>
        <v>(tanpa age group)  0/4
coach: –</v>
      </c>
      <c r="G82" s="60" t="str">
        <f aca="false">IFERROR(INDEX('Master Data'!$M$2:$M$2436,MATCH($B$3&amp;"|5|"&amp;G$74&amp;"|"&amp;$A82,'Master Data'!$A$2:$A$2436,0)),"")</f>
        <v>(tanpa age group)  0/4
coach: –</v>
      </c>
      <c r="H82" s="60" t="str">
        <f aca="false">IFERROR(INDEX('Master Data'!$M$2:$M$2436,MATCH($B$3&amp;"|5|"&amp;H$74&amp;"|"&amp;$A82,'Master Data'!$A$2:$A$2436,0)),"")</f>
        <v>(tanpa age group)  0/4
coach: –</v>
      </c>
      <c r="T82" s="61" t="str">
        <f aca="false">IFERROR(INDEX('Master Data'!$L$2:$L$2436,MATCH($B$3&amp;"|5|"&amp;B$74&amp;"|"&amp;$A82,'Master Data'!$A$2:$A$2436,0)),"")</f>
        <v>Slot kosong</v>
      </c>
      <c r="U82" s="61" t="str">
        <f aca="false">IFERROR(INDEX('Master Data'!$L$2:$L$2436,MATCH($B$3&amp;"|5|"&amp;C$74&amp;"|"&amp;$A82,'Master Data'!$A$2:$A$2436,0)),"")</f>
        <v>Slot kosong</v>
      </c>
      <c r="V82" s="61" t="str">
        <f aca="false">IFERROR(INDEX('Master Data'!$L$2:$L$2436,MATCH($B$3&amp;"|5|"&amp;D$74&amp;"|"&amp;$A82,'Master Data'!$A$2:$A$2436,0)),"")</f>
        <v>Slot kosong</v>
      </c>
      <c r="W82" s="61" t="str">
        <f aca="false">IFERROR(INDEX('Master Data'!$L$2:$L$2436,MATCH($B$3&amp;"|5|"&amp;E$74&amp;"|"&amp;$A82,'Master Data'!$A$2:$A$2436,0)),"")</f>
        <v>Slot kosong</v>
      </c>
      <c r="X82" s="61" t="str">
        <f aca="false">IFERROR(INDEX('Master Data'!$L$2:$L$2436,MATCH($B$3&amp;"|5|"&amp;F$74&amp;"|"&amp;$A82,'Master Data'!$A$2:$A$2436,0)),"")</f>
        <v>Slot kosong</v>
      </c>
      <c r="Y82" s="61" t="str">
        <f aca="false">IFERROR(INDEX('Master Data'!$L$2:$L$2436,MATCH($B$3&amp;"|5|"&amp;G$74&amp;"|"&amp;$A82,'Master Data'!$A$2:$A$2436,0)),"")</f>
        <v>Slot kosong</v>
      </c>
      <c r="Z82" s="61" t="str">
        <f aca="false">IFERROR(INDEX('Master Data'!$L$2:$L$2436,MATCH($B$3&amp;"|5|"&amp;H$74&amp;"|"&amp;$A82,'Master Data'!$A$2:$A$2436,0)),"")</f>
        <v>Slot kosong</v>
      </c>
    </row>
    <row r="83" customFormat="false" ht="30" hidden="false" customHeight="true" outlineLevel="0" collapsed="false">
      <c r="A83" s="59" t="s">
        <v>118</v>
      </c>
      <c r="B83" s="60" t="str">
        <f aca="false">IFERROR(INDEX('Master Data'!$M$2:$M$2436,MATCH($B$3&amp;"|5|"&amp;B$74&amp;"|"&amp;$A83,'Master Data'!$A$2:$A$2436,0)),"")</f>
        <v>(tanpa age group)  0/4
coach: –</v>
      </c>
      <c r="C83" s="60" t="str">
        <f aca="false">IFERROR(INDEX('Master Data'!$M$2:$M$2436,MATCH($B$3&amp;"|5|"&amp;C$74&amp;"|"&amp;$A83,'Master Data'!$A$2:$A$2436,0)),"")</f>
        <v>(tanpa age group)  0/4
coach: –</v>
      </c>
      <c r="D83" s="60" t="str">
        <f aca="false">IFERROR(INDEX('Master Data'!$M$2:$M$2436,MATCH($B$3&amp;"|5|"&amp;D$74&amp;"|"&amp;$A83,'Master Data'!$A$2:$A$2436,0)),"")</f>
        <v>(tanpa age group)  0/4
coach: –</v>
      </c>
      <c r="E83" s="60" t="str">
        <f aca="false">IFERROR(INDEX('Master Data'!$M$2:$M$2436,MATCH($B$3&amp;"|5|"&amp;E$74&amp;"|"&amp;$A83,'Master Data'!$A$2:$A$2436,0)),"")</f>
        <v>(tanpa age group)  0/4
coach: –</v>
      </c>
      <c r="F83" s="60" t="str">
        <f aca="false">IFERROR(INDEX('Master Data'!$M$2:$M$2436,MATCH($B$3&amp;"|5|"&amp;F$74&amp;"|"&amp;$A83,'Master Data'!$A$2:$A$2436,0)),"")</f>
        <v>(tanpa age group)  0/4
coach: –</v>
      </c>
      <c r="G83" s="60" t="str">
        <f aca="false">IFERROR(INDEX('Master Data'!$M$2:$M$2436,MATCH($B$3&amp;"|5|"&amp;G$74&amp;"|"&amp;$A83,'Master Data'!$A$2:$A$2436,0)),"")</f>
        <v>(tanpa age group)  0/4
coach: –</v>
      </c>
      <c r="H83" s="60" t="str">
        <f aca="false">IFERROR(INDEX('Master Data'!$M$2:$M$2436,MATCH($B$3&amp;"|5|"&amp;H$74&amp;"|"&amp;$A83,'Master Data'!$A$2:$A$2436,0)),"")</f>
        <v>(tanpa age group)  0/4
coach: –</v>
      </c>
      <c r="T83" s="61" t="str">
        <f aca="false">IFERROR(INDEX('Master Data'!$L$2:$L$2436,MATCH($B$3&amp;"|5|"&amp;B$74&amp;"|"&amp;$A83,'Master Data'!$A$2:$A$2436,0)),"")</f>
        <v>Slot kosong</v>
      </c>
      <c r="U83" s="61" t="str">
        <f aca="false">IFERROR(INDEX('Master Data'!$L$2:$L$2436,MATCH($B$3&amp;"|5|"&amp;C$74&amp;"|"&amp;$A83,'Master Data'!$A$2:$A$2436,0)),"")</f>
        <v>Slot kosong</v>
      </c>
      <c r="V83" s="61" t="str">
        <f aca="false">IFERROR(INDEX('Master Data'!$L$2:$L$2436,MATCH($B$3&amp;"|5|"&amp;D$74&amp;"|"&amp;$A83,'Master Data'!$A$2:$A$2436,0)),"")</f>
        <v>Slot kosong</v>
      </c>
      <c r="W83" s="61" t="str">
        <f aca="false">IFERROR(INDEX('Master Data'!$L$2:$L$2436,MATCH($B$3&amp;"|5|"&amp;E$74&amp;"|"&amp;$A83,'Master Data'!$A$2:$A$2436,0)),"")</f>
        <v>Slot kosong</v>
      </c>
      <c r="X83" s="61" t="str">
        <f aca="false">IFERROR(INDEX('Master Data'!$L$2:$L$2436,MATCH($B$3&amp;"|5|"&amp;F$74&amp;"|"&amp;$A83,'Master Data'!$A$2:$A$2436,0)),"")</f>
        <v>Slot kosong</v>
      </c>
      <c r="Y83" s="61" t="str">
        <f aca="false">IFERROR(INDEX('Master Data'!$L$2:$L$2436,MATCH($B$3&amp;"|5|"&amp;G$74&amp;"|"&amp;$A83,'Master Data'!$A$2:$A$2436,0)),"")</f>
        <v>Slot kosong</v>
      </c>
      <c r="Z83" s="61" t="str">
        <f aca="false">IFERROR(INDEX('Master Data'!$L$2:$L$2436,MATCH($B$3&amp;"|5|"&amp;H$74&amp;"|"&amp;$A83,'Master Data'!$A$2:$A$2436,0)),"")</f>
        <v>Slot kosong</v>
      </c>
    </row>
    <row r="84" customFormat="false" ht="30" hidden="false" customHeight="true" outlineLevel="0" collapsed="false">
      <c r="A84" s="59" t="s">
        <v>119</v>
      </c>
      <c r="B84" s="60" t="str">
        <f aca="false">IFERROR(INDEX('Master Data'!$M$2:$M$2436,MATCH($B$3&amp;"|5|"&amp;B$74&amp;"|"&amp;$A84,'Master Data'!$A$2:$A$2436,0)),"")</f>
        <v>(tanpa age group)  0/4
coach: –</v>
      </c>
      <c r="C84" s="60" t="str">
        <f aca="false">IFERROR(INDEX('Master Data'!$M$2:$M$2436,MATCH($B$3&amp;"|5|"&amp;C$74&amp;"|"&amp;$A84,'Master Data'!$A$2:$A$2436,0)),"")</f>
        <v>(tanpa age group)  0/4
coach: –</v>
      </c>
      <c r="D84" s="60" t="str">
        <f aca="false">IFERROR(INDEX('Master Data'!$M$2:$M$2436,MATCH($B$3&amp;"|5|"&amp;D$74&amp;"|"&amp;$A84,'Master Data'!$A$2:$A$2436,0)),"")</f>
        <v>(tanpa age group)  0/4
coach: –</v>
      </c>
      <c r="E84" s="60" t="str">
        <f aca="false">IFERROR(INDEX('Master Data'!$M$2:$M$2436,MATCH($B$3&amp;"|5|"&amp;E$74&amp;"|"&amp;$A84,'Master Data'!$A$2:$A$2436,0)),"")</f>
        <v>(tanpa age group)  0/4
coach: –</v>
      </c>
      <c r="F84" s="60" t="str">
        <f aca="false">IFERROR(INDEX('Master Data'!$M$2:$M$2436,MATCH($B$3&amp;"|5|"&amp;F$74&amp;"|"&amp;$A84,'Master Data'!$A$2:$A$2436,0)),"")</f>
        <v>(tanpa age group)  0/4
coach: –</v>
      </c>
      <c r="G84" s="60" t="str">
        <f aca="false">IFERROR(INDEX('Master Data'!$M$2:$M$2436,MATCH($B$3&amp;"|5|"&amp;G$74&amp;"|"&amp;$A84,'Master Data'!$A$2:$A$2436,0)),"")</f>
        <v>(tanpa age group)  0/4
coach: –</v>
      </c>
      <c r="H84" s="60" t="str">
        <f aca="false">IFERROR(INDEX('Master Data'!$M$2:$M$2436,MATCH($B$3&amp;"|5|"&amp;H$74&amp;"|"&amp;$A84,'Master Data'!$A$2:$A$2436,0)),"")</f>
        <v>(tanpa age group)  0/4
coach: –</v>
      </c>
      <c r="T84" s="61" t="str">
        <f aca="false">IFERROR(INDEX('Master Data'!$L$2:$L$2436,MATCH($B$3&amp;"|5|"&amp;B$74&amp;"|"&amp;$A84,'Master Data'!$A$2:$A$2436,0)),"")</f>
        <v>Slot kosong</v>
      </c>
      <c r="U84" s="61" t="str">
        <f aca="false">IFERROR(INDEX('Master Data'!$L$2:$L$2436,MATCH($B$3&amp;"|5|"&amp;C$74&amp;"|"&amp;$A84,'Master Data'!$A$2:$A$2436,0)),"")</f>
        <v>Slot kosong</v>
      </c>
      <c r="V84" s="61" t="str">
        <f aca="false">IFERROR(INDEX('Master Data'!$L$2:$L$2436,MATCH($B$3&amp;"|5|"&amp;D$74&amp;"|"&amp;$A84,'Master Data'!$A$2:$A$2436,0)),"")</f>
        <v>Slot kosong</v>
      </c>
      <c r="W84" s="61" t="str">
        <f aca="false">IFERROR(INDEX('Master Data'!$L$2:$L$2436,MATCH($B$3&amp;"|5|"&amp;E$74&amp;"|"&amp;$A84,'Master Data'!$A$2:$A$2436,0)),"")</f>
        <v>Slot kosong</v>
      </c>
      <c r="X84" s="61" t="str">
        <f aca="false">IFERROR(INDEX('Master Data'!$L$2:$L$2436,MATCH($B$3&amp;"|5|"&amp;F$74&amp;"|"&amp;$A84,'Master Data'!$A$2:$A$2436,0)),"")</f>
        <v>Slot kosong</v>
      </c>
      <c r="Y84" s="61" t="str">
        <f aca="false">IFERROR(INDEX('Master Data'!$L$2:$L$2436,MATCH($B$3&amp;"|5|"&amp;G$74&amp;"|"&amp;$A84,'Master Data'!$A$2:$A$2436,0)),"")</f>
        <v>Slot kosong</v>
      </c>
      <c r="Z84" s="61" t="str">
        <f aca="false">IFERROR(INDEX('Master Data'!$L$2:$L$2436,MATCH($B$3&amp;"|5|"&amp;H$74&amp;"|"&amp;$A84,'Master Data'!$A$2:$A$2436,0)),"")</f>
        <v>Slot kosong</v>
      </c>
    </row>
    <row r="85" customFormat="false" ht="30" hidden="false" customHeight="true" outlineLevel="0" collapsed="false">
      <c r="A85" s="59" t="s">
        <v>120</v>
      </c>
      <c r="B85" s="60" t="str">
        <f aca="false">IFERROR(INDEX('Master Data'!$M$2:$M$2436,MATCH($B$3&amp;"|5|"&amp;B$74&amp;"|"&amp;$A85,'Master Data'!$A$2:$A$2436,0)),"")</f>
        <v>(tanpa age group)  0/4
coach: –</v>
      </c>
      <c r="C85" s="60" t="str">
        <f aca="false">IFERROR(INDEX('Master Data'!$M$2:$M$2436,MATCH($B$3&amp;"|5|"&amp;C$74&amp;"|"&amp;$A85,'Master Data'!$A$2:$A$2436,0)),"")</f>
        <v>(tanpa age group)  0/4
coach: –</v>
      </c>
      <c r="D85" s="60" t="str">
        <f aca="false">IFERROR(INDEX('Master Data'!$M$2:$M$2436,MATCH($B$3&amp;"|5|"&amp;D$74&amp;"|"&amp;$A85,'Master Data'!$A$2:$A$2436,0)),"")</f>
        <v>(tanpa age group)  0/4
coach: –</v>
      </c>
      <c r="E85" s="60" t="str">
        <f aca="false">IFERROR(INDEX('Master Data'!$M$2:$M$2436,MATCH($B$3&amp;"|5|"&amp;E$74&amp;"|"&amp;$A85,'Master Data'!$A$2:$A$2436,0)),"")</f>
        <v>(tanpa age group)  0/4
coach: –</v>
      </c>
      <c r="F85" s="60" t="str">
        <f aca="false">IFERROR(INDEX('Master Data'!$M$2:$M$2436,MATCH($B$3&amp;"|5|"&amp;F$74&amp;"|"&amp;$A85,'Master Data'!$A$2:$A$2436,0)),"")</f>
        <v>(tanpa age group)  0/4
coach: –</v>
      </c>
      <c r="G85" s="60" t="str">
        <f aca="false">IFERROR(INDEX('Master Data'!$M$2:$M$2436,MATCH($B$3&amp;"|5|"&amp;G$74&amp;"|"&amp;$A85,'Master Data'!$A$2:$A$2436,0)),"")</f>
        <v>(tanpa age group)  0/4
coach: –</v>
      </c>
      <c r="H85" s="60" t="str">
        <f aca="false">IFERROR(INDEX('Master Data'!$M$2:$M$2436,MATCH($B$3&amp;"|5|"&amp;H$74&amp;"|"&amp;$A85,'Master Data'!$A$2:$A$2436,0)),"")</f>
        <v>(tanpa age group)  0/4
coach: –</v>
      </c>
      <c r="T85" s="61" t="str">
        <f aca="false">IFERROR(INDEX('Master Data'!$L$2:$L$2436,MATCH($B$3&amp;"|5|"&amp;B$74&amp;"|"&amp;$A85,'Master Data'!$A$2:$A$2436,0)),"")</f>
        <v>Slot kosong</v>
      </c>
      <c r="U85" s="61" t="str">
        <f aca="false">IFERROR(INDEX('Master Data'!$L$2:$L$2436,MATCH($B$3&amp;"|5|"&amp;C$74&amp;"|"&amp;$A85,'Master Data'!$A$2:$A$2436,0)),"")</f>
        <v>Slot kosong</v>
      </c>
      <c r="V85" s="61" t="str">
        <f aca="false">IFERROR(INDEX('Master Data'!$L$2:$L$2436,MATCH($B$3&amp;"|5|"&amp;D$74&amp;"|"&amp;$A85,'Master Data'!$A$2:$A$2436,0)),"")</f>
        <v>Slot kosong</v>
      </c>
      <c r="W85" s="61" t="str">
        <f aca="false">IFERROR(INDEX('Master Data'!$L$2:$L$2436,MATCH($B$3&amp;"|5|"&amp;E$74&amp;"|"&amp;$A85,'Master Data'!$A$2:$A$2436,0)),"")</f>
        <v>Slot kosong</v>
      </c>
      <c r="X85" s="61" t="str">
        <f aca="false">IFERROR(INDEX('Master Data'!$L$2:$L$2436,MATCH($B$3&amp;"|5|"&amp;F$74&amp;"|"&amp;$A85,'Master Data'!$A$2:$A$2436,0)),"")</f>
        <v>Slot kosong</v>
      </c>
      <c r="Y85" s="61" t="str">
        <f aca="false">IFERROR(INDEX('Master Data'!$L$2:$L$2436,MATCH($B$3&amp;"|5|"&amp;G$74&amp;"|"&amp;$A85,'Master Data'!$A$2:$A$2436,0)),"")</f>
        <v>Slot kosong</v>
      </c>
      <c r="Z85" s="61" t="str">
        <f aca="false">IFERROR(INDEX('Master Data'!$L$2:$L$2436,MATCH($B$3&amp;"|5|"&amp;H$74&amp;"|"&amp;$A85,'Master Data'!$A$2:$A$2436,0)),"")</f>
        <v>Slot kosong</v>
      </c>
    </row>
    <row r="86" customFormat="false" ht="30" hidden="false" customHeight="true" outlineLevel="0" collapsed="false">
      <c r="A86" s="59" t="s">
        <v>121</v>
      </c>
      <c r="B86" s="60" t="str">
        <f aca="false">IFERROR(INDEX('Master Data'!$M$2:$M$2436,MATCH($B$3&amp;"|5|"&amp;B$74&amp;"|"&amp;$A86,'Master Data'!$A$2:$A$2436,0)),"")</f>
        <v>(tanpa age group)  0/4
coach: –</v>
      </c>
      <c r="C86" s="60" t="str">
        <f aca="false">IFERROR(INDEX('Master Data'!$M$2:$M$2436,MATCH($B$3&amp;"|5|"&amp;C$74&amp;"|"&amp;$A86,'Master Data'!$A$2:$A$2436,0)),"")</f>
        <v>(tanpa age group)  0/4
coach: –</v>
      </c>
      <c r="D86" s="60" t="str">
        <f aca="false">IFERROR(INDEX('Master Data'!$M$2:$M$2436,MATCH($B$3&amp;"|5|"&amp;D$74&amp;"|"&amp;$A86,'Master Data'!$A$2:$A$2436,0)),"")</f>
        <v>(tanpa age group)  0/4
coach: –</v>
      </c>
      <c r="E86" s="60" t="str">
        <f aca="false">IFERROR(INDEX('Master Data'!$M$2:$M$2436,MATCH($B$3&amp;"|5|"&amp;E$74&amp;"|"&amp;$A86,'Master Data'!$A$2:$A$2436,0)),"")</f>
        <v>(tanpa age group)  0/4
coach: –</v>
      </c>
      <c r="F86" s="60" t="str">
        <f aca="false">IFERROR(INDEX('Master Data'!$M$2:$M$2436,MATCH($B$3&amp;"|5|"&amp;F$74&amp;"|"&amp;$A86,'Master Data'!$A$2:$A$2436,0)),"")</f>
        <v>(tanpa age group)  0/4
coach: –</v>
      </c>
      <c r="G86" s="60" t="str">
        <f aca="false">IFERROR(INDEX('Master Data'!$M$2:$M$2436,MATCH($B$3&amp;"|5|"&amp;G$74&amp;"|"&amp;$A86,'Master Data'!$A$2:$A$2436,0)),"")</f>
        <v>(tanpa age group)  0/4
coach: –</v>
      </c>
      <c r="H86" s="60" t="str">
        <f aca="false">IFERROR(INDEX('Master Data'!$M$2:$M$2436,MATCH($B$3&amp;"|5|"&amp;H$74&amp;"|"&amp;$A86,'Master Data'!$A$2:$A$2436,0)),"")</f>
        <v>(tanpa age group)  0/4
coach: –</v>
      </c>
      <c r="T86" s="61" t="str">
        <f aca="false">IFERROR(INDEX('Master Data'!$L$2:$L$2436,MATCH($B$3&amp;"|5|"&amp;B$74&amp;"|"&amp;$A86,'Master Data'!$A$2:$A$2436,0)),"")</f>
        <v>Slot kosong</v>
      </c>
      <c r="U86" s="61" t="str">
        <f aca="false">IFERROR(INDEX('Master Data'!$L$2:$L$2436,MATCH($B$3&amp;"|5|"&amp;C$74&amp;"|"&amp;$A86,'Master Data'!$A$2:$A$2436,0)),"")</f>
        <v>Slot kosong</v>
      </c>
      <c r="V86" s="61" t="str">
        <f aca="false">IFERROR(INDEX('Master Data'!$L$2:$L$2436,MATCH($B$3&amp;"|5|"&amp;D$74&amp;"|"&amp;$A86,'Master Data'!$A$2:$A$2436,0)),"")</f>
        <v>Slot kosong</v>
      </c>
      <c r="W86" s="61" t="str">
        <f aca="false">IFERROR(INDEX('Master Data'!$L$2:$L$2436,MATCH($B$3&amp;"|5|"&amp;E$74&amp;"|"&amp;$A86,'Master Data'!$A$2:$A$2436,0)),"")</f>
        <v>Slot kosong</v>
      </c>
      <c r="X86" s="61" t="str">
        <f aca="false">IFERROR(INDEX('Master Data'!$L$2:$L$2436,MATCH($B$3&amp;"|5|"&amp;F$74&amp;"|"&amp;$A86,'Master Data'!$A$2:$A$2436,0)),"")</f>
        <v>Slot kosong</v>
      </c>
      <c r="Y86" s="61" t="str">
        <f aca="false">IFERROR(INDEX('Master Data'!$L$2:$L$2436,MATCH($B$3&amp;"|5|"&amp;G$74&amp;"|"&amp;$A86,'Master Data'!$A$2:$A$2436,0)),"")</f>
        <v>Slot kosong</v>
      </c>
      <c r="Z86" s="61" t="str">
        <f aca="false">IFERROR(INDEX('Master Data'!$L$2:$L$2436,MATCH($B$3&amp;"|5|"&amp;H$74&amp;"|"&amp;$A86,'Master Data'!$A$2:$A$2436,0)),"")</f>
        <v>Slot kosong</v>
      </c>
    </row>
    <row r="89" customFormat="false" ht="16.15" hidden="false" customHeight="false" outlineLevel="0" collapsed="false">
      <c r="A89" s="62" t="s">
        <v>124</v>
      </c>
      <c r="B89" s="63"/>
      <c r="C89" s="63"/>
      <c r="D89" s="63"/>
      <c r="E89" s="63"/>
      <c r="F89" s="63"/>
      <c r="G89" s="63"/>
      <c r="H89" s="63"/>
      <c r="I89" s="63"/>
      <c r="J89" s="63"/>
      <c r="K89" s="63"/>
      <c r="L89" s="63"/>
      <c r="M89" s="63"/>
      <c r="N89" s="63"/>
    </row>
    <row r="90" customFormat="false" ht="15" hidden="false" customHeight="false" outlineLevel="0" collapsed="false">
      <c r="A90" s="52" t="s">
        <v>125</v>
      </c>
    </row>
    <row r="91" customFormat="false" ht="31.5" hidden="false" customHeight="true" outlineLevel="0" collapsed="false">
      <c r="A91" s="64" t="s">
        <v>126</v>
      </c>
      <c r="B91" s="64" t="s">
        <v>127</v>
      </c>
      <c r="C91" s="64" t="s">
        <v>89</v>
      </c>
      <c r="D91" s="64" t="s">
        <v>128</v>
      </c>
      <c r="E91" s="64" t="s">
        <v>36</v>
      </c>
      <c r="F91" s="64" t="s">
        <v>129</v>
      </c>
      <c r="G91" s="64" t="s">
        <v>57</v>
      </c>
      <c r="H91" s="64" t="s">
        <v>130</v>
      </c>
      <c r="I91" s="64" t="s">
        <v>131</v>
      </c>
      <c r="J91" s="64" t="s">
        <v>132</v>
      </c>
      <c r="K91" s="65" t="s">
        <v>39</v>
      </c>
      <c r="L91" s="65" t="s">
        <v>41</v>
      </c>
      <c r="M91" s="65" t="s">
        <v>43</v>
      </c>
      <c r="N91" s="65" t="s">
        <v>45</v>
      </c>
      <c r="O91" s="65" t="s">
        <v>46</v>
      </c>
    </row>
    <row r="92" customFormat="false" ht="27.75" hidden="false" customHeight="true" outlineLevel="0" collapsed="false">
      <c r="A92" s="66" t="n">
        <v>1</v>
      </c>
      <c r="B92" s="67" t="s">
        <v>90</v>
      </c>
      <c r="C92" s="66" t="s">
        <v>110</v>
      </c>
      <c r="D92" s="66" t="n">
        <v>1</v>
      </c>
      <c r="E92" s="67" t="str">
        <f aca="false">IFERROR(INDEX('Master Data'!$L$2:$L$2436,MATCH($B$3&amp;"|"&amp;D92&amp;"|"&amp;B92&amp;"|"&amp;C92,'Master Data'!$A$2:$A$2436,0)),"")</f>
        <v>Belum terisi</v>
      </c>
      <c r="F92" s="67" t="str">
        <f aca="false">IFERROR(INDEX('Master Data'!$F$2:$F$2436,MATCH($B$3&amp;"|"&amp;D92&amp;"|"&amp;B92&amp;"|"&amp;C92,'Master Data'!$A$2:$A$2436,0))&amp;"","")</f>
        <v>Baby</v>
      </c>
      <c r="G92" s="66" t="n">
        <f aca="false">IFERROR(INDEX('Master Data'!$G$2:$G$2436,MATCH($B$3&amp;"|"&amp;D92&amp;"|"&amp;B92&amp;"|"&amp;C92,'Master Data'!$A$2:$A$2436,0)),"")</f>
        <v>5</v>
      </c>
      <c r="H92" s="67" t="str">
        <f aca="false">IFERROR(INDEX('Master Data'!$K$2:$K$2436,MATCH($B$3&amp;"|"&amp;D92&amp;"|"&amp;B92&amp;"|"&amp;C92,'Master Data'!$A$2:$A$2436,0))&amp;"","")</f>
        <v/>
      </c>
      <c r="I92" s="67" t="s">
        <v>445</v>
      </c>
      <c r="J92" s="67" t="s">
        <v>134</v>
      </c>
      <c r="K92" s="68"/>
      <c r="L92" s="68"/>
      <c r="M92" s="68"/>
      <c r="N92" s="69"/>
      <c r="O92" s="68"/>
    </row>
    <row r="93" customFormat="false" ht="27.75" hidden="false" customHeight="true" outlineLevel="0" collapsed="false">
      <c r="A93" s="66" t="n">
        <v>2</v>
      </c>
      <c r="B93" s="67" t="s">
        <v>90</v>
      </c>
      <c r="C93" s="66" t="s">
        <v>110</v>
      </c>
      <c r="D93" s="66" t="n">
        <v>2</v>
      </c>
      <c r="E93" s="67" t="str">
        <f aca="false">IFERROR(INDEX('Master Data'!$L$2:$L$2436,MATCH($B$3&amp;"|"&amp;D93&amp;"|"&amp;B93&amp;"|"&amp;C93,'Master Data'!$A$2:$A$2436,0)),"")</f>
        <v>Belum terisi</v>
      </c>
      <c r="F93" s="67" t="str">
        <f aca="false">IFERROR(INDEX('Master Data'!$F$2:$F$2436,MATCH($B$3&amp;"|"&amp;D93&amp;"|"&amp;B93&amp;"|"&amp;C93,'Master Data'!$A$2:$A$2436,0))&amp;"","")</f>
        <v>Tiny</v>
      </c>
      <c r="G93" s="66" t="n">
        <f aca="false">IFERROR(INDEX('Master Data'!$G$2:$G$2436,MATCH($B$3&amp;"|"&amp;D93&amp;"|"&amp;B93&amp;"|"&amp;C93,'Master Data'!$A$2:$A$2436,0)),"")</f>
        <v>5</v>
      </c>
      <c r="H93" s="67" t="str">
        <f aca="false">IFERROR(INDEX('Master Data'!$K$2:$K$2436,MATCH($B$3&amp;"|"&amp;D93&amp;"|"&amp;B93&amp;"|"&amp;C93,'Master Data'!$A$2:$A$2436,0))&amp;"","")</f>
        <v/>
      </c>
      <c r="I93" s="67" t="s">
        <v>445</v>
      </c>
      <c r="J93" s="67" t="s">
        <v>134</v>
      </c>
      <c r="K93" s="68"/>
      <c r="L93" s="68"/>
      <c r="M93" s="68"/>
      <c r="N93" s="69"/>
      <c r="O93" s="68"/>
    </row>
    <row r="94" customFormat="false" ht="27.75" hidden="false" customHeight="true" outlineLevel="0" collapsed="false">
      <c r="A94" s="66" t="n">
        <v>3</v>
      </c>
      <c r="B94" s="67" t="s">
        <v>90</v>
      </c>
      <c r="C94" s="66" t="s">
        <v>110</v>
      </c>
      <c r="D94" s="66" t="n">
        <v>5</v>
      </c>
      <c r="E94" s="67" t="str">
        <f aca="false">IFERROR(INDEX('Master Data'!$L$2:$L$2436,MATCH($B$3&amp;"|"&amp;D94&amp;"|"&amp;B94&amp;"|"&amp;C94,'Master Data'!$A$2:$A$2436,0)),"")</f>
        <v>Slot kosong</v>
      </c>
      <c r="F94" s="67" t="str">
        <f aca="false">IFERROR(INDEX('Master Data'!$F$2:$F$2436,MATCH($B$3&amp;"|"&amp;D94&amp;"|"&amp;B94&amp;"|"&amp;C94,'Master Data'!$A$2:$A$2436,0))&amp;"","")</f>
        <v/>
      </c>
      <c r="G94" s="66" t="n">
        <f aca="false">IFERROR(INDEX('Master Data'!$G$2:$G$2436,MATCH($B$3&amp;"|"&amp;D94&amp;"|"&amp;B94&amp;"|"&amp;C94,'Master Data'!$A$2:$A$2436,0)),"")</f>
        <v>4</v>
      </c>
      <c r="H94" s="67" t="str">
        <f aca="false">IFERROR(INDEX('Master Data'!$K$2:$K$2436,MATCH($B$3&amp;"|"&amp;D94&amp;"|"&amp;B94&amp;"|"&amp;C94,'Master Data'!$A$2:$A$2436,0))&amp;"","")</f>
        <v/>
      </c>
      <c r="I94" s="67" t="s">
        <v>445</v>
      </c>
      <c r="J94" s="67" t="s">
        <v>134</v>
      </c>
      <c r="K94" s="68"/>
      <c r="L94" s="68"/>
      <c r="M94" s="68"/>
      <c r="N94" s="69"/>
      <c r="O94" s="68"/>
    </row>
    <row r="95" customFormat="false" ht="27.75" hidden="false" customHeight="true" outlineLevel="0" collapsed="false">
      <c r="A95" s="66" t="n">
        <v>4</v>
      </c>
      <c r="B95" s="67" t="s">
        <v>90</v>
      </c>
      <c r="C95" s="66" t="s">
        <v>96</v>
      </c>
      <c r="D95" s="66" t="n">
        <v>3</v>
      </c>
      <c r="E95" s="67" t="str">
        <f aca="false">IFERROR(INDEX('Master Data'!$L$2:$L$2436,MATCH($B$3&amp;"|"&amp;D95&amp;"|"&amp;B95&amp;"|"&amp;C95,'Master Data'!$A$2:$A$2436,0)),"")</f>
        <v>Belum terisi</v>
      </c>
      <c r="F95" s="67" t="str">
        <f aca="false">IFERROR(INDEX('Master Data'!$F$2:$F$2436,MATCH($B$3&amp;"|"&amp;D95&amp;"|"&amp;B95&amp;"|"&amp;C95,'Master Data'!$A$2:$A$2436,0))&amp;"","")</f>
        <v>Little</v>
      </c>
      <c r="G95" s="66" t="n">
        <f aca="false">IFERROR(INDEX('Master Data'!$G$2:$G$2436,MATCH($B$3&amp;"|"&amp;D95&amp;"|"&amp;B95&amp;"|"&amp;C95,'Master Data'!$A$2:$A$2436,0)),"")</f>
        <v>4</v>
      </c>
      <c r="H95" s="67" t="str">
        <f aca="false">IFERROR(INDEX('Master Data'!$K$2:$K$2436,MATCH($B$3&amp;"|"&amp;D95&amp;"|"&amp;B95&amp;"|"&amp;C95,'Master Data'!$A$2:$A$2436,0))&amp;"","")</f>
        <v/>
      </c>
      <c r="I95" s="67" t="s">
        <v>445</v>
      </c>
      <c r="J95" s="67" t="s">
        <v>134</v>
      </c>
      <c r="K95" s="68"/>
      <c r="L95" s="68"/>
      <c r="M95" s="68"/>
      <c r="N95" s="69"/>
      <c r="O95" s="68"/>
    </row>
    <row r="96" customFormat="false" ht="27.75" hidden="false" customHeight="true" outlineLevel="0" collapsed="false">
      <c r="A96" s="66" t="n">
        <v>5</v>
      </c>
      <c r="B96" s="67" t="s">
        <v>90</v>
      </c>
      <c r="C96" s="66" t="s">
        <v>96</v>
      </c>
      <c r="D96" s="66" t="n">
        <v>4</v>
      </c>
      <c r="E96" s="67" t="str">
        <f aca="false">IFERROR(INDEX('Master Data'!$L$2:$L$2436,MATCH($B$3&amp;"|"&amp;D96&amp;"|"&amp;B96&amp;"|"&amp;C96,'Master Data'!$A$2:$A$2436,0)),"")</f>
        <v>Belum terisi</v>
      </c>
      <c r="F96" s="67" t="str">
        <f aca="false">IFERROR(INDEX('Master Data'!$F$2:$F$2436,MATCH($B$3&amp;"|"&amp;D96&amp;"|"&amp;B96&amp;"|"&amp;C96,'Master Data'!$A$2:$A$2436,0))&amp;"","")</f>
        <v>Kids</v>
      </c>
      <c r="G96" s="66" t="n">
        <f aca="false">IFERROR(INDEX('Master Data'!$G$2:$G$2436,MATCH($B$3&amp;"|"&amp;D96&amp;"|"&amp;B96&amp;"|"&amp;C96,'Master Data'!$A$2:$A$2436,0)),"")</f>
        <v>4</v>
      </c>
      <c r="H96" s="67" t="str">
        <f aca="false">IFERROR(INDEX('Master Data'!$K$2:$K$2436,MATCH($B$3&amp;"|"&amp;D96&amp;"|"&amp;B96&amp;"|"&amp;C96,'Master Data'!$A$2:$A$2436,0))&amp;"","")</f>
        <v/>
      </c>
      <c r="I96" s="67" t="s">
        <v>445</v>
      </c>
      <c r="J96" s="67" t="s">
        <v>134</v>
      </c>
      <c r="K96" s="68"/>
      <c r="L96" s="68"/>
      <c r="M96" s="68"/>
      <c r="N96" s="69"/>
      <c r="O96" s="68"/>
    </row>
    <row r="97" customFormat="false" ht="27.75" hidden="false" customHeight="true" outlineLevel="0" collapsed="false">
      <c r="A97" s="66" t="n">
        <v>6</v>
      </c>
      <c r="B97" s="67" t="s">
        <v>90</v>
      </c>
      <c r="C97" s="66" t="s">
        <v>111</v>
      </c>
      <c r="D97" s="66" t="n">
        <v>1</v>
      </c>
      <c r="E97" s="67" t="str">
        <f aca="false">IFERROR(INDEX('Master Data'!$L$2:$L$2436,MATCH($B$3&amp;"|"&amp;D97&amp;"|"&amp;B97&amp;"|"&amp;C97,'Master Data'!$A$2:$A$2436,0)),"")</f>
        <v>Belum terisi</v>
      </c>
      <c r="F97" s="67" t="str">
        <f aca="false">IFERROR(INDEX('Master Data'!$F$2:$F$2436,MATCH($B$3&amp;"|"&amp;D97&amp;"|"&amp;B97&amp;"|"&amp;C97,'Master Data'!$A$2:$A$2436,0))&amp;"","")</f>
        <v>Baby</v>
      </c>
      <c r="G97" s="66" t="n">
        <f aca="false">IFERROR(INDEX('Master Data'!$G$2:$G$2436,MATCH($B$3&amp;"|"&amp;D97&amp;"|"&amp;B97&amp;"|"&amp;C97,'Master Data'!$A$2:$A$2436,0)),"")</f>
        <v>5</v>
      </c>
      <c r="H97" s="67" t="str">
        <f aca="false">IFERROR(INDEX('Master Data'!$K$2:$K$2436,MATCH($B$3&amp;"|"&amp;D97&amp;"|"&amp;B97&amp;"|"&amp;C97,'Master Data'!$A$2:$A$2436,0))&amp;"","")</f>
        <v/>
      </c>
      <c r="I97" s="67" t="s">
        <v>445</v>
      </c>
      <c r="J97" s="67" t="s">
        <v>134</v>
      </c>
      <c r="K97" s="68"/>
      <c r="L97" s="68"/>
      <c r="M97" s="68"/>
      <c r="N97" s="69"/>
      <c r="O97" s="68"/>
    </row>
    <row r="98" customFormat="false" ht="27.75" hidden="false" customHeight="true" outlineLevel="0" collapsed="false">
      <c r="A98" s="66" t="n">
        <v>7</v>
      </c>
      <c r="B98" s="67" t="s">
        <v>90</v>
      </c>
      <c r="C98" s="66" t="s">
        <v>111</v>
      </c>
      <c r="D98" s="66" t="n">
        <v>2</v>
      </c>
      <c r="E98" s="67" t="str">
        <f aca="false">IFERROR(INDEX('Master Data'!$L$2:$L$2436,MATCH($B$3&amp;"|"&amp;D98&amp;"|"&amp;B98&amp;"|"&amp;C98,'Master Data'!$A$2:$A$2436,0)),"")</f>
        <v>Belum terisi</v>
      </c>
      <c r="F98" s="67" t="str">
        <f aca="false">IFERROR(INDEX('Master Data'!$F$2:$F$2436,MATCH($B$3&amp;"|"&amp;D98&amp;"|"&amp;B98&amp;"|"&amp;C98,'Master Data'!$A$2:$A$2436,0))&amp;"","")</f>
        <v>Tiny</v>
      </c>
      <c r="G98" s="66" t="n">
        <f aca="false">IFERROR(INDEX('Master Data'!$G$2:$G$2436,MATCH($B$3&amp;"|"&amp;D98&amp;"|"&amp;B98&amp;"|"&amp;C98,'Master Data'!$A$2:$A$2436,0)),"")</f>
        <v>5</v>
      </c>
      <c r="H98" s="67" t="str">
        <f aca="false">IFERROR(INDEX('Master Data'!$K$2:$K$2436,MATCH($B$3&amp;"|"&amp;D98&amp;"|"&amp;B98&amp;"|"&amp;C98,'Master Data'!$A$2:$A$2436,0))&amp;"","")</f>
        <v/>
      </c>
      <c r="I98" s="67" t="s">
        <v>445</v>
      </c>
      <c r="J98" s="67" t="s">
        <v>134</v>
      </c>
      <c r="K98" s="68"/>
      <c r="L98" s="68"/>
      <c r="M98" s="68"/>
      <c r="N98" s="69"/>
      <c r="O98" s="68"/>
    </row>
    <row r="99" customFormat="false" ht="27.75" hidden="false" customHeight="true" outlineLevel="0" collapsed="false">
      <c r="A99" s="66" t="n">
        <v>8</v>
      </c>
      <c r="B99" s="67" t="s">
        <v>90</v>
      </c>
      <c r="C99" s="66" t="s">
        <v>111</v>
      </c>
      <c r="D99" s="66" t="n">
        <v>5</v>
      </c>
      <c r="E99" s="67" t="str">
        <f aca="false">IFERROR(INDEX('Master Data'!$L$2:$L$2436,MATCH($B$3&amp;"|"&amp;D99&amp;"|"&amp;B99&amp;"|"&amp;C99,'Master Data'!$A$2:$A$2436,0)),"")</f>
        <v>Slot kosong</v>
      </c>
      <c r="F99" s="67" t="str">
        <f aca="false">IFERROR(INDEX('Master Data'!$F$2:$F$2436,MATCH($B$3&amp;"|"&amp;D99&amp;"|"&amp;B99&amp;"|"&amp;C99,'Master Data'!$A$2:$A$2436,0))&amp;"","")</f>
        <v/>
      </c>
      <c r="G99" s="66" t="n">
        <f aca="false">IFERROR(INDEX('Master Data'!$G$2:$G$2436,MATCH($B$3&amp;"|"&amp;D99&amp;"|"&amp;B99&amp;"|"&amp;C99,'Master Data'!$A$2:$A$2436,0)),"")</f>
        <v>4</v>
      </c>
      <c r="H99" s="67" t="str">
        <f aca="false">IFERROR(INDEX('Master Data'!$K$2:$K$2436,MATCH($B$3&amp;"|"&amp;D99&amp;"|"&amp;B99&amp;"|"&amp;C99,'Master Data'!$A$2:$A$2436,0))&amp;"","")</f>
        <v/>
      </c>
      <c r="I99" s="67" t="s">
        <v>445</v>
      </c>
      <c r="J99" s="67" t="s">
        <v>134</v>
      </c>
      <c r="K99" s="68"/>
      <c r="L99" s="68"/>
      <c r="M99" s="68"/>
      <c r="N99" s="69"/>
      <c r="O99" s="68"/>
    </row>
    <row r="100" customFormat="false" ht="27.75" hidden="false" customHeight="true" outlineLevel="0" collapsed="false">
      <c r="A100" s="66" t="n">
        <v>9</v>
      </c>
      <c r="B100" s="67" t="s">
        <v>90</v>
      </c>
      <c r="C100" s="66" t="s">
        <v>97</v>
      </c>
      <c r="D100" s="66" t="n">
        <v>3</v>
      </c>
      <c r="E100" s="67" t="str">
        <f aca="false">IFERROR(INDEX('Master Data'!$L$2:$L$2436,MATCH($B$3&amp;"|"&amp;D100&amp;"|"&amp;B100&amp;"|"&amp;C100,'Master Data'!$A$2:$A$2436,0)),"")</f>
        <v>Belum terisi</v>
      </c>
      <c r="F100" s="67" t="str">
        <f aca="false">IFERROR(INDEX('Master Data'!$F$2:$F$2436,MATCH($B$3&amp;"|"&amp;D100&amp;"|"&amp;B100&amp;"|"&amp;C100,'Master Data'!$A$2:$A$2436,0))&amp;"","")</f>
        <v>Little</v>
      </c>
      <c r="G100" s="66" t="n">
        <f aca="false">IFERROR(INDEX('Master Data'!$G$2:$G$2436,MATCH($B$3&amp;"|"&amp;D100&amp;"|"&amp;B100&amp;"|"&amp;C100,'Master Data'!$A$2:$A$2436,0)),"")</f>
        <v>4</v>
      </c>
      <c r="H100" s="67" t="str">
        <f aca="false">IFERROR(INDEX('Master Data'!$K$2:$K$2436,MATCH($B$3&amp;"|"&amp;D100&amp;"|"&amp;B100&amp;"|"&amp;C100,'Master Data'!$A$2:$A$2436,0))&amp;"","")</f>
        <v/>
      </c>
      <c r="I100" s="67" t="s">
        <v>445</v>
      </c>
      <c r="J100" s="67" t="s">
        <v>134</v>
      </c>
      <c r="K100" s="68"/>
      <c r="L100" s="68"/>
      <c r="M100" s="68"/>
      <c r="N100" s="69"/>
      <c r="O100" s="68"/>
    </row>
    <row r="101" customFormat="false" ht="27.75" hidden="false" customHeight="true" outlineLevel="0" collapsed="false">
      <c r="A101" s="66" t="n">
        <v>10</v>
      </c>
      <c r="B101" s="67" t="s">
        <v>90</v>
      </c>
      <c r="C101" s="66" t="s">
        <v>97</v>
      </c>
      <c r="D101" s="66" t="n">
        <v>4</v>
      </c>
      <c r="E101" s="67" t="str">
        <f aca="false">IFERROR(INDEX('Master Data'!$L$2:$L$2436,MATCH($B$3&amp;"|"&amp;D101&amp;"|"&amp;B101&amp;"|"&amp;C101,'Master Data'!$A$2:$A$2436,0)),"")</f>
        <v>Belum terisi</v>
      </c>
      <c r="F101" s="67" t="str">
        <f aca="false">IFERROR(INDEX('Master Data'!$F$2:$F$2436,MATCH($B$3&amp;"|"&amp;D101&amp;"|"&amp;B101&amp;"|"&amp;C101,'Master Data'!$A$2:$A$2436,0))&amp;"","")</f>
        <v>Kids</v>
      </c>
      <c r="G101" s="66" t="n">
        <f aca="false">IFERROR(INDEX('Master Data'!$G$2:$G$2436,MATCH($B$3&amp;"|"&amp;D101&amp;"|"&amp;B101&amp;"|"&amp;C101,'Master Data'!$A$2:$A$2436,0)),"")</f>
        <v>4</v>
      </c>
      <c r="H101" s="67" t="str">
        <f aca="false">IFERROR(INDEX('Master Data'!$K$2:$K$2436,MATCH($B$3&amp;"|"&amp;D101&amp;"|"&amp;B101&amp;"|"&amp;C101,'Master Data'!$A$2:$A$2436,0))&amp;"","")</f>
        <v/>
      </c>
      <c r="I101" s="67" t="s">
        <v>445</v>
      </c>
      <c r="J101" s="67" t="s">
        <v>134</v>
      </c>
      <c r="K101" s="68"/>
      <c r="L101" s="68"/>
      <c r="M101" s="68"/>
      <c r="N101" s="69"/>
      <c r="O101" s="68"/>
    </row>
    <row r="102" customFormat="false" ht="27.75" hidden="false" customHeight="true" outlineLevel="0" collapsed="false">
      <c r="A102" s="66" t="n">
        <v>11</v>
      </c>
      <c r="B102" s="67" t="s">
        <v>90</v>
      </c>
      <c r="C102" s="66" t="s">
        <v>112</v>
      </c>
      <c r="D102" s="66" t="n">
        <v>1</v>
      </c>
      <c r="E102" s="67" t="str">
        <f aca="false">IFERROR(INDEX('Master Data'!$L$2:$L$2436,MATCH($B$3&amp;"|"&amp;D102&amp;"|"&amp;B102&amp;"|"&amp;C102,'Master Data'!$A$2:$A$2436,0)),"")</f>
        <v>Belum terisi</v>
      </c>
      <c r="F102" s="67" t="str">
        <f aca="false">IFERROR(INDEX('Master Data'!$F$2:$F$2436,MATCH($B$3&amp;"|"&amp;D102&amp;"|"&amp;B102&amp;"|"&amp;C102,'Master Data'!$A$2:$A$2436,0))&amp;"","")</f>
        <v>Baby</v>
      </c>
      <c r="G102" s="66" t="n">
        <f aca="false">IFERROR(INDEX('Master Data'!$G$2:$G$2436,MATCH($B$3&amp;"|"&amp;D102&amp;"|"&amp;B102&amp;"|"&amp;C102,'Master Data'!$A$2:$A$2436,0)),"")</f>
        <v>5</v>
      </c>
      <c r="H102" s="67" t="str">
        <f aca="false">IFERROR(INDEX('Master Data'!$K$2:$K$2436,MATCH($B$3&amp;"|"&amp;D102&amp;"|"&amp;B102&amp;"|"&amp;C102,'Master Data'!$A$2:$A$2436,0))&amp;"","")</f>
        <v/>
      </c>
      <c r="I102" s="67" t="s">
        <v>446</v>
      </c>
      <c r="J102" s="67" t="s">
        <v>134</v>
      </c>
      <c r="K102" s="68"/>
      <c r="L102" s="68"/>
      <c r="M102" s="68"/>
      <c r="N102" s="69"/>
      <c r="O102" s="68"/>
    </row>
    <row r="103" customFormat="false" ht="27.75" hidden="false" customHeight="true" outlineLevel="0" collapsed="false">
      <c r="A103" s="66" t="n">
        <v>12</v>
      </c>
      <c r="B103" s="67" t="s">
        <v>90</v>
      </c>
      <c r="C103" s="66" t="s">
        <v>112</v>
      </c>
      <c r="D103" s="66" t="n">
        <v>2</v>
      </c>
      <c r="E103" s="67" t="str">
        <f aca="false">IFERROR(INDEX('Master Data'!$L$2:$L$2436,MATCH($B$3&amp;"|"&amp;D103&amp;"|"&amp;B103&amp;"|"&amp;C103,'Master Data'!$A$2:$A$2436,0)),"")</f>
        <v>Belum terisi</v>
      </c>
      <c r="F103" s="67" t="str">
        <f aca="false">IFERROR(INDEX('Master Data'!$F$2:$F$2436,MATCH($B$3&amp;"|"&amp;D103&amp;"|"&amp;B103&amp;"|"&amp;C103,'Master Data'!$A$2:$A$2436,0))&amp;"","")</f>
        <v>Tiny</v>
      </c>
      <c r="G103" s="66" t="n">
        <f aca="false">IFERROR(INDEX('Master Data'!$G$2:$G$2436,MATCH($B$3&amp;"|"&amp;D103&amp;"|"&amp;B103&amp;"|"&amp;C103,'Master Data'!$A$2:$A$2436,0)),"")</f>
        <v>5</v>
      </c>
      <c r="H103" s="67" t="str">
        <f aca="false">IFERROR(INDEX('Master Data'!$K$2:$K$2436,MATCH($B$3&amp;"|"&amp;D103&amp;"|"&amp;B103&amp;"|"&amp;C103,'Master Data'!$A$2:$A$2436,0))&amp;"","")</f>
        <v/>
      </c>
      <c r="I103" s="67" t="s">
        <v>446</v>
      </c>
      <c r="J103" s="67" t="s">
        <v>134</v>
      </c>
      <c r="K103" s="68"/>
      <c r="L103" s="68"/>
      <c r="M103" s="68"/>
      <c r="N103" s="69"/>
      <c r="O103" s="68"/>
    </row>
    <row r="104" customFormat="false" ht="27.75" hidden="false" customHeight="true" outlineLevel="0" collapsed="false">
      <c r="A104" s="66" t="n">
        <v>13</v>
      </c>
      <c r="B104" s="67" t="s">
        <v>90</v>
      </c>
      <c r="C104" s="66" t="s">
        <v>112</v>
      </c>
      <c r="D104" s="66" t="n">
        <v>5</v>
      </c>
      <c r="E104" s="67" t="str">
        <f aca="false">IFERROR(INDEX('Master Data'!$L$2:$L$2436,MATCH($B$3&amp;"|"&amp;D104&amp;"|"&amp;B104&amp;"|"&amp;C104,'Master Data'!$A$2:$A$2436,0)),"")</f>
        <v>Slot kosong</v>
      </c>
      <c r="F104" s="67" t="str">
        <f aca="false">IFERROR(INDEX('Master Data'!$F$2:$F$2436,MATCH($B$3&amp;"|"&amp;D104&amp;"|"&amp;B104&amp;"|"&amp;C104,'Master Data'!$A$2:$A$2436,0))&amp;"","")</f>
        <v/>
      </c>
      <c r="G104" s="66" t="n">
        <f aca="false">IFERROR(INDEX('Master Data'!$G$2:$G$2436,MATCH($B$3&amp;"|"&amp;D104&amp;"|"&amp;B104&amp;"|"&amp;C104,'Master Data'!$A$2:$A$2436,0)),"")</f>
        <v>4</v>
      </c>
      <c r="H104" s="67" t="str">
        <f aca="false">IFERROR(INDEX('Master Data'!$K$2:$K$2436,MATCH($B$3&amp;"|"&amp;D104&amp;"|"&amp;B104&amp;"|"&amp;C104,'Master Data'!$A$2:$A$2436,0))&amp;"","")</f>
        <v/>
      </c>
      <c r="I104" s="67" t="s">
        <v>446</v>
      </c>
      <c r="J104" s="67" t="s">
        <v>134</v>
      </c>
      <c r="K104" s="68"/>
      <c r="L104" s="68"/>
      <c r="M104" s="68"/>
      <c r="N104" s="69"/>
      <c r="O104" s="68"/>
    </row>
    <row r="105" customFormat="false" ht="15.75" hidden="false" customHeight="true" outlineLevel="0" collapsed="false">
      <c r="A105" s="66" t="n">
        <v>14</v>
      </c>
      <c r="B105" s="67" t="s">
        <v>90</v>
      </c>
      <c r="C105" s="66" t="s">
        <v>98</v>
      </c>
      <c r="D105" s="66" t="n">
        <v>4</v>
      </c>
      <c r="E105" s="67" t="str">
        <f aca="false">IFERROR(INDEX('Master Data'!$L$2:$L$2436,MATCH($B$3&amp;"|"&amp;D105&amp;"|"&amp;B105&amp;"|"&amp;C105,'Master Data'!$A$2:$A$2436,0)),"")</f>
        <v>Belum terisi</v>
      </c>
      <c r="F105" s="67" t="str">
        <f aca="false">IFERROR(INDEX('Master Data'!$F$2:$F$2436,MATCH($B$3&amp;"|"&amp;D105&amp;"|"&amp;B105&amp;"|"&amp;C105,'Master Data'!$A$2:$A$2436,0))&amp;"","")</f>
        <v>Kids</v>
      </c>
      <c r="G105" s="66" t="n">
        <f aca="false">IFERROR(INDEX('Master Data'!$G$2:$G$2436,MATCH($B$3&amp;"|"&amp;D105&amp;"|"&amp;B105&amp;"|"&amp;C105,'Master Data'!$A$2:$A$2436,0)),"")</f>
        <v>4</v>
      </c>
      <c r="H105" s="67" t="str">
        <f aca="false">IFERROR(INDEX('Master Data'!$K$2:$K$2436,MATCH($B$3&amp;"|"&amp;D105&amp;"|"&amp;B105&amp;"|"&amp;C105,'Master Data'!$A$2:$A$2436,0))&amp;"","")</f>
        <v/>
      </c>
      <c r="I105" s="67" t="s">
        <v>447</v>
      </c>
      <c r="J105" s="67" t="s">
        <v>203</v>
      </c>
      <c r="K105" s="68"/>
      <c r="L105" s="68"/>
      <c r="M105" s="68"/>
      <c r="N105" s="69"/>
      <c r="O105" s="68"/>
    </row>
    <row r="106" customFormat="false" ht="15.75" hidden="false" customHeight="true" outlineLevel="0" collapsed="false">
      <c r="A106" s="66" t="n">
        <v>15</v>
      </c>
      <c r="B106" s="67" t="s">
        <v>90</v>
      </c>
      <c r="C106" s="66" t="s">
        <v>113</v>
      </c>
      <c r="D106" s="66" t="n">
        <v>1</v>
      </c>
      <c r="E106" s="67" t="str">
        <f aca="false">IFERROR(INDEX('Master Data'!$L$2:$L$2436,MATCH($B$3&amp;"|"&amp;D106&amp;"|"&amp;B106&amp;"|"&amp;C106,'Master Data'!$A$2:$A$2436,0)),"")</f>
        <v>Belum terisi</v>
      </c>
      <c r="F106" s="67" t="str">
        <f aca="false">IFERROR(INDEX('Master Data'!$F$2:$F$2436,MATCH($B$3&amp;"|"&amp;D106&amp;"|"&amp;B106&amp;"|"&amp;C106,'Master Data'!$A$2:$A$2436,0))&amp;"","")</f>
        <v>Baby</v>
      </c>
      <c r="G106" s="66" t="n">
        <f aca="false">IFERROR(INDEX('Master Data'!$G$2:$G$2436,MATCH($B$3&amp;"|"&amp;D106&amp;"|"&amp;B106&amp;"|"&amp;C106,'Master Data'!$A$2:$A$2436,0)),"")</f>
        <v>5</v>
      </c>
      <c r="H106" s="67" t="str">
        <f aca="false">IFERROR(INDEX('Master Data'!$K$2:$K$2436,MATCH($B$3&amp;"|"&amp;D106&amp;"|"&amp;B106&amp;"|"&amp;C106,'Master Data'!$A$2:$A$2436,0))&amp;"","")</f>
        <v/>
      </c>
      <c r="I106" s="67" t="s">
        <v>447</v>
      </c>
      <c r="J106" s="67" t="s">
        <v>221</v>
      </c>
      <c r="K106" s="68"/>
      <c r="L106" s="68"/>
      <c r="M106" s="68"/>
      <c r="N106" s="69"/>
      <c r="O106" s="68"/>
    </row>
    <row r="107" customFormat="false" ht="15.75" hidden="false" customHeight="true" outlineLevel="0" collapsed="false">
      <c r="A107" s="66" t="n">
        <v>16</v>
      </c>
      <c r="B107" s="67" t="s">
        <v>90</v>
      </c>
      <c r="C107" s="66" t="s">
        <v>113</v>
      </c>
      <c r="D107" s="66" t="n">
        <v>5</v>
      </c>
      <c r="E107" s="67" t="str">
        <f aca="false">IFERROR(INDEX('Master Data'!$L$2:$L$2436,MATCH($B$3&amp;"|"&amp;D107&amp;"|"&amp;B107&amp;"|"&amp;C107,'Master Data'!$A$2:$A$2436,0)),"")</f>
        <v>Slot kosong</v>
      </c>
      <c r="F107" s="67" t="str">
        <f aca="false">IFERROR(INDEX('Master Data'!$F$2:$F$2436,MATCH($B$3&amp;"|"&amp;D107&amp;"|"&amp;B107&amp;"|"&amp;C107,'Master Data'!$A$2:$A$2436,0))&amp;"","")</f>
        <v/>
      </c>
      <c r="G107" s="66" t="n">
        <f aca="false">IFERROR(INDEX('Master Data'!$G$2:$G$2436,MATCH($B$3&amp;"|"&amp;D107&amp;"|"&amp;B107&amp;"|"&amp;C107,'Master Data'!$A$2:$A$2436,0)),"")</f>
        <v>4</v>
      </c>
      <c r="H107" s="67" t="str">
        <f aca="false">IFERROR(INDEX('Master Data'!$K$2:$K$2436,MATCH($B$3&amp;"|"&amp;D107&amp;"|"&amp;B107&amp;"|"&amp;C107,'Master Data'!$A$2:$A$2436,0))&amp;"","")</f>
        <v/>
      </c>
      <c r="I107" s="67" t="s">
        <v>447</v>
      </c>
      <c r="J107" s="67" t="s">
        <v>203</v>
      </c>
      <c r="K107" s="68"/>
      <c r="L107" s="68"/>
      <c r="M107" s="68"/>
      <c r="N107" s="69"/>
      <c r="O107" s="68"/>
    </row>
    <row r="108" customFormat="false" ht="15.75" hidden="false" customHeight="true" outlineLevel="0" collapsed="false">
      <c r="A108" s="66" t="n">
        <v>17</v>
      </c>
      <c r="B108" s="67" t="s">
        <v>90</v>
      </c>
      <c r="C108" s="66" t="s">
        <v>99</v>
      </c>
      <c r="D108" s="66" t="n">
        <v>4</v>
      </c>
      <c r="E108" s="67" t="str">
        <f aca="false">IFERROR(INDEX('Master Data'!$L$2:$L$2436,MATCH($B$3&amp;"|"&amp;D108&amp;"|"&amp;B108&amp;"|"&amp;C108,'Master Data'!$A$2:$A$2436,0)),"")</f>
        <v>Belum terisi</v>
      </c>
      <c r="F108" s="67" t="str">
        <f aca="false">IFERROR(INDEX('Master Data'!$F$2:$F$2436,MATCH($B$3&amp;"|"&amp;D108&amp;"|"&amp;B108&amp;"|"&amp;C108,'Master Data'!$A$2:$A$2436,0))&amp;"","")</f>
        <v>Kids</v>
      </c>
      <c r="G108" s="66" t="n">
        <f aca="false">IFERROR(INDEX('Master Data'!$G$2:$G$2436,MATCH($B$3&amp;"|"&amp;D108&amp;"|"&amp;B108&amp;"|"&amp;C108,'Master Data'!$A$2:$A$2436,0)),"")</f>
        <v>4</v>
      </c>
      <c r="H108" s="67" t="str">
        <f aca="false">IFERROR(INDEX('Master Data'!$K$2:$K$2436,MATCH($B$3&amp;"|"&amp;D108&amp;"|"&amp;B108&amp;"|"&amp;C108,'Master Data'!$A$2:$A$2436,0))&amp;"","")</f>
        <v/>
      </c>
      <c r="I108" s="67" t="s">
        <v>447</v>
      </c>
      <c r="J108" s="67" t="s">
        <v>203</v>
      </c>
      <c r="K108" s="68"/>
      <c r="L108" s="68"/>
      <c r="M108" s="68"/>
      <c r="N108" s="69"/>
      <c r="O108" s="68"/>
    </row>
    <row r="109" customFormat="false" ht="27.75" hidden="false" customHeight="true" outlineLevel="0" collapsed="false">
      <c r="A109" s="66" t="n">
        <v>18</v>
      </c>
      <c r="B109" s="67" t="s">
        <v>90</v>
      </c>
      <c r="C109" s="66" t="s">
        <v>114</v>
      </c>
      <c r="D109" s="66" t="n">
        <v>1</v>
      </c>
      <c r="E109" s="67" t="str">
        <f aca="false">IFERROR(INDEX('Master Data'!$L$2:$L$2436,MATCH($B$3&amp;"|"&amp;D109&amp;"|"&amp;B109&amp;"|"&amp;C109,'Master Data'!$A$2:$A$2436,0)),"")</f>
        <v>Belum terisi</v>
      </c>
      <c r="F109" s="67" t="str">
        <f aca="false">IFERROR(INDEX('Master Data'!$F$2:$F$2436,MATCH($B$3&amp;"|"&amp;D109&amp;"|"&amp;B109&amp;"|"&amp;C109,'Master Data'!$A$2:$A$2436,0))&amp;"","")</f>
        <v>Baby</v>
      </c>
      <c r="G109" s="66" t="n">
        <f aca="false">IFERROR(INDEX('Master Data'!$G$2:$G$2436,MATCH($B$3&amp;"|"&amp;D109&amp;"|"&amp;B109&amp;"|"&amp;C109,'Master Data'!$A$2:$A$2436,0)),"")</f>
        <v>5</v>
      </c>
      <c r="H109" s="67" t="str">
        <f aca="false">IFERROR(INDEX('Master Data'!$K$2:$K$2436,MATCH($B$3&amp;"|"&amp;D109&amp;"|"&amp;B109&amp;"|"&amp;C109,'Master Data'!$A$2:$A$2436,0))&amp;"","")</f>
        <v/>
      </c>
      <c r="I109" s="67" t="s">
        <v>446</v>
      </c>
      <c r="J109" s="67" t="s">
        <v>134</v>
      </c>
      <c r="K109" s="68"/>
      <c r="L109" s="68"/>
      <c r="M109" s="68"/>
      <c r="N109" s="69"/>
      <c r="O109" s="68"/>
    </row>
    <row r="110" customFormat="false" ht="27.75" hidden="false" customHeight="true" outlineLevel="0" collapsed="false">
      <c r="A110" s="66" t="n">
        <v>19</v>
      </c>
      <c r="B110" s="67" t="s">
        <v>90</v>
      </c>
      <c r="C110" s="66" t="s">
        <v>114</v>
      </c>
      <c r="D110" s="66" t="n">
        <v>2</v>
      </c>
      <c r="E110" s="67" t="str">
        <f aca="false">IFERROR(INDEX('Master Data'!$L$2:$L$2436,MATCH($B$3&amp;"|"&amp;D110&amp;"|"&amp;B110&amp;"|"&amp;C110,'Master Data'!$A$2:$A$2436,0)),"")</f>
        <v>Belum terisi</v>
      </c>
      <c r="F110" s="67" t="str">
        <f aca="false">IFERROR(INDEX('Master Data'!$F$2:$F$2436,MATCH($B$3&amp;"|"&amp;D110&amp;"|"&amp;B110&amp;"|"&amp;C110,'Master Data'!$A$2:$A$2436,0))&amp;"","")</f>
        <v>Tiny</v>
      </c>
      <c r="G110" s="66" t="n">
        <f aca="false">IFERROR(INDEX('Master Data'!$G$2:$G$2436,MATCH($B$3&amp;"|"&amp;D110&amp;"|"&amp;B110&amp;"|"&amp;C110,'Master Data'!$A$2:$A$2436,0)),"")</f>
        <v>5</v>
      </c>
      <c r="H110" s="67" t="str">
        <f aca="false">IFERROR(INDEX('Master Data'!$K$2:$K$2436,MATCH($B$3&amp;"|"&amp;D110&amp;"|"&amp;B110&amp;"|"&amp;C110,'Master Data'!$A$2:$A$2436,0))&amp;"","")</f>
        <v/>
      </c>
      <c r="I110" s="67" t="s">
        <v>446</v>
      </c>
      <c r="J110" s="67" t="s">
        <v>134</v>
      </c>
      <c r="K110" s="68"/>
      <c r="L110" s="68"/>
      <c r="M110" s="68"/>
      <c r="N110" s="69"/>
      <c r="O110" s="68"/>
    </row>
    <row r="111" customFormat="false" ht="27.75" hidden="false" customHeight="true" outlineLevel="0" collapsed="false">
      <c r="A111" s="66" t="n">
        <v>20</v>
      </c>
      <c r="B111" s="67" t="s">
        <v>90</v>
      </c>
      <c r="C111" s="66" t="s">
        <v>114</v>
      </c>
      <c r="D111" s="66" t="n">
        <v>5</v>
      </c>
      <c r="E111" s="67" t="str">
        <f aca="false">IFERROR(INDEX('Master Data'!$L$2:$L$2436,MATCH($B$3&amp;"|"&amp;D111&amp;"|"&amp;B111&amp;"|"&amp;C111,'Master Data'!$A$2:$A$2436,0)),"")</f>
        <v>Slot kosong</v>
      </c>
      <c r="F111" s="67" t="str">
        <f aca="false">IFERROR(INDEX('Master Data'!$F$2:$F$2436,MATCH($B$3&amp;"|"&amp;D111&amp;"|"&amp;B111&amp;"|"&amp;C111,'Master Data'!$A$2:$A$2436,0))&amp;"","")</f>
        <v/>
      </c>
      <c r="G111" s="66" t="n">
        <f aca="false">IFERROR(INDEX('Master Data'!$G$2:$G$2436,MATCH($B$3&amp;"|"&amp;D111&amp;"|"&amp;B111&amp;"|"&amp;C111,'Master Data'!$A$2:$A$2436,0)),"")</f>
        <v>4</v>
      </c>
      <c r="H111" s="67" t="str">
        <f aca="false">IFERROR(INDEX('Master Data'!$K$2:$K$2436,MATCH($B$3&amp;"|"&amp;D111&amp;"|"&amp;B111&amp;"|"&amp;C111,'Master Data'!$A$2:$A$2436,0))&amp;"","")</f>
        <v/>
      </c>
      <c r="I111" s="67" t="s">
        <v>446</v>
      </c>
      <c r="J111" s="67" t="s">
        <v>134</v>
      </c>
      <c r="K111" s="68"/>
      <c r="L111" s="68"/>
      <c r="M111" s="68"/>
      <c r="N111" s="69"/>
      <c r="O111" s="68"/>
    </row>
    <row r="112" customFormat="false" ht="27.75" hidden="false" customHeight="true" outlineLevel="0" collapsed="false">
      <c r="A112" s="66" t="n">
        <v>21</v>
      </c>
      <c r="B112" s="67" t="s">
        <v>90</v>
      </c>
      <c r="C112" s="66" t="s">
        <v>100</v>
      </c>
      <c r="D112" s="66" t="n">
        <v>4</v>
      </c>
      <c r="E112" s="67" t="str">
        <f aca="false">IFERROR(INDEX('Master Data'!$L$2:$L$2436,MATCH($B$3&amp;"|"&amp;D112&amp;"|"&amp;B112&amp;"|"&amp;C112,'Master Data'!$A$2:$A$2436,0)),"")</f>
        <v>Belum terisi</v>
      </c>
      <c r="F112" s="67" t="str">
        <f aca="false">IFERROR(INDEX('Master Data'!$F$2:$F$2436,MATCH($B$3&amp;"|"&amp;D112&amp;"|"&amp;B112&amp;"|"&amp;C112,'Master Data'!$A$2:$A$2436,0))&amp;"","")</f>
        <v>Kids</v>
      </c>
      <c r="G112" s="66" t="n">
        <f aca="false">IFERROR(INDEX('Master Data'!$G$2:$G$2436,MATCH($B$3&amp;"|"&amp;D112&amp;"|"&amp;B112&amp;"|"&amp;C112,'Master Data'!$A$2:$A$2436,0)),"")</f>
        <v>4</v>
      </c>
      <c r="H112" s="67" t="str">
        <f aca="false">IFERROR(INDEX('Master Data'!$K$2:$K$2436,MATCH($B$3&amp;"|"&amp;D112&amp;"|"&amp;B112&amp;"|"&amp;C112,'Master Data'!$A$2:$A$2436,0))&amp;"","")</f>
        <v/>
      </c>
      <c r="I112" s="67" t="s">
        <v>446</v>
      </c>
      <c r="J112" s="67" t="s">
        <v>134</v>
      </c>
      <c r="K112" s="68"/>
      <c r="L112" s="68"/>
      <c r="M112" s="68"/>
      <c r="N112" s="69"/>
      <c r="O112" s="68"/>
    </row>
    <row r="113" customFormat="false" ht="27.75" hidden="false" customHeight="true" outlineLevel="0" collapsed="false">
      <c r="A113" s="66" t="n">
        <v>22</v>
      </c>
      <c r="B113" s="67" t="s">
        <v>90</v>
      </c>
      <c r="C113" s="66" t="s">
        <v>115</v>
      </c>
      <c r="D113" s="66" t="n">
        <v>1</v>
      </c>
      <c r="E113" s="67" t="str">
        <f aca="false">IFERROR(INDEX('Master Data'!$L$2:$L$2436,MATCH($B$3&amp;"|"&amp;D113&amp;"|"&amp;B113&amp;"|"&amp;C113,'Master Data'!$A$2:$A$2436,0)),"")</f>
        <v>Belum terisi</v>
      </c>
      <c r="F113" s="67" t="str">
        <f aca="false">IFERROR(INDEX('Master Data'!$F$2:$F$2436,MATCH($B$3&amp;"|"&amp;D113&amp;"|"&amp;B113&amp;"|"&amp;C113,'Master Data'!$A$2:$A$2436,0))&amp;"","")</f>
        <v>Baby</v>
      </c>
      <c r="G113" s="66" t="n">
        <f aca="false">IFERROR(INDEX('Master Data'!$G$2:$G$2436,MATCH($B$3&amp;"|"&amp;D113&amp;"|"&amp;B113&amp;"|"&amp;C113,'Master Data'!$A$2:$A$2436,0)),"")</f>
        <v>5</v>
      </c>
      <c r="H113" s="67" t="str">
        <f aca="false">IFERROR(INDEX('Master Data'!$K$2:$K$2436,MATCH($B$3&amp;"|"&amp;D113&amp;"|"&amp;B113&amp;"|"&amp;C113,'Master Data'!$A$2:$A$2436,0))&amp;"","")</f>
        <v/>
      </c>
      <c r="I113" s="67" t="s">
        <v>446</v>
      </c>
      <c r="J113" s="67" t="s">
        <v>134</v>
      </c>
      <c r="K113" s="68"/>
      <c r="L113" s="68"/>
      <c r="M113" s="68"/>
      <c r="N113" s="69"/>
      <c r="O113" s="68"/>
    </row>
    <row r="114" customFormat="false" ht="27.75" hidden="false" customHeight="true" outlineLevel="0" collapsed="false">
      <c r="A114" s="66" t="n">
        <v>23</v>
      </c>
      <c r="B114" s="67" t="s">
        <v>90</v>
      </c>
      <c r="C114" s="66" t="s">
        <v>115</v>
      </c>
      <c r="D114" s="66" t="n">
        <v>2</v>
      </c>
      <c r="E114" s="67" t="str">
        <f aca="false">IFERROR(INDEX('Master Data'!$L$2:$L$2436,MATCH($B$3&amp;"|"&amp;D114&amp;"|"&amp;B114&amp;"|"&amp;C114,'Master Data'!$A$2:$A$2436,0)),"")</f>
        <v>Belum terisi</v>
      </c>
      <c r="F114" s="67" t="str">
        <f aca="false">IFERROR(INDEX('Master Data'!$F$2:$F$2436,MATCH($B$3&amp;"|"&amp;D114&amp;"|"&amp;B114&amp;"|"&amp;C114,'Master Data'!$A$2:$A$2436,0))&amp;"","")</f>
        <v>Tiny</v>
      </c>
      <c r="G114" s="66" t="n">
        <f aca="false">IFERROR(INDEX('Master Data'!$G$2:$G$2436,MATCH($B$3&amp;"|"&amp;D114&amp;"|"&amp;B114&amp;"|"&amp;C114,'Master Data'!$A$2:$A$2436,0)),"")</f>
        <v>5</v>
      </c>
      <c r="H114" s="67" t="str">
        <f aca="false">IFERROR(INDEX('Master Data'!$K$2:$K$2436,MATCH($B$3&amp;"|"&amp;D114&amp;"|"&amp;B114&amp;"|"&amp;C114,'Master Data'!$A$2:$A$2436,0))&amp;"","")</f>
        <v/>
      </c>
      <c r="I114" s="67" t="s">
        <v>446</v>
      </c>
      <c r="J114" s="67" t="s">
        <v>134</v>
      </c>
      <c r="K114" s="68"/>
      <c r="L114" s="68"/>
      <c r="M114" s="68"/>
      <c r="N114" s="69"/>
      <c r="O114" s="68"/>
    </row>
    <row r="115" customFormat="false" ht="27.75" hidden="false" customHeight="true" outlineLevel="0" collapsed="false">
      <c r="A115" s="66" t="n">
        <v>24</v>
      </c>
      <c r="B115" s="67" t="s">
        <v>90</v>
      </c>
      <c r="C115" s="66" t="s">
        <v>115</v>
      </c>
      <c r="D115" s="66" t="n">
        <v>5</v>
      </c>
      <c r="E115" s="67" t="str">
        <f aca="false">IFERROR(INDEX('Master Data'!$L$2:$L$2436,MATCH($B$3&amp;"|"&amp;D115&amp;"|"&amp;B115&amp;"|"&amp;C115,'Master Data'!$A$2:$A$2436,0)),"")</f>
        <v>Slot kosong</v>
      </c>
      <c r="F115" s="67" t="str">
        <f aca="false">IFERROR(INDEX('Master Data'!$F$2:$F$2436,MATCH($B$3&amp;"|"&amp;D115&amp;"|"&amp;B115&amp;"|"&amp;C115,'Master Data'!$A$2:$A$2436,0))&amp;"","")</f>
        <v/>
      </c>
      <c r="G115" s="66" t="n">
        <f aca="false">IFERROR(INDEX('Master Data'!$G$2:$G$2436,MATCH($B$3&amp;"|"&amp;D115&amp;"|"&amp;B115&amp;"|"&amp;C115,'Master Data'!$A$2:$A$2436,0)),"")</f>
        <v>4</v>
      </c>
      <c r="H115" s="67" t="str">
        <f aca="false">IFERROR(INDEX('Master Data'!$K$2:$K$2436,MATCH($B$3&amp;"|"&amp;D115&amp;"|"&amp;B115&amp;"|"&amp;C115,'Master Data'!$A$2:$A$2436,0))&amp;"","")</f>
        <v/>
      </c>
      <c r="I115" s="67" t="s">
        <v>446</v>
      </c>
      <c r="J115" s="67" t="s">
        <v>134</v>
      </c>
      <c r="K115" s="68"/>
      <c r="L115" s="68"/>
      <c r="M115" s="68"/>
      <c r="N115" s="69"/>
      <c r="O115" s="68"/>
    </row>
    <row r="116" customFormat="false" ht="27.75" hidden="false" customHeight="true" outlineLevel="0" collapsed="false">
      <c r="A116" s="66" t="n">
        <v>25</v>
      </c>
      <c r="B116" s="67" t="s">
        <v>90</v>
      </c>
      <c r="C116" s="66" t="s">
        <v>101</v>
      </c>
      <c r="D116" s="66" t="n">
        <v>3</v>
      </c>
      <c r="E116" s="67" t="str">
        <f aca="false">IFERROR(INDEX('Master Data'!$L$2:$L$2436,MATCH($B$3&amp;"|"&amp;D116&amp;"|"&amp;B116&amp;"|"&amp;C116,'Master Data'!$A$2:$A$2436,0)),"")</f>
        <v>Belum terisi</v>
      </c>
      <c r="F116" s="67" t="str">
        <f aca="false">IFERROR(INDEX('Master Data'!$F$2:$F$2436,MATCH($B$3&amp;"|"&amp;D116&amp;"|"&amp;B116&amp;"|"&amp;C116,'Master Data'!$A$2:$A$2436,0))&amp;"","")</f>
        <v>Little</v>
      </c>
      <c r="G116" s="66" t="n">
        <f aca="false">IFERROR(INDEX('Master Data'!$G$2:$G$2436,MATCH($B$3&amp;"|"&amp;D116&amp;"|"&amp;B116&amp;"|"&amp;C116,'Master Data'!$A$2:$A$2436,0)),"")</f>
        <v>4</v>
      </c>
      <c r="H116" s="67" t="str">
        <f aca="false">IFERROR(INDEX('Master Data'!$K$2:$K$2436,MATCH($B$3&amp;"|"&amp;D116&amp;"|"&amp;B116&amp;"|"&amp;C116,'Master Data'!$A$2:$A$2436,0))&amp;"","")</f>
        <v/>
      </c>
      <c r="I116" s="67" t="s">
        <v>445</v>
      </c>
      <c r="J116" s="67" t="s">
        <v>134</v>
      </c>
      <c r="K116" s="68"/>
      <c r="L116" s="68"/>
      <c r="M116" s="68"/>
      <c r="N116" s="69"/>
      <c r="O116" s="68"/>
    </row>
    <row r="117" customFormat="false" ht="27.75" hidden="false" customHeight="true" outlineLevel="0" collapsed="false">
      <c r="A117" s="66" t="n">
        <v>26</v>
      </c>
      <c r="B117" s="67" t="s">
        <v>90</v>
      </c>
      <c r="C117" s="66" t="s">
        <v>101</v>
      </c>
      <c r="D117" s="66" t="n">
        <v>4</v>
      </c>
      <c r="E117" s="67" t="str">
        <f aca="false">IFERROR(INDEX('Master Data'!$L$2:$L$2436,MATCH($B$3&amp;"|"&amp;D117&amp;"|"&amp;B117&amp;"|"&amp;C117,'Master Data'!$A$2:$A$2436,0)),"")</f>
        <v>Belum terisi</v>
      </c>
      <c r="F117" s="67" t="str">
        <f aca="false">IFERROR(INDEX('Master Data'!$F$2:$F$2436,MATCH($B$3&amp;"|"&amp;D117&amp;"|"&amp;B117&amp;"|"&amp;C117,'Master Data'!$A$2:$A$2436,0))&amp;"","")</f>
        <v>Kids</v>
      </c>
      <c r="G117" s="66" t="n">
        <f aca="false">IFERROR(INDEX('Master Data'!$G$2:$G$2436,MATCH($B$3&amp;"|"&amp;D117&amp;"|"&amp;B117&amp;"|"&amp;C117,'Master Data'!$A$2:$A$2436,0)),"")</f>
        <v>4</v>
      </c>
      <c r="H117" s="67" t="str">
        <f aca="false">IFERROR(INDEX('Master Data'!$K$2:$K$2436,MATCH($B$3&amp;"|"&amp;D117&amp;"|"&amp;B117&amp;"|"&amp;C117,'Master Data'!$A$2:$A$2436,0))&amp;"","")</f>
        <v/>
      </c>
      <c r="I117" s="67" t="s">
        <v>445</v>
      </c>
      <c r="J117" s="67" t="s">
        <v>134</v>
      </c>
      <c r="K117" s="68"/>
      <c r="L117" s="68"/>
      <c r="M117" s="68"/>
      <c r="N117" s="69"/>
      <c r="O117" s="68"/>
    </row>
    <row r="118" customFormat="false" ht="27.75" hidden="false" customHeight="true" outlineLevel="0" collapsed="false">
      <c r="A118" s="66" t="n">
        <v>27</v>
      </c>
      <c r="B118" s="67" t="s">
        <v>90</v>
      </c>
      <c r="C118" s="66" t="s">
        <v>116</v>
      </c>
      <c r="D118" s="66" t="n">
        <v>1</v>
      </c>
      <c r="E118" s="67" t="str">
        <f aca="false">IFERROR(INDEX('Master Data'!$L$2:$L$2436,MATCH($B$3&amp;"|"&amp;D118&amp;"|"&amp;B118&amp;"|"&amp;C118,'Master Data'!$A$2:$A$2436,0)),"")</f>
        <v>Belum terisi</v>
      </c>
      <c r="F118" s="67" t="str">
        <f aca="false">IFERROR(INDEX('Master Data'!$F$2:$F$2436,MATCH($B$3&amp;"|"&amp;D118&amp;"|"&amp;B118&amp;"|"&amp;C118,'Master Data'!$A$2:$A$2436,0))&amp;"","")</f>
        <v>Baby</v>
      </c>
      <c r="G118" s="66" t="n">
        <f aca="false">IFERROR(INDEX('Master Data'!$G$2:$G$2436,MATCH($B$3&amp;"|"&amp;D118&amp;"|"&amp;B118&amp;"|"&amp;C118,'Master Data'!$A$2:$A$2436,0)),"")</f>
        <v>5</v>
      </c>
      <c r="H118" s="67" t="str">
        <f aca="false">IFERROR(INDEX('Master Data'!$K$2:$K$2436,MATCH($B$3&amp;"|"&amp;D118&amp;"|"&amp;B118&amp;"|"&amp;C118,'Master Data'!$A$2:$A$2436,0))&amp;"","")</f>
        <v/>
      </c>
      <c r="I118" s="67" t="s">
        <v>446</v>
      </c>
      <c r="J118" s="67" t="s">
        <v>134</v>
      </c>
      <c r="K118" s="68"/>
      <c r="L118" s="68"/>
      <c r="M118" s="68"/>
      <c r="N118" s="69"/>
      <c r="O118" s="68"/>
    </row>
    <row r="119" customFormat="false" ht="27.75" hidden="false" customHeight="true" outlineLevel="0" collapsed="false">
      <c r="A119" s="66" t="n">
        <v>28</v>
      </c>
      <c r="B119" s="67" t="s">
        <v>90</v>
      </c>
      <c r="C119" s="66" t="s">
        <v>116</v>
      </c>
      <c r="D119" s="66" t="n">
        <v>2</v>
      </c>
      <c r="E119" s="67" t="str">
        <f aca="false">IFERROR(INDEX('Master Data'!$L$2:$L$2436,MATCH($B$3&amp;"|"&amp;D119&amp;"|"&amp;B119&amp;"|"&amp;C119,'Master Data'!$A$2:$A$2436,0)),"")</f>
        <v>Belum terisi</v>
      </c>
      <c r="F119" s="67" t="str">
        <f aca="false">IFERROR(INDEX('Master Data'!$F$2:$F$2436,MATCH($B$3&amp;"|"&amp;D119&amp;"|"&amp;B119&amp;"|"&amp;C119,'Master Data'!$A$2:$A$2436,0))&amp;"","")</f>
        <v>Tiny</v>
      </c>
      <c r="G119" s="66" t="n">
        <f aca="false">IFERROR(INDEX('Master Data'!$G$2:$G$2436,MATCH($B$3&amp;"|"&amp;D119&amp;"|"&amp;B119&amp;"|"&amp;C119,'Master Data'!$A$2:$A$2436,0)),"")</f>
        <v>5</v>
      </c>
      <c r="H119" s="67" t="str">
        <f aca="false">IFERROR(INDEX('Master Data'!$K$2:$K$2436,MATCH($B$3&amp;"|"&amp;D119&amp;"|"&amp;B119&amp;"|"&amp;C119,'Master Data'!$A$2:$A$2436,0))&amp;"","")</f>
        <v/>
      </c>
      <c r="I119" s="67" t="s">
        <v>446</v>
      </c>
      <c r="J119" s="67" t="s">
        <v>134</v>
      </c>
      <c r="K119" s="68"/>
      <c r="L119" s="68"/>
      <c r="M119" s="68"/>
      <c r="N119" s="69"/>
      <c r="O119" s="68"/>
    </row>
    <row r="120" customFormat="false" ht="27.75" hidden="false" customHeight="true" outlineLevel="0" collapsed="false">
      <c r="A120" s="66" t="n">
        <v>29</v>
      </c>
      <c r="B120" s="67" t="s">
        <v>90</v>
      </c>
      <c r="C120" s="66" t="s">
        <v>116</v>
      </c>
      <c r="D120" s="66" t="n">
        <v>5</v>
      </c>
      <c r="E120" s="67" t="str">
        <f aca="false">IFERROR(INDEX('Master Data'!$L$2:$L$2436,MATCH($B$3&amp;"|"&amp;D120&amp;"|"&amp;B120&amp;"|"&amp;C120,'Master Data'!$A$2:$A$2436,0)),"")</f>
        <v>Slot kosong</v>
      </c>
      <c r="F120" s="67" t="str">
        <f aca="false">IFERROR(INDEX('Master Data'!$F$2:$F$2436,MATCH($B$3&amp;"|"&amp;D120&amp;"|"&amp;B120&amp;"|"&amp;C120,'Master Data'!$A$2:$A$2436,0))&amp;"","")</f>
        <v/>
      </c>
      <c r="G120" s="66" t="n">
        <f aca="false">IFERROR(INDEX('Master Data'!$G$2:$G$2436,MATCH($B$3&amp;"|"&amp;D120&amp;"|"&amp;B120&amp;"|"&amp;C120,'Master Data'!$A$2:$A$2436,0)),"")</f>
        <v>4</v>
      </c>
      <c r="H120" s="67" t="str">
        <f aca="false">IFERROR(INDEX('Master Data'!$K$2:$K$2436,MATCH($B$3&amp;"|"&amp;D120&amp;"|"&amp;B120&amp;"|"&amp;C120,'Master Data'!$A$2:$A$2436,0))&amp;"","")</f>
        <v/>
      </c>
      <c r="I120" s="67" t="s">
        <v>446</v>
      </c>
      <c r="J120" s="67" t="s">
        <v>134</v>
      </c>
      <c r="K120" s="68"/>
      <c r="L120" s="68"/>
      <c r="M120" s="68"/>
      <c r="N120" s="69"/>
      <c r="O120" s="68"/>
    </row>
    <row r="121" customFormat="false" ht="27.75" hidden="false" customHeight="true" outlineLevel="0" collapsed="false">
      <c r="A121" s="66" t="n">
        <v>30</v>
      </c>
      <c r="B121" s="67" t="s">
        <v>90</v>
      </c>
      <c r="C121" s="66" t="s">
        <v>102</v>
      </c>
      <c r="D121" s="66" t="n">
        <v>4</v>
      </c>
      <c r="E121" s="67" t="str">
        <f aca="false">IFERROR(INDEX('Master Data'!$L$2:$L$2436,MATCH($B$3&amp;"|"&amp;D121&amp;"|"&amp;B121&amp;"|"&amp;C121,'Master Data'!$A$2:$A$2436,0)),"")</f>
        <v>Belum terisi</v>
      </c>
      <c r="F121" s="67" t="str">
        <f aca="false">IFERROR(INDEX('Master Data'!$F$2:$F$2436,MATCH($B$3&amp;"|"&amp;D121&amp;"|"&amp;B121&amp;"|"&amp;C121,'Master Data'!$A$2:$A$2436,0))&amp;"","")</f>
        <v>Kids</v>
      </c>
      <c r="G121" s="66" t="n">
        <f aca="false">IFERROR(INDEX('Master Data'!$G$2:$G$2436,MATCH($B$3&amp;"|"&amp;D121&amp;"|"&amp;B121&amp;"|"&amp;C121,'Master Data'!$A$2:$A$2436,0)),"")</f>
        <v>4</v>
      </c>
      <c r="H121" s="67" t="str">
        <f aca="false">IFERROR(INDEX('Master Data'!$K$2:$K$2436,MATCH($B$3&amp;"|"&amp;D121&amp;"|"&amp;B121&amp;"|"&amp;C121,'Master Data'!$A$2:$A$2436,0))&amp;"","")</f>
        <v/>
      </c>
      <c r="I121" s="67" t="s">
        <v>446</v>
      </c>
      <c r="J121" s="67" t="s">
        <v>134</v>
      </c>
      <c r="K121" s="68"/>
      <c r="L121" s="68"/>
      <c r="M121" s="68"/>
      <c r="N121" s="69"/>
      <c r="O121" s="68"/>
    </row>
    <row r="122" customFormat="false" ht="27.75" hidden="false" customHeight="true" outlineLevel="0" collapsed="false">
      <c r="A122" s="66" t="n">
        <v>31</v>
      </c>
      <c r="B122" s="67" t="s">
        <v>90</v>
      </c>
      <c r="C122" s="66" t="s">
        <v>117</v>
      </c>
      <c r="D122" s="66" t="n">
        <v>1</v>
      </c>
      <c r="E122" s="67" t="str">
        <f aca="false">IFERROR(INDEX('Master Data'!$L$2:$L$2436,MATCH($B$3&amp;"|"&amp;D122&amp;"|"&amp;B122&amp;"|"&amp;C122,'Master Data'!$A$2:$A$2436,0)),"")</f>
        <v>Belum terisi</v>
      </c>
      <c r="F122" s="67" t="str">
        <f aca="false">IFERROR(INDEX('Master Data'!$F$2:$F$2436,MATCH($B$3&amp;"|"&amp;D122&amp;"|"&amp;B122&amp;"|"&amp;C122,'Master Data'!$A$2:$A$2436,0))&amp;"","")</f>
        <v>Baby</v>
      </c>
      <c r="G122" s="66" t="n">
        <f aca="false">IFERROR(INDEX('Master Data'!$G$2:$G$2436,MATCH($B$3&amp;"|"&amp;D122&amp;"|"&amp;B122&amp;"|"&amp;C122,'Master Data'!$A$2:$A$2436,0)),"")</f>
        <v>5</v>
      </c>
      <c r="H122" s="67" t="str">
        <f aca="false">IFERROR(INDEX('Master Data'!$K$2:$K$2436,MATCH($B$3&amp;"|"&amp;D122&amp;"|"&amp;B122&amp;"|"&amp;C122,'Master Data'!$A$2:$A$2436,0))&amp;"","")</f>
        <v/>
      </c>
      <c r="I122" s="67" t="s">
        <v>446</v>
      </c>
      <c r="J122" s="67" t="s">
        <v>134</v>
      </c>
      <c r="K122" s="68"/>
      <c r="L122" s="68"/>
      <c r="M122" s="68"/>
      <c r="N122" s="69"/>
      <c r="O122" s="68"/>
    </row>
    <row r="123" customFormat="false" ht="27.75" hidden="false" customHeight="true" outlineLevel="0" collapsed="false">
      <c r="A123" s="66" t="n">
        <v>32</v>
      </c>
      <c r="B123" s="67" t="s">
        <v>90</v>
      </c>
      <c r="C123" s="66" t="s">
        <v>117</v>
      </c>
      <c r="D123" s="66" t="n">
        <v>2</v>
      </c>
      <c r="E123" s="67" t="str">
        <f aca="false">IFERROR(INDEX('Master Data'!$L$2:$L$2436,MATCH($B$3&amp;"|"&amp;D123&amp;"|"&amp;B123&amp;"|"&amp;C123,'Master Data'!$A$2:$A$2436,0)),"")</f>
        <v>Belum terisi</v>
      </c>
      <c r="F123" s="67" t="str">
        <f aca="false">IFERROR(INDEX('Master Data'!$F$2:$F$2436,MATCH($B$3&amp;"|"&amp;D123&amp;"|"&amp;B123&amp;"|"&amp;C123,'Master Data'!$A$2:$A$2436,0))&amp;"","")</f>
        <v>Tiny</v>
      </c>
      <c r="G123" s="66" t="n">
        <f aca="false">IFERROR(INDEX('Master Data'!$G$2:$G$2436,MATCH($B$3&amp;"|"&amp;D123&amp;"|"&amp;B123&amp;"|"&amp;C123,'Master Data'!$A$2:$A$2436,0)),"")</f>
        <v>5</v>
      </c>
      <c r="H123" s="67" t="str">
        <f aca="false">IFERROR(INDEX('Master Data'!$K$2:$K$2436,MATCH($B$3&amp;"|"&amp;D123&amp;"|"&amp;B123&amp;"|"&amp;C123,'Master Data'!$A$2:$A$2436,0))&amp;"","")</f>
        <v/>
      </c>
      <c r="I123" s="67" t="s">
        <v>446</v>
      </c>
      <c r="J123" s="67" t="s">
        <v>134</v>
      </c>
      <c r="K123" s="68"/>
      <c r="L123" s="68"/>
      <c r="M123" s="68"/>
      <c r="N123" s="69"/>
      <c r="O123" s="68"/>
    </row>
    <row r="124" customFormat="false" ht="27.75" hidden="false" customHeight="true" outlineLevel="0" collapsed="false">
      <c r="A124" s="66" t="n">
        <v>33</v>
      </c>
      <c r="B124" s="67" t="s">
        <v>90</v>
      </c>
      <c r="C124" s="66" t="s">
        <v>117</v>
      </c>
      <c r="D124" s="66" t="n">
        <v>5</v>
      </c>
      <c r="E124" s="67" t="str">
        <f aca="false">IFERROR(INDEX('Master Data'!$L$2:$L$2436,MATCH($B$3&amp;"|"&amp;D124&amp;"|"&amp;B124&amp;"|"&amp;C124,'Master Data'!$A$2:$A$2436,0)),"")</f>
        <v>Slot kosong</v>
      </c>
      <c r="F124" s="67" t="str">
        <f aca="false">IFERROR(INDEX('Master Data'!$F$2:$F$2436,MATCH($B$3&amp;"|"&amp;D124&amp;"|"&amp;B124&amp;"|"&amp;C124,'Master Data'!$A$2:$A$2436,0))&amp;"","")</f>
        <v/>
      </c>
      <c r="G124" s="66" t="n">
        <f aca="false">IFERROR(INDEX('Master Data'!$G$2:$G$2436,MATCH($B$3&amp;"|"&amp;D124&amp;"|"&amp;B124&amp;"|"&amp;C124,'Master Data'!$A$2:$A$2436,0)),"")</f>
        <v>4</v>
      </c>
      <c r="H124" s="67" t="str">
        <f aca="false">IFERROR(INDEX('Master Data'!$K$2:$K$2436,MATCH($B$3&amp;"|"&amp;D124&amp;"|"&amp;B124&amp;"|"&amp;C124,'Master Data'!$A$2:$A$2436,0))&amp;"","")</f>
        <v/>
      </c>
      <c r="I124" s="67" t="s">
        <v>446</v>
      </c>
      <c r="J124" s="67" t="s">
        <v>134</v>
      </c>
      <c r="K124" s="68"/>
      <c r="L124" s="68"/>
      <c r="M124" s="68"/>
      <c r="N124" s="69"/>
      <c r="O124" s="68"/>
    </row>
    <row r="125" customFormat="false" ht="27.75" hidden="false" customHeight="true" outlineLevel="0" collapsed="false">
      <c r="A125" s="66" t="n">
        <v>34</v>
      </c>
      <c r="B125" s="67" t="s">
        <v>90</v>
      </c>
      <c r="C125" s="66" t="s">
        <v>103</v>
      </c>
      <c r="D125" s="66" t="n">
        <v>3</v>
      </c>
      <c r="E125" s="67" t="str">
        <f aca="false">IFERROR(INDEX('Master Data'!$L$2:$L$2436,MATCH($B$3&amp;"|"&amp;D125&amp;"|"&amp;B125&amp;"|"&amp;C125,'Master Data'!$A$2:$A$2436,0)),"")</f>
        <v>Belum terisi</v>
      </c>
      <c r="F125" s="67" t="str">
        <f aca="false">IFERROR(INDEX('Master Data'!$F$2:$F$2436,MATCH($B$3&amp;"|"&amp;D125&amp;"|"&amp;B125&amp;"|"&amp;C125,'Master Data'!$A$2:$A$2436,0))&amp;"","")</f>
        <v>Little</v>
      </c>
      <c r="G125" s="66" t="n">
        <f aca="false">IFERROR(INDEX('Master Data'!$G$2:$G$2436,MATCH($B$3&amp;"|"&amp;D125&amp;"|"&amp;B125&amp;"|"&amp;C125,'Master Data'!$A$2:$A$2436,0)),"")</f>
        <v>4</v>
      </c>
      <c r="H125" s="67" t="str">
        <f aca="false">IFERROR(INDEX('Master Data'!$K$2:$K$2436,MATCH($B$3&amp;"|"&amp;D125&amp;"|"&amp;B125&amp;"|"&amp;C125,'Master Data'!$A$2:$A$2436,0))&amp;"","")</f>
        <v/>
      </c>
      <c r="I125" s="67" t="s">
        <v>445</v>
      </c>
      <c r="J125" s="67" t="s">
        <v>134</v>
      </c>
      <c r="K125" s="68"/>
      <c r="L125" s="68"/>
      <c r="M125" s="68"/>
      <c r="N125" s="69"/>
      <c r="O125" s="68"/>
    </row>
    <row r="126" customFormat="false" ht="27.75" hidden="false" customHeight="true" outlineLevel="0" collapsed="false">
      <c r="A126" s="66" t="n">
        <v>35</v>
      </c>
      <c r="B126" s="67" t="s">
        <v>90</v>
      </c>
      <c r="C126" s="66" t="s">
        <v>103</v>
      </c>
      <c r="D126" s="66" t="n">
        <v>4</v>
      </c>
      <c r="E126" s="67" t="str">
        <f aca="false">IFERROR(INDEX('Master Data'!$L$2:$L$2436,MATCH($B$3&amp;"|"&amp;D126&amp;"|"&amp;B126&amp;"|"&amp;C126,'Master Data'!$A$2:$A$2436,0)),"")</f>
        <v>Belum terisi</v>
      </c>
      <c r="F126" s="67" t="str">
        <f aca="false">IFERROR(INDEX('Master Data'!$F$2:$F$2436,MATCH($B$3&amp;"|"&amp;D126&amp;"|"&amp;B126&amp;"|"&amp;C126,'Master Data'!$A$2:$A$2436,0))&amp;"","")</f>
        <v>Kids</v>
      </c>
      <c r="G126" s="66" t="n">
        <f aca="false">IFERROR(INDEX('Master Data'!$G$2:$G$2436,MATCH($B$3&amp;"|"&amp;D126&amp;"|"&amp;B126&amp;"|"&amp;C126,'Master Data'!$A$2:$A$2436,0)),"")</f>
        <v>4</v>
      </c>
      <c r="H126" s="67" t="str">
        <f aca="false">IFERROR(INDEX('Master Data'!$K$2:$K$2436,MATCH($B$3&amp;"|"&amp;D126&amp;"|"&amp;B126&amp;"|"&amp;C126,'Master Data'!$A$2:$A$2436,0))&amp;"","")</f>
        <v/>
      </c>
      <c r="I126" s="67" t="s">
        <v>445</v>
      </c>
      <c r="J126" s="67" t="s">
        <v>134</v>
      </c>
      <c r="K126" s="68"/>
      <c r="L126" s="68"/>
      <c r="M126" s="68"/>
      <c r="N126" s="69"/>
      <c r="O126" s="68"/>
    </row>
    <row r="127" customFormat="false" ht="27.75" hidden="false" customHeight="true" outlineLevel="0" collapsed="false">
      <c r="A127" s="66" t="n">
        <v>36</v>
      </c>
      <c r="B127" s="67" t="s">
        <v>90</v>
      </c>
      <c r="C127" s="66" t="s">
        <v>118</v>
      </c>
      <c r="D127" s="66" t="n">
        <v>1</v>
      </c>
      <c r="E127" s="67" t="str">
        <f aca="false">IFERROR(INDEX('Master Data'!$L$2:$L$2436,MATCH($B$3&amp;"|"&amp;D127&amp;"|"&amp;B127&amp;"|"&amp;C127,'Master Data'!$A$2:$A$2436,0)),"")</f>
        <v>Belum terisi</v>
      </c>
      <c r="F127" s="67" t="str">
        <f aca="false">IFERROR(INDEX('Master Data'!$F$2:$F$2436,MATCH($B$3&amp;"|"&amp;D127&amp;"|"&amp;B127&amp;"|"&amp;C127,'Master Data'!$A$2:$A$2436,0))&amp;"","")</f>
        <v>Baby</v>
      </c>
      <c r="G127" s="66" t="n">
        <f aca="false">IFERROR(INDEX('Master Data'!$G$2:$G$2436,MATCH($B$3&amp;"|"&amp;D127&amp;"|"&amp;B127&amp;"|"&amp;C127,'Master Data'!$A$2:$A$2436,0)),"")</f>
        <v>5</v>
      </c>
      <c r="H127" s="67" t="str">
        <f aca="false">IFERROR(INDEX('Master Data'!$K$2:$K$2436,MATCH($B$3&amp;"|"&amp;D127&amp;"|"&amp;B127&amp;"|"&amp;C127,'Master Data'!$A$2:$A$2436,0))&amp;"","")</f>
        <v/>
      </c>
      <c r="I127" s="67" t="s">
        <v>448</v>
      </c>
      <c r="J127" s="67" t="s">
        <v>134</v>
      </c>
      <c r="K127" s="68"/>
      <c r="L127" s="68"/>
      <c r="M127" s="68"/>
      <c r="N127" s="69"/>
      <c r="O127" s="68"/>
    </row>
    <row r="128" customFormat="false" ht="27.75" hidden="false" customHeight="true" outlineLevel="0" collapsed="false">
      <c r="A128" s="66" t="n">
        <v>37</v>
      </c>
      <c r="B128" s="67" t="s">
        <v>90</v>
      </c>
      <c r="C128" s="66" t="s">
        <v>118</v>
      </c>
      <c r="D128" s="66" t="n">
        <v>2</v>
      </c>
      <c r="E128" s="67" t="str">
        <f aca="false">IFERROR(INDEX('Master Data'!$L$2:$L$2436,MATCH($B$3&amp;"|"&amp;D128&amp;"|"&amp;B128&amp;"|"&amp;C128,'Master Data'!$A$2:$A$2436,0)),"")</f>
        <v>Belum terisi</v>
      </c>
      <c r="F128" s="67" t="str">
        <f aca="false">IFERROR(INDEX('Master Data'!$F$2:$F$2436,MATCH($B$3&amp;"|"&amp;D128&amp;"|"&amp;B128&amp;"|"&amp;C128,'Master Data'!$A$2:$A$2436,0))&amp;"","")</f>
        <v>Tiny</v>
      </c>
      <c r="G128" s="66" t="n">
        <f aca="false">IFERROR(INDEX('Master Data'!$G$2:$G$2436,MATCH($B$3&amp;"|"&amp;D128&amp;"|"&amp;B128&amp;"|"&amp;C128,'Master Data'!$A$2:$A$2436,0)),"")</f>
        <v>5</v>
      </c>
      <c r="H128" s="67" t="str">
        <f aca="false">IFERROR(INDEX('Master Data'!$K$2:$K$2436,MATCH($B$3&amp;"|"&amp;D128&amp;"|"&amp;B128&amp;"|"&amp;C128,'Master Data'!$A$2:$A$2436,0))&amp;"","")</f>
        <v/>
      </c>
      <c r="I128" s="67" t="s">
        <v>448</v>
      </c>
      <c r="J128" s="67" t="s">
        <v>134</v>
      </c>
      <c r="K128" s="68"/>
      <c r="L128" s="68"/>
      <c r="M128" s="68"/>
      <c r="N128" s="69"/>
      <c r="O128" s="68"/>
    </row>
    <row r="129" customFormat="false" ht="27.75" hidden="false" customHeight="true" outlineLevel="0" collapsed="false">
      <c r="A129" s="66" t="n">
        <v>38</v>
      </c>
      <c r="B129" s="67" t="s">
        <v>90</v>
      </c>
      <c r="C129" s="66" t="s">
        <v>118</v>
      </c>
      <c r="D129" s="66" t="n">
        <v>5</v>
      </c>
      <c r="E129" s="67" t="str">
        <f aca="false">IFERROR(INDEX('Master Data'!$L$2:$L$2436,MATCH($B$3&amp;"|"&amp;D129&amp;"|"&amp;B129&amp;"|"&amp;C129,'Master Data'!$A$2:$A$2436,0)),"")</f>
        <v>Slot kosong</v>
      </c>
      <c r="F129" s="67" t="str">
        <f aca="false">IFERROR(INDEX('Master Data'!$F$2:$F$2436,MATCH($B$3&amp;"|"&amp;D129&amp;"|"&amp;B129&amp;"|"&amp;C129,'Master Data'!$A$2:$A$2436,0))&amp;"","")</f>
        <v/>
      </c>
      <c r="G129" s="66" t="n">
        <f aca="false">IFERROR(INDEX('Master Data'!$G$2:$G$2436,MATCH($B$3&amp;"|"&amp;D129&amp;"|"&amp;B129&amp;"|"&amp;C129,'Master Data'!$A$2:$A$2436,0)),"")</f>
        <v>4</v>
      </c>
      <c r="H129" s="67" t="str">
        <f aca="false">IFERROR(INDEX('Master Data'!$K$2:$K$2436,MATCH($B$3&amp;"|"&amp;D129&amp;"|"&amp;B129&amp;"|"&amp;C129,'Master Data'!$A$2:$A$2436,0))&amp;"","")</f>
        <v/>
      </c>
      <c r="I129" s="67" t="s">
        <v>448</v>
      </c>
      <c r="J129" s="67" t="s">
        <v>134</v>
      </c>
      <c r="K129" s="68"/>
      <c r="L129" s="68"/>
      <c r="M129" s="68"/>
      <c r="N129" s="69"/>
      <c r="O129" s="68"/>
    </row>
    <row r="130" customFormat="false" ht="27.75" hidden="false" customHeight="true" outlineLevel="0" collapsed="false">
      <c r="A130" s="66" t="n">
        <v>39</v>
      </c>
      <c r="B130" s="67" t="s">
        <v>90</v>
      </c>
      <c r="C130" s="66" t="s">
        <v>104</v>
      </c>
      <c r="D130" s="66" t="n">
        <v>3</v>
      </c>
      <c r="E130" s="67" t="str">
        <f aca="false">IFERROR(INDEX('Master Data'!$L$2:$L$2436,MATCH($B$3&amp;"|"&amp;D130&amp;"|"&amp;B130&amp;"|"&amp;C130,'Master Data'!$A$2:$A$2436,0)),"")</f>
        <v>Belum terisi</v>
      </c>
      <c r="F130" s="67" t="str">
        <f aca="false">IFERROR(INDEX('Master Data'!$F$2:$F$2436,MATCH($B$3&amp;"|"&amp;D130&amp;"|"&amp;B130&amp;"|"&amp;C130,'Master Data'!$A$2:$A$2436,0))&amp;"","")</f>
        <v>Little</v>
      </c>
      <c r="G130" s="66" t="n">
        <f aca="false">IFERROR(INDEX('Master Data'!$G$2:$G$2436,MATCH($B$3&amp;"|"&amp;D130&amp;"|"&amp;B130&amp;"|"&amp;C130,'Master Data'!$A$2:$A$2436,0)),"")</f>
        <v>4</v>
      </c>
      <c r="H130" s="67" t="str">
        <f aca="false">IFERROR(INDEX('Master Data'!$K$2:$K$2436,MATCH($B$3&amp;"|"&amp;D130&amp;"|"&amp;B130&amp;"|"&amp;C130,'Master Data'!$A$2:$A$2436,0))&amp;"","")</f>
        <v/>
      </c>
      <c r="I130" s="67" t="s">
        <v>448</v>
      </c>
      <c r="J130" s="67" t="s">
        <v>134</v>
      </c>
      <c r="K130" s="68"/>
      <c r="L130" s="68"/>
      <c r="M130" s="68"/>
      <c r="N130" s="69"/>
      <c r="O130" s="68"/>
    </row>
    <row r="131" customFormat="false" ht="27.75" hidden="false" customHeight="true" outlineLevel="0" collapsed="false">
      <c r="A131" s="66" t="n">
        <v>40</v>
      </c>
      <c r="B131" s="67" t="s">
        <v>90</v>
      </c>
      <c r="C131" s="66" t="s">
        <v>104</v>
      </c>
      <c r="D131" s="66" t="n">
        <v>4</v>
      </c>
      <c r="E131" s="67" t="str">
        <f aca="false">IFERROR(INDEX('Master Data'!$L$2:$L$2436,MATCH($B$3&amp;"|"&amp;D131&amp;"|"&amp;B131&amp;"|"&amp;C131,'Master Data'!$A$2:$A$2436,0)),"")</f>
        <v>Belum terisi</v>
      </c>
      <c r="F131" s="67" t="str">
        <f aca="false">IFERROR(INDEX('Master Data'!$F$2:$F$2436,MATCH($B$3&amp;"|"&amp;D131&amp;"|"&amp;B131&amp;"|"&amp;C131,'Master Data'!$A$2:$A$2436,0))&amp;"","")</f>
        <v>Kids</v>
      </c>
      <c r="G131" s="66" t="n">
        <f aca="false">IFERROR(INDEX('Master Data'!$G$2:$G$2436,MATCH($B$3&amp;"|"&amp;D131&amp;"|"&amp;B131&amp;"|"&amp;C131,'Master Data'!$A$2:$A$2436,0)),"")</f>
        <v>4</v>
      </c>
      <c r="H131" s="67" t="str">
        <f aca="false">IFERROR(INDEX('Master Data'!$K$2:$K$2436,MATCH($B$3&amp;"|"&amp;D131&amp;"|"&amp;B131&amp;"|"&amp;C131,'Master Data'!$A$2:$A$2436,0))&amp;"","")</f>
        <v>Angga</v>
      </c>
      <c r="I131" s="67" t="s">
        <v>448</v>
      </c>
      <c r="J131" s="67" t="s">
        <v>134</v>
      </c>
      <c r="K131" s="68"/>
      <c r="L131" s="68"/>
      <c r="M131" s="68"/>
      <c r="N131" s="69"/>
      <c r="O131" s="68"/>
    </row>
    <row r="132" customFormat="false" ht="27.75" hidden="false" customHeight="true" outlineLevel="0" collapsed="false">
      <c r="A132" s="66" t="n">
        <v>41</v>
      </c>
      <c r="B132" s="67" t="s">
        <v>90</v>
      </c>
      <c r="C132" s="66" t="s">
        <v>119</v>
      </c>
      <c r="D132" s="66" t="n">
        <v>1</v>
      </c>
      <c r="E132" s="67" t="str">
        <f aca="false">IFERROR(INDEX('Master Data'!$L$2:$L$2436,MATCH($B$3&amp;"|"&amp;D132&amp;"|"&amp;B132&amp;"|"&amp;C132,'Master Data'!$A$2:$A$2436,0)),"")</f>
        <v>Belum terisi</v>
      </c>
      <c r="F132" s="67" t="str">
        <f aca="false">IFERROR(INDEX('Master Data'!$F$2:$F$2436,MATCH($B$3&amp;"|"&amp;D132&amp;"|"&amp;B132&amp;"|"&amp;C132,'Master Data'!$A$2:$A$2436,0))&amp;"","")</f>
        <v>Baby</v>
      </c>
      <c r="G132" s="66" t="n">
        <f aca="false">IFERROR(INDEX('Master Data'!$G$2:$G$2436,MATCH($B$3&amp;"|"&amp;D132&amp;"|"&amp;B132&amp;"|"&amp;C132,'Master Data'!$A$2:$A$2436,0)),"")</f>
        <v>5</v>
      </c>
      <c r="H132" s="67" t="str">
        <f aca="false">IFERROR(INDEX('Master Data'!$K$2:$K$2436,MATCH($B$3&amp;"|"&amp;D132&amp;"|"&amp;B132&amp;"|"&amp;C132,'Master Data'!$A$2:$A$2436,0))&amp;"","")</f>
        <v/>
      </c>
      <c r="I132" s="67" t="s">
        <v>448</v>
      </c>
      <c r="J132" s="67" t="s">
        <v>134</v>
      </c>
      <c r="K132" s="68"/>
      <c r="L132" s="68"/>
      <c r="M132" s="68"/>
      <c r="N132" s="69"/>
      <c r="O132" s="68"/>
    </row>
    <row r="133" customFormat="false" ht="27.75" hidden="false" customHeight="true" outlineLevel="0" collapsed="false">
      <c r="A133" s="66" t="n">
        <v>42</v>
      </c>
      <c r="B133" s="67" t="s">
        <v>90</v>
      </c>
      <c r="C133" s="66" t="s">
        <v>119</v>
      </c>
      <c r="D133" s="66" t="n">
        <v>2</v>
      </c>
      <c r="E133" s="67" t="str">
        <f aca="false">IFERROR(INDEX('Master Data'!$L$2:$L$2436,MATCH($B$3&amp;"|"&amp;D133&amp;"|"&amp;B133&amp;"|"&amp;C133,'Master Data'!$A$2:$A$2436,0)),"")</f>
        <v>Belum terisi</v>
      </c>
      <c r="F133" s="67" t="str">
        <f aca="false">IFERROR(INDEX('Master Data'!$F$2:$F$2436,MATCH($B$3&amp;"|"&amp;D133&amp;"|"&amp;B133&amp;"|"&amp;C133,'Master Data'!$A$2:$A$2436,0))&amp;"","")</f>
        <v>Tiny</v>
      </c>
      <c r="G133" s="66" t="n">
        <f aca="false">IFERROR(INDEX('Master Data'!$G$2:$G$2436,MATCH($B$3&amp;"|"&amp;D133&amp;"|"&amp;B133&amp;"|"&amp;C133,'Master Data'!$A$2:$A$2436,0)),"")</f>
        <v>5</v>
      </c>
      <c r="H133" s="67" t="str">
        <f aca="false">IFERROR(INDEX('Master Data'!$K$2:$K$2436,MATCH($B$3&amp;"|"&amp;D133&amp;"|"&amp;B133&amp;"|"&amp;C133,'Master Data'!$A$2:$A$2436,0))&amp;"","")</f>
        <v/>
      </c>
      <c r="I133" s="67" t="s">
        <v>448</v>
      </c>
      <c r="J133" s="67" t="s">
        <v>134</v>
      </c>
      <c r="K133" s="68"/>
      <c r="L133" s="68"/>
      <c r="M133" s="68"/>
      <c r="N133" s="69"/>
      <c r="O133" s="68"/>
    </row>
    <row r="134" customFormat="false" ht="27.75" hidden="false" customHeight="true" outlineLevel="0" collapsed="false">
      <c r="A134" s="66" t="n">
        <v>43</v>
      </c>
      <c r="B134" s="67" t="s">
        <v>90</v>
      </c>
      <c r="C134" s="66" t="s">
        <v>119</v>
      </c>
      <c r="D134" s="66" t="n">
        <v>5</v>
      </c>
      <c r="E134" s="67" t="str">
        <f aca="false">IFERROR(INDEX('Master Data'!$L$2:$L$2436,MATCH($B$3&amp;"|"&amp;D134&amp;"|"&amp;B134&amp;"|"&amp;C134,'Master Data'!$A$2:$A$2436,0)),"")</f>
        <v>Slot kosong</v>
      </c>
      <c r="F134" s="67" t="str">
        <f aca="false">IFERROR(INDEX('Master Data'!$F$2:$F$2436,MATCH($B$3&amp;"|"&amp;D134&amp;"|"&amp;B134&amp;"|"&amp;C134,'Master Data'!$A$2:$A$2436,0))&amp;"","")</f>
        <v/>
      </c>
      <c r="G134" s="66" t="n">
        <f aca="false">IFERROR(INDEX('Master Data'!$G$2:$G$2436,MATCH($B$3&amp;"|"&amp;D134&amp;"|"&amp;B134&amp;"|"&amp;C134,'Master Data'!$A$2:$A$2436,0)),"")</f>
        <v>4</v>
      </c>
      <c r="H134" s="67" t="str">
        <f aca="false">IFERROR(INDEX('Master Data'!$K$2:$K$2436,MATCH($B$3&amp;"|"&amp;D134&amp;"|"&amp;B134&amp;"|"&amp;C134,'Master Data'!$A$2:$A$2436,0))&amp;"","")</f>
        <v/>
      </c>
      <c r="I134" s="67" t="s">
        <v>448</v>
      </c>
      <c r="J134" s="67" t="s">
        <v>134</v>
      </c>
      <c r="K134" s="68"/>
      <c r="L134" s="68"/>
      <c r="M134" s="68"/>
      <c r="N134" s="69"/>
      <c r="O134" s="68"/>
    </row>
    <row r="135" customFormat="false" ht="27.75" hidden="false" customHeight="true" outlineLevel="0" collapsed="false">
      <c r="A135" s="66" t="n">
        <v>44</v>
      </c>
      <c r="B135" s="67" t="s">
        <v>90</v>
      </c>
      <c r="C135" s="66" t="s">
        <v>105</v>
      </c>
      <c r="D135" s="66" t="n">
        <v>4</v>
      </c>
      <c r="E135" s="67" t="str">
        <f aca="false">IFERROR(INDEX('Master Data'!$L$2:$L$2436,MATCH($B$3&amp;"|"&amp;D135&amp;"|"&amp;B135&amp;"|"&amp;C135,'Master Data'!$A$2:$A$2436,0)),"")</f>
        <v>Belum terisi</v>
      </c>
      <c r="F135" s="67" t="str">
        <f aca="false">IFERROR(INDEX('Master Data'!$F$2:$F$2436,MATCH($B$3&amp;"|"&amp;D135&amp;"|"&amp;B135&amp;"|"&amp;C135,'Master Data'!$A$2:$A$2436,0))&amp;"","")</f>
        <v>Kids</v>
      </c>
      <c r="G135" s="66" t="n">
        <f aca="false">IFERROR(INDEX('Master Data'!$G$2:$G$2436,MATCH($B$3&amp;"|"&amp;D135&amp;"|"&amp;B135&amp;"|"&amp;C135,'Master Data'!$A$2:$A$2436,0)),"")</f>
        <v>4</v>
      </c>
      <c r="H135" s="67" t="str">
        <f aca="false">IFERROR(INDEX('Master Data'!$K$2:$K$2436,MATCH($B$3&amp;"|"&amp;D135&amp;"|"&amp;B135&amp;"|"&amp;C135,'Master Data'!$A$2:$A$2436,0))&amp;"","")</f>
        <v/>
      </c>
      <c r="I135" s="67" t="s">
        <v>448</v>
      </c>
      <c r="J135" s="67" t="s">
        <v>134</v>
      </c>
      <c r="K135" s="68"/>
      <c r="L135" s="68"/>
      <c r="M135" s="68"/>
      <c r="N135" s="69"/>
      <c r="O135" s="68"/>
    </row>
    <row r="136" customFormat="false" ht="27.75" hidden="false" customHeight="true" outlineLevel="0" collapsed="false">
      <c r="A136" s="66" t="n">
        <v>45</v>
      </c>
      <c r="B136" s="67" t="s">
        <v>90</v>
      </c>
      <c r="C136" s="66" t="s">
        <v>120</v>
      </c>
      <c r="D136" s="66" t="n">
        <v>1</v>
      </c>
      <c r="E136" s="67" t="str">
        <f aca="false">IFERROR(INDEX('Master Data'!$L$2:$L$2436,MATCH($B$3&amp;"|"&amp;D136&amp;"|"&amp;B136&amp;"|"&amp;C136,'Master Data'!$A$2:$A$2436,0)),"")</f>
        <v>Belum terisi</v>
      </c>
      <c r="F136" s="67" t="str">
        <f aca="false">IFERROR(INDEX('Master Data'!$F$2:$F$2436,MATCH($B$3&amp;"|"&amp;D136&amp;"|"&amp;B136&amp;"|"&amp;C136,'Master Data'!$A$2:$A$2436,0))&amp;"","")</f>
        <v>Baby</v>
      </c>
      <c r="G136" s="66" t="n">
        <f aca="false">IFERROR(INDEX('Master Data'!$G$2:$G$2436,MATCH($B$3&amp;"|"&amp;D136&amp;"|"&amp;B136&amp;"|"&amp;C136,'Master Data'!$A$2:$A$2436,0)),"")</f>
        <v>5</v>
      </c>
      <c r="H136" s="67" t="str">
        <f aca="false">IFERROR(INDEX('Master Data'!$K$2:$K$2436,MATCH($B$3&amp;"|"&amp;D136&amp;"|"&amp;B136&amp;"|"&amp;C136,'Master Data'!$A$2:$A$2436,0))&amp;"","")</f>
        <v/>
      </c>
      <c r="I136" s="67" t="s">
        <v>448</v>
      </c>
      <c r="J136" s="67" t="s">
        <v>134</v>
      </c>
      <c r="K136" s="68"/>
      <c r="L136" s="68"/>
      <c r="M136" s="68"/>
      <c r="N136" s="69"/>
      <c r="O136" s="68"/>
    </row>
    <row r="137" customFormat="false" ht="27.75" hidden="false" customHeight="true" outlineLevel="0" collapsed="false">
      <c r="A137" s="66" t="n">
        <v>46</v>
      </c>
      <c r="B137" s="67" t="s">
        <v>90</v>
      </c>
      <c r="C137" s="66" t="s">
        <v>120</v>
      </c>
      <c r="D137" s="66" t="n">
        <v>2</v>
      </c>
      <c r="E137" s="67" t="str">
        <f aca="false">IFERROR(INDEX('Master Data'!$L$2:$L$2436,MATCH($B$3&amp;"|"&amp;D137&amp;"|"&amp;B137&amp;"|"&amp;C137,'Master Data'!$A$2:$A$2436,0)),"")</f>
        <v>Belum terisi</v>
      </c>
      <c r="F137" s="67" t="str">
        <f aca="false">IFERROR(INDEX('Master Data'!$F$2:$F$2436,MATCH($B$3&amp;"|"&amp;D137&amp;"|"&amp;B137&amp;"|"&amp;C137,'Master Data'!$A$2:$A$2436,0))&amp;"","")</f>
        <v>Tiny</v>
      </c>
      <c r="G137" s="66" t="n">
        <f aca="false">IFERROR(INDEX('Master Data'!$G$2:$G$2436,MATCH($B$3&amp;"|"&amp;D137&amp;"|"&amp;B137&amp;"|"&amp;C137,'Master Data'!$A$2:$A$2436,0)),"")</f>
        <v>5</v>
      </c>
      <c r="H137" s="67" t="str">
        <f aca="false">IFERROR(INDEX('Master Data'!$K$2:$K$2436,MATCH($B$3&amp;"|"&amp;D137&amp;"|"&amp;B137&amp;"|"&amp;C137,'Master Data'!$A$2:$A$2436,0))&amp;"","")</f>
        <v/>
      </c>
      <c r="I137" s="67" t="s">
        <v>448</v>
      </c>
      <c r="J137" s="67" t="s">
        <v>134</v>
      </c>
      <c r="K137" s="68"/>
      <c r="L137" s="68"/>
      <c r="M137" s="68"/>
      <c r="N137" s="69"/>
      <c r="O137" s="68"/>
    </row>
    <row r="138" customFormat="false" ht="27.75" hidden="false" customHeight="true" outlineLevel="0" collapsed="false">
      <c r="A138" s="66" t="n">
        <v>47</v>
      </c>
      <c r="B138" s="67" t="s">
        <v>90</v>
      </c>
      <c r="C138" s="66" t="s">
        <v>120</v>
      </c>
      <c r="D138" s="66" t="n">
        <v>5</v>
      </c>
      <c r="E138" s="67" t="str">
        <f aca="false">IFERROR(INDEX('Master Data'!$L$2:$L$2436,MATCH($B$3&amp;"|"&amp;D138&amp;"|"&amp;B138&amp;"|"&amp;C138,'Master Data'!$A$2:$A$2436,0)),"")</f>
        <v>Slot kosong</v>
      </c>
      <c r="F138" s="67" t="str">
        <f aca="false">IFERROR(INDEX('Master Data'!$F$2:$F$2436,MATCH($B$3&amp;"|"&amp;D138&amp;"|"&amp;B138&amp;"|"&amp;C138,'Master Data'!$A$2:$A$2436,0))&amp;"","")</f>
        <v/>
      </c>
      <c r="G138" s="66" t="n">
        <f aca="false">IFERROR(INDEX('Master Data'!$G$2:$G$2436,MATCH($B$3&amp;"|"&amp;D138&amp;"|"&amp;B138&amp;"|"&amp;C138,'Master Data'!$A$2:$A$2436,0)),"")</f>
        <v>4</v>
      </c>
      <c r="H138" s="67" t="str">
        <f aca="false">IFERROR(INDEX('Master Data'!$K$2:$K$2436,MATCH($B$3&amp;"|"&amp;D138&amp;"|"&amp;B138&amp;"|"&amp;C138,'Master Data'!$A$2:$A$2436,0))&amp;"","")</f>
        <v/>
      </c>
      <c r="I138" s="67" t="s">
        <v>448</v>
      </c>
      <c r="J138" s="67" t="s">
        <v>134</v>
      </c>
      <c r="K138" s="68"/>
      <c r="L138" s="68"/>
      <c r="M138" s="68"/>
      <c r="N138" s="69"/>
      <c r="O138" s="68"/>
    </row>
    <row r="139" customFormat="false" ht="27.75" hidden="false" customHeight="true" outlineLevel="0" collapsed="false">
      <c r="A139" s="66" t="n">
        <v>48</v>
      </c>
      <c r="B139" s="67" t="s">
        <v>90</v>
      </c>
      <c r="C139" s="66" t="s">
        <v>106</v>
      </c>
      <c r="D139" s="66" t="n">
        <v>3</v>
      </c>
      <c r="E139" s="67" t="str">
        <f aca="false">IFERROR(INDEX('Master Data'!$L$2:$L$2436,MATCH($B$3&amp;"|"&amp;D139&amp;"|"&amp;B139&amp;"|"&amp;C139,'Master Data'!$A$2:$A$2436,0)),"")</f>
        <v>Belum terisi</v>
      </c>
      <c r="F139" s="67" t="str">
        <f aca="false">IFERROR(INDEX('Master Data'!$F$2:$F$2436,MATCH($B$3&amp;"|"&amp;D139&amp;"|"&amp;B139&amp;"|"&amp;C139,'Master Data'!$A$2:$A$2436,0))&amp;"","")</f>
        <v>Little</v>
      </c>
      <c r="G139" s="66" t="n">
        <f aca="false">IFERROR(INDEX('Master Data'!$G$2:$G$2436,MATCH($B$3&amp;"|"&amp;D139&amp;"|"&amp;B139&amp;"|"&amp;C139,'Master Data'!$A$2:$A$2436,0)),"")</f>
        <v>4</v>
      </c>
      <c r="H139" s="67" t="str">
        <f aca="false">IFERROR(INDEX('Master Data'!$K$2:$K$2436,MATCH($B$3&amp;"|"&amp;D139&amp;"|"&amp;B139&amp;"|"&amp;C139,'Master Data'!$A$2:$A$2436,0))&amp;"","")</f>
        <v/>
      </c>
      <c r="I139" s="67" t="s">
        <v>445</v>
      </c>
      <c r="J139" s="67" t="s">
        <v>134</v>
      </c>
      <c r="K139" s="68"/>
      <c r="L139" s="68"/>
      <c r="M139" s="68"/>
      <c r="N139" s="69"/>
      <c r="O139" s="68"/>
    </row>
    <row r="140" customFormat="false" ht="27.75" hidden="false" customHeight="true" outlineLevel="0" collapsed="false">
      <c r="A140" s="66" t="n">
        <v>49</v>
      </c>
      <c r="B140" s="67" t="s">
        <v>90</v>
      </c>
      <c r="C140" s="66" t="s">
        <v>121</v>
      </c>
      <c r="D140" s="66" t="n">
        <v>1</v>
      </c>
      <c r="E140" s="67" t="str">
        <f aca="false">IFERROR(INDEX('Master Data'!$L$2:$L$2436,MATCH($B$3&amp;"|"&amp;D140&amp;"|"&amp;B140&amp;"|"&amp;C140,'Master Data'!$A$2:$A$2436,0)),"")</f>
        <v>Belum terisi</v>
      </c>
      <c r="F140" s="67" t="str">
        <f aca="false">IFERROR(INDEX('Master Data'!$F$2:$F$2436,MATCH($B$3&amp;"|"&amp;D140&amp;"|"&amp;B140&amp;"|"&amp;C140,'Master Data'!$A$2:$A$2436,0))&amp;"","")</f>
        <v>Baby</v>
      </c>
      <c r="G140" s="66" t="n">
        <f aca="false">IFERROR(INDEX('Master Data'!$G$2:$G$2436,MATCH($B$3&amp;"|"&amp;D140&amp;"|"&amp;B140&amp;"|"&amp;C140,'Master Data'!$A$2:$A$2436,0)),"")</f>
        <v>5</v>
      </c>
      <c r="H140" s="67" t="str">
        <f aca="false">IFERROR(INDEX('Master Data'!$K$2:$K$2436,MATCH($B$3&amp;"|"&amp;D140&amp;"|"&amp;B140&amp;"|"&amp;C140,'Master Data'!$A$2:$A$2436,0))&amp;"","")</f>
        <v/>
      </c>
      <c r="I140" s="67" t="s">
        <v>448</v>
      </c>
      <c r="J140" s="67" t="s">
        <v>134</v>
      </c>
      <c r="K140" s="68"/>
      <c r="L140" s="68"/>
      <c r="M140" s="68"/>
      <c r="N140" s="69"/>
      <c r="O140" s="68"/>
    </row>
    <row r="141" customFormat="false" ht="27.75" hidden="false" customHeight="true" outlineLevel="0" collapsed="false">
      <c r="A141" s="66" t="n">
        <v>50</v>
      </c>
      <c r="B141" s="67" t="s">
        <v>90</v>
      </c>
      <c r="C141" s="66" t="s">
        <v>121</v>
      </c>
      <c r="D141" s="66" t="n">
        <v>2</v>
      </c>
      <c r="E141" s="67" t="str">
        <f aca="false">IFERROR(INDEX('Master Data'!$L$2:$L$2436,MATCH($B$3&amp;"|"&amp;D141&amp;"|"&amp;B141&amp;"|"&amp;C141,'Master Data'!$A$2:$A$2436,0)),"")</f>
        <v>Belum terisi</v>
      </c>
      <c r="F141" s="67" t="str">
        <f aca="false">IFERROR(INDEX('Master Data'!$F$2:$F$2436,MATCH($B$3&amp;"|"&amp;D141&amp;"|"&amp;B141&amp;"|"&amp;C141,'Master Data'!$A$2:$A$2436,0))&amp;"","")</f>
        <v>Tiny</v>
      </c>
      <c r="G141" s="66" t="n">
        <f aca="false">IFERROR(INDEX('Master Data'!$G$2:$G$2436,MATCH($B$3&amp;"|"&amp;D141&amp;"|"&amp;B141&amp;"|"&amp;C141,'Master Data'!$A$2:$A$2436,0)),"")</f>
        <v>5</v>
      </c>
      <c r="H141" s="67" t="str">
        <f aca="false">IFERROR(INDEX('Master Data'!$K$2:$K$2436,MATCH($B$3&amp;"|"&amp;D141&amp;"|"&amp;B141&amp;"|"&amp;C141,'Master Data'!$A$2:$A$2436,0))&amp;"","")</f>
        <v/>
      </c>
      <c r="I141" s="67" t="s">
        <v>448</v>
      </c>
      <c r="J141" s="67" t="s">
        <v>134</v>
      </c>
      <c r="K141" s="68"/>
      <c r="L141" s="68"/>
      <c r="M141" s="68"/>
      <c r="N141" s="69"/>
      <c r="O141" s="68"/>
    </row>
    <row r="142" customFormat="false" ht="27.75" hidden="false" customHeight="true" outlineLevel="0" collapsed="false">
      <c r="A142" s="66" t="n">
        <v>51</v>
      </c>
      <c r="B142" s="67" t="s">
        <v>90</v>
      </c>
      <c r="C142" s="66" t="s">
        <v>121</v>
      </c>
      <c r="D142" s="66" t="n">
        <v>5</v>
      </c>
      <c r="E142" s="67" t="str">
        <f aca="false">IFERROR(INDEX('Master Data'!$L$2:$L$2436,MATCH($B$3&amp;"|"&amp;D142&amp;"|"&amp;B142&amp;"|"&amp;C142,'Master Data'!$A$2:$A$2436,0)),"")</f>
        <v>Slot kosong</v>
      </c>
      <c r="F142" s="67" t="str">
        <f aca="false">IFERROR(INDEX('Master Data'!$F$2:$F$2436,MATCH($B$3&amp;"|"&amp;D142&amp;"|"&amp;B142&amp;"|"&amp;C142,'Master Data'!$A$2:$A$2436,0))&amp;"","")</f>
        <v/>
      </c>
      <c r="G142" s="66" t="n">
        <f aca="false">IFERROR(INDEX('Master Data'!$G$2:$G$2436,MATCH($B$3&amp;"|"&amp;D142&amp;"|"&amp;B142&amp;"|"&amp;C142,'Master Data'!$A$2:$A$2436,0)),"")</f>
        <v>4</v>
      </c>
      <c r="H142" s="67" t="str">
        <f aca="false">IFERROR(INDEX('Master Data'!$K$2:$K$2436,MATCH($B$3&amp;"|"&amp;D142&amp;"|"&amp;B142&amp;"|"&amp;C142,'Master Data'!$A$2:$A$2436,0))&amp;"","")</f>
        <v/>
      </c>
      <c r="I142" s="67" t="s">
        <v>448</v>
      </c>
      <c r="J142" s="67" t="s">
        <v>134</v>
      </c>
      <c r="K142" s="68"/>
      <c r="L142" s="68"/>
      <c r="M142" s="68"/>
      <c r="N142" s="69"/>
      <c r="O142" s="68"/>
    </row>
    <row r="143" customFormat="false" ht="27.75" hidden="false" customHeight="true" outlineLevel="0" collapsed="false">
      <c r="A143" s="66" t="n">
        <v>52</v>
      </c>
      <c r="B143" s="67" t="s">
        <v>90</v>
      </c>
      <c r="C143" s="66" t="s">
        <v>107</v>
      </c>
      <c r="D143" s="66" t="n">
        <v>3</v>
      </c>
      <c r="E143" s="67" t="str">
        <f aca="false">IFERROR(INDEX('Master Data'!$L$2:$L$2436,MATCH($B$3&amp;"|"&amp;D143&amp;"|"&amp;B143&amp;"|"&amp;C143,'Master Data'!$A$2:$A$2436,0)),"")</f>
        <v>Belum terisi</v>
      </c>
      <c r="F143" s="67" t="str">
        <f aca="false">IFERROR(INDEX('Master Data'!$F$2:$F$2436,MATCH($B$3&amp;"|"&amp;D143&amp;"|"&amp;B143&amp;"|"&amp;C143,'Master Data'!$A$2:$A$2436,0))&amp;"","")</f>
        <v>Little</v>
      </c>
      <c r="G143" s="66" t="n">
        <f aca="false">IFERROR(INDEX('Master Data'!$G$2:$G$2436,MATCH($B$3&amp;"|"&amp;D143&amp;"|"&amp;B143&amp;"|"&amp;C143,'Master Data'!$A$2:$A$2436,0)),"")</f>
        <v>4</v>
      </c>
      <c r="H143" s="67" t="str">
        <f aca="false">IFERROR(INDEX('Master Data'!$K$2:$K$2436,MATCH($B$3&amp;"|"&amp;D143&amp;"|"&amp;B143&amp;"|"&amp;C143,'Master Data'!$A$2:$A$2436,0))&amp;"","")</f>
        <v/>
      </c>
      <c r="I143" s="67" t="s">
        <v>448</v>
      </c>
      <c r="J143" s="67" t="s">
        <v>134</v>
      </c>
      <c r="K143" s="68"/>
      <c r="L143" s="68"/>
      <c r="M143" s="68"/>
      <c r="N143" s="69"/>
      <c r="O143" s="68"/>
    </row>
    <row r="144" customFormat="false" ht="27.75" hidden="false" customHeight="true" outlineLevel="0" collapsed="false">
      <c r="A144" s="66" t="n">
        <v>53</v>
      </c>
      <c r="B144" s="67" t="s">
        <v>91</v>
      </c>
      <c r="C144" s="66" t="s">
        <v>110</v>
      </c>
      <c r="D144" s="66" t="n">
        <v>1</v>
      </c>
      <c r="E144" s="67" t="str">
        <f aca="false">IFERROR(INDEX('Master Data'!$L$2:$L$2436,MATCH($B$3&amp;"|"&amp;D144&amp;"|"&amp;B144&amp;"|"&amp;C144,'Master Data'!$A$2:$A$2436,0)),"")</f>
        <v>Belum terisi</v>
      </c>
      <c r="F144" s="67" t="str">
        <f aca="false">IFERROR(INDEX('Master Data'!$F$2:$F$2436,MATCH($B$3&amp;"|"&amp;D144&amp;"|"&amp;B144&amp;"|"&amp;C144,'Master Data'!$A$2:$A$2436,0))&amp;"","")</f>
        <v>Baby</v>
      </c>
      <c r="G144" s="66" t="n">
        <f aca="false">IFERROR(INDEX('Master Data'!$G$2:$G$2436,MATCH($B$3&amp;"|"&amp;D144&amp;"|"&amp;B144&amp;"|"&amp;C144,'Master Data'!$A$2:$A$2436,0)),"")</f>
        <v>5</v>
      </c>
      <c r="H144" s="67" t="str">
        <f aca="false">IFERROR(INDEX('Master Data'!$K$2:$K$2436,MATCH($B$3&amp;"|"&amp;D144&amp;"|"&amp;B144&amp;"|"&amp;C144,'Master Data'!$A$2:$A$2436,0))&amp;"","")</f>
        <v/>
      </c>
      <c r="I144" s="67" t="s">
        <v>445</v>
      </c>
      <c r="J144" s="67" t="s">
        <v>134</v>
      </c>
      <c r="K144" s="68"/>
      <c r="L144" s="68"/>
      <c r="M144" s="68"/>
      <c r="N144" s="69"/>
      <c r="O144" s="68"/>
    </row>
    <row r="145" customFormat="false" ht="27.75" hidden="false" customHeight="true" outlineLevel="0" collapsed="false">
      <c r="A145" s="66" t="n">
        <v>54</v>
      </c>
      <c r="B145" s="67" t="s">
        <v>91</v>
      </c>
      <c r="C145" s="66" t="s">
        <v>110</v>
      </c>
      <c r="D145" s="66" t="n">
        <v>2</v>
      </c>
      <c r="E145" s="67" t="str">
        <f aca="false">IFERROR(INDEX('Master Data'!$L$2:$L$2436,MATCH($B$3&amp;"|"&amp;D145&amp;"|"&amp;B145&amp;"|"&amp;C145,'Master Data'!$A$2:$A$2436,0)),"")</f>
        <v>Belum terisi</v>
      </c>
      <c r="F145" s="67" t="str">
        <f aca="false">IFERROR(INDEX('Master Data'!$F$2:$F$2436,MATCH($B$3&amp;"|"&amp;D145&amp;"|"&amp;B145&amp;"|"&amp;C145,'Master Data'!$A$2:$A$2436,0))&amp;"","")</f>
        <v>Tiny</v>
      </c>
      <c r="G145" s="66" t="n">
        <f aca="false">IFERROR(INDEX('Master Data'!$G$2:$G$2436,MATCH($B$3&amp;"|"&amp;D145&amp;"|"&amp;B145&amp;"|"&amp;C145,'Master Data'!$A$2:$A$2436,0)),"")</f>
        <v>5</v>
      </c>
      <c r="H145" s="67" t="str">
        <f aca="false">IFERROR(INDEX('Master Data'!$K$2:$K$2436,MATCH($B$3&amp;"|"&amp;D145&amp;"|"&amp;B145&amp;"|"&amp;C145,'Master Data'!$A$2:$A$2436,0))&amp;"","")</f>
        <v/>
      </c>
      <c r="I145" s="67" t="s">
        <v>445</v>
      </c>
      <c r="J145" s="67" t="s">
        <v>134</v>
      </c>
      <c r="K145" s="68"/>
      <c r="L145" s="68"/>
      <c r="M145" s="68"/>
      <c r="N145" s="69"/>
      <c r="O145" s="68"/>
    </row>
    <row r="146" customFormat="false" ht="27.75" hidden="false" customHeight="true" outlineLevel="0" collapsed="false">
      <c r="A146" s="66" t="n">
        <v>55</v>
      </c>
      <c r="B146" s="67" t="s">
        <v>91</v>
      </c>
      <c r="C146" s="66" t="s">
        <v>110</v>
      </c>
      <c r="D146" s="66" t="n">
        <v>5</v>
      </c>
      <c r="E146" s="67" t="str">
        <f aca="false">IFERROR(INDEX('Master Data'!$L$2:$L$2436,MATCH($B$3&amp;"|"&amp;D146&amp;"|"&amp;B146&amp;"|"&amp;C146,'Master Data'!$A$2:$A$2436,0)),"")</f>
        <v>Slot kosong</v>
      </c>
      <c r="F146" s="67" t="str">
        <f aca="false">IFERROR(INDEX('Master Data'!$F$2:$F$2436,MATCH($B$3&amp;"|"&amp;D146&amp;"|"&amp;B146&amp;"|"&amp;C146,'Master Data'!$A$2:$A$2436,0))&amp;"","")</f>
        <v/>
      </c>
      <c r="G146" s="66" t="n">
        <f aca="false">IFERROR(INDEX('Master Data'!$G$2:$G$2436,MATCH($B$3&amp;"|"&amp;D146&amp;"|"&amp;B146&amp;"|"&amp;C146,'Master Data'!$A$2:$A$2436,0)),"")</f>
        <v>4</v>
      </c>
      <c r="H146" s="67" t="str">
        <f aca="false">IFERROR(INDEX('Master Data'!$K$2:$K$2436,MATCH($B$3&amp;"|"&amp;D146&amp;"|"&amp;B146&amp;"|"&amp;C146,'Master Data'!$A$2:$A$2436,0))&amp;"","")</f>
        <v/>
      </c>
      <c r="I146" s="67" t="s">
        <v>445</v>
      </c>
      <c r="J146" s="67" t="s">
        <v>134</v>
      </c>
      <c r="K146" s="68"/>
      <c r="L146" s="68"/>
      <c r="M146" s="68"/>
      <c r="N146" s="69"/>
      <c r="O146" s="68"/>
    </row>
    <row r="147" customFormat="false" ht="27.75" hidden="false" customHeight="true" outlineLevel="0" collapsed="false">
      <c r="A147" s="66" t="n">
        <v>56</v>
      </c>
      <c r="B147" s="67" t="s">
        <v>91</v>
      </c>
      <c r="C147" s="66" t="s">
        <v>96</v>
      </c>
      <c r="D147" s="66" t="n">
        <v>3</v>
      </c>
      <c r="E147" s="67" t="str">
        <f aca="false">IFERROR(INDEX('Master Data'!$L$2:$L$2436,MATCH($B$3&amp;"|"&amp;D147&amp;"|"&amp;B147&amp;"|"&amp;C147,'Master Data'!$A$2:$A$2436,0)),"")</f>
        <v>Belum terisi</v>
      </c>
      <c r="F147" s="67" t="str">
        <f aca="false">IFERROR(INDEX('Master Data'!$F$2:$F$2436,MATCH($B$3&amp;"|"&amp;D147&amp;"|"&amp;B147&amp;"|"&amp;C147,'Master Data'!$A$2:$A$2436,0))&amp;"","")</f>
        <v>Little</v>
      </c>
      <c r="G147" s="66" t="n">
        <f aca="false">IFERROR(INDEX('Master Data'!$G$2:$G$2436,MATCH($B$3&amp;"|"&amp;D147&amp;"|"&amp;B147&amp;"|"&amp;C147,'Master Data'!$A$2:$A$2436,0)),"")</f>
        <v>4</v>
      </c>
      <c r="H147" s="67" t="str">
        <f aca="false">IFERROR(INDEX('Master Data'!$K$2:$K$2436,MATCH($B$3&amp;"|"&amp;D147&amp;"|"&amp;B147&amp;"|"&amp;C147,'Master Data'!$A$2:$A$2436,0))&amp;"","")</f>
        <v/>
      </c>
      <c r="I147" s="67" t="s">
        <v>445</v>
      </c>
      <c r="J147" s="67" t="s">
        <v>134</v>
      </c>
      <c r="K147" s="68"/>
      <c r="L147" s="68"/>
      <c r="M147" s="68"/>
      <c r="N147" s="69"/>
      <c r="O147" s="68"/>
    </row>
    <row r="148" customFormat="false" ht="27.75" hidden="false" customHeight="true" outlineLevel="0" collapsed="false">
      <c r="A148" s="66" t="n">
        <v>57</v>
      </c>
      <c r="B148" s="67" t="s">
        <v>91</v>
      </c>
      <c r="C148" s="66" t="s">
        <v>96</v>
      </c>
      <c r="D148" s="66" t="n">
        <v>4</v>
      </c>
      <c r="E148" s="67" t="str">
        <f aca="false">IFERROR(INDEX('Master Data'!$L$2:$L$2436,MATCH($B$3&amp;"|"&amp;D148&amp;"|"&amp;B148&amp;"|"&amp;C148,'Master Data'!$A$2:$A$2436,0)),"")</f>
        <v>Belum terisi</v>
      </c>
      <c r="F148" s="67" t="str">
        <f aca="false">IFERROR(INDEX('Master Data'!$F$2:$F$2436,MATCH($B$3&amp;"|"&amp;D148&amp;"|"&amp;B148&amp;"|"&amp;C148,'Master Data'!$A$2:$A$2436,0))&amp;"","")</f>
        <v>Kids</v>
      </c>
      <c r="G148" s="66" t="n">
        <f aca="false">IFERROR(INDEX('Master Data'!$G$2:$G$2436,MATCH($B$3&amp;"|"&amp;D148&amp;"|"&amp;B148&amp;"|"&amp;C148,'Master Data'!$A$2:$A$2436,0)),"")</f>
        <v>4</v>
      </c>
      <c r="H148" s="67" t="str">
        <f aca="false">IFERROR(INDEX('Master Data'!$K$2:$K$2436,MATCH($B$3&amp;"|"&amp;D148&amp;"|"&amp;B148&amp;"|"&amp;C148,'Master Data'!$A$2:$A$2436,0))&amp;"","")</f>
        <v/>
      </c>
      <c r="I148" s="67" t="s">
        <v>445</v>
      </c>
      <c r="J148" s="67" t="s">
        <v>134</v>
      </c>
      <c r="K148" s="68"/>
      <c r="L148" s="68"/>
      <c r="M148" s="68"/>
      <c r="N148" s="69"/>
      <c r="O148" s="68"/>
    </row>
    <row r="149" customFormat="false" ht="27.75" hidden="false" customHeight="true" outlineLevel="0" collapsed="false">
      <c r="A149" s="66" t="n">
        <v>58</v>
      </c>
      <c r="B149" s="67" t="s">
        <v>91</v>
      </c>
      <c r="C149" s="66" t="s">
        <v>111</v>
      </c>
      <c r="D149" s="66" t="n">
        <v>1</v>
      </c>
      <c r="E149" s="67" t="str">
        <f aca="false">IFERROR(INDEX('Master Data'!$L$2:$L$2436,MATCH($B$3&amp;"|"&amp;D149&amp;"|"&amp;B149&amp;"|"&amp;C149,'Master Data'!$A$2:$A$2436,0)),"")</f>
        <v>Belum terisi</v>
      </c>
      <c r="F149" s="67" t="str">
        <f aca="false">IFERROR(INDEX('Master Data'!$F$2:$F$2436,MATCH($B$3&amp;"|"&amp;D149&amp;"|"&amp;B149&amp;"|"&amp;C149,'Master Data'!$A$2:$A$2436,0))&amp;"","")</f>
        <v>Baby</v>
      </c>
      <c r="G149" s="66" t="n">
        <f aca="false">IFERROR(INDEX('Master Data'!$G$2:$G$2436,MATCH($B$3&amp;"|"&amp;D149&amp;"|"&amp;B149&amp;"|"&amp;C149,'Master Data'!$A$2:$A$2436,0)),"")</f>
        <v>5</v>
      </c>
      <c r="H149" s="67" t="str">
        <f aca="false">IFERROR(INDEX('Master Data'!$K$2:$K$2436,MATCH($B$3&amp;"|"&amp;D149&amp;"|"&amp;B149&amp;"|"&amp;C149,'Master Data'!$A$2:$A$2436,0))&amp;"","")</f>
        <v/>
      </c>
      <c r="I149" s="67" t="s">
        <v>445</v>
      </c>
      <c r="J149" s="67" t="s">
        <v>134</v>
      </c>
      <c r="K149" s="68"/>
      <c r="L149" s="68"/>
      <c r="M149" s="68"/>
      <c r="N149" s="69"/>
      <c r="O149" s="68"/>
    </row>
    <row r="150" customFormat="false" ht="27.75" hidden="false" customHeight="true" outlineLevel="0" collapsed="false">
      <c r="A150" s="66" t="n">
        <v>59</v>
      </c>
      <c r="B150" s="67" t="s">
        <v>91</v>
      </c>
      <c r="C150" s="66" t="s">
        <v>111</v>
      </c>
      <c r="D150" s="66" t="n">
        <v>2</v>
      </c>
      <c r="E150" s="67" t="str">
        <f aca="false">IFERROR(INDEX('Master Data'!$L$2:$L$2436,MATCH($B$3&amp;"|"&amp;D150&amp;"|"&amp;B150&amp;"|"&amp;C150,'Master Data'!$A$2:$A$2436,0)),"")</f>
        <v>Belum terisi</v>
      </c>
      <c r="F150" s="67" t="str">
        <f aca="false">IFERROR(INDEX('Master Data'!$F$2:$F$2436,MATCH($B$3&amp;"|"&amp;D150&amp;"|"&amp;B150&amp;"|"&amp;C150,'Master Data'!$A$2:$A$2436,0))&amp;"","")</f>
        <v>Tiny</v>
      </c>
      <c r="G150" s="66" t="n">
        <f aca="false">IFERROR(INDEX('Master Data'!$G$2:$G$2436,MATCH($B$3&amp;"|"&amp;D150&amp;"|"&amp;B150&amp;"|"&amp;C150,'Master Data'!$A$2:$A$2436,0)),"")</f>
        <v>5</v>
      </c>
      <c r="H150" s="67" t="str">
        <f aca="false">IFERROR(INDEX('Master Data'!$K$2:$K$2436,MATCH($B$3&amp;"|"&amp;D150&amp;"|"&amp;B150&amp;"|"&amp;C150,'Master Data'!$A$2:$A$2436,0))&amp;"","")</f>
        <v/>
      </c>
      <c r="I150" s="67" t="s">
        <v>445</v>
      </c>
      <c r="J150" s="67" t="s">
        <v>134</v>
      </c>
      <c r="K150" s="68"/>
      <c r="L150" s="68"/>
      <c r="M150" s="68"/>
      <c r="N150" s="69"/>
      <c r="O150" s="68"/>
    </row>
    <row r="151" customFormat="false" ht="27.75" hidden="false" customHeight="true" outlineLevel="0" collapsed="false">
      <c r="A151" s="66" t="n">
        <v>60</v>
      </c>
      <c r="B151" s="67" t="s">
        <v>91</v>
      </c>
      <c r="C151" s="66" t="s">
        <v>111</v>
      </c>
      <c r="D151" s="66" t="n">
        <v>5</v>
      </c>
      <c r="E151" s="67" t="str">
        <f aca="false">IFERROR(INDEX('Master Data'!$L$2:$L$2436,MATCH($B$3&amp;"|"&amp;D151&amp;"|"&amp;B151&amp;"|"&amp;C151,'Master Data'!$A$2:$A$2436,0)),"")</f>
        <v>Slot kosong</v>
      </c>
      <c r="F151" s="67" t="str">
        <f aca="false">IFERROR(INDEX('Master Data'!$F$2:$F$2436,MATCH($B$3&amp;"|"&amp;D151&amp;"|"&amp;B151&amp;"|"&amp;C151,'Master Data'!$A$2:$A$2436,0))&amp;"","")</f>
        <v/>
      </c>
      <c r="G151" s="66" t="n">
        <f aca="false">IFERROR(INDEX('Master Data'!$G$2:$G$2436,MATCH($B$3&amp;"|"&amp;D151&amp;"|"&amp;B151&amp;"|"&amp;C151,'Master Data'!$A$2:$A$2436,0)),"")</f>
        <v>4</v>
      </c>
      <c r="H151" s="67" t="str">
        <f aca="false">IFERROR(INDEX('Master Data'!$K$2:$K$2436,MATCH($B$3&amp;"|"&amp;D151&amp;"|"&amp;B151&amp;"|"&amp;C151,'Master Data'!$A$2:$A$2436,0))&amp;"","")</f>
        <v/>
      </c>
      <c r="I151" s="67" t="s">
        <v>445</v>
      </c>
      <c r="J151" s="67" t="s">
        <v>134</v>
      </c>
      <c r="K151" s="68"/>
      <c r="L151" s="68"/>
      <c r="M151" s="68"/>
      <c r="N151" s="69"/>
      <c r="O151" s="68"/>
    </row>
    <row r="152" customFormat="false" ht="27.75" hidden="false" customHeight="true" outlineLevel="0" collapsed="false">
      <c r="A152" s="66" t="n">
        <v>61</v>
      </c>
      <c r="B152" s="67" t="s">
        <v>91</v>
      </c>
      <c r="C152" s="66" t="s">
        <v>97</v>
      </c>
      <c r="D152" s="66" t="n">
        <v>3</v>
      </c>
      <c r="E152" s="67" t="str">
        <f aca="false">IFERROR(INDEX('Master Data'!$L$2:$L$2436,MATCH($B$3&amp;"|"&amp;D152&amp;"|"&amp;B152&amp;"|"&amp;C152,'Master Data'!$A$2:$A$2436,0)),"")</f>
        <v>Belum terisi</v>
      </c>
      <c r="F152" s="67" t="str">
        <f aca="false">IFERROR(INDEX('Master Data'!$F$2:$F$2436,MATCH($B$3&amp;"|"&amp;D152&amp;"|"&amp;B152&amp;"|"&amp;C152,'Master Data'!$A$2:$A$2436,0))&amp;"","")</f>
        <v>Little</v>
      </c>
      <c r="G152" s="66" t="n">
        <f aca="false">IFERROR(INDEX('Master Data'!$G$2:$G$2436,MATCH($B$3&amp;"|"&amp;D152&amp;"|"&amp;B152&amp;"|"&amp;C152,'Master Data'!$A$2:$A$2436,0)),"")</f>
        <v>4</v>
      </c>
      <c r="H152" s="67" t="str">
        <f aca="false">IFERROR(INDEX('Master Data'!$K$2:$K$2436,MATCH($B$3&amp;"|"&amp;D152&amp;"|"&amp;B152&amp;"|"&amp;C152,'Master Data'!$A$2:$A$2436,0))&amp;"","")</f>
        <v/>
      </c>
      <c r="I152" s="67" t="s">
        <v>445</v>
      </c>
      <c r="J152" s="67" t="s">
        <v>134</v>
      </c>
      <c r="K152" s="68"/>
      <c r="L152" s="68"/>
      <c r="M152" s="68"/>
      <c r="N152" s="69"/>
      <c r="O152" s="68"/>
    </row>
    <row r="153" customFormat="false" ht="27.75" hidden="false" customHeight="true" outlineLevel="0" collapsed="false">
      <c r="A153" s="66" t="n">
        <v>62</v>
      </c>
      <c r="B153" s="67" t="s">
        <v>91</v>
      </c>
      <c r="C153" s="66" t="s">
        <v>97</v>
      </c>
      <c r="D153" s="66" t="n">
        <v>4</v>
      </c>
      <c r="E153" s="67" t="str">
        <f aca="false">IFERROR(INDEX('Master Data'!$L$2:$L$2436,MATCH($B$3&amp;"|"&amp;D153&amp;"|"&amp;B153&amp;"|"&amp;C153,'Master Data'!$A$2:$A$2436,0)),"")</f>
        <v>Belum terisi</v>
      </c>
      <c r="F153" s="67" t="str">
        <f aca="false">IFERROR(INDEX('Master Data'!$F$2:$F$2436,MATCH($B$3&amp;"|"&amp;D153&amp;"|"&amp;B153&amp;"|"&amp;C153,'Master Data'!$A$2:$A$2436,0))&amp;"","")</f>
        <v>Kids</v>
      </c>
      <c r="G153" s="66" t="n">
        <f aca="false">IFERROR(INDEX('Master Data'!$G$2:$G$2436,MATCH($B$3&amp;"|"&amp;D153&amp;"|"&amp;B153&amp;"|"&amp;C153,'Master Data'!$A$2:$A$2436,0)),"")</f>
        <v>4</v>
      </c>
      <c r="H153" s="67" t="str">
        <f aca="false">IFERROR(INDEX('Master Data'!$K$2:$K$2436,MATCH($B$3&amp;"|"&amp;D153&amp;"|"&amp;B153&amp;"|"&amp;C153,'Master Data'!$A$2:$A$2436,0))&amp;"","")</f>
        <v/>
      </c>
      <c r="I153" s="67" t="s">
        <v>445</v>
      </c>
      <c r="J153" s="67" t="s">
        <v>134</v>
      </c>
      <c r="K153" s="68"/>
      <c r="L153" s="68"/>
      <c r="M153" s="68"/>
      <c r="N153" s="69"/>
      <c r="O153" s="68"/>
    </row>
    <row r="154" customFormat="false" ht="27.75" hidden="false" customHeight="true" outlineLevel="0" collapsed="false">
      <c r="A154" s="66" t="n">
        <v>63</v>
      </c>
      <c r="B154" s="67" t="s">
        <v>91</v>
      </c>
      <c r="C154" s="66" t="s">
        <v>112</v>
      </c>
      <c r="D154" s="66" t="n">
        <v>1</v>
      </c>
      <c r="E154" s="67" t="str">
        <f aca="false">IFERROR(INDEX('Master Data'!$L$2:$L$2436,MATCH($B$3&amp;"|"&amp;D154&amp;"|"&amp;B154&amp;"|"&amp;C154,'Master Data'!$A$2:$A$2436,0)),"")</f>
        <v>Belum terisi</v>
      </c>
      <c r="F154" s="67" t="str">
        <f aca="false">IFERROR(INDEX('Master Data'!$F$2:$F$2436,MATCH($B$3&amp;"|"&amp;D154&amp;"|"&amp;B154&amp;"|"&amp;C154,'Master Data'!$A$2:$A$2436,0))&amp;"","")</f>
        <v>Baby</v>
      </c>
      <c r="G154" s="66" t="n">
        <f aca="false">IFERROR(INDEX('Master Data'!$G$2:$G$2436,MATCH($B$3&amp;"|"&amp;D154&amp;"|"&amp;B154&amp;"|"&amp;C154,'Master Data'!$A$2:$A$2436,0)),"")</f>
        <v>5</v>
      </c>
      <c r="H154" s="67" t="str">
        <f aca="false">IFERROR(INDEX('Master Data'!$K$2:$K$2436,MATCH($B$3&amp;"|"&amp;D154&amp;"|"&amp;B154&amp;"|"&amp;C154,'Master Data'!$A$2:$A$2436,0))&amp;"","")</f>
        <v/>
      </c>
      <c r="I154" s="67" t="s">
        <v>448</v>
      </c>
      <c r="J154" s="67" t="s">
        <v>134</v>
      </c>
      <c r="K154" s="68"/>
      <c r="L154" s="68"/>
      <c r="M154" s="68"/>
      <c r="N154" s="69"/>
      <c r="O154" s="68"/>
    </row>
    <row r="155" customFormat="false" ht="27.75" hidden="false" customHeight="true" outlineLevel="0" collapsed="false">
      <c r="A155" s="66" t="n">
        <v>64</v>
      </c>
      <c r="B155" s="67" t="s">
        <v>91</v>
      </c>
      <c r="C155" s="66" t="s">
        <v>112</v>
      </c>
      <c r="D155" s="66" t="n">
        <v>2</v>
      </c>
      <c r="E155" s="67" t="str">
        <f aca="false">IFERROR(INDEX('Master Data'!$L$2:$L$2436,MATCH($B$3&amp;"|"&amp;D155&amp;"|"&amp;B155&amp;"|"&amp;C155,'Master Data'!$A$2:$A$2436,0)),"")</f>
        <v>Belum terisi</v>
      </c>
      <c r="F155" s="67" t="str">
        <f aca="false">IFERROR(INDEX('Master Data'!$F$2:$F$2436,MATCH($B$3&amp;"|"&amp;D155&amp;"|"&amp;B155&amp;"|"&amp;C155,'Master Data'!$A$2:$A$2436,0))&amp;"","")</f>
        <v>Tiny</v>
      </c>
      <c r="G155" s="66" t="n">
        <f aca="false">IFERROR(INDEX('Master Data'!$G$2:$G$2436,MATCH($B$3&amp;"|"&amp;D155&amp;"|"&amp;B155&amp;"|"&amp;C155,'Master Data'!$A$2:$A$2436,0)),"")</f>
        <v>5</v>
      </c>
      <c r="H155" s="67" t="str">
        <f aca="false">IFERROR(INDEX('Master Data'!$K$2:$K$2436,MATCH($B$3&amp;"|"&amp;D155&amp;"|"&amp;B155&amp;"|"&amp;C155,'Master Data'!$A$2:$A$2436,0))&amp;"","")</f>
        <v/>
      </c>
      <c r="I155" s="67" t="s">
        <v>448</v>
      </c>
      <c r="J155" s="67" t="s">
        <v>134</v>
      </c>
      <c r="K155" s="68"/>
      <c r="L155" s="68"/>
      <c r="M155" s="68"/>
      <c r="N155" s="69"/>
      <c r="O155" s="68"/>
    </row>
    <row r="156" customFormat="false" ht="27.75" hidden="false" customHeight="true" outlineLevel="0" collapsed="false">
      <c r="A156" s="66" t="n">
        <v>65</v>
      </c>
      <c r="B156" s="67" t="s">
        <v>91</v>
      </c>
      <c r="C156" s="66" t="s">
        <v>112</v>
      </c>
      <c r="D156" s="66" t="n">
        <v>5</v>
      </c>
      <c r="E156" s="67" t="str">
        <f aca="false">IFERROR(INDEX('Master Data'!$L$2:$L$2436,MATCH($B$3&amp;"|"&amp;D156&amp;"|"&amp;B156&amp;"|"&amp;C156,'Master Data'!$A$2:$A$2436,0)),"")</f>
        <v>Slot kosong</v>
      </c>
      <c r="F156" s="67" t="str">
        <f aca="false">IFERROR(INDEX('Master Data'!$F$2:$F$2436,MATCH($B$3&amp;"|"&amp;D156&amp;"|"&amp;B156&amp;"|"&amp;C156,'Master Data'!$A$2:$A$2436,0))&amp;"","")</f>
        <v/>
      </c>
      <c r="G156" s="66" t="n">
        <f aca="false">IFERROR(INDEX('Master Data'!$G$2:$G$2436,MATCH($B$3&amp;"|"&amp;D156&amp;"|"&amp;B156&amp;"|"&amp;C156,'Master Data'!$A$2:$A$2436,0)),"")</f>
        <v>4</v>
      </c>
      <c r="H156" s="67" t="str">
        <f aca="false">IFERROR(INDEX('Master Data'!$K$2:$K$2436,MATCH($B$3&amp;"|"&amp;D156&amp;"|"&amp;B156&amp;"|"&amp;C156,'Master Data'!$A$2:$A$2436,0))&amp;"","")</f>
        <v/>
      </c>
      <c r="I156" s="67" t="s">
        <v>448</v>
      </c>
      <c r="J156" s="67" t="s">
        <v>134</v>
      </c>
      <c r="K156" s="68"/>
      <c r="L156" s="68"/>
      <c r="M156" s="68"/>
      <c r="N156" s="69"/>
      <c r="O156" s="68"/>
    </row>
    <row r="157" customFormat="false" ht="27.75" hidden="false" customHeight="true" outlineLevel="0" collapsed="false">
      <c r="A157" s="66" t="n">
        <v>66</v>
      </c>
      <c r="B157" s="67" t="s">
        <v>91</v>
      </c>
      <c r="C157" s="66" t="s">
        <v>98</v>
      </c>
      <c r="D157" s="66" t="n">
        <v>4</v>
      </c>
      <c r="E157" s="67" t="str">
        <f aca="false">IFERROR(INDEX('Master Data'!$L$2:$L$2436,MATCH($B$3&amp;"|"&amp;D157&amp;"|"&amp;B157&amp;"|"&amp;C157,'Master Data'!$A$2:$A$2436,0)),"")</f>
        <v>Belum terisi</v>
      </c>
      <c r="F157" s="67" t="str">
        <f aca="false">IFERROR(INDEX('Master Data'!$F$2:$F$2436,MATCH($B$3&amp;"|"&amp;D157&amp;"|"&amp;B157&amp;"|"&amp;C157,'Master Data'!$A$2:$A$2436,0))&amp;"","")</f>
        <v>Kids</v>
      </c>
      <c r="G157" s="66" t="n">
        <f aca="false">IFERROR(INDEX('Master Data'!$G$2:$G$2436,MATCH($B$3&amp;"|"&amp;D157&amp;"|"&amp;B157&amp;"|"&amp;C157,'Master Data'!$A$2:$A$2436,0)),"")</f>
        <v>4</v>
      </c>
      <c r="H157" s="67" t="str">
        <f aca="false">IFERROR(INDEX('Master Data'!$K$2:$K$2436,MATCH($B$3&amp;"|"&amp;D157&amp;"|"&amp;B157&amp;"|"&amp;C157,'Master Data'!$A$2:$A$2436,0))&amp;"","")</f>
        <v/>
      </c>
      <c r="I157" s="67" t="s">
        <v>448</v>
      </c>
      <c r="J157" s="67" t="s">
        <v>134</v>
      </c>
      <c r="K157" s="68"/>
      <c r="L157" s="68"/>
      <c r="M157" s="68"/>
      <c r="N157" s="69"/>
      <c r="O157" s="68"/>
    </row>
    <row r="158" customFormat="false" ht="27.75" hidden="false" customHeight="true" outlineLevel="0" collapsed="false">
      <c r="A158" s="66" t="n">
        <v>67</v>
      </c>
      <c r="B158" s="67" t="s">
        <v>91</v>
      </c>
      <c r="C158" s="66" t="s">
        <v>113</v>
      </c>
      <c r="D158" s="66" t="n">
        <v>1</v>
      </c>
      <c r="E158" s="67" t="str">
        <f aca="false">IFERROR(INDEX('Master Data'!$L$2:$L$2436,MATCH($B$3&amp;"|"&amp;D158&amp;"|"&amp;B158&amp;"|"&amp;C158,'Master Data'!$A$2:$A$2436,0)),"")</f>
        <v>Belum terisi</v>
      </c>
      <c r="F158" s="67" t="str">
        <f aca="false">IFERROR(INDEX('Master Data'!$F$2:$F$2436,MATCH($B$3&amp;"|"&amp;D158&amp;"|"&amp;B158&amp;"|"&amp;C158,'Master Data'!$A$2:$A$2436,0))&amp;"","")</f>
        <v>Baby</v>
      </c>
      <c r="G158" s="66" t="n">
        <f aca="false">IFERROR(INDEX('Master Data'!$G$2:$G$2436,MATCH($B$3&amp;"|"&amp;D158&amp;"|"&amp;B158&amp;"|"&amp;C158,'Master Data'!$A$2:$A$2436,0)),"")</f>
        <v>5</v>
      </c>
      <c r="H158" s="67" t="str">
        <f aca="false">IFERROR(INDEX('Master Data'!$K$2:$K$2436,MATCH($B$3&amp;"|"&amp;D158&amp;"|"&amp;B158&amp;"|"&amp;C158,'Master Data'!$A$2:$A$2436,0))&amp;"","")</f>
        <v/>
      </c>
      <c r="I158" s="67" t="s">
        <v>448</v>
      </c>
      <c r="J158" s="67" t="s">
        <v>134</v>
      </c>
      <c r="K158" s="68"/>
      <c r="L158" s="68"/>
      <c r="M158" s="68"/>
      <c r="N158" s="69"/>
      <c r="O158" s="68"/>
    </row>
    <row r="159" customFormat="false" ht="27.75" hidden="false" customHeight="true" outlineLevel="0" collapsed="false">
      <c r="A159" s="66" t="n">
        <v>68</v>
      </c>
      <c r="B159" s="67" t="s">
        <v>91</v>
      </c>
      <c r="C159" s="66" t="s">
        <v>113</v>
      </c>
      <c r="D159" s="66" t="n">
        <v>2</v>
      </c>
      <c r="E159" s="67" t="str">
        <f aca="false">IFERROR(INDEX('Master Data'!$L$2:$L$2436,MATCH($B$3&amp;"|"&amp;D159&amp;"|"&amp;B159&amp;"|"&amp;C159,'Master Data'!$A$2:$A$2436,0)),"")</f>
        <v>Belum terisi</v>
      </c>
      <c r="F159" s="67" t="str">
        <f aca="false">IFERROR(INDEX('Master Data'!$F$2:$F$2436,MATCH($B$3&amp;"|"&amp;D159&amp;"|"&amp;B159&amp;"|"&amp;C159,'Master Data'!$A$2:$A$2436,0))&amp;"","")</f>
        <v>Tiny</v>
      </c>
      <c r="G159" s="66" t="n">
        <f aca="false">IFERROR(INDEX('Master Data'!$G$2:$G$2436,MATCH($B$3&amp;"|"&amp;D159&amp;"|"&amp;B159&amp;"|"&amp;C159,'Master Data'!$A$2:$A$2436,0)),"")</f>
        <v>5</v>
      </c>
      <c r="H159" s="67" t="str">
        <f aca="false">IFERROR(INDEX('Master Data'!$K$2:$K$2436,MATCH($B$3&amp;"|"&amp;D159&amp;"|"&amp;B159&amp;"|"&amp;C159,'Master Data'!$A$2:$A$2436,0))&amp;"","")</f>
        <v/>
      </c>
      <c r="I159" s="67" t="s">
        <v>448</v>
      </c>
      <c r="J159" s="67" t="s">
        <v>134</v>
      </c>
      <c r="K159" s="68"/>
      <c r="L159" s="68"/>
      <c r="M159" s="68"/>
      <c r="N159" s="69"/>
      <c r="O159" s="68"/>
    </row>
    <row r="160" customFormat="false" ht="27.75" hidden="false" customHeight="true" outlineLevel="0" collapsed="false">
      <c r="A160" s="66" t="n">
        <v>69</v>
      </c>
      <c r="B160" s="67" t="s">
        <v>91</v>
      </c>
      <c r="C160" s="66" t="s">
        <v>113</v>
      </c>
      <c r="D160" s="66" t="n">
        <v>5</v>
      </c>
      <c r="E160" s="67" t="str">
        <f aca="false">IFERROR(INDEX('Master Data'!$L$2:$L$2436,MATCH($B$3&amp;"|"&amp;D160&amp;"|"&amp;B160&amp;"|"&amp;C160,'Master Data'!$A$2:$A$2436,0)),"")</f>
        <v>Slot kosong</v>
      </c>
      <c r="F160" s="67" t="str">
        <f aca="false">IFERROR(INDEX('Master Data'!$F$2:$F$2436,MATCH($B$3&amp;"|"&amp;D160&amp;"|"&amp;B160&amp;"|"&amp;C160,'Master Data'!$A$2:$A$2436,0))&amp;"","")</f>
        <v/>
      </c>
      <c r="G160" s="66" t="n">
        <f aca="false">IFERROR(INDEX('Master Data'!$G$2:$G$2436,MATCH($B$3&amp;"|"&amp;D160&amp;"|"&amp;B160&amp;"|"&amp;C160,'Master Data'!$A$2:$A$2436,0)),"")</f>
        <v>4</v>
      </c>
      <c r="H160" s="67" t="str">
        <f aca="false">IFERROR(INDEX('Master Data'!$K$2:$K$2436,MATCH($B$3&amp;"|"&amp;D160&amp;"|"&amp;B160&amp;"|"&amp;C160,'Master Data'!$A$2:$A$2436,0))&amp;"","")</f>
        <v/>
      </c>
      <c r="I160" s="67" t="s">
        <v>448</v>
      </c>
      <c r="J160" s="67" t="s">
        <v>134</v>
      </c>
      <c r="K160" s="68"/>
      <c r="L160" s="68"/>
      <c r="M160" s="68"/>
      <c r="N160" s="69"/>
      <c r="O160" s="68"/>
    </row>
    <row r="161" customFormat="false" ht="15.75" hidden="false" customHeight="true" outlineLevel="0" collapsed="false">
      <c r="A161" s="66" t="n">
        <v>70</v>
      </c>
      <c r="B161" s="67" t="s">
        <v>91</v>
      </c>
      <c r="C161" s="66" t="s">
        <v>99</v>
      </c>
      <c r="D161" s="66" t="n">
        <v>3</v>
      </c>
      <c r="E161" s="67" t="str">
        <f aca="false">IFERROR(INDEX('Master Data'!$L$2:$L$2436,MATCH($B$3&amp;"|"&amp;D161&amp;"|"&amp;B161&amp;"|"&amp;C161,'Master Data'!$A$2:$A$2436,0)),"")</f>
        <v>Belum terisi</v>
      </c>
      <c r="F161" s="67" t="str">
        <f aca="false">IFERROR(INDEX('Master Data'!$F$2:$F$2436,MATCH($B$3&amp;"|"&amp;D161&amp;"|"&amp;B161&amp;"|"&amp;C161,'Master Data'!$A$2:$A$2436,0))&amp;"","")</f>
        <v>Little</v>
      </c>
      <c r="G161" s="66" t="n">
        <f aca="false">IFERROR(INDEX('Master Data'!$G$2:$G$2436,MATCH($B$3&amp;"|"&amp;D161&amp;"|"&amp;B161&amp;"|"&amp;C161,'Master Data'!$A$2:$A$2436,0)),"")</f>
        <v>4</v>
      </c>
      <c r="H161" s="67" t="str">
        <f aca="false">IFERROR(INDEX('Master Data'!$K$2:$K$2436,MATCH($B$3&amp;"|"&amp;D161&amp;"|"&amp;B161&amp;"|"&amp;C161,'Master Data'!$A$2:$A$2436,0))&amp;"","")</f>
        <v/>
      </c>
      <c r="I161" s="67" t="s">
        <v>449</v>
      </c>
      <c r="J161" s="67" t="s">
        <v>203</v>
      </c>
      <c r="K161" s="68"/>
      <c r="L161" s="68"/>
      <c r="M161" s="68"/>
      <c r="N161" s="69"/>
      <c r="O161" s="68"/>
    </row>
    <row r="162" customFormat="false" ht="15.75" hidden="false" customHeight="true" outlineLevel="0" collapsed="false">
      <c r="A162" s="66" t="n">
        <v>71</v>
      </c>
      <c r="B162" s="67" t="s">
        <v>91</v>
      </c>
      <c r="C162" s="66" t="s">
        <v>99</v>
      </c>
      <c r="D162" s="66" t="n">
        <v>4</v>
      </c>
      <c r="E162" s="67" t="str">
        <f aca="false">IFERROR(INDEX('Master Data'!$L$2:$L$2436,MATCH($B$3&amp;"|"&amp;D162&amp;"|"&amp;B162&amp;"|"&amp;C162,'Master Data'!$A$2:$A$2436,0)),"")</f>
        <v>Belum terisi</v>
      </c>
      <c r="F162" s="67" t="str">
        <f aca="false">IFERROR(INDEX('Master Data'!$F$2:$F$2436,MATCH($B$3&amp;"|"&amp;D162&amp;"|"&amp;B162&amp;"|"&amp;C162,'Master Data'!$A$2:$A$2436,0))&amp;"","")</f>
        <v>Kids</v>
      </c>
      <c r="G162" s="66" t="n">
        <f aca="false">IFERROR(INDEX('Master Data'!$G$2:$G$2436,MATCH($B$3&amp;"|"&amp;D162&amp;"|"&amp;B162&amp;"|"&amp;C162,'Master Data'!$A$2:$A$2436,0)),"")</f>
        <v>4</v>
      </c>
      <c r="H162" s="67" t="str">
        <f aca="false">IFERROR(INDEX('Master Data'!$K$2:$K$2436,MATCH($B$3&amp;"|"&amp;D162&amp;"|"&amp;B162&amp;"|"&amp;C162,'Master Data'!$A$2:$A$2436,0))&amp;"","")</f>
        <v/>
      </c>
      <c r="I162" s="67" t="s">
        <v>449</v>
      </c>
      <c r="J162" s="67" t="s">
        <v>203</v>
      </c>
      <c r="K162" s="68"/>
      <c r="L162" s="68"/>
      <c r="M162" s="68"/>
      <c r="N162" s="69"/>
      <c r="O162" s="68"/>
    </row>
    <row r="163" customFormat="false" ht="15.75" hidden="false" customHeight="true" outlineLevel="0" collapsed="false">
      <c r="A163" s="66" t="n">
        <v>72</v>
      </c>
      <c r="B163" s="67" t="s">
        <v>91</v>
      </c>
      <c r="C163" s="66" t="s">
        <v>114</v>
      </c>
      <c r="D163" s="66" t="n">
        <v>2</v>
      </c>
      <c r="E163" s="67" t="str">
        <f aca="false">IFERROR(INDEX('Master Data'!$L$2:$L$2436,MATCH($B$3&amp;"|"&amp;D163&amp;"|"&amp;B163&amp;"|"&amp;C163,'Master Data'!$A$2:$A$2436,0)),"")</f>
        <v>Belum terisi</v>
      </c>
      <c r="F163" s="67" t="str">
        <f aca="false">IFERROR(INDEX('Master Data'!$F$2:$F$2436,MATCH($B$3&amp;"|"&amp;D163&amp;"|"&amp;B163&amp;"|"&amp;C163,'Master Data'!$A$2:$A$2436,0))&amp;"","")</f>
        <v>Tiny</v>
      </c>
      <c r="G163" s="66" t="n">
        <f aca="false">IFERROR(INDEX('Master Data'!$G$2:$G$2436,MATCH($B$3&amp;"|"&amp;D163&amp;"|"&amp;B163&amp;"|"&amp;C163,'Master Data'!$A$2:$A$2436,0)),"")</f>
        <v>5</v>
      </c>
      <c r="H163" s="67" t="str">
        <f aca="false">IFERROR(INDEX('Master Data'!$K$2:$K$2436,MATCH($B$3&amp;"|"&amp;D163&amp;"|"&amp;B163&amp;"|"&amp;C163,'Master Data'!$A$2:$A$2436,0))&amp;"","")</f>
        <v/>
      </c>
      <c r="I163" s="67" t="s">
        <v>450</v>
      </c>
      <c r="J163" s="67" t="s">
        <v>144</v>
      </c>
      <c r="K163" s="68"/>
      <c r="L163" s="68"/>
      <c r="M163" s="68"/>
      <c r="N163" s="69"/>
      <c r="O163" s="68"/>
    </row>
    <row r="164" customFormat="false" ht="15.75" hidden="false" customHeight="true" outlineLevel="0" collapsed="false">
      <c r="A164" s="66" t="n">
        <v>73</v>
      </c>
      <c r="B164" s="67" t="s">
        <v>91</v>
      </c>
      <c r="C164" s="66" t="s">
        <v>114</v>
      </c>
      <c r="D164" s="66" t="n">
        <v>5</v>
      </c>
      <c r="E164" s="67" t="str">
        <f aca="false">IFERROR(INDEX('Master Data'!$L$2:$L$2436,MATCH($B$3&amp;"|"&amp;D164&amp;"|"&amp;B164&amp;"|"&amp;C164,'Master Data'!$A$2:$A$2436,0)),"")</f>
        <v>Slot kosong</v>
      </c>
      <c r="F164" s="67" t="str">
        <f aca="false">IFERROR(INDEX('Master Data'!$F$2:$F$2436,MATCH($B$3&amp;"|"&amp;D164&amp;"|"&amp;B164&amp;"|"&amp;C164,'Master Data'!$A$2:$A$2436,0))&amp;"","")</f>
        <v/>
      </c>
      <c r="G164" s="66" t="n">
        <f aca="false">IFERROR(INDEX('Master Data'!$G$2:$G$2436,MATCH($B$3&amp;"|"&amp;D164&amp;"|"&amp;B164&amp;"|"&amp;C164,'Master Data'!$A$2:$A$2436,0)),"")</f>
        <v>4</v>
      </c>
      <c r="H164" s="67" t="str">
        <f aca="false">IFERROR(INDEX('Master Data'!$K$2:$K$2436,MATCH($B$3&amp;"|"&amp;D164&amp;"|"&amp;B164&amp;"|"&amp;C164,'Master Data'!$A$2:$A$2436,0))&amp;"","")</f>
        <v/>
      </c>
      <c r="I164" s="67" t="s">
        <v>450</v>
      </c>
      <c r="J164" s="67" t="s">
        <v>203</v>
      </c>
      <c r="K164" s="68"/>
      <c r="L164" s="68"/>
      <c r="M164" s="68"/>
      <c r="N164" s="69"/>
      <c r="O164" s="68"/>
    </row>
    <row r="165" customFormat="false" ht="15.75" hidden="false" customHeight="true" outlineLevel="0" collapsed="false">
      <c r="A165" s="66" t="n">
        <v>74</v>
      </c>
      <c r="B165" s="67" t="s">
        <v>91</v>
      </c>
      <c r="C165" s="66" t="s">
        <v>100</v>
      </c>
      <c r="D165" s="66" t="n">
        <v>4</v>
      </c>
      <c r="E165" s="67" t="str">
        <f aca="false">IFERROR(INDEX('Master Data'!$L$2:$L$2436,MATCH($B$3&amp;"|"&amp;D165&amp;"|"&amp;B165&amp;"|"&amp;C165,'Master Data'!$A$2:$A$2436,0)),"")</f>
        <v>Belum terisi</v>
      </c>
      <c r="F165" s="67" t="str">
        <f aca="false">IFERROR(INDEX('Master Data'!$F$2:$F$2436,MATCH($B$3&amp;"|"&amp;D165&amp;"|"&amp;B165&amp;"|"&amp;C165,'Master Data'!$A$2:$A$2436,0))&amp;"","")</f>
        <v>Kids</v>
      </c>
      <c r="G165" s="66" t="n">
        <f aca="false">IFERROR(INDEX('Master Data'!$G$2:$G$2436,MATCH($B$3&amp;"|"&amp;D165&amp;"|"&amp;B165&amp;"|"&amp;C165,'Master Data'!$A$2:$A$2436,0)),"")</f>
        <v>4</v>
      </c>
      <c r="H165" s="67" t="str">
        <f aca="false">IFERROR(INDEX('Master Data'!$K$2:$K$2436,MATCH($B$3&amp;"|"&amp;D165&amp;"|"&amp;B165&amp;"|"&amp;C165,'Master Data'!$A$2:$A$2436,0))&amp;"","")</f>
        <v/>
      </c>
      <c r="I165" s="67" t="s">
        <v>450</v>
      </c>
      <c r="J165" s="67" t="s">
        <v>203</v>
      </c>
      <c r="K165" s="68"/>
      <c r="L165" s="68"/>
      <c r="M165" s="68"/>
      <c r="N165" s="69"/>
      <c r="O165" s="68"/>
    </row>
    <row r="166" customFormat="false" ht="27.75" hidden="false" customHeight="true" outlineLevel="0" collapsed="false">
      <c r="A166" s="66" t="n">
        <v>75</v>
      </c>
      <c r="B166" s="67" t="s">
        <v>91</v>
      </c>
      <c r="C166" s="66" t="s">
        <v>115</v>
      </c>
      <c r="D166" s="66" t="n">
        <v>1</v>
      </c>
      <c r="E166" s="67" t="str">
        <f aca="false">IFERROR(INDEX('Master Data'!$L$2:$L$2436,MATCH($B$3&amp;"|"&amp;D166&amp;"|"&amp;B166&amp;"|"&amp;C166,'Master Data'!$A$2:$A$2436,0)),"")</f>
        <v>Belum terisi</v>
      </c>
      <c r="F166" s="67" t="str">
        <f aca="false">IFERROR(INDEX('Master Data'!$F$2:$F$2436,MATCH($B$3&amp;"|"&amp;D166&amp;"|"&amp;B166&amp;"|"&amp;C166,'Master Data'!$A$2:$A$2436,0))&amp;"","")</f>
        <v>Baby</v>
      </c>
      <c r="G166" s="66" t="n">
        <f aca="false">IFERROR(INDEX('Master Data'!$G$2:$G$2436,MATCH($B$3&amp;"|"&amp;D166&amp;"|"&amp;B166&amp;"|"&amp;C166,'Master Data'!$A$2:$A$2436,0)),"")</f>
        <v>5</v>
      </c>
      <c r="H166" s="67" t="str">
        <f aca="false">IFERROR(INDEX('Master Data'!$K$2:$K$2436,MATCH($B$3&amp;"|"&amp;D166&amp;"|"&amp;B166&amp;"|"&amp;C166,'Master Data'!$A$2:$A$2436,0))&amp;"","")</f>
        <v/>
      </c>
      <c r="I166" s="67" t="s">
        <v>448</v>
      </c>
      <c r="J166" s="67" t="s">
        <v>134</v>
      </c>
      <c r="K166" s="68"/>
      <c r="L166" s="68"/>
      <c r="M166" s="68"/>
      <c r="N166" s="69"/>
      <c r="O166" s="68"/>
    </row>
    <row r="167" customFormat="false" ht="27.75" hidden="false" customHeight="true" outlineLevel="0" collapsed="false">
      <c r="A167" s="66" t="n">
        <v>76</v>
      </c>
      <c r="B167" s="67" t="s">
        <v>91</v>
      </c>
      <c r="C167" s="66" t="s">
        <v>115</v>
      </c>
      <c r="D167" s="66" t="n">
        <v>2</v>
      </c>
      <c r="E167" s="67" t="str">
        <f aca="false">IFERROR(INDEX('Master Data'!$L$2:$L$2436,MATCH($B$3&amp;"|"&amp;D167&amp;"|"&amp;B167&amp;"|"&amp;C167,'Master Data'!$A$2:$A$2436,0)),"")</f>
        <v>Belum terisi</v>
      </c>
      <c r="F167" s="67" t="str">
        <f aca="false">IFERROR(INDEX('Master Data'!$F$2:$F$2436,MATCH($B$3&amp;"|"&amp;D167&amp;"|"&amp;B167&amp;"|"&amp;C167,'Master Data'!$A$2:$A$2436,0))&amp;"","")</f>
        <v>Tiny</v>
      </c>
      <c r="G167" s="66" t="n">
        <f aca="false">IFERROR(INDEX('Master Data'!$G$2:$G$2436,MATCH($B$3&amp;"|"&amp;D167&amp;"|"&amp;B167&amp;"|"&amp;C167,'Master Data'!$A$2:$A$2436,0)),"")</f>
        <v>5</v>
      </c>
      <c r="H167" s="67" t="str">
        <f aca="false">IFERROR(INDEX('Master Data'!$K$2:$K$2436,MATCH($B$3&amp;"|"&amp;D167&amp;"|"&amp;B167&amp;"|"&amp;C167,'Master Data'!$A$2:$A$2436,0))&amp;"","")</f>
        <v/>
      </c>
      <c r="I167" s="67" t="s">
        <v>448</v>
      </c>
      <c r="J167" s="67" t="s">
        <v>134</v>
      </c>
      <c r="K167" s="68"/>
      <c r="L167" s="68"/>
      <c r="M167" s="68"/>
      <c r="N167" s="69"/>
      <c r="O167" s="68"/>
    </row>
    <row r="168" customFormat="false" ht="27.75" hidden="false" customHeight="true" outlineLevel="0" collapsed="false">
      <c r="A168" s="66" t="n">
        <v>77</v>
      </c>
      <c r="B168" s="67" t="s">
        <v>91</v>
      </c>
      <c r="C168" s="66" t="s">
        <v>115</v>
      </c>
      <c r="D168" s="66" t="n">
        <v>5</v>
      </c>
      <c r="E168" s="67" t="str">
        <f aca="false">IFERROR(INDEX('Master Data'!$L$2:$L$2436,MATCH($B$3&amp;"|"&amp;D168&amp;"|"&amp;B168&amp;"|"&amp;C168,'Master Data'!$A$2:$A$2436,0)),"")</f>
        <v>Slot kosong</v>
      </c>
      <c r="F168" s="67" t="str">
        <f aca="false">IFERROR(INDEX('Master Data'!$F$2:$F$2436,MATCH($B$3&amp;"|"&amp;D168&amp;"|"&amp;B168&amp;"|"&amp;C168,'Master Data'!$A$2:$A$2436,0))&amp;"","")</f>
        <v/>
      </c>
      <c r="G168" s="66" t="n">
        <f aca="false">IFERROR(INDEX('Master Data'!$G$2:$G$2436,MATCH($B$3&amp;"|"&amp;D168&amp;"|"&amp;B168&amp;"|"&amp;C168,'Master Data'!$A$2:$A$2436,0)),"")</f>
        <v>4</v>
      </c>
      <c r="H168" s="67" t="str">
        <f aca="false">IFERROR(INDEX('Master Data'!$K$2:$K$2436,MATCH($B$3&amp;"|"&amp;D168&amp;"|"&amp;B168&amp;"|"&amp;C168,'Master Data'!$A$2:$A$2436,0))&amp;"","")</f>
        <v/>
      </c>
      <c r="I168" s="67" t="s">
        <v>448</v>
      </c>
      <c r="J168" s="67" t="s">
        <v>134</v>
      </c>
      <c r="K168" s="68"/>
      <c r="L168" s="68"/>
      <c r="M168" s="68"/>
      <c r="N168" s="69"/>
      <c r="O168" s="68"/>
    </row>
    <row r="169" customFormat="false" ht="27.75" hidden="false" customHeight="true" outlineLevel="0" collapsed="false">
      <c r="A169" s="66" t="n">
        <v>78</v>
      </c>
      <c r="B169" s="67" t="s">
        <v>91</v>
      </c>
      <c r="C169" s="66" t="s">
        <v>101</v>
      </c>
      <c r="D169" s="66" t="n">
        <v>3</v>
      </c>
      <c r="E169" s="67" t="str">
        <f aca="false">IFERROR(INDEX('Master Data'!$L$2:$L$2436,MATCH($B$3&amp;"|"&amp;D169&amp;"|"&amp;B169&amp;"|"&amp;C169,'Master Data'!$A$2:$A$2436,0)),"")</f>
        <v>Belum terisi</v>
      </c>
      <c r="F169" s="67" t="str">
        <f aca="false">IFERROR(INDEX('Master Data'!$F$2:$F$2436,MATCH($B$3&amp;"|"&amp;D169&amp;"|"&amp;B169&amp;"|"&amp;C169,'Master Data'!$A$2:$A$2436,0))&amp;"","")</f>
        <v>Little</v>
      </c>
      <c r="G169" s="66" t="n">
        <f aca="false">IFERROR(INDEX('Master Data'!$G$2:$G$2436,MATCH($B$3&amp;"|"&amp;D169&amp;"|"&amp;B169&amp;"|"&amp;C169,'Master Data'!$A$2:$A$2436,0)),"")</f>
        <v>4</v>
      </c>
      <c r="H169" s="67" t="str">
        <f aca="false">IFERROR(INDEX('Master Data'!$K$2:$K$2436,MATCH($B$3&amp;"|"&amp;D169&amp;"|"&amp;B169&amp;"|"&amp;C169,'Master Data'!$A$2:$A$2436,0))&amp;"","")</f>
        <v/>
      </c>
      <c r="I169" s="67" t="s">
        <v>445</v>
      </c>
      <c r="J169" s="67" t="s">
        <v>134</v>
      </c>
      <c r="K169" s="68"/>
      <c r="L169" s="68"/>
      <c r="M169" s="68"/>
      <c r="N169" s="69"/>
      <c r="O169" s="68"/>
    </row>
    <row r="170" customFormat="false" ht="27.75" hidden="false" customHeight="true" outlineLevel="0" collapsed="false">
      <c r="A170" s="66" t="n">
        <v>79</v>
      </c>
      <c r="B170" s="67" t="s">
        <v>91</v>
      </c>
      <c r="C170" s="66" t="s">
        <v>101</v>
      </c>
      <c r="D170" s="66" t="n">
        <v>4</v>
      </c>
      <c r="E170" s="67" t="str">
        <f aca="false">IFERROR(INDEX('Master Data'!$L$2:$L$2436,MATCH($B$3&amp;"|"&amp;D170&amp;"|"&amp;B170&amp;"|"&amp;C170,'Master Data'!$A$2:$A$2436,0)),"")</f>
        <v>Belum terisi</v>
      </c>
      <c r="F170" s="67" t="str">
        <f aca="false">IFERROR(INDEX('Master Data'!$F$2:$F$2436,MATCH($B$3&amp;"|"&amp;D170&amp;"|"&amp;B170&amp;"|"&amp;C170,'Master Data'!$A$2:$A$2436,0))&amp;"","")</f>
        <v>Kids</v>
      </c>
      <c r="G170" s="66" t="n">
        <f aca="false">IFERROR(INDEX('Master Data'!$G$2:$G$2436,MATCH($B$3&amp;"|"&amp;D170&amp;"|"&amp;B170&amp;"|"&amp;C170,'Master Data'!$A$2:$A$2436,0)),"")</f>
        <v>4</v>
      </c>
      <c r="H170" s="67" t="str">
        <f aca="false">IFERROR(INDEX('Master Data'!$K$2:$K$2436,MATCH($B$3&amp;"|"&amp;D170&amp;"|"&amp;B170&amp;"|"&amp;C170,'Master Data'!$A$2:$A$2436,0))&amp;"","")</f>
        <v/>
      </c>
      <c r="I170" s="67" t="s">
        <v>445</v>
      </c>
      <c r="J170" s="67" t="s">
        <v>134</v>
      </c>
      <c r="K170" s="68"/>
      <c r="L170" s="68"/>
      <c r="M170" s="68"/>
      <c r="N170" s="69"/>
      <c r="O170" s="68"/>
    </row>
    <row r="171" customFormat="false" ht="27.75" hidden="false" customHeight="true" outlineLevel="0" collapsed="false">
      <c r="A171" s="66" t="n">
        <v>80</v>
      </c>
      <c r="B171" s="67" t="s">
        <v>91</v>
      </c>
      <c r="C171" s="66" t="s">
        <v>116</v>
      </c>
      <c r="D171" s="66" t="n">
        <v>1</v>
      </c>
      <c r="E171" s="67" t="str">
        <f aca="false">IFERROR(INDEX('Master Data'!$L$2:$L$2436,MATCH($B$3&amp;"|"&amp;D171&amp;"|"&amp;B171&amp;"|"&amp;C171,'Master Data'!$A$2:$A$2436,0)),"")</f>
        <v>Belum terisi</v>
      </c>
      <c r="F171" s="67" t="str">
        <f aca="false">IFERROR(INDEX('Master Data'!$F$2:$F$2436,MATCH($B$3&amp;"|"&amp;D171&amp;"|"&amp;B171&amp;"|"&amp;C171,'Master Data'!$A$2:$A$2436,0))&amp;"","")</f>
        <v>Baby</v>
      </c>
      <c r="G171" s="66" t="n">
        <f aca="false">IFERROR(INDEX('Master Data'!$G$2:$G$2436,MATCH($B$3&amp;"|"&amp;D171&amp;"|"&amp;B171&amp;"|"&amp;C171,'Master Data'!$A$2:$A$2436,0)),"")</f>
        <v>5</v>
      </c>
      <c r="H171" s="67" t="str">
        <f aca="false">IFERROR(INDEX('Master Data'!$K$2:$K$2436,MATCH($B$3&amp;"|"&amp;D171&amp;"|"&amp;B171&amp;"|"&amp;C171,'Master Data'!$A$2:$A$2436,0))&amp;"","")</f>
        <v/>
      </c>
      <c r="I171" s="67" t="s">
        <v>445</v>
      </c>
      <c r="J171" s="67" t="s">
        <v>134</v>
      </c>
      <c r="K171" s="68"/>
      <c r="L171" s="68"/>
      <c r="M171" s="68"/>
      <c r="N171" s="69"/>
      <c r="O171" s="68"/>
    </row>
    <row r="172" customFormat="false" ht="27.75" hidden="false" customHeight="true" outlineLevel="0" collapsed="false">
      <c r="A172" s="66" t="n">
        <v>81</v>
      </c>
      <c r="B172" s="67" t="s">
        <v>91</v>
      </c>
      <c r="C172" s="66" t="s">
        <v>116</v>
      </c>
      <c r="D172" s="66" t="n">
        <v>2</v>
      </c>
      <c r="E172" s="67" t="str">
        <f aca="false">IFERROR(INDEX('Master Data'!$L$2:$L$2436,MATCH($B$3&amp;"|"&amp;D172&amp;"|"&amp;B172&amp;"|"&amp;C172,'Master Data'!$A$2:$A$2436,0)),"")</f>
        <v>Belum terisi</v>
      </c>
      <c r="F172" s="67" t="str">
        <f aca="false">IFERROR(INDEX('Master Data'!$F$2:$F$2436,MATCH($B$3&amp;"|"&amp;D172&amp;"|"&amp;B172&amp;"|"&amp;C172,'Master Data'!$A$2:$A$2436,0))&amp;"","")</f>
        <v>Tiny</v>
      </c>
      <c r="G172" s="66" t="n">
        <f aca="false">IFERROR(INDEX('Master Data'!$G$2:$G$2436,MATCH($B$3&amp;"|"&amp;D172&amp;"|"&amp;B172&amp;"|"&amp;C172,'Master Data'!$A$2:$A$2436,0)),"")</f>
        <v>5</v>
      </c>
      <c r="H172" s="67" t="str">
        <f aca="false">IFERROR(INDEX('Master Data'!$K$2:$K$2436,MATCH($B$3&amp;"|"&amp;D172&amp;"|"&amp;B172&amp;"|"&amp;C172,'Master Data'!$A$2:$A$2436,0))&amp;"","")</f>
        <v/>
      </c>
      <c r="I172" s="67" t="s">
        <v>445</v>
      </c>
      <c r="J172" s="67" t="s">
        <v>134</v>
      </c>
      <c r="K172" s="68"/>
      <c r="L172" s="68"/>
      <c r="M172" s="68"/>
      <c r="N172" s="69"/>
      <c r="O172" s="68"/>
    </row>
    <row r="173" customFormat="false" ht="27.75" hidden="false" customHeight="true" outlineLevel="0" collapsed="false">
      <c r="A173" s="66" t="n">
        <v>82</v>
      </c>
      <c r="B173" s="67" t="s">
        <v>91</v>
      </c>
      <c r="C173" s="66" t="s">
        <v>116</v>
      </c>
      <c r="D173" s="66" t="n">
        <v>5</v>
      </c>
      <c r="E173" s="67" t="str">
        <f aca="false">IFERROR(INDEX('Master Data'!$L$2:$L$2436,MATCH($B$3&amp;"|"&amp;D173&amp;"|"&amp;B173&amp;"|"&amp;C173,'Master Data'!$A$2:$A$2436,0)),"")</f>
        <v>Slot kosong</v>
      </c>
      <c r="F173" s="67" t="str">
        <f aca="false">IFERROR(INDEX('Master Data'!$F$2:$F$2436,MATCH($B$3&amp;"|"&amp;D173&amp;"|"&amp;B173&amp;"|"&amp;C173,'Master Data'!$A$2:$A$2436,0))&amp;"","")</f>
        <v/>
      </c>
      <c r="G173" s="66" t="n">
        <f aca="false">IFERROR(INDEX('Master Data'!$G$2:$G$2436,MATCH($B$3&amp;"|"&amp;D173&amp;"|"&amp;B173&amp;"|"&amp;C173,'Master Data'!$A$2:$A$2436,0)),"")</f>
        <v>4</v>
      </c>
      <c r="H173" s="67" t="str">
        <f aca="false">IFERROR(INDEX('Master Data'!$K$2:$K$2436,MATCH($B$3&amp;"|"&amp;D173&amp;"|"&amp;B173&amp;"|"&amp;C173,'Master Data'!$A$2:$A$2436,0))&amp;"","")</f>
        <v/>
      </c>
      <c r="I173" s="67" t="s">
        <v>445</v>
      </c>
      <c r="J173" s="67" t="s">
        <v>134</v>
      </c>
      <c r="K173" s="68"/>
      <c r="L173" s="68"/>
      <c r="M173" s="68"/>
      <c r="N173" s="69"/>
      <c r="O173" s="68"/>
    </row>
    <row r="174" customFormat="false" ht="27.75" hidden="false" customHeight="true" outlineLevel="0" collapsed="false">
      <c r="A174" s="66" t="n">
        <v>83</v>
      </c>
      <c r="B174" s="67" t="s">
        <v>91</v>
      </c>
      <c r="C174" s="66" t="s">
        <v>102</v>
      </c>
      <c r="D174" s="66" t="n">
        <v>3</v>
      </c>
      <c r="E174" s="67" t="str">
        <f aca="false">IFERROR(INDEX('Master Data'!$L$2:$L$2436,MATCH($B$3&amp;"|"&amp;D174&amp;"|"&amp;B174&amp;"|"&amp;C174,'Master Data'!$A$2:$A$2436,0)),"")</f>
        <v>Belum terisi</v>
      </c>
      <c r="F174" s="67" t="str">
        <f aca="false">IFERROR(INDEX('Master Data'!$F$2:$F$2436,MATCH($B$3&amp;"|"&amp;D174&amp;"|"&amp;B174&amp;"|"&amp;C174,'Master Data'!$A$2:$A$2436,0))&amp;"","")</f>
        <v>Little</v>
      </c>
      <c r="G174" s="66" t="n">
        <f aca="false">IFERROR(INDEX('Master Data'!$G$2:$G$2436,MATCH($B$3&amp;"|"&amp;D174&amp;"|"&amp;B174&amp;"|"&amp;C174,'Master Data'!$A$2:$A$2436,0)),"")</f>
        <v>4</v>
      </c>
      <c r="H174" s="67" t="str">
        <f aca="false">IFERROR(INDEX('Master Data'!$K$2:$K$2436,MATCH($B$3&amp;"|"&amp;D174&amp;"|"&amp;B174&amp;"|"&amp;C174,'Master Data'!$A$2:$A$2436,0))&amp;"","")</f>
        <v/>
      </c>
      <c r="I174" s="67" t="s">
        <v>445</v>
      </c>
      <c r="J174" s="67" t="s">
        <v>134</v>
      </c>
      <c r="K174" s="68"/>
      <c r="L174" s="68"/>
      <c r="M174" s="68"/>
      <c r="N174" s="69"/>
      <c r="O174" s="68"/>
    </row>
    <row r="175" customFormat="false" ht="27.75" hidden="false" customHeight="true" outlineLevel="0" collapsed="false">
      <c r="A175" s="66" t="n">
        <v>84</v>
      </c>
      <c r="B175" s="67" t="s">
        <v>91</v>
      </c>
      <c r="C175" s="66" t="s">
        <v>102</v>
      </c>
      <c r="D175" s="66" t="n">
        <v>4</v>
      </c>
      <c r="E175" s="67" t="str">
        <f aca="false">IFERROR(INDEX('Master Data'!$L$2:$L$2436,MATCH($B$3&amp;"|"&amp;D175&amp;"|"&amp;B175&amp;"|"&amp;C175,'Master Data'!$A$2:$A$2436,0)),"")</f>
        <v>Belum terisi</v>
      </c>
      <c r="F175" s="67" t="str">
        <f aca="false">IFERROR(INDEX('Master Data'!$F$2:$F$2436,MATCH($B$3&amp;"|"&amp;D175&amp;"|"&amp;B175&amp;"|"&amp;C175,'Master Data'!$A$2:$A$2436,0))&amp;"","")</f>
        <v>Kids</v>
      </c>
      <c r="G175" s="66" t="n">
        <f aca="false">IFERROR(INDEX('Master Data'!$G$2:$G$2436,MATCH($B$3&amp;"|"&amp;D175&amp;"|"&amp;B175&amp;"|"&amp;C175,'Master Data'!$A$2:$A$2436,0)),"")</f>
        <v>4</v>
      </c>
      <c r="H175" s="67" t="str">
        <f aca="false">IFERROR(INDEX('Master Data'!$K$2:$K$2436,MATCH($B$3&amp;"|"&amp;D175&amp;"|"&amp;B175&amp;"|"&amp;C175,'Master Data'!$A$2:$A$2436,0))&amp;"","")</f>
        <v/>
      </c>
      <c r="I175" s="67" t="s">
        <v>445</v>
      </c>
      <c r="J175" s="67" t="s">
        <v>134</v>
      </c>
      <c r="K175" s="68"/>
      <c r="L175" s="68"/>
      <c r="M175" s="68"/>
      <c r="N175" s="69"/>
      <c r="O175" s="68"/>
    </row>
    <row r="176" customFormat="false" ht="27.75" hidden="false" customHeight="true" outlineLevel="0" collapsed="false">
      <c r="A176" s="66" t="n">
        <v>85</v>
      </c>
      <c r="B176" s="67" t="s">
        <v>91</v>
      </c>
      <c r="C176" s="66" t="s">
        <v>117</v>
      </c>
      <c r="D176" s="66" t="n">
        <v>1</v>
      </c>
      <c r="E176" s="67" t="str">
        <f aca="false">IFERROR(INDEX('Master Data'!$L$2:$L$2436,MATCH($B$3&amp;"|"&amp;D176&amp;"|"&amp;B176&amp;"|"&amp;C176,'Master Data'!$A$2:$A$2436,0)),"")</f>
        <v>Belum terisi</v>
      </c>
      <c r="F176" s="67" t="str">
        <f aca="false">IFERROR(INDEX('Master Data'!$F$2:$F$2436,MATCH($B$3&amp;"|"&amp;D176&amp;"|"&amp;B176&amp;"|"&amp;C176,'Master Data'!$A$2:$A$2436,0))&amp;"","")</f>
        <v>Baby</v>
      </c>
      <c r="G176" s="66" t="n">
        <f aca="false">IFERROR(INDEX('Master Data'!$G$2:$G$2436,MATCH($B$3&amp;"|"&amp;D176&amp;"|"&amp;B176&amp;"|"&amp;C176,'Master Data'!$A$2:$A$2436,0)),"")</f>
        <v>5</v>
      </c>
      <c r="H176" s="67" t="str">
        <f aca="false">IFERROR(INDEX('Master Data'!$K$2:$K$2436,MATCH($B$3&amp;"|"&amp;D176&amp;"|"&amp;B176&amp;"|"&amp;C176,'Master Data'!$A$2:$A$2436,0))&amp;"","")</f>
        <v/>
      </c>
      <c r="I176" s="67" t="s">
        <v>446</v>
      </c>
      <c r="J176" s="67" t="s">
        <v>134</v>
      </c>
      <c r="K176" s="68"/>
      <c r="L176" s="68"/>
      <c r="M176" s="68"/>
      <c r="N176" s="69"/>
      <c r="O176" s="68"/>
    </row>
    <row r="177" customFormat="false" ht="27.75" hidden="false" customHeight="true" outlineLevel="0" collapsed="false">
      <c r="A177" s="66" t="n">
        <v>86</v>
      </c>
      <c r="B177" s="67" t="s">
        <v>91</v>
      </c>
      <c r="C177" s="66" t="s">
        <v>117</v>
      </c>
      <c r="D177" s="66" t="n">
        <v>2</v>
      </c>
      <c r="E177" s="67" t="str">
        <f aca="false">IFERROR(INDEX('Master Data'!$L$2:$L$2436,MATCH($B$3&amp;"|"&amp;D177&amp;"|"&amp;B177&amp;"|"&amp;C177,'Master Data'!$A$2:$A$2436,0)),"")</f>
        <v>Belum terisi</v>
      </c>
      <c r="F177" s="67" t="str">
        <f aca="false">IFERROR(INDEX('Master Data'!$F$2:$F$2436,MATCH($B$3&amp;"|"&amp;D177&amp;"|"&amp;B177&amp;"|"&amp;C177,'Master Data'!$A$2:$A$2436,0))&amp;"","")</f>
        <v>Tiny</v>
      </c>
      <c r="G177" s="66" t="n">
        <f aca="false">IFERROR(INDEX('Master Data'!$G$2:$G$2436,MATCH($B$3&amp;"|"&amp;D177&amp;"|"&amp;B177&amp;"|"&amp;C177,'Master Data'!$A$2:$A$2436,0)),"")</f>
        <v>5</v>
      </c>
      <c r="H177" s="67" t="str">
        <f aca="false">IFERROR(INDEX('Master Data'!$K$2:$K$2436,MATCH($B$3&amp;"|"&amp;D177&amp;"|"&amp;B177&amp;"|"&amp;C177,'Master Data'!$A$2:$A$2436,0))&amp;"","")</f>
        <v/>
      </c>
      <c r="I177" s="67" t="s">
        <v>446</v>
      </c>
      <c r="J177" s="67" t="s">
        <v>134</v>
      </c>
      <c r="K177" s="68"/>
      <c r="L177" s="68"/>
      <c r="M177" s="68"/>
      <c r="N177" s="69"/>
      <c r="O177" s="68"/>
    </row>
    <row r="178" customFormat="false" ht="27.75" hidden="false" customHeight="true" outlineLevel="0" collapsed="false">
      <c r="A178" s="66" t="n">
        <v>87</v>
      </c>
      <c r="B178" s="67" t="s">
        <v>91</v>
      </c>
      <c r="C178" s="66" t="s">
        <v>117</v>
      </c>
      <c r="D178" s="66" t="n">
        <v>5</v>
      </c>
      <c r="E178" s="67" t="str">
        <f aca="false">IFERROR(INDEX('Master Data'!$L$2:$L$2436,MATCH($B$3&amp;"|"&amp;D178&amp;"|"&amp;B178&amp;"|"&amp;C178,'Master Data'!$A$2:$A$2436,0)),"")</f>
        <v>Slot kosong</v>
      </c>
      <c r="F178" s="67" t="str">
        <f aca="false">IFERROR(INDEX('Master Data'!$F$2:$F$2436,MATCH($B$3&amp;"|"&amp;D178&amp;"|"&amp;B178&amp;"|"&amp;C178,'Master Data'!$A$2:$A$2436,0))&amp;"","")</f>
        <v/>
      </c>
      <c r="G178" s="66" t="n">
        <f aca="false">IFERROR(INDEX('Master Data'!$G$2:$G$2436,MATCH($B$3&amp;"|"&amp;D178&amp;"|"&amp;B178&amp;"|"&amp;C178,'Master Data'!$A$2:$A$2436,0)),"")</f>
        <v>4</v>
      </c>
      <c r="H178" s="67" t="str">
        <f aca="false">IFERROR(INDEX('Master Data'!$K$2:$K$2436,MATCH($B$3&amp;"|"&amp;D178&amp;"|"&amp;B178&amp;"|"&amp;C178,'Master Data'!$A$2:$A$2436,0))&amp;"","")</f>
        <v/>
      </c>
      <c r="I178" s="67" t="s">
        <v>446</v>
      </c>
      <c r="J178" s="67" t="s">
        <v>134</v>
      </c>
      <c r="K178" s="68"/>
      <c r="L178" s="68"/>
      <c r="M178" s="68"/>
      <c r="N178" s="69"/>
      <c r="O178" s="68"/>
    </row>
    <row r="179" customFormat="false" ht="27.75" hidden="false" customHeight="true" outlineLevel="0" collapsed="false">
      <c r="A179" s="66" t="n">
        <v>88</v>
      </c>
      <c r="B179" s="67" t="s">
        <v>91</v>
      </c>
      <c r="C179" s="66" t="s">
        <v>103</v>
      </c>
      <c r="D179" s="66" t="n">
        <v>3</v>
      </c>
      <c r="E179" s="67" t="str">
        <f aca="false">IFERROR(INDEX('Master Data'!$L$2:$L$2436,MATCH($B$3&amp;"|"&amp;D179&amp;"|"&amp;B179&amp;"|"&amp;C179,'Master Data'!$A$2:$A$2436,0)),"")</f>
        <v>Belum terisi</v>
      </c>
      <c r="F179" s="67" t="str">
        <f aca="false">IFERROR(INDEX('Master Data'!$F$2:$F$2436,MATCH($B$3&amp;"|"&amp;D179&amp;"|"&amp;B179&amp;"|"&amp;C179,'Master Data'!$A$2:$A$2436,0))&amp;"","")</f>
        <v>Little</v>
      </c>
      <c r="G179" s="66" t="n">
        <f aca="false">IFERROR(INDEX('Master Data'!$G$2:$G$2436,MATCH($B$3&amp;"|"&amp;D179&amp;"|"&amp;B179&amp;"|"&amp;C179,'Master Data'!$A$2:$A$2436,0)),"")</f>
        <v>4</v>
      </c>
      <c r="H179" s="67" t="str">
        <f aca="false">IFERROR(INDEX('Master Data'!$K$2:$K$2436,MATCH($B$3&amp;"|"&amp;D179&amp;"|"&amp;B179&amp;"|"&amp;C179,'Master Data'!$A$2:$A$2436,0))&amp;"","")</f>
        <v/>
      </c>
      <c r="I179" s="67" t="s">
        <v>446</v>
      </c>
      <c r="J179" s="67" t="s">
        <v>134</v>
      </c>
      <c r="K179" s="68"/>
      <c r="L179" s="68"/>
      <c r="M179" s="68"/>
      <c r="N179" s="69"/>
      <c r="O179" s="68"/>
    </row>
    <row r="180" customFormat="false" ht="27.75" hidden="false" customHeight="true" outlineLevel="0" collapsed="false">
      <c r="A180" s="66" t="n">
        <v>89</v>
      </c>
      <c r="B180" s="67" t="s">
        <v>91</v>
      </c>
      <c r="C180" s="66" t="s">
        <v>118</v>
      </c>
      <c r="D180" s="66" t="n">
        <v>1</v>
      </c>
      <c r="E180" s="67" t="str">
        <f aca="false">IFERROR(INDEX('Master Data'!$L$2:$L$2436,MATCH($B$3&amp;"|"&amp;D180&amp;"|"&amp;B180&amp;"|"&amp;C180,'Master Data'!$A$2:$A$2436,0)),"")</f>
        <v>Belum terisi</v>
      </c>
      <c r="F180" s="67" t="str">
        <f aca="false">IFERROR(INDEX('Master Data'!$F$2:$F$2436,MATCH($B$3&amp;"|"&amp;D180&amp;"|"&amp;B180&amp;"|"&amp;C180,'Master Data'!$A$2:$A$2436,0))&amp;"","")</f>
        <v>Baby</v>
      </c>
      <c r="G180" s="66" t="n">
        <f aca="false">IFERROR(INDEX('Master Data'!$G$2:$G$2436,MATCH($B$3&amp;"|"&amp;D180&amp;"|"&amp;B180&amp;"|"&amp;C180,'Master Data'!$A$2:$A$2436,0)),"")</f>
        <v>5</v>
      </c>
      <c r="H180" s="67" t="str">
        <f aca="false">IFERROR(INDEX('Master Data'!$K$2:$K$2436,MATCH($B$3&amp;"|"&amp;D180&amp;"|"&amp;B180&amp;"|"&amp;C180,'Master Data'!$A$2:$A$2436,0))&amp;"","")</f>
        <v/>
      </c>
      <c r="I180" s="67" t="s">
        <v>446</v>
      </c>
      <c r="J180" s="67" t="s">
        <v>134</v>
      </c>
      <c r="K180" s="68"/>
      <c r="L180" s="68"/>
      <c r="M180" s="68"/>
      <c r="N180" s="69"/>
      <c r="O180" s="68"/>
    </row>
    <row r="181" customFormat="false" ht="27.75" hidden="false" customHeight="true" outlineLevel="0" collapsed="false">
      <c r="A181" s="66" t="n">
        <v>90</v>
      </c>
      <c r="B181" s="67" t="s">
        <v>91</v>
      </c>
      <c r="C181" s="66" t="s">
        <v>118</v>
      </c>
      <c r="D181" s="66" t="n">
        <v>2</v>
      </c>
      <c r="E181" s="67" t="str">
        <f aca="false">IFERROR(INDEX('Master Data'!$L$2:$L$2436,MATCH($B$3&amp;"|"&amp;D181&amp;"|"&amp;B181&amp;"|"&amp;C181,'Master Data'!$A$2:$A$2436,0)),"")</f>
        <v>Belum terisi</v>
      </c>
      <c r="F181" s="67" t="str">
        <f aca="false">IFERROR(INDEX('Master Data'!$F$2:$F$2436,MATCH($B$3&amp;"|"&amp;D181&amp;"|"&amp;B181&amp;"|"&amp;C181,'Master Data'!$A$2:$A$2436,0))&amp;"","")</f>
        <v>Tiny</v>
      </c>
      <c r="G181" s="66" t="n">
        <f aca="false">IFERROR(INDEX('Master Data'!$G$2:$G$2436,MATCH($B$3&amp;"|"&amp;D181&amp;"|"&amp;B181&amp;"|"&amp;C181,'Master Data'!$A$2:$A$2436,0)),"")</f>
        <v>5</v>
      </c>
      <c r="H181" s="67" t="str">
        <f aca="false">IFERROR(INDEX('Master Data'!$K$2:$K$2436,MATCH($B$3&amp;"|"&amp;D181&amp;"|"&amp;B181&amp;"|"&amp;C181,'Master Data'!$A$2:$A$2436,0))&amp;"","")</f>
        <v/>
      </c>
      <c r="I181" s="67" t="s">
        <v>446</v>
      </c>
      <c r="J181" s="67" t="s">
        <v>134</v>
      </c>
      <c r="K181" s="68"/>
      <c r="L181" s="68"/>
      <c r="M181" s="68"/>
      <c r="N181" s="69"/>
      <c r="O181" s="68"/>
    </row>
    <row r="182" customFormat="false" ht="27.75" hidden="false" customHeight="true" outlineLevel="0" collapsed="false">
      <c r="A182" s="66" t="n">
        <v>91</v>
      </c>
      <c r="B182" s="67" t="s">
        <v>91</v>
      </c>
      <c r="C182" s="66" t="s">
        <v>118</v>
      </c>
      <c r="D182" s="66" t="n">
        <v>5</v>
      </c>
      <c r="E182" s="67" t="str">
        <f aca="false">IFERROR(INDEX('Master Data'!$L$2:$L$2436,MATCH($B$3&amp;"|"&amp;D182&amp;"|"&amp;B182&amp;"|"&amp;C182,'Master Data'!$A$2:$A$2436,0)),"")</f>
        <v>Slot kosong</v>
      </c>
      <c r="F182" s="67" t="str">
        <f aca="false">IFERROR(INDEX('Master Data'!$F$2:$F$2436,MATCH($B$3&amp;"|"&amp;D182&amp;"|"&amp;B182&amp;"|"&amp;C182,'Master Data'!$A$2:$A$2436,0))&amp;"","")</f>
        <v/>
      </c>
      <c r="G182" s="66" t="n">
        <f aca="false">IFERROR(INDEX('Master Data'!$G$2:$G$2436,MATCH($B$3&amp;"|"&amp;D182&amp;"|"&amp;B182&amp;"|"&amp;C182,'Master Data'!$A$2:$A$2436,0)),"")</f>
        <v>4</v>
      </c>
      <c r="H182" s="67" t="str">
        <f aca="false">IFERROR(INDEX('Master Data'!$K$2:$K$2436,MATCH($B$3&amp;"|"&amp;D182&amp;"|"&amp;B182&amp;"|"&amp;C182,'Master Data'!$A$2:$A$2436,0))&amp;"","")</f>
        <v/>
      </c>
      <c r="I182" s="67" t="s">
        <v>446</v>
      </c>
      <c r="J182" s="67" t="s">
        <v>134</v>
      </c>
      <c r="K182" s="68"/>
      <c r="L182" s="68"/>
      <c r="M182" s="68"/>
      <c r="N182" s="69"/>
      <c r="O182" s="68"/>
    </row>
    <row r="183" customFormat="false" ht="27.75" hidden="false" customHeight="true" outlineLevel="0" collapsed="false">
      <c r="A183" s="66" t="n">
        <v>92</v>
      </c>
      <c r="B183" s="67" t="s">
        <v>91</v>
      </c>
      <c r="C183" s="66" t="s">
        <v>104</v>
      </c>
      <c r="D183" s="66" t="n">
        <v>3</v>
      </c>
      <c r="E183" s="67" t="str">
        <f aca="false">IFERROR(INDEX('Master Data'!$L$2:$L$2436,MATCH($B$3&amp;"|"&amp;D183&amp;"|"&amp;B183&amp;"|"&amp;C183,'Master Data'!$A$2:$A$2436,0)),"")</f>
        <v>Belum terisi</v>
      </c>
      <c r="F183" s="67" t="str">
        <f aca="false">IFERROR(INDEX('Master Data'!$F$2:$F$2436,MATCH($B$3&amp;"|"&amp;D183&amp;"|"&amp;B183&amp;"|"&amp;C183,'Master Data'!$A$2:$A$2436,0))&amp;"","")</f>
        <v>Little</v>
      </c>
      <c r="G183" s="66" t="n">
        <f aca="false">IFERROR(INDEX('Master Data'!$G$2:$G$2436,MATCH($B$3&amp;"|"&amp;D183&amp;"|"&amp;B183&amp;"|"&amp;C183,'Master Data'!$A$2:$A$2436,0)),"")</f>
        <v>4</v>
      </c>
      <c r="H183" s="67" t="str">
        <f aca="false">IFERROR(INDEX('Master Data'!$K$2:$K$2436,MATCH($B$3&amp;"|"&amp;D183&amp;"|"&amp;B183&amp;"|"&amp;C183,'Master Data'!$A$2:$A$2436,0))&amp;"","")</f>
        <v/>
      </c>
      <c r="I183" s="67" t="s">
        <v>445</v>
      </c>
      <c r="J183" s="67" t="s">
        <v>134</v>
      </c>
      <c r="K183" s="68"/>
      <c r="L183" s="68"/>
      <c r="M183" s="68"/>
      <c r="N183" s="69"/>
      <c r="O183" s="68"/>
    </row>
    <row r="184" customFormat="false" ht="27.75" hidden="false" customHeight="true" outlineLevel="0" collapsed="false">
      <c r="A184" s="66" t="n">
        <v>93</v>
      </c>
      <c r="B184" s="67" t="s">
        <v>91</v>
      </c>
      <c r="C184" s="66" t="s">
        <v>104</v>
      </c>
      <c r="D184" s="66" t="n">
        <v>4</v>
      </c>
      <c r="E184" s="67" t="str">
        <f aca="false">IFERROR(INDEX('Master Data'!$L$2:$L$2436,MATCH($B$3&amp;"|"&amp;D184&amp;"|"&amp;B184&amp;"|"&amp;C184,'Master Data'!$A$2:$A$2436,0)),"")</f>
        <v>Belum terisi</v>
      </c>
      <c r="F184" s="67" t="str">
        <f aca="false">IFERROR(INDEX('Master Data'!$F$2:$F$2436,MATCH($B$3&amp;"|"&amp;D184&amp;"|"&amp;B184&amp;"|"&amp;C184,'Master Data'!$A$2:$A$2436,0))&amp;"","")</f>
        <v>Kids</v>
      </c>
      <c r="G184" s="66" t="n">
        <f aca="false">IFERROR(INDEX('Master Data'!$G$2:$G$2436,MATCH($B$3&amp;"|"&amp;D184&amp;"|"&amp;B184&amp;"|"&amp;C184,'Master Data'!$A$2:$A$2436,0)),"")</f>
        <v>4</v>
      </c>
      <c r="H184" s="67" t="str">
        <f aca="false">IFERROR(INDEX('Master Data'!$K$2:$K$2436,MATCH($B$3&amp;"|"&amp;D184&amp;"|"&amp;B184&amp;"|"&amp;C184,'Master Data'!$A$2:$A$2436,0))&amp;"","")</f>
        <v/>
      </c>
      <c r="I184" s="67" t="s">
        <v>445</v>
      </c>
      <c r="J184" s="67" t="s">
        <v>134</v>
      </c>
      <c r="K184" s="68"/>
      <c r="L184" s="68"/>
      <c r="M184" s="68"/>
      <c r="N184" s="69"/>
      <c r="O184" s="68"/>
    </row>
    <row r="185" customFormat="false" ht="27.75" hidden="false" customHeight="true" outlineLevel="0" collapsed="false">
      <c r="A185" s="66" t="n">
        <v>94</v>
      </c>
      <c r="B185" s="67" t="s">
        <v>91</v>
      </c>
      <c r="C185" s="66" t="s">
        <v>119</v>
      </c>
      <c r="D185" s="66" t="n">
        <v>1</v>
      </c>
      <c r="E185" s="67" t="str">
        <f aca="false">IFERROR(INDEX('Master Data'!$L$2:$L$2436,MATCH($B$3&amp;"|"&amp;D185&amp;"|"&amp;B185&amp;"|"&amp;C185,'Master Data'!$A$2:$A$2436,0)),"")</f>
        <v>Belum terisi</v>
      </c>
      <c r="F185" s="67" t="str">
        <f aca="false">IFERROR(INDEX('Master Data'!$F$2:$F$2436,MATCH($B$3&amp;"|"&amp;D185&amp;"|"&amp;B185&amp;"|"&amp;C185,'Master Data'!$A$2:$A$2436,0))&amp;"","")</f>
        <v>Baby</v>
      </c>
      <c r="G185" s="66" t="n">
        <f aca="false">IFERROR(INDEX('Master Data'!$G$2:$G$2436,MATCH($B$3&amp;"|"&amp;D185&amp;"|"&amp;B185&amp;"|"&amp;C185,'Master Data'!$A$2:$A$2436,0)),"")</f>
        <v>5</v>
      </c>
      <c r="H185" s="67" t="str">
        <f aca="false">IFERROR(INDEX('Master Data'!$K$2:$K$2436,MATCH($B$3&amp;"|"&amp;D185&amp;"|"&amp;B185&amp;"|"&amp;C185,'Master Data'!$A$2:$A$2436,0))&amp;"","")</f>
        <v/>
      </c>
      <c r="I185" s="67" t="s">
        <v>446</v>
      </c>
      <c r="J185" s="67" t="s">
        <v>134</v>
      </c>
      <c r="K185" s="68"/>
      <c r="L185" s="68"/>
      <c r="M185" s="68"/>
      <c r="N185" s="69"/>
      <c r="O185" s="68"/>
    </row>
    <row r="186" customFormat="false" ht="27.75" hidden="false" customHeight="true" outlineLevel="0" collapsed="false">
      <c r="A186" s="66" t="n">
        <v>95</v>
      </c>
      <c r="B186" s="67" t="s">
        <v>91</v>
      </c>
      <c r="C186" s="66" t="s">
        <v>119</v>
      </c>
      <c r="D186" s="66" t="n">
        <v>2</v>
      </c>
      <c r="E186" s="67" t="str">
        <f aca="false">IFERROR(INDEX('Master Data'!$L$2:$L$2436,MATCH($B$3&amp;"|"&amp;D186&amp;"|"&amp;B186&amp;"|"&amp;C186,'Master Data'!$A$2:$A$2436,0)),"")</f>
        <v>Belum terisi</v>
      </c>
      <c r="F186" s="67" t="str">
        <f aca="false">IFERROR(INDEX('Master Data'!$F$2:$F$2436,MATCH($B$3&amp;"|"&amp;D186&amp;"|"&amp;B186&amp;"|"&amp;C186,'Master Data'!$A$2:$A$2436,0))&amp;"","")</f>
        <v>Tiny</v>
      </c>
      <c r="G186" s="66" t="n">
        <f aca="false">IFERROR(INDEX('Master Data'!$G$2:$G$2436,MATCH($B$3&amp;"|"&amp;D186&amp;"|"&amp;B186&amp;"|"&amp;C186,'Master Data'!$A$2:$A$2436,0)),"")</f>
        <v>5</v>
      </c>
      <c r="H186" s="67" t="str">
        <f aca="false">IFERROR(INDEX('Master Data'!$K$2:$K$2436,MATCH($B$3&amp;"|"&amp;D186&amp;"|"&amp;B186&amp;"|"&amp;C186,'Master Data'!$A$2:$A$2436,0))&amp;"","")</f>
        <v/>
      </c>
      <c r="I186" s="67" t="s">
        <v>446</v>
      </c>
      <c r="J186" s="67" t="s">
        <v>134</v>
      </c>
      <c r="K186" s="68"/>
      <c r="L186" s="68"/>
      <c r="M186" s="68"/>
      <c r="N186" s="69"/>
      <c r="O186" s="68"/>
    </row>
    <row r="187" customFormat="false" ht="27.75" hidden="false" customHeight="true" outlineLevel="0" collapsed="false">
      <c r="A187" s="66" t="n">
        <v>96</v>
      </c>
      <c r="B187" s="67" t="s">
        <v>91</v>
      </c>
      <c r="C187" s="66" t="s">
        <v>119</v>
      </c>
      <c r="D187" s="66" t="n">
        <v>5</v>
      </c>
      <c r="E187" s="67" t="str">
        <f aca="false">IFERROR(INDEX('Master Data'!$L$2:$L$2436,MATCH($B$3&amp;"|"&amp;D187&amp;"|"&amp;B187&amp;"|"&amp;C187,'Master Data'!$A$2:$A$2436,0)),"")</f>
        <v>Slot kosong</v>
      </c>
      <c r="F187" s="67" t="str">
        <f aca="false">IFERROR(INDEX('Master Data'!$F$2:$F$2436,MATCH($B$3&amp;"|"&amp;D187&amp;"|"&amp;B187&amp;"|"&amp;C187,'Master Data'!$A$2:$A$2436,0))&amp;"","")</f>
        <v/>
      </c>
      <c r="G187" s="66" t="n">
        <f aca="false">IFERROR(INDEX('Master Data'!$G$2:$G$2436,MATCH($B$3&amp;"|"&amp;D187&amp;"|"&amp;B187&amp;"|"&amp;C187,'Master Data'!$A$2:$A$2436,0)),"")</f>
        <v>4</v>
      </c>
      <c r="H187" s="67" t="str">
        <f aca="false">IFERROR(INDEX('Master Data'!$K$2:$K$2436,MATCH($B$3&amp;"|"&amp;D187&amp;"|"&amp;B187&amp;"|"&amp;C187,'Master Data'!$A$2:$A$2436,0))&amp;"","")</f>
        <v/>
      </c>
      <c r="I187" s="67" t="s">
        <v>446</v>
      </c>
      <c r="J187" s="67" t="s">
        <v>134</v>
      </c>
      <c r="K187" s="68"/>
      <c r="L187" s="68"/>
      <c r="M187" s="68"/>
      <c r="N187" s="69"/>
      <c r="O187" s="68"/>
    </row>
    <row r="188" customFormat="false" ht="27.75" hidden="false" customHeight="true" outlineLevel="0" collapsed="false">
      <c r="A188" s="66" t="n">
        <v>97</v>
      </c>
      <c r="B188" s="67" t="s">
        <v>91</v>
      </c>
      <c r="C188" s="66" t="s">
        <v>105</v>
      </c>
      <c r="D188" s="66" t="n">
        <v>4</v>
      </c>
      <c r="E188" s="67" t="str">
        <f aca="false">IFERROR(INDEX('Master Data'!$L$2:$L$2436,MATCH($B$3&amp;"|"&amp;D188&amp;"|"&amp;B188&amp;"|"&amp;C188,'Master Data'!$A$2:$A$2436,0)),"")</f>
        <v>Belum terisi</v>
      </c>
      <c r="F188" s="67" t="str">
        <f aca="false">IFERROR(INDEX('Master Data'!$F$2:$F$2436,MATCH($B$3&amp;"|"&amp;D188&amp;"|"&amp;B188&amp;"|"&amp;C188,'Master Data'!$A$2:$A$2436,0))&amp;"","")</f>
        <v>Kids</v>
      </c>
      <c r="G188" s="66" t="n">
        <f aca="false">IFERROR(INDEX('Master Data'!$G$2:$G$2436,MATCH($B$3&amp;"|"&amp;D188&amp;"|"&amp;B188&amp;"|"&amp;C188,'Master Data'!$A$2:$A$2436,0)),"")</f>
        <v>4</v>
      </c>
      <c r="H188" s="67" t="str">
        <f aca="false">IFERROR(INDEX('Master Data'!$K$2:$K$2436,MATCH($B$3&amp;"|"&amp;D188&amp;"|"&amp;B188&amp;"|"&amp;C188,'Master Data'!$A$2:$A$2436,0))&amp;"","")</f>
        <v/>
      </c>
      <c r="I188" s="67" t="s">
        <v>446</v>
      </c>
      <c r="J188" s="67" t="s">
        <v>134</v>
      </c>
      <c r="K188" s="68"/>
      <c r="L188" s="68"/>
      <c r="M188" s="68"/>
      <c r="N188" s="69"/>
      <c r="O188" s="68"/>
    </row>
    <row r="189" customFormat="false" ht="27.75" hidden="false" customHeight="true" outlineLevel="0" collapsed="false">
      <c r="A189" s="66" t="n">
        <v>98</v>
      </c>
      <c r="B189" s="67" t="s">
        <v>91</v>
      </c>
      <c r="C189" s="66" t="s">
        <v>120</v>
      </c>
      <c r="D189" s="66" t="n">
        <v>1</v>
      </c>
      <c r="E189" s="67" t="str">
        <f aca="false">IFERROR(INDEX('Master Data'!$L$2:$L$2436,MATCH($B$3&amp;"|"&amp;D189&amp;"|"&amp;B189&amp;"|"&amp;C189,'Master Data'!$A$2:$A$2436,0)),"")</f>
        <v>Belum terisi</v>
      </c>
      <c r="F189" s="67" t="str">
        <f aca="false">IFERROR(INDEX('Master Data'!$F$2:$F$2436,MATCH($B$3&amp;"|"&amp;D189&amp;"|"&amp;B189&amp;"|"&amp;C189,'Master Data'!$A$2:$A$2436,0))&amp;"","")</f>
        <v>Baby</v>
      </c>
      <c r="G189" s="66" t="n">
        <f aca="false">IFERROR(INDEX('Master Data'!$G$2:$G$2436,MATCH($B$3&amp;"|"&amp;D189&amp;"|"&amp;B189&amp;"|"&amp;C189,'Master Data'!$A$2:$A$2436,0)),"")</f>
        <v>5</v>
      </c>
      <c r="H189" s="67" t="str">
        <f aca="false">IFERROR(INDEX('Master Data'!$K$2:$K$2436,MATCH($B$3&amp;"|"&amp;D189&amp;"|"&amp;B189&amp;"|"&amp;C189,'Master Data'!$A$2:$A$2436,0))&amp;"","")</f>
        <v/>
      </c>
      <c r="I189" s="67" t="s">
        <v>446</v>
      </c>
      <c r="J189" s="67" t="s">
        <v>134</v>
      </c>
      <c r="K189" s="68"/>
      <c r="L189" s="68"/>
      <c r="M189" s="68"/>
      <c r="N189" s="69"/>
      <c r="O189" s="68"/>
    </row>
    <row r="190" customFormat="false" ht="27.75" hidden="false" customHeight="true" outlineLevel="0" collapsed="false">
      <c r="A190" s="66" t="n">
        <v>99</v>
      </c>
      <c r="B190" s="67" t="s">
        <v>91</v>
      </c>
      <c r="C190" s="66" t="s">
        <v>120</v>
      </c>
      <c r="D190" s="66" t="n">
        <v>2</v>
      </c>
      <c r="E190" s="67" t="str">
        <f aca="false">IFERROR(INDEX('Master Data'!$L$2:$L$2436,MATCH($B$3&amp;"|"&amp;D190&amp;"|"&amp;B190&amp;"|"&amp;C190,'Master Data'!$A$2:$A$2436,0)),"")</f>
        <v>Belum terisi</v>
      </c>
      <c r="F190" s="67" t="str">
        <f aca="false">IFERROR(INDEX('Master Data'!$F$2:$F$2436,MATCH($B$3&amp;"|"&amp;D190&amp;"|"&amp;B190&amp;"|"&amp;C190,'Master Data'!$A$2:$A$2436,0))&amp;"","")</f>
        <v>Tiny</v>
      </c>
      <c r="G190" s="66" t="n">
        <f aca="false">IFERROR(INDEX('Master Data'!$G$2:$G$2436,MATCH($B$3&amp;"|"&amp;D190&amp;"|"&amp;B190&amp;"|"&amp;C190,'Master Data'!$A$2:$A$2436,0)),"")</f>
        <v>5</v>
      </c>
      <c r="H190" s="67" t="str">
        <f aca="false">IFERROR(INDEX('Master Data'!$K$2:$K$2436,MATCH($B$3&amp;"|"&amp;D190&amp;"|"&amp;B190&amp;"|"&amp;C190,'Master Data'!$A$2:$A$2436,0))&amp;"","")</f>
        <v/>
      </c>
      <c r="I190" s="67" t="s">
        <v>446</v>
      </c>
      <c r="J190" s="67" t="s">
        <v>134</v>
      </c>
      <c r="K190" s="68"/>
      <c r="L190" s="68"/>
      <c r="M190" s="68"/>
      <c r="N190" s="69"/>
      <c r="O190" s="68"/>
    </row>
    <row r="191" customFormat="false" ht="27.75" hidden="false" customHeight="true" outlineLevel="0" collapsed="false">
      <c r="A191" s="66" t="n">
        <v>100</v>
      </c>
      <c r="B191" s="67" t="s">
        <v>91</v>
      </c>
      <c r="C191" s="66" t="s">
        <v>120</v>
      </c>
      <c r="D191" s="66" t="n">
        <v>5</v>
      </c>
      <c r="E191" s="67" t="str">
        <f aca="false">IFERROR(INDEX('Master Data'!$L$2:$L$2436,MATCH($B$3&amp;"|"&amp;D191&amp;"|"&amp;B191&amp;"|"&amp;C191,'Master Data'!$A$2:$A$2436,0)),"")</f>
        <v>Slot kosong</v>
      </c>
      <c r="F191" s="67" t="str">
        <f aca="false">IFERROR(INDEX('Master Data'!$F$2:$F$2436,MATCH($B$3&amp;"|"&amp;D191&amp;"|"&amp;B191&amp;"|"&amp;C191,'Master Data'!$A$2:$A$2436,0))&amp;"","")</f>
        <v/>
      </c>
      <c r="G191" s="66" t="n">
        <f aca="false">IFERROR(INDEX('Master Data'!$G$2:$G$2436,MATCH($B$3&amp;"|"&amp;D191&amp;"|"&amp;B191&amp;"|"&amp;C191,'Master Data'!$A$2:$A$2436,0)),"")</f>
        <v>4</v>
      </c>
      <c r="H191" s="67" t="str">
        <f aca="false">IFERROR(INDEX('Master Data'!$K$2:$K$2436,MATCH($B$3&amp;"|"&amp;D191&amp;"|"&amp;B191&amp;"|"&amp;C191,'Master Data'!$A$2:$A$2436,0))&amp;"","")</f>
        <v/>
      </c>
      <c r="I191" s="67" t="s">
        <v>446</v>
      </c>
      <c r="J191" s="67" t="s">
        <v>134</v>
      </c>
      <c r="K191" s="68"/>
      <c r="L191" s="68"/>
      <c r="M191" s="68"/>
      <c r="N191" s="69"/>
      <c r="O191" s="68"/>
    </row>
    <row r="192" customFormat="false" ht="27.75" hidden="false" customHeight="true" outlineLevel="0" collapsed="false">
      <c r="A192" s="66" t="n">
        <v>101</v>
      </c>
      <c r="B192" s="67" t="s">
        <v>91</v>
      </c>
      <c r="C192" s="66" t="s">
        <v>106</v>
      </c>
      <c r="D192" s="66" t="n">
        <v>3</v>
      </c>
      <c r="E192" s="67" t="str">
        <f aca="false">IFERROR(INDEX('Master Data'!$L$2:$L$2436,MATCH($B$3&amp;"|"&amp;D192&amp;"|"&amp;B192&amp;"|"&amp;C192,'Master Data'!$A$2:$A$2436,0)),"")</f>
        <v>Belum terisi</v>
      </c>
      <c r="F192" s="67" t="str">
        <f aca="false">IFERROR(INDEX('Master Data'!$F$2:$F$2436,MATCH($B$3&amp;"|"&amp;D192&amp;"|"&amp;B192&amp;"|"&amp;C192,'Master Data'!$A$2:$A$2436,0))&amp;"","")</f>
        <v>Little</v>
      </c>
      <c r="G192" s="66" t="n">
        <f aca="false">IFERROR(INDEX('Master Data'!$G$2:$G$2436,MATCH($B$3&amp;"|"&amp;D192&amp;"|"&amp;B192&amp;"|"&amp;C192,'Master Data'!$A$2:$A$2436,0)),"")</f>
        <v>4</v>
      </c>
      <c r="H192" s="67" t="str">
        <f aca="false">IFERROR(INDEX('Master Data'!$K$2:$K$2436,MATCH($B$3&amp;"|"&amp;D192&amp;"|"&amp;B192&amp;"|"&amp;C192,'Master Data'!$A$2:$A$2436,0))&amp;"","")</f>
        <v/>
      </c>
      <c r="I192" s="67" t="s">
        <v>446</v>
      </c>
      <c r="J192" s="67" t="s">
        <v>134</v>
      </c>
      <c r="K192" s="68"/>
      <c r="L192" s="68"/>
      <c r="M192" s="68"/>
      <c r="N192" s="69"/>
      <c r="O192" s="68"/>
    </row>
    <row r="193" customFormat="false" ht="27.75" hidden="false" customHeight="true" outlineLevel="0" collapsed="false">
      <c r="A193" s="66" t="n">
        <v>102</v>
      </c>
      <c r="B193" s="67" t="s">
        <v>91</v>
      </c>
      <c r="C193" s="66" t="s">
        <v>121</v>
      </c>
      <c r="D193" s="66" t="n">
        <v>1</v>
      </c>
      <c r="E193" s="67" t="str">
        <f aca="false">IFERROR(INDEX('Master Data'!$L$2:$L$2436,MATCH($B$3&amp;"|"&amp;D193&amp;"|"&amp;B193&amp;"|"&amp;C193,'Master Data'!$A$2:$A$2436,0)),"")</f>
        <v>Belum terisi</v>
      </c>
      <c r="F193" s="67" t="str">
        <f aca="false">IFERROR(INDEX('Master Data'!$F$2:$F$2436,MATCH($B$3&amp;"|"&amp;D193&amp;"|"&amp;B193&amp;"|"&amp;C193,'Master Data'!$A$2:$A$2436,0))&amp;"","")</f>
        <v>Baby</v>
      </c>
      <c r="G193" s="66" t="n">
        <f aca="false">IFERROR(INDEX('Master Data'!$G$2:$G$2436,MATCH($B$3&amp;"|"&amp;D193&amp;"|"&amp;B193&amp;"|"&amp;C193,'Master Data'!$A$2:$A$2436,0)),"")</f>
        <v>5</v>
      </c>
      <c r="H193" s="67" t="str">
        <f aca="false">IFERROR(INDEX('Master Data'!$K$2:$K$2436,MATCH($B$3&amp;"|"&amp;D193&amp;"|"&amp;B193&amp;"|"&amp;C193,'Master Data'!$A$2:$A$2436,0))&amp;"","")</f>
        <v/>
      </c>
      <c r="I193" s="67" t="s">
        <v>446</v>
      </c>
      <c r="J193" s="67" t="s">
        <v>134</v>
      </c>
      <c r="K193" s="68"/>
      <c r="L193" s="68"/>
      <c r="M193" s="68"/>
      <c r="N193" s="69"/>
      <c r="O193" s="68"/>
    </row>
    <row r="194" customFormat="false" ht="27.75" hidden="false" customHeight="true" outlineLevel="0" collapsed="false">
      <c r="A194" s="66" t="n">
        <v>103</v>
      </c>
      <c r="B194" s="67" t="s">
        <v>91</v>
      </c>
      <c r="C194" s="66" t="s">
        <v>121</v>
      </c>
      <c r="D194" s="66" t="n">
        <v>2</v>
      </c>
      <c r="E194" s="67" t="str">
        <f aca="false">IFERROR(INDEX('Master Data'!$L$2:$L$2436,MATCH($B$3&amp;"|"&amp;D194&amp;"|"&amp;B194&amp;"|"&amp;C194,'Master Data'!$A$2:$A$2436,0)),"")</f>
        <v>Belum terisi</v>
      </c>
      <c r="F194" s="67" t="str">
        <f aca="false">IFERROR(INDEX('Master Data'!$F$2:$F$2436,MATCH($B$3&amp;"|"&amp;D194&amp;"|"&amp;B194&amp;"|"&amp;C194,'Master Data'!$A$2:$A$2436,0))&amp;"","")</f>
        <v>Tiny</v>
      </c>
      <c r="G194" s="66" t="n">
        <f aca="false">IFERROR(INDEX('Master Data'!$G$2:$G$2436,MATCH($B$3&amp;"|"&amp;D194&amp;"|"&amp;B194&amp;"|"&amp;C194,'Master Data'!$A$2:$A$2436,0)),"")</f>
        <v>5</v>
      </c>
      <c r="H194" s="67" t="str">
        <f aca="false">IFERROR(INDEX('Master Data'!$K$2:$K$2436,MATCH($B$3&amp;"|"&amp;D194&amp;"|"&amp;B194&amp;"|"&amp;C194,'Master Data'!$A$2:$A$2436,0))&amp;"","")</f>
        <v/>
      </c>
      <c r="I194" s="67" t="s">
        <v>446</v>
      </c>
      <c r="J194" s="67" t="s">
        <v>134</v>
      </c>
      <c r="K194" s="68"/>
      <c r="L194" s="68"/>
      <c r="M194" s="68"/>
      <c r="N194" s="69"/>
      <c r="O194" s="68"/>
    </row>
    <row r="195" customFormat="false" ht="27.75" hidden="false" customHeight="true" outlineLevel="0" collapsed="false">
      <c r="A195" s="66" t="n">
        <v>104</v>
      </c>
      <c r="B195" s="67" t="s">
        <v>91</v>
      </c>
      <c r="C195" s="66" t="s">
        <v>121</v>
      </c>
      <c r="D195" s="66" t="n">
        <v>5</v>
      </c>
      <c r="E195" s="67" t="str">
        <f aca="false">IFERROR(INDEX('Master Data'!$L$2:$L$2436,MATCH($B$3&amp;"|"&amp;D195&amp;"|"&amp;B195&amp;"|"&amp;C195,'Master Data'!$A$2:$A$2436,0)),"")</f>
        <v>Slot kosong</v>
      </c>
      <c r="F195" s="67" t="str">
        <f aca="false">IFERROR(INDEX('Master Data'!$F$2:$F$2436,MATCH($B$3&amp;"|"&amp;D195&amp;"|"&amp;B195&amp;"|"&amp;C195,'Master Data'!$A$2:$A$2436,0))&amp;"","")</f>
        <v/>
      </c>
      <c r="G195" s="66" t="n">
        <f aca="false">IFERROR(INDEX('Master Data'!$G$2:$G$2436,MATCH($B$3&amp;"|"&amp;D195&amp;"|"&amp;B195&amp;"|"&amp;C195,'Master Data'!$A$2:$A$2436,0)),"")</f>
        <v>4</v>
      </c>
      <c r="H195" s="67" t="str">
        <f aca="false">IFERROR(INDEX('Master Data'!$K$2:$K$2436,MATCH($B$3&amp;"|"&amp;D195&amp;"|"&amp;B195&amp;"|"&amp;C195,'Master Data'!$A$2:$A$2436,0))&amp;"","")</f>
        <v/>
      </c>
      <c r="I195" s="67" t="s">
        <v>446</v>
      </c>
      <c r="J195" s="67" t="s">
        <v>134</v>
      </c>
      <c r="K195" s="68"/>
      <c r="L195" s="68"/>
      <c r="M195" s="68"/>
      <c r="N195" s="69"/>
      <c r="O195" s="68"/>
    </row>
    <row r="196" customFormat="false" ht="27.75" hidden="false" customHeight="true" outlineLevel="0" collapsed="false">
      <c r="A196" s="66" t="n">
        <v>105</v>
      </c>
      <c r="B196" s="67" t="s">
        <v>91</v>
      </c>
      <c r="C196" s="66" t="s">
        <v>107</v>
      </c>
      <c r="D196" s="66" t="n">
        <v>3</v>
      </c>
      <c r="E196" s="67" t="str">
        <f aca="false">IFERROR(INDEX('Master Data'!$L$2:$L$2436,MATCH($B$3&amp;"|"&amp;D196&amp;"|"&amp;B196&amp;"|"&amp;C196,'Master Data'!$A$2:$A$2436,0)),"")</f>
        <v>Belum terisi</v>
      </c>
      <c r="F196" s="67" t="str">
        <f aca="false">IFERROR(INDEX('Master Data'!$F$2:$F$2436,MATCH($B$3&amp;"|"&amp;D196&amp;"|"&amp;B196&amp;"|"&amp;C196,'Master Data'!$A$2:$A$2436,0))&amp;"","")</f>
        <v>Little</v>
      </c>
      <c r="G196" s="66" t="n">
        <f aca="false">IFERROR(INDEX('Master Data'!$G$2:$G$2436,MATCH($B$3&amp;"|"&amp;D196&amp;"|"&amp;B196&amp;"|"&amp;C196,'Master Data'!$A$2:$A$2436,0)),"")</f>
        <v>4</v>
      </c>
      <c r="H196" s="67" t="str">
        <f aca="false">IFERROR(INDEX('Master Data'!$K$2:$K$2436,MATCH($B$3&amp;"|"&amp;D196&amp;"|"&amp;B196&amp;"|"&amp;C196,'Master Data'!$A$2:$A$2436,0))&amp;"","")</f>
        <v/>
      </c>
      <c r="I196" s="67" t="s">
        <v>445</v>
      </c>
      <c r="J196" s="67" t="s">
        <v>134</v>
      </c>
      <c r="K196" s="68"/>
      <c r="L196" s="68"/>
      <c r="M196" s="68"/>
      <c r="N196" s="69"/>
      <c r="O196" s="68"/>
    </row>
    <row r="197" customFormat="false" ht="27.75" hidden="false" customHeight="true" outlineLevel="0" collapsed="false">
      <c r="A197" s="66" t="n">
        <v>106</v>
      </c>
      <c r="B197" s="67" t="s">
        <v>91</v>
      </c>
      <c r="C197" s="66" t="s">
        <v>107</v>
      </c>
      <c r="D197" s="66" t="n">
        <v>4</v>
      </c>
      <c r="E197" s="67" t="str">
        <f aca="false">IFERROR(INDEX('Master Data'!$L$2:$L$2436,MATCH($B$3&amp;"|"&amp;D197&amp;"|"&amp;B197&amp;"|"&amp;C197,'Master Data'!$A$2:$A$2436,0)),"")</f>
        <v>Belum terisi</v>
      </c>
      <c r="F197" s="67" t="str">
        <f aca="false">IFERROR(INDEX('Master Data'!$F$2:$F$2436,MATCH($B$3&amp;"|"&amp;D197&amp;"|"&amp;B197&amp;"|"&amp;C197,'Master Data'!$A$2:$A$2436,0))&amp;"","")</f>
        <v>Kids</v>
      </c>
      <c r="G197" s="66" t="n">
        <f aca="false">IFERROR(INDEX('Master Data'!$G$2:$G$2436,MATCH($B$3&amp;"|"&amp;D197&amp;"|"&amp;B197&amp;"|"&amp;C197,'Master Data'!$A$2:$A$2436,0)),"")</f>
        <v>4</v>
      </c>
      <c r="H197" s="67" t="str">
        <f aca="false">IFERROR(INDEX('Master Data'!$K$2:$K$2436,MATCH($B$3&amp;"|"&amp;D197&amp;"|"&amp;B197&amp;"|"&amp;C197,'Master Data'!$A$2:$A$2436,0))&amp;"","")</f>
        <v/>
      </c>
      <c r="I197" s="67" t="s">
        <v>445</v>
      </c>
      <c r="J197" s="67" t="s">
        <v>134</v>
      </c>
      <c r="K197" s="68"/>
      <c r="L197" s="68"/>
      <c r="M197" s="68"/>
      <c r="N197" s="69"/>
      <c r="O197" s="68"/>
    </row>
    <row r="198" customFormat="false" ht="40.5" hidden="false" customHeight="true" outlineLevel="0" collapsed="false">
      <c r="A198" s="66" t="n">
        <v>107</v>
      </c>
      <c r="B198" s="67" t="s">
        <v>92</v>
      </c>
      <c r="C198" s="66" t="s">
        <v>110</v>
      </c>
      <c r="D198" s="66" t="n">
        <v>1</v>
      </c>
      <c r="E198" s="67" t="str">
        <f aca="false">IFERROR(INDEX('Master Data'!$L$2:$L$2436,MATCH($B$3&amp;"|"&amp;D198&amp;"|"&amp;B198&amp;"|"&amp;C198,'Master Data'!$A$2:$A$2436,0)),"")</f>
        <v>Belum terisi</v>
      </c>
      <c r="F198" s="67" t="str">
        <f aca="false">IFERROR(INDEX('Master Data'!$F$2:$F$2436,MATCH($B$3&amp;"|"&amp;D198&amp;"|"&amp;B198&amp;"|"&amp;C198,'Master Data'!$A$2:$A$2436,0))&amp;"","")</f>
        <v>Baby</v>
      </c>
      <c r="G198" s="66" t="n">
        <f aca="false">IFERROR(INDEX('Master Data'!$G$2:$G$2436,MATCH($B$3&amp;"|"&amp;D198&amp;"|"&amp;B198&amp;"|"&amp;C198,'Master Data'!$A$2:$A$2436,0)),"")</f>
        <v>5</v>
      </c>
      <c r="H198" s="67" t="str">
        <f aca="false">IFERROR(INDEX('Master Data'!$K$2:$K$2436,MATCH($B$3&amp;"|"&amp;D198&amp;"|"&amp;B198&amp;"|"&amp;C198,'Master Data'!$A$2:$A$2436,0))&amp;"","")</f>
        <v/>
      </c>
      <c r="I198" s="67" t="s">
        <v>451</v>
      </c>
      <c r="J198" s="67" t="s">
        <v>134</v>
      </c>
      <c r="K198" s="68"/>
      <c r="L198" s="68"/>
      <c r="M198" s="68"/>
      <c r="N198" s="69"/>
      <c r="O198" s="68"/>
    </row>
    <row r="199" customFormat="false" ht="40.5" hidden="false" customHeight="true" outlineLevel="0" collapsed="false">
      <c r="A199" s="66" t="n">
        <v>108</v>
      </c>
      <c r="B199" s="67" t="s">
        <v>92</v>
      </c>
      <c r="C199" s="66" t="s">
        <v>110</v>
      </c>
      <c r="D199" s="66" t="n">
        <v>2</v>
      </c>
      <c r="E199" s="67" t="str">
        <f aca="false">IFERROR(INDEX('Master Data'!$L$2:$L$2436,MATCH($B$3&amp;"|"&amp;D199&amp;"|"&amp;B199&amp;"|"&amp;C199,'Master Data'!$A$2:$A$2436,0)),"")</f>
        <v>Belum terisi</v>
      </c>
      <c r="F199" s="67" t="str">
        <f aca="false">IFERROR(INDEX('Master Data'!$F$2:$F$2436,MATCH($B$3&amp;"|"&amp;D199&amp;"|"&amp;B199&amp;"|"&amp;C199,'Master Data'!$A$2:$A$2436,0))&amp;"","")</f>
        <v>Tiny</v>
      </c>
      <c r="G199" s="66" t="n">
        <f aca="false">IFERROR(INDEX('Master Data'!$G$2:$G$2436,MATCH($B$3&amp;"|"&amp;D199&amp;"|"&amp;B199&amp;"|"&amp;C199,'Master Data'!$A$2:$A$2436,0)),"")</f>
        <v>5</v>
      </c>
      <c r="H199" s="67" t="str">
        <f aca="false">IFERROR(INDEX('Master Data'!$K$2:$K$2436,MATCH($B$3&amp;"|"&amp;D199&amp;"|"&amp;B199&amp;"|"&amp;C199,'Master Data'!$A$2:$A$2436,0))&amp;"","")</f>
        <v/>
      </c>
      <c r="I199" s="67" t="s">
        <v>451</v>
      </c>
      <c r="J199" s="67" t="s">
        <v>134</v>
      </c>
      <c r="K199" s="68"/>
      <c r="L199" s="68"/>
      <c r="M199" s="68"/>
      <c r="N199" s="69"/>
      <c r="O199" s="68"/>
    </row>
    <row r="200" customFormat="false" ht="40.5" hidden="false" customHeight="true" outlineLevel="0" collapsed="false">
      <c r="A200" s="66" t="n">
        <v>109</v>
      </c>
      <c r="B200" s="67" t="s">
        <v>92</v>
      </c>
      <c r="C200" s="66" t="s">
        <v>110</v>
      </c>
      <c r="D200" s="66" t="n">
        <v>5</v>
      </c>
      <c r="E200" s="67" t="str">
        <f aca="false">IFERROR(INDEX('Master Data'!$L$2:$L$2436,MATCH($B$3&amp;"|"&amp;D200&amp;"|"&amp;B200&amp;"|"&amp;C200,'Master Data'!$A$2:$A$2436,0)),"")</f>
        <v>Slot kosong</v>
      </c>
      <c r="F200" s="67" t="str">
        <f aca="false">IFERROR(INDEX('Master Data'!$F$2:$F$2436,MATCH($B$3&amp;"|"&amp;D200&amp;"|"&amp;B200&amp;"|"&amp;C200,'Master Data'!$A$2:$A$2436,0))&amp;"","")</f>
        <v/>
      </c>
      <c r="G200" s="66" t="n">
        <f aca="false">IFERROR(INDEX('Master Data'!$G$2:$G$2436,MATCH($B$3&amp;"|"&amp;D200&amp;"|"&amp;B200&amp;"|"&amp;C200,'Master Data'!$A$2:$A$2436,0)),"")</f>
        <v>4</v>
      </c>
      <c r="H200" s="67" t="str">
        <f aca="false">IFERROR(INDEX('Master Data'!$K$2:$K$2436,MATCH($B$3&amp;"|"&amp;D200&amp;"|"&amp;B200&amp;"|"&amp;C200,'Master Data'!$A$2:$A$2436,0))&amp;"","")</f>
        <v/>
      </c>
      <c r="I200" s="67" t="s">
        <v>451</v>
      </c>
      <c r="J200" s="67" t="s">
        <v>134</v>
      </c>
      <c r="K200" s="68"/>
      <c r="L200" s="68"/>
      <c r="M200" s="68"/>
      <c r="N200" s="69"/>
      <c r="O200" s="68"/>
    </row>
    <row r="201" customFormat="false" ht="27.75" hidden="false" customHeight="true" outlineLevel="0" collapsed="false">
      <c r="A201" s="66" t="n">
        <v>110</v>
      </c>
      <c r="B201" s="67" t="s">
        <v>92</v>
      </c>
      <c r="C201" s="66" t="s">
        <v>96</v>
      </c>
      <c r="D201" s="66" t="n">
        <v>3</v>
      </c>
      <c r="E201" s="67" t="str">
        <f aca="false">IFERROR(INDEX('Master Data'!$L$2:$L$2436,MATCH($B$3&amp;"|"&amp;D201&amp;"|"&amp;B201&amp;"|"&amp;C201,'Master Data'!$A$2:$A$2436,0)),"")</f>
        <v>Belum terisi</v>
      </c>
      <c r="F201" s="67" t="str">
        <f aca="false">IFERROR(INDEX('Master Data'!$F$2:$F$2436,MATCH($B$3&amp;"|"&amp;D201&amp;"|"&amp;B201&amp;"|"&amp;C201,'Master Data'!$A$2:$A$2436,0))&amp;"","")</f>
        <v>Little</v>
      </c>
      <c r="G201" s="66" t="n">
        <f aca="false">IFERROR(INDEX('Master Data'!$G$2:$G$2436,MATCH($B$3&amp;"|"&amp;D201&amp;"|"&amp;B201&amp;"|"&amp;C201,'Master Data'!$A$2:$A$2436,0)),"")</f>
        <v>4</v>
      </c>
      <c r="H201" s="67" t="str">
        <f aca="false">IFERROR(INDEX('Master Data'!$K$2:$K$2436,MATCH($B$3&amp;"|"&amp;D201&amp;"|"&amp;B201&amp;"|"&amp;C201,'Master Data'!$A$2:$A$2436,0))&amp;"","")</f>
        <v/>
      </c>
      <c r="I201" s="67" t="s">
        <v>452</v>
      </c>
      <c r="J201" s="67" t="s">
        <v>134</v>
      </c>
      <c r="K201" s="68"/>
      <c r="L201" s="68"/>
      <c r="M201" s="68"/>
      <c r="N201" s="69"/>
      <c r="O201" s="68"/>
    </row>
    <row r="202" customFormat="false" ht="27.75" hidden="false" customHeight="true" outlineLevel="0" collapsed="false">
      <c r="A202" s="66" t="n">
        <v>111</v>
      </c>
      <c r="B202" s="67" t="s">
        <v>92</v>
      </c>
      <c r="C202" s="66" t="s">
        <v>96</v>
      </c>
      <c r="D202" s="66" t="n">
        <v>4</v>
      </c>
      <c r="E202" s="67" t="str">
        <f aca="false">IFERROR(INDEX('Master Data'!$L$2:$L$2436,MATCH($B$3&amp;"|"&amp;D202&amp;"|"&amp;B202&amp;"|"&amp;C202,'Master Data'!$A$2:$A$2436,0)),"")</f>
        <v>Belum terisi</v>
      </c>
      <c r="F202" s="67" t="str">
        <f aca="false">IFERROR(INDEX('Master Data'!$F$2:$F$2436,MATCH($B$3&amp;"|"&amp;D202&amp;"|"&amp;B202&amp;"|"&amp;C202,'Master Data'!$A$2:$A$2436,0))&amp;"","")</f>
        <v>Kids</v>
      </c>
      <c r="G202" s="66" t="n">
        <f aca="false">IFERROR(INDEX('Master Data'!$G$2:$G$2436,MATCH($B$3&amp;"|"&amp;D202&amp;"|"&amp;B202&amp;"|"&amp;C202,'Master Data'!$A$2:$A$2436,0)),"")</f>
        <v>4</v>
      </c>
      <c r="H202" s="67" t="str">
        <f aca="false">IFERROR(INDEX('Master Data'!$K$2:$K$2436,MATCH($B$3&amp;"|"&amp;D202&amp;"|"&amp;B202&amp;"|"&amp;C202,'Master Data'!$A$2:$A$2436,0))&amp;"","")</f>
        <v/>
      </c>
      <c r="I202" s="67" t="s">
        <v>452</v>
      </c>
      <c r="J202" s="67" t="s">
        <v>134</v>
      </c>
      <c r="K202" s="68"/>
      <c r="L202" s="68"/>
      <c r="M202" s="68"/>
      <c r="N202" s="69"/>
      <c r="O202" s="68"/>
    </row>
    <row r="203" customFormat="false" ht="27.75" hidden="false" customHeight="true" outlineLevel="0" collapsed="false">
      <c r="A203" s="66" t="n">
        <v>112</v>
      </c>
      <c r="B203" s="67" t="s">
        <v>92</v>
      </c>
      <c r="C203" s="66" t="s">
        <v>111</v>
      </c>
      <c r="D203" s="66" t="n">
        <v>1</v>
      </c>
      <c r="E203" s="67" t="str">
        <f aca="false">IFERROR(INDEX('Master Data'!$L$2:$L$2436,MATCH($B$3&amp;"|"&amp;D203&amp;"|"&amp;B203&amp;"|"&amp;C203,'Master Data'!$A$2:$A$2436,0)),"")</f>
        <v>Belum terisi</v>
      </c>
      <c r="F203" s="67" t="str">
        <f aca="false">IFERROR(INDEX('Master Data'!$F$2:$F$2436,MATCH($B$3&amp;"|"&amp;D203&amp;"|"&amp;B203&amp;"|"&amp;C203,'Master Data'!$A$2:$A$2436,0))&amp;"","")</f>
        <v>Baby</v>
      </c>
      <c r="G203" s="66" t="n">
        <f aca="false">IFERROR(INDEX('Master Data'!$G$2:$G$2436,MATCH($B$3&amp;"|"&amp;D203&amp;"|"&amp;B203&amp;"|"&amp;C203,'Master Data'!$A$2:$A$2436,0)),"")</f>
        <v>5</v>
      </c>
      <c r="H203" s="67" t="str">
        <f aca="false">IFERROR(INDEX('Master Data'!$K$2:$K$2436,MATCH($B$3&amp;"|"&amp;D203&amp;"|"&amp;B203&amp;"|"&amp;C203,'Master Data'!$A$2:$A$2436,0))&amp;"","")</f>
        <v/>
      </c>
      <c r="I203" s="67" t="s">
        <v>452</v>
      </c>
      <c r="J203" s="67" t="s">
        <v>134</v>
      </c>
      <c r="K203" s="68"/>
      <c r="L203" s="68"/>
      <c r="M203" s="68"/>
      <c r="N203" s="69"/>
      <c r="O203" s="68"/>
    </row>
    <row r="204" customFormat="false" ht="27.75" hidden="false" customHeight="true" outlineLevel="0" collapsed="false">
      <c r="A204" s="66" t="n">
        <v>113</v>
      </c>
      <c r="B204" s="67" t="s">
        <v>92</v>
      </c>
      <c r="C204" s="66" t="s">
        <v>111</v>
      </c>
      <c r="D204" s="66" t="n">
        <v>5</v>
      </c>
      <c r="E204" s="67" t="str">
        <f aca="false">IFERROR(INDEX('Master Data'!$L$2:$L$2436,MATCH($B$3&amp;"|"&amp;D204&amp;"|"&amp;B204&amp;"|"&amp;C204,'Master Data'!$A$2:$A$2436,0)),"")</f>
        <v>Slot kosong</v>
      </c>
      <c r="F204" s="67" t="str">
        <f aca="false">IFERROR(INDEX('Master Data'!$F$2:$F$2436,MATCH($B$3&amp;"|"&amp;D204&amp;"|"&amp;B204&amp;"|"&amp;C204,'Master Data'!$A$2:$A$2436,0))&amp;"","")</f>
        <v/>
      </c>
      <c r="G204" s="66" t="n">
        <f aca="false">IFERROR(INDEX('Master Data'!$G$2:$G$2436,MATCH($B$3&amp;"|"&amp;D204&amp;"|"&amp;B204&amp;"|"&amp;C204,'Master Data'!$A$2:$A$2436,0)),"")</f>
        <v>4</v>
      </c>
      <c r="H204" s="67" t="str">
        <f aca="false">IFERROR(INDEX('Master Data'!$K$2:$K$2436,MATCH($B$3&amp;"|"&amp;D204&amp;"|"&amp;B204&amp;"|"&amp;C204,'Master Data'!$A$2:$A$2436,0))&amp;"","")</f>
        <v/>
      </c>
      <c r="I204" s="67" t="s">
        <v>452</v>
      </c>
      <c r="J204" s="67" t="s">
        <v>134</v>
      </c>
      <c r="K204" s="68"/>
      <c r="L204" s="68"/>
      <c r="M204" s="68"/>
      <c r="N204" s="69"/>
      <c r="O204" s="68"/>
    </row>
    <row r="205" customFormat="false" ht="15.75" hidden="false" customHeight="true" outlineLevel="0" collapsed="false">
      <c r="A205" s="66" t="n">
        <v>114</v>
      </c>
      <c r="B205" s="67" t="s">
        <v>92</v>
      </c>
      <c r="C205" s="66" t="s">
        <v>97</v>
      </c>
      <c r="D205" s="66" t="n">
        <v>3</v>
      </c>
      <c r="E205" s="67" t="str">
        <f aca="false">IFERROR(INDEX('Master Data'!$L$2:$L$2436,MATCH($B$3&amp;"|"&amp;D205&amp;"|"&amp;B205&amp;"|"&amp;C205,'Master Data'!$A$2:$A$2436,0)),"")</f>
        <v>Belum terisi</v>
      </c>
      <c r="F205" s="67" t="str">
        <f aca="false">IFERROR(INDEX('Master Data'!$F$2:$F$2436,MATCH($B$3&amp;"|"&amp;D205&amp;"|"&amp;B205&amp;"|"&amp;C205,'Master Data'!$A$2:$A$2436,0))&amp;"","")</f>
        <v>Little</v>
      </c>
      <c r="G205" s="66" t="n">
        <f aca="false">IFERROR(INDEX('Master Data'!$G$2:$G$2436,MATCH($B$3&amp;"|"&amp;D205&amp;"|"&amp;B205&amp;"|"&amp;C205,'Master Data'!$A$2:$A$2436,0)),"")</f>
        <v>4</v>
      </c>
      <c r="H205" s="67" t="str">
        <f aca="false">IFERROR(INDEX('Master Data'!$K$2:$K$2436,MATCH($B$3&amp;"|"&amp;D205&amp;"|"&amp;B205&amp;"|"&amp;C205,'Master Data'!$A$2:$A$2436,0))&amp;"","")</f>
        <v/>
      </c>
      <c r="I205" s="67" t="s">
        <v>453</v>
      </c>
      <c r="J205" s="67" t="s">
        <v>203</v>
      </c>
      <c r="K205" s="68"/>
      <c r="L205" s="68"/>
      <c r="M205" s="68"/>
      <c r="N205" s="69"/>
      <c r="O205" s="68"/>
    </row>
    <row r="206" customFormat="false" ht="15.75" hidden="false" customHeight="true" outlineLevel="0" collapsed="false">
      <c r="A206" s="66" t="n">
        <v>115</v>
      </c>
      <c r="B206" s="67" t="s">
        <v>92</v>
      </c>
      <c r="C206" s="66" t="s">
        <v>97</v>
      </c>
      <c r="D206" s="66" t="n">
        <v>4</v>
      </c>
      <c r="E206" s="67" t="str">
        <f aca="false">IFERROR(INDEX('Master Data'!$L$2:$L$2436,MATCH($B$3&amp;"|"&amp;D206&amp;"|"&amp;B206&amp;"|"&amp;C206,'Master Data'!$A$2:$A$2436,0)),"")</f>
        <v>Belum terisi</v>
      </c>
      <c r="F206" s="67" t="str">
        <f aca="false">IFERROR(INDEX('Master Data'!$F$2:$F$2436,MATCH($B$3&amp;"|"&amp;D206&amp;"|"&amp;B206&amp;"|"&amp;C206,'Master Data'!$A$2:$A$2436,0))&amp;"","")</f>
        <v>Kids</v>
      </c>
      <c r="G206" s="66" t="n">
        <f aca="false">IFERROR(INDEX('Master Data'!$G$2:$G$2436,MATCH($B$3&amp;"|"&amp;D206&amp;"|"&amp;B206&amp;"|"&amp;C206,'Master Data'!$A$2:$A$2436,0)),"")</f>
        <v>4</v>
      </c>
      <c r="H206" s="67" t="str">
        <f aca="false">IFERROR(INDEX('Master Data'!$K$2:$K$2436,MATCH($B$3&amp;"|"&amp;D206&amp;"|"&amp;B206&amp;"|"&amp;C206,'Master Data'!$A$2:$A$2436,0))&amp;"","")</f>
        <v/>
      </c>
      <c r="I206" s="67" t="s">
        <v>453</v>
      </c>
      <c r="J206" s="67" t="s">
        <v>203</v>
      </c>
      <c r="K206" s="68"/>
      <c r="L206" s="68"/>
      <c r="M206" s="68"/>
      <c r="N206" s="69"/>
      <c r="O206" s="68"/>
    </row>
    <row r="207" customFormat="false" ht="27.75" hidden="false" customHeight="true" outlineLevel="0" collapsed="false">
      <c r="A207" s="66" t="n">
        <v>116</v>
      </c>
      <c r="B207" s="67" t="s">
        <v>92</v>
      </c>
      <c r="C207" s="66" t="s">
        <v>112</v>
      </c>
      <c r="D207" s="66" t="n">
        <v>1</v>
      </c>
      <c r="E207" s="67" t="str">
        <f aca="false">IFERROR(INDEX('Master Data'!$L$2:$L$2436,MATCH($B$3&amp;"|"&amp;D207&amp;"|"&amp;B207&amp;"|"&amp;C207,'Master Data'!$A$2:$A$2436,0)),"")</f>
        <v>Belum terisi</v>
      </c>
      <c r="F207" s="67" t="str">
        <f aca="false">IFERROR(INDEX('Master Data'!$F$2:$F$2436,MATCH($B$3&amp;"|"&amp;D207&amp;"|"&amp;B207&amp;"|"&amp;C207,'Master Data'!$A$2:$A$2436,0))&amp;"","")</f>
        <v>Baby</v>
      </c>
      <c r="G207" s="66" t="n">
        <f aca="false">IFERROR(INDEX('Master Data'!$G$2:$G$2436,MATCH($B$3&amp;"|"&amp;D207&amp;"|"&amp;B207&amp;"|"&amp;C207,'Master Data'!$A$2:$A$2436,0)),"")</f>
        <v>5</v>
      </c>
      <c r="H207" s="67" t="str">
        <f aca="false">IFERROR(INDEX('Master Data'!$K$2:$K$2436,MATCH($B$3&amp;"|"&amp;D207&amp;"|"&amp;B207&amp;"|"&amp;C207,'Master Data'!$A$2:$A$2436,0))&amp;"","")</f>
        <v/>
      </c>
      <c r="I207" s="67" t="s">
        <v>454</v>
      </c>
      <c r="J207" s="67" t="s">
        <v>134</v>
      </c>
      <c r="K207" s="68"/>
      <c r="L207" s="68"/>
      <c r="M207" s="68"/>
      <c r="N207" s="69"/>
      <c r="O207" s="68"/>
    </row>
    <row r="208" customFormat="false" ht="27.75" hidden="false" customHeight="true" outlineLevel="0" collapsed="false">
      <c r="A208" s="66" t="n">
        <v>117</v>
      </c>
      <c r="B208" s="67" t="s">
        <v>92</v>
      </c>
      <c r="C208" s="66" t="s">
        <v>112</v>
      </c>
      <c r="D208" s="66" t="n">
        <v>5</v>
      </c>
      <c r="E208" s="67" t="str">
        <f aca="false">IFERROR(INDEX('Master Data'!$L$2:$L$2436,MATCH($B$3&amp;"|"&amp;D208&amp;"|"&amp;B208&amp;"|"&amp;C208,'Master Data'!$A$2:$A$2436,0)),"")</f>
        <v>Slot kosong</v>
      </c>
      <c r="F208" s="67" t="str">
        <f aca="false">IFERROR(INDEX('Master Data'!$F$2:$F$2436,MATCH($B$3&amp;"|"&amp;D208&amp;"|"&amp;B208&amp;"|"&amp;C208,'Master Data'!$A$2:$A$2436,0))&amp;"","")</f>
        <v/>
      </c>
      <c r="G208" s="66" t="n">
        <f aca="false">IFERROR(INDEX('Master Data'!$G$2:$G$2436,MATCH($B$3&amp;"|"&amp;D208&amp;"|"&amp;B208&amp;"|"&amp;C208,'Master Data'!$A$2:$A$2436,0)),"")</f>
        <v>4</v>
      </c>
      <c r="H208" s="67" t="str">
        <f aca="false">IFERROR(INDEX('Master Data'!$K$2:$K$2436,MATCH($B$3&amp;"|"&amp;D208&amp;"|"&amp;B208&amp;"|"&amp;C208,'Master Data'!$A$2:$A$2436,0))&amp;"","")</f>
        <v/>
      </c>
      <c r="I208" s="67" t="s">
        <v>454</v>
      </c>
      <c r="J208" s="67" t="s">
        <v>134</v>
      </c>
      <c r="K208" s="68"/>
      <c r="L208" s="68"/>
      <c r="M208" s="68"/>
      <c r="N208" s="69"/>
      <c r="O208" s="68"/>
    </row>
    <row r="209" customFormat="false" ht="27.75" hidden="false" customHeight="true" outlineLevel="0" collapsed="false">
      <c r="A209" s="66" t="n">
        <v>118</v>
      </c>
      <c r="B209" s="67" t="s">
        <v>92</v>
      </c>
      <c r="C209" s="66" t="s">
        <v>98</v>
      </c>
      <c r="D209" s="66" t="n">
        <v>3</v>
      </c>
      <c r="E209" s="67" t="str">
        <f aca="false">IFERROR(INDEX('Master Data'!$L$2:$L$2436,MATCH($B$3&amp;"|"&amp;D209&amp;"|"&amp;B209&amp;"|"&amp;C209,'Master Data'!$A$2:$A$2436,0)),"")</f>
        <v>Belum terisi</v>
      </c>
      <c r="F209" s="67" t="str">
        <f aca="false">IFERROR(INDEX('Master Data'!$F$2:$F$2436,MATCH($B$3&amp;"|"&amp;D209&amp;"|"&amp;B209&amp;"|"&amp;C209,'Master Data'!$A$2:$A$2436,0))&amp;"","")</f>
        <v>Little</v>
      </c>
      <c r="G209" s="66" t="n">
        <f aca="false">IFERROR(INDEX('Master Data'!$G$2:$G$2436,MATCH($B$3&amp;"|"&amp;D209&amp;"|"&amp;B209&amp;"|"&amp;C209,'Master Data'!$A$2:$A$2436,0)),"")</f>
        <v>4</v>
      </c>
      <c r="H209" s="67" t="str">
        <f aca="false">IFERROR(INDEX('Master Data'!$K$2:$K$2436,MATCH($B$3&amp;"|"&amp;D209&amp;"|"&amp;B209&amp;"|"&amp;C209,'Master Data'!$A$2:$A$2436,0))&amp;"","")</f>
        <v/>
      </c>
      <c r="I209" s="67" t="s">
        <v>454</v>
      </c>
      <c r="J209" s="67" t="s">
        <v>134</v>
      </c>
      <c r="K209" s="68"/>
      <c r="L209" s="68"/>
      <c r="M209" s="68"/>
      <c r="N209" s="69"/>
      <c r="O209" s="68"/>
    </row>
    <row r="210" customFormat="false" ht="27.75" hidden="false" customHeight="true" outlineLevel="0" collapsed="false">
      <c r="A210" s="66" t="n">
        <v>119</v>
      </c>
      <c r="B210" s="67" t="s">
        <v>92</v>
      </c>
      <c r="C210" s="66" t="s">
        <v>98</v>
      </c>
      <c r="D210" s="66" t="n">
        <v>4</v>
      </c>
      <c r="E210" s="67" t="str">
        <f aca="false">IFERROR(INDEX('Master Data'!$L$2:$L$2436,MATCH($B$3&amp;"|"&amp;D210&amp;"|"&amp;B210&amp;"|"&amp;C210,'Master Data'!$A$2:$A$2436,0)),"")</f>
        <v>Belum terisi</v>
      </c>
      <c r="F210" s="67" t="str">
        <f aca="false">IFERROR(INDEX('Master Data'!$F$2:$F$2436,MATCH($B$3&amp;"|"&amp;D210&amp;"|"&amp;B210&amp;"|"&amp;C210,'Master Data'!$A$2:$A$2436,0))&amp;"","")</f>
        <v>Kids</v>
      </c>
      <c r="G210" s="66" t="n">
        <f aca="false">IFERROR(INDEX('Master Data'!$G$2:$G$2436,MATCH($B$3&amp;"|"&amp;D210&amp;"|"&amp;B210&amp;"|"&amp;C210,'Master Data'!$A$2:$A$2436,0)),"")</f>
        <v>4</v>
      </c>
      <c r="H210" s="67" t="str">
        <f aca="false">IFERROR(INDEX('Master Data'!$K$2:$K$2436,MATCH($B$3&amp;"|"&amp;D210&amp;"|"&amp;B210&amp;"|"&amp;C210,'Master Data'!$A$2:$A$2436,0))&amp;"","")</f>
        <v/>
      </c>
      <c r="I210" s="67" t="s">
        <v>454</v>
      </c>
      <c r="J210" s="67" t="s">
        <v>134</v>
      </c>
      <c r="K210" s="68"/>
      <c r="L210" s="68"/>
      <c r="M210" s="68"/>
      <c r="N210" s="69"/>
      <c r="O210" s="68"/>
    </row>
    <row r="211" customFormat="false" ht="27.75" hidden="false" customHeight="true" outlineLevel="0" collapsed="false">
      <c r="A211" s="66" t="n">
        <v>120</v>
      </c>
      <c r="B211" s="67" t="s">
        <v>92</v>
      </c>
      <c r="C211" s="66" t="s">
        <v>113</v>
      </c>
      <c r="D211" s="66" t="n">
        <v>1</v>
      </c>
      <c r="E211" s="67" t="str">
        <f aca="false">IFERROR(INDEX('Master Data'!$L$2:$L$2436,MATCH($B$3&amp;"|"&amp;D211&amp;"|"&amp;B211&amp;"|"&amp;C211,'Master Data'!$A$2:$A$2436,0)),"")</f>
        <v>Belum terisi</v>
      </c>
      <c r="F211" s="67" t="str">
        <f aca="false">IFERROR(INDEX('Master Data'!$F$2:$F$2436,MATCH($B$3&amp;"|"&amp;D211&amp;"|"&amp;B211&amp;"|"&amp;C211,'Master Data'!$A$2:$A$2436,0))&amp;"","")</f>
        <v>Baby</v>
      </c>
      <c r="G211" s="66" t="n">
        <f aca="false">IFERROR(INDEX('Master Data'!$G$2:$G$2436,MATCH($B$3&amp;"|"&amp;D211&amp;"|"&amp;B211&amp;"|"&amp;C211,'Master Data'!$A$2:$A$2436,0)),"")</f>
        <v>5</v>
      </c>
      <c r="H211" s="67" t="str">
        <f aca="false">IFERROR(INDEX('Master Data'!$K$2:$K$2436,MATCH($B$3&amp;"|"&amp;D211&amp;"|"&amp;B211&amp;"|"&amp;C211,'Master Data'!$A$2:$A$2436,0))&amp;"","")</f>
        <v/>
      </c>
      <c r="I211" s="67" t="s">
        <v>455</v>
      </c>
      <c r="J211" s="67" t="s">
        <v>134</v>
      </c>
      <c r="K211" s="68"/>
      <c r="L211" s="68"/>
      <c r="M211" s="68"/>
      <c r="N211" s="69"/>
      <c r="O211" s="68"/>
    </row>
    <row r="212" customFormat="false" ht="27.75" hidden="false" customHeight="true" outlineLevel="0" collapsed="false">
      <c r="A212" s="66" t="n">
        <v>121</v>
      </c>
      <c r="B212" s="67" t="s">
        <v>92</v>
      </c>
      <c r="C212" s="66" t="s">
        <v>113</v>
      </c>
      <c r="D212" s="66" t="n">
        <v>5</v>
      </c>
      <c r="E212" s="67" t="str">
        <f aca="false">IFERROR(INDEX('Master Data'!$L$2:$L$2436,MATCH($B$3&amp;"|"&amp;D212&amp;"|"&amp;B212&amp;"|"&amp;C212,'Master Data'!$A$2:$A$2436,0)),"")</f>
        <v>Slot kosong</v>
      </c>
      <c r="F212" s="67" t="str">
        <f aca="false">IFERROR(INDEX('Master Data'!$F$2:$F$2436,MATCH($B$3&amp;"|"&amp;D212&amp;"|"&amp;B212&amp;"|"&amp;C212,'Master Data'!$A$2:$A$2436,0))&amp;"","")</f>
        <v/>
      </c>
      <c r="G212" s="66" t="n">
        <f aca="false">IFERROR(INDEX('Master Data'!$G$2:$G$2436,MATCH($B$3&amp;"|"&amp;D212&amp;"|"&amp;B212&amp;"|"&amp;C212,'Master Data'!$A$2:$A$2436,0)),"")</f>
        <v>4</v>
      </c>
      <c r="H212" s="67" t="str">
        <f aca="false">IFERROR(INDEX('Master Data'!$K$2:$K$2436,MATCH($B$3&amp;"|"&amp;D212&amp;"|"&amp;B212&amp;"|"&amp;C212,'Master Data'!$A$2:$A$2436,0))&amp;"","")</f>
        <v/>
      </c>
      <c r="I212" s="67" t="s">
        <v>455</v>
      </c>
      <c r="J212" s="67" t="s">
        <v>134</v>
      </c>
      <c r="K212" s="68"/>
      <c r="L212" s="68"/>
      <c r="M212" s="68"/>
      <c r="N212" s="69"/>
      <c r="O212" s="68"/>
    </row>
    <row r="213" customFormat="false" ht="27.75" hidden="false" customHeight="true" outlineLevel="0" collapsed="false">
      <c r="A213" s="66" t="n">
        <v>122</v>
      </c>
      <c r="B213" s="67" t="s">
        <v>92</v>
      </c>
      <c r="C213" s="66" t="s">
        <v>99</v>
      </c>
      <c r="D213" s="66" t="n">
        <v>4</v>
      </c>
      <c r="E213" s="67" t="str">
        <f aca="false">IFERROR(INDEX('Master Data'!$L$2:$L$2436,MATCH($B$3&amp;"|"&amp;D213&amp;"|"&amp;B213&amp;"|"&amp;C213,'Master Data'!$A$2:$A$2436,0)),"")</f>
        <v>Belum terisi</v>
      </c>
      <c r="F213" s="67" t="str">
        <f aca="false">IFERROR(INDEX('Master Data'!$F$2:$F$2436,MATCH($B$3&amp;"|"&amp;D213&amp;"|"&amp;B213&amp;"|"&amp;C213,'Master Data'!$A$2:$A$2436,0))&amp;"","")</f>
        <v>Kids</v>
      </c>
      <c r="G213" s="66" t="n">
        <f aca="false">IFERROR(INDEX('Master Data'!$G$2:$G$2436,MATCH($B$3&amp;"|"&amp;D213&amp;"|"&amp;B213&amp;"|"&amp;C213,'Master Data'!$A$2:$A$2436,0)),"")</f>
        <v>4</v>
      </c>
      <c r="H213" s="67" t="str">
        <f aca="false">IFERROR(INDEX('Master Data'!$K$2:$K$2436,MATCH($B$3&amp;"|"&amp;D213&amp;"|"&amp;B213&amp;"|"&amp;C213,'Master Data'!$A$2:$A$2436,0))&amp;"","")</f>
        <v/>
      </c>
      <c r="I213" s="67" t="s">
        <v>455</v>
      </c>
      <c r="J213" s="67" t="s">
        <v>134</v>
      </c>
      <c r="K213" s="68"/>
      <c r="L213" s="68"/>
      <c r="M213" s="68"/>
      <c r="N213" s="69"/>
      <c r="O213" s="68"/>
    </row>
    <row r="214" customFormat="false" ht="27.75" hidden="false" customHeight="true" outlineLevel="0" collapsed="false">
      <c r="A214" s="66" t="n">
        <v>123</v>
      </c>
      <c r="B214" s="67" t="s">
        <v>92</v>
      </c>
      <c r="C214" s="66" t="s">
        <v>114</v>
      </c>
      <c r="D214" s="66" t="n">
        <v>2</v>
      </c>
      <c r="E214" s="67" t="str">
        <f aca="false">IFERROR(INDEX('Master Data'!$L$2:$L$2436,MATCH($B$3&amp;"|"&amp;D214&amp;"|"&amp;B214&amp;"|"&amp;C214,'Master Data'!$A$2:$A$2436,0)),"")</f>
        <v>Belum terisi</v>
      </c>
      <c r="F214" s="67" t="str">
        <f aca="false">IFERROR(INDEX('Master Data'!$F$2:$F$2436,MATCH($B$3&amp;"|"&amp;D214&amp;"|"&amp;B214&amp;"|"&amp;C214,'Master Data'!$A$2:$A$2436,0))&amp;"","")</f>
        <v>Tiny</v>
      </c>
      <c r="G214" s="66" t="n">
        <f aca="false">IFERROR(INDEX('Master Data'!$G$2:$G$2436,MATCH($B$3&amp;"|"&amp;D214&amp;"|"&amp;B214&amp;"|"&amp;C214,'Master Data'!$A$2:$A$2436,0)),"")</f>
        <v>5</v>
      </c>
      <c r="H214" s="67" t="str">
        <f aca="false">IFERROR(INDEX('Master Data'!$K$2:$K$2436,MATCH($B$3&amp;"|"&amp;D214&amp;"|"&amp;B214&amp;"|"&amp;C214,'Master Data'!$A$2:$A$2436,0))&amp;"","")</f>
        <v/>
      </c>
      <c r="I214" s="67" t="s">
        <v>455</v>
      </c>
      <c r="J214" s="67" t="s">
        <v>134</v>
      </c>
      <c r="K214" s="68"/>
      <c r="L214" s="68"/>
      <c r="M214" s="68"/>
      <c r="N214" s="69"/>
      <c r="O214" s="68"/>
    </row>
    <row r="215" customFormat="false" ht="27.75" hidden="false" customHeight="true" outlineLevel="0" collapsed="false">
      <c r="A215" s="66" t="n">
        <v>124</v>
      </c>
      <c r="B215" s="67" t="s">
        <v>92</v>
      </c>
      <c r="C215" s="66" t="s">
        <v>114</v>
      </c>
      <c r="D215" s="66" t="n">
        <v>5</v>
      </c>
      <c r="E215" s="67" t="str">
        <f aca="false">IFERROR(INDEX('Master Data'!$L$2:$L$2436,MATCH($B$3&amp;"|"&amp;D215&amp;"|"&amp;B215&amp;"|"&amp;C215,'Master Data'!$A$2:$A$2436,0)),"")</f>
        <v>Slot kosong</v>
      </c>
      <c r="F215" s="67" t="str">
        <f aca="false">IFERROR(INDEX('Master Data'!$F$2:$F$2436,MATCH($B$3&amp;"|"&amp;D215&amp;"|"&amp;B215&amp;"|"&amp;C215,'Master Data'!$A$2:$A$2436,0))&amp;"","")</f>
        <v/>
      </c>
      <c r="G215" s="66" t="n">
        <f aca="false">IFERROR(INDEX('Master Data'!$G$2:$G$2436,MATCH($B$3&amp;"|"&amp;D215&amp;"|"&amp;B215&amp;"|"&amp;C215,'Master Data'!$A$2:$A$2436,0)),"")</f>
        <v>4</v>
      </c>
      <c r="H215" s="67" t="str">
        <f aca="false">IFERROR(INDEX('Master Data'!$K$2:$K$2436,MATCH($B$3&amp;"|"&amp;D215&amp;"|"&amp;B215&amp;"|"&amp;C215,'Master Data'!$A$2:$A$2436,0))&amp;"","")</f>
        <v/>
      </c>
      <c r="I215" s="67" t="s">
        <v>455</v>
      </c>
      <c r="J215" s="67" t="s">
        <v>134</v>
      </c>
      <c r="K215" s="68"/>
      <c r="L215" s="68"/>
      <c r="M215" s="68"/>
      <c r="N215" s="69"/>
      <c r="O215" s="68"/>
    </row>
    <row r="216" customFormat="false" ht="27.75" hidden="false" customHeight="true" outlineLevel="0" collapsed="false">
      <c r="A216" s="66" t="n">
        <v>125</v>
      </c>
      <c r="B216" s="67" t="s">
        <v>92</v>
      </c>
      <c r="C216" s="66" t="s">
        <v>100</v>
      </c>
      <c r="D216" s="66" t="n">
        <v>3</v>
      </c>
      <c r="E216" s="67" t="str">
        <f aca="false">IFERROR(INDEX('Master Data'!$L$2:$L$2436,MATCH($B$3&amp;"|"&amp;D216&amp;"|"&amp;B216&amp;"|"&amp;C216,'Master Data'!$A$2:$A$2436,0)),"")</f>
        <v>Belum terisi</v>
      </c>
      <c r="F216" s="67" t="str">
        <f aca="false">IFERROR(INDEX('Master Data'!$F$2:$F$2436,MATCH($B$3&amp;"|"&amp;D216&amp;"|"&amp;B216&amp;"|"&amp;C216,'Master Data'!$A$2:$A$2436,0))&amp;"","")</f>
        <v>Little</v>
      </c>
      <c r="G216" s="66" t="n">
        <f aca="false">IFERROR(INDEX('Master Data'!$G$2:$G$2436,MATCH($B$3&amp;"|"&amp;D216&amp;"|"&amp;B216&amp;"|"&amp;C216,'Master Data'!$A$2:$A$2436,0)),"")</f>
        <v>4</v>
      </c>
      <c r="H216" s="67" t="str">
        <f aca="false">IFERROR(INDEX('Master Data'!$K$2:$K$2436,MATCH($B$3&amp;"|"&amp;D216&amp;"|"&amp;B216&amp;"|"&amp;C216,'Master Data'!$A$2:$A$2436,0))&amp;"","")</f>
        <v/>
      </c>
      <c r="I216" s="67" t="s">
        <v>455</v>
      </c>
      <c r="J216" s="67" t="s">
        <v>134</v>
      </c>
      <c r="K216" s="68"/>
      <c r="L216" s="68"/>
      <c r="M216" s="68"/>
      <c r="N216" s="69"/>
      <c r="O216" s="68"/>
    </row>
    <row r="217" customFormat="false" ht="27.75" hidden="false" customHeight="true" outlineLevel="0" collapsed="false">
      <c r="A217" s="66" t="n">
        <v>126</v>
      </c>
      <c r="B217" s="67" t="s">
        <v>92</v>
      </c>
      <c r="C217" s="66" t="s">
        <v>115</v>
      </c>
      <c r="D217" s="66" t="n">
        <v>1</v>
      </c>
      <c r="E217" s="67" t="str">
        <f aca="false">IFERROR(INDEX('Master Data'!$L$2:$L$2436,MATCH($B$3&amp;"|"&amp;D217&amp;"|"&amp;B217&amp;"|"&amp;C217,'Master Data'!$A$2:$A$2436,0)),"")</f>
        <v>Belum terisi</v>
      </c>
      <c r="F217" s="67" t="str">
        <f aca="false">IFERROR(INDEX('Master Data'!$F$2:$F$2436,MATCH($B$3&amp;"|"&amp;D217&amp;"|"&amp;B217&amp;"|"&amp;C217,'Master Data'!$A$2:$A$2436,0))&amp;"","")</f>
        <v>Baby</v>
      </c>
      <c r="G217" s="66" t="n">
        <f aca="false">IFERROR(INDEX('Master Data'!$G$2:$G$2436,MATCH($B$3&amp;"|"&amp;D217&amp;"|"&amp;B217&amp;"|"&amp;C217,'Master Data'!$A$2:$A$2436,0)),"")</f>
        <v>5</v>
      </c>
      <c r="H217" s="67" t="str">
        <f aca="false">IFERROR(INDEX('Master Data'!$K$2:$K$2436,MATCH($B$3&amp;"|"&amp;D217&amp;"|"&amp;B217&amp;"|"&amp;C217,'Master Data'!$A$2:$A$2436,0))&amp;"","")</f>
        <v/>
      </c>
      <c r="I217" s="67" t="s">
        <v>456</v>
      </c>
      <c r="J217" s="67" t="s">
        <v>134</v>
      </c>
      <c r="K217" s="68"/>
      <c r="L217" s="68"/>
      <c r="M217" s="68"/>
      <c r="N217" s="69"/>
      <c r="O217" s="68"/>
    </row>
    <row r="218" customFormat="false" ht="27.75" hidden="false" customHeight="true" outlineLevel="0" collapsed="false">
      <c r="A218" s="66" t="n">
        <v>127</v>
      </c>
      <c r="B218" s="67" t="s">
        <v>92</v>
      </c>
      <c r="C218" s="66" t="s">
        <v>115</v>
      </c>
      <c r="D218" s="66" t="n">
        <v>2</v>
      </c>
      <c r="E218" s="67" t="str">
        <f aca="false">IFERROR(INDEX('Master Data'!$L$2:$L$2436,MATCH($B$3&amp;"|"&amp;D218&amp;"|"&amp;B218&amp;"|"&amp;C218,'Master Data'!$A$2:$A$2436,0)),"")</f>
        <v>Belum terisi</v>
      </c>
      <c r="F218" s="67" t="str">
        <f aca="false">IFERROR(INDEX('Master Data'!$F$2:$F$2436,MATCH($B$3&amp;"|"&amp;D218&amp;"|"&amp;B218&amp;"|"&amp;C218,'Master Data'!$A$2:$A$2436,0))&amp;"","")</f>
        <v>Tiny</v>
      </c>
      <c r="G218" s="66" t="n">
        <f aca="false">IFERROR(INDEX('Master Data'!$G$2:$G$2436,MATCH($B$3&amp;"|"&amp;D218&amp;"|"&amp;B218&amp;"|"&amp;C218,'Master Data'!$A$2:$A$2436,0)),"")</f>
        <v>5</v>
      </c>
      <c r="H218" s="67" t="str">
        <f aca="false">IFERROR(INDEX('Master Data'!$K$2:$K$2436,MATCH($B$3&amp;"|"&amp;D218&amp;"|"&amp;B218&amp;"|"&amp;C218,'Master Data'!$A$2:$A$2436,0))&amp;"","")</f>
        <v/>
      </c>
      <c r="I218" s="67" t="s">
        <v>456</v>
      </c>
      <c r="J218" s="67" t="s">
        <v>134</v>
      </c>
      <c r="K218" s="68"/>
      <c r="L218" s="68"/>
      <c r="M218" s="68"/>
      <c r="N218" s="69"/>
      <c r="O218" s="68"/>
    </row>
    <row r="219" customFormat="false" ht="27.75" hidden="false" customHeight="true" outlineLevel="0" collapsed="false">
      <c r="A219" s="66" t="n">
        <v>128</v>
      </c>
      <c r="B219" s="67" t="s">
        <v>92</v>
      </c>
      <c r="C219" s="66" t="s">
        <v>115</v>
      </c>
      <c r="D219" s="66" t="n">
        <v>5</v>
      </c>
      <c r="E219" s="67" t="str">
        <f aca="false">IFERROR(INDEX('Master Data'!$L$2:$L$2436,MATCH($B$3&amp;"|"&amp;D219&amp;"|"&amp;B219&amp;"|"&amp;C219,'Master Data'!$A$2:$A$2436,0)),"")</f>
        <v>Slot kosong</v>
      </c>
      <c r="F219" s="67" t="str">
        <f aca="false">IFERROR(INDEX('Master Data'!$F$2:$F$2436,MATCH($B$3&amp;"|"&amp;D219&amp;"|"&amp;B219&amp;"|"&amp;C219,'Master Data'!$A$2:$A$2436,0))&amp;"","")</f>
        <v/>
      </c>
      <c r="G219" s="66" t="n">
        <f aca="false">IFERROR(INDEX('Master Data'!$G$2:$G$2436,MATCH($B$3&amp;"|"&amp;D219&amp;"|"&amp;B219&amp;"|"&amp;C219,'Master Data'!$A$2:$A$2436,0)),"")</f>
        <v>4</v>
      </c>
      <c r="H219" s="67" t="str">
        <f aca="false">IFERROR(INDEX('Master Data'!$K$2:$K$2436,MATCH($B$3&amp;"|"&amp;D219&amp;"|"&amp;B219&amp;"|"&amp;C219,'Master Data'!$A$2:$A$2436,0))&amp;"","")</f>
        <v/>
      </c>
      <c r="I219" s="67" t="s">
        <v>456</v>
      </c>
      <c r="J219" s="67" t="s">
        <v>134</v>
      </c>
      <c r="K219" s="68"/>
      <c r="L219" s="68"/>
      <c r="M219" s="68"/>
      <c r="N219" s="69"/>
      <c r="O219" s="68"/>
    </row>
    <row r="220" customFormat="false" ht="40.5" hidden="false" customHeight="true" outlineLevel="0" collapsed="false">
      <c r="A220" s="66" t="n">
        <v>129</v>
      </c>
      <c r="B220" s="67" t="s">
        <v>92</v>
      </c>
      <c r="C220" s="66" t="s">
        <v>101</v>
      </c>
      <c r="D220" s="66" t="n">
        <v>3</v>
      </c>
      <c r="E220" s="67" t="str">
        <f aca="false">IFERROR(INDEX('Master Data'!$L$2:$L$2436,MATCH($B$3&amp;"|"&amp;D220&amp;"|"&amp;B220&amp;"|"&amp;C220,'Master Data'!$A$2:$A$2436,0)),"")</f>
        <v>Belum terisi</v>
      </c>
      <c r="F220" s="67" t="str">
        <f aca="false">IFERROR(INDEX('Master Data'!$F$2:$F$2436,MATCH($B$3&amp;"|"&amp;D220&amp;"|"&amp;B220&amp;"|"&amp;C220,'Master Data'!$A$2:$A$2436,0))&amp;"","")</f>
        <v>Little</v>
      </c>
      <c r="G220" s="66" t="n">
        <f aca="false">IFERROR(INDEX('Master Data'!$G$2:$G$2436,MATCH($B$3&amp;"|"&amp;D220&amp;"|"&amp;B220&amp;"|"&amp;C220,'Master Data'!$A$2:$A$2436,0)),"")</f>
        <v>4</v>
      </c>
      <c r="H220" s="67" t="str">
        <f aca="false">IFERROR(INDEX('Master Data'!$K$2:$K$2436,MATCH($B$3&amp;"|"&amp;D220&amp;"|"&amp;B220&amp;"|"&amp;C220,'Master Data'!$A$2:$A$2436,0))&amp;"","")</f>
        <v/>
      </c>
      <c r="I220" s="67" t="s">
        <v>451</v>
      </c>
      <c r="J220" s="67" t="s">
        <v>134</v>
      </c>
      <c r="K220" s="68"/>
      <c r="L220" s="68"/>
      <c r="M220" s="68"/>
      <c r="N220" s="69"/>
      <c r="O220" s="68"/>
    </row>
    <row r="221" customFormat="false" ht="40.5" hidden="false" customHeight="true" outlineLevel="0" collapsed="false">
      <c r="A221" s="66" t="n">
        <v>130</v>
      </c>
      <c r="B221" s="67" t="s">
        <v>92</v>
      </c>
      <c r="C221" s="66" t="s">
        <v>101</v>
      </c>
      <c r="D221" s="66" t="n">
        <v>4</v>
      </c>
      <c r="E221" s="67" t="str">
        <f aca="false">IFERROR(INDEX('Master Data'!$L$2:$L$2436,MATCH($B$3&amp;"|"&amp;D221&amp;"|"&amp;B221&amp;"|"&amp;C221,'Master Data'!$A$2:$A$2436,0)),"")</f>
        <v>Belum terisi</v>
      </c>
      <c r="F221" s="67" t="str">
        <f aca="false">IFERROR(INDEX('Master Data'!$F$2:$F$2436,MATCH($B$3&amp;"|"&amp;D221&amp;"|"&amp;B221&amp;"|"&amp;C221,'Master Data'!$A$2:$A$2436,0))&amp;"","")</f>
        <v>Kids</v>
      </c>
      <c r="G221" s="66" t="n">
        <f aca="false">IFERROR(INDEX('Master Data'!$G$2:$G$2436,MATCH($B$3&amp;"|"&amp;D221&amp;"|"&amp;B221&amp;"|"&amp;C221,'Master Data'!$A$2:$A$2436,0)),"")</f>
        <v>4</v>
      </c>
      <c r="H221" s="67" t="str">
        <f aca="false">IFERROR(INDEX('Master Data'!$K$2:$K$2436,MATCH($B$3&amp;"|"&amp;D221&amp;"|"&amp;B221&amp;"|"&amp;C221,'Master Data'!$A$2:$A$2436,0))&amp;"","")</f>
        <v/>
      </c>
      <c r="I221" s="67" t="s">
        <v>451</v>
      </c>
      <c r="J221" s="67" t="s">
        <v>134</v>
      </c>
      <c r="K221" s="68"/>
      <c r="L221" s="68"/>
      <c r="M221" s="68"/>
      <c r="N221" s="69"/>
      <c r="O221" s="68"/>
    </row>
    <row r="222" customFormat="false" ht="27.75" hidden="false" customHeight="true" outlineLevel="0" collapsed="false">
      <c r="A222" s="66" t="n">
        <v>131</v>
      </c>
      <c r="B222" s="67" t="s">
        <v>92</v>
      </c>
      <c r="C222" s="66" t="s">
        <v>116</v>
      </c>
      <c r="D222" s="66" t="n">
        <v>1</v>
      </c>
      <c r="E222" s="67" t="str">
        <f aca="false">IFERROR(INDEX('Master Data'!$L$2:$L$2436,MATCH($B$3&amp;"|"&amp;D222&amp;"|"&amp;B222&amp;"|"&amp;C222,'Master Data'!$A$2:$A$2436,0)),"")</f>
        <v>Belum terisi</v>
      </c>
      <c r="F222" s="67" t="str">
        <f aca="false">IFERROR(INDEX('Master Data'!$F$2:$F$2436,MATCH($B$3&amp;"|"&amp;D222&amp;"|"&amp;B222&amp;"|"&amp;C222,'Master Data'!$A$2:$A$2436,0))&amp;"","")</f>
        <v>Baby</v>
      </c>
      <c r="G222" s="66" t="n">
        <f aca="false">IFERROR(INDEX('Master Data'!$G$2:$G$2436,MATCH($B$3&amp;"|"&amp;D222&amp;"|"&amp;B222&amp;"|"&amp;C222,'Master Data'!$A$2:$A$2436,0)),"")</f>
        <v>5</v>
      </c>
      <c r="H222" s="67" t="str">
        <f aca="false">IFERROR(INDEX('Master Data'!$K$2:$K$2436,MATCH($B$3&amp;"|"&amp;D222&amp;"|"&amp;B222&amp;"|"&amp;C222,'Master Data'!$A$2:$A$2436,0))&amp;"","")</f>
        <v/>
      </c>
      <c r="I222" s="67" t="s">
        <v>454</v>
      </c>
      <c r="J222" s="67" t="s">
        <v>134</v>
      </c>
      <c r="K222" s="68"/>
      <c r="L222" s="68"/>
      <c r="M222" s="68"/>
      <c r="N222" s="69"/>
      <c r="O222" s="68"/>
    </row>
    <row r="223" customFormat="false" ht="27.75" hidden="false" customHeight="true" outlineLevel="0" collapsed="false">
      <c r="A223" s="66" t="n">
        <v>132</v>
      </c>
      <c r="B223" s="67" t="s">
        <v>92</v>
      </c>
      <c r="C223" s="66" t="s">
        <v>116</v>
      </c>
      <c r="D223" s="66" t="n">
        <v>2</v>
      </c>
      <c r="E223" s="67" t="str">
        <f aca="false">IFERROR(INDEX('Master Data'!$L$2:$L$2436,MATCH($B$3&amp;"|"&amp;D223&amp;"|"&amp;B223&amp;"|"&amp;C223,'Master Data'!$A$2:$A$2436,0)),"")</f>
        <v>Belum terisi</v>
      </c>
      <c r="F223" s="67" t="str">
        <f aca="false">IFERROR(INDEX('Master Data'!$F$2:$F$2436,MATCH($B$3&amp;"|"&amp;D223&amp;"|"&amp;B223&amp;"|"&amp;C223,'Master Data'!$A$2:$A$2436,0))&amp;"","")</f>
        <v>Tiny</v>
      </c>
      <c r="G223" s="66" t="n">
        <f aca="false">IFERROR(INDEX('Master Data'!$G$2:$G$2436,MATCH($B$3&amp;"|"&amp;D223&amp;"|"&amp;B223&amp;"|"&amp;C223,'Master Data'!$A$2:$A$2436,0)),"")</f>
        <v>5</v>
      </c>
      <c r="H223" s="67" t="str">
        <f aca="false">IFERROR(INDEX('Master Data'!$K$2:$K$2436,MATCH($B$3&amp;"|"&amp;D223&amp;"|"&amp;B223&amp;"|"&amp;C223,'Master Data'!$A$2:$A$2436,0))&amp;"","")</f>
        <v/>
      </c>
      <c r="I223" s="67" t="s">
        <v>454</v>
      </c>
      <c r="J223" s="67" t="s">
        <v>134</v>
      </c>
      <c r="K223" s="68"/>
      <c r="L223" s="68"/>
      <c r="M223" s="68"/>
      <c r="N223" s="69"/>
      <c r="O223" s="68"/>
    </row>
    <row r="224" customFormat="false" ht="27.75" hidden="false" customHeight="true" outlineLevel="0" collapsed="false">
      <c r="A224" s="66" t="n">
        <v>133</v>
      </c>
      <c r="B224" s="67" t="s">
        <v>92</v>
      </c>
      <c r="C224" s="66" t="s">
        <v>116</v>
      </c>
      <c r="D224" s="66" t="n">
        <v>5</v>
      </c>
      <c r="E224" s="67" t="str">
        <f aca="false">IFERROR(INDEX('Master Data'!$L$2:$L$2436,MATCH($B$3&amp;"|"&amp;D224&amp;"|"&amp;B224&amp;"|"&amp;C224,'Master Data'!$A$2:$A$2436,0)),"")</f>
        <v>Slot kosong</v>
      </c>
      <c r="F224" s="67" t="str">
        <f aca="false">IFERROR(INDEX('Master Data'!$F$2:$F$2436,MATCH($B$3&amp;"|"&amp;D224&amp;"|"&amp;B224&amp;"|"&amp;C224,'Master Data'!$A$2:$A$2436,0))&amp;"","")</f>
        <v/>
      </c>
      <c r="G224" s="66" t="n">
        <f aca="false">IFERROR(INDEX('Master Data'!$G$2:$G$2436,MATCH($B$3&amp;"|"&amp;D224&amp;"|"&amp;B224&amp;"|"&amp;C224,'Master Data'!$A$2:$A$2436,0)),"")</f>
        <v>4</v>
      </c>
      <c r="H224" s="67" t="str">
        <f aca="false">IFERROR(INDEX('Master Data'!$K$2:$K$2436,MATCH($B$3&amp;"|"&amp;D224&amp;"|"&amp;B224&amp;"|"&amp;C224,'Master Data'!$A$2:$A$2436,0))&amp;"","")</f>
        <v/>
      </c>
      <c r="I224" s="67" t="s">
        <v>454</v>
      </c>
      <c r="J224" s="67" t="s">
        <v>134</v>
      </c>
      <c r="K224" s="68"/>
      <c r="L224" s="68"/>
      <c r="M224" s="68"/>
      <c r="N224" s="69"/>
      <c r="O224" s="68"/>
    </row>
    <row r="225" customFormat="false" ht="27.75" hidden="false" customHeight="true" outlineLevel="0" collapsed="false">
      <c r="A225" s="66" t="n">
        <v>134</v>
      </c>
      <c r="B225" s="67" t="s">
        <v>92</v>
      </c>
      <c r="C225" s="66" t="s">
        <v>102</v>
      </c>
      <c r="D225" s="66" t="n">
        <v>3</v>
      </c>
      <c r="E225" s="67" t="str">
        <f aca="false">IFERROR(INDEX('Master Data'!$L$2:$L$2436,MATCH($B$3&amp;"|"&amp;D225&amp;"|"&amp;B225&amp;"|"&amp;C225,'Master Data'!$A$2:$A$2436,0)),"")</f>
        <v>Belum terisi</v>
      </c>
      <c r="F225" s="67" t="str">
        <f aca="false">IFERROR(INDEX('Master Data'!$F$2:$F$2436,MATCH($B$3&amp;"|"&amp;D225&amp;"|"&amp;B225&amp;"|"&amp;C225,'Master Data'!$A$2:$A$2436,0))&amp;"","")</f>
        <v>Little</v>
      </c>
      <c r="G225" s="66" t="n">
        <f aca="false">IFERROR(INDEX('Master Data'!$G$2:$G$2436,MATCH($B$3&amp;"|"&amp;D225&amp;"|"&amp;B225&amp;"|"&amp;C225,'Master Data'!$A$2:$A$2436,0)),"")</f>
        <v>4</v>
      </c>
      <c r="H225" s="67" t="str">
        <f aca="false">IFERROR(INDEX('Master Data'!$K$2:$K$2436,MATCH($B$3&amp;"|"&amp;D225&amp;"|"&amp;B225&amp;"|"&amp;C225,'Master Data'!$A$2:$A$2436,0))&amp;"","")</f>
        <v/>
      </c>
      <c r="I225" s="67" t="s">
        <v>454</v>
      </c>
      <c r="J225" s="67" t="s">
        <v>134</v>
      </c>
      <c r="K225" s="68"/>
      <c r="L225" s="68"/>
      <c r="M225" s="68"/>
      <c r="N225" s="69"/>
      <c r="O225" s="68"/>
    </row>
    <row r="226" customFormat="false" ht="27.75" hidden="false" customHeight="true" outlineLevel="0" collapsed="false">
      <c r="A226" s="66" t="n">
        <v>135</v>
      </c>
      <c r="B226" s="67" t="s">
        <v>92</v>
      </c>
      <c r="C226" s="66" t="s">
        <v>117</v>
      </c>
      <c r="D226" s="66" t="n">
        <v>1</v>
      </c>
      <c r="E226" s="67" t="str">
        <f aca="false">IFERROR(INDEX('Master Data'!$L$2:$L$2436,MATCH($B$3&amp;"|"&amp;D226&amp;"|"&amp;B226&amp;"|"&amp;C226,'Master Data'!$A$2:$A$2436,0)),"")</f>
        <v>Belum terisi</v>
      </c>
      <c r="F226" s="67" t="str">
        <f aca="false">IFERROR(INDEX('Master Data'!$F$2:$F$2436,MATCH($B$3&amp;"|"&amp;D226&amp;"|"&amp;B226&amp;"|"&amp;C226,'Master Data'!$A$2:$A$2436,0))&amp;"","")</f>
        <v>Baby</v>
      </c>
      <c r="G226" s="66" t="n">
        <f aca="false">IFERROR(INDEX('Master Data'!$G$2:$G$2436,MATCH($B$3&amp;"|"&amp;D226&amp;"|"&amp;B226&amp;"|"&amp;C226,'Master Data'!$A$2:$A$2436,0)),"")</f>
        <v>5</v>
      </c>
      <c r="H226" s="67" t="str">
        <f aca="false">IFERROR(INDEX('Master Data'!$K$2:$K$2436,MATCH($B$3&amp;"|"&amp;D226&amp;"|"&amp;B226&amp;"|"&amp;C226,'Master Data'!$A$2:$A$2436,0))&amp;"","")</f>
        <v/>
      </c>
      <c r="I226" s="67" t="s">
        <v>454</v>
      </c>
      <c r="J226" s="67" t="s">
        <v>134</v>
      </c>
      <c r="K226" s="68"/>
      <c r="L226" s="68"/>
      <c r="M226" s="68"/>
      <c r="N226" s="69"/>
      <c r="O226" s="68"/>
    </row>
    <row r="227" customFormat="false" ht="27.75" hidden="false" customHeight="true" outlineLevel="0" collapsed="false">
      <c r="A227" s="66" t="n">
        <v>136</v>
      </c>
      <c r="B227" s="67" t="s">
        <v>92</v>
      </c>
      <c r="C227" s="66" t="s">
        <v>117</v>
      </c>
      <c r="D227" s="66" t="n">
        <v>2</v>
      </c>
      <c r="E227" s="67" t="str">
        <f aca="false">IFERROR(INDEX('Master Data'!$L$2:$L$2436,MATCH($B$3&amp;"|"&amp;D227&amp;"|"&amp;B227&amp;"|"&amp;C227,'Master Data'!$A$2:$A$2436,0)),"")</f>
        <v>Belum terisi</v>
      </c>
      <c r="F227" s="67" t="str">
        <f aca="false">IFERROR(INDEX('Master Data'!$F$2:$F$2436,MATCH($B$3&amp;"|"&amp;D227&amp;"|"&amp;B227&amp;"|"&amp;C227,'Master Data'!$A$2:$A$2436,0))&amp;"","")</f>
        <v>Tiny</v>
      </c>
      <c r="G227" s="66" t="n">
        <f aca="false">IFERROR(INDEX('Master Data'!$G$2:$G$2436,MATCH($B$3&amp;"|"&amp;D227&amp;"|"&amp;B227&amp;"|"&amp;C227,'Master Data'!$A$2:$A$2436,0)),"")</f>
        <v>5</v>
      </c>
      <c r="H227" s="67" t="str">
        <f aca="false">IFERROR(INDEX('Master Data'!$K$2:$K$2436,MATCH($B$3&amp;"|"&amp;D227&amp;"|"&amp;B227&amp;"|"&amp;C227,'Master Data'!$A$2:$A$2436,0))&amp;"","")</f>
        <v/>
      </c>
      <c r="I227" s="67" t="s">
        <v>454</v>
      </c>
      <c r="J227" s="67" t="s">
        <v>134</v>
      </c>
      <c r="K227" s="68"/>
      <c r="L227" s="68"/>
      <c r="M227" s="68"/>
      <c r="N227" s="69"/>
      <c r="O227" s="68"/>
    </row>
    <row r="228" customFormat="false" ht="27.75" hidden="false" customHeight="true" outlineLevel="0" collapsed="false">
      <c r="A228" s="66" t="n">
        <v>137</v>
      </c>
      <c r="B228" s="67" t="s">
        <v>92</v>
      </c>
      <c r="C228" s="66" t="s">
        <v>117</v>
      </c>
      <c r="D228" s="66" t="n">
        <v>5</v>
      </c>
      <c r="E228" s="67" t="str">
        <f aca="false">IFERROR(INDEX('Master Data'!$L$2:$L$2436,MATCH($B$3&amp;"|"&amp;D228&amp;"|"&amp;B228&amp;"|"&amp;C228,'Master Data'!$A$2:$A$2436,0)),"")</f>
        <v>Slot kosong</v>
      </c>
      <c r="F228" s="67" t="str">
        <f aca="false">IFERROR(INDEX('Master Data'!$F$2:$F$2436,MATCH($B$3&amp;"|"&amp;D228&amp;"|"&amp;B228&amp;"|"&amp;C228,'Master Data'!$A$2:$A$2436,0))&amp;"","")</f>
        <v/>
      </c>
      <c r="G228" s="66" t="n">
        <f aca="false">IFERROR(INDEX('Master Data'!$G$2:$G$2436,MATCH($B$3&amp;"|"&amp;D228&amp;"|"&amp;B228&amp;"|"&amp;C228,'Master Data'!$A$2:$A$2436,0)),"")</f>
        <v>4</v>
      </c>
      <c r="H228" s="67" t="str">
        <f aca="false">IFERROR(INDEX('Master Data'!$K$2:$K$2436,MATCH($B$3&amp;"|"&amp;D228&amp;"|"&amp;B228&amp;"|"&amp;C228,'Master Data'!$A$2:$A$2436,0))&amp;"","")</f>
        <v/>
      </c>
      <c r="I228" s="67" t="s">
        <v>454</v>
      </c>
      <c r="J228" s="67" t="s">
        <v>134</v>
      </c>
      <c r="K228" s="68"/>
      <c r="L228" s="68"/>
      <c r="M228" s="68"/>
      <c r="N228" s="69"/>
      <c r="O228" s="68"/>
    </row>
    <row r="229" customFormat="false" ht="27.75" hidden="false" customHeight="true" outlineLevel="0" collapsed="false">
      <c r="A229" s="66" t="n">
        <v>138</v>
      </c>
      <c r="B229" s="67" t="s">
        <v>92</v>
      </c>
      <c r="C229" s="66" t="s">
        <v>103</v>
      </c>
      <c r="D229" s="66" t="n">
        <v>3</v>
      </c>
      <c r="E229" s="67" t="str">
        <f aca="false">IFERROR(INDEX('Master Data'!$L$2:$L$2436,MATCH($B$3&amp;"|"&amp;D229&amp;"|"&amp;B229&amp;"|"&amp;C229,'Master Data'!$A$2:$A$2436,0)),"")</f>
        <v>Belum terisi</v>
      </c>
      <c r="F229" s="67" t="str">
        <f aca="false">IFERROR(INDEX('Master Data'!$F$2:$F$2436,MATCH($B$3&amp;"|"&amp;D229&amp;"|"&amp;B229&amp;"|"&amp;C229,'Master Data'!$A$2:$A$2436,0))&amp;"","")</f>
        <v>Little</v>
      </c>
      <c r="G229" s="66" t="n">
        <f aca="false">IFERROR(INDEX('Master Data'!$G$2:$G$2436,MATCH($B$3&amp;"|"&amp;D229&amp;"|"&amp;B229&amp;"|"&amp;C229,'Master Data'!$A$2:$A$2436,0)),"")</f>
        <v>4</v>
      </c>
      <c r="H229" s="67" t="str">
        <f aca="false">IFERROR(INDEX('Master Data'!$K$2:$K$2436,MATCH($B$3&amp;"|"&amp;D229&amp;"|"&amp;B229&amp;"|"&amp;C229,'Master Data'!$A$2:$A$2436,0))&amp;"","")</f>
        <v/>
      </c>
      <c r="I229" s="67" t="s">
        <v>452</v>
      </c>
      <c r="J229" s="67" t="s">
        <v>134</v>
      </c>
      <c r="K229" s="68"/>
      <c r="L229" s="68"/>
      <c r="M229" s="68"/>
      <c r="N229" s="69"/>
      <c r="O229" s="68"/>
    </row>
    <row r="230" customFormat="false" ht="27.75" hidden="false" customHeight="true" outlineLevel="0" collapsed="false">
      <c r="A230" s="66" t="n">
        <v>139</v>
      </c>
      <c r="B230" s="67" t="s">
        <v>92</v>
      </c>
      <c r="C230" s="66" t="s">
        <v>103</v>
      </c>
      <c r="D230" s="66" t="n">
        <v>4</v>
      </c>
      <c r="E230" s="67" t="str">
        <f aca="false">IFERROR(INDEX('Master Data'!$L$2:$L$2436,MATCH($B$3&amp;"|"&amp;D230&amp;"|"&amp;B230&amp;"|"&amp;C230,'Master Data'!$A$2:$A$2436,0)),"")</f>
        <v>Belum terisi</v>
      </c>
      <c r="F230" s="67" t="str">
        <f aca="false">IFERROR(INDEX('Master Data'!$F$2:$F$2436,MATCH($B$3&amp;"|"&amp;D230&amp;"|"&amp;B230&amp;"|"&amp;C230,'Master Data'!$A$2:$A$2436,0))&amp;"","")</f>
        <v>Kids</v>
      </c>
      <c r="G230" s="66" t="n">
        <f aca="false">IFERROR(INDEX('Master Data'!$G$2:$G$2436,MATCH($B$3&amp;"|"&amp;D230&amp;"|"&amp;B230&amp;"|"&amp;C230,'Master Data'!$A$2:$A$2436,0)),"")</f>
        <v>4</v>
      </c>
      <c r="H230" s="67" t="str">
        <f aca="false">IFERROR(INDEX('Master Data'!$K$2:$K$2436,MATCH($B$3&amp;"|"&amp;D230&amp;"|"&amp;B230&amp;"|"&amp;C230,'Master Data'!$A$2:$A$2436,0))&amp;"","")</f>
        <v/>
      </c>
      <c r="I230" s="67" t="s">
        <v>452</v>
      </c>
      <c r="J230" s="67" t="s">
        <v>134</v>
      </c>
      <c r="K230" s="68"/>
      <c r="L230" s="68"/>
      <c r="M230" s="68"/>
      <c r="N230" s="69"/>
      <c r="O230" s="68"/>
    </row>
    <row r="231" customFormat="false" ht="27.75" hidden="false" customHeight="true" outlineLevel="0" collapsed="false">
      <c r="A231" s="66" t="n">
        <v>140</v>
      </c>
      <c r="B231" s="67" t="s">
        <v>92</v>
      </c>
      <c r="C231" s="66" t="s">
        <v>118</v>
      </c>
      <c r="D231" s="66" t="n">
        <v>2</v>
      </c>
      <c r="E231" s="67" t="str">
        <f aca="false">IFERROR(INDEX('Master Data'!$L$2:$L$2436,MATCH($B$3&amp;"|"&amp;D231&amp;"|"&amp;B231&amp;"|"&amp;C231,'Master Data'!$A$2:$A$2436,0)),"")</f>
        <v>Belum terisi</v>
      </c>
      <c r="F231" s="67" t="str">
        <f aca="false">IFERROR(INDEX('Master Data'!$F$2:$F$2436,MATCH($B$3&amp;"|"&amp;D231&amp;"|"&amp;B231&amp;"|"&amp;C231,'Master Data'!$A$2:$A$2436,0))&amp;"","")</f>
        <v>Tiny</v>
      </c>
      <c r="G231" s="66" t="n">
        <f aca="false">IFERROR(INDEX('Master Data'!$G$2:$G$2436,MATCH($B$3&amp;"|"&amp;D231&amp;"|"&amp;B231&amp;"|"&amp;C231,'Master Data'!$A$2:$A$2436,0)),"")</f>
        <v>5</v>
      </c>
      <c r="H231" s="67" t="str">
        <f aca="false">IFERROR(INDEX('Master Data'!$K$2:$K$2436,MATCH($B$3&amp;"|"&amp;D231&amp;"|"&amp;B231&amp;"|"&amp;C231,'Master Data'!$A$2:$A$2436,0))&amp;"","")</f>
        <v/>
      </c>
      <c r="I231" s="67" t="s">
        <v>457</v>
      </c>
      <c r="J231" s="67" t="s">
        <v>134</v>
      </c>
      <c r="K231" s="68"/>
      <c r="L231" s="68"/>
      <c r="M231" s="68"/>
      <c r="N231" s="69"/>
      <c r="O231" s="68"/>
    </row>
    <row r="232" customFormat="false" ht="27.75" hidden="false" customHeight="true" outlineLevel="0" collapsed="false">
      <c r="A232" s="66" t="n">
        <v>141</v>
      </c>
      <c r="B232" s="67" t="s">
        <v>92</v>
      </c>
      <c r="C232" s="66" t="s">
        <v>118</v>
      </c>
      <c r="D232" s="66" t="n">
        <v>5</v>
      </c>
      <c r="E232" s="67" t="str">
        <f aca="false">IFERROR(INDEX('Master Data'!$L$2:$L$2436,MATCH($B$3&amp;"|"&amp;D232&amp;"|"&amp;B232&amp;"|"&amp;C232,'Master Data'!$A$2:$A$2436,0)),"")</f>
        <v>Slot kosong</v>
      </c>
      <c r="F232" s="67" t="str">
        <f aca="false">IFERROR(INDEX('Master Data'!$F$2:$F$2436,MATCH($B$3&amp;"|"&amp;D232&amp;"|"&amp;B232&amp;"|"&amp;C232,'Master Data'!$A$2:$A$2436,0))&amp;"","")</f>
        <v/>
      </c>
      <c r="G232" s="66" t="n">
        <f aca="false">IFERROR(INDEX('Master Data'!$G$2:$G$2436,MATCH($B$3&amp;"|"&amp;D232&amp;"|"&amp;B232&amp;"|"&amp;C232,'Master Data'!$A$2:$A$2436,0)),"")</f>
        <v>4</v>
      </c>
      <c r="H232" s="67" t="str">
        <f aca="false">IFERROR(INDEX('Master Data'!$K$2:$K$2436,MATCH($B$3&amp;"|"&amp;D232&amp;"|"&amp;B232&amp;"|"&amp;C232,'Master Data'!$A$2:$A$2436,0))&amp;"","")</f>
        <v/>
      </c>
      <c r="I232" s="67" t="s">
        <v>457</v>
      </c>
      <c r="J232" s="67" t="s">
        <v>134</v>
      </c>
      <c r="K232" s="68"/>
      <c r="L232" s="68"/>
      <c r="M232" s="68"/>
      <c r="N232" s="69"/>
      <c r="O232" s="68"/>
    </row>
    <row r="233" customFormat="false" ht="15.75" hidden="false" customHeight="true" outlineLevel="0" collapsed="false">
      <c r="A233" s="66" t="n">
        <v>142</v>
      </c>
      <c r="B233" s="67" t="s">
        <v>92</v>
      </c>
      <c r="C233" s="66" t="s">
        <v>104</v>
      </c>
      <c r="D233" s="66" t="n">
        <v>4</v>
      </c>
      <c r="E233" s="67" t="str">
        <f aca="false">IFERROR(INDEX('Master Data'!$L$2:$L$2436,MATCH($B$3&amp;"|"&amp;D233&amp;"|"&amp;B233&amp;"|"&amp;C233,'Master Data'!$A$2:$A$2436,0)),"")</f>
        <v>Belum terisi</v>
      </c>
      <c r="F233" s="67" t="str">
        <f aca="false">IFERROR(INDEX('Master Data'!$F$2:$F$2436,MATCH($B$3&amp;"|"&amp;D233&amp;"|"&amp;B233&amp;"|"&amp;C233,'Master Data'!$A$2:$A$2436,0))&amp;"","")</f>
        <v>Kids</v>
      </c>
      <c r="G233" s="66" t="n">
        <f aca="false">IFERROR(INDEX('Master Data'!$G$2:$G$2436,MATCH($B$3&amp;"|"&amp;D233&amp;"|"&amp;B233&amp;"|"&amp;C233,'Master Data'!$A$2:$A$2436,0)),"")</f>
        <v>4</v>
      </c>
      <c r="H233" s="67" t="str">
        <f aca="false">IFERROR(INDEX('Master Data'!$K$2:$K$2436,MATCH($B$3&amp;"|"&amp;D233&amp;"|"&amp;B233&amp;"|"&amp;C233,'Master Data'!$A$2:$A$2436,0))&amp;"","")</f>
        <v/>
      </c>
      <c r="I233" s="67" t="s">
        <v>458</v>
      </c>
      <c r="J233" s="67" t="s">
        <v>203</v>
      </c>
      <c r="K233" s="68"/>
      <c r="L233" s="68"/>
      <c r="M233" s="68"/>
      <c r="N233" s="69"/>
      <c r="O233" s="68"/>
    </row>
    <row r="234" customFormat="false" ht="15.75" hidden="false" customHeight="true" outlineLevel="0" collapsed="false">
      <c r="A234" s="66" t="n">
        <v>143</v>
      </c>
      <c r="B234" s="67" t="s">
        <v>92</v>
      </c>
      <c r="C234" s="66" t="s">
        <v>119</v>
      </c>
      <c r="D234" s="66" t="n">
        <v>1</v>
      </c>
      <c r="E234" s="67" t="str">
        <f aca="false">IFERROR(INDEX('Master Data'!$L$2:$L$2436,MATCH($B$3&amp;"|"&amp;D234&amp;"|"&amp;B234&amp;"|"&amp;C234,'Master Data'!$A$2:$A$2436,0)),"")</f>
        <v>Belum terisi</v>
      </c>
      <c r="F234" s="67" t="str">
        <f aca="false">IFERROR(INDEX('Master Data'!$F$2:$F$2436,MATCH($B$3&amp;"|"&amp;D234&amp;"|"&amp;B234&amp;"|"&amp;C234,'Master Data'!$A$2:$A$2436,0))&amp;"","")</f>
        <v>Baby</v>
      </c>
      <c r="G234" s="66" t="n">
        <f aca="false">IFERROR(INDEX('Master Data'!$G$2:$G$2436,MATCH($B$3&amp;"|"&amp;D234&amp;"|"&amp;B234&amp;"|"&amp;C234,'Master Data'!$A$2:$A$2436,0)),"")</f>
        <v>5</v>
      </c>
      <c r="H234" s="67" t="str">
        <f aca="false">IFERROR(INDEX('Master Data'!$K$2:$K$2436,MATCH($B$3&amp;"|"&amp;D234&amp;"|"&amp;B234&amp;"|"&amp;C234,'Master Data'!$A$2:$A$2436,0))&amp;"","")</f>
        <v/>
      </c>
      <c r="I234" s="67" t="s">
        <v>459</v>
      </c>
      <c r="J234" s="67" t="s">
        <v>358</v>
      </c>
      <c r="K234" s="68"/>
      <c r="L234" s="68"/>
      <c r="M234" s="68"/>
      <c r="N234" s="69"/>
      <c r="O234" s="68"/>
    </row>
    <row r="235" customFormat="false" ht="15.75" hidden="false" customHeight="true" outlineLevel="0" collapsed="false">
      <c r="A235" s="66" t="n">
        <v>144</v>
      </c>
      <c r="B235" s="67" t="s">
        <v>92</v>
      </c>
      <c r="C235" s="66" t="s">
        <v>119</v>
      </c>
      <c r="D235" s="66" t="n">
        <v>5</v>
      </c>
      <c r="E235" s="67" t="str">
        <f aca="false">IFERROR(INDEX('Master Data'!$L$2:$L$2436,MATCH($B$3&amp;"|"&amp;D235&amp;"|"&amp;B235&amp;"|"&amp;C235,'Master Data'!$A$2:$A$2436,0)),"")</f>
        <v>Slot kosong</v>
      </c>
      <c r="F235" s="67" t="str">
        <f aca="false">IFERROR(INDEX('Master Data'!$F$2:$F$2436,MATCH($B$3&amp;"|"&amp;D235&amp;"|"&amp;B235&amp;"|"&amp;C235,'Master Data'!$A$2:$A$2436,0))&amp;"","")</f>
        <v/>
      </c>
      <c r="G235" s="66" t="n">
        <f aca="false">IFERROR(INDEX('Master Data'!$G$2:$G$2436,MATCH($B$3&amp;"|"&amp;D235&amp;"|"&amp;B235&amp;"|"&amp;C235,'Master Data'!$A$2:$A$2436,0)),"")</f>
        <v>4</v>
      </c>
      <c r="H235" s="67" t="str">
        <f aca="false">IFERROR(INDEX('Master Data'!$K$2:$K$2436,MATCH($B$3&amp;"|"&amp;D235&amp;"|"&amp;B235&amp;"|"&amp;C235,'Master Data'!$A$2:$A$2436,0))&amp;"","")</f>
        <v/>
      </c>
      <c r="I235" s="67" t="s">
        <v>459</v>
      </c>
      <c r="J235" s="67" t="s">
        <v>358</v>
      </c>
      <c r="K235" s="68"/>
      <c r="L235" s="68"/>
      <c r="M235" s="68"/>
      <c r="N235" s="69"/>
      <c r="O235" s="68"/>
    </row>
    <row r="236" customFormat="false" ht="15.75" hidden="false" customHeight="true" outlineLevel="0" collapsed="false">
      <c r="A236" s="66" t="n">
        <v>145</v>
      </c>
      <c r="B236" s="67" t="s">
        <v>92</v>
      </c>
      <c r="C236" s="66" t="s">
        <v>120</v>
      </c>
      <c r="D236" s="66" t="n">
        <v>1</v>
      </c>
      <c r="E236" s="67" t="str">
        <f aca="false">IFERROR(INDEX('Master Data'!$L$2:$L$2436,MATCH($B$3&amp;"|"&amp;D236&amp;"|"&amp;B236&amp;"|"&amp;C236,'Master Data'!$A$2:$A$2436,0)),"")</f>
        <v>Belum terisi</v>
      </c>
      <c r="F236" s="67" t="str">
        <f aca="false">IFERROR(INDEX('Master Data'!$F$2:$F$2436,MATCH($B$3&amp;"|"&amp;D236&amp;"|"&amp;B236&amp;"|"&amp;C236,'Master Data'!$A$2:$A$2436,0))&amp;"","")</f>
        <v>Baby</v>
      </c>
      <c r="G236" s="66" t="n">
        <f aca="false">IFERROR(INDEX('Master Data'!$G$2:$G$2436,MATCH($B$3&amp;"|"&amp;D236&amp;"|"&amp;B236&amp;"|"&amp;C236,'Master Data'!$A$2:$A$2436,0)),"")</f>
        <v>5</v>
      </c>
      <c r="H236" s="67" t="str">
        <f aca="false">IFERROR(INDEX('Master Data'!$K$2:$K$2436,MATCH($B$3&amp;"|"&amp;D236&amp;"|"&amp;B236&amp;"|"&amp;C236,'Master Data'!$A$2:$A$2436,0))&amp;"","")</f>
        <v/>
      </c>
      <c r="I236" s="67" t="s">
        <v>460</v>
      </c>
      <c r="J236" s="67" t="s">
        <v>461</v>
      </c>
      <c r="K236" s="68"/>
      <c r="L236" s="68"/>
      <c r="M236" s="68"/>
      <c r="N236" s="69"/>
      <c r="O236" s="68"/>
    </row>
    <row r="237" customFormat="false" ht="15.75" hidden="false" customHeight="true" outlineLevel="0" collapsed="false">
      <c r="A237" s="66" t="n">
        <v>146</v>
      </c>
      <c r="B237" s="67" t="s">
        <v>92</v>
      </c>
      <c r="C237" s="66" t="s">
        <v>120</v>
      </c>
      <c r="D237" s="66" t="n">
        <v>2</v>
      </c>
      <c r="E237" s="67" t="str">
        <f aca="false">IFERROR(INDEX('Master Data'!$L$2:$L$2436,MATCH($B$3&amp;"|"&amp;D237&amp;"|"&amp;B237&amp;"|"&amp;C237,'Master Data'!$A$2:$A$2436,0)),"")</f>
        <v>Belum terisi</v>
      </c>
      <c r="F237" s="67" t="str">
        <f aca="false">IFERROR(INDEX('Master Data'!$F$2:$F$2436,MATCH($B$3&amp;"|"&amp;D237&amp;"|"&amp;B237&amp;"|"&amp;C237,'Master Data'!$A$2:$A$2436,0))&amp;"","")</f>
        <v>Tiny</v>
      </c>
      <c r="G237" s="66" t="n">
        <f aca="false">IFERROR(INDEX('Master Data'!$G$2:$G$2436,MATCH($B$3&amp;"|"&amp;D237&amp;"|"&amp;B237&amp;"|"&amp;C237,'Master Data'!$A$2:$A$2436,0)),"")</f>
        <v>5</v>
      </c>
      <c r="H237" s="67" t="str">
        <f aca="false">IFERROR(INDEX('Master Data'!$K$2:$K$2436,MATCH($B$3&amp;"|"&amp;D237&amp;"|"&amp;B237&amp;"|"&amp;C237,'Master Data'!$A$2:$A$2436,0))&amp;"","")</f>
        <v>Shabrina</v>
      </c>
      <c r="I237" s="67" t="s">
        <v>460</v>
      </c>
      <c r="J237" s="67" t="s">
        <v>134</v>
      </c>
      <c r="K237" s="68"/>
      <c r="L237" s="68"/>
      <c r="M237" s="68"/>
      <c r="N237" s="69"/>
      <c r="O237" s="68"/>
    </row>
    <row r="238" customFormat="false" ht="15.75" hidden="false" customHeight="true" outlineLevel="0" collapsed="false">
      <c r="A238" s="66" t="n">
        <v>147</v>
      </c>
      <c r="B238" s="67" t="s">
        <v>92</v>
      </c>
      <c r="C238" s="66" t="s">
        <v>120</v>
      </c>
      <c r="D238" s="66" t="n">
        <v>5</v>
      </c>
      <c r="E238" s="67" t="str">
        <f aca="false">IFERROR(INDEX('Master Data'!$L$2:$L$2436,MATCH($B$3&amp;"|"&amp;D238&amp;"|"&amp;B238&amp;"|"&amp;C238,'Master Data'!$A$2:$A$2436,0)),"")</f>
        <v>Slot kosong</v>
      </c>
      <c r="F238" s="67" t="str">
        <f aca="false">IFERROR(INDEX('Master Data'!$F$2:$F$2436,MATCH($B$3&amp;"|"&amp;D238&amp;"|"&amp;B238&amp;"|"&amp;C238,'Master Data'!$A$2:$A$2436,0))&amp;"","")</f>
        <v/>
      </c>
      <c r="G238" s="66" t="n">
        <f aca="false">IFERROR(INDEX('Master Data'!$G$2:$G$2436,MATCH($B$3&amp;"|"&amp;D238&amp;"|"&amp;B238&amp;"|"&amp;C238,'Master Data'!$A$2:$A$2436,0)),"")</f>
        <v>4</v>
      </c>
      <c r="H238" s="67" t="str">
        <f aca="false">IFERROR(INDEX('Master Data'!$K$2:$K$2436,MATCH($B$3&amp;"|"&amp;D238&amp;"|"&amp;B238&amp;"|"&amp;C238,'Master Data'!$A$2:$A$2436,0))&amp;"","")</f>
        <v/>
      </c>
      <c r="I238" s="67" t="s">
        <v>460</v>
      </c>
      <c r="J238" s="67" t="s">
        <v>461</v>
      </c>
      <c r="K238" s="68"/>
      <c r="L238" s="68"/>
      <c r="M238" s="68"/>
      <c r="N238" s="69"/>
      <c r="O238" s="68"/>
    </row>
    <row r="239" customFormat="false" ht="27.75" hidden="false" customHeight="true" outlineLevel="0" collapsed="false">
      <c r="A239" s="66" t="n">
        <v>148</v>
      </c>
      <c r="B239" s="67" t="s">
        <v>92</v>
      </c>
      <c r="C239" s="66" t="s">
        <v>106</v>
      </c>
      <c r="D239" s="66" t="n">
        <v>3</v>
      </c>
      <c r="E239" s="67" t="str">
        <f aca="false">IFERROR(INDEX('Master Data'!$L$2:$L$2436,MATCH($B$3&amp;"|"&amp;D239&amp;"|"&amp;B239&amp;"|"&amp;C239,'Master Data'!$A$2:$A$2436,0)),"")</f>
        <v>Belum terisi</v>
      </c>
      <c r="F239" s="67" t="str">
        <f aca="false">IFERROR(INDEX('Master Data'!$F$2:$F$2436,MATCH($B$3&amp;"|"&amp;D239&amp;"|"&amp;B239&amp;"|"&amp;C239,'Master Data'!$A$2:$A$2436,0))&amp;"","")</f>
        <v>Little</v>
      </c>
      <c r="G239" s="66" t="n">
        <f aca="false">IFERROR(INDEX('Master Data'!$G$2:$G$2436,MATCH($B$3&amp;"|"&amp;D239&amp;"|"&amp;B239&amp;"|"&amp;C239,'Master Data'!$A$2:$A$2436,0)),"")</f>
        <v>4</v>
      </c>
      <c r="H239" s="67" t="str">
        <f aca="false">IFERROR(INDEX('Master Data'!$K$2:$K$2436,MATCH($B$3&amp;"|"&amp;D239&amp;"|"&amp;B239&amp;"|"&amp;C239,'Master Data'!$A$2:$A$2436,0))&amp;"","")</f>
        <v/>
      </c>
      <c r="I239" s="67" t="s">
        <v>452</v>
      </c>
      <c r="J239" s="67" t="s">
        <v>134</v>
      </c>
      <c r="K239" s="68"/>
      <c r="L239" s="68"/>
      <c r="M239" s="68"/>
      <c r="N239" s="69"/>
      <c r="O239" s="68"/>
    </row>
    <row r="240" customFormat="false" ht="27.75" hidden="false" customHeight="true" outlineLevel="0" collapsed="false">
      <c r="A240" s="66" t="n">
        <v>149</v>
      </c>
      <c r="B240" s="67" t="s">
        <v>92</v>
      </c>
      <c r="C240" s="66" t="s">
        <v>106</v>
      </c>
      <c r="D240" s="66" t="n">
        <v>4</v>
      </c>
      <c r="E240" s="67" t="str">
        <f aca="false">IFERROR(INDEX('Master Data'!$L$2:$L$2436,MATCH($B$3&amp;"|"&amp;D240&amp;"|"&amp;B240&amp;"|"&amp;C240,'Master Data'!$A$2:$A$2436,0)),"")</f>
        <v>Belum terisi</v>
      </c>
      <c r="F240" s="67" t="str">
        <f aca="false">IFERROR(INDEX('Master Data'!$F$2:$F$2436,MATCH($B$3&amp;"|"&amp;D240&amp;"|"&amp;B240&amp;"|"&amp;C240,'Master Data'!$A$2:$A$2436,0))&amp;"","")</f>
        <v>Kids</v>
      </c>
      <c r="G240" s="66" t="n">
        <f aca="false">IFERROR(INDEX('Master Data'!$G$2:$G$2436,MATCH($B$3&amp;"|"&amp;D240&amp;"|"&amp;B240&amp;"|"&amp;C240,'Master Data'!$A$2:$A$2436,0)),"")</f>
        <v>4</v>
      </c>
      <c r="H240" s="67" t="str">
        <f aca="false">IFERROR(INDEX('Master Data'!$K$2:$K$2436,MATCH($B$3&amp;"|"&amp;D240&amp;"|"&amp;B240&amp;"|"&amp;C240,'Master Data'!$A$2:$A$2436,0))&amp;"","")</f>
        <v/>
      </c>
      <c r="I240" s="67" t="s">
        <v>452</v>
      </c>
      <c r="J240" s="67" t="s">
        <v>134</v>
      </c>
      <c r="K240" s="68"/>
      <c r="L240" s="68"/>
      <c r="M240" s="68"/>
      <c r="N240" s="69"/>
      <c r="O240" s="68"/>
    </row>
    <row r="241" customFormat="false" ht="40.5" hidden="false" customHeight="true" outlineLevel="0" collapsed="false">
      <c r="A241" s="66" t="n">
        <v>150</v>
      </c>
      <c r="B241" s="67" t="s">
        <v>92</v>
      </c>
      <c r="C241" s="66" t="s">
        <v>121</v>
      </c>
      <c r="D241" s="66" t="n">
        <v>1</v>
      </c>
      <c r="E241" s="67" t="str">
        <f aca="false">IFERROR(INDEX('Master Data'!$L$2:$L$2436,MATCH($B$3&amp;"|"&amp;D241&amp;"|"&amp;B241&amp;"|"&amp;C241,'Master Data'!$A$2:$A$2436,0)),"")</f>
        <v>Belum terisi</v>
      </c>
      <c r="F241" s="67" t="str">
        <f aca="false">IFERROR(INDEX('Master Data'!$F$2:$F$2436,MATCH($B$3&amp;"|"&amp;D241&amp;"|"&amp;B241&amp;"|"&amp;C241,'Master Data'!$A$2:$A$2436,0))&amp;"","")</f>
        <v>Baby</v>
      </c>
      <c r="G241" s="66" t="n">
        <f aca="false">IFERROR(INDEX('Master Data'!$G$2:$G$2436,MATCH($B$3&amp;"|"&amp;D241&amp;"|"&amp;B241&amp;"|"&amp;C241,'Master Data'!$A$2:$A$2436,0)),"")</f>
        <v>5</v>
      </c>
      <c r="H241" s="67" t="str">
        <f aca="false">IFERROR(INDEX('Master Data'!$K$2:$K$2436,MATCH($B$3&amp;"|"&amp;D241&amp;"|"&amp;B241&amp;"|"&amp;C241,'Master Data'!$A$2:$A$2436,0))&amp;"","")</f>
        <v/>
      </c>
      <c r="I241" s="67" t="s">
        <v>451</v>
      </c>
      <c r="J241" s="67" t="s">
        <v>134</v>
      </c>
      <c r="K241" s="68"/>
      <c r="L241" s="68"/>
      <c r="M241" s="68"/>
      <c r="N241" s="69"/>
      <c r="O241" s="68"/>
    </row>
    <row r="242" customFormat="false" ht="40.5" hidden="false" customHeight="true" outlineLevel="0" collapsed="false">
      <c r="A242" s="66" t="n">
        <v>151</v>
      </c>
      <c r="B242" s="67" t="s">
        <v>92</v>
      </c>
      <c r="C242" s="66" t="s">
        <v>121</v>
      </c>
      <c r="D242" s="66" t="n">
        <v>2</v>
      </c>
      <c r="E242" s="67" t="str">
        <f aca="false">IFERROR(INDEX('Master Data'!$L$2:$L$2436,MATCH($B$3&amp;"|"&amp;D242&amp;"|"&amp;B242&amp;"|"&amp;C242,'Master Data'!$A$2:$A$2436,0)),"")</f>
        <v>Belum terisi</v>
      </c>
      <c r="F242" s="67" t="str">
        <f aca="false">IFERROR(INDEX('Master Data'!$F$2:$F$2436,MATCH($B$3&amp;"|"&amp;D242&amp;"|"&amp;B242&amp;"|"&amp;C242,'Master Data'!$A$2:$A$2436,0))&amp;"","")</f>
        <v>Tiny</v>
      </c>
      <c r="G242" s="66" t="n">
        <f aca="false">IFERROR(INDEX('Master Data'!$G$2:$G$2436,MATCH($B$3&amp;"|"&amp;D242&amp;"|"&amp;B242&amp;"|"&amp;C242,'Master Data'!$A$2:$A$2436,0)),"")</f>
        <v>5</v>
      </c>
      <c r="H242" s="67" t="str">
        <f aca="false">IFERROR(INDEX('Master Data'!$K$2:$K$2436,MATCH($B$3&amp;"|"&amp;D242&amp;"|"&amp;B242&amp;"|"&amp;C242,'Master Data'!$A$2:$A$2436,0))&amp;"","")</f>
        <v/>
      </c>
      <c r="I242" s="67" t="s">
        <v>451</v>
      </c>
      <c r="J242" s="67" t="s">
        <v>134</v>
      </c>
      <c r="K242" s="68"/>
      <c r="L242" s="68"/>
      <c r="M242" s="68"/>
      <c r="N242" s="69"/>
      <c r="O242" s="68"/>
    </row>
    <row r="243" customFormat="false" ht="40.5" hidden="false" customHeight="true" outlineLevel="0" collapsed="false">
      <c r="A243" s="66" t="n">
        <v>152</v>
      </c>
      <c r="B243" s="67" t="s">
        <v>92</v>
      </c>
      <c r="C243" s="66" t="s">
        <v>121</v>
      </c>
      <c r="D243" s="66" t="n">
        <v>5</v>
      </c>
      <c r="E243" s="67" t="str">
        <f aca="false">IFERROR(INDEX('Master Data'!$L$2:$L$2436,MATCH($B$3&amp;"|"&amp;D243&amp;"|"&amp;B243&amp;"|"&amp;C243,'Master Data'!$A$2:$A$2436,0)),"")</f>
        <v>Slot kosong</v>
      </c>
      <c r="F243" s="67" t="str">
        <f aca="false">IFERROR(INDEX('Master Data'!$F$2:$F$2436,MATCH($B$3&amp;"|"&amp;D243&amp;"|"&amp;B243&amp;"|"&amp;C243,'Master Data'!$A$2:$A$2436,0))&amp;"","")</f>
        <v/>
      </c>
      <c r="G243" s="66" t="n">
        <f aca="false">IFERROR(INDEX('Master Data'!$G$2:$G$2436,MATCH($B$3&amp;"|"&amp;D243&amp;"|"&amp;B243&amp;"|"&amp;C243,'Master Data'!$A$2:$A$2436,0)),"")</f>
        <v>4</v>
      </c>
      <c r="H243" s="67" t="str">
        <f aca="false">IFERROR(INDEX('Master Data'!$K$2:$K$2436,MATCH($B$3&amp;"|"&amp;D243&amp;"|"&amp;B243&amp;"|"&amp;C243,'Master Data'!$A$2:$A$2436,0))&amp;"","")</f>
        <v/>
      </c>
      <c r="I243" s="67" t="s">
        <v>451</v>
      </c>
      <c r="J243" s="67" t="s">
        <v>134</v>
      </c>
      <c r="K243" s="68"/>
      <c r="L243" s="68"/>
      <c r="M243" s="68"/>
      <c r="N243" s="69"/>
      <c r="O243" s="68"/>
    </row>
    <row r="244" customFormat="false" ht="40.5" hidden="false" customHeight="true" outlineLevel="0" collapsed="false">
      <c r="A244" s="66" t="n">
        <v>153</v>
      </c>
      <c r="B244" s="67" t="s">
        <v>92</v>
      </c>
      <c r="C244" s="66" t="s">
        <v>107</v>
      </c>
      <c r="D244" s="66" t="n">
        <v>3</v>
      </c>
      <c r="E244" s="67" t="str">
        <f aca="false">IFERROR(INDEX('Master Data'!$L$2:$L$2436,MATCH($B$3&amp;"|"&amp;D244&amp;"|"&amp;B244&amp;"|"&amp;C244,'Master Data'!$A$2:$A$2436,0)),"")</f>
        <v>Belum terisi</v>
      </c>
      <c r="F244" s="67" t="str">
        <f aca="false">IFERROR(INDEX('Master Data'!$F$2:$F$2436,MATCH($B$3&amp;"|"&amp;D244&amp;"|"&amp;B244&amp;"|"&amp;C244,'Master Data'!$A$2:$A$2436,0))&amp;"","")</f>
        <v>Little</v>
      </c>
      <c r="G244" s="66" t="n">
        <f aca="false">IFERROR(INDEX('Master Data'!$G$2:$G$2436,MATCH($B$3&amp;"|"&amp;D244&amp;"|"&amp;B244&amp;"|"&amp;C244,'Master Data'!$A$2:$A$2436,0)),"")</f>
        <v>4</v>
      </c>
      <c r="H244" s="67" t="str">
        <f aca="false">IFERROR(INDEX('Master Data'!$K$2:$K$2436,MATCH($B$3&amp;"|"&amp;D244&amp;"|"&amp;B244&amp;"|"&amp;C244,'Master Data'!$A$2:$A$2436,0))&amp;"","")</f>
        <v/>
      </c>
      <c r="I244" s="67" t="s">
        <v>451</v>
      </c>
      <c r="J244" s="67" t="s">
        <v>134</v>
      </c>
      <c r="K244" s="68"/>
      <c r="L244" s="68"/>
      <c r="M244" s="68"/>
      <c r="N244" s="69"/>
      <c r="O244" s="68"/>
    </row>
    <row r="245" customFormat="false" ht="40.5" hidden="false" customHeight="true" outlineLevel="0" collapsed="false">
      <c r="A245" s="66" t="n">
        <v>154</v>
      </c>
      <c r="B245" s="67" t="s">
        <v>92</v>
      </c>
      <c r="C245" s="66" t="s">
        <v>107</v>
      </c>
      <c r="D245" s="66" t="n">
        <v>4</v>
      </c>
      <c r="E245" s="67" t="str">
        <f aca="false">IFERROR(INDEX('Master Data'!$L$2:$L$2436,MATCH($B$3&amp;"|"&amp;D245&amp;"|"&amp;B245&amp;"|"&amp;C245,'Master Data'!$A$2:$A$2436,0)),"")</f>
        <v>Belum terisi</v>
      </c>
      <c r="F245" s="67" t="str">
        <f aca="false">IFERROR(INDEX('Master Data'!$F$2:$F$2436,MATCH($B$3&amp;"|"&amp;D245&amp;"|"&amp;B245&amp;"|"&amp;C245,'Master Data'!$A$2:$A$2436,0))&amp;"","")</f>
        <v>Kids</v>
      </c>
      <c r="G245" s="66" t="n">
        <f aca="false">IFERROR(INDEX('Master Data'!$G$2:$G$2436,MATCH($B$3&amp;"|"&amp;D245&amp;"|"&amp;B245&amp;"|"&amp;C245,'Master Data'!$A$2:$A$2436,0)),"")</f>
        <v>4</v>
      </c>
      <c r="H245" s="67" t="str">
        <f aca="false">IFERROR(INDEX('Master Data'!$K$2:$K$2436,MATCH($B$3&amp;"|"&amp;D245&amp;"|"&amp;B245&amp;"|"&amp;C245,'Master Data'!$A$2:$A$2436,0))&amp;"","")</f>
        <v/>
      </c>
      <c r="I245" s="67" t="s">
        <v>451</v>
      </c>
      <c r="J245" s="67" t="s">
        <v>134</v>
      </c>
      <c r="K245" s="68"/>
      <c r="L245" s="68"/>
      <c r="M245" s="68"/>
      <c r="N245" s="69"/>
      <c r="O245" s="68"/>
    </row>
    <row r="246" customFormat="false" ht="27.75" hidden="false" customHeight="true" outlineLevel="0" collapsed="false">
      <c r="A246" s="66" t="n">
        <v>155</v>
      </c>
      <c r="B246" s="67" t="s">
        <v>93</v>
      </c>
      <c r="C246" s="66" t="s">
        <v>110</v>
      </c>
      <c r="D246" s="66" t="n">
        <v>1</v>
      </c>
      <c r="E246" s="67" t="str">
        <f aca="false">IFERROR(INDEX('Master Data'!$L$2:$L$2436,MATCH($B$3&amp;"|"&amp;D246&amp;"|"&amp;B246&amp;"|"&amp;C246,'Master Data'!$A$2:$A$2436,0)),"")</f>
        <v>Belum terisi</v>
      </c>
      <c r="F246" s="67" t="str">
        <f aca="false">IFERROR(INDEX('Master Data'!$F$2:$F$2436,MATCH($B$3&amp;"|"&amp;D246&amp;"|"&amp;B246&amp;"|"&amp;C246,'Master Data'!$A$2:$A$2436,0))&amp;"","")</f>
        <v>Baby</v>
      </c>
      <c r="G246" s="66" t="n">
        <f aca="false">IFERROR(INDEX('Master Data'!$G$2:$G$2436,MATCH($B$3&amp;"|"&amp;D246&amp;"|"&amp;B246&amp;"|"&amp;C246,'Master Data'!$A$2:$A$2436,0)),"")</f>
        <v>5</v>
      </c>
      <c r="H246" s="67" t="str">
        <f aca="false">IFERROR(INDEX('Master Data'!$K$2:$K$2436,MATCH($B$3&amp;"|"&amp;D246&amp;"|"&amp;B246&amp;"|"&amp;C246,'Master Data'!$A$2:$A$2436,0))&amp;"","")</f>
        <v/>
      </c>
      <c r="I246" s="67" t="s">
        <v>462</v>
      </c>
      <c r="J246" s="67" t="s">
        <v>134</v>
      </c>
      <c r="K246" s="68"/>
      <c r="L246" s="68"/>
      <c r="M246" s="68"/>
      <c r="N246" s="69"/>
      <c r="O246" s="68"/>
    </row>
    <row r="247" customFormat="false" ht="27.75" hidden="false" customHeight="true" outlineLevel="0" collapsed="false">
      <c r="A247" s="66" t="n">
        <v>156</v>
      </c>
      <c r="B247" s="67" t="s">
        <v>93</v>
      </c>
      <c r="C247" s="66" t="s">
        <v>110</v>
      </c>
      <c r="D247" s="66" t="n">
        <v>2</v>
      </c>
      <c r="E247" s="67" t="str">
        <f aca="false">IFERROR(INDEX('Master Data'!$L$2:$L$2436,MATCH($B$3&amp;"|"&amp;D247&amp;"|"&amp;B247&amp;"|"&amp;C247,'Master Data'!$A$2:$A$2436,0)),"")</f>
        <v>Belum terisi</v>
      </c>
      <c r="F247" s="67" t="str">
        <f aca="false">IFERROR(INDEX('Master Data'!$F$2:$F$2436,MATCH($B$3&amp;"|"&amp;D247&amp;"|"&amp;B247&amp;"|"&amp;C247,'Master Data'!$A$2:$A$2436,0))&amp;"","")</f>
        <v>Tiny</v>
      </c>
      <c r="G247" s="66" t="n">
        <f aca="false">IFERROR(INDEX('Master Data'!$G$2:$G$2436,MATCH($B$3&amp;"|"&amp;D247&amp;"|"&amp;B247&amp;"|"&amp;C247,'Master Data'!$A$2:$A$2436,0)),"")</f>
        <v>5</v>
      </c>
      <c r="H247" s="67" t="str">
        <f aca="false">IFERROR(INDEX('Master Data'!$K$2:$K$2436,MATCH($B$3&amp;"|"&amp;D247&amp;"|"&amp;B247&amp;"|"&amp;C247,'Master Data'!$A$2:$A$2436,0))&amp;"","")</f>
        <v/>
      </c>
      <c r="I247" s="67" t="s">
        <v>462</v>
      </c>
      <c r="J247" s="67" t="s">
        <v>134</v>
      </c>
      <c r="K247" s="68"/>
      <c r="L247" s="68"/>
      <c r="M247" s="68"/>
      <c r="N247" s="69"/>
      <c r="O247" s="68"/>
    </row>
    <row r="248" customFormat="false" ht="27.75" hidden="false" customHeight="true" outlineLevel="0" collapsed="false">
      <c r="A248" s="66" t="n">
        <v>157</v>
      </c>
      <c r="B248" s="67" t="s">
        <v>93</v>
      </c>
      <c r="C248" s="66" t="s">
        <v>110</v>
      </c>
      <c r="D248" s="66" t="n">
        <v>5</v>
      </c>
      <c r="E248" s="67" t="str">
        <f aca="false">IFERROR(INDEX('Master Data'!$L$2:$L$2436,MATCH($B$3&amp;"|"&amp;D248&amp;"|"&amp;B248&amp;"|"&amp;C248,'Master Data'!$A$2:$A$2436,0)),"")</f>
        <v>Slot kosong</v>
      </c>
      <c r="F248" s="67" t="str">
        <f aca="false">IFERROR(INDEX('Master Data'!$F$2:$F$2436,MATCH($B$3&amp;"|"&amp;D248&amp;"|"&amp;B248&amp;"|"&amp;C248,'Master Data'!$A$2:$A$2436,0))&amp;"","")</f>
        <v/>
      </c>
      <c r="G248" s="66" t="n">
        <f aca="false">IFERROR(INDEX('Master Data'!$G$2:$G$2436,MATCH($B$3&amp;"|"&amp;D248&amp;"|"&amp;B248&amp;"|"&amp;C248,'Master Data'!$A$2:$A$2436,0)),"")</f>
        <v>4</v>
      </c>
      <c r="H248" s="67" t="str">
        <f aca="false">IFERROR(INDEX('Master Data'!$K$2:$K$2436,MATCH($B$3&amp;"|"&amp;D248&amp;"|"&amp;B248&amp;"|"&amp;C248,'Master Data'!$A$2:$A$2436,0))&amp;"","")</f>
        <v/>
      </c>
      <c r="I248" s="67" t="s">
        <v>462</v>
      </c>
      <c r="J248" s="67" t="s">
        <v>134</v>
      </c>
      <c r="K248" s="68"/>
      <c r="L248" s="68"/>
      <c r="M248" s="68"/>
      <c r="N248" s="69"/>
      <c r="O248" s="68"/>
    </row>
    <row r="249" customFormat="false" ht="27.75" hidden="false" customHeight="true" outlineLevel="0" collapsed="false">
      <c r="A249" s="66" t="n">
        <v>158</v>
      </c>
      <c r="B249" s="67" t="s">
        <v>93</v>
      </c>
      <c r="C249" s="66" t="s">
        <v>96</v>
      </c>
      <c r="D249" s="66" t="n">
        <v>3</v>
      </c>
      <c r="E249" s="67" t="str">
        <f aca="false">IFERROR(INDEX('Master Data'!$L$2:$L$2436,MATCH($B$3&amp;"|"&amp;D249&amp;"|"&amp;B249&amp;"|"&amp;C249,'Master Data'!$A$2:$A$2436,0)),"")</f>
        <v>Belum terisi</v>
      </c>
      <c r="F249" s="67" t="str">
        <f aca="false">IFERROR(INDEX('Master Data'!$F$2:$F$2436,MATCH($B$3&amp;"|"&amp;D249&amp;"|"&amp;B249&amp;"|"&amp;C249,'Master Data'!$A$2:$A$2436,0))&amp;"","")</f>
        <v>Little</v>
      </c>
      <c r="G249" s="66" t="n">
        <f aca="false">IFERROR(INDEX('Master Data'!$G$2:$G$2436,MATCH($B$3&amp;"|"&amp;D249&amp;"|"&amp;B249&amp;"|"&amp;C249,'Master Data'!$A$2:$A$2436,0)),"")</f>
        <v>4</v>
      </c>
      <c r="H249" s="67" t="str">
        <f aca="false">IFERROR(INDEX('Master Data'!$K$2:$K$2436,MATCH($B$3&amp;"|"&amp;D249&amp;"|"&amp;B249&amp;"|"&amp;C249,'Master Data'!$A$2:$A$2436,0))&amp;"","")</f>
        <v/>
      </c>
      <c r="I249" s="67" t="s">
        <v>462</v>
      </c>
      <c r="J249" s="67" t="s">
        <v>134</v>
      </c>
      <c r="K249" s="68"/>
      <c r="L249" s="68"/>
      <c r="M249" s="68"/>
      <c r="N249" s="69"/>
      <c r="O249" s="68"/>
    </row>
    <row r="250" customFormat="false" ht="27.75" hidden="false" customHeight="true" outlineLevel="0" collapsed="false">
      <c r="A250" s="66" t="n">
        <v>159</v>
      </c>
      <c r="B250" s="67" t="s">
        <v>93</v>
      </c>
      <c r="C250" s="66" t="s">
        <v>96</v>
      </c>
      <c r="D250" s="66" t="n">
        <v>4</v>
      </c>
      <c r="E250" s="67" t="str">
        <f aca="false">IFERROR(INDEX('Master Data'!$L$2:$L$2436,MATCH($B$3&amp;"|"&amp;D250&amp;"|"&amp;B250&amp;"|"&amp;C250,'Master Data'!$A$2:$A$2436,0)),"")</f>
        <v>Belum terisi</v>
      </c>
      <c r="F250" s="67" t="str">
        <f aca="false">IFERROR(INDEX('Master Data'!$F$2:$F$2436,MATCH($B$3&amp;"|"&amp;D250&amp;"|"&amp;B250&amp;"|"&amp;C250,'Master Data'!$A$2:$A$2436,0))&amp;"","")</f>
        <v>Kids</v>
      </c>
      <c r="G250" s="66" t="n">
        <f aca="false">IFERROR(INDEX('Master Data'!$G$2:$G$2436,MATCH($B$3&amp;"|"&amp;D250&amp;"|"&amp;B250&amp;"|"&amp;C250,'Master Data'!$A$2:$A$2436,0)),"")</f>
        <v>4</v>
      </c>
      <c r="H250" s="67" t="str">
        <f aca="false">IFERROR(INDEX('Master Data'!$K$2:$K$2436,MATCH($B$3&amp;"|"&amp;D250&amp;"|"&amp;B250&amp;"|"&amp;C250,'Master Data'!$A$2:$A$2436,0))&amp;"","")</f>
        <v/>
      </c>
      <c r="I250" s="67" t="s">
        <v>462</v>
      </c>
      <c r="J250" s="67" t="s">
        <v>134</v>
      </c>
      <c r="K250" s="68"/>
      <c r="L250" s="68"/>
      <c r="M250" s="68"/>
      <c r="N250" s="69"/>
      <c r="O250" s="68"/>
    </row>
    <row r="251" customFormat="false" ht="27.75" hidden="false" customHeight="true" outlineLevel="0" collapsed="false">
      <c r="A251" s="66" t="n">
        <v>160</v>
      </c>
      <c r="B251" s="67" t="s">
        <v>93</v>
      </c>
      <c r="C251" s="66" t="s">
        <v>111</v>
      </c>
      <c r="D251" s="66" t="n">
        <v>1</v>
      </c>
      <c r="E251" s="67" t="str">
        <f aca="false">IFERROR(INDEX('Master Data'!$L$2:$L$2436,MATCH($B$3&amp;"|"&amp;D251&amp;"|"&amp;B251&amp;"|"&amp;C251,'Master Data'!$A$2:$A$2436,0)),"")</f>
        <v>Belum terisi</v>
      </c>
      <c r="F251" s="67" t="str">
        <f aca="false">IFERROR(INDEX('Master Data'!$F$2:$F$2436,MATCH($B$3&amp;"|"&amp;D251&amp;"|"&amp;B251&amp;"|"&amp;C251,'Master Data'!$A$2:$A$2436,0))&amp;"","")</f>
        <v>Baby</v>
      </c>
      <c r="G251" s="66" t="n">
        <f aca="false">IFERROR(INDEX('Master Data'!$G$2:$G$2436,MATCH($B$3&amp;"|"&amp;D251&amp;"|"&amp;B251&amp;"|"&amp;C251,'Master Data'!$A$2:$A$2436,0)),"")</f>
        <v>5</v>
      </c>
      <c r="H251" s="67" t="str">
        <f aca="false">IFERROR(INDEX('Master Data'!$K$2:$K$2436,MATCH($B$3&amp;"|"&amp;D251&amp;"|"&amp;B251&amp;"|"&amp;C251,'Master Data'!$A$2:$A$2436,0))&amp;"","")</f>
        <v/>
      </c>
      <c r="I251" s="67" t="s">
        <v>462</v>
      </c>
      <c r="J251" s="67" t="s">
        <v>134</v>
      </c>
      <c r="K251" s="68"/>
      <c r="L251" s="68"/>
      <c r="M251" s="68"/>
      <c r="N251" s="69"/>
      <c r="O251" s="68"/>
    </row>
    <row r="252" customFormat="false" ht="27.75" hidden="false" customHeight="true" outlineLevel="0" collapsed="false">
      <c r="A252" s="66" t="n">
        <v>161</v>
      </c>
      <c r="B252" s="67" t="s">
        <v>93</v>
      </c>
      <c r="C252" s="66" t="s">
        <v>111</v>
      </c>
      <c r="D252" s="66" t="n">
        <v>2</v>
      </c>
      <c r="E252" s="67" t="str">
        <f aca="false">IFERROR(INDEX('Master Data'!$L$2:$L$2436,MATCH($B$3&amp;"|"&amp;D252&amp;"|"&amp;B252&amp;"|"&amp;C252,'Master Data'!$A$2:$A$2436,0)),"")</f>
        <v>Belum terisi</v>
      </c>
      <c r="F252" s="67" t="str">
        <f aca="false">IFERROR(INDEX('Master Data'!$F$2:$F$2436,MATCH($B$3&amp;"|"&amp;D252&amp;"|"&amp;B252&amp;"|"&amp;C252,'Master Data'!$A$2:$A$2436,0))&amp;"","")</f>
        <v>Tiny</v>
      </c>
      <c r="G252" s="66" t="n">
        <f aca="false">IFERROR(INDEX('Master Data'!$G$2:$G$2436,MATCH($B$3&amp;"|"&amp;D252&amp;"|"&amp;B252&amp;"|"&amp;C252,'Master Data'!$A$2:$A$2436,0)),"")</f>
        <v>5</v>
      </c>
      <c r="H252" s="67" t="str">
        <f aca="false">IFERROR(INDEX('Master Data'!$K$2:$K$2436,MATCH($B$3&amp;"|"&amp;D252&amp;"|"&amp;B252&amp;"|"&amp;C252,'Master Data'!$A$2:$A$2436,0))&amp;"","")</f>
        <v/>
      </c>
      <c r="I252" s="67" t="s">
        <v>462</v>
      </c>
      <c r="J252" s="67" t="s">
        <v>134</v>
      </c>
      <c r="K252" s="68"/>
      <c r="L252" s="68"/>
      <c r="M252" s="68"/>
      <c r="N252" s="69"/>
      <c r="O252" s="68"/>
    </row>
    <row r="253" customFormat="false" ht="27.75" hidden="false" customHeight="true" outlineLevel="0" collapsed="false">
      <c r="A253" s="66" t="n">
        <v>162</v>
      </c>
      <c r="B253" s="67" t="s">
        <v>93</v>
      </c>
      <c r="C253" s="66" t="s">
        <v>111</v>
      </c>
      <c r="D253" s="66" t="n">
        <v>5</v>
      </c>
      <c r="E253" s="67" t="str">
        <f aca="false">IFERROR(INDEX('Master Data'!$L$2:$L$2436,MATCH($B$3&amp;"|"&amp;D253&amp;"|"&amp;B253&amp;"|"&amp;C253,'Master Data'!$A$2:$A$2436,0)),"")</f>
        <v>Slot kosong</v>
      </c>
      <c r="F253" s="67" t="str">
        <f aca="false">IFERROR(INDEX('Master Data'!$F$2:$F$2436,MATCH($B$3&amp;"|"&amp;D253&amp;"|"&amp;B253&amp;"|"&amp;C253,'Master Data'!$A$2:$A$2436,0))&amp;"","")</f>
        <v/>
      </c>
      <c r="G253" s="66" t="n">
        <f aca="false">IFERROR(INDEX('Master Data'!$G$2:$G$2436,MATCH($B$3&amp;"|"&amp;D253&amp;"|"&amp;B253&amp;"|"&amp;C253,'Master Data'!$A$2:$A$2436,0)),"")</f>
        <v>4</v>
      </c>
      <c r="H253" s="67" t="str">
        <f aca="false">IFERROR(INDEX('Master Data'!$K$2:$K$2436,MATCH($B$3&amp;"|"&amp;D253&amp;"|"&amp;B253&amp;"|"&amp;C253,'Master Data'!$A$2:$A$2436,0))&amp;"","")</f>
        <v/>
      </c>
      <c r="I253" s="67" t="s">
        <v>462</v>
      </c>
      <c r="J253" s="67" t="s">
        <v>134</v>
      </c>
      <c r="K253" s="68"/>
      <c r="L253" s="68"/>
      <c r="M253" s="68"/>
      <c r="N253" s="69"/>
      <c r="O253" s="68"/>
    </row>
    <row r="254" customFormat="false" ht="15.75" hidden="false" customHeight="true" outlineLevel="0" collapsed="false">
      <c r="A254" s="66" t="n">
        <v>163</v>
      </c>
      <c r="B254" s="67" t="s">
        <v>93</v>
      </c>
      <c r="C254" s="66" t="s">
        <v>97</v>
      </c>
      <c r="D254" s="66" t="n">
        <v>3</v>
      </c>
      <c r="E254" s="67" t="str">
        <f aca="false">IFERROR(INDEX('Master Data'!$L$2:$L$2436,MATCH($B$3&amp;"|"&amp;D254&amp;"|"&amp;B254&amp;"|"&amp;C254,'Master Data'!$A$2:$A$2436,0)),"")</f>
        <v>Belum terisi</v>
      </c>
      <c r="F254" s="67" t="str">
        <f aca="false">IFERROR(INDEX('Master Data'!$F$2:$F$2436,MATCH($B$3&amp;"|"&amp;D254&amp;"|"&amp;B254&amp;"|"&amp;C254,'Master Data'!$A$2:$A$2436,0))&amp;"","")</f>
        <v>Little</v>
      </c>
      <c r="G254" s="66" t="n">
        <f aca="false">IFERROR(INDEX('Master Data'!$G$2:$G$2436,MATCH($B$3&amp;"|"&amp;D254&amp;"|"&amp;B254&amp;"|"&amp;C254,'Master Data'!$A$2:$A$2436,0)),"")</f>
        <v>4</v>
      </c>
      <c r="H254" s="67" t="str">
        <f aca="false">IFERROR(INDEX('Master Data'!$K$2:$K$2436,MATCH($B$3&amp;"|"&amp;D254&amp;"|"&amp;B254&amp;"|"&amp;C254,'Master Data'!$A$2:$A$2436,0))&amp;"","")</f>
        <v/>
      </c>
      <c r="I254" s="67" t="s">
        <v>463</v>
      </c>
      <c r="J254" s="67" t="s">
        <v>203</v>
      </c>
      <c r="K254" s="68"/>
      <c r="L254" s="68"/>
      <c r="M254" s="68"/>
      <c r="N254" s="69"/>
      <c r="O254" s="68"/>
    </row>
    <row r="255" customFormat="false" ht="15.75" hidden="false" customHeight="true" outlineLevel="0" collapsed="false">
      <c r="A255" s="66" t="n">
        <v>164</v>
      </c>
      <c r="B255" s="67" t="s">
        <v>93</v>
      </c>
      <c r="C255" s="66" t="s">
        <v>97</v>
      </c>
      <c r="D255" s="66" t="n">
        <v>4</v>
      </c>
      <c r="E255" s="67" t="str">
        <f aca="false">IFERROR(INDEX('Master Data'!$L$2:$L$2436,MATCH($B$3&amp;"|"&amp;D255&amp;"|"&amp;B255&amp;"|"&amp;C255,'Master Data'!$A$2:$A$2436,0)),"")</f>
        <v>Belum terisi</v>
      </c>
      <c r="F255" s="67" t="str">
        <f aca="false">IFERROR(INDEX('Master Data'!$F$2:$F$2436,MATCH($B$3&amp;"|"&amp;D255&amp;"|"&amp;B255&amp;"|"&amp;C255,'Master Data'!$A$2:$A$2436,0))&amp;"","")</f>
        <v>Kids</v>
      </c>
      <c r="G255" s="66" t="n">
        <f aca="false">IFERROR(INDEX('Master Data'!$G$2:$G$2436,MATCH($B$3&amp;"|"&amp;D255&amp;"|"&amp;B255&amp;"|"&amp;C255,'Master Data'!$A$2:$A$2436,0)),"")</f>
        <v>4</v>
      </c>
      <c r="H255" s="67" t="str">
        <f aca="false">IFERROR(INDEX('Master Data'!$K$2:$K$2436,MATCH($B$3&amp;"|"&amp;D255&amp;"|"&amp;B255&amp;"|"&amp;C255,'Master Data'!$A$2:$A$2436,0))&amp;"","")</f>
        <v/>
      </c>
      <c r="I255" s="67" t="s">
        <v>463</v>
      </c>
      <c r="J255" s="67" t="s">
        <v>203</v>
      </c>
      <c r="K255" s="68"/>
      <c r="L255" s="68"/>
      <c r="M255" s="68"/>
      <c r="N255" s="69"/>
      <c r="O255" s="68"/>
    </row>
    <row r="256" customFormat="false" ht="15.75" hidden="false" customHeight="true" outlineLevel="0" collapsed="false">
      <c r="A256" s="66" t="n">
        <v>165</v>
      </c>
      <c r="B256" s="67" t="s">
        <v>93</v>
      </c>
      <c r="C256" s="66" t="s">
        <v>112</v>
      </c>
      <c r="D256" s="66" t="n">
        <v>1</v>
      </c>
      <c r="E256" s="67" t="str">
        <f aca="false">IFERROR(INDEX('Master Data'!$L$2:$L$2436,MATCH($B$3&amp;"|"&amp;D256&amp;"|"&amp;B256&amp;"|"&amp;C256,'Master Data'!$A$2:$A$2436,0)),"")</f>
        <v>Belum terisi</v>
      </c>
      <c r="F256" s="67" t="str">
        <f aca="false">IFERROR(INDEX('Master Data'!$F$2:$F$2436,MATCH($B$3&amp;"|"&amp;D256&amp;"|"&amp;B256&amp;"|"&amp;C256,'Master Data'!$A$2:$A$2436,0))&amp;"","")</f>
        <v>Baby</v>
      </c>
      <c r="G256" s="66" t="n">
        <f aca="false">IFERROR(INDEX('Master Data'!$G$2:$G$2436,MATCH($B$3&amp;"|"&amp;D256&amp;"|"&amp;B256&amp;"|"&amp;C256,'Master Data'!$A$2:$A$2436,0)),"")</f>
        <v>5</v>
      </c>
      <c r="H256" s="67" t="str">
        <f aca="false">IFERROR(INDEX('Master Data'!$K$2:$K$2436,MATCH($B$3&amp;"|"&amp;D256&amp;"|"&amp;B256&amp;"|"&amp;C256,'Master Data'!$A$2:$A$2436,0))&amp;"","")</f>
        <v/>
      </c>
      <c r="I256" s="67" t="s">
        <v>458</v>
      </c>
      <c r="J256" s="67" t="s">
        <v>221</v>
      </c>
      <c r="K256" s="68"/>
      <c r="L256" s="68"/>
      <c r="M256" s="68"/>
      <c r="N256" s="69"/>
      <c r="O256" s="68"/>
    </row>
    <row r="257" customFormat="false" ht="15.75" hidden="false" customHeight="true" outlineLevel="0" collapsed="false">
      <c r="A257" s="66" t="n">
        <v>166</v>
      </c>
      <c r="B257" s="67" t="s">
        <v>93</v>
      </c>
      <c r="C257" s="66" t="s">
        <v>112</v>
      </c>
      <c r="D257" s="66" t="n">
        <v>5</v>
      </c>
      <c r="E257" s="67" t="str">
        <f aca="false">IFERROR(INDEX('Master Data'!$L$2:$L$2436,MATCH($B$3&amp;"|"&amp;D257&amp;"|"&amp;B257&amp;"|"&amp;C257,'Master Data'!$A$2:$A$2436,0)),"")</f>
        <v>Slot kosong</v>
      </c>
      <c r="F257" s="67" t="str">
        <f aca="false">IFERROR(INDEX('Master Data'!$F$2:$F$2436,MATCH($B$3&amp;"|"&amp;D257&amp;"|"&amp;B257&amp;"|"&amp;C257,'Master Data'!$A$2:$A$2436,0))&amp;"","")</f>
        <v/>
      </c>
      <c r="G257" s="66" t="n">
        <f aca="false">IFERROR(INDEX('Master Data'!$G$2:$G$2436,MATCH($B$3&amp;"|"&amp;D257&amp;"|"&amp;B257&amp;"|"&amp;C257,'Master Data'!$A$2:$A$2436,0)),"")</f>
        <v>4</v>
      </c>
      <c r="H257" s="67" t="str">
        <f aca="false">IFERROR(INDEX('Master Data'!$K$2:$K$2436,MATCH($B$3&amp;"|"&amp;D257&amp;"|"&amp;B257&amp;"|"&amp;C257,'Master Data'!$A$2:$A$2436,0))&amp;"","")</f>
        <v/>
      </c>
      <c r="I257" s="67" t="s">
        <v>458</v>
      </c>
      <c r="J257" s="67" t="s">
        <v>203</v>
      </c>
      <c r="K257" s="68"/>
      <c r="L257" s="68"/>
      <c r="M257" s="68"/>
      <c r="N257" s="69"/>
      <c r="O257" s="68"/>
    </row>
    <row r="258" customFormat="false" ht="15.75" hidden="false" customHeight="true" outlineLevel="0" collapsed="false">
      <c r="A258" s="66" t="n">
        <v>167</v>
      </c>
      <c r="B258" s="67" t="s">
        <v>93</v>
      </c>
      <c r="C258" s="66" t="s">
        <v>98</v>
      </c>
      <c r="D258" s="66" t="n">
        <v>4</v>
      </c>
      <c r="E258" s="67" t="str">
        <f aca="false">IFERROR(INDEX('Master Data'!$L$2:$L$2436,MATCH($B$3&amp;"|"&amp;D258&amp;"|"&amp;B258&amp;"|"&amp;C258,'Master Data'!$A$2:$A$2436,0)),"")</f>
        <v>Belum terisi</v>
      </c>
      <c r="F258" s="67" t="str">
        <f aca="false">IFERROR(INDEX('Master Data'!$F$2:$F$2436,MATCH($B$3&amp;"|"&amp;D258&amp;"|"&amp;B258&amp;"|"&amp;C258,'Master Data'!$A$2:$A$2436,0))&amp;"","")</f>
        <v>Kids</v>
      </c>
      <c r="G258" s="66" t="n">
        <f aca="false">IFERROR(INDEX('Master Data'!$G$2:$G$2436,MATCH($B$3&amp;"|"&amp;D258&amp;"|"&amp;B258&amp;"|"&amp;C258,'Master Data'!$A$2:$A$2436,0)),"")</f>
        <v>4</v>
      </c>
      <c r="H258" s="67" t="str">
        <f aca="false">IFERROR(INDEX('Master Data'!$K$2:$K$2436,MATCH($B$3&amp;"|"&amp;D258&amp;"|"&amp;B258&amp;"|"&amp;C258,'Master Data'!$A$2:$A$2436,0))&amp;"","")</f>
        <v/>
      </c>
      <c r="I258" s="67" t="s">
        <v>458</v>
      </c>
      <c r="J258" s="67" t="s">
        <v>203</v>
      </c>
      <c r="K258" s="68"/>
      <c r="L258" s="68"/>
      <c r="M258" s="68"/>
      <c r="N258" s="69"/>
      <c r="O258" s="68"/>
    </row>
    <row r="259" customFormat="false" ht="15.75" hidden="false" customHeight="true" outlineLevel="0" collapsed="false">
      <c r="A259" s="66" t="n">
        <v>168</v>
      </c>
      <c r="B259" s="67" t="s">
        <v>93</v>
      </c>
      <c r="C259" s="66" t="s">
        <v>113</v>
      </c>
      <c r="D259" s="66" t="n">
        <v>1</v>
      </c>
      <c r="E259" s="67" t="str">
        <f aca="false">IFERROR(INDEX('Master Data'!$L$2:$L$2436,MATCH($B$3&amp;"|"&amp;D259&amp;"|"&amp;B259&amp;"|"&amp;C259,'Master Data'!$A$2:$A$2436,0)),"")</f>
        <v>Belum terisi</v>
      </c>
      <c r="F259" s="67" t="str">
        <f aca="false">IFERROR(INDEX('Master Data'!$F$2:$F$2436,MATCH($B$3&amp;"|"&amp;D259&amp;"|"&amp;B259&amp;"|"&amp;C259,'Master Data'!$A$2:$A$2436,0))&amp;"","")</f>
        <v>Baby</v>
      </c>
      <c r="G259" s="66" t="n">
        <f aca="false">IFERROR(INDEX('Master Data'!$G$2:$G$2436,MATCH($B$3&amp;"|"&amp;D259&amp;"|"&amp;B259&amp;"|"&amp;C259,'Master Data'!$A$2:$A$2436,0)),"")</f>
        <v>5</v>
      </c>
      <c r="H259" s="67" t="str">
        <f aca="false">IFERROR(INDEX('Master Data'!$K$2:$K$2436,MATCH($B$3&amp;"|"&amp;D259&amp;"|"&amp;B259&amp;"|"&amp;C259,'Master Data'!$A$2:$A$2436,0))&amp;"","")</f>
        <v/>
      </c>
      <c r="I259" s="67" t="s">
        <v>458</v>
      </c>
      <c r="J259" s="67" t="s">
        <v>221</v>
      </c>
      <c r="K259" s="68"/>
      <c r="L259" s="68"/>
      <c r="M259" s="68"/>
      <c r="N259" s="69"/>
      <c r="O259" s="68"/>
    </row>
    <row r="260" customFormat="false" ht="15.75" hidden="false" customHeight="true" outlineLevel="0" collapsed="false">
      <c r="A260" s="66" t="n">
        <v>169</v>
      </c>
      <c r="B260" s="67" t="s">
        <v>93</v>
      </c>
      <c r="C260" s="66" t="s">
        <v>113</v>
      </c>
      <c r="D260" s="66" t="n">
        <v>5</v>
      </c>
      <c r="E260" s="67" t="str">
        <f aca="false">IFERROR(INDEX('Master Data'!$L$2:$L$2436,MATCH($B$3&amp;"|"&amp;D260&amp;"|"&amp;B260&amp;"|"&amp;C260,'Master Data'!$A$2:$A$2436,0)),"")</f>
        <v>Slot kosong</v>
      </c>
      <c r="F260" s="67" t="str">
        <f aca="false">IFERROR(INDEX('Master Data'!$F$2:$F$2436,MATCH($B$3&amp;"|"&amp;D260&amp;"|"&amp;B260&amp;"|"&amp;C260,'Master Data'!$A$2:$A$2436,0))&amp;"","")</f>
        <v/>
      </c>
      <c r="G260" s="66" t="n">
        <f aca="false">IFERROR(INDEX('Master Data'!$G$2:$G$2436,MATCH($B$3&amp;"|"&amp;D260&amp;"|"&amp;B260&amp;"|"&amp;C260,'Master Data'!$A$2:$A$2436,0)),"")</f>
        <v>4</v>
      </c>
      <c r="H260" s="67" t="str">
        <f aca="false">IFERROR(INDEX('Master Data'!$K$2:$K$2436,MATCH($B$3&amp;"|"&amp;D260&amp;"|"&amp;B260&amp;"|"&amp;C260,'Master Data'!$A$2:$A$2436,0))&amp;"","")</f>
        <v/>
      </c>
      <c r="I260" s="67" t="s">
        <v>458</v>
      </c>
      <c r="J260" s="67" t="s">
        <v>203</v>
      </c>
      <c r="K260" s="68"/>
      <c r="L260" s="68"/>
      <c r="M260" s="68"/>
      <c r="N260" s="69"/>
      <c r="O260" s="68"/>
    </row>
    <row r="261" customFormat="false" ht="15.75" hidden="false" customHeight="true" outlineLevel="0" collapsed="false">
      <c r="A261" s="66" t="n">
        <v>170</v>
      </c>
      <c r="B261" s="67" t="s">
        <v>93</v>
      </c>
      <c r="C261" s="66" t="s">
        <v>99</v>
      </c>
      <c r="D261" s="66" t="n">
        <v>4</v>
      </c>
      <c r="E261" s="67" t="str">
        <f aca="false">IFERROR(INDEX('Master Data'!$L$2:$L$2436,MATCH($B$3&amp;"|"&amp;D261&amp;"|"&amp;B261&amp;"|"&amp;C261,'Master Data'!$A$2:$A$2436,0)),"")</f>
        <v>Belum terisi</v>
      </c>
      <c r="F261" s="67" t="str">
        <f aca="false">IFERROR(INDEX('Master Data'!$F$2:$F$2436,MATCH($B$3&amp;"|"&amp;D261&amp;"|"&amp;B261&amp;"|"&amp;C261,'Master Data'!$A$2:$A$2436,0))&amp;"","")</f>
        <v>Kids</v>
      </c>
      <c r="G261" s="66" t="n">
        <f aca="false">IFERROR(INDEX('Master Data'!$G$2:$G$2436,MATCH($B$3&amp;"|"&amp;D261&amp;"|"&amp;B261&amp;"|"&amp;C261,'Master Data'!$A$2:$A$2436,0)),"")</f>
        <v>4</v>
      </c>
      <c r="H261" s="67" t="str">
        <f aca="false">IFERROR(INDEX('Master Data'!$K$2:$K$2436,MATCH($B$3&amp;"|"&amp;D261&amp;"|"&amp;B261&amp;"|"&amp;C261,'Master Data'!$A$2:$A$2436,0))&amp;"","")</f>
        <v/>
      </c>
      <c r="I261" s="67" t="s">
        <v>458</v>
      </c>
      <c r="J261" s="67" t="s">
        <v>203</v>
      </c>
      <c r="K261" s="68"/>
      <c r="L261" s="68"/>
      <c r="M261" s="68"/>
      <c r="N261" s="69"/>
      <c r="O261" s="68"/>
    </row>
    <row r="262" customFormat="false" ht="15.75" hidden="false" customHeight="true" outlineLevel="0" collapsed="false">
      <c r="A262" s="66" t="n">
        <v>171</v>
      </c>
      <c r="B262" s="67" t="s">
        <v>93</v>
      </c>
      <c r="C262" s="66" t="s">
        <v>114</v>
      </c>
      <c r="D262" s="66" t="n">
        <v>1</v>
      </c>
      <c r="E262" s="67" t="str">
        <f aca="false">IFERROR(INDEX('Master Data'!$L$2:$L$2436,MATCH($B$3&amp;"|"&amp;D262&amp;"|"&amp;B262&amp;"|"&amp;C262,'Master Data'!$A$2:$A$2436,0)),"")</f>
        <v>Belum terisi</v>
      </c>
      <c r="F262" s="67" t="str">
        <f aca="false">IFERROR(INDEX('Master Data'!$F$2:$F$2436,MATCH($B$3&amp;"|"&amp;D262&amp;"|"&amp;B262&amp;"|"&amp;C262,'Master Data'!$A$2:$A$2436,0))&amp;"","")</f>
        <v>Baby</v>
      </c>
      <c r="G262" s="66" t="n">
        <f aca="false">IFERROR(INDEX('Master Data'!$G$2:$G$2436,MATCH($B$3&amp;"|"&amp;D262&amp;"|"&amp;B262&amp;"|"&amp;C262,'Master Data'!$A$2:$A$2436,0)),"")</f>
        <v>5</v>
      </c>
      <c r="H262" s="67" t="str">
        <f aca="false">IFERROR(INDEX('Master Data'!$K$2:$K$2436,MATCH($B$3&amp;"|"&amp;D262&amp;"|"&amp;B262&amp;"|"&amp;C262,'Master Data'!$A$2:$A$2436,0))&amp;"","")</f>
        <v/>
      </c>
      <c r="I262" s="67" t="s">
        <v>458</v>
      </c>
      <c r="J262" s="67" t="s">
        <v>221</v>
      </c>
      <c r="K262" s="68"/>
      <c r="L262" s="68"/>
      <c r="M262" s="68"/>
      <c r="N262" s="69"/>
      <c r="O262" s="68"/>
    </row>
    <row r="263" customFormat="false" ht="15.75" hidden="false" customHeight="true" outlineLevel="0" collapsed="false">
      <c r="A263" s="66" t="n">
        <v>172</v>
      </c>
      <c r="B263" s="67" t="s">
        <v>93</v>
      </c>
      <c r="C263" s="66" t="s">
        <v>114</v>
      </c>
      <c r="D263" s="66" t="n">
        <v>5</v>
      </c>
      <c r="E263" s="67" t="str">
        <f aca="false">IFERROR(INDEX('Master Data'!$L$2:$L$2436,MATCH($B$3&amp;"|"&amp;D263&amp;"|"&amp;B263&amp;"|"&amp;C263,'Master Data'!$A$2:$A$2436,0)),"")</f>
        <v>Slot kosong</v>
      </c>
      <c r="F263" s="67" t="str">
        <f aca="false">IFERROR(INDEX('Master Data'!$F$2:$F$2436,MATCH($B$3&amp;"|"&amp;D263&amp;"|"&amp;B263&amp;"|"&amp;C263,'Master Data'!$A$2:$A$2436,0))&amp;"","")</f>
        <v/>
      </c>
      <c r="G263" s="66" t="n">
        <f aca="false">IFERROR(INDEX('Master Data'!$G$2:$G$2436,MATCH($B$3&amp;"|"&amp;D263&amp;"|"&amp;B263&amp;"|"&amp;C263,'Master Data'!$A$2:$A$2436,0)),"")</f>
        <v>4</v>
      </c>
      <c r="H263" s="67" t="str">
        <f aca="false">IFERROR(INDEX('Master Data'!$K$2:$K$2436,MATCH($B$3&amp;"|"&amp;D263&amp;"|"&amp;B263&amp;"|"&amp;C263,'Master Data'!$A$2:$A$2436,0))&amp;"","")</f>
        <v/>
      </c>
      <c r="I263" s="67" t="s">
        <v>458</v>
      </c>
      <c r="J263" s="67" t="s">
        <v>203</v>
      </c>
      <c r="K263" s="68"/>
      <c r="L263" s="68"/>
      <c r="M263" s="68"/>
      <c r="N263" s="69"/>
      <c r="O263" s="68"/>
    </row>
    <row r="264" customFormat="false" ht="15.75" hidden="false" customHeight="true" outlineLevel="0" collapsed="false">
      <c r="A264" s="66" t="n">
        <v>173</v>
      </c>
      <c r="B264" s="67" t="s">
        <v>93</v>
      </c>
      <c r="C264" s="66" t="s">
        <v>100</v>
      </c>
      <c r="D264" s="66" t="n">
        <v>4</v>
      </c>
      <c r="E264" s="67" t="str">
        <f aca="false">IFERROR(INDEX('Master Data'!$L$2:$L$2436,MATCH($B$3&amp;"|"&amp;D264&amp;"|"&amp;B264&amp;"|"&amp;C264,'Master Data'!$A$2:$A$2436,0)),"")</f>
        <v>Belum terisi</v>
      </c>
      <c r="F264" s="67" t="str">
        <f aca="false">IFERROR(INDEX('Master Data'!$F$2:$F$2436,MATCH($B$3&amp;"|"&amp;D264&amp;"|"&amp;B264&amp;"|"&amp;C264,'Master Data'!$A$2:$A$2436,0))&amp;"","")</f>
        <v>Kids</v>
      </c>
      <c r="G264" s="66" t="n">
        <f aca="false">IFERROR(INDEX('Master Data'!$G$2:$G$2436,MATCH($B$3&amp;"|"&amp;D264&amp;"|"&amp;B264&amp;"|"&amp;C264,'Master Data'!$A$2:$A$2436,0)),"")</f>
        <v>4</v>
      </c>
      <c r="H264" s="67" t="str">
        <f aca="false">IFERROR(INDEX('Master Data'!$K$2:$K$2436,MATCH($B$3&amp;"|"&amp;D264&amp;"|"&amp;B264&amp;"|"&amp;C264,'Master Data'!$A$2:$A$2436,0))&amp;"","")</f>
        <v/>
      </c>
      <c r="I264" s="67" t="s">
        <v>458</v>
      </c>
      <c r="J264" s="67" t="s">
        <v>203</v>
      </c>
      <c r="K264" s="68"/>
      <c r="L264" s="68"/>
      <c r="M264" s="68"/>
      <c r="N264" s="69"/>
      <c r="O264" s="68"/>
    </row>
    <row r="265" customFormat="false" ht="15.75" hidden="false" customHeight="true" outlineLevel="0" collapsed="false">
      <c r="A265" s="66" t="n">
        <v>174</v>
      </c>
      <c r="B265" s="67" t="s">
        <v>93</v>
      </c>
      <c r="C265" s="66" t="s">
        <v>115</v>
      </c>
      <c r="D265" s="66" t="n">
        <v>1</v>
      </c>
      <c r="E265" s="67" t="str">
        <f aca="false">IFERROR(INDEX('Master Data'!$L$2:$L$2436,MATCH($B$3&amp;"|"&amp;D265&amp;"|"&amp;B265&amp;"|"&amp;C265,'Master Data'!$A$2:$A$2436,0)),"")</f>
        <v>Belum terisi</v>
      </c>
      <c r="F265" s="67" t="str">
        <f aca="false">IFERROR(INDEX('Master Data'!$F$2:$F$2436,MATCH($B$3&amp;"|"&amp;D265&amp;"|"&amp;B265&amp;"|"&amp;C265,'Master Data'!$A$2:$A$2436,0))&amp;"","")</f>
        <v>Baby</v>
      </c>
      <c r="G265" s="66" t="n">
        <f aca="false">IFERROR(INDEX('Master Data'!$G$2:$G$2436,MATCH($B$3&amp;"|"&amp;D265&amp;"|"&amp;B265&amp;"|"&amp;C265,'Master Data'!$A$2:$A$2436,0)),"")</f>
        <v>5</v>
      </c>
      <c r="H265" s="67" t="str">
        <f aca="false">IFERROR(INDEX('Master Data'!$K$2:$K$2436,MATCH($B$3&amp;"|"&amp;D265&amp;"|"&amp;B265&amp;"|"&amp;C265,'Master Data'!$A$2:$A$2436,0))&amp;"","")</f>
        <v/>
      </c>
      <c r="I265" s="67" t="s">
        <v>458</v>
      </c>
      <c r="J265" s="67" t="s">
        <v>221</v>
      </c>
      <c r="K265" s="68"/>
      <c r="L265" s="68"/>
      <c r="M265" s="68"/>
      <c r="N265" s="69"/>
      <c r="O265" s="68"/>
    </row>
    <row r="266" customFormat="false" ht="15.75" hidden="false" customHeight="true" outlineLevel="0" collapsed="false">
      <c r="A266" s="66" t="n">
        <v>175</v>
      </c>
      <c r="B266" s="67" t="s">
        <v>93</v>
      </c>
      <c r="C266" s="66" t="s">
        <v>115</v>
      </c>
      <c r="D266" s="66" t="n">
        <v>5</v>
      </c>
      <c r="E266" s="67" t="str">
        <f aca="false">IFERROR(INDEX('Master Data'!$L$2:$L$2436,MATCH($B$3&amp;"|"&amp;D266&amp;"|"&amp;B266&amp;"|"&amp;C266,'Master Data'!$A$2:$A$2436,0)),"")</f>
        <v>Slot kosong</v>
      </c>
      <c r="F266" s="67" t="str">
        <f aca="false">IFERROR(INDEX('Master Data'!$F$2:$F$2436,MATCH($B$3&amp;"|"&amp;D266&amp;"|"&amp;B266&amp;"|"&amp;C266,'Master Data'!$A$2:$A$2436,0))&amp;"","")</f>
        <v/>
      </c>
      <c r="G266" s="66" t="n">
        <f aca="false">IFERROR(INDEX('Master Data'!$G$2:$G$2436,MATCH($B$3&amp;"|"&amp;D266&amp;"|"&amp;B266&amp;"|"&amp;C266,'Master Data'!$A$2:$A$2436,0)),"")</f>
        <v>4</v>
      </c>
      <c r="H266" s="67" t="str">
        <f aca="false">IFERROR(INDEX('Master Data'!$K$2:$K$2436,MATCH($B$3&amp;"|"&amp;D266&amp;"|"&amp;B266&amp;"|"&amp;C266,'Master Data'!$A$2:$A$2436,0))&amp;"","")</f>
        <v/>
      </c>
      <c r="I266" s="67" t="s">
        <v>458</v>
      </c>
      <c r="J266" s="67" t="s">
        <v>203</v>
      </c>
      <c r="K266" s="68"/>
      <c r="L266" s="68"/>
      <c r="M266" s="68"/>
      <c r="N266" s="69"/>
      <c r="O266" s="68"/>
    </row>
    <row r="267" customFormat="false" ht="15.75" hidden="false" customHeight="true" outlineLevel="0" collapsed="false">
      <c r="A267" s="66" t="n">
        <v>176</v>
      </c>
      <c r="B267" s="67" t="s">
        <v>93</v>
      </c>
      <c r="C267" s="66" t="s">
        <v>101</v>
      </c>
      <c r="D267" s="66" t="n">
        <v>3</v>
      </c>
      <c r="E267" s="67" t="str">
        <f aca="false">IFERROR(INDEX('Master Data'!$L$2:$L$2436,MATCH($B$3&amp;"|"&amp;D267&amp;"|"&amp;B267&amp;"|"&amp;C267,'Master Data'!$A$2:$A$2436,0)),"")</f>
        <v>Belum terisi</v>
      </c>
      <c r="F267" s="67" t="str">
        <f aca="false">IFERROR(INDEX('Master Data'!$F$2:$F$2436,MATCH($B$3&amp;"|"&amp;D267&amp;"|"&amp;B267&amp;"|"&amp;C267,'Master Data'!$A$2:$A$2436,0))&amp;"","")</f>
        <v>Little</v>
      </c>
      <c r="G267" s="66" t="n">
        <f aca="false">IFERROR(INDEX('Master Data'!$G$2:$G$2436,MATCH($B$3&amp;"|"&amp;D267&amp;"|"&amp;B267&amp;"|"&amp;C267,'Master Data'!$A$2:$A$2436,0)),"")</f>
        <v>4</v>
      </c>
      <c r="H267" s="67" t="str">
        <f aca="false">IFERROR(INDEX('Master Data'!$K$2:$K$2436,MATCH($B$3&amp;"|"&amp;D267&amp;"|"&amp;B267&amp;"|"&amp;C267,'Master Data'!$A$2:$A$2436,0))&amp;"","")</f>
        <v/>
      </c>
      <c r="I267" s="67" t="s">
        <v>463</v>
      </c>
      <c r="J267" s="67" t="s">
        <v>203</v>
      </c>
      <c r="K267" s="68"/>
      <c r="L267" s="68"/>
      <c r="M267" s="68"/>
      <c r="N267" s="69"/>
      <c r="O267" s="68"/>
    </row>
    <row r="268" customFormat="false" ht="15.75" hidden="false" customHeight="true" outlineLevel="0" collapsed="false">
      <c r="A268" s="66" t="n">
        <v>177</v>
      </c>
      <c r="B268" s="67" t="s">
        <v>93</v>
      </c>
      <c r="C268" s="66" t="s">
        <v>101</v>
      </c>
      <c r="D268" s="66" t="n">
        <v>4</v>
      </c>
      <c r="E268" s="67" t="str">
        <f aca="false">IFERROR(INDEX('Master Data'!$L$2:$L$2436,MATCH($B$3&amp;"|"&amp;D268&amp;"|"&amp;B268&amp;"|"&amp;C268,'Master Data'!$A$2:$A$2436,0)),"")</f>
        <v>Belum terisi</v>
      </c>
      <c r="F268" s="67" t="str">
        <f aca="false">IFERROR(INDEX('Master Data'!$F$2:$F$2436,MATCH($B$3&amp;"|"&amp;D268&amp;"|"&amp;B268&amp;"|"&amp;C268,'Master Data'!$A$2:$A$2436,0))&amp;"","")</f>
        <v>Kids</v>
      </c>
      <c r="G268" s="66" t="n">
        <f aca="false">IFERROR(INDEX('Master Data'!$G$2:$G$2436,MATCH($B$3&amp;"|"&amp;D268&amp;"|"&amp;B268&amp;"|"&amp;C268,'Master Data'!$A$2:$A$2436,0)),"")</f>
        <v>4</v>
      </c>
      <c r="H268" s="67" t="str">
        <f aca="false">IFERROR(INDEX('Master Data'!$K$2:$K$2436,MATCH($B$3&amp;"|"&amp;D268&amp;"|"&amp;B268&amp;"|"&amp;C268,'Master Data'!$A$2:$A$2436,0))&amp;"","")</f>
        <v/>
      </c>
      <c r="I268" s="67" t="s">
        <v>463</v>
      </c>
      <c r="J268" s="67" t="s">
        <v>203</v>
      </c>
      <c r="K268" s="68"/>
      <c r="L268" s="68"/>
      <c r="M268" s="68"/>
      <c r="N268" s="69"/>
      <c r="O268" s="68"/>
    </row>
    <row r="269" customFormat="false" ht="15.75" hidden="false" customHeight="true" outlineLevel="0" collapsed="false">
      <c r="A269" s="66" t="n">
        <v>178</v>
      </c>
      <c r="B269" s="67" t="s">
        <v>93</v>
      </c>
      <c r="C269" s="66" t="s">
        <v>116</v>
      </c>
      <c r="D269" s="66" t="n">
        <v>2</v>
      </c>
      <c r="E269" s="67" t="str">
        <f aca="false">IFERROR(INDEX('Master Data'!$L$2:$L$2436,MATCH($B$3&amp;"|"&amp;D269&amp;"|"&amp;B269&amp;"|"&amp;C269,'Master Data'!$A$2:$A$2436,0)),"")</f>
        <v>Belum terisi</v>
      </c>
      <c r="F269" s="67" t="str">
        <f aca="false">IFERROR(INDEX('Master Data'!$F$2:$F$2436,MATCH($B$3&amp;"|"&amp;D269&amp;"|"&amp;B269&amp;"|"&amp;C269,'Master Data'!$A$2:$A$2436,0))&amp;"","")</f>
        <v>Tiny</v>
      </c>
      <c r="G269" s="66" t="n">
        <f aca="false">IFERROR(INDEX('Master Data'!$G$2:$G$2436,MATCH($B$3&amp;"|"&amp;D269&amp;"|"&amp;B269&amp;"|"&amp;C269,'Master Data'!$A$2:$A$2436,0)),"")</f>
        <v>5</v>
      </c>
      <c r="H269" s="67" t="str">
        <f aca="false">IFERROR(INDEX('Master Data'!$K$2:$K$2436,MATCH($B$3&amp;"|"&amp;D269&amp;"|"&amp;B269&amp;"|"&amp;C269,'Master Data'!$A$2:$A$2436,0))&amp;"","")</f>
        <v/>
      </c>
      <c r="I269" s="67" t="s">
        <v>463</v>
      </c>
      <c r="J269" s="67" t="s">
        <v>144</v>
      </c>
      <c r="K269" s="68"/>
      <c r="L269" s="68"/>
      <c r="M269" s="68"/>
      <c r="N269" s="69"/>
      <c r="O269" s="68"/>
    </row>
    <row r="270" customFormat="false" ht="15.75" hidden="false" customHeight="true" outlineLevel="0" collapsed="false">
      <c r="A270" s="66" t="n">
        <v>179</v>
      </c>
      <c r="B270" s="67" t="s">
        <v>93</v>
      </c>
      <c r="C270" s="66" t="s">
        <v>116</v>
      </c>
      <c r="D270" s="66" t="n">
        <v>5</v>
      </c>
      <c r="E270" s="67" t="str">
        <f aca="false">IFERROR(INDEX('Master Data'!$L$2:$L$2436,MATCH($B$3&amp;"|"&amp;D270&amp;"|"&amp;B270&amp;"|"&amp;C270,'Master Data'!$A$2:$A$2436,0)),"")</f>
        <v>Slot kosong</v>
      </c>
      <c r="F270" s="67" t="str">
        <f aca="false">IFERROR(INDEX('Master Data'!$F$2:$F$2436,MATCH($B$3&amp;"|"&amp;D270&amp;"|"&amp;B270&amp;"|"&amp;C270,'Master Data'!$A$2:$A$2436,0))&amp;"","")</f>
        <v/>
      </c>
      <c r="G270" s="66" t="n">
        <f aca="false">IFERROR(INDEX('Master Data'!$G$2:$G$2436,MATCH($B$3&amp;"|"&amp;D270&amp;"|"&amp;B270&amp;"|"&amp;C270,'Master Data'!$A$2:$A$2436,0)),"")</f>
        <v>4</v>
      </c>
      <c r="H270" s="67" t="str">
        <f aca="false">IFERROR(INDEX('Master Data'!$K$2:$K$2436,MATCH($B$3&amp;"|"&amp;D270&amp;"|"&amp;B270&amp;"|"&amp;C270,'Master Data'!$A$2:$A$2436,0))&amp;"","")</f>
        <v/>
      </c>
      <c r="I270" s="67" t="s">
        <v>463</v>
      </c>
      <c r="J270" s="67" t="s">
        <v>203</v>
      </c>
      <c r="K270" s="68"/>
      <c r="L270" s="68"/>
      <c r="M270" s="68"/>
      <c r="N270" s="69"/>
      <c r="O270" s="68"/>
    </row>
    <row r="271" customFormat="false" ht="15.75" hidden="false" customHeight="true" outlineLevel="0" collapsed="false">
      <c r="A271" s="66" t="n">
        <v>180</v>
      </c>
      <c r="B271" s="67" t="s">
        <v>93</v>
      </c>
      <c r="C271" s="66" t="s">
        <v>102</v>
      </c>
      <c r="D271" s="66" t="n">
        <v>3</v>
      </c>
      <c r="E271" s="67" t="str">
        <f aca="false">IFERROR(INDEX('Master Data'!$L$2:$L$2436,MATCH($B$3&amp;"|"&amp;D271&amp;"|"&amp;B271&amp;"|"&amp;C271,'Master Data'!$A$2:$A$2436,0)),"")</f>
        <v>Belum terisi</v>
      </c>
      <c r="F271" s="67" t="str">
        <f aca="false">IFERROR(INDEX('Master Data'!$F$2:$F$2436,MATCH($B$3&amp;"|"&amp;D271&amp;"|"&amp;B271&amp;"|"&amp;C271,'Master Data'!$A$2:$A$2436,0))&amp;"","")</f>
        <v>Little</v>
      </c>
      <c r="G271" s="66" t="n">
        <f aca="false">IFERROR(INDEX('Master Data'!$G$2:$G$2436,MATCH($B$3&amp;"|"&amp;D271&amp;"|"&amp;B271&amp;"|"&amp;C271,'Master Data'!$A$2:$A$2436,0)),"")</f>
        <v>4</v>
      </c>
      <c r="H271" s="67" t="str">
        <f aca="false">IFERROR(INDEX('Master Data'!$K$2:$K$2436,MATCH($B$3&amp;"|"&amp;D271&amp;"|"&amp;B271&amp;"|"&amp;C271,'Master Data'!$A$2:$A$2436,0))&amp;"","")</f>
        <v/>
      </c>
      <c r="I271" s="67" t="s">
        <v>463</v>
      </c>
      <c r="J271" s="67" t="s">
        <v>203</v>
      </c>
      <c r="K271" s="68"/>
      <c r="L271" s="68"/>
      <c r="M271" s="68"/>
      <c r="N271" s="69"/>
      <c r="O271" s="68"/>
    </row>
    <row r="272" customFormat="false" ht="15.75" hidden="false" customHeight="true" outlineLevel="0" collapsed="false">
      <c r="A272" s="66" t="n">
        <v>181</v>
      </c>
      <c r="B272" s="67" t="s">
        <v>93</v>
      </c>
      <c r="C272" s="66" t="s">
        <v>102</v>
      </c>
      <c r="D272" s="66" t="n">
        <v>4</v>
      </c>
      <c r="E272" s="67" t="str">
        <f aca="false">IFERROR(INDEX('Master Data'!$L$2:$L$2436,MATCH($B$3&amp;"|"&amp;D272&amp;"|"&amp;B272&amp;"|"&amp;C272,'Master Data'!$A$2:$A$2436,0)),"")</f>
        <v>Belum terisi</v>
      </c>
      <c r="F272" s="67" t="str">
        <f aca="false">IFERROR(INDEX('Master Data'!$F$2:$F$2436,MATCH($B$3&amp;"|"&amp;D272&amp;"|"&amp;B272&amp;"|"&amp;C272,'Master Data'!$A$2:$A$2436,0))&amp;"","")</f>
        <v>Kids</v>
      </c>
      <c r="G272" s="66" t="n">
        <f aca="false">IFERROR(INDEX('Master Data'!$G$2:$G$2436,MATCH($B$3&amp;"|"&amp;D272&amp;"|"&amp;B272&amp;"|"&amp;C272,'Master Data'!$A$2:$A$2436,0)),"")</f>
        <v>4</v>
      </c>
      <c r="H272" s="67" t="str">
        <f aca="false">IFERROR(INDEX('Master Data'!$K$2:$K$2436,MATCH($B$3&amp;"|"&amp;D272&amp;"|"&amp;B272&amp;"|"&amp;C272,'Master Data'!$A$2:$A$2436,0))&amp;"","")</f>
        <v/>
      </c>
      <c r="I272" s="67" t="s">
        <v>463</v>
      </c>
      <c r="J272" s="67" t="s">
        <v>203</v>
      </c>
      <c r="K272" s="68"/>
      <c r="L272" s="68"/>
      <c r="M272" s="68"/>
      <c r="N272" s="69"/>
      <c r="O272" s="68"/>
    </row>
    <row r="273" customFormat="false" ht="27.75" hidden="false" customHeight="true" outlineLevel="0" collapsed="false">
      <c r="A273" s="66" t="n">
        <v>182</v>
      </c>
      <c r="B273" s="67" t="s">
        <v>93</v>
      </c>
      <c r="C273" s="66" t="s">
        <v>117</v>
      </c>
      <c r="D273" s="66" t="n">
        <v>1</v>
      </c>
      <c r="E273" s="67" t="str">
        <f aca="false">IFERROR(INDEX('Master Data'!$L$2:$L$2436,MATCH($B$3&amp;"|"&amp;D273&amp;"|"&amp;B273&amp;"|"&amp;C273,'Master Data'!$A$2:$A$2436,0)),"")</f>
        <v>Belum terisi</v>
      </c>
      <c r="F273" s="67" t="str">
        <f aca="false">IFERROR(INDEX('Master Data'!$F$2:$F$2436,MATCH($B$3&amp;"|"&amp;D273&amp;"|"&amp;B273&amp;"|"&amp;C273,'Master Data'!$A$2:$A$2436,0))&amp;"","")</f>
        <v>Baby</v>
      </c>
      <c r="G273" s="66" t="n">
        <f aca="false">IFERROR(INDEX('Master Data'!$G$2:$G$2436,MATCH($B$3&amp;"|"&amp;D273&amp;"|"&amp;B273&amp;"|"&amp;C273,'Master Data'!$A$2:$A$2436,0)),"")</f>
        <v>5</v>
      </c>
      <c r="H273" s="67" t="str">
        <f aca="false">IFERROR(INDEX('Master Data'!$K$2:$K$2436,MATCH($B$3&amp;"|"&amp;D273&amp;"|"&amp;B273&amp;"|"&amp;C273,'Master Data'!$A$2:$A$2436,0))&amp;"","")</f>
        <v/>
      </c>
      <c r="I273" s="67" t="s">
        <v>464</v>
      </c>
      <c r="J273" s="67" t="s">
        <v>134</v>
      </c>
      <c r="K273" s="68"/>
      <c r="L273" s="68"/>
      <c r="M273" s="68"/>
      <c r="N273" s="69"/>
      <c r="O273" s="68"/>
    </row>
    <row r="274" customFormat="false" ht="27.75" hidden="false" customHeight="true" outlineLevel="0" collapsed="false">
      <c r="A274" s="66" t="n">
        <v>183</v>
      </c>
      <c r="B274" s="67" t="s">
        <v>93</v>
      </c>
      <c r="C274" s="66" t="s">
        <v>117</v>
      </c>
      <c r="D274" s="66" t="n">
        <v>2</v>
      </c>
      <c r="E274" s="67" t="str">
        <f aca="false">IFERROR(INDEX('Master Data'!$L$2:$L$2436,MATCH($B$3&amp;"|"&amp;D274&amp;"|"&amp;B274&amp;"|"&amp;C274,'Master Data'!$A$2:$A$2436,0)),"")</f>
        <v>Belum terisi</v>
      </c>
      <c r="F274" s="67" t="str">
        <f aca="false">IFERROR(INDEX('Master Data'!$F$2:$F$2436,MATCH($B$3&amp;"|"&amp;D274&amp;"|"&amp;B274&amp;"|"&amp;C274,'Master Data'!$A$2:$A$2436,0))&amp;"","")</f>
        <v>Tiny</v>
      </c>
      <c r="G274" s="66" t="n">
        <f aca="false">IFERROR(INDEX('Master Data'!$G$2:$G$2436,MATCH($B$3&amp;"|"&amp;D274&amp;"|"&amp;B274&amp;"|"&amp;C274,'Master Data'!$A$2:$A$2436,0)),"")</f>
        <v>5</v>
      </c>
      <c r="H274" s="67" t="str">
        <f aca="false">IFERROR(INDEX('Master Data'!$K$2:$K$2436,MATCH($B$3&amp;"|"&amp;D274&amp;"|"&amp;B274&amp;"|"&amp;C274,'Master Data'!$A$2:$A$2436,0))&amp;"","")</f>
        <v/>
      </c>
      <c r="I274" s="67" t="s">
        <v>464</v>
      </c>
      <c r="J274" s="67" t="s">
        <v>134</v>
      </c>
      <c r="K274" s="68"/>
      <c r="L274" s="68"/>
      <c r="M274" s="68"/>
      <c r="N274" s="69"/>
      <c r="O274" s="68"/>
    </row>
    <row r="275" customFormat="false" ht="27.75" hidden="false" customHeight="true" outlineLevel="0" collapsed="false">
      <c r="A275" s="66" t="n">
        <v>184</v>
      </c>
      <c r="B275" s="67" t="s">
        <v>93</v>
      </c>
      <c r="C275" s="66" t="s">
        <v>117</v>
      </c>
      <c r="D275" s="66" t="n">
        <v>5</v>
      </c>
      <c r="E275" s="67" t="str">
        <f aca="false">IFERROR(INDEX('Master Data'!$L$2:$L$2436,MATCH($B$3&amp;"|"&amp;D275&amp;"|"&amp;B275&amp;"|"&amp;C275,'Master Data'!$A$2:$A$2436,0)),"")</f>
        <v>Slot kosong</v>
      </c>
      <c r="F275" s="67" t="str">
        <f aca="false">IFERROR(INDEX('Master Data'!$F$2:$F$2436,MATCH($B$3&amp;"|"&amp;D275&amp;"|"&amp;B275&amp;"|"&amp;C275,'Master Data'!$A$2:$A$2436,0))&amp;"","")</f>
        <v/>
      </c>
      <c r="G275" s="66" t="n">
        <f aca="false">IFERROR(INDEX('Master Data'!$G$2:$G$2436,MATCH($B$3&amp;"|"&amp;D275&amp;"|"&amp;B275&amp;"|"&amp;C275,'Master Data'!$A$2:$A$2436,0)),"")</f>
        <v>4</v>
      </c>
      <c r="H275" s="67" t="str">
        <f aca="false">IFERROR(INDEX('Master Data'!$K$2:$K$2436,MATCH($B$3&amp;"|"&amp;D275&amp;"|"&amp;B275&amp;"|"&amp;C275,'Master Data'!$A$2:$A$2436,0))&amp;"","")</f>
        <v/>
      </c>
      <c r="I275" s="67" t="s">
        <v>464</v>
      </c>
      <c r="J275" s="67" t="s">
        <v>134</v>
      </c>
      <c r="K275" s="68"/>
      <c r="L275" s="68"/>
      <c r="M275" s="68"/>
      <c r="N275" s="69"/>
      <c r="O275" s="68"/>
    </row>
    <row r="276" customFormat="false" ht="27.75" hidden="false" customHeight="true" outlineLevel="0" collapsed="false">
      <c r="A276" s="66" t="n">
        <v>185</v>
      </c>
      <c r="B276" s="67" t="s">
        <v>93</v>
      </c>
      <c r="C276" s="66" t="s">
        <v>103</v>
      </c>
      <c r="D276" s="66" t="n">
        <v>3</v>
      </c>
      <c r="E276" s="67" t="str">
        <f aca="false">IFERROR(INDEX('Master Data'!$L$2:$L$2436,MATCH($B$3&amp;"|"&amp;D276&amp;"|"&amp;B276&amp;"|"&amp;C276,'Master Data'!$A$2:$A$2436,0)),"")</f>
        <v>Belum terisi</v>
      </c>
      <c r="F276" s="67" t="str">
        <f aca="false">IFERROR(INDEX('Master Data'!$F$2:$F$2436,MATCH($B$3&amp;"|"&amp;D276&amp;"|"&amp;B276&amp;"|"&amp;C276,'Master Data'!$A$2:$A$2436,0))&amp;"","")</f>
        <v>Little</v>
      </c>
      <c r="G276" s="66" t="n">
        <f aca="false">IFERROR(INDEX('Master Data'!$G$2:$G$2436,MATCH($B$3&amp;"|"&amp;D276&amp;"|"&amp;B276&amp;"|"&amp;C276,'Master Data'!$A$2:$A$2436,0)),"")</f>
        <v>4</v>
      </c>
      <c r="H276" s="67" t="str">
        <f aca="false">IFERROR(INDEX('Master Data'!$K$2:$K$2436,MATCH($B$3&amp;"|"&amp;D276&amp;"|"&amp;B276&amp;"|"&amp;C276,'Master Data'!$A$2:$A$2436,0))&amp;"","")</f>
        <v/>
      </c>
      <c r="I276" s="67" t="s">
        <v>464</v>
      </c>
      <c r="J276" s="67" t="s">
        <v>134</v>
      </c>
      <c r="K276" s="68"/>
      <c r="L276" s="68"/>
      <c r="M276" s="68"/>
      <c r="N276" s="69"/>
      <c r="O276" s="68"/>
    </row>
    <row r="277" customFormat="false" ht="27.75" hidden="false" customHeight="true" outlineLevel="0" collapsed="false">
      <c r="A277" s="66" t="n">
        <v>186</v>
      </c>
      <c r="B277" s="67" t="s">
        <v>93</v>
      </c>
      <c r="C277" s="66" t="s">
        <v>118</v>
      </c>
      <c r="D277" s="66" t="n">
        <v>1</v>
      </c>
      <c r="E277" s="67" t="str">
        <f aca="false">IFERROR(INDEX('Master Data'!$L$2:$L$2436,MATCH($B$3&amp;"|"&amp;D277&amp;"|"&amp;B277&amp;"|"&amp;C277,'Master Data'!$A$2:$A$2436,0)),"")</f>
        <v>Belum terisi</v>
      </c>
      <c r="F277" s="67" t="str">
        <f aca="false">IFERROR(INDEX('Master Data'!$F$2:$F$2436,MATCH($B$3&amp;"|"&amp;D277&amp;"|"&amp;B277&amp;"|"&amp;C277,'Master Data'!$A$2:$A$2436,0))&amp;"","")</f>
        <v>Baby</v>
      </c>
      <c r="G277" s="66" t="n">
        <f aca="false">IFERROR(INDEX('Master Data'!$G$2:$G$2436,MATCH($B$3&amp;"|"&amp;D277&amp;"|"&amp;B277&amp;"|"&amp;C277,'Master Data'!$A$2:$A$2436,0)),"")</f>
        <v>5</v>
      </c>
      <c r="H277" s="67" t="str">
        <f aca="false">IFERROR(INDEX('Master Data'!$K$2:$K$2436,MATCH($B$3&amp;"|"&amp;D277&amp;"|"&amp;B277&amp;"|"&amp;C277,'Master Data'!$A$2:$A$2436,0))&amp;"","")</f>
        <v/>
      </c>
      <c r="I277" s="67" t="s">
        <v>464</v>
      </c>
      <c r="J277" s="67" t="s">
        <v>134</v>
      </c>
      <c r="K277" s="68"/>
      <c r="L277" s="68"/>
      <c r="M277" s="68"/>
      <c r="N277" s="69"/>
      <c r="O277" s="68"/>
    </row>
    <row r="278" customFormat="false" ht="27.75" hidden="false" customHeight="true" outlineLevel="0" collapsed="false">
      <c r="A278" s="66" t="n">
        <v>187</v>
      </c>
      <c r="B278" s="67" t="s">
        <v>93</v>
      </c>
      <c r="C278" s="66" t="s">
        <v>118</v>
      </c>
      <c r="D278" s="66" t="n">
        <v>2</v>
      </c>
      <c r="E278" s="67" t="str">
        <f aca="false">IFERROR(INDEX('Master Data'!$L$2:$L$2436,MATCH($B$3&amp;"|"&amp;D278&amp;"|"&amp;B278&amp;"|"&amp;C278,'Master Data'!$A$2:$A$2436,0)),"")</f>
        <v>Belum terisi</v>
      </c>
      <c r="F278" s="67" t="str">
        <f aca="false">IFERROR(INDEX('Master Data'!$F$2:$F$2436,MATCH($B$3&amp;"|"&amp;D278&amp;"|"&amp;B278&amp;"|"&amp;C278,'Master Data'!$A$2:$A$2436,0))&amp;"","")</f>
        <v>Tiny</v>
      </c>
      <c r="G278" s="66" t="n">
        <f aca="false">IFERROR(INDEX('Master Data'!$G$2:$G$2436,MATCH($B$3&amp;"|"&amp;D278&amp;"|"&amp;B278&amp;"|"&amp;C278,'Master Data'!$A$2:$A$2436,0)),"")</f>
        <v>5</v>
      </c>
      <c r="H278" s="67" t="str">
        <f aca="false">IFERROR(INDEX('Master Data'!$K$2:$K$2436,MATCH($B$3&amp;"|"&amp;D278&amp;"|"&amp;B278&amp;"|"&amp;C278,'Master Data'!$A$2:$A$2436,0))&amp;"","")</f>
        <v/>
      </c>
      <c r="I278" s="67" t="s">
        <v>464</v>
      </c>
      <c r="J278" s="67" t="s">
        <v>134</v>
      </c>
      <c r="K278" s="68"/>
      <c r="L278" s="68"/>
      <c r="M278" s="68"/>
      <c r="N278" s="69"/>
      <c r="O278" s="68"/>
    </row>
    <row r="279" customFormat="false" ht="27.75" hidden="false" customHeight="true" outlineLevel="0" collapsed="false">
      <c r="A279" s="66" t="n">
        <v>188</v>
      </c>
      <c r="B279" s="67" t="s">
        <v>93</v>
      </c>
      <c r="C279" s="66" t="s">
        <v>118</v>
      </c>
      <c r="D279" s="66" t="n">
        <v>5</v>
      </c>
      <c r="E279" s="67" t="str">
        <f aca="false">IFERROR(INDEX('Master Data'!$L$2:$L$2436,MATCH($B$3&amp;"|"&amp;D279&amp;"|"&amp;B279&amp;"|"&amp;C279,'Master Data'!$A$2:$A$2436,0)),"")</f>
        <v>Slot kosong</v>
      </c>
      <c r="F279" s="67" t="str">
        <f aca="false">IFERROR(INDEX('Master Data'!$F$2:$F$2436,MATCH($B$3&amp;"|"&amp;D279&amp;"|"&amp;B279&amp;"|"&amp;C279,'Master Data'!$A$2:$A$2436,0))&amp;"","")</f>
        <v/>
      </c>
      <c r="G279" s="66" t="n">
        <f aca="false">IFERROR(INDEX('Master Data'!$G$2:$G$2436,MATCH($B$3&amp;"|"&amp;D279&amp;"|"&amp;B279&amp;"|"&amp;C279,'Master Data'!$A$2:$A$2436,0)),"")</f>
        <v>4</v>
      </c>
      <c r="H279" s="67" t="str">
        <f aca="false">IFERROR(INDEX('Master Data'!$K$2:$K$2436,MATCH($B$3&amp;"|"&amp;D279&amp;"|"&amp;B279&amp;"|"&amp;C279,'Master Data'!$A$2:$A$2436,0))&amp;"","")</f>
        <v/>
      </c>
      <c r="I279" s="67" t="s">
        <v>464</v>
      </c>
      <c r="J279" s="67" t="s">
        <v>134</v>
      </c>
      <c r="K279" s="68"/>
      <c r="L279" s="68"/>
      <c r="M279" s="68"/>
      <c r="N279" s="69"/>
      <c r="O279" s="68"/>
    </row>
    <row r="280" customFormat="false" ht="27.75" hidden="false" customHeight="true" outlineLevel="0" collapsed="false">
      <c r="A280" s="66" t="n">
        <v>189</v>
      </c>
      <c r="B280" s="67" t="s">
        <v>93</v>
      </c>
      <c r="C280" s="66" t="s">
        <v>104</v>
      </c>
      <c r="D280" s="66" t="n">
        <v>3</v>
      </c>
      <c r="E280" s="67" t="str">
        <f aca="false">IFERROR(INDEX('Master Data'!$L$2:$L$2436,MATCH($B$3&amp;"|"&amp;D280&amp;"|"&amp;B280&amp;"|"&amp;C280,'Master Data'!$A$2:$A$2436,0)),"")</f>
        <v>Belum terisi</v>
      </c>
      <c r="F280" s="67" t="str">
        <f aca="false">IFERROR(INDEX('Master Data'!$F$2:$F$2436,MATCH($B$3&amp;"|"&amp;D280&amp;"|"&amp;B280&amp;"|"&amp;C280,'Master Data'!$A$2:$A$2436,0))&amp;"","")</f>
        <v>Little</v>
      </c>
      <c r="G280" s="66" t="n">
        <f aca="false">IFERROR(INDEX('Master Data'!$G$2:$G$2436,MATCH($B$3&amp;"|"&amp;D280&amp;"|"&amp;B280&amp;"|"&amp;C280,'Master Data'!$A$2:$A$2436,0)),"")</f>
        <v>4</v>
      </c>
      <c r="H280" s="67" t="str">
        <f aca="false">IFERROR(INDEX('Master Data'!$K$2:$K$2436,MATCH($B$3&amp;"|"&amp;D280&amp;"|"&amp;B280&amp;"|"&amp;C280,'Master Data'!$A$2:$A$2436,0))&amp;"","")</f>
        <v/>
      </c>
      <c r="I280" s="67" t="s">
        <v>462</v>
      </c>
      <c r="J280" s="67" t="s">
        <v>134</v>
      </c>
      <c r="K280" s="68"/>
      <c r="L280" s="68"/>
      <c r="M280" s="68"/>
      <c r="N280" s="69"/>
      <c r="O280" s="68"/>
    </row>
    <row r="281" customFormat="false" ht="27.75" hidden="false" customHeight="true" outlineLevel="0" collapsed="false">
      <c r="A281" s="66" t="n">
        <v>190</v>
      </c>
      <c r="B281" s="67" t="s">
        <v>93</v>
      </c>
      <c r="C281" s="66" t="s">
        <v>104</v>
      </c>
      <c r="D281" s="66" t="n">
        <v>4</v>
      </c>
      <c r="E281" s="67" t="str">
        <f aca="false">IFERROR(INDEX('Master Data'!$L$2:$L$2436,MATCH($B$3&amp;"|"&amp;D281&amp;"|"&amp;B281&amp;"|"&amp;C281,'Master Data'!$A$2:$A$2436,0)),"")</f>
        <v>Belum terisi</v>
      </c>
      <c r="F281" s="67" t="str">
        <f aca="false">IFERROR(INDEX('Master Data'!$F$2:$F$2436,MATCH($B$3&amp;"|"&amp;D281&amp;"|"&amp;B281&amp;"|"&amp;C281,'Master Data'!$A$2:$A$2436,0))&amp;"","")</f>
        <v>Kids</v>
      </c>
      <c r="G281" s="66" t="n">
        <f aca="false">IFERROR(INDEX('Master Data'!$G$2:$G$2436,MATCH($B$3&amp;"|"&amp;D281&amp;"|"&amp;B281&amp;"|"&amp;C281,'Master Data'!$A$2:$A$2436,0)),"")</f>
        <v>4</v>
      </c>
      <c r="H281" s="67" t="str">
        <f aca="false">IFERROR(INDEX('Master Data'!$K$2:$K$2436,MATCH($B$3&amp;"|"&amp;D281&amp;"|"&amp;B281&amp;"|"&amp;C281,'Master Data'!$A$2:$A$2436,0))&amp;"","")</f>
        <v/>
      </c>
      <c r="I281" s="67" t="s">
        <v>462</v>
      </c>
      <c r="J281" s="67" t="s">
        <v>134</v>
      </c>
      <c r="K281" s="68"/>
      <c r="L281" s="68"/>
      <c r="M281" s="68"/>
      <c r="N281" s="69"/>
      <c r="O281" s="68"/>
    </row>
    <row r="282" customFormat="false" ht="15.75" hidden="false" customHeight="true" outlineLevel="0" collapsed="false">
      <c r="A282" s="66" t="n">
        <v>191</v>
      </c>
      <c r="B282" s="67" t="s">
        <v>93</v>
      </c>
      <c r="C282" s="66" t="s">
        <v>119</v>
      </c>
      <c r="D282" s="66" t="n">
        <v>1</v>
      </c>
      <c r="E282" s="67" t="str">
        <f aca="false">IFERROR(INDEX('Master Data'!$L$2:$L$2436,MATCH($B$3&amp;"|"&amp;D282&amp;"|"&amp;B282&amp;"|"&amp;C282,'Master Data'!$A$2:$A$2436,0)),"")</f>
        <v>Belum terisi</v>
      </c>
      <c r="F282" s="67" t="str">
        <f aca="false">IFERROR(INDEX('Master Data'!$F$2:$F$2436,MATCH($B$3&amp;"|"&amp;D282&amp;"|"&amp;B282&amp;"|"&amp;C282,'Master Data'!$A$2:$A$2436,0))&amp;"","")</f>
        <v>Baby</v>
      </c>
      <c r="G282" s="66" t="n">
        <f aca="false">IFERROR(INDEX('Master Data'!$G$2:$G$2436,MATCH($B$3&amp;"|"&amp;D282&amp;"|"&amp;B282&amp;"|"&amp;C282,'Master Data'!$A$2:$A$2436,0)),"")</f>
        <v>5</v>
      </c>
      <c r="H282" s="67" t="str">
        <f aca="false">IFERROR(INDEX('Master Data'!$K$2:$K$2436,MATCH($B$3&amp;"|"&amp;D282&amp;"|"&amp;B282&amp;"|"&amp;C282,'Master Data'!$A$2:$A$2436,0))&amp;"","")</f>
        <v/>
      </c>
      <c r="I282" s="67" t="s">
        <v>460</v>
      </c>
      <c r="J282" s="67" t="s">
        <v>461</v>
      </c>
      <c r="K282" s="68"/>
      <c r="L282" s="68"/>
      <c r="M282" s="68"/>
      <c r="N282" s="69"/>
      <c r="O282" s="68"/>
    </row>
    <row r="283" customFormat="false" ht="15.75" hidden="false" customHeight="true" outlineLevel="0" collapsed="false">
      <c r="A283" s="66" t="n">
        <v>192</v>
      </c>
      <c r="B283" s="67" t="s">
        <v>93</v>
      </c>
      <c r="C283" s="66" t="s">
        <v>119</v>
      </c>
      <c r="D283" s="66" t="n">
        <v>2</v>
      </c>
      <c r="E283" s="67" t="str">
        <f aca="false">IFERROR(INDEX('Master Data'!$L$2:$L$2436,MATCH($B$3&amp;"|"&amp;D283&amp;"|"&amp;B283&amp;"|"&amp;C283,'Master Data'!$A$2:$A$2436,0)),"")</f>
        <v>Belum terisi</v>
      </c>
      <c r="F283" s="67" t="str">
        <f aca="false">IFERROR(INDEX('Master Data'!$F$2:$F$2436,MATCH($B$3&amp;"|"&amp;D283&amp;"|"&amp;B283&amp;"|"&amp;C283,'Master Data'!$A$2:$A$2436,0))&amp;"","")</f>
        <v>Tiny</v>
      </c>
      <c r="G283" s="66" t="n">
        <f aca="false">IFERROR(INDEX('Master Data'!$G$2:$G$2436,MATCH($B$3&amp;"|"&amp;D283&amp;"|"&amp;B283&amp;"|"&amp;C283,'Master Data'!$A$2:$A$2436,0)),"")</f>
        <v>5</v>
      </c>
      <c r="H283" s="67" t="str">
        <f aca="false">IFERROR(INDEX('Master Data'!$K$2:$K$2436,MATCH($B$3&amp;"|"&amp;D283&amp;"|"&amp;B283&amp;"|"&amp;C283,'Master Data'!$A$2:$A$2436,0))&amp;"","")</f>
        <v/>
      </c>
      <c r="I283" s="67" t="s">
        <v>460</v>
      </c>
      <c r="J283" s="67" t="s">
        <v>461</v>
      </c>
      <c r="K283" s="68"/>
      <c r="L283" s="68"/>
      <c r="M283" s="68"/>
      <c r="N283" s="69"/>
      <c r="O283" s="68"/>
    </row>
    <row r="284" customFormat="false" ht="15.75" hidden="false" customHeight="true" outlineLevel="0" collapsed="false">
      <c r="A284" s="66" t="n">
        <v>193</v>
      </c>
      <c r="B284" s="67" t="s">
        <v>93</v>
      </c>
      <c r="C284" s="66" t="s">
        <v>119</v>
      </c>
      <c r="D284" s="66" t="n">
        <v>5</v>
      </c>
      <c r="E284" s="67" t="str">
        <f aca="false">IFERROR(INDEX('Master Data'!$L$2:$L$2436,MATCH($B$3&amp;"|"&amp;D284&amp;"|"&amp;B284&amp;"|"&amp;C284,'Master Data'!$A$2:$A$2436,0)),"")</f>
        <v>Slot kosong</v>
      </c>
      <c r="F284" s="67" t="str">
        <f aca="false">IFERROR(INDEX('Master Data'!$F$2:$F$2436,MATCH($B$3&amp;"|"&amp;D284&amp;"|"&amp;B284&amp;"|"&amp;C284,'Master Data'!$A$2:$A$2436,0))&amp;"","")</f>
        <v/>
      </c>
      <c r="G284" s="66" t="n">
        <f aca="false">IFERROR(INDEX('Master Data'!$G$2:$G$2436,MATCH($B$3&amp;"|"&amp;D284&amp;"|"&amp;B284&amp;"|"&amp;C284,'Master Data'!$A$2:$A$2436,0)),"")</f>
        <v>4</v>
      </c>
      <c r="H284" s="67" t="str">
        <f aca="false">IFERROR(INDEX('Master Data'!$K$2:$K$2436,MATCH($B$3&amp;"|"&amp;D284&amp;"|"&amp;B284&amp;"|"&amp;C284,'Master Data'!$A$2:$A$2436,0))&amp;"","")</f>
        <v/>
      </c>
      <c r="I284" s="67" t="s">
        <v>460</v>
      </c>
      <c r="J284" s="67" t="s">
        <v>461</v>
      </c>
      <c r="K284" s="68"/>
      <c r="L284" s="68"/>
      <c r="M284" s="68"/>
      <c r="N284" s="69"/>
      <c r="O284" s="68"/>
    </row>
    <row r="285" customFormat="false" ht="15.75" hidden="false" customHeight="true" outlineLevel="0" collapsed="false">
      <c r="A285" s="66" t="n">
        <v>194</v>
      </c>
      <c r="B285" s="67" t="s">
        <v>93</v>
      </c>
      <c r="C285" s="66" t="s">
        <v>120</v>
      </c>
      <c r="D285" s="66" t="n">
        <v>1</v>
      </c>
      <c r="E285" s="67" t="str">
        <f aca="false">IFERROR(INDEX('Master Data'!$L$2:$L$2436,MATCH($B$3&amp;"|"&amp;D285&amp;"|"&amp;B285&amp;"|"&amp;C285,'Master Data'!$A$2:$A$2436,0)),"")</f>
        <v>Belum terisi</v>
      </c>
      <c r="F285" s="67" t="str">
        <f aca="false">IFERROR(INDEX('Master Data'!$F$2:$F$2436,MATCH($B$3&amp;"|"&amp;D285&amp;"|"&amp;B285&amp;"|"&amp;C285,'Master Data'!$A$2:$A$2436,0))&amp;"","")</f>
        <v>Baby</v>
      </c>
      <c r="G285" s="66" t="n">
        <f aca="false">IFERROR(INDEX('Master Data'!$G$2:$G$2436,MATCH($B$3&amp;"|"&amp;D285&amp;"|"&amp;B285&amp;"|"&amp;C285,'Master Data'!$A$2:$A$2436,0)),"")</f>
        <v>5</v>
      </c>
      <c r="H285" s="67" t="str">
        <f aca="false">IFERROR(INDEX('Master Data'!$K$2:$K$2436,MATCH($B$3&amp;"|"&amp;D285&amp;"|"&amp;B285&amp;"|"&amp;C285,'Master Data'!$A$2:$A$2436,0))&amp;"","")</f>
        <v/>
      </c>
      <c r="I285" s="67" t="s">
        <v>460</v>
      </c>
      <c r="J285" s="67" t="s">
        <v>461</v>
      </c>
      <c r="K285" s="68"/>
      <c r="L285" s="68"/>
      <c r="M285" s="68"/>
      <c r="N285" s="69"/>
      <c r="O285" s="68"/>
    </row>
    <row r="286" customFormat="false" ht="15.75" hidden="false" customHeight="true" outlineLevel="0" collapsed="false">
      <c r="A286" s="66" t="n">
        <v>195</v>
      </c>
      <c r="B286" s="67" t="s">
        <v>93</v>
      </c>
      <c r="C286" s="66" t="s">
        <v>120</v>
      </c>
      <c r="D286" s="66" t="n">
        <v>2</v>
      </c>
      <c r="E286" s="67" t="str">
        <f aca="false">IFERROR(INDEX('Master Data'!$L$2:$L$2436,MATCH($B$3&amp;"|"&amp;D286&amp;"|"&amp;B286&amp;"|"&amp;C286,'Master Data'!$A$2:$A$2436,0)),"")</f>
        <v>Belum terisi</v>
      </c>
      <c r="F286" s="67" t="str">
        <f aca="false">IFERROR(INDEX('Master Data'!$F$2:$F$2436,MATCH($B$3&amp;"|"&amp;D286&amp;"|"&amp;B286&amp;"|"&amp;C286,'Master Data'!$A$2:$A$2436,0))&amp;"","")</f>
        <v>Tiny</v>
      </c>
      <c r="G286" s="66" t="n">
        <f aca="false">IFERROR(INDEX('Master Data'!$G$2:$G$2436,MATCH($B$3&amp;"|"&amp;D286&amp;"|"&amp;B286&amp;"|"&amp;C286,'Master Data'!$A$2:$A$2436,0)),"")</f>
        <v>5</v>
      </c>
      <c r="H286" s="67" t="str">
        <f aca="false">IFERROR(INDEX('Master Data'!$K$2:$K$2436,MATCH($B$3&amp;"|"&amp;D286&amp;"|"&amp;B286&amp;"|"&amp;C286,'Master Data'!$A$2:$A$2436,0))&amp;"","")</f>
        <v/>
      </c>
      <c r="I286" s="67" t="s">
        <v>460</v>
      </c>
      <c r="J286" s="67" t="s">
        <v>461</v>
      </c>
      <c r="K286" s="68"/>
      <c r="L286" s="68"/>
      <c r="M286" s="68"/>
      <c r="N286" s="69"/>
      <c r="O286" s="68"/>
    </row>
    <row r="287" customFormat="false" ht="15.75" hidden="false" customHeight="true" outlineLevel="0" collapsed="false">
      <c r="A287" s="66" t="n">
        <v>196</v>
      </c>
      <c r="B287" s="67" t="s">
        <v>93</v>
      </c>
      <c r="C287" s="66" t="s">
        <v>120</v>
      </c>
      <c r="D287" s="66" t="n">
        <v>5</v>
      </c>
      <c r="E287" s="67" t="str">
        <f aca="false">IFERROR(INDEX('Master Data'!$L$2:$L$2436,MATCH($B$3&amp;"|"&amp;D287&amp;"|"&amp;B287&amp;"|"&amp;C287,'Master Data'!$A$2:$A$2436,0)),"")</f>
        <v>Slot kosong</v>
      </c>
      <c r="F287" s="67" t="str">
        <f aca="false">IFERROR(INDEX('Master Data'!$F$2:$F$2436,MATCH($B$3&amp;"|"&amp;D287&amp;"|"&amp;B287&amp;"|"&amp;C287,'Master Data'!$A$2:$A$2436,0))&amp;"","")</f>
        <v/>
      </c>
      <c r="G287" s="66" t="n">
        <f aca="false">IFERROR(INDEX('Master Data'!$G$2:$G$2436,MATCH($B$3&amp;"|"&amp;D287&amp;"|"&amp;B287&amp;"|"&amp;C287,'Master Data'!$A$2:$A$2436,0)),"")</f>
        <v>4</v>
      </c>
      <c r="H287" s="67" t="str">
        <f aca="false">IFERROR(INDEX('Master Data'!$K$2:$K$2436,MATCH($B$3&amp;"|"&amp;D287&amp;"|"&amp;B287&amp;"|"&amp;C287,'Master Data'!$A$2:$A$2436,0))&amp;"","")</f>
        <v/>
      </c>
      <c r="I287" s="67" t="s">
        <v>460</v>
      </c>
      <c r="J287" s="67" t="s">
        <v>461</v>
      </c>
      <c r="K287" s="68"/>
      <c r="L287" s="68"/>
      <c r="M287" s="68"/>
      <c r="N287" s="69"/>
      <c r="O287" s="68"/>
    </row>
    <row r="288" customFormat="false" ht="27.75" hidden="false" customHeight="true" outlineLevel="0" collapsed="false">
      <c r="A288" s="66" t="n">
        <v>197</v>
      </c>
      <c r="B288" s="67" t="s">
        <v>93</v>
      </c>
      <c r="C288" s="66" t="s">
        <v>106</v>
      </c>
      <c r="D288" s="66" t="n">
        <v>3</v>
      </c>
      <c r="E288" s="67" t="str">
        <f aca="false">IFERROR(INDEX('Master Data'!$L$2:$L$2436,MATCH($B$3&amp;"|"&amp;D288&amp;"|"&amp;B288&amp;"|"&amp;C288,'Master Data'!$A$2:$A$2436,0)),"")</f>
        <v>Belum terisi</v>
      </c>
      <c r="F288" s="67" t="str">
        <f aca="false">IFERROR(INDEX('Master Data'!$F$2:$F$2436,MATCH($B$3&amp;"|"&amp;D288&amp;"|"&amp;B288&amp;"|"&amp;C288,'Master Data'!$A$2:$A$2436,0))&amp;"","")</f>
        <v>Little</v>
      </c>
      <c r="G288" s="66" t="n">
        <f aca="false">IFERROR(INDEX('Master Data'!$G$2:$G$2436,MATCH($B$3&amp;"|"&amp;D288&amp;"|"&amp;B288&amp;"|"&amp;C288,'Master Data'!$A$2:$A$2436,0)),"")</f>
        <v>4</v>
      </c>
      <c r="H288" s="67" t="str">
        <f aca="false">IFERROR(INDEX('Master Data'!$K$2:$K$2436,MATCH($B$3&amp;"|"&amp;D288&amp;"|"&amp;B288&amp;"|"&amp;C288,'Master Data'!$A$2:$A$2436,0))&amp;"","")</f>
        <v/>
      </c>
      <c r="I288" s="67" t="s">
        <v>464</v>
      </c>
      <c r="J288" s="67" t="s">
        <v>134</v>
      </c>
      <c r="K288" s="68"/>
      <c r="L288" s="68"/>
      <c r="M288" s="68"/>
      <c r="N288" s="69"/>
      <c r="O288" s="68"/>
    </row>
    <row r="289" customFormat="false" ht="27.75" hidden="false" customHeight="true" outlineLevel="0" collapsed="false">
      <c r="A289" s="66" t="n">
        <v>198</v>
      </c>
      <c r="B289" s="67" t="s">
        <v>93</v>
      </c>
      <c r="C289" s="66" t="s">
        <v>121</v>
      </c>
      <c r="D289" s="66" t="n">
        <v>1</v>
      </c>
      <c r="E289" s="67" t="str">
        <f aca="false">IFERROR(INDEX('Master Data'!$L$2:$L$2436,MATCH($B$3&amp;"|"&amp;D289&amp;"|"&amp;B289&amp;"|"&amp;C289,'Master Data'!$A$2:$A$2436,0)),"")</f>
        <v>Belum terisi</v>
      </c>
      <c r="F289" s="67" t="str">
        <f aca="false">IFERROR(INDEX('Master Data'!$F$2:$F$2436,MATCH($B$3&amp;"|"&amp;D289&amp;"|"&amp;B289&amp;"|"&amp;C289,'Master Data'!$A$2:$A$2436,0))&amp;"","")</f>
        <v>Baby</v>
      </c>
      <c r="G289" s="66" t="n">
        <f aca="false">IFERROR(INDEX('Master Data'!$G$2:$G$2436,MATCH($B$3&amp;"|"&amp;D289&amp;"|"&amp;B289&amp;"|"&amp;C289,'Master Data'!$A$2:$A$2436,0)),"")</f>
        <v>5</v>
      </c>
      <c r="H289" s="67" t="str">
        <f aca="false">IFERROR(INDEX('Master Data'!$K$2:$K$2436,MATCH($B$3&amp;"|"&amp;D289&amp;"|"&amp;B289&amp;"|"&amp;C289,'Master Data'!$A$2:$A$2436,0))&amp;"","")</f>
        <v/>
      </c>
      <c r="I289" s="67" t="s">
        <v>464</v>
      </c>
      <c r="J289" s="67" t="s">
        <v>134</v>
      </c>
      <c r="K289" s="68"/>
      <c r="L289" s="68"/>
      <c r="M289" s="68"/>
      <c r="N289" s="69"/>
      <c r="O289" s="68"/>
    </row>
    <row r="290" customFormat="false" ht="27.75" hidden="false" customHeight="true" outlineLevel="0" collapsed="false">
      <c r="A290" s="66" t="n">
        <v>199</v>
      </c>
      <c r="B290" s="67" t="s">
        <v>93</v>
      </c>
      <c r="C290" s="66" t="s">
        <v>121</v>
      </c>
      <c r="D290" s="66" t="n">
        <v>2</v>
      </c>
      <c r="E290" s="67" t="str">
        <f aca="false">IFERROR(INDEX('Master Data'!$L$2:$L$2436,MATCH($B$3&amp;"|"&amp;D290&amp;"|"&amp;B290&amp;"|"&amp;C290,'Master Data'!$A$2:$A$2436,0)),"")</f>
        <v>Belum terisi</v>
      </c>
      <c r="F290" s="67" t="str">
        <f aca="false">IFERROR(INDEX('Master Data'!$F$2:$F$2436,MATCH($B$3&amp;"|"&amp;D290&amp;"|"&amp;B290&amp;"|"&amp;C290,'Master Data'!$A$2:$A$2436,0))&amp;"","")</f>
        <v>Tiny</v>
      </c>
      <c r="G290" s="66" t="n">
        <f aca="false">IFERROR(INDEX('Master Data'!$G$2:$G$2436,MATCH($B$3&amp;"|"&amp;D290&amp;"|"&amp;B290&amp;"|"&amp;C290,'Master Data'!$A$2:$A$2436,0)),"")</f>
        <v>5</v>
      </c>
      <c r="H290" s="67" t="str">
        <f aca="false">IFERROR(INDEX('Master Data'!$K$2:$K$2436,MATCH($B$3&amp;"|"&amp;D290&amp;"|"&amp;B290&amp;"|"&amp;C290,'Master Data'!$A$2:$A$2436,0))&amp;"","")</f>
        <v/>
      </c>
      <c r="I290" s="67" t="s">
        <v>464</v>
      </c>
      <c r="J290" s="67" t="s">
        <v>134</v>
      </c>
      <c r="K290" s="68"/>
      <c r="L290" s="68"/>
      <c r="M290" s="68"/>
      <c r="N290" s="69"/>
      <c r="O290" s="68"/>
    </row>
    <row r="291" customFormat="false" ht="27.75" hidden="false" customHeight="true" outlineLevel="0" collapsed="false">
      <c r="A291" s="66" t="n">
        <v>200</v>
      </c>
      <c r="B291" s="67" t="s">
        <v>93</v>
      </c>
      <c r="C291" s="66" t="s">
        <v>121</v>
      </c>
      <c r="D291" s="66" t="n">
        <v>5</v>
      </c>
      <c r="E291" s="67" t="str">
        <f aca="false">IFERROR(INDEX('Master Data'!$L$2:$L$2436,MATCH($B$3&amp;"|"&amp;D291&amp;"|"&amp;B291&amp;"|"&amp;C291,'Master Data'!$A$2:$A$2436,0)),"")</f>
        <v>Slot kosong</v>
      </c>
      <c r="F291" s="67" t="str">
        <f aca="false">IFERROR(INDEX('Master Data'!$F$2:$F$2436,MATCH($B$3&amp;"|"&amp;D291&amp;"|"&amp;B291&amp;"|"&amp;C291,'Master Data'!$A$2:$A$2436,0))&amp;"","")</f>
        <v/>
      </c>
      <c r="G291" s="66" t="n">
        <f aca="false">IFERROR(INDEX('Master Data'!$G$2:$G$2436,MATCH($B$3&amp;"|"&amp;D291&amp;"|"&amp;B291&amp;"|"&amp;C291,'Master Data'!$A$2:$A$2436,0)),"")</f>
        <v>4</v>
      </c>
      <c r="H291" s="67" t="str">
        <f aca="false">IFERROR(INDEX('Master Data'!$K$2:$K$2436,MATCH($B$3&amp;"|"&amp;D291&amp;"|"&amp;B291&amp;"|"&amp;C291,'Master Data'!$A$2:$A$2436,0))&amp;"","")</f>
        <v/>
      </c>
      <c r="I291" s="67" t="s">
        <v>464</v>
      </c>
      <c r="J291" s="67" t="s">
        <v>134</v>
      </c>
      <c r="K291" s="68"/>
      <c r="L291" s="68"/>
      <c r="M291" s="68"/>
      <c r="N291" s="69"/>
      <c r="O291" s="68"/>
    </row>
    <row r="292" customFormat="false" ht="27.75" hidden="false" customHeight="true" outlineLevel="0" collapsed="false">
      <c r="A292" s="66" t="n">
        <v>201</v>
      </c>
      <c r="B292" s="67" t="s">
        <v>93</v>
      </c>
      <c r="C292" s="66" t="s">
        <v>107</v>
      </c>
      <c r="D292" s="66" t="n">
        <v>3</v>
      </c>
      <c r="E292" s="67" t="str">
        <f aca="false">IFERROR(INDEX('Master Data'!$L$2:$L$2436,MATCH($B$3&amp;"|"&amp;D292&amp;"|"&amp;B292&amp;"|"&amp;C292,'Master Data'!$A$2:$A$2436,0)),"")</f>
        <v>Belum terisi</v>
      </c>
      <c r="F292" s="67" t="str">
        <f aca="false">IFERROR(INDEX('Master Data'!$F$2:$F$2436,MATCH($B$3&amp;"|"&amp;D292&amp;"|"&amp;B292&amp;"|"&amp;C292,'Master Data'!$A$2:$A$2436,0))&amp;"","")</f>
        <v>Little</v>
      </c>
      <c r="G292" s="66" t="n">
        <f aca="false">IFERROR(INDEX('Master Data'!$G$2:$G$2436,MATCH($B$3&amp;"|"&amp;D292&amp;"|"&amp;B292&amp;"|"&amp;C292,'Master Data'!$A$2:$A$2436,0)),"")</f>
        <v>4</v>
      </c>
      <c r="H292" s="67" t="str">
        <f aca="false">IFERROR(INDEX('Master Data'!$K$2:$K$2436,MATCH($B$3&amp;"|"&amp;D292&amp;"|"&amp;B292&amp;"|"&amp;C292,'Master Data'!$A$2:$A$2436,0))&amp;"","")</f>
        <v/>
      </c>
      <c r="I292" s="67" t="s">
        <v>462</v>
      </c>
      <c r="J292" s="67" t="s">
        <v>134</v>
      </c>
      <c r="K292" s="68"/>
      <c r="L292" s="68"/>
      <c r="M292" s="68"/>
      <c r="N292" s="69"/>
      <c r="O292" s="68"/>
    </row>
    <row r="293" customFormat="false" ht="27.75" hidden="false" customHeight="true" outlineLevel="0" collapsed="false">
      <c r="A293" s="66" t="n">
        <v>202</v>
      </c>
      <c r="B293" s="67" t="s">
        <v>93</v>
      </c>
      <c r="C293" s="66" t="s">
        <v>107</v>
      </c>
      <c r="D293" s="66" t="n">
        <v>4</v>
      </c>
      <c r="E293" s="67" t="str">
        <f aca="false">IFERROR(INDEX('Master Data'!$L$2:$L$2436,MATCH($B$3&amp;"|"&amp;D293&amp;"|"&amp;B293&amp;"|"&amp;C293,'Master Data'!$A$2:$A$2436,0)),"")</f>
        <v>Belum terisi</v>
      </c>
      <c r="F293" s="67" t="str">
        <f aca="false">IFERROR(INDEX('Master Data'!$F$2:$F$2436,MATCH($B$3&amp;"|"&amp;D293&amp;"|"&amp;B293&amp;"|"&amp;C293,'Master Data'!$A$2:$A$2436,0))&amp;"","")</f>
        <v>Kids</v>
      </c>
      <c r="G293" s="66" t="n">
        <f aca="false">IFERROR(INDEX('Master Data'!$G$2:$G$2436,MATCH($B$3&amp;"|"&amp;D293&amp;"|"&amp;B293&amp;"|"&amp;C293,'Master Data'!$A$2:$A$2436,0)),"")</f>
        <v>4</v>
      </c>
      <c r="H293" s="67" t="str">
        <f aca="false">IFERROR(INDEX('Master Data'!$K$2:$K$2436,MATCH($B$3&amp;"|"&amp;D293&amp;"|"&amp;B293&amp;"|"&amp;C293,'Master Data'!$A$2:$A$2436,0))&amp;"","")</f>
        <v/>
      </c>
      <c r="I293" s="67" t="s">
        <v>462</v>
      </c>
      <c r="J293" s="67" t="s">
        <v>134</v>
      </c>
      <c r="K293" s="68"/>
      <c r="L293" s="68"/>
      <c r="M293" s="68"/>
      <c r="N293" s="69"/>
      <c r="O293" s="68"/>
    </row>
    <row r="294" customFormat="false" ht="40.5" hidden="false" customHeight="true" outlineLevel="0" collapsed="false">
      <c r="A294" s="66" t="n">
        <v>203</v>
      </c>
      <c r="B294" s="67" t="s">
        <v>94</v>
      </c>
      <c r="C294" s="66" t="s">
        <v>110</v>
      </c>
      <c r="D294" s="66" t="n">
        <v>1</v>
      </c>
      <c r="E294" s="67" t="str">
        <f aca="false">IFERROR(INDEX('Master Data'!$L$2:$L$2436,MATCH($B$3&amp;"|"&amp;D294&amp;"|"&amp;B294&amp;"|"&amp;C294,'Master Data'!$A$2:$A$2436,0)),"")</f>
        <v>Belum terisi</v>
      </c>
      <c r="F294" s="67" t="str">
        <f aca="false">IFERROR(INDEX('Master Data'!$F$2:$F$2436,MATCH($B$3&amp;"|"&amp;D294&amp;"|"&amp;B294&amp;"|"&amp;C294,'Master Data'!$A$2:$A$2436,0))&amp;"","")</f>
        <v>Baby</v>
      </c>
      <c r="G294" s="66" t="n">
        <f aca="false">IFERROR(INDEX('Master Data'!$G$2:$G$2436,MATCH($B$3&amp;"|"&amp;D294&amp;"|"&amp;B294&amp;"|"&amp;C294,'Master Data'!$A$2:$A$2436,0)),"")</f>
        <v>5</v>
      </c>
      <c r="H294" s="67" t="str">
        <f aca="false">IFERROR(INDEX('Master Data'!$K$2:$K$2436,MATCH($B$3&amp;"|"&amp;D294&amp;"|"&amp;B294&amp;"|"&amp;C294,'Master Data'!$A$2:$A$2436,0))&amp;"","")</f>
        <v/>
      </c>
      <c r="I294" s="67" t="s">
        <v>465</v>
      </c>
      <c r="J294" s="67" t="s">
        <v>134</v>
      </c>
      <c r="K294" s="68"/>
      <c r="L294" s="68"/>
      <c r="M294" s="68"/>
      <c r="N294" s="69"/>
      <c r="O294" s="68"/>
    </row>
    <row r="295" customFormat="false" ht="40.5" hidden="false" customHeight="true" outlineLevel="0" collapsed="false">
      <c r="A295" s="66" t="n">
        <v>204</v>
      </c>
      <c r="B295" s="67" t="s">
        <v>94</v>
      </c>
      <c r="C295" s="66" t="s">
        <v>110</v>
      </c>
      <c r="D295" s="66" t="n">
        <v>2</v>
      </c>
      <c r="E295" s="67" t="str">
        <f aca="false">IFERROR(INDEX('Master Data'!$L$2:$L$2436,MATCH($B$3&amp;"|"&amp;D295&amp;"|"&amp;B295&amp;"|"&amp;C295,'Master Data'!$A$2:$A$2436,0)),"")</f>
        <v>Belum terisi</v>
      </c>
      <c r="F295" s="67" t="str">
        <f aca="false">IFERROR(INDEX('Master Data'!$F$2:$F$2436,MATCH($B$3&amp;"|"&amp;D295&amp;"|"&amp;B295&amp;"|"&amp;C295,'Master Data'!$A$2:$A$2436,0))&amp;"","")</f>
        <v>Tiny</v>
      </c>
      <c r="G295" s="66" t="n">
        <f aca="false">IFERROR(INDEX('Master Data'!$G$2:$G$2436,MATCH($B$3&amp;"|"&amp;D295&amp;"|"&amp;B295&amp;"|"&amp;C295,'Master Data'!$A$2:$A$2436,0)),"")</f>
        <v>5</v>
      </c>
      <c r="H295" s="67" t="str">
        <f aca="false">IFERROR(INDEX('Master Data'!$K$2:$K$2436,MATCH($B$3&amp;"|"&amp;D295&amp;"|"&amp;B295&amp;"|"&amp;C295,'Master Data'!$A$2:$A$2436,0))&amp;"","")</f>
        <v/>
      </c>
      <c r="I295" s="67" t="s">
        <v>465</v>
      </c>
      <c r="J295" s="67" t="s">
        <v>134</v>
      </c>
      <c r="K295" s="68"/>
      <c r="L295" s="68"/>
      <c r="M295" s="68"/>
      <c r="N295" s="69"/>
      <c r="O295" s="68"/>
    </row>
    <row r="296" customFormat="false" ht="40.5" hidden="false" customHeight="true" outlineLevel="0" collapsed="false">
      <c r="A296" s="66" t="n">
        <v>205</v>
      </c>
      <c r="B296" s="67" t="s">
        <v>94</v>
      </c>
      <c r="C296" s="66" t="s">
        <v>110</v>
      </c>
      <c r="D296" s="66" t="n">
        <v>5</v>
      </c>
      <c r="E296" s="67" t="str">
        <f aca="false">IFERROR(INDEX('Master Data'!$L$2:$L$2436,MATCH($B$3&amp;"|"&amp;D296&amp;"|"&amp;B296&amp;"|"&amp;C296,'Master Data'!$A$2:$A$2436,0)),"")</f>
        <v>Slot kosong</v>
      </c>
      <c r="F296" s="67" t="str">
        <f aca="false">IFERROR(INDEX('Master Data'!$F$2:$F$2436,MATCH($B$3&amp;"|"&amp;D296&amp;"|"&amp;B296&amp;"|"&amp;C296,'Master Data'!$A$2:$A$2436,0))&amp;"","")</f>
        <v/>
      </c>
      <c r="G296" s="66" t="n">
        <f aca="false">IFERROR(INDEX('Master Data'!$G$2:$G$2436,MATCH($B$3&amp;"|"&amp;D296&amp;"|"&amp;B296&amp;"|"&amp;C296,'Master Data'!$A$2:$A$2436,0)),"")</f>
        <v>4</v>
      </c>
      <c r="H296" s="67" t="str">
        <f aca="false">IFERROR(INDEX('Master Data'!$K$2:$K$2436,MATCH($B$3&amp;"|"&amp;D296&amp;"|"&amp;B296&amp;"|"&amp;C296,'Master Data'!$A$2:$A$2436,0))&amp;"","")</f>
        <v/>
      </c>
      <c r="I296" s="67" t="s">
        <v>465</v>
      </c>
      <c r="J296" s="67" t="s">
        <v>134</v>
      </c>
      <c r="K296" s="68"/>
      <c r="L296" s="68"/>
      <c r="M296" s="68"/>
      <c r="N296" s="69"/>
      <c r="O296" s="68"/>
    </row>
    <row r="297" customFormat="false" ht="27.75" hidden="false" customHeight="true" outlineLevel="0" collapsed="false">
      <c r="A297" s="66" t="n">
        <v>206</v>
      </c>
      <c r="B297" s="67" t="s">
        <v>94</v>
      </c>
      <c r="C297" s="66" t="s">
        <v>96</v>
      </c>
      <c r="D297" s="66" t="n">
        <v>3</v>
      </c>
      <c r="E297" s="67" t="str">
        <f aca="false">IFERROR(INDEX('Master Data'!$L$2:$L$2436,MATCH($B$3&amp;"|"&amp;D297&amp;"|"&amp;B297&amp;"|"&amp;C297,'Master Data'!$A$2:$A$2436,0)),"")</f>
        <v>Belum terisi</v>
      </c>
      <c r="F297" s="67" t="str">
        <f aca="false">IFERROR(INDEX('Master Data'!$F$2:$F$2436,MATCH($B$3&amp;"|"&amp;D297&amp;"|"&amp;B297&amp;"|"&amp;C297,'Master Data'!$A$2:$A$2436,0))&amp;"","")</f>
        <v>Little</v>
      </c>
      <c r="G297" s="66" t="n">
        <f aca="false">IFERROR(INDEX('Master Data'!$G$2:$G$2436,MATCH($B$3&amp;"|"&amp;D297&amp;"|"&amp;B297&amp;"|"&amp;C297,'Master Data'!$A$2:$A$2436,0)),"")</f>
        <v>4</v>
      </c>
      <c r="H297" s="67" t="str">
        <f aca="false">IFERROR(INDEX('Master Data'!$K$2:$K$2436,MATCH($B$3&amp;"|"&amp;D297&amp;"|"&amp;B297&amp;"|"&amp;C297,'Master Data'!$A$2:$A$2436,0))&amp;"","")</f>
        <v/>
      </c>
      <c r="I297" s="67" t="s">
        <v>466</v>
      </c>
      <c r="J297" s="67" t="s">
        <v>203</v>
      </c>
      <c r="K297" s="68"/>
      <c r="L297" s="68"/>
      <c r="M297" s="68"/>
      <c r="N297" s="69"/>
      <c r="O297" s="68"/>
    </row>
    <row r="298" customFormat="false" ht="27.75" hidden="false" customHeight="true" outlineLevel="0" collapsed="false">
      <c r="A298" s="66" t="n">
        <v>207</v>
      </c>
      <c r="B298" s="67" t="s">
        <v>94</v>
      </c>
      <c r="C298" s="66" t="s">
        <v>96</v>
      </c>
      <c r="D298" s="66" t="n">
        <v>4</v>
      </c>
      <c r="E298" s="67" t="str">
        <f aca="false">IFERROR(INDEX('Master Data'!$L$2:$L$2436,MATCH($B$3&amp;"|"&amp;D298&amp;"|"&amp;B298&amp;"|"&amp;C298,'Master Data'!$A$2:$A$2436,0)),"")</f>
        <v>Belum terisi</v>
      </c>
      <c r="F298" s="67" t="str">
        <f aca="false">IFERROR(INDEX('Master Data'!$F$2:$F$2436,MATCH($B$3&amp;"|"&amp;D298&amp;"|"&amp;B298&amp;"|"&amp;C298,'Master Data'!$A$2:$A$2436,0))&amp;"","")</f>
        <v>Kids</v>
      </c>
      <c r="G298" s="66" t="n">
        <f aca="false">IFERROR(INDEX('Master Data'!$G$2:$G$2436,MATCH($B$3&amp;"|"&amp;D298&amp;"|"&amp;B298&amp;"|"&amp;C298,'Master Data'!$A$2:$A$2436,0)),"")</f>
        <v>4</v>
      </c>
      <c r="H298" s="67" t="str">
        <f aca="false">IFERROR(INDEX('Master Data'!$K$2:$K$2436,MATCH($B$3&amp;"|"&amp;D298&amp;"|"&amp;B298&amp;"|"&amp;C298,'Master Data'!$A$2:$A$2436,0))&amp;"","")</f>
        <v/>
      </c>
      <c r="I298" s="67" t="s">
        <v>466</v>
      </c>
      <c r="J298" s="67" t="s">
        <v>203</v>
      </c>
      <c r="K298" s="68"/>
      <c r="L298" s="68"/>
      <c r="M298" s="68"/>
      <c r="N298" s="69"/>
      <c r="O298" s="68"/>
    </row>
    <row r="299" customFormat="false" ht="27.75" hidden="false" customHeight="true" outlineLevel="0" collapsed="false">
      <c r="A299" s="66" t="n">
        <v>208</v>
      </c>
      <c r="B299" s="67" t="s">
        <v>94</v>
      </c>
      <c r="C299" s="66" t="s">
        <v>111</v>
      </c>
      <c r="D299" s="66" t="n">
        <v>2</v>
      </c>
      <c r="E299" s="67" t="str">
        <f aca="false">IFERROR(INDEX('Master Data'!$L$2:$L$2436,MATCH($B$3&amp;"|"&amp;D299&amp;"|"&amp;B299&amp;"|"&amp;C299,'Master Data'!$A$2:$A$2436,0)),"")</f>
        <v>Belum terisi</v>
      </c>
      <c r="F299" s="67" t="str">
        <f aca="false">IFERROR(INDEX('Master Data'!$F$2:$F$2436,MATCH($B$3&amp;"|"&amp;D299&amp;"|"&amp;B299&amp;"|"&amp;C299,'Master Data'!$A$2:$A$2436,0))&amp;"","")</f>
        <v>Tiny</v>
      </c>
      <c r="G299" s="66" t="n">
        <f aca="false">IFERROR(INDEX('Master Data'!$G$2:$G$2436,MATCH($B$3&amp;"|"&amp;D299&amp;"|"&amp;B299&amp;"|"&amp;C299,'Master Data'!$A$2:$A$2436,0)),"")</f>
        <v>5</v>
      </c>
      <c r="H299" s="67" t="str">
        <f aca="false">IFERROR(INDEX('Master Data'!$K$2:$K$2436,MATCH($B$3&amp;"|"&amp;D299&amp;"|"&amp;B299&amp;"|"&amp;C299,'Master Data'!$A$2:$A$2436,0))&amp;"","")</f>
        <v/>
      </c>
      <c r="I299" s="67" t="s">
        <v>466</v>
      </c>
      <c r="J299" s="67" t="s">
        <v>144</v>
      </c>
      <c r="K299" s="68"/>
      <c r="L299" s="68"/>
      <c r="M299" s="68"/>
      <c r="N299" s="69"/>
      <c r="O299" s="68"/>
    </row>
    <row r="300" customFormat="false" ht="27.75" hidden="false" customHeight="true" outlineLevel="0" collapsed="false">
      <c r="A300" s="66" t="n">
        <v>209</v>
      </c>
      <c r="B300" s="67" t="s">
        <v>94</v>
      </c>
      <c r="C300" s="66" t="s">
        <v>111</v>
      </c>
      <c r="D300" s="66" t="n">
        <v>5</v>
      </c>
      <c r="E300" s="67" t="str">
        <f aca="false">IFERROR(INDEX('Master Data'!$L$2:$L$2436,MATCH($B$3&amp;"|"&amp;D300&amp;"|"&amp;B300&amp;"|"&amp;C300,'Master Data'!$A$2:$A$2436,0)),"")</f>
        <v>Slot kosong</v>
      </c>
      <c r="F300" s="67" t="str">
        <f aca="false">IFERROR(INDEX('Master Data'!$F$2:$F$2436,MATCH($B$3&amp;"|"&amp;D300&amp;"|"&amp;B300&amp;"|"&amp;C300,'Master Data'!$A$2:$A$2436,0))&amp;"","")</f>
        <v/>
      </c>
      <c r="G300" s="66" t="n">
        <f aca="false">IFERROR(INDEX('Master Data'!$G$2:$G$2436,MATCH($B$3&amp;"|"&amp;D300&amp;"|"&amp;B300&amp;"|"&amp;C300,'Master Data'!$A$2:$A$2436,0)),"")</f>
        <v>4</v>
      </c>
      <c r="H300" s="67" t="str">
        <f aca="false">IFERROR(INDEX('Master Data'!$K$2:$K$2436,MATCH($B$3&amp;"|"&amp;D300&amp;"|"&amp;B300&amp;"|"&amp;C300,'Master Data'!$A$2:$A$2436,0))&amp;"","")</f>
        <v/>
      </c>
      <c r="I300" s="67" t="s">
        <v>466</v>
      </c>
      <c r="J300" s="67" t="s">
        <v>203</v>
      </c>
      <c r="K300" s="68"/>
      <c r="L300" s="68"/>
      <c r="M300" s="68"/>
      <c r="N300" s="69"/>
      <c r="O300" s="68"/>
    </row>
    <row r="301" customFormat="false" ht="27.75" hidden="false" customHeight="true" outlineLevel="0" collapsed="false">
      <c r="A301" s="66" t="n">
        <v>210</v>
      </c>
      <c r="B301" s="67" t="s">
        <v>94</v>
      </c>
      <c r="C301" s="66" t="s">
        <v>97</v>
      </c>
      <c r="D301" s="66" t="n">
        <v>3</v>
      </c>
      <c r="E301" s="67" t="str">
        <f aca="false">IFERROR(INDEX('Master Data'!$L$2:$L$2436,MATCH($B$3&amp;"|"&amp;D301&amp;"|"&amp;B301&amp;"|"&amp;C301,'Master Data'!$A$2:$A$2436,0)),"")</f>
        <v>Belum terisi</v>
      </c>
      <c r="F301" s="67" t="str">
        <f aca="false">IFERROR(INDEX('Master Data'!$F$2:$F$2436,MATCH($B$3&amp;"|"&amp;D301&amp;"|"&amp;B301&amp;"|"&amp;C301,'Master Data'!$A$2:$A$2436,0))&amp;"","")</f>
        <v>Little</v>
      </c>
      <c r="G301" s="66" t="n">
        <f aca="false">IFERROR(INDEX('Master Data'!$G$2:$G$2436,MATCH($B$3&amp;"|"&amp;D301&amp;"|"&amp;B301&amp;"|"&amp;C301,'Master Data'!$A$2:$A$2436,0)),"")</f>
        <v>4</v>
      </c>
      <c r="H301" s="67" t="str">
        <f aca="false">IFERROR(INDEX('Master Data'!$K$2:$K$2436,MATCH($B$3&amp;"|"&amp;D301&amp;"|"&amp;B301&amp;"|"&amp;C301,'Master Data'!$A$2:$A$2436,0))&amp;"","")</f>
        <v/>
      </c>
      <c r="I301" s="67" t="s">
        <v>466</v>
      </c>
      <c r="J301" s="67" t="s">
        <v>203</v>
      </c>
      <c r="K301" s="68"/>
      <c r="L301" s="68"/>
      <c r="M301" s="68"/>
      <c r="N301" s="69"/>
      <c r="O301" s="68"/>
    </row>
    <row r="302" customFormat="false" ht="27.75" hidden="false" customHeight="true" outlineLevel="0" collapsed="false">
      <c r="A302" s="66" t="n">
        <v>211</v>
      </c>
      <c r="B302" s="67" t="s">
        <v>94</v>
      </c>
      <c r="C302" s="66" t="s">
        <v>97</v>
      </c>
      <c r="D302" s="66" t="n">
        <v>4</v>
      </c>
      <c r="E302" s="67" t="str">
        <f aca="false">IFERROR(INDEX('Master Data'!$L$2:$L$2436,MATCH($B$3&amp;"|"&amp;D302&amp;"|"&amp;B302&amp;"|"&amp;C302,'Master Data'!$A$2:$A$2436,0)),"")</f>
        <v>Belum terisi</v>
      </c>
      <c r="F302" s="67" t="str">
        <f aca="false">IFERROR(INDEX('Master Data'!$F$2:$F$2436,MATCH($B$3&amp;"|"&amp;D302&amp;"|"&amp;B302&amp;"|"&amp;C302,'Master Data'!$A$2:$A$2436,0))&amp;"","")</f>
        <v>Kids</v>
      </c>
      <c r="G302" s="66" t="n">
        <f aca="false">IFERROR(INDEX('Master Data'!$G$2:$G$2436,MATCH($B$3&amp;"|"&amp;D302&amp;"|"&amp;B302&amp;"|"&amp;C302,'Master Data'!$A$2:$A$2436,0)),"")</f>
        <v>4</v>
      </c>
      <c r="H302" s="67" t="str">
        <f aca="false">IFERROR(INDEX('Master Data'!$K$2:$K$2436,MATCH($B$3&amp;"|"&amp;D302&amp;"|"&amp;B302&amp;"|"&amp;C302,'Master Data'!$A$2:$A$2436,0))&amp;"","")</f>
        <v/>
      </c>
      <c r="I302" s="67" t="s">
        <v>466</v>
      </c>
      <c r="J302" s="67" t="s">
        <v>203</v>
      </c>
      <c r="K302" s="68"/>
      <c r="L302" s="68"/>
      <c r="M302" s="68"/>
      <c r="N302" s="69"/>
      <c r="O302" s="68"/>
    </row>
    <row r="303" customFormat="false" ht="27.75" hidden="false" customHeight="true" outlineLevel="0" collapsed="false">
      <c r="A303" s="66" t="n">
        <v>212</v>
      </c>
      <c r="B303" s="67" t="s">
        <v>94</v>
      </c>
      <c r="C303" s="66" t="s">
        <v>112</v>
      </c>
      <c r="D303" s="66" t="n">
        <v>1</v>
      </c>
      <c r="E303" s="67" t="str">
        <f aca="false">IFERROR(INDEX('Master Data'!$L$2:$L$2436,MATCH($B$3&amp;"|"&amp;D303&amp;"|"&amp;B303&amp;"|"&amp;C303,'Master Data'!$A$2:$A$2436,0)),"")</f>
        <v>Belum terisi</v>
      </c>
      <c r="F303" s="67" t="str">
        <f aca="false">IFERROR(INDEX('Master Data'!$F$2:$F$2436,MATCH($B$3&amp;"|"&amp;D303&amp;"|"&amp;B303&amp;"|"&amp;C303,'Master Data'!$A$2:$A$2436,0))&amp;"","")</f>
        <v>Baby</v>
      </c>
      <c r="G303" s="66" t="n">
        <f aca="false">IFERROR(INDEX('Master Data'!$G$2:$G$2436,MATCH($B$3&amp;"|"&amp;D303&amp;"|"&amp;B303&amp;"|"&amp;C303,'Master Data'!$A$2:$A$2436,0)),"")</f>
        <v>5</v>
      </c>
      <c r="H303" s="67" t="str">
        <f aca="false">IFERROR(INDEX('Master Data'!$K$2:$K$2436,MATCH($B$3&amp;"|"&amp;D303&amp;"|"&amp;B303&amp;"|"&amp;C303,'Master Data'!$A$2:$A$2436,0))&amp;"","")</f>
        <v/>
      </c>
      <c r="I303" s="67" t="s">
        <v>466</v>
      </c>
      <c r="J303" s="67" t="s">
        <v>221</v>
      </c>
      <c r="K303" s="68"/>
      <c r="L303" s="68"/>
      <c r="M303" s="68"/>
      <c r="N303" s="69"/>
      <c r="O303" s="68"/>
    </row>
    <row r="304" customFormat="false" ht="27.75" hidden="false" customHeight="true" outlineLevel="0" collapsed="false">
      <c r="A304" s="66" t="n">
        <v>213</v>
      </c>
      <c r="B304" s="67" t="s">
        <v>94</v>
      </c>
      <c r="C304" s="66" t="s">
        <v>112</v>
      </c>
      <c r="D304" s="66" t="n">
        <v>5</v>
      </c>
      <c r="E304" s="67" t="str">
        <f aca="false">IFERROR(INDEX('Master Data'!$L$2:$L$2436,MATCH($B$3&amp;"|"&amp;D304&amp;"|"&amp;B304&amp;"|"&amp;C304,'Master Data'!$A$2:$A$2436,0)),"")</f>
        <v>Slot kosong</v>
      </c>
      <c r="F304" s="67" t="str">
        <f aca="false">IFERROR(INDEX('Master Data'!$F$2:$F$2436,MATCH($B$3&amp;"|"&amp;D304&amp;"|"&amp;B304&amp;"|"&amp;C304,'Master Data'!$A$2:$A$2436,0))&amp;"","")</f>
        <v/>
      </c>
      <c r="G304" s="66" t="n">
        <f aca="false">IFERROR(INDEX('Master Data'!$G$2:$G$2436,MATCH($B$3&amp;"|"&amp;D304&amp;"|"&amp;B304&amp;"|"&amp;C304,'Master Data'!$A$2:$A$2436,0)),"")</f>
        <v>4</v>
      </c>
      <c r="H304" s="67" t="str">
        <f aca="false">IFERROR(INDEX('Master Data'!$K$2:$K$2436,MATCH($B$3&amp;"|"&amp;D304&amp;"|"&amp;B304&amp;"|"&amp;C304,'Master Data'!$A$2:$A$2436,0))&amp;"","")</f>
        <v/>
      </c>
      <c r="I304" s="67" t="s">
        <v>466</v>
      </c>
      <c r="J304" s="67" t="s">
        <v>203</v>
      </c>
      <c r="K304" s="68"/>
      <c r="L304" s="68"/>
      <c r="M304" s="68"/>
      <c r="N304" s="69"/>
      <c r="O304" s="68"/>
    </row>
    <row r="305" customFormat="false" ht="27.75" hidden="false" customHeight="true" outlineLevel="0" collapsed="false">
      <c r="A305" s="66" t="n">
        <v>214</v>
      </c>
      <c r="B305" s="67" t="s">
        <v>94</v>
      </c>
      <c r="C305" s="66" t="s">
        <v>98</v>
      </c>
      <c r="D305" s="66" t="n">
        <v>3</v>
      </c>
      <c r="E305" s="67" t="str">
        <f aca="false">IFERROR(INDEX('Master Data'!$L$2:$L$2436,MATCH($B$3&amp;"|"&amp;D305&amp;"|"&amp;B305&amp;"|"&amp;C305,'Master Data'!$A$2:$A$2436,0)),"")</f>
        <v>Belum terisi</v>
      </c>
      <c r="F305" s="67" t="str">
        <f aca="false">IFERROR(INDEX('Master Data'!$F$2:$F$2436,MATCH($B$3&amp;"|"&amp;D305&amp;"|"&amp;B305&amp;"|"&amp;C305,'Master Data'!$A$2:$A$2436,0))&amp;"","")</f>
        <v>Little</v>
      </c>
      <c r="G305" s="66" t="n">
        <f aca="false">IFERROR(INDEX('Master Data'!$G$2:$G$2436,MATCH($B$3&amp;"|"&amp;D305&amp;"|"&amp;B305&amp;"|"&amp;C305,'Master Data'!$A$2:$A$2436,0)),"")</f>
        <v>4</v>
      </c>
      <c r="H305" s="67" t="str">
        <f aca="false">IFERROR(INDEX('Master Data'!$K$2:$K$2436,MATCH($B$3&amp;"|"&amp;D305&amp;"|"&amp;B305&amp;"|"&amp;C305,'Master Data'!$A$2:$A$2436,0))&amp;"","")</f>
        <v/>
      </c>
      <c r="I305" s="67" t="s">
        <v>466</v>
      </c>
      <c r="J305" s="67" t="s">
        <v>203</v>
      </c>
      <c r="K305" s="68"/>
      <c r="L305" s="68"/>
      <c r="M305" s="68"/>
      <c r="N305" s="69"/>
      <c r="O305" s="68"/>
    </row>
    <row r="306" customFormat="false" ht="27.75" hidden="false" customHeight="true" outlineLevel="0" collapsed="false">
      <c r="A306" s="66" t="n">
        <v>215</v>
      </c>
      <c r="B306" s="67" t="s">
        <v>94</v>
      </c>
      <c r="C306" s="66" t="s">
        <v>98</v>
      </c>
      <c r="D306" s="66" t="n">
        <v>4</v>
      </c>
      <c r="E306" s="67" t="str">
        <f aca="false">IFERROR(INDEX('Master Data'!$L$2:$L$2436,MATCH($B$3&amp;"|"&amp;D306&amp;"|"&amp;B306&amp;"|"&amp;C306,'Master Data'!$A$2:$A$2436,0)),"")</f>
        <v>Belum terisi</v>
      </c>
      <c r="F306" s="67" t="str">
        <f aca="false">IFERROR(INDEX('Master Data'!$F$2:$F$2436,MATCH($B$3&amp;"|"&amp;D306&amp;"|"&amp;B306&amp;"|"&amp;C306,'Master Data'!$A$2:$A$2436,0))&amp;"","")</f>
        <v>Kids</v>
      </c>
      <c r="G306" s="66" t="n">
        <f aca="false">IFERROR(INDEX('Master Data'!$G$2:$G$2436,MATCH($B$3&amp;"|"&amp;D306&amp;"|"&amp;B306&amp;"|"&amp;C306,'Master Data'!$A$2:$A$2436,0)),"")</f>
        <v>4</v>
      </c>
      <c r="H306" s="67" t="str">
        <f aca="false">IFERROR(INDEX('Master Data'!$K$2:$K$2436,MATCH($B$3&amp;"|"&amp;D306&amp;"|"&amp;B306&amp;"|"&amp;C306,'Master Data'!$A$2:$A$2436,0))&amp;"","")</f>
        <v/>
      </c>
      <c r="I306" s="67" t="s">
        <v>466</v>
      </c>
      <c r="J306" s="67" t="s">
        <v>203</v>
      </c>
      <c r="K306" s="68"/>
      <c r="L306" s="68"/>
      <c r="M306" s="68"/>
      <c r="N306" s="69"/>
      <c r="O306" s="68"/>
    </row>
    <row r="307" customFormat="false" ht="27.75" hidden="false" customHeight="true" outlineLevel="0" collapsed="false">
      <c r="A307" s="66" t="n">
        <v>216</v>
      </c>
      <c r="B307" s="67" t="s">
        <v>94</v>
      </c>
      <c r="C307" s="66" t="s">
        <v>113</v>
      </c>
      <c r="D307" s="66" t="n">
        <v>1</v>
      </c>
      <c r="E307" s="67" t="str">
        <f aca="false">IFERROR(INDEX('Master Data'!$L$2:$L$2436,MATCH($B$3&amp;"|"&amp;D307&amp;"|"&amp;B307&amp;"|"&amp;C307,'Master Data'!$A$2:$A$2436,0)),"")</f>
        <v>Belum terisi</v>
      </c>
      <c r="F307" s="67" t="str">
        <f aca="false">IFERROR(INDEX('Master Data'!$F$2:$F$2436,MATCH($B$3&amp;"|"&amp;D307&amp;"|"&amp;B307&amp;"|"&amp;C307,'Master Data'!$A$2:$A$2436,0))&amp;"","")</f>
        <v>Baby</v>
      </c>
      <c r="G307" s="66" t="n">
        <f aca="false">IFERROR(INDEX('Master Data'!$G$2:$G$2436,MATCH($B$3&amp;"|"&amp;D307&amp;"|"&amp;B307&amp;"|"&amp;C307,'Master Data'!$A$2:$A$2436,0)),"")</f>
        <v>5</v>
      </c>
      <c r="H307" s="67" t="str">
        <f aca="false">IFERROR(INDEX('Master Data'!$K$2:$K$2436,MATCH($B$3&amp;"|"&amp;D307&amp;"|"&amp;B307&amp;"|"&amp;C307,'Master Data'!$A$2:$A$2436,0))&amp;"","")</f>
        <v/>
      </c>
      <c r="I307" s="67" t="s">
        <v>467</v>
      </c>
      <c r="J307" s="67" t="s">
        <v>134</v>
      </c>
      <c r="K307" s="68"/>
      <c r="L307" s="68"/>
      <c r="M307" s="68"/>
      <c r="N307" s="69"/>
      <c r="O307" s="68"/>
    </row>
    <row r="308" customFormat="false" ht="27.75" hidden="false" customHeight="true" outlineLevel="0" collapsed="false">
      <c r="A308" s="66" t="n">
        <v>217</v>
      </c>
      <c r="B308" s="67" t="s">
        <v>94</v>
      </c>
      <c r="C308" s="66" t="s">
        <v>113</v>
      </c>
      <c r="D308" s="66" t="n">
        <v>2</v>
      </c>
      <c r="E308" s="67" t="str">
        <f aca="false">IFERROR(INDEX('Master Data'!$L$2:$L$2436,MATCH($B$3&amp;"|"&amp;D308&amp;"|"&amp;B308&amp;"|"&amp;C308,'Master Data'!$A$2:$A$2436,0)),"")</f>
        <v>Belum terisi</v>
      </c>
      <c r="F308" s="67" t="str">
        <f aca="false">IFERROR(INDEX('Master Data'!$F$2:$F$2436,MATCH($B$3&amp;"|"&amp;D308&amp;"|"&amp;B308&amp;"|"&amp;C308,'Master Data'!$A$2:$A$2436,0))&amp;"","")</f>
        <v>Tiny</v>
      </c>
      <c r="G308" s="66" t="n">
        <f aca="false">IFERROR(INDEX('Master Data'!$G$2:$G$2436,MATCH($B$3&amp;"|"&amp;D308&amp;"|"&amp;B308&amp;"|"&amp;C308,'Master Data'!$A$2:$A$2436,0)),"")</f>
        <v>5</v>
      </c>
      <c r="H308" s="67" t="str">
        <f aca="false">IFERROR(INDEX('Master Data'!$K$2:$K$2436,MATCH($B$3&amp;"|"&amp;D308&amp;"|"&amp;B308&amp;"|"&amp;C308,'Master Data'!$A$2:$A$2436,0))&amp;"","")</f>
        <v/>
      </c>
      <c r="I308" s="67" t="s">
        <v>467</v>
      </c>
      <c r="J308" s="67" t="s">
        <v>134</v>
      </c>
      <c r="K308" s="68"/>
      <c r="L308" s="68"/>
      <c r="M308" s="68"/>
      <c r="N308" s="69"/>
      <c r="O308" s="68"/>
    </row>
    <row r="309" customFormat="false" ht="27.75" hidden="false" customHeight="true" outlineLevel="0" collapsed="false">
      <c r="A309" s="66" t="n">
        <v>218</v>
      </c>
      <c r="B309" s="67" t="s">
        <v>94</v>
      </c>
      <c r="C309" s="66" t="s">
        <v>113</v>
      </c>
      <c r="D309" s="66" t="n">
        <v>5</v>
      </c>
      <c r="E309" s="67" t="str">
        <f aca="false">IFERROR(INDEX('Master Data'!$L$2:$L$2436,MATCH($B$3&amp;"|"&amp;D309&amp;"|"&amp;B309&amp;"|"&amp;C309,'Master Data'!$A$2:$A$2436,0)),"")</f>
        <v>Slot kosong</v>
      </c>
      <c r="F309" s="67" t="str">
        <f aca="false">IFERROR(INDEX('Master Data'!$F$2:$F$2436,MATCH($B$3&amp;"|"&amp;D309&amp;"|"&amp;B309&amp;"|"&amp;C309,'Master Data'!$A$2:$A$2436,0))&amp;"","")</f>
        <v/>
      </c>
      <c r="G309" s="66" t="n">
        <f aca="false">IFERROR(INDEX('Master Data'!$G$2:$G$2436,MATCH($B$3&amp;"|"&amp;D309&amp;"|"&amp;B309&amp;"|"&amp;C309,'Master Data'!$A$2:$A$2436,0)),"")</f>
        <v>4</v>
      </c>
      <c r="H309" s="67" t="str">
        <f aca="false">IFERROR(INDEX('Master Data'!$K$2:$K$2436,MATCH($B$3&amp;"|"&amp;D309&amp;"|"&amp;B309&amp;"|"&amp;C309,'Master Data'!$A$2:$A$2436,0))&amp;"","")</f>
        <v/>
      </c>
      <c r="I309" s="67" t="s">
        <v>467</v>
      </c>
      <c r="J309" s="67" t="s">
        <v>134</v>
      </c>
      <c r="K309" s="68"/>
      <c r="L309" s="68"/>
      <c r="M309" s="68"/>
      <c r="N309" s="69"/>
      <c r="O309" s="68"/>
    </row>
    <row r="310" customFormat="false" ht="27.75" hidden="false" customHeight="true" outlineLevel="0" collapsed="false">
      <c r="A310" s="66" t="n">
        <v>219</v>
      </c>
      <c r="B310" s="67" t="s">
        <v>94</v>
      </c>
      <c r="C310" s="66" t="s">
        <v>99</v>
      </c>
      <c r="D310" s="66" t="n">
        <v>4</v>
      </c>
      <c r="E310" s="67" t="str">
        <f aca="false">IFERROR(INDEX('Master Data'!$L$2:$L$2436,MATCH($B$3&amp;"|"&amp;D310&amp;"|"&amp;B310&amp;"|"&amp;C310,'Master Data'!$A$2:$A$2436,0)),"")</f>
        <v>Belum terisi</v>
      </c>
      <c r="F310" s="67" t="str">
        <f aca="false">IFERROR(INDEX('Master Data'!$F$2:$F$2436,MATCH($B$3&amp;"|"&amp;D310&amp;"|"&amp;B310&amp;"|"&amp;C310,'Master Data'!$A$2:$A$2436,0))&amp;"","")</f>
        <v>Kids</v>
      </c>
      <c r="G310" s="66" t="n">
        <f aca="false">IFERROR(INDEX('Master Data'!$G$2:$G$2436,MATCH($B$3&amp;"|"&amp;D310&amp;"|"&amp;B310&amp;"|"&amp;C310,'Master Data'!$A$2:$A$2436,0)),"")</f>
        <v>4</v>
      </c>
      <c r="H310" s="67" t="str">
        <f aca="false">IFERROR(INDEX('Master Data'!$K$2:$K$2436,MATCH($B$3&amp;"|"&amp;D310&amp;"|"&amp;B310&amp;"|"&amp;C310,'Master Data'!$A$2:$A$2436,0))&amp;"","")</f>
        <v/>
      </c>
      <c r="I310" s="67" t="s">
        <v>467</v>
      </c>
      <c r="J310" s="67" t="s">
        <v>134</v>
      </c>
      <c r="K310" s="68"/>
      <c r="L310" s="68"/>
      <c r="M310" s="68"/>
      <c r="N310" s="69"/>
      <c r="O310" s="68"/>
    </row>
    <row r="311" customFormat="false" ht="27.75" hidden="false" customHeight="true" outlineLevel="0" collapsed="false">
      <c r="A311" s="66" t="n">
        <v>220</v>
      </c>
      <c r="B311" s="67" t="s">
        <v>94</v>
      </c>
      <c r="C311" s="66" t="s">
        <v>114</v>
      </c>
      <c r="D311" s="66" t="n">
        <v>1</v>
      </c>
      <c r="E311" s="67" t="str">
        <f aca="false">IFERROR(INDEX('Master Data'!$L$2:$L$2436,MATCH($B$3&amp;"|"&amp;D311&amp;"|"&amp;B311&amp;"|"&amp;C311,'Master Data'!$A$2:$A$2436,0)),"")</f>
        <v>Belum terisi</v>
      </c>
      <c r="F311" s="67" t="str">
        <f aca="false">IFERROR(INDEX('Master Data'!$F$2:$F$2436,MATCH($B$3&amp;"|"&amp;D311&amp;"|"&amp;B311&amp;"|"&amp;C311,'Master Data'!$A$2:$A$2436,0))&amp;"","")</f>
        <v>Baby</v>
      </c>
      <c r="G311" s="66" t="n">
        <f aca="false">IFERROR(INDEX('Master Data'!$G$2:$G$2436,MATCH($B$3&amp;"|"&amp;D311&amp;"|"&amp;B311&amp;"|"&amp;C311,'Master Data'!$A$2:$A$2436,0)),"")</f>
        <v>5</v>
      </c>
      <c r="H311" s="67" t="str">
        <f aca="false">IFERROR(INDEX('Master Data'!$K$2:$K$2436,MATCH($B$3&amp;"|"&amp;D311&amp;"|"&amp;B311&amp;"|"&amp;C311,'Master Data'!$A$2:$A$2436,0))&amp;"","")</f>
        <v/>
      </c>
      <c r="I311" s="67" t="s">
        <v>457</v>
      </c>
      <c r="J311" s="67" t="s">
        <v>134</v>
      </c>
      <c r="K311" s="68"/>
      <c r="L311" s="68"/>
      <c r="M311" s="68"/>
      <c r="N311" s="69"/>
      <c r="O311" s="68"/>
    </row>
    <row r="312" customFormat="false" ht="27.75" hidden="false" customHeight="true" outlineLevel="0" collapsed="false">
      <c r="A312" s="66" t="n">
        <v>221</v>
      </c>
      <c r="B312" s="67" t="s">
        <v>94</v>
      </c>
      <c r="C312" s="66" t="s">
        <v>114</v>
      </c>
      <c r="D312" s="66" t="n">
        <v>2</v>
      </c>
      <c r="E312" s="67" t="str">
        <f aca="false">IFERROR(INDEX('Master Data'!$L$2:$L$2436,MATCH($B$3&amp;"|"&amp;D312&amp;"|"&amp;B312&amp;"|"&amp;C312,'Master Data'!$A$2:$A$2436,0)),"")</f>
        <v>Belum terisi</v>
      </c>
      <c r="F312" s="67" t="str">
        <f aca="false">IFERROR(INDEX('Master Data'!$F$2:$F$2436,MATCH($B$3&amp;"|"&amp;D312&amp;"|"&amp;B312&amp;"|"&amp;C312,'Master Data'!$A$2:$A$2436,0))&amp;"","")</f>
        <v>Tiny</v>
      </c>
      <c r="G312" s="66" t="n">
        <f aca="false">IFERROR(INDEX('Master Data'!$G$2:$G$2436,MATCH($B$3&amp;"|"&amp;D312&amp;"|"&amp;B312&amp;"|"&amp;C312,'Master Data'!$A$2:$A$2436,0)),"")</f>
        <v>5</v>
      </c>
      <c r="H312" s="67" t="str">
        <f aca="false">IFERROR(INDEX('Master Data'!$K$2:$K$2436,MATCH($B$3&amp;"|"&amp;D312&amp;"|"&amp;B312&amp;"|"&amp;C312,'Master Data'!$A$2:$A$2436,0))&amp;"","")</f>
        <v/>
      </c>
      <c r="I312" s="67" t="s">
        <v>457</v>
      </c>
      <c r="J312" s="67" t="s">
        <v>134</v>
      </c>
      <c r="K312" s="68"/>
      <c r="L312" s="68"/>
      <c r="M312" s="68"/>
      <c r="N312" s="69"/>
      <c r="O312" s="68"/>
    </row>
    <row r="313" customFormat="false" ht="27.75" hidden="false" customHeight="true" outlineLevel="0" collapsed="false">
      <c r="A313" s="66" t="n">
        <v>222</v>
      </c>
      <c r="B313" s="67" t="s">
        <v>94</v>
      </c>
      <c r="C313" s="66" t="s">
        <v>114</v>
      </c>
      <c r="D313" s="66" t="n">
        <v>5</v>
      </c>
      <c r="E313" s="67" t="str">
        <f aca="false">IFERROR(INDEX('Master Data'!$L$2:$L$2436,MATCH($B$3&amp;"|"&amp;D313&amp;"|"&amp;B313&amp;"|"&amp;C313,'Master Data'!$A$2:$A$2436,0)),"")</f>
        <v>Slot kosong</v>
      </c>
      <c r="F313" s="67" t="str">
        <f aca="false">IFERROR(INDEX('Master Data'!$F$2:$F$2436,MATCH($B$3&amp;"|"&amp;D313&amp;"|"&amp;B313&amp;"|"&amp;C313,'Master Data'!$A$2:$A$2436,0))&amp;"","")</f>
        <v/>
      </c>
      <c r="G313" s="66" t="n">
        <f aca="false">IFERROR(INDEX('Master Data'!$G$2:$G$2436,MATCH($B$3&amp;"|"&amp;D313&amp;"|"&amp;B313&amp;"|"&amp;C313,'Master Data'!$A$2:$A$2436,0)),"")</f>
        <v>4</v>
      </c>
      <c r="H313" s="67" t="str">
        <f aca="false">IFERROR(INDEX('Master Data'!$K$2:$K$2436,MATCH($B$3&amp;"|"&amp;D313&amp;"|"&amp;B313&amp;"|"&amp;C313,'Master Data'!$A$2:$A$2436,0))&amp;"","")</f>
        <v/>
      </c>
      <c r="I313" s="67" t="s">
        <v>457</v>
      </c>
      <c r="J313" s="67" t="s">
        <v>134</v>
      </c>
      <c r="K313" s="68"/>
      <c r="L313" s="68"/>
      <c r="M313" s="68"/>
      <c r="N313" s="69"/>
      <c r="O313" s="68"/>
    </row>
    <row r="314" customFormat="false" ht="27.75" hidden="false" customHeight="true" outlineLevel="0" collapsed="false">
      <c r="A314" s="66" t="n">
        <v>223</v>
      </c>
      <c r="B314" s="67" t="s">
        <v>94</v>
      </c>
      <c r="C314" s="66" t="s">
        <v>100</v>
      </c>
      <c r="D314" s="66" t="n">
        <v>4</v>
      </c>
      <c r="E314" s="67" t="str">
        <f aca="false">IFERROR(INDEX('Master Data'!$L$2:$L$2436,MATCH($B$3&amp;"|"&amp;D314&amp;"|"&amp;B314&amp;"|"&amp;C314,'Master Data'!$A$2:$A$2436,0)),"")</f>
        <v>Belum terisi</v>
      </c>
      <c r="F314" s="67" t="str">
        <f aca="false">IFERROR(INDEX('Master Data'!$F$2:$F$2436,MATCH($B$3&amp;"|"&amp;D314&amp;"|"&amp;B314&amp;"|"&amp;C314,'Master Data'!$A$2:$A$2436,0))&amp;"","")</f>
        <v>Kids</v>
      </c>
      <c r="G314" s="66" t="n">
        <f aca="false">IFERROR(INDEX('Master Data'!$G$2:$G$2436,MATCH($B$3&amp;"|"&amp;D314&amp;"|"&amp;B314&amp;"|"&amp;C314,'Master Data'!$A$2:$A$2436,0)),"")</f>
        <v>4</v>
      </c>
      <c r="H314" s="67" t="str">
        <f aca="false">IFERROR(INDEX('Master Data'!$K$2:$K$2436,MATCH($B$3&amp;"|"&amp;D314&amp;"|"&amp;B314&amp;"|"&amp;C314,'Master Data'!$A$2:$A$2436,0))&amp;"","")</f>
        <v/>
      </c>
      <c r="I314" s="67" t="s">
        <v>462</v>
      </c>
      <c r="J314" s="67" t="s">
        <v>134</v>
      </c>
      <c r="K314" s="68"/>
      <c r="L314" s="68"/>
      <c r="M314" s="68"/>
      <c r="N314" s="69"/>
      <c r="O314" s="68"/>
    </row>
    <row r="315" customFormat="false" ht="27.75" hidden="false" customHeight="true" outlineLevel="0" collapsed="false">
      <c r="A315" s="66" t="n">
        <v>224</v>
      </c>
      <c r="B315" s="67" t="s">
        <v>94</v>
      </c>
      <c r="C315" s="66" t="s">
        <v>115</v>
      </c>
      <c r="D315" s="66" t="n">
        <v>1</v>
      </c>
      <c r="E315" s="67" t="str">
        <f aca="false">IFERROR(INDEX('Master Data'!$L$2:$L$2436,MATCH($B$3&amp;"|"&amp;D315&amp;"|"&amp;B315&amp;"|"&amp;C315,'Master Data'!$A$2:$A$2436,0)),"")</f>
        <v>Belum terisi</v>
      </c>
      <c r="F315" s="67" t="str">
        <f aca="false">IFERROR(INDEX('Master Data'!$F$2:$F$2436,MATCH($B$3&amp;"|"&amp;D315&amp;"|"&amp;B315&amp;"|"&amp;C315,'Master Data'!$A$2:$A$2436,0))&amp;"","")</f>
        <v>Baby</v>
      </c>
      <c r="G315" s="66" t="n">
        <f aca="false">IFERROR(INDEX('Master Data'!$G$2:$G$2436,MATCH($B$3&amp;"|"&amp;D315&amp;"|"&amp;B315&amp;"|"&amp;C315,'Master Data'!$A$2:$A$2436,0)),"")</f>
        <v>5</v>
      </c>
      <c r="H315" s="67" t="str">
        <f aca="false">IFERROR(INDEX('Master Data'!$K$2:$K$2436,MATCH($B$3&amp;"|"&amp;D315&amp;"|"&amp;B315&amp;"|"&amp;C315,'Master Data'!$A$2:$A$2436,0))&amp;"","")</f>
        <v/>
      </c>
      <c r="I315" s="67" t="s">
        <v>462</v>
      </c>
      <c r="J315" s="67" t="s">
        <v>134</v>
      </c>
      <c r="K315" s="68"/>
      <c r="L315" s="68"/>
      <c r="M315" s="68"/>
      <c r="N315" s="69"/>
      <c r="O315" s="68"/>
    </row>
    <row r="316" customFormat="false" ht="27.75" hidden="false" customHeight="true" outlineLevel="0" collapsed="false">
      <c r="A316" s="66" t="n">
        <v>225</v>
      </c>
      <c r="B316" s="67" t="s">
        <v>94</v>
      </c>
      <c r="C316" s="66" t="s">
        <v>115</v>
      </c>
      <c r="D316" s="66" t="n">
        <v>2</v>
      </c>
      <c r="E316" s="67" t="str">
        <f aca="false">IFERROR(INDEX('Master Data'!$L$2:$L$2436,MATCH($B$3&amp;"|"&amp;D316&amp;"|"&amp;B316&amp;"|"&amp;C316,'Master Data'!$A$2:$A$2436,0)),"")</f>
        <v>Belum terisi</v>
      </c>
      <c r="F316" s="67" t="str">
        <f aca="false">IFERROR(INDEX('Master Data'!$F$2:$F$2436,MATCH($B$3&amp;"|"&amp;D316&amp;"|"&amp;B316&amp;"|"&amp;C316,'Master Data'!$A$2:$A$2436,0))&amp;"","")</f>
        <v>Tiny</v>
      </c>
      <c r="G316" s="66" t="n">
        <f aca="false">IFERROR(INDEX('Master Data'!$G$2:$G$2436,MATCH($B$3&amp;"|"&amp;D316&amp;"|"&amp;B316&amp;"|"&amp;C316,'Master Data'!$A$2:$A$2436,0)),"")</f>
        <v>5</v>
      </c>
      <c r="H316" s="67" t="str">
        <f aca="false">IFERROR(INDEX('Master Data'!$K$2:$K$2436,MATCH($B$3&amp;"|"&amp;D316&amp;"|"&amp;B316&amp;"|"&amp;C316,'Master Data'!$A$2:$A$2436,0))&amp;"","")</f>
        <v/>
      </c>
      <c r="I316" s="67" t="s">
        <v>462</v>
      </c>
      <c r="J316" s="67" t="s">
        <v>134</v>
      </c>
      <c r="K316" s="68"/>
      <c r="L316" s="68"/>
      <c r="M316" s="68"/>
      <c r="N316" s="69"/>
      <c r="O316" s="68"/>
    </row>
    <row r="317" customFormat="false" ht="27.75" hidden="false" customHeight="true" outlineLevel="0" collapsed="false">
      <c r="A317" s="66" t="n">
        <v>226</v>
      </c>
      <c r="B317" s="67" t="s">
        <v>94</v>
      </c>
      <c r="C317" s="66" t="s">
        <v>115</v>
      </c>
      <c r="D317" s="66" t="n">
        <v>5</v>
      </c>
      <c r="E317" s="67" t="str">
        <f aca="false">IFERROR(INDEX('Master Data'!$L$2:$L$2436,MATCH($B$3&amp;"|"&amp;D317&amp;"|"&amp;B317&amp;"|"&amp;C317,'Master Data'!$A$2:$A$2436,0)),"")</f>
        <v>Slot kosong</v>
      </c>
      <c r="F317" s="67" t="str">
        <f aca="false">IFERROR(INDEX('Master Data'!$F$2:$F$2436,MATCH($B$3&amp;"|"&amp;D317&amp;"|"&amp;B317&amp;"|"&amp;C317,'Master Data'!$A$2:$A$2436,0))&amp;"","")</f>
        <v/>
      </c>
      <c r="G317" s="66" t="n">
        <f aca="false">IFERROR(INDEX('Master Data'!$G$2:$G$2436,MATCH($B$3&amp;"|"&amp;D317&amp;"|"&amp;B317&amp;"|"&amp;C317,'Master Data'!$A$2:$A$2436,0)),"")</f>
        <v>4</v>
      </c>
      <c r="H317" s="67" t="str">
        <f aca="false">IFERROR(INDEX('Master Data'!$K$2:$K$2436,MATCH($B$3&amp;"|"&amp;D317&amp;"|"&amp;B317&amp;"|"&amp;C317,'Master Data'!$A$2:$A$2436,0))&amp;"","")</f>
        <v/>
      </c>
      <c r="I317" s="67" t="s">
        <v>462</v>
      </c>
      <c r="J317" s="67" t="s">
        <v>134</v>
      </c>
      <c r="K317" s="68"/>
      <c r="L317" s="68"/>
      <c r="M317" s="68"/>
      <c r="N317" s="69"/>
      <c r="O317" s="68"/>
    </row>
    <row r="318" customFormat="false" ht="40.5" hidden="false" customHeight="true" outlineLevel="0" collapsed="false">
      <c r="A318" s="66" t="n">
        <v>227</v>
      </c>
      <c r="B318" s="67" t="s">
        <v>94</v>
      </c>
      <c r="C318" s="66" t="s">
        <v>101</v>
      </c>
      <c r="D318" s="66" t="n">
        <v>3</v>
      </c>
      <c r="E318" s="67" t="str">
        <f aca="false">IFERROR(INDEX('Master Data'!$L$2:$L$2436,MATCH($B$3&amp;"|"&amp;D318&amp;"|"&amp;B318&amp;"|"&amp;C318,'Master Data'!$A$2:$A$2436,0)),"")</f>
        <v>Belum terisi</v>
      </c>
      <c r="F318" s="67" t="str">
        <f aca="false">IFERROR(INDEX('Master Data'!$F$2:$F$2436,MATCH($B$3&amp;"|"&amp;D318&amp;"|"&amp;B318&amp;"|"&amp;C318,'Master Data'!$A$2:$A$2436,0))&amp;"","")</f>
        <v>Little</v>
      </c>
      <c r="G318" s="66" t="n">
        <f aca="false">IFERROR(INDEX('Master Data'!$G$2:$G$2436,MATCH($B$3&amp;"|"&amp;D318&amp;"|"&amp;B318&amp;"|"&amp;C318,'Master Data'!$A$2:$A$2436,0)),"")</f>
        <v>4</v>
      </c>
      <c r="H318" s="67" t="str">
        <f aca="false">IFERROR(INDEX('Master Data'!$K$2:$K$2436,MATCH($B$3&amp;"|"&amp;D318&amp;"|"&amp;B318&amp;"|"&amp;C318,'Master Data'!$A$2:$A$2436,0))&amp;"","")</f>
        <v/>
      </c>
      <c r="I318" s="67" t="s">
        <v>465</v>
      </c>
      <c r="J318" s="67" t="s">
        <v>134</v>
      </c>
      <c r="K318" s="68"/>
      <c r="L318" s="68"/>
      <c r="M318" s="68"/>
      <c r="N318" s="69"/>
      <c r="O318" s="68"/>
    </row>
    <row r="319" customFormat="false" ht="40.5" hidden="false" customHeight="true" outlineLevel="0" collapsed="false">
      <c r="A319" s="66" t="n">
        <v>228</v>
      </c>
      <c r="B319" s="67" t="s">
        <v>94</v>
      </c>
      <c r="C319" s="66" t="s">
        <v>101</v>
      </c>
      <c r="D319" s="66" t="n">
        <v>4</v>
      </c>
      <c r="E319" s="67" t="str">
        <f aca="false">IFERROR(INDEX('Master Data'!$L$2:$L$2436,MATCH($B$3&amp;"|"&amp;D319&amp;"|"&amp;B319&amp;"|"&amp;C319,'Master Data'!$A$2:$A$2436,0)),"")</f>
        <v>Belum terisi</v>
      </c>
      <c r="F319" s="67" t="str">
        <f aca="false">IFERROR(INDEX('Master Data'!$F$2:$F$2436,MATCH($B$3&amp;"|"&amp;D319&amp;"|"&amp;B319&amp;"|"&amp;C319,'Master Data'!$A$2:$A$2436,0))&amp;"","")</f>
        <v>Kids</v>
      </c>
      <c r="G319" s="66" t="n">
        <f aca="false">IFERROR(INDEX('Master Data'!$G$2:$G$2436,MATCH($B$3&amp;"|"&amp;D319&amp;"|"&amp;B319&amp;"|"&amp;C319,'Master Data'!$A$2:$A$2436,0)),"")</f>
        <v>4</v>
      </c>
      <c r="H319" s="67" t="str">
        <f aca="false">IFERROR(INDEX('Master Data'!$K$2:$K$2436,MATCH($B$3&amp;"|"&amp;D319&amp;"|"&amp;B319&amp;"|"&amp;C319,'Master Data'!$A$2:$A$2436,0))&amp;"","")</f>
        <v/>
      </c>
      <c r="I319" s="67" t="s">
        <v>465</v>
      </c>
      <c r="J319" s="67" t="s">
        <v>134</v>
      </c>
      <c r="K319" s="68"/>
      <c r="L319" s="68"/>
      <c r="M319" s="68"/>
      <c r="N319" s="69"/>
      <c r="O319" s="68"/>
    </row>
    <row r="320" customFormat="false" ht="27.75" hidden="false" customHeight="true" outlineLevel="0" collapsed="false">
      <c r="A320" s="66" t="n">
        <v>229</v>
      </c>
      <c r="B320" s="67" t="s">
        <v>94</v>
      </c>
      <c r="C320" s="66" t="s">
        <v>116</v>
      </c>
      <c r="D320" s="66" t="n">
        <v>1</v>
      </c>
      <c r="E320" s="67" t="str">
        <f aca="false">IFERROR(INDEX('Master Data'!$L$2:$L$2436,MATCH($B$3&amp;"|"&amp;D320&amp;"|"&amp;B320&amp;"|"&amp;C320,'Master Data'!$A$2:$A$2436,0)),"")</f>
        <v>Belum terisi</v>
      </c>
      <c r="F320" s="67" t="str">
        <f aca="false">IFERROR(INDEX('Master Data'!$F$2:$F$2436,MATCH($B$3&amp;"|"&amp;D320&amp;"|"&amp;B320&amp;"|"&amp;C320,'Master Data'!$A$2:$A$2436,0))&amp;"","")</f>
        <v>Baby</v>
      </c>
      <c r="G320" s="66" t="n">
        <f aca="false">IFERROR(INDEX('Master Data'!$G$2:$G$2436,MATCH($B$3&amp;"|"&amp;D320&amp;"|"&amp;B320&amp;"|"&amp;C320,'Master Data'!$A$2:$A$2436,0)),"")</f>
        <v>5</v>
      </c>
      <c r="H320" s="67" t="str">
        <f aca="false">IFERROR(INDEX('Master Data'!$K$2:$K$2436,MATCH($B$3&amp;"|"&amp;D320&amp;"|"&amp;B320&amp;"|"&amp;C320,'Master Data'!$A$2:$A$2436,0))&amp;"","")</f>
        <v/>
      </c>
      <c r="I320" s="67" t="s">
        <v>457</v>
      </c>
      <c r="J320" s="67" t="s">
        <v>134</v>
      </c>
      <c r="K320" s="68"/>
      <c r="L320" s="68"/>
      <c r="M320" s="68"/>
      <c r="N320" s="69"/>
      <c r="O320" s="68"/>
    </row>
    <row r="321" customFormat="false" ht="27.75" hidden="false" customHeight="true" outlineLevel="0" collapsed="false">
      <c r="A321" s="66" t="n">
        <v>230</v>
      </c>
      <c r="B321" s="67" t="s">
        <v>94</v>
      </c>
      <c r="C321" s="66" t="s">
        <v>116</v>
      </c>
      <c r="D321" s="66" t="n">
        <v>2</v>
      </c>
      <c r="E321" s="67" t="str">
        <f aca="false">IFERROR(INDEX('Master Data'!$L$2:$L$2436,MATCH($B$3&amp;"|"&amp;D321&amp;"|"&amp;B321&amp;"|"&amp;C321,'Master Data'!$A$2:$A$2436,0)),"")</f>
        <v>Belum terisi</v>
      </c>
      <c r="F321" s="67" t="str">
        <f aca="false">IFERROR(INDEX('Master Data'!$F$2:$F$2436,MATCH($B$3&amp;"|"&amp;D321&amp;"|"&amp;B321&amp;"|"&amp;C321,'Master Data'!$A$2:$A$2436,0))&amp;"","")</f>
        <v>Tiny</v>
      </c>
      <c r="G321" s="66" t="n">
        <f aca="false">IFERROR(INDEX('Master Data'!$G$2:$G$2436,MATCH($B$3&amp;"|"&amp;D321&amp;"|"&amp;B321&amp;"|"&amp;C321,'Master Data'!$A$2:$A$2436,0)),"")</f>
        <v>5</v>
      </c>
      <c r="H321" s="67" t="str">
        <f aca="false">IFERROR(INDEX('Master Data'!$K$2:$K$2436,MATCH($B$3&amp;"|"&amp;D321&amp;"|"&amp;B321&amp;"|"&amp;C321,'Master Data'!$A$2:$A$2436,0))&amp;"","")</f>
        <v/>
      </c>
      <c r="I321" s="67" t="s">
        <v>457</v>
      </c>
      <c r="J321" s="67" t="s">
        <v>134</v>
      </c>
      <c r="K321" s="68"/>
      <c r="L321" s="68"/>
      <c r="M321" s="68"/>
      <c r="N321" s="69"/>
      <c r="O321" s="68"/>
    </row>
    <row r="322" customFormat="false" ht="27.75" hidden="false" customHeight="true" outlineLevel="0" collapsed="false">
      <c r="A322" s="66" t="n">
        <v>231</v>
      </c>
      <c r="B322" s="67" t="s">
        <v>94</v>
      </c>
      <c r="C322" s="66" t="s">
        <v>116</v>
      </c>
      <c r="D322" s="66" t="n">
        <v>5</v>
      </c>
      <c r="E322" s="67" t="str">
        <f aca="false">IFERROR(INDEX('Master Data'!$L$2:$L$2436,MATCH($B$3&amp;"|"&amp;D322&amp;"|"&amp;B322&amp;"|"&amp;C322,'Master Data'!$A$2:$A$2436,0)),"")</f>
        <v>Slot kosong</v>
      </c>
      <c r="F322" s="67" t="str">
        <f aca="false">IFERROR(INDEX('Master Data'!$F$2:$F$2436,MATCH($B$3&amp;"|"&amp;D322&amp;"|"&amp;B322&amp;"|"&amp;C322,'Master Data'!$A$2:$A$2436,0))&amp;"","")</f>
        <v/>
      </c>
      <c r="G322" s="66" t="n">
        <f aca="false">IFERROR(INDEX('Master Data'!$G$2:$G$2436,MATCH($B$3&amp;"|"&amp;D322&amp;"|"&amp;B322&amp;"|"&amp;C322,'Master Data'!$A$2:$A$2436,0)),"")</f>
        <v>4</v>
      </c>
      <c r="H322" s="67" t="str">
        <f aca="false">IFERROR(INDEX('Master Data'!$K$2:$K$2436,MATCH($B$3&amp;"|"&amp;D322&amp;"|"&amp;B322&amp;"|"&amp;C322,'Master Data'!$A$2:$A$2436,0))&amp;"","")</f>
        <v/>
      </c>
      <c r="I322" s="67" t="s">
        <v>457</v>
      </c>
      <c r="J322" s="67" t="s">
        <v>134</v>
      </c>
      <c r="K322" s="68"/>
      <c r="L322" s="68"/>
      <c r="M322" s="68"/>
      <c r="N322" s="69"/>
      <c r="O322" s="68"/>
    </row>
    <row r="323" customFormat="false" ht="27.75" hidden="false" customHeight="true" outlineLevel="0" collapsed="false">
      <c r="A323" s="66" t="n">
        <v>232</v>
      </c>
      <c r="B323" s="67" t="s">
        <v>94</v>
      </c>
      <c r="C323" s="66" t="s">
        <v>117</v>
      </c>
      <c r="D323" s="66" t="n">
        <v>1</v>
      </c>
      <c r="E323" s="67" t="str">
        <f aca="false">IFERROR(INDEX('Master Data'!$L$2:$L$2436,MATCH($B$3&amp;"|"&amp;D323&amp;"|"&amp;B323&amp;"|"&amp;C323,'Master Data'!$A$2:$A$2436,0)),"")</f>
        <v>Belum terisi</v>
      </c>
      <c r="F323" s="67" t="str">
        <f aca="false">IFERROR(INDEX('Master Data'!$F$2:$F$2436,MATCH($B$3&amp;"|"&amp;D323&amp;"|"&amp;B323&amp;"|"&amp;C323,'Master Data'!$A$2:$A$2436,0))&amp;"","")</f>
        <v>Baby</v>
      </c>
      <c r="G323" s="66" t="n">
        <f aca="false">IFERROR(INDEX('Master Data'!$G$2:$G$2436,MATCH($B$3&amp;"|"&amp;D323&amp;"|"&amp;B323&amp;"|"&amp;C323,'Master Data'!$A$2:$A$2436,0)),"")</f>
        <v>5</v>
      </c>
      <c r="H323" s="67" t="str">
        <f aca="false">IFERROR(INDEX('Master Data'!$K$2:$K$2436,MATCH($B$3&amp;"|"&amp;D323&amp;"|"&amp;B323&amp;"|"&amp;C323,'Master Data'!$A$2:$A$2436,0))&amp;"","")</f>
        <v/>
      </c>
      <c r="I323" s="67" t="s">
        <v>457</v>
      </c>
      <c r="J323" s="67" t="s">
        <v>134</v>
      </c>
      <c r="K323" s="68"/>
      <c r="L323" s="68"/>
      <c r="M323" s="68"/>
      <c r="N323" s="69"/>
      <c r="O323" s="68"/>
    </row>
    <row r="324" customFormat="false" ht="27.75" hidden="false" customHeight="true" outlineLevel="0" collapsed="false">
      <c r="A324" s="66" t="n">
        <v>233</v>
      </c>
      <c r="B324" s="67" t="s">
        <v>94</v>
      </c>
      <c r="C324" s="66" t="s">
        <v>117</v>
      </c>
      <c r="D324" s="66" t="n">
        <v>2</v>
      </c>
      <c r="E324" s="67" t="str">
        <f aca="false">IFERROR(INDEX('Master Data'!$L$2:$L$2436,MATCH($B$3&amp;"|"&amp;D324&amp;"|"&amp;B324&amp;"|"&amp;C324,'Master Data'!$A$2:$A$2436,0)),"")</f>
        <v>Belum terisi</v>
      </c>
      <c r="F324" s="67" t="str">
        <f aca="false">IFERROR(INDEX('Master Data'!$F$2:$F$2436,MATCH($B$3&amp;"|"&amp;D324&amp;"|"&amp;B324&amp;"|"&amp;C324,'Master Data'!$A$2:$A$2436,0))&amp;"","")</f>
        <v>Tiny</v>
      </c>
      <c r="G324" s="66" t="n">
        <f aca="false">IFERROR(INDEX('Master Data'!$G$2:$G$2436,MATCH($B$3&amp;"|"&amp;D324&amp;"|"&amp;B324&amp;"|"&amp;C324,'Master Data'!$A$2:$A$2436,0)),"")</f>
        <v>5</v>
      </c>
      <c r="H324" s="67" t="str">
        <f aca="false">IFERROR(INDEX('Master Data'!$K$2:$K$2436,MATCH($B$3&amp;"|"&amp;D324&amp;"|"&amp;B324&amp;"|"&amp;C324,'Master Data'!$A$2:$A$2436,0))&amp;"","")</f>
        <v/>
      </c>
      <c r="I324" s="67" t="s">
        <v>457</v>
      </c>
      <c r="J324" s="67" t="s">
        <v>134</v>
      </c>
      <c r="K324" s="68"/>
      <c r="L324" s="68"/>
      <c r="M324" s="68"/>
      <c r="N324" s="69"/>
      <c r="O324" s="68"/>
    </row>
    <row r="325" customFormat="false" ht="27.75" hidden="false" customHeight="true" outlineLevel="0" collapsed="false">
      <c r="A325" s="66" t="n">
        <v>234</v>
      </c>
      <c r="B325" s="67" t="s">
        <v>94</v>
      </c>
      <c r="C325" s="66" t="s">
        <v>117</v>
      </c>
      <c r="D325" s="66" t="n">
        <v>5</v>
      </c>
      <c r="E325" s="67" t="str">
        <f aca="false">IFERROR(INDEX('Master Data'!$L$2:$L$2436,MATCH($B$3&amp;"|"&amp;D325&amp;"|"&amp;B325&amp;"|"&amp;C325,'Master Data'!$A$2:$A$2436,0)),"")</f>
        <v>Slot kosong</v>
      </c>
      <c r="F325" s="67" t="str">
        <f aca="false">IFERROR(INDEX('Master Data'!$F$2:$F$2436,MATCH($B$3&amp;"|"&amp;D325&amp;"|"&amp;B325&amp;"|"&amp;C325,'Master Data'!$A$2:$A$2436,0))&amp;"","")</f>
        <v/>
      </c>
      <c r="G325" s="66" t="n">
        <f aca="false">IFERROR(INDEX('Master Data'!$G$2:$G$2436,MATCH($B$3&amp;"|"&amp;D325&amp;"|"&amp;B325&amp;"|"&amp;C325,'Master Data'!$A$2:$A$2436,0)),"")</f>
        <v>4</v>
      </c>
      <c r="H325" s="67" t="str">
        <f aca="false">IFERROR(INDEX('Master Data'!$K$2:$K$2436,MATCH($B$3&amp;"|"&amp;D325&amp;"|"&amp;B325&amp;"|"&amp;C325,'Master Data'!$A$2:$A$2436,0))&amp;"","")</f>
        <v/>
      </c>
      <c r="I325" s="67" t="s">
        <v>457</v>
      </c>
      <c r="J325" s="67" t="s">
        <v>134</v>
      </c>
      <c r="K325" s="68"/>
      <c r="L325" s="68"/>
      <c r="M325" s="68"/>
      <c r="N325" s="69"/>
      <c r="O325" s="68"/>
    </row>
    <row r="326" customFormat="false" ht="27.75" hidden="false" customHeight="true" outlineLevel="0" collapsed="false">
      <c r="A326" s="66" t="n">
        <v>235</v>
      </c>
      <c r="B326" s="67" t="s">
        <v>94</v>
      </c>
      <c r="C326" s="66" t="s">
        <v>103</v>
      </c>
      <c r="D326" s="66" t="n">
        <v>3</v>
      </c>
      <c r="E326" s="67" t="str">
        <f aca="false">IFERROR(INDEX('Master Data'!$L$2:$L$2436,MATCH($B$3&amp;"|"&amp;D326&amp;"|"&amp;B326&amp;"|"&amp;C326,'Master Data'!$A$2:$A$2436,0)),"")</f>
        <v>Belum terisi</v>
      </c>
      <c r="F326" s="67" t="str">
        <f aca="false">IFERROR(INDEX('Master Data'!$F$2:$F$2436,MATCH($B$3&amp;"|"&amp;D326&amp;"|"&amp;B326&amp;"|"&amp;C326,'Master Data'!$A$2:$A$2436,0))&amp;"","")</f>
        <v>Little</v>
      </c>
      <c r="G326" s="66" t="n">
        <f aca="false">IFERROR(INDEX('Master Data'!$G$2:$G$2436,MATCH($B$3&amp;"|"&amp;D326&amp;"|"&amp;B326&amp;"|"&amp;C326,'Master Data'!$A$2:$A$2436,0)),"")</f>
        <v>4</v>
      </c>
      <c r="H326" s="67" t="str">
        <f aca="false">IFERROR(INDEX('Master Data'!$K$2:$K$2436,MATCH($B$3&amp;"|"&amp;D326&amp;"|"&amp;B326&amp;"|"&amp;C326,'Master Data'!$A$2:$A$2436,0))&amp;"","")</f>
        <v/>
      </c>
      <c r="I326" s="67" t="s">
        <v>467</v>
      </c>
      <c r="J326" s="67" t="s">
        <v>134</v>
      </c>
      <c r="K326" s="68"/>
      <c r="L326" s="68"/>
      <c r="M326" s="68"/>
      <c r="N326" s="69"/>
      <c r="O326" s="68"/>
    </row>
    <row r="327" customFormat="false" ht="27.75" hidden="false" customHeight="true" outlineLevel="0" collapsed="false">
      <c r="A327" s="66" t="n">
        <v>236</v>
      </c>
      <c r="B327" s="67" t="s">
        <v>94</v>
      </c>
      <c r="C327" s="66" t="s">
        <v>118</v>
      </c>
      <c r="D327" s="66" t="n">
        <v>1</v>
      </c>
      <c r="E327" s="67" t="str">
        <f aca="false">IFERROR(INDEX('Master Data'!$L$2:$L$2436,MATCH($B$3&amp;"|"&amp;D327&amp;"|"&amp;B327&amp;"|"&amp;C327,'Master Data'!$A$2:$A$2436,0)),"")</f>
        <v>Belum terisi</v>
      </c>
      <c r="F327" s="67" t="str">
        <f aca="false">IFERROR(INDEX('Master Data'!$F$2:$F$2436,MATCH($B$3&amp;"|"&amp;D327&amp;"|"&amp;B327&amp;"|"&amp;C327,'Master Data'!$A$2:$A$2436,0))&amp;"","")</f>
        <v>Baby</v>
      </c>
      <c r="G327" s="66" t="n">
        <f aca="false">IFERROR(INDEX('Master Data'!$G$2:$G$2436,MATCH($B$3&amp;"|"&amp;D327&amp;"|"&amp;B327&amp;"|"&amp;C327,'Master Data'!$A$2:$A$2436,0)),"")</f>
        <v>5</v>
      </c>
      <c r="H327" s="67" t="str">
        <f aca="false">IFERROR(INDEX('Master Data'!$K$2:$K$2436,MATCH($B$3&amp;"|"&amp;D327&amp;"|"&amp;B327&amp;"|"&amp;C327,'Master Data'!$A$2:$A$2436,0))&amp;"","")</f>
        <v/>
      </c>
      <c r="I327" s="67" t="s">
        <v>457</v>
      </c>
      <c r="J327" s="67" t="s">
        <v>134</v>
      </c>
      <c r="K327" s="68"/>
      <c r="L327" s="68"/>
      <c r="M327" s="68"/>
      <c r="N327" s="69"/>
      <c r="O327" s="68"/>
    </row>
    <row r="328" customFormat="false" ht="27.75" hidden="false" customHeight="true" outlineLevel="0" collapsed="false">
      <c r="A328" s="66" t="n">
        <v>237</v>
      </c>
      <c r="B328" s="67" t="s">
        <v>94</v>
      </c>
      <c r="C328" s="66" t="s">
        <v>118</v>
      </c>
      <c r="D328" s="66" t="n">
        <v>2</v>
      </c>
      <c r="E328" s="67" t="str">
        <f aca="false">IFERROR(INDEX('Master Data'!$L$2:$L$2436,MATCH($B$3&amp;"|"&amp;D328&amp;"|"&amp;B328&amp;"|"&amp;C328,'Master Data'!$A$2:$A$2436,0)),"")</f>
        <v>Belum terisi</v>
      </c>
      <c r="F328" s="67" t="str">
        <f aca="false">IFERROR(INDEX('Master Data'!$F$2:$F$2436,MATCH($B$3&amp;"|"&amp;D328&amp;"|"&amp;B328&amp;"|"&amp;C328,'Master Data'!$A$2:$A$2436,0))&amp;"","")</f>
        <v>Tiny</v>
      </c>
      <c r="G328" s="66" t="n">
        <f aca="false">IFERROR(INDEX('Master Data'!$G$2:$G$2436,MATCH($B$3&amp;"|"&amp;D328&amp;"|"&amp;B328&amp;"|"&amp;C328,'Master Data'!$A$2:$A$2436,0)),"")</f>
        <v>5</v>
      </c>
      <c r="H328" s="67" t="str">
        <f aca="false">IFERROR(INDEX('Master Data'!$K$2:$K$2436,MATCH($B$3&amp;"|"&amp;D328&amp;"|"&amp;B328&amp;"|"&amp;C328,'Master Data'!$A$2:$A$2436,0))&amp;"","")</f>
        <v/>
      </c>
      <c r="I328" s="67" t="s">
        <v>457</v>
      </c>
      <c r="J328" s="67" t="s">
        <v>134</v>
      </c>
      <c r="K328" s="68"/>
      <c r="L328" s="68"/>
      <c r="M328" s="68"/>
      <c r="N328" s="69"/>
      <c r="O328" s="68"/>
    </row>
    <row r="329" customFormat="false" ht="27.75" hidden="false" customHeight="true" outlineLevel="0" collapsed="false">
      <c r="A329" s="66" t="n">
        <v>238</v>
      </c>
      <c r="B329" s="67" t="s">
        <v>94</v>
      </c>
      <c r="C329" s="66" t="s">
        <v>118</v>
      </c>
      <c r="D329" s="66" t="n">
        <v>5</v>
      </c>
      <c r="E329" s="67" t="str">
        <f aca="false">IFERROR(INDEX('Master Data'!$L$2:$L$2436,MATCH($B$3&amp;"|"&amp;D329&amp;"|"&amp;B329&amp;"|"&amp;C329,'Master Data'!$A$2:$A$2436,0)),"")</f>
        <v>Slot kosong</v>
      </c>
      <c r="F329" s="67" t="str">
        <f aca="false">IFERROR(INDEX('Master Data'!$F$2:$F$2436,MATCH($B$3&amp;"|"&amp;D329&amp;"|"&amp;B329&amp;"|"&amp;C329,'Master Data'!$A$2:$A$2436,0))&amp;"","")</f>
        <v/>
      </c>
      <c r="G329" s="66" t="n">
        <f aca="false">IFERROR(INDEX('Master Data'!$G$2:$G$2436,MATCH($B$3&amp;"|"&amp;D329&amp;"|"&amp;B329&amp;"|"&amp;C329,'Master Data'!$A$2:$A$2436,0)),"")</f>
        <v>4</v>
      </c>
      <c r="H329" s="67" t="str">
        <f aca="false">IFERROR(INDEX('Master Data'!$K$2:$K$2436,MATCH($B$3&amp;"|"&amp;D329&amp;"|"&amp;B329&amp;"|"&amp;C329,'Master Data'!$A$2:$A$2436,0))&amp;"","")</f>
        <v/>
      </c>
      <c r="I329" s="67" t="s">
        <v>457</v>
      </c>
      <c r="J329" s="67" t="s">
        <v>134</v>
      </c>
      <c r="K329" s="68"/>
      <c r="L329" s="68"/>
      <c r="M329" s="68"/>
      <c r="N329" s="69"/>
      <c r="O329" s="68"/>
    </row>
    <row r="330" customFormat="false" ht="15.75" hidden="false" customHeight="true" outlineLevel="0" collapsed="false">
      <c r="A330" s="66" t="n">
        <v>239</v>
      </c>
      <c r="B330" s="67" t="s">
        <v>94</v>
      </c>
      <c r="C330" s="66" t="s">
        <v>104</v>
      </c>
      <c r="D330" s="66" t="n">
        <v>3</v>
      </c>
      <c r="E330" s="67" t="str">
        <f aca="false">IFERROR(INDEX('Master Data'!$L$2:$L$2436,MATCH($B$3&amp;"|"&amp;D330&amp;"|"&amp;B330&amp;"|"&amp;C330,'Master Data'!$A$2:$A$2436,0)),"")</f>
        <v>Belum terisi</v>
      </c>
      <c r="F330" s="67" t="str">
        <f aca="false">IFERROR(INDEX('Master Data'!$F$2:$F$2436,MATCH($B$3&amp;"|"&amp;D330&amp;"|"&amp;B330&amp;"|"&amp;C330,'Master Data'!$A$2:$A$2436,0))&amp;"","")</f>
        <v>Little</v>
      </c>
      <c r="G330" s="66" t="n">
        <f aca="false">IFERROR(INDEX('Master Data'!$G$2:$G$2436,MATCH($B$3&amp;"|"&amp;D330&amp;"|"&amp;B330&amp;"|"&amp;C330,'Master Data'!$A$2:$A$2436,0)),"")</f>
        <v>4</v>
      </c>
      <c r="H330" s="67" t="str">
        <f aca="false">IFERROR(INDEX('Master Data'!$K$2:$K$2436,MATCH($B$3&amp;"|"&amp;D330&amp;"|"&amp;B330&amp;"|"&amp;C330,'Master Data'!$A$2:$A$2436,0))&amp;"","")</f>
        <v/>
      </c>
      <c r="I330" s="67" t="s">
        <v>463</v>
      </c>
      <c r="J330" s="67" t="s">
        <v>203</v>
      </c>
      <c r="K330" s="68"/>
      <c r="L330" s="68"/>
      <c r="M330" s="68"/>
      <c r="N330" s="69"/>
      <c r="O330" s="68"/>
    </row>
    <row r="331" customFormat="false" ht="15.75" hidden="false" customHeight="true" outlineLevel="0" collapsed="false">
      <c r="A331" s="66" t="n">
        <v>240</v>
      </c>
      <c r="B331" s="67" t="s">
        <v>94</v>
      </c>
      <c r="C331" s="66" t="s">
        <v>119</v>
      </c>
      <c r="D331" s="66" t="n">
        <v>1</v>
      </c>
      <c r="E331" s="67" t="str">
        <f aca="false">IFERROR(INDEX('Master Data'!$L$2:$L$2436,MATCH($B$3&amp;"|"&amp;D331&amp;"|"&amp;B331&amp;"|"&amp;C331,'Master Data'!$A$2:$A$2436,0)),"")</f>
        <v>Belum terisi</v>
      </c>
      <c r="F331" s="67" t="str">
        <f aca="false">IFERROR(INDEX('Master Data'!$F$2:$F$2436,MATCH($B$3&amp;"|"&amp;D331&amp;"|"&amp;B331&amp;"|"&amp;C331,'Master Data'!$A$2:$A$2436,0))&amp;"","")</f>
        <v>Baby</v>
      </c>
      <c r="G331" s="66" t="n">
        <f aca="false">IFERROR(INDEX('Master Data'!$G$2:$G$2436,MATCH($B$3&amp;"|"&amp;D331&amp;"|"&amp;B331&amp;"|"&amp;C331,'Master Data'!$A$2:$A$2436,0)),"")</f>
        <v>5</v>
      </c>
      <c r="H331" s="67" t="str">
        <f aca="false">IFERROR(INDEX('Master Data'!$K$2:$K$2436,MATCH($B$3&amp;"|"&amp;D331&amp;"|"&amp;B331&amp;"|"&amp;C331,'Master Data'!$A$2:$A$2436,0))&amp;"","")</f>
        <v/>
      </c>
      <c r="I331" s="67" t="s">
        <v>458</v>
      </c>
      <c r="J331" s="67" t="s">
        <v>221</v>
      </c>
      <c r="K331" s="68"/>
      <c r="L331" s="68"/>
      <c r="M331" s="68"/>
      <c r="N331" s="69"/>
      <c r="O331" s="68"/>
    </row>
    <row r="332" customFormat="false" ht="15.75" hidden="false" customHeight="true" outlineLevel="0" collapsed="false">
      <c r="A332" s="66" t="n">
        <v>241</v>
      </c>
      <c r="B332" s="67" t="s">
        <v>94</v>
      </c>
      <c r="C332" s="66" t="s">
        <v>119</v>
      </c>
      <c r="D332" s="66" t="n">
        <v>5</v>
      </c>
      <c r="E332" s="67" t="str">
        <f aca="false">IFERROR(INDEX('Master Data'!$L$2:$L$2436,MATCH($B$3&amp;"|"&amp;D332&amp;"|"&amp;B332&amp;"|"&amp;C332,'Master Data'!$A$2:$A$2436,0)),"")</f>
        <v>Slot kosong</v>
      </c>
      <c r="F332" s="67" t="str">
        <f aca="false">IFERROR(INDEX('Master Data'!$F$2:$F$2436,MATCH($B$3&amp;"|"&amp;D332&amp;"|"&amp;B332&amp;"|"&amp;C332,'Master Data'!$A$2:$A$2436,0))&amp;"","")</f>
        <v/>
      </c>
      <c r="G332" s="66" t="n">
        <f aca="false">IFERROR(INDEX('Master Data'!$G$2:$G$2436,MATCH($B$3&amp;"|"&amp;D332&amp;"|"&amp;B332&amp;"|"&amp;C332,'Master Data'!$A$2:$A$2436,0)),"")</f>
        <v>4</v>
      </c>
      <c r="H332" s="67" t="str">
        <f aca="false">IFERROR(INDEX('Master Data'!$K$2:$K$2436,MATCH($B$3&amp;"|"&amp;D332&amp;"|"&amp;B332&amp;"|"&amp;C332,'Master Data'!$A$2:$A$2436,0))&amp;"","")</f>
        <v/>
      </c>
      <c r="I332" s="67" t="s">
        <v>458</v>
      </c>
      <c r="J332" s="67" t="s">
        <v>203</v>
      </c>
      <c r="K332" s="68"/>
      <c r="L332" s="68"/>
      <c r="M332" s="68"/>
      <c r="N332" s="69"/>
      <c r="O332" s="68"/>
    </row>
    <row r="333" customFormat="false" ht="15.75" hidden="false" customHeight="true" outlineLevel="0" collapsed="false">
      <c r="A333" s="66" t="n">
        <v>242</v>
      </c>
      <c r="B333" s="67" t="s">
        <v>94</v>
      </c>
      <c r="C333" s="66" t="s">
        <v>120</v>
      </c>
      <c r="D333" s="66" t="n">
        <v>2</v>
      </c>
      <c r="E333" s="67" t="str">
        <f aca="false">IFERROR(INDEX('Master Data'!$L$2:$L$2436,MATCH($B$3&amp;"|"&amp;D333&amp;"|"&amp;B333&amp;"|"&amp;C333,'Master Data'!$A$2:$A$2436,0)),"")</f>
        <v>Belum terisi</v>
      </c>
      <c r="F333" s="67" t="str">
        <f aca="false">IFERROR(INDEX('Master Data'!$F$2:$F$2436,MATCH($B$3&amp;"|"&amp;D333&amp;"|"&amp;B333&amp;"|"&amp;C333,'Master Data'!$A$2:$A$2436,0))&amp;"","")</f>
        <v>Tiny</v>
      </c>
      <c r="G333" s="66" t="n">
        <f aca="false">IFERROR(INDEX('Master Data'!$G$2:$G$2436,MATCH($B$3&amp;"|"&amp;D333&amp;"|"&amp;B333&amp;"|"&amp;C333,'Master Data'!$A$2:$A$2436,0)),"")</f>
        <v>5</v>
      </c>
      <c r="H333" s="67" t="str">
        <f aca="false">IFERROR(INDEX('Master Data'!$K$2:$K$2436,MATCH($B$3&amp;"|"&amp;D333&amp;"|"&amp;B333&amp;"|"&amp;C333,'Master Data'!$A$2:$A$2436,0))&amp;"","")</f>
        <v/>
      </c>
      <c r="I333" s="67" t="s">
        <v>458</v>
      </c>
      <c r="J333" s="67" t="s">
        <v>144</v>
      </c>
      <c r="K333" s="68"/>
      <c r="L333" s="68"/>
      <c r="M333" s="68"/>
      <c r="N333" s="69"/>
      <c r="O333" s="68"/>
    </row>
    <row r="334" customFormat="false" ht="15.75" hidden="false" customHeight="true" outlineLevel="0" collapsed="false">
      <c r="A334" s="66" t="n">
        <v>243</v>
      </c>
      <c r="B334" s="67" t="s">
        <v>94</v>
      </c>
      <c r="C334" s="66" t="s">
        <v>120</v>
      </c>
      <c r="D334" s="66" t="n">
        <v>5</v>
      </c>
      <c r="E334" s="67" t="str">
        <f aca="false">IFERROR(INDEX('Master Data'!$L$2:$L$2436,MATCH($B$3&amp;"|"&amp;D334&amp;"|"&amp;B334&amp;"|"&amp;C334,'Master Data'!$A$2:$A$2436,0)),"")</f>
        <v>Slot kosong</v>
      </c>
      <c r="F334" s="67" t="str">
        <f aca="false">IFERROR(INDEX('Master Data'!$F$2:$F$2436,MATCH($B$3&amp;"|"&amp;D334&amp;"|"&amp;B334&amp;"|"&amp;C334,'Master Data'!$A$2:$A$2436,0))&amp;"","")</f>
        <v/>
      </c>
      <c r="G334" s="66" t="n">
        <f aca="false">IFERROR(INDEX('Master Data'!$G$2:$G$2436,MATCH($B$3&amp;"|"&amp;D334&amp;"|"&amp;B334&amp;"|"&amp;C334,'Master Data'!$A$2:$A$2436,0)),"")</f>
        <v>4</v>
      </c>
      <c r="H334" s="67" t="str">
        <f aca="false">IFERROR(INDEX('Master Data'!$K$2:$K$2436,MATCH($B$3&amp;"|"&amp;D334&amp;"|"&amp;B334&amp;"|"&amp;C334,'Master Data'!$A$2:$A$2436,0))&amp;"","")</f>
        <v/>
      </c>
      <c r="I334" s="67" t="s">
        <v>458</v>
      </c>
      <c r="J334" s="67" t="s">
        <v>203</v>
      </c>
      <c r="K334" s="68"/>
      <c r="L334" s="68"/>
      <c r="M334" s="68"/>
      <c r="N334" s="69"/>
      <c r="O334" s="68"/>
    </row>
    <row r="335" customFormat="false" ht="15.75" hidden="false" customHeight="true" outlineLevel="0" collapsed="false">
      <c r="A335" s="66" t="n">
        <v>244</v>
      </c>
      <c r="B335" s="67" t="s">
        <v>94</v>
      </c>
      <c r="C335" s="66" t="s">
        <v>121</v>
      </c>
      <c r="D335" s="66" t="n">
        <v>1</v>
      </c>
      <c r="E335" s="67" t="str">
        <f aca="false">IFERROR(INDEX('Master Data'!$L$2:$L$2436,MATCH($B$3&amp;"|"&amp;D335&amp;"|"&amp;B335&amp;"|"&amp;C335,'Master Data'!$A$2:$A$2436,0)),"")</f>
        <v>Belum terisi</v>
      </c>
      <c r="F335" s="67" t="str">
        <f aca="false">IFERROR(INDEX('Master Data'!$F$2:$F$2436,MATCH($B$3&amp;"|"&amp;D335&amp;"|"&amp;B335&amp;"|"&amp;C335,'Master Data'!$A$2:$A$2436,0))&amp;"","")</f>
        <v>Baby</v>
      </c>
      <c r="G335" s="66" t="n">
        <f aca="false">IFERROR(INDEX('Master Data'!$G$2:$G$2436,MATCH($B$3&amp;"|"&amp;D335&amp;"|"&amp;B335&amp;"|"&amp;C335,'Master Data'!$A$2:$A$2436,0)),"")</f>
        <v>5</v>
      </c>
      <c r="H335" s="67" t="str">
        <f aca="false">IFERROR(INDEX('Master Data'!$K$2:$K$2436,MATCH($B$3&amp;"|"&amp;D335&amp;"|"&amp;B335&amp;"|"&amp;C335,'Master Data'!$A$2:$A$2436,0))&amp;"","")</f>
        <v/>
      </c>
      <c r="I335" s="67" t="s">
        <v>460</v>
      </c>
      <c r="J335" s="67" t="s">
        <v>461</v>
      </c>
      <c r="K335" s="68"/>
      <c r="L335" s="68"/>
      <c r="M335" s="68"/>
      <c r="N335" s="69"/>
      <c r="O335" s="68"/>
    </row>
    <row r="336" customFormat="false" ht="15.75" hidden="false" customHeight="true" outlineLevel="0" collapsed="false">
      <c r="A336" s="66" t="n">
        <v>245</v>
      </c>
      <c r="B336" s="67" t="s">
        <v>94</v>
      </c>
      <c r="C336" s="66" t="s">
        <v>121</v>
      </c>
      <c r="D336" s="66" t="n">
        <v>2</v>
      </c>
      <c r="E336" s="67" t="str">
        <f aca="false">IFERROR(INDEX('Master Data'!$L$2:$L$2436,MATCH($B$3&amp;"|"&amp;D336&amp;"|"&amp;B336&amp;"|"&amp;C336,'Master Data'!$A$2:$A$2436,0)),"")</f>
        <v>Belum terisi</v>
      </c>
      <c r="F336" s="67" t="str">
        <f aca="false">IFERROR(INDEX('Master Data'!$F$2:$F$2436,MATCH($B$3&amp;"|"&amp;D336&amp;"|"&amp;B336&amp;"|"&amp;C336,'Master Data'!$A$2:$A$2436,0))&amp;"","")</f>
        <v>Tiny</v>
      </c>
      <c r="G336" s="66" t="n">
        <f aca="false">IFERROR(INDEX('Master Data'!$G$2:$G$2436,MATCH($B$3&amp;"|"&amp;D336&amp;"|"&amp;B336&amp;"|"&amp;C336,'Master Data'!$A$2:$A$2436,0)),"")</f>
        <v>5</v>
      </c>
      <c r="H336" s="67" t="str">
        <f aca="false">IFERROR(INDEX('Master Data'!$K$2:$K$2436,MATCH($B$3&amp;"|"&amp;D336&amp;"|"&amp;B336&amp;"|"&amp;C336,'Master Data'!$A$2:$A$2436,0))&amp;"","")</f>
        <v/>
      </c>
      <c r="I336" s="67" t="s">
        <v>460</v>
      </c>
      <c r="J336" s="67" t="s">
        <v>461</v>
      </c>
      <c r="K336" s="68"/>
      <c r="L336" s="68"/>
      <c r="M336" s="68"/>
      <c r="N336" s="69"/>
      <c r="O336" s="68"/>
    </row>
    <row r="337" customFormat="false" ht="15.75" hidden="false" customHeight="true" outlineLevel="0" collapsed="false">
      <c r="A337" s="66" t="n">
        <v>246</v>
      </c>
      <c r="B337" s="67" t="s">
        <v>94</v>
      </c>
      <c r="C337" s="66" t="s">
        <v>121</v>
      </c>
      <c r="D337" s="66" t="n">
        <v>5</v>
      </c>
      <c r="E337" s="67" t="str">
        <f aca="false">IFERROR(INDEX('Master Data'!$L$2:$L$2436,MATCH($B$3&amp;"|"&amp;D337&amp;"|"&amp;B337&amp;"|"&amp;C337,'Master Data'!$A$2:$A$2436,0)),"")</f>
        <v>Slot kosong</v>
      </c>
      <c r="F337" s="67" t="str">
        <f aca="false">IFERROR(INDEX('Master Data'!$F$2:$F$2436,MATCH($B$3&amp;"|"&amp;D337&amp;"|"&amp;B337&amp;"|"&amp;C337,'Master Data'!$A$2:$A$2436,0))&amp;"","")</f>
        <v/>
      </c>
      <c r="G337" s="66" t="n">
        <f aca="false">IFERROR(INDEX('Master Data'!$G$2:$G$2436,MATCH($B$3&amp;"|"&amp;D337&amp;"|"&amp;B337&amp;"|"&amp;C337,'Master Data'!$A$2:$A$2436,0)),"")</f>
        <v>4</v>
      </c>
      <c r="H337" s="67" t="str">
        <f aca="false">IFERROR(INDEX('Master Data'!$K$2:$K$2436,MATCH($B$3&amp;"|"&amp;D337&amp;"|"&amp;B337&amp;"|"&amp;C337,'Master Data'!$A$2:$A$2436,0))&amp;"","")</f>
        <v/>
      </c>
      <c r="I337" s="67" t="s">
        <v>460</v>
      </c>
      <c r="J337" s="67" t="s">
        <v>461</v>
      </c>
      <c r="K337" s="68"/>
      <c r="L337" s="68"/>
      <c r="M337" s="68"/>
      <c r="N337" s="69"/>
      <c r="O337" s="68"/>
    </row>
    <row r="338" customFormat="false" ht="27.75" hidden="false" customHeight="true" outlineLevel="0" collapsed="false">
      <c r="A338" s="66" t="n">
        <v>247</v>
      </c>
      <c r="B338" s="67" t="s">
        <v>94</v>
      </c>
      <c r="C338" s="66" t="s">
        <v>107</v>
      </c>
      <c r="D338" s="66" t="n">
        <v>3</v>
      </c>
      <c r="E338" s="67" t="str">
        <f aca="false">IFERROR(INDEX('Master Data'!$L$2:$L$2436,MATCH($B$3&amp;"|"&amp;D338&amp;"|"&amp;B338&amp;"|"&amp;C338,'Master Data'!$A$2:$A$2436,0)),"")</f>
        <v>Belum terisi</v>
      </c>
      <c r="F338" s="67" t="str">
        <f aca="false">IFERROR(INDEX('Master Data'!$F$2:$F$2436,MATCH($B$3&amp;"|"&amp;D338&amp;"|"&amp;B338&amp;"|"&amp;C338,'Master Data'!$A$2:$A$2436,0))&amp;"","")</f>
        <v>Little</v>
      </c>
      <c r="G338" s="66" t="n">
        <f aca="false">IFERROR(INDEX('Master Data'!$G$2:$G$2436,MATCH($B$3&amp;"|"&amp;D338&amp;"|"&amp;B338&amp;"|"&amp;C338,'Master Data'!$A$2:$A$2436,0)),"")</f>
        <v>4</v>
      </c>
      <c r="H338" s="67" t="str">
        <f aca="false">IFERROR(INDEX('Master Data'!$K$2:$K$2436,MATCH($B$3&amp;"|"&amp;D338&amp;"|"&amp;B338&amp;"|"&amp;C338,'Master Data'!$A$2:$A$2436,0))&amp;"","")</f>
        <v/>
      </c>
      <c r="I338" s="67" t="s">
        <v>468</v>
      </c>
      <c r="J338" s="67" t="s">
        <v>134</v>
      </c>
      <c r="K338" s="68"/>
      <c r="L338" s="68"/>
      <c r="M338" s="68"/>
      <c r="N338" s="69"/>
      <c r="O338" s="68"/>
    </row>
    <row r="339" customFormat="false" ht="52.5" hidden="false" customHeight="true" outlineLevel="0" collapsed="false">
      <c r="A339" s="66" t="n">
        <v>248</v>
      </c>
      <c r="B339" s="67" t="s">
        <v>95</v>
      </c>
      <c r="C339" s="66" t="s">
        <v>110</v>
      </c>
      <c r="D339" s="66" t="n">
        <v>1</v>
      </c>
      <c r="E339" s="67" t="str">
        <f aca="false">IFERROR(INDEX('Master Data'!$L$2:$L$2436,MATCH($B$3&amp;"|"&amp;D339&amp;"|"&amp;B339&amp;"|"&amp;C339,'Master Data'!$A$2:$A$2436,0)),"")</f>
        <v>Belum terisi</v>
      </c>
      <c r="F339" s="67" t="str">
        <f aca="false">IFERROR(INDEX('Master Data'!$F$2:$F$2436,MATCH($B$3&amp;"|"&amp;D339&amp;"|"&amp;B339&amp;"|"&amp;C339,'Master Data'!$A$2:$A$2436,0))&amp;"","")</f>
        <v>Baby</v>
      </c>
      <c r="G339" s="66" t="n">
        <f aca="false">IFERROR(INDEX('Master Data'!$G$2:$G$2436,MATCH($B$3&amp;"|"&amp;D339&amp;"|"&amp;B339&amp;"|"&amp;C339,'Master Data'!$A$2:$A$2436,0)),"")</f>
        <v>5</v>
      </c>
      <c r="H339" s="67" t="str">
        <f aca="false">IFERROR(INDEX('Master Data'!$K$2:$K$2436,MATCH($B$3&amp;"|"&amp;D339&amp;"|"&amp;B339&amp;"|"&amp;C339,'Master Data'!$A$2:$A$2436,0))&amp;"","")</f>
        <v/>
      </c>
      <c r="I339" s="67" t="s">
        <v>469</v>
      </c>
      <c r="J339" s="67" t="s">
        <v>134</v>
      </c>
      <c r="K339" s="68"/>
      <c r="L339" s="68"/>
      <c r="M339" s="68"/>
      <c r="N339" s="69"/>
      <c r="O339" s="68"/>
    </row>
    <row r="340" customFormat="false" ht="52.5" hidden="false" customHeight="true" outlineLevel="0" collapsed="false">
      <c r="A340" s="66" t="n">
        <v>249</v>
      </c>
      <c r="B340" s="67" t="s">
        <v>95</v>
      </c>
      <c r="C340" s="66" t="s">
        <v>110</v>
      </c>
      <c r="D340" s="66" t="n">
        <v>2</v>
      </c>
      <c r="E340" s="67" t="str">
        <f aca="false">IFERROR(INDEX('Master Data'!$L$2:$L$2436,MATCH($B$3&amp;"|"&amp;D340&amp;"|"&amp;B340&amp;"|"&amp;C340,'Master Data'!$A$2:$A$2436,0)),"")</f>
        <v>Belum terisi</v>
      </c>
      <c r="F340" s="67" t="str">
        <f aca="false">IFERROR(INDEX('Master Data'!$F$2:$F$2436,MATCH($B$3&amp;"|"&amp;D340&amp;"|"&amp;B340&amp;"|"&amp;C340,'Master Data'!$A$2:$A$2436,0))&amp;"","")</f>
        <v>Tiny</v>
      </c>
      <c r="G340" s="66" t="n">
        <f aca="false">IFERROR(INDEX('Master Data'!$G$2:$G$2436,MATCH($B$3&amp;"|"&amp;D340&amp;"|"&amp;B340&amp;"|"&amp;C340,'Master Data'!$A$2:$A$2436,0)),"")</f>
        <v>5</v>
      </c>
      <c r="H340" s="67" t="str">
        <f aca="false">IFERROR(INDEX('Master Data'!$K$2:$K$2436,MATCH($B$3&amp;"|"&amp;D340&amp;"|"&amp;B340&amp;"|"&amp;C340,'Master Data'!$A$2:$A$2436,0))&amp;"","")</f>
        <v/>
      </c>
      <c r="I340" s="67" t="s">
        <v>469</v>
      </c>
      <c r="J340" s="67" t="s">
        <v>134</v>
      </c>
      <c r="K340" s="68"/>
      <c r="L340" s="68"/>
      <c r="M340" s="68"/>
      <c r="N340" s="69"/>
      <c r="O340" s="68"/>
    </row>
    <row r="341" customFormat="false" ht="52.5" hidden="false" customHeight="true" outlineLevel="0" collapsed="false">
      <c r="A341" s="66" t="n">
        <v>250</v>
      </c>
      <c r="B341" s="67" t="s">
        <v>95</v>
      </c>
      <c r="C341" s="66" t="s">
        <v>110</v>
      </c>
      <c r="D341" s="66" t="n">
        <v>5</v>
      </c>
      <c r="E341" s="67" t="str">
        <f aca="false">IFERROR(INDEX('Master Data'!$L$2:$L$2436,MATCH($B$3&amp;"|"&amp;D341&amp;"|"&amp;B341&amp;"|"&amp;C341,'Master Data'!$A$2:$A$2436,0)),"")</f>
        <v>Slot kosong</v>
      </c>
      <c r="F341" s="67" t="str">
        <f aca="false">IFERROR(INDEX('Master Data'!$F$2:$F$2436,MATCH($B$3&amp;"|"&amp;D341&amp;"|"&amp;B341&amp;"|"&amp;C341,'Master Data'!$A$2:$A$2436,0))&amp;"","")</f>
        <v/>
      </c>
      <c r="G341" s="66" t="n">
        <f aca="false">IFERROR(INDEX('Master Data'!$G$2:$G$2436,MATCH($B$3&amp;"|"&amp;D341&amp;"|"&amp;B341&amp;"|"&amp;C341,'Master Data'!$A$2:$A$2436,0)),"")</f>
        <v>4</v>
      </c>
      <c r="H341" s="67" t="str">
        <f aca="false">IFERROR(INDEX('Master Data'!$K$2:$K$2436,MATCH($B$3&amp;"|"&amp;D341&amp;"|"&amp;B341&amp;"|"&amp;C341,'Master Data'!$A$2:$A$2436,0))&amp;"","")</f>
        <v/>
      </c>
      <c r="I341" s="67" t="s">
        <v>469</v>
      </c>
      <c r="J341" s="67" t="s">
        <v>134</v>
      </c>
      <c r="K341" s="68"/>
      <c r="L341" s="68"/>
      <c r="M341" s="68"/>
      <c r="N341" s="69"/>
      <c r="O341" s="68"/>
    </row>
    <row r="342" customFormat="false" ht="27.75" hidden="false" customHeight="true" outlineLevel="0" collapsed="false">
      <c r="A342" s="66" t="n">
        <v>251</v>
      </c>
      <c r="B342" s="67" t="s">
        <v>95</v>
      </c>
      <c r="C342" s="66" t="s">
        <v>96</v>
      </c>
      <c r="D342" s="66" t="n">
        <v>3</v>
      </c>
      <c r="E342" s="67" t="str">
        <f aca="false">IFERROR(INDEX('Master Data'!$L$2:$L$2436,MATCH($B$3&amp;"|"&amp;D342&amp;"|"&amp;B342&amp;"|"&amp;C342,'Master Data'!$A$2:$A$2436,0)),"")</f>
        <v>Belum terisi</v>
      </c>
      <c r="F342" s="67" t="str">
        <f aca="false">IFERROR(INDEX('Master Data'!$F$2:$F$2436,MATCH($B$3&amp;"|"&amp;D342&amp;"|"&amp;B342&amp;"|"&amp;C342,'Master Data'!$A$2:$A$2436,0))&amp;"","")</f>
        <v>Little</v>
      </c>
      <c r="G342" s="66" t="n">
        <f aca="false">IFERROR(INDEX('Master Data'!$G$2:$G$2436,MATCH($B$3&amp;"|"&amp;D342&amp;"|"&amp;B342&amp;"|"&amp;C342,'Master Data'!$A$2:$A$2436,0)),"")</f>
        <v>4</v>
      </c>
      <c r="H342" s="67" t="str">
        <f aca="false">IFERROR(INDEX('Master Data'!$K$2:$K$2436,MATCH($B$3&amp;"|"&amp;D342&amp;"|"&amp;B342&amp;"|"&amp;C342,'Master Data'!$A$2:$A$2436,0))&amp;"","")</f>
        <v/>
      </c>
      <c r="I342" s="67" t="s">
        <v>470</v>
      </c>
      <c r="J342" s="67" t="s">
        <v>203</v>
      </c>
      <c r="K342" s="68"/>
      <c r="L342" s="68"/>
      <c r="M342" s="68"/>
      <c r="N342" s="69"/>
      <c r="O342" s="68"/>
    </row>
    <row r="343" customFormat="false" ht="27.75" hidden="false" customHeight="true" outlineLevel="0" collapsed="false">
      <c r="A343" s="66" t="n">
        <v>252</v>
      </c>
      <c r="B343" s="67" t="s">
        <v>95</v>
      </c>
      <c r="C343" s="66" t="s">
        <v>96</v>
      </c>
      <c r="D343" s="66" t="n">
        <v>4</v>
      </c>
      <c r="E343" s="67" t="str">
        <f aca="false">IFERROR(INDEX('Master Data'!$L$2:$L$2436,MATCH($B$3&amp;"|"&amp;D343&amp;"|"&amp;B343&amp;"|"&amp;C343,'Master Data'!$A$2:$A$2436,0)),"")</f>
        <v>Belum terisi</v>
      </c>
      <c r="F343" s="67" t="str">
        <f aca="false">IFERROR(INDEX('Master Data'!$F$2:$F$2436,MATCH($B$3&amp;"|"&amp;D343&amp;"|"&amp;B343&amp;"|"&amp;C343,'Master Data'!$A$2:$A$2436,0))&amp;"","")</f>
        <v>Kids</v>
      </c>
      <c r="G343" s="66" t="n">
        <f aca="false">IFERROR(INDEX('Master Data'!$G$2:$G$2436,MATCH($B$3&amp;"|"&amp;D343&amp;"|"&amp;B343&amp;"|"&amp;C343,'Master Data'!$A$2:$A$2436,0)),"")</f>
        <v>4</v>
      </c>
      <c r="H343" s="67" t="str">
        <f aca="false">IFERROR(INDEX('Master Data'!$K$2:$K$2436,MATCH($B$3&amp;"|"&amp;D343&amp;"|"&amp;B343&amp;"|"&amp;C343,'Master Data'!$A$2:$A$2436,0))&amp;"","")</f>
        <v/>
      </c>
      <c r="I343" s="67" t="s">
        <v>470</v>
      </c>
      <c r="J343" s="67" t="s">
        <v>203</v>
      </c>
      <c r="K343" s="68"/>
      <c r="L343" s="68"/>
      <c r="M343" s="68"/>
      <c r="N343" s="69"/>
      <c r="O343" s="68"/>
    </row>
    <row r="344" customFormat="false" ht="15.75" hidden="false" customHeight="true" outlineLevel="0" collapsed="false">
      <c r="A344" s="66" t="n">
        <v>253</v>
      </c>
      <c r="B344" s="67" t="s">
        <v>95</v>
      </c>
      <c r="C344" s="66" t="s">
        <v>111</v>
      </c>
      <c r="D344" s="66" t="n">
        <v>5</v>
      </c>
      <c r="E344" s="67" t="str">
        <f aca="false">IFERROR(INDEX('Master Data'!$L$2:$L$2436,MATCH($B$3&amp;"|"&amp;D344&amp;"|"&amp;B344&amp;"|"&amp;C344,'Master Data'!$A$2:$A$2436,0)),"")</f>
        <v>Slot kosong</v>
      </c>
      <c r="F344" s="67" t="str">
        <f aca="false">IFERROR(INDEX('Master Data'!$F$2:$F$2436,MATCH($B$3&amp;"|"&amp;D344&amp;"|"&amp;B344&amp;"|"&amp;C344,'Master Data'!$A$2:$A$2436,0))&amp;"","")</f>
        <v/>
      </c>
      <c r="G344" s="66" t="n">
        <f aca="false">IFERROR(INDEX('Master Data'!$G$2:$G$2436,MATCH($B$3&amp;"|"&amp;D344&amp;"|"&amp;B344&amp;"|"&amp;C344,'Master Data'!$A$2:$A$2436,0)),"")</f>
        <v>4</v>
      </c>
      <c r="H344" s="67" t="str">
        <f aca="false">IFERROR(INDEX('Master Data'!$K$2:$K$2436,MATCH($B$3&amp;"|"&amp;D344&amp;"|"&amp;B344&amp;"|"&amp;C344,'Master Data'!$A$2:$A$2436,0))&amp;"","")</f>
        <v/>
      </c>
      <c r="I344" s="67" t="s">
        <v>463</v>
      </c>
      <c r="J344" s="67" t="s">
        <v>203</v>
      </c>
      <c r="K344" s="68"/>
      <c r="L344" s="68"/>
      <c r="M344" s="68"/>
      <c r="N344" s="69"/>
      <c r="O344" s="68"/>
    </row>
    <row r="345" customFormat="false" ht="15.75" hidden="false" customHeight="true" outlineLevel="0" collapsed="false">
      <c r="A345" s="66" t="n">
        <v>254</v>
      </c>
      <c r="B345" s="67" t="s">
        <v>95</v>
      </c>
      <c r="C345" s="66" t="s">
        <v>112</v>
      </c>
      <c r="D345" s="66" t="n">
        <v>5</v>
      </c>
      <c r="E345" s="67" t="str">
        <f aca="false">IFERROR(INDEX('Master Data'!$L$2:$L$2436,MATCH($B$3&amp;"|"&amp;D345&amp;"|"&amp;B345&amp;"|"&amp;C345,'Master Data'!$A$2:$A$2436,0)),"")</f>
        <v>Slot kosong</v>
      </c>
      <c r="F345" s="67" t="str">
        <f aca="false">IFERROR(INDEX('Master Data'!$F$2:$F$2436,MATCH($B$3&amp;"|"&amp;D345&amp;"|"&amp;B345&amp;"|"&amp;C345,'Master Data'!$A$2:$A$2436,0))&amp;"","")</f>
        <v/>
      </c>
      <c r="G345" s="66" t="n">
        <f aca="false">IFERROR(INDEX('Master Data'!$G$2:$G$2436,MATCH($B$3&amp;"|"&amp;D345&amp;"|"&amp;B345&amp;"|"&amp;C345,'Master Data'!$A$2:$A$2436,0)),"")</f>
        <v>4</v>
      </c>
      <c r="H345" s="67" t="str">
        <f aca="false">IFERROR(INDEX('Master Data'!$K$2:$K$2436,MATCH($B$3&amp;"|"&amp;D345&amp;"|"&amp;B345&amp;"|"&amp;C345,'Master Data'!$A$2:$A$2436,0))&amp;"","")</f>
        <v/>
      </c>
      <c r="I345" s="67" t="s">
        <v>458</v>
      </c>
      <c r="J345" s="67" t="s">
        <v>203</v>
      </c>
      <c r="K345" s="68"/>
      <c r="L345" s="68"/>
      <c r="M345" s="68"/>
      <c r="N345" s="69"/>
      <c r="O345" s="68"/>
    </row>
    <row r="346" customFormat="false" ht="15.75" hidden="false" customHeight="true" outlineLevel="0" collapsed="false">
      <c r="A346" s="66" t="n">
        <v>255</v>
      </c>
      <c r="B346" s="67" t="s">
        <v>95</v>
      </c>
      <c r="C346" s="66" t="s">
        <v>113</v>
      </c>
      <c r="D346" s="66" t="n">
        <v>5</v>
      </c>
      <c r="E346" s="67" t="str">
        <f aca="false">IFERROR(INDEX('Master Data'!$L$2:$L$2436,MATCH($B$3&amp;"|"&amp;D346&amp;"|"&amp;B346&amp;"|"&amp;C346,'Master Data'!$A$2:$A$2436,0)),"")</f>
        <v>Slot kosong</v>
      </c>
      <c r="F346" s="67" t="str">
        <f aca="false">IFERROR(INDEX('Master Data'!$F$2:$F$2436,MATCH($B$3&amp;"|"&amp;D346&amp;"|"&amp;B346&amp;"|"&amp;C346,'Master Data'!$A$2:$A$2436,0))&amp;"","")</f>
        <v/>
      </c>
      <c r="G346" s="66" t="n">
        <f aca="false">IFERROR(INDEX('Master Data'!$G$2:$G$2436,MATCH($B$3&amp;"|"&amp;D346&amp;"|"&amp;B346&amp;"|"&amp;C346,'Master Data'!$A$2:$A$2436,0)),"")</f>
        <v>4</v>
      </c>
      <c r="H346" s="67" t="str">
        <f aca="false">IFERROR(INDEX('Master Data'!$K$2:$K$2436,MATCH($B$3&amp;"|"&amp;D346&amp;"|"&amp;B346&amp;"|"&amp;C346,'Master Data'!$A$2:$A$2436,0))&amp;"","")</f>
        <v/>
      </c>
      <c r="I346" s="67" t="s">
        <v>453</v>
      </c>
      <c r="J346" s="67" t="s">
        <v>203</v>
      </c>
      <c r="K346" s="68"/>
      <c r="L346" s="68"/>
      <c r="M346" s="68"/>
      <c r="N346" s="69"/>
      <c r="O346" s="68"/>
    </row>
    <row r="347" customFormat="false" ht="27.75" hidden="false" customHeight="true" outlineLevel="0" collapsed="false">
      <c r="A347" s="66" t="n">
        <v>256</v>
      </c>
      <c r="B347" s="67" t="s">
        <v>95</v>
      </c>
      <c r="C347" s="66" t="s">
        <v>99</v>
      </c>
      <c r="D347" s="66" t="n">
        <v>4</v>
      </c>
      <c r="E347" s="67" t="str">
        <f aca="false">IFERROR(INDEX('Master Data'!$L$2:$L$2436,MATCH($B$3&amp;"|"&amp;D347&amp;"|"&amp;B347&amp;"|"&amp;C347,'Master Data'!$A$2:$A$2436,0)),"")</f>
        <v>Belum terisi</v>
      </c>
      <c r="F347" s="67" t="str">
        <f aca="false">IFERROR(INDEX('Master Data'!$F$2:$F$2436,MATCH($B$3&amp;"|"&amp;D347&amp;"|"&amp;B347&amp;"|"&amp;C347,'Master Data'!$A$2:$A$2436,0))&amp;"","")</f>
        <v>Kids</v>
      </c>
      <c r="G347" s="66" t="n">
        <f aca="false">IFERROR(INDEX('Master Data'!$G$2:$G$2436,MATCH($B$3&amp;"|"&amp;D347&amp;"|"&amp;B347&amp;"|"&amp;C347,'Master Data'!$A$2:$A$2436,0)),"")</f>
        <v>4</v>
      </c>
      <c r="H347" s="67" t="str">
        <f aca="false">IFERROR(INDEX('Master Data'!$K$2:$K$2436,MATCH($B$3&amp;"|"&amp;D347&amp;"|"&amp;B347&amp;"|"&amp;C347,'Master Data'!$A$2:$A$2436,0))&amp;"","")</f>
        <v/>
      </c>
      <c r="I347" s="67" t="s">
        <v>471</v>
      </c>
      <c r="J347" s="67" t="s">
        <v>203</v>
      </c>
      <c r="K347" s="68"/>
      <c r="L347" s="68"/>
      <c r="M347" s="68"/>
      <c r="N347" s="69"/>
      <c r="O347" s="68"/>
    </row>
    <row r="348" customFormat="false" ht="27.75" hidden="false" customHeight="true" outlineLevel="0" collapsed="false">
      <c r="A348" s="66" t="n">
        <v>257</v>
      </c>
      <c r="B348" s="67" t="s">
        <v>95</v>
      </c>
      <c r="C348" s="66" t="s">
        <v>114</v>
      </c>
      <c r="D348" s="66" t="n">
        <v>1</v>
      </c>
      <c r="E348" s="67" t="str">
        <f aca="false">IFERROR(INDEX('Master Data'!$L$2:$L$2436,MATCH($B$3&amp;"|"&amp;D348&amp;"|"&amp;B348&amp;"|"&amp;C348,'Master Data'!$A$2:$A$2436,0)),"")</f>
        <v>Belum terisi</v>
      </c>
      <c r="F348" s="67" t="str">
        <f aca="false">IFERROR(INDEX('Master Data'!$F$2:$F$2436,MATCH($B$3&amp;"|"&amp;D348&amp;"|"&amp;B348&amp;"|"&amp;C348,'Master Data'!$A$2:$A$2436,0))&amp;"","")</f>
        <v>Baby</v>
      </c>
      <c r="G348" s="66" t="n">
        <f aca="false">IFERROR(INDEX('Master Data'!$G$2:$G$2436,MATCH($B$3&amp;"|"&amp;D348&amp;"|"&amp;B348&amp;"|"&amp;C348,'Master Data'!$A$2:$A$2436,0)),"")</f>
        <v>5</v>
      </c>
      <c r="H348" s="67" t="str">
        <f aca="false">IFERROR(INDEX('Master Data'!$K$2:$K$2436,MATCH($B$3&amp;"|"&amp;D348&amp;"|"&amp;B348&amp;"|"&amp;C348,'Master Data'!$A$2:$A$2436,0))&amp;"","")</f>
        <v/>
      </c>
      <c r="I348" s="67" t="s">
        <v>472</v>
      </c>
      <c r="J348" s="67" t="s">
        <v>134</v>
      </c>
      <c r="K348" s="68"/>
      <c r="L348" s="68"/>
      <c r="M348" s="68"/>
      <c r="N348" s="69"/>
      <c r="O348" s="68"/>
    </row>
    <row r="349" customFormat="false" ht="27.75" hidden="false" customHeight="true" outlineLevel="0" collapsed="false">
      <c r="A349" s="66" t="n">
        <v>258</v>
      </c>
      <c r="B349" s="67" t="s">
        <v>95</v>
      </c>
      <c r="C349" s="66" t="s">
        <v>114</v>
      </c>
      <c r="D349" s="66" t="n">
        <v>2</v>
      </c>
      <c r="E349" s="67" t="str">
        <f aca="false">IFERROR(INDEX('Master Data'!$L$2:$L$2436,MATCH($B$3&amp;"|"&amp;D349&amp;"|"&amp;B349&amp;"|"&amp;C349,'Master Data'!$A$2:$A$2436,0)),"")</f>
        <v>Belum terisi</v>
      </c>
      <c r="F349" s="67" t="str">
        <f aca="false">IFERROR(INDEX('Master Data'!$F$2:$F$2436,MATCH($B$3&amp;"|"&amp;D349&amp;"|"&amp;B349&amp;"|"&amp;C349,'Master Data'!$A$2:$A$2436,0))&amp;"","")</f>
        <v>Tiny</v>
      </c>
      <c r="G349" s="66" t="n">
        <f aca="false">IFERROR(INDEX('Master Data'!$G$2:$G$2436,MATCH($B$3&amp;"|"&amp;D349&amp;"|"&amp;B349&amp;"|"&amp;C349,'Master Data'!$A$2:$A$2436,0)),"")</f>
        <v>5</v>
      </c>
      <c r="H349" s="67" t="str">
        <f aca="false">IFERROR(INDEX('Master Data'!$K$2:$K$2436,MATCH($B$3&amp;"|"&amp;D349&amp;"|"&amp;B349&amp;"|"&amp;C349,'Master Data'!$A$2:$A$2436,0))&amp;"","")</f>
        <v/>
      </c>
      <c r="I349" s="67" t="s">
        <v>472</v>
      </c>
      <c r="J349" s="67" t="s">
        <v>134</v>
      </c>
      <c r="K349" s="68"/>
      <c r="L349" s="68"/>
      <c r="M349" s="68"/>
      <c r="N349" s="69"/>
      <c r="O349" s="68"/>
    </row>
    <row r="350" customFormat="false" ht="27.75" hidden="false" customHeight="true" outlineLevel="0" collapsed="false">
      <c r="A350" s="66" t="n">
        <v>259</v>
      </c>
      <c r="B350" s="67" t="s">
        <v>95</v>
      </c>
      <c r="C350" s="66" t="s">
        <v>114</v>
      </c>
      <c r="D350" s="66" t="n">
        <v>5</v>
      </c>
      <c r="E350" s="67" t="str">
        <f aca="false">IFERROR(INDEX('Master Data'!$L$2:$L$2436,MATCH($B$3&amp;"|"&amp;D350&amp;"|"&amp;B350&amp;"|"&amp;C350,'Master Data'!$A$2:$A$2436,0)),"")</f>
        <v>Slot kosong</v>
      </c>
      <c r="F350" s="67" t="str">
        <f aca="false">IFERROR(INDEX('Master Data'!$F$2:$F$2436,MATCH($B$3&amp;"|"&amp;D350&amp;"|"&amp;B350&amp;"|"&amp;C350,'Master Data'!$A$2:$A$2436,0))&amp;"","")</f>
        <v/>
      </c>
      <c r="G350" s="66" t="n">
        <f aca="false">IFERROR(INDEX('Master Data'!$G$2:$G$2436,MATCH($B$3&amp;"|"&amp;D350&amp;"|"&amp;B350&amp;"|"&amp;C350,'Master Data'!$A$2:$A$2436,0)),"")</f>
        <v>4</v>
      </c>
      <c r="H350" s="67" t="str">
        <f aca="false">IFERROR(INDEX('Master Data'!$K$2:$K$2436,MATCH($B$3&amp;"|"&amp;D350&amp;"|"&amp;B350&amp;"|"&amp;C350,'Master Data'!$A$2:$A$2436,0))&amp;"","")</f>
        <v/>
      </c>
      <c r="I350" s="67" t="s">
        <v>472</v>
      </c>
      <c r="J350" s="67" t="s">
        <v>134</v>
      </c>
      <c r="K350" s="68"/>
      <c r="L350" s="68"/>
      <c r="M350" s="68"/>
      <c r="N350" s="69"/>
      <c r="O350" s="68"/>
    </row>
    <row r="351" customFormat="false" ht="27.75" hidden="false" customHeight="true" outlineLevel="0" collapsed="false">
      <c r="A351" s="66" t="n">
        <v>260</v>
      </c>
      <c r="B351" s="67" t="s">
        <v>95</v>
      </c>
      <c r="C351" s="66" t="s">
        <v>115</v>
      </c>
      <c r="D351" s="66" t="n">
        <v>1</v>
      </c>
      <c r="E351" s="67" t="str">
        <f aca="false">IFERROR(INDEX('Master Data'!$L$2:$L$2436,MATCH($B$3&amp;"|"&amp;D351&amp;"|"&amp;B351&amp;"|"&amp;C351,'Master Data'!$A$2:$A$2436,0)),"")</f>
        <v>Belum terisi</v>
      </c>
      <c r="F351" s="67" t="str">
        <f aca="false">IFERROR(INDEX('Master Data'!$F$2:$F$2436,MATCH($B$3&amp;"|"&amp;D351&amp;"|"&amp;B351&amp;"|"&amp;C351,'Master Data'!$A$2:$A$2436,0))&amp;"","")</f>
        <v>Baby</v>
      </c>
      <c r="G351" s="66" t="n">
        <f aca="false">IFERROR(INDEX('Master Data'!$G$2:$G$2436,MATCH($B$3&amp;"|"&amp;D351&amp;"|"&amp;B351&amp;"|"&amp;C351,'Master Data'!$A$2:$A$2436,0)),"")</f>
        <v>5</v>
      </c>
      <c r="H351" s="67" t="str">
        <f aca="false">IFERROR(INDEX('Master Data'!$K$2:$K$2436,MATCH($B$3&amp;"|"&amp;D351&amp;"|"&amp;B351&amp;"|"&amp;C351,'Master Data'!$A$2:$A$2436,0))&amp;"","")</f>
        <v/>
      </c>
      <c r="I351" s="67" t="s">
        <v>473</v>
      </c>
      <c r="J351" s="67" t="s">
        <v>134</v>
      </c>
      <c r="K351" s="68"/>
      <c r="L351" s="68"/>
      <c r="M351" s="68"/>
      <c r="N351" s="69"/>
      <c r="O351" s="68"/>
    </row>
    <row r="352" customFormat="false" ht="27.75" hidden="false" customHeight="true" outlineLevel="0" collapsed="false">
      <c r="A352" s="66" t="n">
        <v>261</v>
      </c>
      <c r="B352" s="67" t="s">
        <v>95</v>
      </c>
      <c r="C352" s="66" t="s">
        <v>115</v>
      </c>
      <c r="D352" s="66" t="n">
        <v>5</v>
      </c>
      <c r="E352" s="67" t="str">
        <f aca="false">IFERROR(INDEX('Master Data'!$L$2:$L$2436,MATCH($B$3&amp;"|"&amp;D352&amp;"|"&amp;B352&amp;"|"&amp;C352,'Master Data'!$A$2:$A$2436,0)),"")</f>
        <v>Slot kosong</v>
      </c>
      <c r="F352" s="67" t="str">
        <f aca="false">IFERROR(INDEX('Master Data'!$F$2:$F$2436,MATCH($B$3&amp;"|"&amp;D352&amp;"|"&amp;B352&amp;"|"&amp;C352,'Master Data'!$A$2:$A$2436,0))&amp;"","")</f>
        <v/>
      </c>
      <c r="G352" s="66" t="n">
        <f aca="false">IFERROR(INDEX('Master Data'!$G$2:$G$2436,MATCH($B$3&amp;"|"&amp;D352&amp;"|"&amp;B352&amp;"|"&amp;C352,'Master Data'!$A$2:$A$2436,0)),"")</f>
        <v>4</v>
      </c>
      <c r="H352" s="67" t="str">
        <f aca="false">IFERROR(INDEX('Master Data'!$K$2:$K$2436,MATCH($B$3&amp;"|"&amp;D352&amp;"|"&amp;B352&amp;"|"&amp;C352,'Master Data'!$A$2:$A$2436,0))&amp;"","")</f>
        <v/>
      </c>
      <c r="I352" s="67" t="s">
        <v>473</v>
      </c>
      <c r="J352" s="67" t="s">
        <v>134</v>
      </c>
      <c r="K352" s="68"/>
      <c r="L352" s="68"/>
      <c r="M352" s="68"/>
      <c r="N352" s="69"/>
      <c r="O352" s="68"/>
    </row>
    <row r="353" customFormat="false" ht="40.5" hidden="false" customHeight="true" outlineLevel="0" collapsed="false">
      <c r="A353" s="66" t="n">
        <v>262</v>
      </c>
      <c r="B353" s="67" t="s">
        <v>95</v>
      </c>
      <c r="C353" s="66" t="s">
        <v>101</v>
      </c>
      <c r="D353" s="66" t="n">
        <v>3</v>
      </c>
      <c r="E353" s="67" t="str">
        <f aca="false">IFERROR(INDEX('Master Data'!$L$2:$L$2436,MATCH($B$3&amp;"|"&amp;D353&amp;"|"&amp;B353&amp;"|"&amp;C353,'Master Data'!$A$2:$A$2436,0)),"")</f>
        <v>Belum terisi</v>
      </c>
      <c r="F353" s="67" t="str">
        <f aca="false">IFERROR(INDEX('Master Data'!$F$2:$F$2436,MATCH($B$3&amp;"|"&amp;D353&amp;"|"&amp;B353&amp;"|"&amp;C353,'Master Data'!$A$2:$A$2436,0))&amp;"","")</f>
        <v>Little</v>
      </c>
      <c r="G353" s="66" t="n">
        <f aca="false">IFERROR(INDEX('Master Data'!$G$2:$G$2436,MATCH($B$3&amp;"|"&amp;D353&amp;"|"&amp;B353&amp;"|"&amp;C353,'Master Data'!$A$2:$A$2436,0)),"")</f>
        <v>4</v>
      </c>
      <c r="H353" s="67" t="str">
        <f aca="false">IFERROR(INDEX('Master Data'!$K$2:$K$2436,MATCH($B$3&amp;"|"&amp;D353&amp;"|"&amp;B353&amp;"|"&amp;C353,'Master Data'!$A$2:$A$2436,0))&amp;"","")</f>
        <v/>
      </c>
      <c r="I353" s="67" t="s">
        <v>474</v>
      </c>
      <c r="J353" s="67" t="s">
        <v>134</v>
      </c>
      <c r="K353" s="68"/>
      <c r="L353" s="68"/>
      <c r="M353" s="68"/>
      <c r="N353" s="69"/>
      <c r="O353" s="68"/>
    </row>
    <row r="354" customFormat="false" ht="40.5" hidden="false" customHeight="true" outlineLevel="0" collapsed="false">
      <c r="A354" s="66" t="n">
        <v>263</v>
      </c>
      <c r="B354" s="67" t="s">
        <v>95</v>
      </c>
      <c r="C354" s="66" t="s">
        <v>101</v>
      </c>
      <c r="D354" s="66" t="n">
        <v>4</v>
      </c>
      <c r="E354" s="67" t="str">
        <f aca="false">IFERROR(INDEX('Master Data'!$L$2:$L$2436,MATCH($B$3&amp;"|"&amp;D354&amp;"|"&amp;B354&amp;"|"&amp;C354,'Master Data'!$A$2:$A$2436,0)),"")</f>
        <v>Belum terisi</v>
      </c>
      <c r="F354" s="67" t="str">
        <f aca="false">IFERROR(INDEX('Master Data'!$F$2:$F$2436,MATCH($B$3&amp;"|"&amp;D354&amp;"|"&amp;B354&amp;"|"&amp;C354,'Master Data'!$A$2:$A$2436,0))&amp;"","")</f>
        <v>Kids</v>
      </c>
      <c r="G354" s="66" t="n">
        <f aca="false">IFERROR(INDEX('Master Data'!$G$2:$G$2436,MATCH($B$3&amp;"|"&amp;D354&amp;"|"&amp;B354&amp;"|"&amp;C354,'Master Data'!$A$2:$A$2436,0)),"")</f>
        <v>4</v>
      </c>
      <c r="H354" s="67" t="str">
        <f aca="false">IFERROR(INDEX('Master Data'!$K$2:$K$2436,MATCH($B$3&amp;"|"&amp;D354&amp;"|"&amp;B354&amp;"|"&amp;C354,'Master Data'!$A$2:$A$2436,0))&amp;"","")</f>
        <v/>
      </c>
      <c r="I354" s="67" t="s">
        <v>474</v>
      </c>
      <c r="J354" s="67" t="s">
        <v>134</v>
      </c>
      <c r="K354" s="68"/>
      <c r="L354" s="68"/>
      <c r="M354" s="68"/>
      <c r="N354" s="69"/>
      <c r="O354" s="68"/>
    </row>
    <row r="355" customFormat="false" ht="40.5" hidden="false" customHeight="true" outlineLevel="0" collapsed="false">
      <c r="A355" s="66" t="n">
        <v>264</v>
      </c>
      <c r="B355" s="67" t="s">
        <v>95</v>
      </c>
      <c r="C355" s="66" t="s">
        <v>116</v>
      </c>
      <c r="D355" s="66" t="n">
        <v>2</v>
      </c>
      <c r="E355" s="67" t="str">
        <f aca="false">IFERROR(INDEX('Master Data'!$L$2:$L$2436,MATCH($B$3&amp;"|"&amp;D355&amp;"|"&amp;B355&amp;"|"&amp;C355,'Master Data'!$A$2:$A$2436,0)),"")</f>
        <v>Belum terisi</v>
      </c>
      <c r="F355" s="67" t="str">
        <f aca="false">IFERROR(INDEX('Master Data'!$F$2:$F$2436,MATCH($B$3&amp;"|"&amp;D355&amp;"|"&amp;B355&amp;"|"&amp;C355,'Master Data'!$A$2:$A$2436,0))&amp;"","")</f>
        <v>Tiny</v>
      </c>
      <c r="G355" s="66" t="n">
        <f aca="false">IFERROR(INDEX('Master Data'!$G$2:$G$2436,MATCH($B$3&amp;"|"&amp;D355&amp;"|"&amp;B355&amp;"|"&amp;C355,'Master Data'!$A$2:$A$2436,0)),"")</f>
        <v>5</v>
      </c>
      <c r="H355" s="67" t="str">
        <f aca="false">IFERROR(INDEX('Master Data'!$K$2:$K$2436,MATCH($B$3&amp;"|"&amp;D355&amp;"|"&amp;B355&amp;"|"&amp;C355,'Master Data'!$A$2:$A$2436,0))&amp;"","")</f>
        <v/>
      </c>
      <c r="I355" s="67" t="s">
        <v>475</v>
      </c>
      <c r="J355" s="67" t="s">
        <v>134</v>
      </c>
      <c r="K355" s="68"/>
      <c r="L355" s="68"/>
      <c r="M355" s="68"/>
      <c r="N355" s="69"/>
      <c r="O355" s="68"/>
    </row>
    <row r="356" customFormat="false" ht="40.5" hidden="false" customHeight="true" outlineLevel="0" collapsed="false">
      <c r="A356" s="66" t="n">
        <v>265</v>
      </c>
      <c r="B356" s="67" t="s">
        <v>95</v>
      </c>
      <c r="C356" s="66" t="s">
        <v>116</v>
      </c>
      <c r="D356" s="66" t="n">
        <v>5</v>
      </c>
      <c r="E356" s="67" t="str">
        <f aca="false">IFERROR(INDEX('Master Data'!$L$2:$L$2436,MATCH($B$3&amp;"|"&amp;D356&amp;"|"&amp;B356&amp;"|"&amp;C356,'Master Data'!$A$2:$A$2436,0)),"")</f>
        <v>Slot kosong</v>
      </c>
      <c r="F356" s="67" t="str">
        <f aca="false">IFERROR(INDEX('Master Data'!$F$2:$F$2436,MATCH($B$3&amp;"|"&amp;D356&amp;"|"&amp;B356&amp;"|"&amp;C356,'Master Data'!$A$2:$A$2436,0))&amp;"","")</f>
        <v/>
      </c>
      <c r="G356" s="66" t="n">
        <f aca="false">IFERROR(INDEX('Master Data'!$G$2:$G$2436,MATCH($B$3&amp;"|"&amp;D356&amp;"|"&amp;B356&amp;"|"&amp;C356,'Master Data'!$A$2:$A$2436,0)),"")</f>
        <v>4</v>
      </c>
      <c r="H356" s="67" t="str">
        <f aca="false">IFERROR(INDEX('Master Data'!$K$2:$K$2436,MATCH($B$3&amp;"|"&amp;D356&amp;"|"&amp;B356&amp;"|"&amp;C356,'Master Data'!$A$2:$A$2436,0))&amp;"","")</f>
        <v/>
      </c>
      <c r="I356" s="67" t="s">
        <v>475</v>
      </c>
      <c r="J356" s="67" t="s">
        <v>134</v>
      </c>
      <c r="K356" s="68"/>
      <c r="L356" s="68"/>
      <c r="M356" s="68"/>
      <c r="N356" s="69"/>
      <c r="O356" s="68"/>
    </row>
    <row r="357" customFormat="false" ht="27.75" hidden="false" customHeight="true" outlineLevel="0" collapsed="false">
      <c r="A357" s="66" t="n">
        <v>266</v>
      </c>
      <c r="B357" s="67" t="s">
        <v>95</v>
      </c>
      <c r="C357" s="66" t="s">
        <v>117</v>
      </c>
      <c r="D357" s="66" t="n">
        <v>1</v>
      </c>
      <c r="E357" s="67" t="str">
        <f aca="false">IFERROR(INDEX('Master Data'!$L$2:$L$2436,MATCH($B$3&amp;"|"&amp;D357&amp;"|"&amp;B357&amp;"|"&amp;C357,'Master Data'!$A$2:$A$2436,0)),"")</f>
        <v>Belum terisi</v>
      </c>
      <c r="F357" s="67" t="str">
        <f aca="false">IFERROR(INDEX('Master Data'!$F$2:$F$2436,MATCH($B$3&amp;"|"&amp;D357&amp;"|"&amp;B357&amp;"|"&amp;C357,'Master Data'!$A$2:$A$2436,0))&amp;"","")</f>
        <v>Baby</v>
      </c>
      <c r="G357" s="66" t="n">
        <f aca="false">IFERROR(INDEX('Master Data'!$G$2:$G$2436,MATCH($B$3&amp;"|"&amp;D357&amp;"|"&amp;B357&amp;"|"&amp;C357,'Master Data'!$A$2:$A$2436,0)),"")</f>
        <v>5</v>
      </c>
      <c r="H357" s="67" t="str">
        <f aca="false">IFERROR(INDEX('Master Data'!$K$2:$K$2436,MATCH($B$3&amp;"|"&amp;D357&amp;"|"&amp;B357&amp;"|"&amp;C357,'Master Data'!$A$2:$A$2436,0))&amp;"","")</f>
        <v/>
      </c>
      <c r="I357" s="67" t="s">
        <v>462</v>
      </c>
      <c r="J357" s="67" t="s">
        <v>134</v>
      </c>
      <c r="K357" s="68"/>
      <c r="L357" s="68"/>
      <c r="M357" s="68"/>
      <c r="N357" s="69"/>
      <c r="O357" s="68"/>
    </row>
    <row r="358" customFormat="false" ht="27.75" hidden="false" customHeight="true" outlineLevel="0" collapsed="false">
      <c r="A358" s="66" t="n">
        <v>267</v>
      </c>
      <c r="B358" s="67" t="s">
        <v>95</v>
      </c>
      <c r="C358" s="66" t="s">
        <v>117</v>
      </c>
      <c r="D358" s="66" t="n">
        <v>2</v>
      </c>
      <c r="E358" s="67" t="str">
        <f aca="false">IFERROR(INDEX('Master Data'!$L$2:$L$2436,MATCH($B$3&amp;"|"&amp;D358&amp;"|"&amp;B358&amp;"|"&amp;C358,'Master Data'!$A$2:$A$2436,0)),"")</f>
        <v>Belum terisi</v>
      </c>
      <c r="F358" s="67" t="str">
        <f aca="false">IFERROR(INDEX('Master Data'!$F$2:$F$2436,MATCH($B$3&amp;"|"&amp;D358&amp;"|"&amp;B358&amp;"|"&amp;C358,'Master Data'!$A$2:$A$2436,0))&amp;"","")</f>
        <v>Tiny</v>
      </c>
      <c r="G358" s="66" t="n">
        <f aca="false">IFERROR(INDEX('Master Data'!$G$2:$G$2436,MATCH($B$3&amp;"|"&amp;D358&amp;"|"&amp;B358&amp;"|"&amp;C358,'Master Data'!$A$2:$A$2436,0)),"")</f>
        <v>5</v>
      </c>
      <c r="H358" s="67" t="str">
        <f aca="false">IFERROR(INDEX('Master Data'!$K$2:$K$2436,MATCH($B$3&amp;"|"&amp;D358&amp;"|"&amp;B358&amp;"|"&amp;C358,'Master Data'!$A$2:$A$2436,0))&amp;"","")</f>
        <v/>
      </c>
      <c r="I358" s="67" t="s">
        <v>462</v>
      </c>
      <c r="J358" s="67" t="s">
        <v>134</v>
      </c>
      <c r="K358" s="68"/>
      <c r="L358" s="68"/>
      <c r="M358" s="68"/>
      <c r="N358" s="69"/>
      <c r="O358" s="68"/>
    </row>
    <row r="359" customFormat="false" ht="27.75" hidden="false" customHeight="true" outlineLevel="0" collapsed="false">
      <c r="A359" s="66" t="n">
        <v>268</v>
      </c>
      <c r="B359" s="67" t="s">
        <v>95</v>
      </c>
      <c r="C359" s="66" t="s">
        <v>117</v>
      </c>
      <c r="D359" s="66" t="n">
        <v>5</v>
      </c>
      <c r="E359" s="67" t="str">
        <f aca="false">IFERROR(INDEX('Master Data'!$L$2:$L$2436,MATCH($B$3&amp;"|"&amp;D359&amp;"|"&amp;B359&amp;"|"&amp;C359,'Master Data'!$A$2:$A$2436,0)),"")</f>
        <v>Slot kosong</v>
      </c>
      <c r="F359" s="67" t="str">
        <f aca="false">IFERROR(INDEX('Master Data'!$F$2:$F$2436,MATCH($B$3&amp;"|"&amp;D359&amp;"|"&amp;B359&amp;"|"&amp;C359,'Master Data'!$A$2:$A$2436,0))&amp;"","")</f>
        <v/>
      </c>
      <c r="G359" s="66" t="n">
        <f aca="false">IFERROR(INDEX('Master Data'!$G$2:$G$2436,MATCH($B$3&amp;"|"&amp;D359&amp;"|"&amp;B359&amp;"|"&amp;C359,'Master Data'!$A$2:$A$2436,0)),"")</f>
        <v>4</v>
      </c>
      <c r="H359" s="67" t="str">
        <f aca="false">IFERROR(INDEX('Master Data'!$K$2:$K$2436,MATCH($B$3&amp;"|"&amp;D359&amp;"|"&amp;B359&amp;"|"&amp;C359,'Master Data'!$A$2:$A$2436,0))&amp;"","")</f>
        <v/>
      </c>
      <c r="I359" s="67" t="s">
        <v>462</v>
      </c>
      <c r="J359" s="67" t="s">
        <v>134</v>
      </c>
      <c r="K359" s="68"/>
      <c r="L359" s="68"/>
      <c r="M359" s="68"/>
      <c r="N359" s="69"/>
      <c r="O359" s="68"/>
    </row>
    <row r="360" customFormat="false" ht="27.75" hidden="false" customHeight="true" outlineLevel="0" collapsed="false">
      <c r="A360" s="66" t="n">
        <v>269</v>
      </c>
      <c r="B360" s="67" t="s">
        <v>95</v>
      </c>
      <c r="C360" s="66" t="s">
        <v>118</v>
      </c>
      <c r="D360" s="66" t="n">
        <v>1</v>
      </c>
      <c r="E360" s="67" t="str">
        <f aca="false">IFERROR(INDEX('Master Data'!$L$2:$L$2436,MATCH($B$3&amp;"|"&amp;D360&amp;"|"&amp;B360&amp;"|"&amp;C360,'Master Data'!$A$2:$A$2436,0)),"")</f>
        <v>Belum terisi</v>
      </c>
      <c r="F360" s="67" t="str">
        <f aca="false">IFERROR(INDEX('Master Data'!$F$2:$F$2436,MATCH($B$3&amp;"|"&amp;D360&amp;"|"&amp;B360&amp;"|"&amp;C360,'Master Data'!$A$2:$A$2436,0))&amp;"","")</f>
        <v>Baby</v>
      </c>
      <c r="G360" s="66" t="n">
        <f aca="false">IFERROR(INDEX('Master Data'!$G$2:$G$2436,MATCH($B$3&amp;"|"&amp;D360&amp;"|"&amp;B360&amp;"|"&amp;C360,'Master Data'!$A$2:$A$2436,0)),"")</f>
        <v>5</v>
      </c>
      <c r="H360" s="67" t="str">
        <f aca="false">IFERROR(INDEX('Master Data'!$K$2:$K$2436,MATCH($B$3&amp;"|"&amp;D360&amp;"|"&amp;B360&amp;"|"&amp;C360,'Master Data'!$A$2:$A$2436,0))&amp;"","")</f>
        <v/>
      </c>
      <c r="I360" s="67" t="s">
        <v>457</v>
      </c>
      <c r="J360" s="67" t="s">
        <v>134</v>
      </c>
      <c r="K360" s="68"/>
      <c r="L360" s="68"/>
      <c r="M360" s="68"/>
      <c r="N360" s="69"/>
      <c r="O360" s="68"/>
    </row>
    <row r="361" customFormat="false" ht="27.75" hidden="false" customHeight="true" outlineLevel="0" collapsed="false">
      <c r="A361" s="66" t="n">
        <v>270</v>
      </c>
      <c r="B361" s="67" t="s">
        <v>95</v>
      </c>
      <c r="C361" s="66" t="s">
        <v>118</v>
      </c>
      <c r="D361" s="66" t="n">
        <v>2</v>
      </c>
      <c r="E361" s="67" t="str">
        <f aca="false">IFERROR(INDEX('Master Data'!$L$2:$L$2436,MATCH($B$3&amp;"|"&amp;D361&amp;"|"&amp;B361&amp;"|"&amp;C361,'Master Data'!$A$2:$A$2436,0)),"")</f>
        <v>Belum terisi</v>
      </c>
      <c r="F361" s="67" t="str">
        <f aca="false">IFERROR(INDEX('Master Data'!$F$2:$F$2436,MATCH($B$3&amp;"|"&amp;D361&amp;"|"&amp;B361&amp;"|"&amp;C361,'Master Data'!$A$2:$A$2436,0))&amp;"","")</f>
        <v>Tiny</v>
      </c>
      <c r="G361" s="66" t="n">
        <f aca="false">IFERROR(INDEX('Master Data'!$G$2:$G$2436,MATCH($B$3&amp;"|"&amp;D361&amp;"|"&amp;B361&amp;"|"&amp;C361,'Master Data'!$A$2:$A$2436,0)),"")</f>
        <v>5</v>
      </c>
      <c r="H361" s="67" t="str">
        <f aca="false">IFERROR(INDEX('Master Data'!$K$2:$K$2436,MATCH($B$3&amp;"|"&amp;D361&amp;"|"&amp;B361&amp;"|"&amp;C361,'Master Data'!$A$2:$A$2436,0))&amp;"","")</f>
        <v/>
      </c>
      <c r="I361" s="67" t="s">
        <v>457</v>
      </c>
      <c r="J361" s="67" t="s">
        <v>134</v>
      </c>
      <c r="K361" s="68"/>
      <c r="L361" s="68"/>
      <c r="M361" s="68"/>
      <c r="N361" s="69"/>
      <c r="O361" s="68"/>
    </row>
    <row r="362" customFormat="false" ht="27.75" hidden="false" customHeight="true" outlineLevel="0" collapsed="false">
      <c r="A362" s="66" t="n">
        <v>271</v>
      </c>
      <c r="B362" s="67" t="s">
        <v>95</v>
      </c>
      <c r="C362" s="66" t="s">
        <v>118</v>
      </c>
      <c r="D362" s="66" t="n">
        <v>5</v>
      </c>
      <c r="E362" s="67" t="str">
        <f aca="false">IFERROR(INDEX('Master Data'!$L$2:$L$2436,MATCH($B$3&amp;"|"&amp;D362&amp;"|"&amp;B362&amp;"|"&amp;C362,'Master Data'!$A$2:$A$2436,0)),"")</f>
        <v>Slot kosong</v>
      </c>
      <c r="F362" s="67" t="str">
        <f aca="false">IFERROR(INDEX('Master Data'!$F$2:$F$2436,MATCH($B$3&amp;"|"&amp;D362&amp;"|"&amp;B362&amp;"|"&amp;C362,'Master Data'!$A$2:$A$2436,0))&amp;"","")</f>
        <v/>
      </c>
      <c r="G362" s="66" t="n">
        <f aca="false">IFERROR(INDEX('Master Data'!$G$2:$G$2436,MATCH($B$3&amp;"|"&amp;D362&amp;"|"&amp;B362&amp;"|"&amp;C362,'Master Data'!$A$2:$A$2436,0)),"")</f>
        <v>4</v>
      </c>
      <c r="H362" s="67" t="str">
        <f aca="false">IFERROR(INDEX('Master Data'!$K$2:$K$2436,MATCH($B$3&amp;"|"&amp;D362&amp;"|"&amp;B362&amp;"|"&amp;C362,'Master Data'!$A$2:$A$2436,0))&amp;"","")</f>
        <v/>
      </c>
      <c r="I362" s="67" t="s">
        <v>457</v>
      </c>
      <c r="J362" s="67" t="s">
        <v>134</v>
      </c>
      <c r="K362" s="68"/>
      <c r="L362" s="68"/>
      <c r="M362" s="68"/>
      <c r="N362" s="69"/>
      <c r="O362" s="68"/>
    </row>
    <row r="363" customFormat="false" ht="27.75" hidden="false" customHeight="true" outlineLevel="0" collapsed="false">
      <c r="A363" s="66" t="n">
        <v>272</v>
      </c>
      <c r="B363" s="67" t="s">
        <v>95</v>
      </c>
      <c r="C363" s="66" t="s">
        <v>119</v>
      </c>
      <c r="D363" s="66" t="n">
        <v>1</v>
      </c>
      <c r="E363" s="67" t="str">
        <f aca="false">IFERROR(INDEX('Master Data'!$L$2:$L$2436,MATCH($B$3&amp;"|"&amp;D363&amp;"|"&amp;B363&amp;"|"&amp;C363,'Master Data'!$A$2:$A$2436,0)),"")</f>
        <v>Belum terisi</v>
      </c>
      <c r="F363" s="67" t="str">
        <f aca="false">IFERROR(INDEX('Master Data'!$F$2:$F$2436,MATCH($B$3&amp;"|"&amp;D363&amp;"|"&amp;B363&amp;"|"&amp;C363,'Master Data'!$A$2:$A$2436,0))&amp;"","")</f>
        <v>Baby</v>
      </c>
      <c r="G363" s="66" t="n">
        <f aca="false">IFERROR(INDEX('Master Data'!$G$2:$G$2436,MATCH($B$3&amp;"|"&amp;D363&amp;"|"&amp;B363&amp;"|"&amp;C363,'Master Data'!$A$2:$A$2436,0)),"")</f>
        <v>5</v>
      </c>
      <c r="H363" s="67" t="str">
        <f aca="false">IFERROR(INDEX('Master Data'!$K$2:$K$2436,MATCH($B$3&amp;"|"&amp;D363&amp;"|"&amp;B363&amp;"|"&amp;C363,'Master Data'!$A$2:$A$2436,0))&amp;"","")</f>
        <v>Shabrina</v>
      </c>
      <c r="I363" s="67" t="s">
        <v>467</v>
      </c>
      <c r="J363" s="67" t="s">
        <v>134</v>
      </c>
      <c r="K363" s="68"/>
      <c r="L363" s="68"/>
      <c r="M363" s="68"/>
      <c r="N363" s="69"/>
      <c r="O363" s="68"/>
    </row>
    <row r="364" customFormat="false" ht="27.75" hidden="false" customHeight="true" outlineLevel="0" collapsed="false">
      <c r="A364" s="66" t="n">
        <v>273</v>
      </c>
      <c r="B364" s="67" t="s">
        <v>95</v>
      </c>
      <c r="C364" s="66" t="s">
        <v>119</v>
      </c>
      <c r="D364" s="66" t="n">
        <v>5</v>
      </c>
      <c r="E364" s="67" t="str">
        <f aca="false">IFERROR(INDEX('Master Data'!$L$2:$L$2436,MATCH($B$3&amp;"|"&amp;D364&amp;"|"&amp;B364&amp;"|"&amp;C364,'Master Data'!$A$2:$A$2436,0)),"")</f>
        <v>Slot kosong</v>
      </c>
      <c r="F364" s="67" t="str">
        <f aca="false">IFERROR(INDEX('Master Data'!$F$2:$F$2436,MATCH($B$3&amp;"|"&amp;D364&amp;"|"&amp;B364&amp;"|"&amp;C364,'Master Data'!$A$2:$A$2436,0))&amp;"","")</f>
        <v/>
      </c>
      <c r="G364" s="66" t="n">
        <f aca="false">IFERROR(INDEX('Master Data'!$G$2:$G$2436,MATCH($B$3&amp;"|"&amp;D364&amp;"|"&amp;B364&amp;"|"&amp;C364,'Master Data'!$A$2:$A$2436,0)),"")</f>
        <v>4</v>
      </c>
      <c r="H364" s="67" t="str">
        <f aca="false">IFERROR(INDEX('Master Data'!$K$2:$K$2436,MATCH($B$3&amp;"|"&amp;D364&amp;"|"&amp;B364&amp;"|"&amp;C364,'Master Data'!$A$2:$A$2436,0))&amp;"","")</f>
        <v/>
      </c>
      <c r="I364" s="67" t="s">
        <v>467</v>
      </c>
      <c r="J364" s="67" t="s">
        <v>134</v>
      </c>
      <c r="K364" s="68"/>
      <c r="L364" s="68"/>
      <c r="M364" s="68"/>
      <c r="N364" s="69"/>
      <c r="O364" s="68"/>
    </row>
    <row r="365" customFormat="false" ht="40.5" hidden="false" customHeight="true" outlineLevel="0" collapsed="false">
      <c r="A365" s="66" t="n">
        <v>274</v>
      </c>
      <c r="B365" s="67" t="s">
        <v>95</v>
      </c>
      <c r="C365" s="66" t="s">
        <v>105</v>
      </c>
      <c r="D365" s="66" t="n">
        <v>3</v>
      </c>
      <c r="E365" s="67" t="str">
        <f aca="false">IFERROR(INDEX('Master Data'!$L$2:$L$2436,MATCH($B$3&amp;"|"&amp;D365&amp;"|"&amp;B365&amp;"|"&amp;C365,'Master Data'!$A$2:$A$2436,0)),"")</f>
        <v>Belum terisi</v>
      </c>
      <c r="F365" s="67" t="str">
        <f aca="false">IFERROR(INDEX('Master Data'!$F$2:$F$2436,MATCH($B$3&amp;"|"&amp;D365&amp;"|"&amp;B365&amp;"|"&amp;C365,'Master Data'!$A$2:$A$2436,0))&amp;"","")</f>
        <v>Little</v>
      </c>
      <c r="G365" s="66" t="n">
        <f aca="false">IFERROR(INDEX('Master Data'!$G$2:$G$2436,MATCH($B$3&amp;"|"&amp;D365&amp;"|"&amp;B365&amp;"|"&amp;C365,'Master Data'!$A$2:$A$2436,0)),"")</f>
        <v>4</v>
      </c>
      <c r="H365" s="67" t="str">
        <f aca="false">IFERROR(INDEX('Master Data'!$K$2:$K$2436,MATCH($B$3&amp;"|"&amp;D365&amp;"|"&amp;B365&amp;"|"&amp;C365,'Master Data'!$A$2:$A$2436,0))&amp;"","")</f>
        <v/>
      </c>
      <c r="I365" s="67" t="s">
        <v>476</v>
      </c>
      <c r="J365" s="67" t="s">
        <v>134</v>
      </c>
      <c r="K365" s="68"/>
      <c r="L365" s="68"/>
      <c r="M365" s="68"/>
      <c r="N365" s="69"/>
      <c r="O365" s="68"/>
    </row>
    <row r="366" customFormat="false" ht="40.5" hidden="false" customHeight="true" outlineLevel="0" collapsed="false">
      <c r="A366" s="66" t="n">
        <v>275</v>
      </c>
      <c r="B366" s="67" t="s">
        <v>95</v>
      </c>
      <c r="C366" s="66" t="s">
        <v>105</v>
      </c>
      <c r="D366" s="66" t="n">
        <v>4</v>
      </c>
      <c r="E366" s="67" t="str">
        <f aca="false">IFERROR(INDEX('Master Data'!$L$2:$L$2436,MATCH($B$3&amp;"|"&amp;D366&amp;"|"&amp;B366&amp;"|"&amp;C366,'Master Data'!$A$2:$A$2436,0)),"")</f>
        <v>Belum terisi</v>
      </c>
      <c r="F366" s="67" t="str">
        <f aca="false">IFERROR(INDEX('Master Data'!$F$2:$F$2436,MATCH($B$3&amp;"|"&amp;D366&amp;"|"&amp;B366&amp;"|"&amp;C366,'Master Data'!$A$2:$A$2436,0))&amp;"","")</f>
        <v>Kids</v>
      </c>
      <c r="G366" s="66" t="n">
        <f aca="false">IFERROR(INDEX('Master Data'!$G$2:$G$2436,MATCH($B$3&amp;"|"&amp;D366&amp;"|"&amp;B366&amp;"|"&amp;C366,'Master Data'!$A$2:$A$2436,0)),"")</f>
        <v>4</v>
      </c>
      <c r="H366" s="67" t="str">
        <f aca="false">IFERROR(INDEX('Master Data'!$K$2:$K$2436,MATCH($B$3&amp;"|"&amp;D366&amp;"|"&amp;B366&amp;"|"&amp;C366,'Master Data'!$A$2:$A$2436,0))&amp;"","")</f>
        <v/>
      </c>
      <c r="I366" s="67" t="s">
        <v>476</v>
      </c>
      <c r="J366" s="67" t="s">
        <v>134</v>
      </c>
      <c r="K366" s="68"/>
      <c r="L366" s="68"/>
      <c r="M366" s="68"/>
      <c r="N366" s="69"/>
      <c r="O366" s="68"/>
    </row>
    <row r="367" customFormat="false" ht="40.5" hidden="false" customHeight="true" outlineLevel="0" collapsed="false">
      <c r="A367" s="66" t="n">
        <v>276</v>
      </c>
      <c r="B367" s="67" t="s">
        <v>95</v>
      </c>
      <c r="C367" s="66" t="s">
        <v>120</v>
      </c>
      <c r="D367" s="66" t="n">
        <v>2</v>
      </c>
      <c r="E367" s="67" t="str">
        <f aca="false">IFERROR(INDEX('Master Data'!$L$2:$L$2436,MATCH($B$3&amp;"|"&amp;D367&amp;"|"&amp;B367&amp;"|"&amp;C367,'Master Data'!$A$2:$A$2436,0)),"")</f>
        <v>Belum terisi</v>
      </c>
      <c r="F367" s="67" t="str">
        <f aca="false">IFERROR(INDEX('Master Data'!$F$2:$F$2436,MATCH($B$3&amp;"|"&amp;D367&amp;"|"&amp;B367&amp;"|"&amp;C367,'Master Data'!$A$2:$A$2436,0))&amp;"","")</f>
        <v>Tiny</v>
      </c>
      <c r="G367" s="66" t="n">
        <f aca="false">IFERROR(INDEX('Master Data'!$G$2:$G$2436,MATCH($B$3&amp;"|"&amp;D367&amp;"|"&amp;B367&amp;"|"&amp;C367,'Master Data'!$A$2:$A$2436,0)),"")</f>
        <v>5</v>
      </c>
      <c r="H367" s="67" t="str">
        <f aca="false">IFERROR(INDEX('Master Data'!$K$2:$K$2436,MATCH($B$3&amp;"|"&amp;D367&amp;"|"&amp;B367&amp;"|"&amp;C367,'Master Data'!$A$2:$A$2436,0))&amp;"","")</f>
        <v/>
      </c>
      <c r="I367" s="67" t="s">
        <v>477</v>
      </c>
      <c r="J367" s="67" t="s">
        <v>134</v>
      </c>
      <c r="K367" s="68"/>
      <c r="L367" s="68"/>
      <c r="M367" s="68"/>
      <c r="N367" s="69"/>
      <c r="O367" s="68"/>
    </row>
    <row r="368" customFormat="false" ht="40.5" hidden="false" customHeight="true" outlineLevel="0" collapsed="false">
      <c r="A368" s="66" t="n">
        <v>277</v>
      </c>
      <c r="B368" s="67" t="s">
        <v>95</v>
      </c>
      <c r="C368" s="66" t="s">
        <v>120</v>
      </c>
      <c r="D368" s="66" t="n">
        <v>5</v>
      </c>
      <c r="E368" s="67" t="str">
        <f aca="false">IFERROR(INDEX('Master Data'!$L$2:$L$2436,MATCH($B$3&amp;"|"&amp;D368&amp;"|"&amp;B368&amp;"|"&amp;C368,'Master Data'!$A$2:$A$2436,0)),"")</f>
        <v>Slot kosong</v>
      </c>
      <c r="F368" s="67" t="str">
        <f aca="false">IFERROR(INDEX('Master Data'!$F$2:$F$2436,MATCH($B$3&amp;"|"&amp;D368&amp;"|"&amp;B368&amp;"|"&amp;C368,'Master Data'!$A$2:$A$2436,0))&amp;"","")</f>
        <v/>
      </c>
      <c r="G368" s="66" t="n">
        <f aca="false">IFERROR(INDEX('Master Data'!$G$2:$G$2436,MATCH($B$3&amp;"|"&amp;D368&amp;"|"&amp;B368&amp;"|"&amp;C368,'Master Data'!$A$2:$A$2436,0)),"")</f>
        <v>4</v>
      </c>
      <c r="H368" s="67" t="str">
        <f aca="false">IFERROR(INDEX('Master Data'!$K$2:$K$2436,MATCH($B$3&amp;"|"&amp;D368&amp;"|"&amp;B368&amp;"|"&amp;C368,'Master Data'!$A$2:$A$2436,0))&amp;"","")</f>
        <v/>
      </c>
      <c r="I368" s="67" t="s">
        <v>477</v>
      </c>
      <c r="J368" s="67" t="s">
        <v>134</v>
      </c>
      <c r="K368" s="68"/>
      <c r="L368" s="68"/>
      <c r="M368" s="68"/>
      <c r="N368" s="69"/>
      <c r="O368" s="68"/>
    </row>
    <row r="369" customFormat="false" ht="40.5" hidden="false" customHeight="true" outlineLevel="0" collapsed="false">
      <c r="A369" s="66" t="n">
        <v>278</v>
      </c>
      <c r="B369" s="67" t="s">
        <v>95</v>
      </c>
      <c r="C369" s="66" t="s">
        <v>106</v>
      </c>
      <c r="D369" s="66" t="n">
        <v>3</v>
      </c>
      <c r="E369" s="67" t="str">
        <f aca="false">IFERROR(INDEX('Master Data'!$L$2:$L$2436,MATCH($B$3&amp;"|"&amp;D369&amp;"|"&amp;B369&amp;"|"&amp;C369,'Master Data'!$A$2:$A$2436,0)),"")</f>
        <v>Belum terisi</v>
      </c>
      <c r="F369" s="67" t="str">
        <f aca="false">IFERROR(INDEX('Master Data'!$F$2:$F$2436,MATCH($B$3&amp;"|"&amp;D369&amp;"|"&amp;B369&amp;"|"&amp;C369,'Master Data'!$A$2:$A$2436,0))&amp;"","")</f>
        <v>Little</v>
      </c>
      <c r="G369" s="66" t="n">
        <f aca="false">IFERROR(INDEX('Master Data'!$G$2:$G$2436,MATCH($B$3&amp;"|"&amp;D369&amp;"|"&amp;B369&amp;"|"&amp;C369,'Master Data'!$A$2:$A$2436,0)),"")</f>
        <v>4</v>
      </c>
      <c r="H369" s="67" t="str">
        <f aca="false">IFERROR(INDEX('Master Data'!$K$2:$K$2436,MATCH($B$3&amp;"|"&amp;D369&amp;"|"&amp;B369&amp;"|"&amp;C369,'Master Data'!$A$2:$A$2436,0))&amp;"","")</f>
        <v/>
      </c>
      <c r="I369" s="67" t="s">
        <v>477</v>
      </c>
      <c r="J369" s="67" t="s">
        <v>134</v>
      </c>
      <c r="K369" s="68"/>
      <c r="L369" s="68"/>
      <c r="M369" s="68"/>
      <c r="N369" s="69"/>
      <c r="O369" s="68"/>
    </row>
    <row r="370" customFormat="false" ht="40.5" hidden="false" customHeight="true" outlineLevel="0" collapsed="false">
      <c r="A370" s="66" t="n">
        <v>279</v>
      </c>
      <c r="B370" s="67" t="s">
        <v>95</v>
      </c>
      <c r="C370" s="66" t="s">
        <v>121</v>
      </c>
      <c r="D370" s="66" t="n">
        <v>1</v>
      </c>
      <c r="E370" s="67" t="str">
        <f aca="false">IFERROR(INDEX('Master Data'!$L$2:$L$2436,MATCH($B$3&amp;"|"&amp;D370&amp;"|"&amp;B370&amp;"|"&amp;C370,'Master Data'!$A$2:$A$2436,0)),"")</f>
        <v>Belum terisi</v>
      </c>
      <c r="F370" s="67" t="str">
        <f aca="false">IFERROR(INDEX('Master Data'!$F$2:$F$2436,MATCH($B$3&amp;"|"&amp;D370&amp;"|"&amp;B370&amp;"|"&amp;C370,'Master Data'!$A$2:$A$2436,0))&amp;"","")</f>
        <v>Baby</v>
      </c>
      <c r="G370" s="66" t="n">
        <f aca="false">IFERROR(INDEX('Master Data'!$G$2:$G$2436,MATCH($B$3&amp;"|"&amp;D370&amp;"|"&amp;B370&amp;"|"&amp;C370,'Master Data'!$A$2:$A$2436,0)),"")</f>
        <v>5</v>
      </c>
      <c r="H370" s="67" t="str">
        <f aca="false">IFERROR(INDEX('Master Data'!$K$2:$K$2436,MATCH($B$3&amp;"|"&amp;D370&amp;"|"&amp;B370&amp;"|"&amp;C370,'Master Data'!$A$2:$A$2436,0))&amp;"","")</f>
        <v/>
      </c>
      <c r="I370" s="67" t="s">
        <v>478</v>
      </c>
      <c r="J370" s="67" t="s">
        <v>134</v>
      </c>
      <c r="K370" s="68"/>
      <c r="L370" s="68"/>
      <c r="M370" s="68"/>
      <c r="N370" s="69"/>
      <c r="O370" s="68"/>
    </row>
    <row r="371" customFormat="false" ht="40.5" hidden="false" customHeight="true" outlineLevel="0" collapsed="false">
      <c r="A371" s="66" t="n">
        <v>280</v>
      </c>
      <c r="B371" s="67" t="s">
        <v>95</v>
      </c>
      <c r="C371" s="66" t="s">
        <v>121</v>
      </c>
      <c r="D371" s="66" t="n">
        <v>2</v>
      </c>
      <c r="E371" s="67" t="str">
        <f aca="false">IFERROR(INDEX('Master Data'!$L$2:$L$2436,MATCH($B$3&amp;"|"&amp;D371&amp;"|"&amp;B371&amp;"|"&amp;C371,'Master Data'!$A$2:$A$2436,0)),"")</f>
        <v>Belum terisi</v>
      </c>
      <c r="F371" s="67" t="str">
        <f aca="false">IFERROR(INDEX('Master Data'!$F$2:$F$2436,MATCH($B$3&amp;"|"&amp;D371&amp;"|"&amp;B371&amp;"|"&amp;C371,'Master Data'!$A$2:$A$2436,0))&amp;"","")</f>
        <v>Tiny</v>
      </c>
      <c r="G371" s="66" t="n">
        <f aca="false">IFERROR(INDEX('Master Data'!$G$2:$G$2436,MATCH($B$3&amp;"|"&amp;D371&amp;"|"&amp;B371&amp;"|"&amp;C371,'Master Data'!$A$2:$A$2436,0)),"")</f>
        <v>5</v>
      </c>
      <c r="H371" s="67" t="str">
        <f aca="false">IFERROR(INDEX('Master Data'!$K$2:$K$2436,MATCH($B$3&amp;"|"&amp;D371&amp;"|"&amp;B371&amp;"|"&amp;C371,'Master Data'!$A$2:$A$2436,0))&amp;"","")</f>
        <v/>
      </c>
      <c r="I371" s="67" t="s">
        <v>478</v>
      </c>
      <c r="J371" s="67" t="s">
        <v>134</v>
      </c>
      <c r="K371" s="68"/>
      <c r="L371" s="68"/>
      <c r="M371" s="68"/>
      <c r="N371" s="69"/>
      <c r="O371" s="68"/>
    </row>
    <row r="372" customFormat="false" ht="40.5" hidden="false" customHeight="true" outlineLevel="0" collapsed="false">
      <c r="A372" s="66" t="n">
        <v>281</v>
      </c>
      <c r="B372" s="67" t="s">
        <v>95</v>
      </c>
      <c r="C372" s="66" t="s">
        <v>121</v>
      </c>
      <c r="D372" s="66" t="n">
        <v>5</v>
      </c>
      <c r="E372" s="67" t="str">
        <f aca="false">IFERROR(INDEX('Master Data'!$L$2:$L$2436,MATCH($B$3&amp;"|"&amp;D372&amp;"|"&amp;B372&amp;"|"&amp;C372,'Master Data'!$A$2:$A$2436,0)),"")</f>
        <v>Slot kosong</v>
      </c>
      <c r="F372" s="67" t="str">
        <f aca="false">IFERROR(INDEX('Master Data'!$F$2:$F$2436,MATCH($B$3&amp;"|"&amp;D372&amp;"|"&amp;B372&amp;"|"&amp;C372,'Master Data'!$A$2:$A$2436,0))&amp;"","")</f>
        <v/>
      </c>
      <c r="G372" s="66" t="n">
        <f aca="false">IFERROR(INDEX('Master Data'!$G$2:$G$2436,MATCH($B$3&amp;"|"&amp;D372&amp;"|"&amp;B372&amp;"|"&amp;C372,'Master Data'!$A$2:$A$2436,0)),"")</f>
        <v>4</v>
      </c>
      <c r="H372" s="67" t="str">
        <f aca="false">IFERROR(INDEX('Master Data'!$K$2:$K$2436,MATCH($B$3&amp;"|"&amp;D372&amp;"|"&amp;B372&amp;"|"&amp;C372,'Master Data'!$A$2:$A$2436,0))&amp;"","")</f>
        <v/>
      </c>
      <c r="I372" s="67" t="s">
        <v>478</v>
      </c>
      <c r="J372" s="67" t="s">
        <v>134</v>
      </c>
      <c r="K372" s="68"/>
      <c r="L372" s="68"/>
      <c r="M372" s="68"/>
      <c r="N372" s="69"/>
      <c r="O372" s="68"/>
    </row>
    <row r="373" customFormat="false" ht="40.5" hidden="false" customHeight="true" outlineLevel="0" collapsed="false">
      <c r="A373" s="66" t="n">
        <v>282</v>
      </c>
      <c r="B373" s="67" t="s">
        <v>95</v>
      </c>
      <c r="C373" s="66" t="s">
        <v>107</v>
      </c>
      <c r="D373" s="66" t="n">
        <v>3</v>
      </c>
      <c r="E373" s="67" t="str">
        <f aca="false">IFERROR(INDEX('Master Data'!$L$2:$L$2436,MATCH($B$3&amp;"|"&amp;D373&amp;"|"&amp;B373&amp;"|"&amp;C373,'Master Data'!$A$2:$A$2436,0)),"")</f>
        <v>Belum terisi</v>
      </c>
      <c r="F373" s="67" t="str">
        <f aca="false">IFERROR(INDEX('Master Data'!$F$2:$F$2436,MATCH($B$3&amp;"|"&amp;D373&amp;"|"&amp;B373&amp;"|"&amp;C373,'Master Data'!$A$2:$A$2436,0))&amp;"","")</f>
        <v>Little</v>
      </c>
      <c r="G373" s="66" t="n">
        <f aca="false">IFERROR(INDEX('Master Data'!$G$2:$G$2436,MATCH($B$3&amp;"|"&amp;D373&amp;"|"&amp;B373&amp;"|"&amp;C373,'Master Data'!$A$2:$A$2436,0)),"")</f>
        <v>4</v>
      </c>
      <c r="H373" s="67" t="str">
        <f aca="false">IFERROR(INDEX('Master Data'!$K$2:$K$2436,MATCH($B$3&amp;"|"&amp;D373&amp;"|"&amp;B373&amp;"|"&amp;C373,'Master Data'!$A$2:$A$2436,0))&amp;"","")</f>
        <v/>
      </c>
      <c r="I373" s="67" t="s">
        <v>478</v>
      </c>
      <c r="J373" s="67" t="s">
        <v>134</v>
      </c>
      <c r="K373" s="68"/>
      <c r="L373" s="68"/>
      <c r="M373" s="68"/>
      <c r="N373" s="69"/>
      <c r="O373" s="68"/>
    </row>
    <row r="374" customFormat="false" ht="40.5" hidden="false" customHeight="true" outlineLevel="0" collapsed="false">
      <c r="A374" s="66" t="n">
        <v>283</v>
      </c>
      <c r="B374" s="67" t="s">
        <v>78</v>
      </c>
      <c r="C374" s="66" t="s">
        <v>110</v>
      </c>
      <c r="D374" s="66" t="n">
        <v>1</v>
      </c>
      <c r="E374" s="67" t="str">
        <f aca="false">IFERROR(INDEX('Master Data'!$L$2:$L$2436,MATCH($B$3&amp;"|"&amp;D374&amp;"|"&amp;B374&amp;"|"&amp;C374,'Master Data'!$A$2:$A$2436,0)),"")</f>
        <v>Belum terisi</v>
      </c>
      <c r="F374" s="67" t="str">
        <f aca="false">IFERROR(INDEX('Master Data'!$F$2:$F$2436,MATCH($B$3&amp;"|"&amp;D374&amp;"|"&amp;B374&amp;"|"&amp;C374,'Master Data'!$A$2:$A$2436,0))&amp;"","")</f>
        <v>Baby</v>
      </c>
      <c r="G374" s="66" t="n">
        <f aca="false">IFERROR(INDEX('Master Data'!$G$2:$G$2436,MATCH($B$3&amp;"|"&amp;D374&amp;"|"&amp;B374&amp;"|"&amp;C374,'Master Data'!$A$2:$A$2436,0)),"")</f>
        <v>5</v>
      </c>
      <c r="H374" s="67" t="str">
        <f aca="false">IFERROR(INDEX('Master Data'!$K$2:$K$2436,MATCH($B$3&amp;"|"&amp;D374&amp;"|"&amp;B374&amp;"|"&amp;C374,'Master Data'!$A$2:$A$2436,0))&amp;"","")</f>
        <v/>
      </c>
      <c r="I374" s="67" t="s">
        <v>476</v>
      </c>
      <c r="J374" s="67" t="s">
        <v>134</v>
      </c>
      <c r="K374" s="68"/>
      <c r="L374" s="68"/>
      <c r="M374" s="68"/>
      <c r="N374" s="69"/>
      <c r="O374" s="68"/>
    </row>
    <row r="375" customFormat="false" ht="40.5" hidden="false" customHeight="true" outlineLevel="0" collapsed="false">
      <c r="A375" s="66" t="n">
        <v>284</v>
      </c>
      <c r="B375" s="67" t="s">
        <v>78</v>
      </c>
      <c r="C375" s="66" t="s">
        <v>110</v>
      </c>
      <c r="D375" s="66" t="n">
        <v>2</v>
      </c>
      <c r="E375" s="67" t="str">
        <f aca="false">IFERROR(INDEX('Master Data'!$L$2:$L$2436,MATCH($B$3&amp;"|"&amp;D375&amp;"|"&amp;B375&amp;"|"&amp;C375,'Master Data'!$A$2:$A$2436,0)),"")</f>
        <v>Belum terisi</v>
      </c>
      <c r="F375" s="67" t="str">
        <f aca="false">IFERROR(INDEX('Master Data'!$F$2:$F$2436,MATCH($B$3&amp;"|"&amp;D375&amp;"|"&amp;B375&amp;"|"&amp;C375,'Master Data'!$A$2:$A$2436,0))&amp;"","")</f>
        <v>Tiny</v>
      </c>
      <c r="G375" s="66" t="n">
        <f aca="false">IFERROR(INDEX('Master Data'!$G$2:$G$2436,MATCH($B$3&amp;"|"&amp;D375&amp;"|"&amp;B375&amp;"|"&amp;C375,'Master Data'!$A$2:$A$2436,0)),"")</f>
        <v>5</v>
      </c>
      <c r="H375" s="67" t="str">
        <f aca="false">IFERROR(INDEX('Master Data'!$K$2:$K$2436,MATCH($B$3&amp;"|"&amp;D375&amp;"|"&amp;B375&amp;"|"&amp;C375,'Master Data'!$A$2:$A$2436,0))&amp;"","")</f>
        <v/>
      </c>
      <c r="I375" s="67" t="s">
        <v>476</v>
      </c>
      <c r="J375" s="67" t="s">
        <v>134</v>
      </c>
      <c r="K375" s="68"/>
      <c r="L375" s="68"/>
      <c r="M375" s="68"/>
      <c r="N375" s="69"/>
      <c r="O375" s="68"/>
    </row>
    <row r="376" customFormat="false" ht="40.5" hidden="false" customHeight="true" outlineLevel="0" collapsed="false">
      <c r="A376" s="66" t="n">
        <v>285</v>
      </c>
      <c r="B376" s="67" t="s">
        <v>78</v>
      </c>
      <c r="C376" s="66" t="s">
        <v>110</v>
      </c>
      <c r="D376" s="66" t="n">
        <v>5</v>
      </c>
      <c r="E376" s="67" t="str">
        <f aca="false">IFERROR(INDEX('Master Data'!$L$2:$L$2436,MATCH($B$3&amp;"|"&amp;D376&amp;"|"&amp;B376&amp;"|"&amp;C376,'Master Data'!$A$2:$A$2436,0)),"")</f>
        <v>Slot kosong</v>
      </c>
      <c r="F376" s="67" t="str">
        <f aca="false">IFERROR(INDEX('Master Data'!$F$2:$F$2436,MATCH($B$3&amp;"|"&amp;D376&amp;"|"&amp;B376&amp;"|"&amp;C376,'Master Data'!$A$2:$A$2436,0))&amp;"","")</f>
        <v/>
      </c>
      <c r="G376" s="66" t="n">
        <f aca="false">IFERROR(INDEX('Master Data'!$G$2:$G$2436,MATCH($B$3&amp;"|"&amp;D376&amp;"|"&amp;B376&amp;"|"&amp;C376,'Master Data'!$A$2:$A$2436,0)),"")</f>
        <v>4</v>
      </c>
      <c r="H376" s="67" t="str">
        <f aca="false">IFERROR(INDEX('Master Data'!$K$2:$K$2436,MATCH($B$3&amp;"|"&amp;D376&amp;"|"&amp;B376&amp;"|"&amp;C376,'Master Data'!$A$2:$A$2436,0))&amp;"","")</f>
        <v/>
      </c>
      <c r="I376" s="67" t="s">
        <v>476</v>
      </c>
      <c r="J376" s="67" t="s">
        <v>134</v>
      </c>
      <c r="K376" s="68"/>
      <c r="L376" s="68"/>
      <c r="M376" s="68"/>
      <c r="N376" s="69"/>
      <c r="O376" s="68"/>
    </row>
    <row r="377" customFormat="false" ht="27.75" hidden="false" customHeight="true" outlineLevel="0" collapsed="false">
      <c r="A377" s="66" t="n">
        <v>286</v>
      </c>
      <c r="B377" s="67" t="s">
        <v>78</v>
      </c>
      <c r="C377" s="66" t="s">
        <v>96</v>
      </c>
      <c r="D377" s="66" t="n">
        <v>3</v>
      </c>
      <c r="E377" s="67" t="str">
        <f aca="false">IFERROR(INDEX('Master Data'!$L$2:$L$2436,MATCH($B$3&amp;"|"&amp;D377&amp;"|"&amp;B377&amp;"|"&amp;C377,'Master Data'!$A$2:$A$2436,0)),"")</f>
        <v>Belum terisi</v>
      </c>
      <c r="F377" s="67" t="str">
        <f aca="false">IFERROR(INDEX('Master Data'!$F$2:$F$2436,MATCH($B$3&amp;"|"&amp;D377&amp;"|"&amp;B377&amp;"|"&amp;C377,'Master Data'!$A$2:$A$2436,0))&amp;"","")</f>
        <v>Little</v>
      </c>
      <c r="G377" s="66" t="n">
        <f aca="false">IFERROR(INDEX('Master Data'!$G$2:$G$2436,MATCH($B$3&amp;"|"&amp;D377&amp;"|"&amp;B377&amp;"|"&amp;C377,'Master Data'!$A$2:$A$2436,0)),"")</f>
        <v>4</v>
      </c>
      <c r="H377" s="67" t="str">
        <f aca="false">IFERROR(INDEX('Master Data'!$K$2:$K$2436,MATCH($B$3&amp;"|"&amp;D377&amp;"|"&amp;B377&amp;"|"&amp;C377,'Master Data'!$A$2:$A$2436,0))&amp;"","")</f>
        <v/>
      </c>
      <c r="I377" s="67" t="s">
        <v>470</v>
      </c>
      <c r="J377" s="67" t="s">
        <v>203</v>
      </c>
      <c r="K377" s="68"/>
      <c r="L377" s="68"/>
      <c r="M377" s="68"/>
      <c r="N377" s="69"/>
      <c r="O377" s="68"/>
    </row>
    <row r="378" customFormat="false" ht="27.75" hidden="false" customHeight="true" outlineLevel="0" collapsed="false">
      <c r="A378" s="66" t="n">
        <v>287</v>
      </c>
      <c r="B378" s="67" t="s">
        <v>78</v>
      </c>
      <c r="C378" s="66" t="s">
        <v>96</v>
      </c>
      <c r="D378" s="66" t="n">
        <v>4</v>
      </c>
      <c r="E378" s="67" t="str">
        <f aca="false">IFERROR(INDEX('Master Data'!$L$2:$L$2436,MATCH($B$3&amp;"|"&amp;D378&amp;"|"&amp;B378&amp;"|"&amp;C378,'Master Data'!$A$2:$A$2436,0)),"")</f>
        <v>Belum terisi</v>
      </c>
      <c r="F378" s="67" t="str">
        <f aca="false">IFERROR(INDEX('Master Data'!$F$2:$F$2436,MATCH($B$3&amp;"|"&amp;D378&amp;"|"&amp;B378&amp;"|"&amp;C378,'Master Data'!$A$2:$A$2436,0))&amp;"","")</f>
        <v>Kids</v>
      </c>
      <c r="G378" s="66" t="n">
        <f aca="false">IFERROR(INDEX('Master Data'!$G$2:$G$2436,MATCH($B$3&amp;"|"&amp;D378&amp;"|"&amp;B378&amp;"|"&amp;C378,'Master Data'!$A$2:$A$2436,0)),"")</f>
        <v>4</v>
      </c>
      <c r="H378" s="67" t="str">
        <f aca="false">IFERROR(INDEX('Master Data'!$K$2:$K$2436,MATCH($B$3&amp;"|"&amp;D378&amp;"|"&amp;B378&amp;"|"&amp;C378,'Master Data'!$A$2:$A$2436,0))&amp;"","")</f>
        <v/>
      </c>
      <c r="I378" s="67" t="s">
        <v>470</v>
      </c>
      <c r="J378" s="67" t="s">
        <v>203</v>
      </c>
      <c r="K378" s="68"/>
      <c r="L378" s="68"/>
      <c r="M378" s="68"/>
      <c r="N378" s="69"/>
      <c r="O378" s="68"/>
    </row>
    <row r="379" customFormat="false" ht="15.75" hidden="false" customHeight="true" outlineLevel="0" collapsed="false">
      <c r="A379" s="66" t="n">
        <v>288</v>
      </c>
      <c r="B379" s="67" t="s">
        <v>78</v>
      </c>
      <c r="C379" s="66" t="s">
        <v>111</v>
      </c>
      <c r="D379" s="66" t="n">
        <v>1</v>
      </c>
      <c r="E379" s="67" t="str">
        <f aca="false">IFERROR(INDEX('Master Data'!$L$2:$L$2436,MATCH($B$3&amp;"|"&amp;D379&amp;"|"&amp;B379&amp;"|"&amp;C379,'Master Data'!$A$2:$A$2436,0)),"")</f>
        <v>Belum terisi</v>
      </c>
      <c r="F379" s="67" t="str">
        <f aca="false">IFERROR(INDEX('Master Data'!$F$2:$F$2436,MATCH($B$3&amp;"|"&amp;D379&amp;"|"&amp;B379&amp;"|"&amp;C379,'Master Data'!$A$2:$A$2436,0))&amp;"","")</f>
        <v>Baby</v>
      </c>
      <c r="G379" s="66" t="n">
        <f aca="false">IFERROR(INDEX('Master Data'!$G$2:$G$2436,MATCH($B$3&amp;"|"&amp;D379&amp;"|"&amp;B379&amp;"|"&amp;C379,'Master Data'!$A$2:$A$2436,0)),"")</f>
        <v>5</v>
      </c>
      <c r="H379" s="67" t="str">
        <f aca="false">IFERROR(INDEX('Master Data'!$K$2:$K$2436,MATCH($B$3&amp;"|"&amp;D379&amp;"|"&amp;B379&amp;"|"&amp;C379,'Master Data'!$A$2:$A$2436,0))&amp;"","")</f>
        <v/>
      </c>
      <c r="I379" s="67" t="s">
        <v>463</v>
      </c>
      <c r="J379" s="67" t="s">
        <v>221</v>
      </c>
      <c r="K379" s="68"/>
      <c r="L379" s="68"/>
      <c r="M379" s="68"/>
      <c r="N379" s="69"/>
      <c r="O379" s="68"/>
    </row>
    <row r="380" customFormat="false" ht="15.75" hidden="false" customHeight="true" outlineLevel="0" collapsed="false">
      <c r="A380" s="66" t="n">
        <v>289</v>
      </c>
      <c r="B380" s="67" t="s">
        <v>78</v>
      </c>
      <c r="C380" s="66" t="s">
        <v>111</v>
      </c>
      <c r="D380" s="66" t="n">
        <v>5</v>
      </c>
      <c r="E380" s="67" t="str">
        <f aca="false">IFERROR(INDEX('Master Data'!$L$2:$L$2436,MATCH($B$3&amp;"|"&amp;D380&amp;"|"&amp;B380&amp;"|"&amp;C380,'Master Data'!$A$2:$A$2436,0)),"")</f>
        <v>Slot kosong</v>
      </c>
      <c r="F380" s="67" t="str">
        <f aca="false">IFERROR(INDEX('Master Data'!$F$2:$F$2436,MATCH($B$3&amp;"|"&amp;D380&amp;"|"&amp;B380&amp;"|"&amp;C380,'Master Data'!$A$2:$A$2436,0))&amp;"","")</f>
        <v/>
      </c>
      <c r="G380" s="66" t="n">
        <f aca="false">IFERROR(INDEX('Master Data'!$G$2:$G$2436,MATCH($B$3&amp;"|"&amp;D380&amp;"|"&amp;B380&amp;"|"&amp;C380,'Master Data'!$A$2:$A$2436,0)),"")</f>
        <v>4</v>
      </c>
      <c r="H380" s="67" t="str">
        <f aca="false">IFERROR(INDEX('Master Data'!$K$2:$K$2436,MATCH($B$3&amp;"|"&amp;D380&amp;"|"&amp;B380&amp;"|"&amp;C380,'Master Data'!$A$2:$A$2436,0))&amp;"","")</f>
        <v/>
      </c>
      <c r="I380" s="67" t="s">
        <v>463</v>
      </c>
      <c r="J380" s="67" t="s">
        <v>203</v>
      </c>
      <c r="K380" s="68"/>
      <c r="L380" s="68"/>
      <c r="M380" s="68"/>
      <c r="N380" s="69"/>
      <c r="O380" s="68"/>
    </row>
    <row r="381" customFormat="false" ht="15.75" hidden="false" customHeight="true" outlineLevel="0" collapsed="false">
      <c r="A381" s="66" t="n">
        <v>290</v>
      </c>
      <c r="B381" s="67" t="s">
        <v>78</v>
      </c>
      <c r="C381" s="66" t="s">
        <v>112</v>
      </c>
      <c r="D381" s="66" t="n">
        <v>2</v>
      </c>
      <c r="E381" s="67" t="str">
        <f aca="false">IFERROR(INDEX('Master Data'!$L$2:$L$2436,MATCH($B$3&amp;"|"&amp;D381&amp;"|"&amp;B381&amp;"|"&amp;C381,'Master Data'!$A$2:$A$2436,0)),"")</f>
        <v>Belum terisi</v>
      </c>
      <c r="F381" s="67" t="str">
        <f aca="false">IFERROR(INDEX('Master Data'!$F$2:$F$2436,MATCH($B$3&amp;"|"&amp;D381&amp;"|"&amp;B381&amp;"|"&amp;C381,'Master Data'!$A$2:$A$2436,0))&amp;"","")</f>
        <v>Tiny</v>
      </c>
      <c r="G381" s="66" t="n">
        <f aca="false">IFERROR(INDEX('Master Data'!$G$2:$G$2436,MATCH($B$3&amp;"|"&amp;D381&amp;"|"&amp;B381&amp;"|"&amp;C381,'Master Data'!$A$2:$A$2436,0)),"")</f>
        <v>5</v>
      </c>
      <c r="H381" s="67" t="str">
        <f aca="false">IFERROR(INDEX('Master Data'!$K$2:$K$2436,MATCH($B$3&amp;"|"&amp;D381&amp;"|"&amp;B381&amp;"|"&amp;C381,'Master Data'!$A$2:$A$2436,0))&amp;"","")</f>
        <v/>
      </c>
      <c r="I381" s="67" t="s">
        <v>463</v>
      </c>
      <c r="J381" s="67" t="s">
        <v>144</v>
      </c>
      <c r="K381" s="68"/>
      <c r="L381" s="68"/>
      <c r="M381" s="68"/>
      <c r="N381" s="69"/>
      <c r="O381" s="68"/>
    </row>
    <row r="382" customFormat="false" ht="15.75" hidden="false" customHeight="true" outlineLevel="0" collapsed="false">
      <c r="A382" s="66" t="n">
        <v>291</v>
      </c>
      <c r="B382" s="67" t="s">
        <v>78</v>
      </c>
      <c r="C382" s="66" t="s">
        <v>112</v>
      </c>
      <c r="D382" s="66" t="n">
        <v>5</v>
      </c>
      <c r="E382" s="67" t="str">
        <f aca="false">IFERROR(INDEX('Master Data'!$L$2:$L$2436,MATCH($B$3&amp;"|"&amp;D382&amp;"|"&amp;B382&amp;"|"&amp;C382,'Master Data'!$A$2:$A$2436,0)),"")</f>
        <v>Slot kosong</v>
      </c>
      <c r="F382" s="67" t="str">
        <f aca="false">IFERROR(INDEX('Master Data'!$F$2:$F$2436,MATCH($B$3&amp;"|"&amp;D382&amp;"|"&amp;B382&amp;"|"&amp;C382,'Master Data'!$A$2:$A$2436,0))&amp;"","")</f>
        <v/>
      </c>
      <c r="G382" s="66" t="n">
        <f aca="false">IFERROR(INDEX('Master Data'!$G$2:$G$2436,MATCH($B$3&amp;"|"&amp;D382&amp;"|"&amp;B382&amp;"|"&amp;C382,'Master Data'!$A$2:$A$2436,0)),"")</f>
        <v>4</v>
      </c>
      <c r="H382" s="67" t="str">
        <f aca="false">IFERROR(INDEX('Master Data'!$K$2:$K$2436,MATCH($B$3&amp;"|"&amp;D382&amp;"|"&amp;B382&amp;"|"&amp;C382,'Master Data'!$A$2:$A$2436,0))&amp;"","")</f>
        <v/>
      </c>
      <c r="I382" s="67" t="s">
        <v>463</v>
      </c>
      <c r="J382" s="67" t="s">
        <v>203</v>
      </c>
      <c r="K382" s="68"/>
      <c r="L382" s="68"/>
      <c r="M382" s="68"/>
      <c r="N382" s="69"/>
      <c r="O382" s="68"/>
    </row>
    <row r="383" customFormat="false" ht="27.75" hidden="false" customHeight="true" outlineLevel="0" collapsed="false">
      <c r="A383" s="66" t="n">
        <v>292</v>
      </c>
      <c r="B383" s="67" t="s">
        <v>78</v>
      </c>
      <c r="C383" s="66" t="s">
        <v>98</v>
      </c>
      <c r="D383" s="66" t="n">
        <v>4</v>
      </c>
      <c r="E383" s="67" t="str">
        <f aca="false">IFERROR(INDEX('Master Data'!$L$2:$L$2436,MATCH($B$3&amp;"|"&amp;D383&amp;"|"&amp;B383&amp;"|"&amp;C383,'Master Data'!$A$2:$A$2436,0)),"")</f>
        <v>Belum terisi</v>
      </c>
      <c r="F383" s="67" t="str">
        <f aca="false">IFERROR(INDEX('Master Data'!$F$2:$F$2436,MATCH($B$3&amp;"|"&amp;D383&amp;"|"&amp;B383&amp;"|"&amp;C383,'Master Data'!$A$2:$A$2436,0))&amp;"","")</f>
        <v>Kids</v>
      </c>
      <c r="G383" s="66" t="n">
        <f aca="false">IFERROR(INDEX('Master Data'!$G$2:$G$2436,MATCH($B$3&amp;"|"&amp;D383&amp;"|"&amp;B383&amp;"|"&amp;C383,'Master Data'!$A$2:$A$2436,0)),"")</f>
        <v>4</v>
      </c>
      <c r="H383" s="67" t="str">
        <f aca="false">IFERROR(INDEX('Master Data'!$K$2:$K$2436,MATCH($B$3&amp;"|"&amp;D383&amp;"|"&amp;B383&amp;"|"&amp;C383,'Master Data'!$A$2:$A$2436,0))&amp;"","")</f>
        <v/>
      </c>
      <c r="I383" s="67" t="s">
        <v>466</v>
      </c>
      <c r="J383" s="67" t="s">
        <v>203</v>
      </c>
      <c r="K383" s="68"/>
      <c r="L383" s="68"/>
      <c r="M383" s="68"/>
      <c r="N383" s="69"/>
      <c r="O383" s="68"/>
    </row>
    <row r="384" customFormat="false" ht="27.75" hidden="false" customHeight="true" outlineLevel="0" collapsed="false">
      <c r="A384" s="66" t="n">
        <v>293</v>
      </c>
      <c r="B384" s="67" t="s">
        <v>78</v>
      </c>
      <c r="C384" s="66" t="s">
        <v>113</v>
      </c>
      <c r="D384" s="66" t="n">
        <v>1</v>
      </c>
      <c r="E384" s="67" t="str">
        <f aca="false">IFERROR(INDEX('Master Data'!$L$2:$L$2436,MATCH($B$3&amp;"|"&amp;D384&amp;"|"&amp;B384&amp;"|"&amp;C384,'Master Data'!$A$2:$A$2436,0)),"")</f>
        <v>Belum terisi</v>
      </c>
      <c r="F384" s="67" t="str">
        <f aca="false">IFERROR(INDEX('Master Data'!$F$2:$F$2436,MATCH($B$3&amp;"|"&amp;D384&amp;"|"&amp;B384&amp;"|"&amp;C384,'Master Data'!$A$2:$A$2436,0))&amp;"","")</f>
        <v>Baby</v>
      </c>
      <c r="G384" s="66" t="n">
        <f aca="false">IFERROR(INDEX('Master Data'!$G$2:$G$2436,MATCH($B$3&amp;"|"&amp;D384&amp;"|"&amp;B384&amp;"|"&amp;C384,'Master Data'!$A$2:$A$2436,0)),"")</f>
        <v>5</v>
      </c>
      <c r="H384" s="67" t="str">
        <f aca="false">IFERROR(INDEX('Master Data'!$K$2:$K$2436,MATCH($B$3&amp;"|"&amp;D384&amp;"|"&amp;B384&amp;"|"&amp;C384,'Master Data'!$A$2:$A$2436,0))&amp;"","")</f>
        <v/>
      </c>
      <c r="I384" s="67" t="s">
        <v>457</v>
      </c>
      <c r="J384" s="67" t="s">
        <v>134</v>
      </c>
      <c r="K384" s="68"/>
      <c r="L384" s="68"/>
      <c r="M384" s="68"/>
      <c r="N384" s="69"/>
      <c r="O384" s="68"/>
    </row>
    <row r="385" customFormat="false" ht="27.75" hidden="false" customHeight="true" outlineLevel="0" collapsed="false">
      <c r="A385" s="66" t="n">
        <v>294</v>
      </c>
      <c r="B385" s="67" t="s">
        <v>78</v>
      </c>
      <c r="C385" s="66" t="s">
        <v>113</v>
      </c>
      <c r="D385" s="66" t="n">
        <v>2</v>
      </c>
      <c r="E385" s="67" t="str">
        <f aca="false">IFERROR(INDEX('Master Data'!$L$2:$L$2436,MATCH($B$3&amp;"|"&amp;D385&amp;"|"&amp;B385&amp;"|"&amp;C385,'Master Data'!$A$2:$A$2436,0)),"")</f>
        <v>Belum terisi</v>
      </c>
      <c r="F385" s="67" t="str">
        <f aca="false">IFERROR(INDEX('Master Data'!$F$2:$F$2436,MATCH($B$3&amp;"|"&amp;D385&amp;"|"&amp;B385&amp;"|"&amp;C385,'Master Data'!$A$2:$A$2436,0))&amp;"","")</f>
        <v>Tiny</v>
      </c>
      <c r="G385" s="66" t="n">
        <f aca="false">IFERROR(INDEX('Master Data'!$G$2:$G$2436,MATCH($B$3&amp;"|"&amp;D385&amp;"|"&amp;B385&amp;"|"&amp;C385,'Master Data'!$A$2:$A$2436,0)),"")</f>
        <v>5</v>
      </c>
      <c r="H385" s="67" t="str">
        <f aca="false">IFERROR(INDEX('Master Data'!$K$2:$K$2436,MATCH($B$3&amp;"|"&amp;D385&amp;"|"&amp;B385&amp;"|"&amp;C385,'Master Data'!$A$2:$A$2436,0))&amp;"","")</f>
        <v/>
      </c>
      <c r="I385" s="67" t="s">
        <v>457</v>
      </c>
      <c r="J385" s="67" t="s">
        <v>134</v>
      </c>
      <c r="K385" s="68"/>
      <c r="L385" s="68"/>
      <c r="M385" s="68"/>
      <c r="N385" s="69"/>
      <c r="O385" s="68"/>
    </row>
    <row r="386" customFormat="false" ht="27.75" hidden="false" customHeight="true" outlineLevel="0" collapsed="false">
      <c r="A386" s="66" t="n">
        <v>295</v>
      </c>
      <c r="B386" s="67" t="s">
        <v>78</v>
      </c>
      <c r="C386" s="66" t="s">
        <v>113</v>
      </c>
      <c r="D386" s="66" t="n">
        <v>5</v>
      </c>
      <c r="E386" s="67" t="str">
        <f aca="false">IFERROR(INDEX('Master Data'!$L$2:$L$2436,MATCH($B$3&amp;"|"&amp;D386&amp;"|"&amp;B386&amp;"|"&amp;C386,'Master Data'!$A$2:$A$2436,0)),"")</f>
        <v>Slot kosong</v>
      </c>
      <c r="F386" s="67" t="str">
        <f aca="false">IFERROR(INDEX('Master Data'!$F$2:$F$2436,MATCH($B$3&amp;"|"&amp;D386&amp;"|"&amp;B386&amp;"|"&amp;C386,'Master Data'!$A$2:$A$2436,0))&amp;"","")</f>
        <v/>
      </c>
      <c r="G386" s="66" t="n">
        <f aca="false">IFERROR(INDEX('Master Data'!$G$2:$G$2436,MATCH($B$3&amp;"|"&amp;D386&amp;"|"&amp;B386&amp;"|"&amp;C386,'Master Data'!$A$2:$A$2436,0)),"")</f>
        <v>4</v>
      </c>
      <c r="H386" s="67" t="str">
        <f aca="false">IFERROR(INDEX('Master Data'!$K$2:$K$2436,MATCH($B$3&amp;"|"&amp;D386&amp;"|"&amp;B386&amp;"|"&amp;C386,'Master Data'!$A$2:$A$2436,0))&amp;"","")</f>
        <v/>
      </c>
      <c r="I386" s="67" t="s">
        <v>457</v>
      </c>
      <c r="J386" s="67" t="s">
        <v>134</v>
      </c>
      <c r="K386" s="68"/>
      <c r="L386" s="68"/>
      <c r="M386" s="68"/>
      <c r="N386" s="69"/>
      <c r="O386" s="68"/>
    </row>
    <row r="387" customFormat="false" ht="15.75" hidden="false" customHeight="true" outlineLevel="0" collapsed="false">
      <c r="A387" s="66" t="n">
        <v>296</v>
      </c>
      <c r="B387" s="67" t="s">
        <v>78</v>
      </c>
      <c r="C387" s="66" t="s">
        <v>114</v>
      </c>
      <c r="D387" s="66" t="n">
        <v>1</v>
      </c>
      <c r="E387" s="67" t="str">
        <f aca="false">IFERROR(INDEX('Master Data'!$L$2:$L$2436,MATCH($B$3&amp;"|"&amp;D387&amp;"|"&amp;B387&amp;"|"&amp;C387,'Master Data'!$A$2:$A$2436,0)),"")</f>
        <v>Belum terisi</v>
      </c>
      <c r="F387" s="67" t="str">
        <f aca="false">IFERROR(INDEX('Master Data'!$F$2:$F$2436,MATCH($B$3&amp;"|"&amp;D387&amp;"|"&amp;B387&amp;"|"&amp;C387,'Master Data'!$A$2:$A$2436,0))&amp;"","")</f>
        <v>Baby</v>
      </c>
      <c r="G387" s="66" t="n">
        <f aca="false">IFERROR(INDEX('Master Data'!$G$2:$G$2436,MATCH($B$3&amp;"|"&amp;D387&amp;"|"&amp;B387&amp;"|"&amp;C387,'Master Data'!$A$2:$A$2436,0)),"")</f>
        <v>5</v>
      </c>
      <c r="H387" s="67" t="str">
        <f aca="false">IFERROR(INDEX('Master Data'!$K$2:$K$2436,MATCH($B$3&amp;"|"&amp;D387&amp;"|"&amp;B387&amp;"|"&amp;C387,'Master Data'!$A$2:$A$2436,0))&amp;"","")</f>
        <v/>
      </c>
      <c r="I387" s="67" t="s">
        <v>447</v>
      </c>
      <c r="J387" s="67" t="s">
        <v>221</v>
      </c>
      <c r="K387" s="68"/>
      <c r="L387" s="68"/>
      <c r="M387" s="68"/>
      <c r="N387" s="69"/>
      <c r="O387" s="68"/>
    </row>
    <row r="388" customFormat="false" ht="15.75" hidden="false" customHeight="true" outlineLevel="0" collapsed="false">
      <c r="A388" s="66" t="n">
        <v>297</v>
      </c>
      <c r="B388" s="67" t="s">
        <v>78</v>
      </c>
      <c r="C388" s="66" t="s">
        <v>114</v>
      </c>
      <c r="D388" s="66" t="n">
        <v>5</v>
      </c>
      <c r="E388" s="67" t="str">
        <f aca="false">IFERROR(INDEX('Master Data'!$L$2:$L$2436,MATCH($B$3&amp;"|"&amp;D388&amp;"|"&amp;B388&amp;"|"&amp;C388,'Master Data'!$A$2:$A$2436,0)),"")</f>
        <v>Slot kosong</v>
      </c>
      <c r="F388" s="67" t="str">
        <f aca="false">IFERROR(INDEX('Master Data'!$F$2:$F$2436,MATCH($B$3&amp;"|"&amp;D388&amp;"|"&amp;B388&amp;"|"&amp;C388,'Master Data'!$A$2:$A$2436,0))&amp;"","")</f>
        <v/>
      </c>
      <c r="G388" s="66" t="n">
        <f aca="false">IFERROR(INDEX('Master Data'!$G$2:$G$2436,MATCH($B$3&amp;"|"&amp;D388&amp;"|"&amp;B388&amp;"|"&amp;C388,'Master Data'!$A$2:$A$2436,0)),"")</f>
        <v>4</v>
      </c>
      <c r="H388" s="67" t="str">
        <f aca="false">IFERROR(INDEX('Master Data'!$K$2:$K$2436,MATCH($B$3&amp;"|"&amp;D388&amp;"|"&amp;B388&amp;"|"&amp;C388,'Master Data'!$A$2:$A$2436,0))&amp;"","")</f>
        <v/>
      </c>
      <c r="I388" s="67" t="s">
        <v>447</v>
      </c>
      <c r="J388" s="67" t="s">
        <v>203</v>
      </c>
      <c r="K388" s="68"/>
      <c r="L388" s="68"/>
      <c r="M388" s="68"/>
      <c r="N388" s="69"/>
      <c r="O388" s="68"/>
    </row>
    <row r="389" customFormat="false" ht="27.75" hidden="false" customHeight="true" outlineLevel="0" collapsed="false">
      <c r="A389" s="66" t="n">
        <v>298</v>
      </c>
      <c r="B389" s="67" t="s">
        <v>78</v>
      </c>
      <c r="C389" s="66" t="s">
        <v>100</v>
      </c>
      <c r="D389" s="66" t="n">
        <v>4</v>
      </c>
      <c r="E389" s="67" t="str">
        <f aca="false">IFERROR(INDEX('Master Data'!$L$2:$L$2436,MATCH($B$3&amp;"|"&amp;D389&amp;"|"&amp;B389&amp;"|"&amp;C389,'Master Data'!$A$2:$A$2436,0)),"")</f>
        <v>Belum terisi</v>
      </c>
      <c r="F389" s="67" t="str">
        <f aca="false">IFERROR(INDEX('Master Data'!$F$2:$F$2436,MATCH($B$3&amp;"|"&amp;D389&amp;"|"&amp;B389&amp;"|"&amp;C389,'Master Data'!$A$2:$A$2436,0))&amp;"","")</f>
        <v>Kids</v>
      </c>
      <c r="G389" s="66" t="n">
        <f aca="false">IFERROR(INDEX('Master Data'!$G$2:$G$2436,MATCH($B$3&amp;"|"&amp;D389&amp;"|"&amp;B389&amp;"|"&amp;C389,'Master Data'!$A$2:$A$2436,0)),"")</f>
        <v>4</v>
      </c>
      <c r="H389" s="67" t="str">
        <f aca="false">IFERROR(INDEX('Master Data'!$K$2:$K$2436,MATCH($B$3&amp;"|"&amp;D389&amp;"|"&amp;B389&amp;"|"&amp;C389,'Master Data'!$A$2:$A$2436,0))&amp;"","")</f>
        <v/>
      </c>
      <c r="I389" s="67" t="s">
        <v>479</v>
      </c>
      <c r="J389" s="67" t="s">
        <v>203</v>
      </c>
      <c r="K389" s="68"/>
      <c r="L389" s="68"/>
      <c r="M389" s="68"/>
      <c r="N389" s="69"/>
      <c r="O389" s="68"/>
    </row>
    <row r="390" customFormat="false" ht="27.75" hidden="false" customHeight="true" outlineLevel="0" collapsed="false">
      <c r="A390" s="66" t="n">
        <v>299</v>
      </c>
      <c r="B390" s="67" t="s">
        <v>78</v>
      </c>
      <c r="C390" s="66" t="s">
        <v>115</v>
      </c>
      <c r="D390" s="66" t="n">
        <v>2</v>
      </c>
      <c r="E390" s="67" t="str">
        <f aca="false">IFERROR(INDEX('Master Data'!$L$2:$L$2436,MATCH($B$3&amp;"|"&amp;D390&amp;"|"&amp;B390&amp;"|"&amp;C390,'Master Data'!$A$2:$A$2436,0)),"")</f>
        <v>Belum terisi</v>
      </c>
      <c r="F390" s="67" t="str">
        <f aca="false">IFERROR(INDEX('Master Data'!$F$2:$F$2436,MATCH($B$3&amp;"|"&amp;D390&amp;"|"&amp;B390&amp;"|"&amp;C390,'Master Data'!$A$2:$A$2436,0))&amp;"","")</f>
        <v>Tiny</v>
      </c>
      <c r="G390" s="66" t="n">
        <f aca="false">IFERROR(INDEX('Master Data'!$G$2:$G$2436,MATCH($B$3&amp;"|"&amp;D390&amp;"|"&amp;B390&amp;"|"&amp;C390,'Master Data'!$A$2:$A$2436,0)),"")</f>
        <v>5</v>
      </c>
      <c r="H390" s="67" t="str">
        <f aca="false">IFERROR(INDEX('Master Data'!$K$2:$K$2436,MATCH($B$3&amp;"|"&amp;D390&amp;"|"&amp;B390&amp;"|"&amp;C390,'Master Data'!$A$2:$A$2436,0))&amp;"","")</f>
        <v/>
      </c>
      <c r="I390" s="67" t="s">
        <v>479</v>
      </c>
      <c r="J390" s="67" t="s">
        <v>144</v>
      </c>
      <c r="K390" s="68"/>
      <c r="L390" s="68"/>
      <c r="M390" s="68"/>
      <c r="N390" s="69"/>
      <c r="O390" s="68"/>
    </row>
    <row r="391" customFormat="false" ht="27.75" hidden="false" customHeight="true" outlineLevel="0" collapsed="false">
      <c r="A391" s="66" t="n">
        <v>300</v>
      </c>
      <c r="B391" s="67" t="s">
        <v>78</v>
      </c>
      <c r="C391" s="66" t="s">
        <v>115</v>
      </c>
      <c r="D391" s="66" t="n">
        <v>5</v>
      </c>
      <c r="E391" s="67" t="str">
        <f aca="false">IFERROR(INDEX('Master Data'!$L$2:$L$2436,MATCH($B$3&amp;"|"&amp;D391&amp;"|"&amp;B391&amp;"|"&amp;C391,'Master Data'!$A$2:$A$2436,0)),"")</f>
        <v>Slot kosong</v>
      </c>
      <c r="F391" s="67" t="str">
        <f aca="false">IFERROR(INDEX('Master Data'!$F$2:$F$2436,MATCH($B$3&amp;"|"&amp;D391&amp;"|"&amp;B391&amp;"|"&amp;C391,'Master Data'!$A$2:$A$2436,0))&amp;"","")</f>
        <v/>
      </c>
      <c r="G391" s="66" t="n">
        <f aca="false">IFERROR(INDEX('Master Data'!$G$2:$G$2436,MATCH($B$3&amp;"|"&amp;D391&amp;"|"&amp;B391&amp;"|"&amp;C391,'Master Data'!$A$2:$A$2436,0)),"")</f>
        <v>4</v>
      </c>
      <c r="H391" s="67" t="str">
        <f aca="false">IFERROR(INDEX('Master Data'!$K$2:$K$2436,MATCH($B$3&amp;"|"&amp;D391&amp;"|"&amp;B391&amp;"|"&amp;C391,'Master Data'!$A$2:$A$2436,0))&amp;"","")</f>
        <v/>
      </c>
      <c r="I391" s="67" t="s">
        <v>479</v>
      </c>
      <c r="J391" s="67" t="s">
        <v>203</v>
      </c>
      <c r="K391" s="68"/>
      <c r="L391" s="68"/>
      <c r="M391" s="68"/>
      <c r="N391" s="69"/>
      <c r="O391" s="68"/>
    </row>
    <row r="392" customFormat="false" ht="27.75" hidden="false" customHeight="true" outlineLevel="0" collapsed="false">
      <c r="A392" s="66" t="n">
        <v>301</v>
      </c>
      <c r="B392" s="67" t="s">
        <v>78</v>
      </c>
      <c r="C392" s="66" t="s">
        <v>101</v>
      </c>
      <c r="D392" s="66" t="n">
        <v>3</v>
      </c>
      <c r="E392" s="67" t="str">
        <f aca="false">IFERROR(INDEX('Master Data'!$L$2:$L$2436,MATCH($B$3&amp;"|"&amp;D392&amp;"|"&amp;B392&amp;"|"&amp;C392,'Master Data'!$A$2:$A$2436,0)),"")</f>
        <v>Belum terisi</v>
      </c>
      <c r="F392" s="67" t="str">
        <f aca="false">IFERROR(INDEX('Master Data'!$F$2:$F$2436,MATCH($B$3&amp;"|"&amp;D392&amp;"|"&amp;B392&amp;"|"&amp;C392,'Master Data'!$A$2:$A$2436,0))&amp;"","")</f>
        <v>Little</v>
      </c>
      <c r="G392" s="66" t="n">
        <f aca="false">IFERROR(INDEX('Master Data'!$G$2:$G$2436,MATCH($B$3&amp;"|"&amp;D392&amp;"|"&amp;B392&amp;"|"&amp;C392,'Master Data'!$A$2:$A$2436,0)),"")</f>
        <v>4</v>
      </c>
      <c r="H392" s="67" t="str">
        <f aca="false">IFERROR(INDEX('Master Data'!$K$2:$K$2436,MATCH($B$3&amp;"|"&amp;D392&amp;"|"&amp;B392&amp;"|"&amp;C392,'Master Data'!$A$2:$A$2436,0))&amp;"","")</f>
        <v/>
      </c>
      <c r="I392" s="67" t="s">
        <v>470</v>
      </c>
      <c r="J392" s="67" t="s">
        <v>203</v>
      </c>
      <c r="K392" s="68"/>
      <c r="L392" s="68"/>
      <c r="M392" s="68"/>
      <c r="N392" s="69"/>
      <c r="O392" s="68"/>
    </row>
    <row r="393" customFormat="false" ht="27.75" hidden="false" customHeight="true" outlineLevel="0" collapsed="false">
      <c r="A393" s="66" t="n">
        <v>302</v>
      </c>
      <c r="B393" s="67" t="s">
        <v>78</v>
      </c>
      <c r="C393" s="66" t="s">
        <v>101</v>
      </c>
      <c r="D393" s="66" t="n">
        <v>4</v>
      </c>
      <c r="E393" s="67" t="str">
        <f aca="false">IFERROR(INDEX('Master Data'!$L$2:$L$2436,MATCH($B$3&amp;"|"&amp;D393&amp;"|"&amp;B393&amp;"|"&amp;C393,'Master Data'!$A$2:$A$2436,0)),"")</f>
        <v>Belum terisi</v>
      </c>
      <c r="F393" s="67" t="str">
        <f aca="false">IFERROR(INDEX('Master Data'!$F$2:$F$2436,MATCH($B$3&amp;"|"&amp;D393&amp;"|"&amp;B393&amp;"|"&amp;C393,'Master Data'!$A$2:$A$2436,0))&amp;"","")</f>
        <v>Kids</v>
      </c>
      <c r="G393" s="66" t="n">
        <f aca="false">IFERROR(INDEX('Master Data'!$G$2:$G$2436,MATCH($B$3&amp;"|"&amp;D393&amp;"|"&amp;B393&amp;"|"&amp;C393,'Master Data'!$A$2:$A$2436,0)),"")</f>
        <v>4</v>
      </c>
      <c r="H393" s="67" t="str">
        <f aca="false">IFERROR(INDEX('Master Data'!$K$2:$K$2436,MATCH($B$3&amp;"|"&amp;D393&amp;"|"&amp;B393&amp;"|"&amp;C393,'Master Data'!$A$2:$A$2436,0))&amp;"","")</f>
        <v/>
      </c>
      <c r="I393" s="67" t="s">
        <v>470</v>
      </c>
      <c r="J393" s="67" t="s">
        <v>203</v>
      </c>
      <c r="K393" s="68"/>
      <c r="L393" s="68"/>
      <c r="M393" s="68"/>
      <c r="N393" s="69"/>
      <c r="O393" s="68"/>
    </row>
    <row r="394" customFormat="false" ht="40.5" hidden="false" customHeight="true" outlineLevel="0" collapsed="false">
      <c r="A394" s="66" t="n">
        <v>303</v>
      </c>
      <c r="B394" s="67" t="s">
        <v>78</v>
      </c>
      <c r="C394" s="66" t="s">
        <v>116</v>
      </c>
      <c r="D394" s="66" t="n">
        <v>1</v>
      </c>
      <c r="E394" s="67" t="str">
        <f aca="false">IFERROR(INDEX('Master Data'!$L$2:$L$2436,MATCH($B$3&amp;"|"&amp;D394&amp;"|"&amp;B394&amp;"|"&amp;C394,'Master Data'!$A$2:$A$2436,0)),"")</f>
        <v>Belum terisi</v>
      </c>
      <c r="F394" s="67" t="str">
        <f aca="false">IFERROR(INDEX('Master Data'!$F$2:$F$2436,MATCH($B$3&amp;"|"&amp;D394&amp;"|"&amp;B394&amp;"|"&amp;C394,'Master Data'!$A$2:$A$2436,0))&amp;"","")</f>
        <v>Baby</v>
      </c>
      <c r="G394" s="66" t="n">
        <f aca="false">IFERROR(INDEX('Master Data'!$G$2:$G$2436,MATCH($B$3&amp;"|"&amp;D394&amp;"|"&amp;B394&amp;"|"&amp;C394,'Master Data'!$A$2:$A$2436,0)),"")</f>
        <v>5</v>
      </c>
      <c r="H394" s="67" t="str">
        <f aca="false">IFERROR(INDEX('Master Data'!$K$2:$K$2436,MATCH($B$3&amp;"|"&amp;D394&amp;"|"&amp;B394&amp;"|"&amp;C394,'Master Data'!$A$2:$A$2436,0))&amp;"","")</f>
        <v/>
      </c>
      <c r="I394" s="67" t="s">
        <v>476</v>
      </c>
      <c r="J394" s="67" t="s">
        <v>134</v>
      </c>
      <c r="K394" s="68"/>
      <c r="L394" s="68"/>
      <c r="M394" s="68"/>
      <c r="N394" s="69"/>
      <c r="O394" s="68"/>
    </row>
    <row r="395" customFormat="false" ht="40.5" hidden="false" customHeight="true" outlineLevel="0" collapsed="false">
      <c r="A395" s="66" t="n">
        <v>304</v>
      </c>
      <c r="B395" s="67" t="s">
        <v>78</v>
      </c>
      <c r="C395" s="66" t="s">
        <v>116</v>
      </c>
      <c r="D395" s="66" t="n">
        <v>2</v>
      </c>
      <c r="E395" s="67" t="str">
        <f aca="false">IFERROR(INDEX('Master Data'!$L$2:$L$2436,MATCH($B$3&amp;"|"&amp;D395&amp;"|"&amp;B395&amp;"|"&amp;C395,'Master Data'!$A$2:$A$2436,0)),"")</f>
        <v>Belum terisi</v>
      </c>
      <c r="F395" s="67" t="str">
        <f aca="false">IFERROR(INDEX('Master Data'!$F$2:$F$2436,MATCH($B$3&amp;"|"&amp;D395&amp;"|"&amp;B395&amp;"|"&amp;C395,'Master Data'!$A$2:$A$2436,0))&amp;"","")</f>
        <v>Tiny</v>
      </c>
      <c r="G395" s="66" t="n">
        <f aca="false">IFERROR(INDEX('Master Data'!$G$2:$G$2436,MATCH($B$3&amp;"|"&amp;D395&amp;"|"&amp;B395&amp;"|"&amp;C395,'Master Data'!$A$2:$A$2436,0)),"")</f>
        <v>5</v>
      </c>
      <c r="H395" s="67" t="str">
        <f aca="false">IFERROR(INDEX('Master Data'!$K$2:$K$2436,MATCH($B$3&amp;"|"&amp;D395&amp;"|"&amp;B395&amp;"|"&amp;C395,'Master Data'!$A$2:$A$2436,0))&amp;"","")</f>
        <v/>
      </c>
      <c r="I395" s="67" t="s">
        <v>476</v>
      </c>
      <c r="J395" s="67" t="s">
        <v>134</v>
      </c>
      <c r="K395" s="68"/>
      <c r="L395" s="68"/>
      <c r="M395" s="68"/>
      <c r="N395" s="69"/>
      <c r="O395" s="68"/>
    </row>
    <row r="396" customFormat="false" ht="40.5" hidden="false" customHeight="true" outlineLevel="0" collapsed="false">
      <c r="A396" s="66" t="n">
        <v>305</v>
      </c>
      <c r="B396" s="67" t="s">
        <v>78</v>
      </c>
      <c r="C396" s="66" t="s">
        <v>116</v>
      </c>
      <c r="D396" s="66" t="n">
        <v>5</v>
      </c>
      <c r="E396" s="67" t="str">
        <f aca="false">IFERROR(INDEX('Master Data'!$L$2:$L$2436,MATCH($B$3&amp;"|"&amp;D396&amp;"|"&amp;B396&amp;"|"&amp;C396,'Master Data'!$A$2:$A$2436,0)),"")</f>
        <v>Slot kosong</v>
      </c>
      <c r="F396" s="67" t="str">
        <f aca="false">IFERROR(INDEX('Master Data'!$F$2:$F$2436,MATCH($B$3&amp;"|"&amp;D396&amp;"|"&amp;B396&amp;"|"&amp;C396,'Master Data'!$A$2:$A$2436,0))&amp;"","")</f>
        <v/>
      </c>
      <c r="G396" s="66" t="n">
        <f aca="false">IFERROR(INDEX('Master Data'!$G$2:$G$2436,MATCH($B$3&amp;"|"&amp;D396&amp;"|"&amp;B396&amp;"|"&amp;C396,'Master Data'!$A$2:$A$2436,0)),"")</f>
        <v>4</v>
      </c>
      <c r="H396" s="67" t="str">
        <f aca="false">IFERROR(INDEX('Master Data'!$K$2:$K$2436,MATCH($B$3&amp;"|"&amp;D396&amp;"|"&amp;B396&amp;"|"&amp;C396,'Master Data'!$A$2:$A$2436,0))&amp;"","")</f>
        <v/>
      </c>
      <c r="I396" s="67" t="s">
        <v>476</v>
      </c>
      <c r="J396" s="67" t="s">
        <v>134</v>
      </c>
      <c r="K396" s="68"/>
      <c r="L396" s="68"/>
      <c r="M396" s="68"/>
      <c r="N396" s="69"/>
      <c r="O396" s="68"/>
    </row>
    <row r="397" customFormat="false" ht="27.75" hidden="false" customHeight="true" outlineLevel="0" collapsed="false">
      <c r="A397" s="66" t="n">
        <v>306</v>
      </c>
      <c r="B397" s="67" t="s">
        <v>78</v>
      </c>
      <c r="C397" s="66" t="s">
        <v>102</v>
      </c>
      <c r="D397" s="66" t="n">
        <v>3</v>
      </c>
      <c r="E397" s="67" t="str">
        <f aca="false">IFERROR(INDEX('Master Data'!$L$2:$L$2436,MATCH($B$3&amp;"|"&amp;D397&amp;"|"&amp;B397&amp;"|"&amp;C397,'Master Data'!$A$2:$A$2436,0)),"")</f>
        <v>Belum terisi</v>
      </c>
      <c r="F397" s="67" t="str">
        <f aca="false">IFERROR(INDEX('Master Data'!$F$2:$F$2436,MATCH($B$3&amp;"|"&amp;D397&amp;"|"&amp;B397&amp;"|"&amp;C397,'Master Data'!$A$2:$A$2436,0))&amp;"","")</f>
        <v>Little</v>
      </c>
      <c r="G397" s="66" t="n">
        <f aca="false">IFERROR(INDEX('Master Data'!$G$2:$G$2436,MATCH($B$3&amp;"|"&amp;D397&amp;"|"&amp;B397&amp;"|"&amp;C397,'Master Data'!$A$2:$A$2436,0)),"")</f>
        <v>4</v>
      </c>
      <c r="H397" s="67" t="str">
        <f aca="false">IFERROR(INDEX('Master Data'!$K$2:$K$2436,MATCH($B$3&amp;"|"&amp;D397&amp;"|"&amp;B397&amp;"|"&amp;C397,'Master Data'!$A$2:$A$2436,0))&amp;"","")</f>
        <v/>
      </c>
      <c r="I397" s="67" t="s">
        <v>470</v>
      </c>
      <c r="J397" s="67" t="s">
        <v>203</v>
      </c>
      <c r="K397" s="68"/>
      <c r="L397" s="68"/>
      <c r="M397" s="68"/>
      <c r="N397" s="69"/>
      <c r="O397" s="68"/>
    </row>
    <row r="398" customFormat="false" ht="27.75" hidden="false" customHeight="true" outlineLevel="0" collapsed="false">
      <c r="A398" s="66" t="n">
        <v>307</v>
      </c>
      <c r="B398" s="67" t="s">
        <v>78</v>
      </c>
      <c r="C398" s="66" t="s">
        <v>102</v>
      </c>
      <c r="D398" s="66" t="n">
        <v>4</v>
      </c>
      <c r="E398" s="67" t="str">
        <f aca="false">IFERROR(INDEX('Master Data'!$L$2:$L$2436,MATCH($B$3&amp;"|"&amp;D398&amp;"|"&amp;B398&amp;"|"&amp;C398,'Master Data'!$A$2:$A$2436,0)),"")</f>
        <v>Belum terisi</v>
      </c>
      <c r="F398" s="67" t="str">
        <f aca="false">IFERROR(INDEX('Master Data'!$F$2:$F$2436,MATCH($B$3&amp;"|"&amp;D398&amp;"|"&amp;B398&amp;"|"&amp;C398,'Master Data'!$A$2:$A$2436,0))&amp;"","")</f>
        <v>Kids</v>
      </c>
      <c r="G398" s="66" t="n">
        <f aca="false">IFERROR(INDEX('Master Data'!$G$2:$G$2436,MATCH($B$3&amp;"|"&amp;D398&amp;"|"&amp;B398&amp;"|"&amp;C398,'Master Data'!$A$2:$A$2436,0)),"")</f>
        <v>4</v>
      </c>
      <c r="H398" s="67" t="str">
        <f aca="false">IFERROR(INDEX('Master Data'!$K$2:$K$2436,MATCH($B$3&amp;"|"&amp;D398&amp;"|"&amp;B398&amp;"|"&amp;C398,'Master Data'!$A$2:$A$2436,0))&amp;"","")</f>
        <v/>
      </c>
      <c r="I398" s="67" t="s">
        <v>470</v>
      </c>
      <c r="J398" s="67" t="s">
        <v>203</v>
      </c>
      <c r="K398" s="68"/>
      <c r="L398" s="68"/>
      <c r="M398" s="68"/>
      <c r="N398" s="69"/>
      <c r="O398" s="68"/>
    </row>
    <row r="399" customFormat="false" ht="27.75" hidden="false" customHeight="true" outlineLevel="0" collapsed="false">
      <c r="A399" s="66" t="n">
        <v>308</v>
      </c>
      <c r="B399" s="67" t="s">
        <v>78</v>
      </c>
      <c r="C399" s="66" t="s">
        <v>117</v>
      </c>
      <c r="D399" s="66" t="n">
        <v>2</v>
      </c>
      <c r="E399" s="67" t="str">
        <f aca="false">IFERROR(INDEX('Master Data'!$L$2:$L$2436,MATCH($B$3&amp;"|"&amp;D399&amp;"|"&amp;B399&amp;"|"&amp;C399,'Master Data'!$A$2:$A$2436,0)),"")</f>
        <v>Belum terisi</v>
      </c>
      <c r="F399" s="67" t="str">
        <f aca="false">IFERROR(INDEX('Master Data'!$F$2:$F$2436,MATCH($B$3&amp;"|"&amp;D399&amp;"|"&amp;B399&amp;"|"&amp;C399,'Master Data'!$A$2:$A$2436,0))&amp;"","")</f>
        <v>Tiny</v>
      </c>
      <c r="G399" s="66" t="n">
        <f aca="false">IFERROR(INDEX('Master Data'!$G$2:$G$2436,MATCH($B$3&amp;"|"&amp;D399&amp;"|"&amp;B399&amp;"|"&amp;C399,'Master Data'!$A$2:$A$2436,0)),"")</f>
        <v>5</v>
      </c>
      <c r="H399" s="67" t="str">
        <f aca="false">IFERROR(INDEX('Master Data'!$K$2:$K$2436,MATCH($B$3&amp;"|"&amp;D399&amp;"|"&amp;B399&amp;"|"&amp;C399,'Master Data'!$A$2:$A$2436,0))&amp;"","")</f>
        <v/>
      </c>
      <c r="I399" s="67" t="s">
        <v>479</v>
      </c>
      <c r="J399" s="67" t="s">
        <v>144</v>
      </c>
      <c r="K399" s="68"/>
      <c r="L399" s="68"/>
      <c r="M399" s="68"/>
      <c r="N399" s="69"/>
      <c r="O399" s="68"/>
    </row>
    <row r="400" customFormat="false" ht="27.75" hidden="false" customHeight="true" outlineLevel="0" collapsed="false">
      <c r="A400" s="66" t="n">
        <v>309</v>
      </c>
      <c r="B400" s="67" t="s">
        <v>78</v>
      </c>
      <c r="C400" s="66" t="s">
        <v>117</v>
      </c>
      <c r="D400" s="66" t="n">
        <v>5</v>
      </c>
      <c r="E400" s="67" t="str">
        <f aca="false">IFERROR(INDEX('Master Data'!$L$2:$L$2436,MATCH($B$3&amp;"|"&amp;D400&amp;"|"&amp;B400&amp;"|"&amp;C400,'Master Data'!$A$2:$A$2436,0)),"")</f>
        <v>Slot kosong</v>
      </c>
      <c r="F400" s="67" t="str">
        <f aca="false">IFERROR(INDEX('Master Data'!$F$2:$F$2436,MATCH($B$3&amp;"|"&amp;D400&amp;"|"&amp;B400&amp;"|"&amp;C400,'Master Data'!$A$2:$A$2436,0))&amp;"","")</f>
        <v/>
      </c>
      <c r="G400" s="66" t="n">
        <f aca="false">IFERROR(INDEX('Master Data'!$G$2:$G$2436,MATCH($B$3&amp;"|"&amp;D400&amp;"|"&amp;B400&amp;"|"&amp;C400,'Master Data'!$A$2:$A$2436,0)),"")</f>
        <v>4</v>
      </c>
      <c r="H400" s="67" t="str">
        <f aca="false">IFERROR(INDEX('Master Data'!$K$2:$K$2436,MATCH($B$3&amp;"|"&amp;D400&amp;"|"&amp;B400&amp;"|"&amp;C400,'Master Data'!$A$2:$A$2436,0))&amp;"","")</f>
        <v/>
      </c>
      <c r="I400" s="67" t="s">
        <v>479</v>
      </c>
      <c r="J400" s="67" t="s">
        <v>203</v>
      </c>
      <c r="K400" s="68"/>
      <c r="L400" s="68"/>
      <c r="M400" s="68"/>
      <c r="N400" s="69"/>
      <c r="O400" s="68"/>
    </row>
    <row r="401" customFormat="false" ht="27.75" hidden="false" customHeight="true" outlineLevel="0" collapsed="false">
      <c r="A401" s="66" t="n">
        <v>310</v>
      </c>
      <c r="B401" s="67" t="s">
        <v>78</v>
      </c>
      <c r="C401" s="66" t="s">
        <v>103</v>
      </c>
      <c r="D401" s="66" t="n">
        <v>3</v>
      </c>
      <c r="E401" s="67" t="str">
        <f aca="false">IFERROR(INDEX('Master Data'!$L$2:$L$2436,MATCH($B$3&amp;"|"&amp;D401&amp;"|"&amp;B401&amp;"|"&amp;C401,'Master Data'!$A$2:$A$2436,0)),"")</f>
        <v>Belum terisi</v>
      </c>
      <c r="F401" s="67" t="str">
        <f aca="false">IFERROR(INDEX('Master Data'!$F$2:$F$2436,MATCH($B$3&amp;"|"&amp;D401&amp;"|"&amp;B401&amp;"|"&amp;C401,'Master Data'!$A$2:$A$2436,0))&amp;"","")</f>
        <v>Little</v>
      </c>
      <c r="G401" s="66" t="n">
        <f aca="false">IFERROR(INDEX('Master Data'!$G$2:$G$2436,MATCH($B$3&amp;"|"&amp;D401&amp;"|"&amp;B401&amp;"|"&amp;C401,'Master Data'!$A$2:$A$2436,0)),"")</f>
        <v>4</v>
      </c>
      <c r="H401" s="67" t="str">
        <f aca="false">IFERROR(INDEX('Master Data'!$K$2:$K$2436,MATCH($B$3&amp;"|"&amp;D401&amp;"|"&amp;B401&amp;"|"&amp;C401,'Master Data'!$A$2:$A$2436,0))&amp;"","")</f>
        <v/>
      </c>
      <c r="I401" s="67" t="s">
        <v>479</v>
      </c>
      <c r="J401" s="67" t="s">
        <v>203</v>
      </c>
      <c r="K401" s="68"/>
      <c r="L401" s="68"/>
      <c r="M401" s="68"/>
      <c r="N401" s="69"/>
      <c r="O401" s="68"/>
    </row>
    <row r="402" customFormat="false" ht="40.5" hidden="false" customHeight="true" outlineLevel="0" collapsed="false">
      <c r="A402" s="66" t="n">
        <v>311</v>
      </c>
      <c r="B402" s="67" t="s">
        <v>78</v>
      </c>
      <c r="C402" s="66" t="s">
        <v>118</v>
      </c>
      <c r="D402" s="66" t="n">
        <v>1</v>
      </c>
      <c r="E402" s="67" t="str">
        <f aca="false">IFERROR(INDEX('Master Data'!$L$2:$L$2436,MATCH($B$3&amp;"|"&amp;D402&amp;"|"&amp;B402&amp;"|"&amp;C402,'Master Data'!$A$2:$A$2436,0)),"")</f>
        <v>Belum terisi</v>
      </c>
      <c r="F402" s="67" t="str">
        <f aca="false">IFERROR(INDEX('Master Data'!$F$2:$F$2436,MATCH($B$3&amp;"|"&amp;D402&amp;"|"&amp;B402&amp;"|"&amp;C402,'Master Data'!$A$2:$A$2436,0))&amp;"","")</f>
        <v>Baby</v>
      </c>
      <c r="G402" s="66" t="n">
        <f aca="false">IFERROR(INDEX('Master Data'!$G$2:$G$2436,MATCH($B$3&amp;"|"&amp;D402&amp;"|"&amp;B402&amp;"|"&amp;C402,'Master Data'!$A$2:$A$2436,0)),"")</f>
        <v>5</v>
      </c>
      <c r="H402" s="67" t="str">
        <f aca="false">IFERROR(INDEX('Master Data'!$K$2:$K$2436,MATCH($B$3&amp;"|"&amp;D402&amp;"|"&amp;B402&amp;"|"&amp;C402,'Master Data'!$A$2:$A$2436,0))&amp;"","")</f>
        <v/>
      </c>
      <c r="I402" s="67" t="s">
        <v>480</v>
      </c>
      <c r="J402" s="67" t="s">
        <v>134</v>
      </c>
      <c r="K402" s="68"/>
      <c r="L402" s="68"/>
      <c r="M402" s="68"/>
      <c r="N402" s="69"/>
      <c r="O402" s="68"/>
    </row>
    <row r="403" customFormat="false" ht="40.5" hidden="false" customHeight="true" outlineLevel="0" collapsed="false">
      <c r="A403" s="66" t="n">
        <v>312</v>
      </c>
      <c r="B403" s="67" t="s">
        <v>78</v>
      </c>
      <c r="C403" s="66" t="s">
        <v>118</v>
      </c>
      <c r="D403" s="66" t="n">
        <v>2</v>
      </c>
      <c r="E403" s="67" t="str">
        <f aca="false">IFERROR(INDEX('Master Data'!$L$2:$L$2436,MATCH($B$3&amp;"|"&amp;D403&amp;"|"&amp;B403&amp;"|"&amp;C403,'Master Data'!$A$2:$A$2436,0)),"")</f>
        <v>Belum terisi</v>
      </c>
      <c r="F403" s="67" t="str">
        <f aca="false">IFERROR(INDEX('Master Data'!$F$2:$F$2436,MATCH($B$3&amp;"|"&amp;D403&amp;"|"&amp;B403&amp;"|"&amp;C403,'Master Data'!$A$2:$A$2436,0))&amp;"","")</f>
        <v>Tiny</v>
      </c>
      <c r="G403" s="66" t="n">
        <f aca="false">IFERROR(INDEX('Master Data'!$G$2:$G$2436,MATCH($B$3&amp;"|"&amp;D403&amp;"|"&amp;B403&amp;"|"&amp;C403,'Master Data'!$A$2:$A$2436,0)),"")</f>
        <v>5</v>
      </c>
      <c r="H403" s="67" t="str">
        <f aca="false">IFERROR(INDEX('Master Data'!$K$2:$K$2436,MATCH($B$3&amp;"|"&amp;D403&amp;"|"&amp;B403&amp;"|"&amp;C403,'Master Data'!$A$2:$A$2436,0))&amp;"","")</f>
        <v/>
      </c>
      <c r="I403" s="67" t="s">
        <v>480</v>
      </c>
      <c r="J403" s="67" t="s">
        <v>134</v>
      </c>
      <c r="K403" s="68"/>
      <c r="L403" s="68"/>
      <c r="M403" s="68"/>
      <c r="N403" s="69"/>
      <c r="O403" s="68"/>
    </row>
    <row r="404" customFormat="false" ht="40.5" hidden="false" customHeight="true" outlineLevel="0" collapsed="false">
      <c r="A404" s="66" t="n">
        <v>313</v>
      </c>
      <c r="B404" s="67" t="s">
        <v>78</v>
      </c>
      <c r="C404" s="66" t="s">
        <v>118</v>
      </c>
      <c r="D404" s="66" t="n">
        <v>5</v>
      </c>
      <c r="E404" s="67" t="str">
        <f aca="false">IFERROR(INDEX('Master Data'!$L$2:$L$2436,MATCH($B$3&amp;"|"&amp;D404&amp;"|"&amp;B404&amp;"|"&amp;C404,'Master Data'!$A$2:$A$2436,0)),"")</f>
        <v>Slot kosong</v>
      </c>
      <c r="F404" s="67" t="str">
        <f aca="false">IFERROR(INDEX('Master Data'!$F$2:$F$2436,MATCH($B$3&amp;"|"&amp;D404&amp;"|"&amp;B404&amp;"|"&amp;C404,'Master Data'!$A$2:$A$2436,0))&amp;"","")</f>
        <v/>
      </c>
      <c r="G404" s="66" t="n">
        <f aca="false">IFERROR(INDEX('Master Data'!$G$2:$G$2436,MATCH($B$3&amp;"|"&amp;D404&amp;"|"&amp;B404&amp;"|"&amp;C404,'Master Data'!$A$2:$A$2436,0)),"")</f>
        <v>4</v>
      </c>
      <c r="H404" s="67" t="str">
        <f aca="false">IFERROR(INDEX('Master Data'!$K$2:$K$2436,MATCH($B$3&amp;"|"&amp;D404&amp;"|"&amp;B404&amp;"|"&amp;C404,'Master Data'!$A$2:$A$2436,0))&amp;"","")</f>
        <v/>
      </c>
      <c r="I404" s="67" t="s">
        <v>480</v>
      </c>
      <c r="J404" s="67" t="s">
        <v>134</v>
      </c>
      <c r="K404" s="68"/>
      <c r="L404" s="68"/>
      <c r="M404" s="68"/>
      <c r="N404" s="69"/>
      <c r="O404" s="68"/>
    </row>
    <row r="405" customFormat="false" ht="40.5" hidden="false" customHeight="true" outlineLevel="0" collapsed="false">
      <c r="A405" s="66" t="n">
        <v>314</v>
      </c>
      <c r="B405" s="67" t="s">
        <v>78</v>
      </c>
      <c r="C405" s="66" t="s">
        <v>104</v>
      </c>
      <c r="D405" s="66" t="n">
        <v>3</v>
      </c>
      <c r="E405" s="67" t="str">
        <f aca="false">IFERROR(INDEX('Master Data'!$L$2:$L$2436,MATCH($B$3&amp;"|"&amp;D405&amp;"|"&amp;B405&amp;"|"&amp;C405,'Master Data'!$A$2:$A$2436,0)),"")</f>
        <v>Belum terisi</v>
      </c>
      <c r="F405" s="67" t="str">
        <f aca="false">IFERROR(INDEX('Master Data'!$F$2:$F$2436,MATCH($B$3&amp;"|"&amp;D405&amp;"|"&amp;B405&amp;"|"&amp;C405,'Master Data'!$A$2:$A$2436,0))&amp;"","")</f>
        <v>Little</v>
      </c>
      <c r="G405" s="66" t="n">
        <f aca="false">IFERROR(INDEX('Master Data'!$G$2:$G$2436,MATCH($B$3&amp;"|"&amp;D405&amp;"|"&amp;B405&amp;"|"&amp;C405,'Master Data'!$A$2:$A$2436,0)),"")</f>
        <v>4</v>
      </c>
      <c r="H405" s="67" t="str">
        <f aca="false">IFERROR(INDEX('Master Data'!$K$2:$K$2436,MATCH($B$3&amp;"|"&amp;D405&amp;"|"&amp;B405&amp;"|"&amp;C405,'Master Data'!$A$2:$A$2436,0))&amp;"","")</f>
        <v/>
      </c>
      <c r="I405" s="67" t="s">
        <v>476</v>
      </c>
      <c r="J405" s="67" t="s">
        <v>134</v>
      </c>
      <c r="K405" s="68"/>
      <c r="L405" s="68"/>
      <c r="M405" s="68"/>
      <c r="N405" s="69"/>
      <c r="O405" s="68"/>
    </row>
    <row r="406" customFormat="false" ht="40.5" hidden="false" customHeight="true" outlineLevel="0" collapsed="false">
      <c r="A406" s="66" t="n">
        <v>315</v>
      </c>
      <c r="B406" s="67" t="s">
        <v>78</v>
      </c>
      <c r="C406" s="66" t="s">
        <v>104</v>
      </c>
      <c r="D406" s="66" t="n">
        <v>4</v>
      </c>
      <c r="E406" s="67" t="str">
        <f aca="false">IFERROR(INDEX('Master Data'!$L$2:$L$2436,MATCH($B$3&amp;"|"&amp;D406&amp;"|"&amp;B406&amp;"|"&amp;C406,'Master Data'!$A$2:$A$2436,0)),"")</f>
        <v>Belum terisi</v>
      </c>
      <c r="F406" s="67" t="str">
        <f aca="false">IFERROR(INDEX('Master Data'!$F$2:$F$2436,MATCH($B$3&amp;"|"&amp;D406&amp;"|"&amp;B406&amp;"|"&amp;C406,'Master Data'!$A$2:$A$2436,0))&amp;"","")</f>
        <v>Kids</v>
      </c>
      <c r="G406" s="66" t="n">
        <f aca="false">IFERROR(INDEX('Master Data'!$G$2:$G$2436,MATCH($B$3&amp;"|"&amp;D406&amp;"|"&amp;B406&amp;"|"&amp;C406,'Master Data'!$A$2:$A$2436,0)),"")</f>
        <v>4</v>
      </c>
      <c r="H406" s="67" t="str">
        <f aca="false">IFERROR(INDEX('Master Data'!$K$2:$K$2436,MATCH($B$3&amp;"|"&amp;D406&amp;"|"&amp;B406&amp;"|"&amp;C406,'Master Data'!$A$2:$A$2436,0))&amp;"","")</f>
        <v/>
      </c>
      <c r="I406" s="67" t="s">
        <v>476</v>
      </c>
      <c r="J406" s="67" t="s">
        <v>134</v>
      </c>
      <c r="K406" s="68"/>
      <c r="L406" s="68"/>
      <c r="M406" s="68"/>
      <c r="N406" s="69"/>
      <c r="O406" s="68"/>
    </row>
    <row r="407" customFormat="false" ht="40.5" hidden="false" customHeight="true" outlineLevel="0" collapsed="false">
      <c r="A407" s="66" t="n">
        <v>316</v>
      </c>
      <c r="B407" s="67" t="s">
        <v>78</v>
      </c>
      <c r="C407" s="66" t="s">
        <v>119</v>
      </c>
      <c r="D407" s="66" t="n">
        <v>1</v>
      </c>
      <c r="E407" s="67" t="str">
        <f aca="false">IFERROR(INDEX('Master Data'!$L$2:$L$2436,MATCH($B$3&amp;"|"&amp;D407&amp;"|"&amp;B407&amp;"|"&amp;C407,'Master Data'!$A$2:$A$2436,0)),"")</f>
        <v>Belum terisi</v>
      </c>
      <c r="F407" s="67" t="str">
        <f aca="false">IFERROR(INDEX('Master Data'!$F$2:$F$2436,MATCH($B$3&amp;"|"&amp;D407&amp;"|"&amp;B407&amp;"|"&amp;C407,'Master Data'!$A$2:$A$2436,0))&amp;"","")</f>
        <v>Baby</v>
      </c>
      <c r="G407" s="66" t="n">
        <f aca="false">IFERROR(INDEX('Master Data'!$G$2:$G$2436,MATCH($B$3&amp;"|"&amp;D407&amp;"|"&amp;B407&amp;"|"&amp;C407,'Master Data'!$A$2:$A$2436,0)),"")</f>
        <v>5</v>
      </c>
      <c r="H407" s="67" t="str">
        <f aca="false">IFERROR(INDEX('Master Data'!$K$2:$K$2436,MATCH($B$3&amp;"|"&amp;D407&amp;"|"&amp;B407&amp;"|"&amp;C407,'Master Data'!$A$2:$A$2436,0))&amp;"","")</f>
        <v/>
      </c>
      <c r="I407" s="67" t="s">
        <v>477</v>
      </c>
      <c r="J407" s="67" t="s">
        <v>134</v>
      </c>
      <c r="K407" s="68"/>
      <c r="L407" s="68"/>
      <c r="M407" s="68"/>
      <c r="N407" s="69"/>
      <c r="O407" s="68"/>
    </row>
    <row r="408" customFormat="false" ht="40.5" hidden="false" customHeight="true" outlineLevel="0" collapsed="false">
      <c r="A408" s="66" t="n">
        <v>317</v>
      </c>
      <c r="B408" s="67" t="s">
        <v>78</v>
      </c>
      <c r="C408" s="66" t="s">
        <v>119</v>
      </c>
      <c r="D408" s="66" t="n">
        <v>2</v>
      </c>
      <c r="E408" s="67" t="str">
        <f aca="false">IFERROR(INDEX('Master Data'!$L$2:$L$2436,MATCH($B$3&amp;"|"&amp;D408&amp;"|"&amp;B408&amp;"|"&amp;C408,'Master Data'!$A$2:$A$2436,0)),"")</f>
        <v>Belum terisi</v>
      </c>
      <c r="F408" s="67" t="str">
        <f aca="false">IFERROR(INDEX('Master Data'!$F$2:$F$2436,MATCH($B$3&amp;"|"&amp;D408&amp;"|"&amp;B408&amp;"|"&amp;C408,'Master Data'!$A$2:$A$2436,0))&amp;"","")</f>
        <v>Tiny</v>
      </c>
      <c r="G408" s="66" t="n">
        <f aca="false">IFERROR(INDEX('Master Data'!$G$2:$G$2436,MATCH($B$3&amp;"|"&amp;D408&amp;"|"&amp;B408&amp;"|"&amp;C408,'Master Data'!$A$2:$A$2436,0)),"")</f>
        <v>5</v>
      </c>
      <c r="H408" s="67" t="str">
        <f aca="false">IFERROR(INDEX('Master Data'!$K$2:$K$2436,MATCH($B$3&amp;"|"&amp;D408&amp;"|"&amp;B408&amp;"|"&amp;C408,'Master Data'!$A$2:$A$2436,0))&amp;"","")</f>
        <v/>
      </c>
      <c r="I408" s="67" t="s">
        <v>477</v>
      </c>
      <c r="J408" s="67" t="s">
        <v>134</v>
      </c>
      <c r="K408" s="68"/>
      <c r="L408" s="68"/>
      <c r="M408" s="68"/>
      <c r="N408" s="69"/>
      <c r="O408" s="68"/>
    </row>
    <row r="409" customFormat="false" ht="40.5" hidden="false" customHeight="true" outlineLevel="0" collapsed="false">
      <c r="A409" s="66" t="n">
        <v>318</v>
      </c>
      <c r="B409" s="67" t="s">
        <v>78</v>
      </c>
      <c r="C409" s="66" t="s">
        <v>119</v>
      </c>
      <c r="D409" s="66" t="n">
        <v>5</v>
      </c>
      <c r="E409" s="67" t="str">
        <f aca="false">IFERROR(INDEX('Master Data'!$L$2:$L$2436,MATCH($B$3&amp;"|"&amp;D409&amp;"|"&amp;B409&amp;"|"&amp;C409,'Master Data'!$A$2:$A$2436,0)),"")</f>
        <v>Slot kosong</v>
      </c>
      <c r="F409" s="67" t="str">
        <f aca="false">IFERROR(INDEX('Master Data'!$F$2:$F$2436,MATCH($B$3&amp;"|"&amp;D409&amp;"|"&amp;B409&amp;"|"&amp;C409,'Master Data'!$A$2:$A$2436,0))&amp;"","")</f>
        <v/>
      </c>
      <c r="G409" s="66" t="n">
        <f aca="false">IFERROR(INDEX('Master Data'!$G$2:$G$2436,MATCH($B$3&amp;"|"&amp;D409&amp;"|"&amp;B409&amp;"|"&amp;C409,'Master Data'!$A$2:$A$2436,0)),"")</f>
        <v>4</v>
      </c>
      <c r="H409" s="67" t="str">
        <f aca="false">IFERROR(INDEX('Master Data'!$K$2:$K$2436,MATCH($B$3&amp;"|"&amp;D409&amp;"|"&amp;B409&amp;"|"&amp;C409,'Master Data'!$A$2:$A$2436,0))&amp;"","")</f>
        <v/>
      </c>
      <c r="I409" s="67" t="s">
        <v>477</v>
      </c>
      <c r="J409" s="67" t="s">
        <v>134</v>
      </c>
      <c r="K409" s="68"/>
      <c r="L409" s="68"/>
      <c r="M409" s="68"/>
      <c r="N409" s="69"/>
      <c r="O409" s="68"/>
    </row>
    <row r="410" customFormat="false" ht="40.5" hidden="false" customHeight="true" outlineLevel="0" collapsed="false">
      <c r="A410" s="66" t="n">
        <v>319</v>
      </c>
      <c r="B410" s="67" t="s">
        <v>78</v>
      </c>
      <c r="C410" s="66" t="s">
        <v>105</v>
      </c>
      <c r="D410" s="66" t="n">
        <v>4</v>
      </c>
      <c r="E410" s="67" t="str">
        <f aca="false">IFERROR(INDEX('Master Data'!$L$2:$L$2436,MATCH($B$3&amp;"|"&amp;D410&amp;"|"&amp;B410&amp;"|"&amp;C410,'Master Data'!$A$2:$A$2436,0)),"")</f>
        <v>Belum terisi</v>
      </c>
      <c r="F410" s="67" t="str">
        <f aca="false">IFERROR(INDEX('Master Data'!$F$2:$F$2436,MATCH($B$3&amp;"|"&amp;D410&amp;"|"&amp;B410&amp;"|"&amp;C410,'Master Data'!$A$2:$A$2436,0))&amp;"","")</f>
        <v>Kids</v>
      </c>
      <c r="G410" s="66" t="n">
        <f aca="false">IFERROR(INDEX('Master Data'!$G$2:$G$2436,MATCH($B$3&amp;"|"&amp;D410&amp;"|"&amp;B410&amp;"|"&amp;C410,'Master Data'!$A$2:$A$2436,0)),"")</f>
        <v>4</v>
      </c>
      <c r="H410" s="67" t="str">
        <f aca="false">IFERROR(INDEX('Master Data'!$K$2:$K$2436,MATCH($B$3&amp;"|"&amp;D410&amp;"|"&amp;B410&amp;"|"&amp;C410,'Master Data'!$A$2:$A$2436,0))&amp;"","")</f>
        <v/>
      </c>
      <c r="I410" s="67" t="s">
        <v>477</v>
      </c>
      <c r="J410" s="67" t="s">
        <v>134</v>
      </c>
      <c r="K410" s="68"/>
      <c r="L410" s="68"/>
      <c r="M410" s="68"/>
      <c r="N410" s="69"/>
      <c r="O410" s="68"/>
    </row>
    <row r="411" customFormat="false" ht="40.5" hidden="false" customHeight="true" outlineLevel="0" collapsed="false">
      <c r="A411" s="66" t="n">
        <v>320</v>
      </c>
      <c r="B411" s="67" t="s">
        <v>78</v>
      </c>
      <c r="C411" s="66" t="s">
        <v>120</v>
      </c>
      <c r="D411" s="66" t="n">
        <v>1</v>
      </c>
      <c r="E411" s="67" t="str">
        <f aca="false">IFERROR(INDEX('Master Data'!$L$2:$L$2436,MATCH($B$3&amp;"|"&amp;D411&amp;"|"&amp;B411&amp;"|"&amp;C411,'Master Data'!$A$2:$A$2436,0)),"")</f>
        <v>Belum terisi</v>
      </c>
      <c r="F411" s="67" t="str">
        <f aca="false">IFERROR(INDEX('Master Data'!$F$2:$F$2436,MATCH($B$3&amp;"|"&amp;D411&amp;"|"&amp;B411&amp;"|"&amp;C411,'Master Data'!$A$2:$A$2436,0))&amp;"","")</f>
        <v>Baby</v>
      </c>
      <c r="G411" s="66" t="n">
        <f aca="false">IFERROR(INDEX('Master Data'!$G$2:$G$2436,MATCH($B$3&amp;"|"&amp;D411&amp;"|"&amp;B411&amp;"|"&amp;C411,'Master Data'!$A$2:$A$2436,0)),"")</f>
        <v>5</v>
      </c>
      <c r="H411" s="67" t="str">
        <f aca="false">IFERROR(INDEX('Master Data'!$K$2:$K$2436,MATCH($B$3&amp;"|"&amp;D411&amp;"|"&amp;B411&amp;"|"&amp;C411,'Master Data'!$A$2:$A$2436,0))&amp;"","")</f>
        <v/>
      </c>
      <c r="I411" s="67" t="s">
        <v>477</v>
      </c>
      <c r="J411" s="67" t="s">
        <v>134</v>
      </c>
      <c r="K411" s="68"/>
      <c r="L411" s="68"/>
      <c r="M411" s="68"/>
      <c r="N411" s="69"/>
      <c r="O411" s="68"/>
    </row>
    <row r="412" customFormat="false" ht="40.5" hidden="false" customHeight="true" outlineLevel="0" collapsed="false">
      <c r="A412" s="66" t="n">
        <v>321</v>
      </c>
      <c r="B412" s="67" t="s">
        <v>78</v>
      </c>
      <c r="C412" s="66" t="s">
        <v>120</v>
      </c>
      <c r="D412" s="66" t="n">
        <v>2</v>
      </c>
      <c r="E412" s="67" t="str">
        <f aca="false">IFERROR(INDEX('Master Data'!$L$2:$L$2436,MATCH($B$3&amp;"|"&amp;D412&amp;"|"&amp;B412&amp;"|"&amp;C412,'Master Data'!$A$2:$A$2436,0)),"")</f>
        <v>Belum terisi</v>
      </c>
      <c r="F412" s="67" t="str">
        <f aca="false">IFERROR(INDEX('Master Data'!$F$2:$F$2436,MATCH($B$3&amp;"|"&amp;D412&amp;"|"&amp;B412&amp;"|"&amp;C412,'Master Data'!$A$2:$A$2436,0))&amp;"","")</f>
        <v>Tiny</v>
      </c>
      <c r="G412" s="66" t="n">
        <f aca="false">IFERROR(INDEX('Master Data'!$G$2:$G$2436,MATCH($B$3&amp;"|"&amp;D412&amp;"|"&amp;B412&amp;"|"&amp;C412,'Master Data'!$A$2:$A$2436,0)),"")</f>
        <v>5</v>
      </c>
      <c r="H412" s="67" t="str">
        <f aca="false">IFERROR(INDEX('Master Data'!$K$2:$K$2436,MATCH($B$3&amp;"|"&amp;D412&amp;"|"&amp;B412&amp;"|"&amp;C412,'Master Data'!$A$2:$A$2436,0))&amp;"","")</f>
        <v/>
      </c>
      <c r="I412" s="67" t="s">
        <v>477</v>
      </c>
      <c r="J412" s="67" t="s">
        <v>134</v>
      </c>
      <c r="K412" s="68"/>
      <c r="L412" s="68"/>
      <c r="M412" s="68"/>
      <c r="N412" s="69"/>
      <c r="O412" s="68"/>
    </row>
    <row r="413" customFormat="false" ht="40.5" hidden="false" customHeight="true" outlineLevel="0" collapsed="false">
      <c r="A413" s="66" t="n">
        <v>322</v>
      </c>
      <c r="B413" s="67" t="s">
        <v>78</v>
      </c>
      <c r="C413" s="66" t="s">
        <v>120</v>
      </c>
      <c r="D413" s="66" t="n">
        <v>5</v>
      </c>
      <c r="E413" s="67" t="str">
        <f aca="false">IFERROR(INDEX('Master Data'!$L$2:$L$2436,MATCH($B$3&amp;"|"&amp;D413&amp;"|"&amp;B413&amp;"|"&amp;C413,'Master Data'!$A$2:$A$2436,0)),"")</f>
        <v>Slot kosong</v>
      </c>
      <c r="F413" s="67" t="str">
        <f aca="false">IFERROR(INDEX('Master Data'!$F$2:$F$2436,MATCH($B$3&amp;"|"&amp;D413&amp;"|"&amp;B413&amp;"|"&amp;C413,'Master Data'!$A$2:$A$2436,0))&amp;"","")</f>
        <v/>
      </c>
      <c r="G413" s="66" t="n">
        <f aca="false">IFERROR(INDEX('Master Data'!$G$2:$G$2436,MATCH($B$3&amp;"|"&amp;D413&amp;"|"&amp;B413&amp;"|"&amp;C413,'Master Data'!$A$2:$A$2436,0)),"")</f>
        <v>4</v>
      </c>
      <c r="H413" s="67" t="str">
        <f aca="false">IFERROR(INDEX('Master Data'!$K$2:$K$2436,MATCH($B$3&amp;"|"&amp;D413&amp;"|"&amp;B413&amp;"|"&amp;C413,'Master Data'!$A$2:$A$2436,0))&amp;"","")</f>
        <v/>
      </c>
      <c r="I413" s="67" t="s">
        <v>477</v>
      </c>
      <c r="J413" s="67" t="s">
        <v>134</v>
      </c>
      <c r="K413" s="68"/>
      <c r="L413" s="68"/>
      <c r="M413" s="68"/>
      <c r="N413" s="69"/>
      <c r="O413" s="68"/>
    </row>
    <row r="414" customFormat="false" ht="40.5" hidden="false" customHeight="true" outlineLevel="0" collapsed="false">
      <c r="A414" s="66" t="n">
        <v>323</v>
      </c>
      <c r="B414" s="67" t="s">
        <v>78</v>
      </c>
      <c r="C414" s="66" t="s">
        <v>106</v>
      </c>
      <c r="D414" s="66" t="n">
        <v>3</v>
      </c>
      <c r="E414" s="67" t="str">
        <f aca="false">IFERROR(INDEX('Master Data'!$L$2:$L$2436,MATCH($B$3&amp;"|"&amp;D414&amp;"|"&amp;B414&amp;"|"&amp;C414,'Master Data'!$A$2:$A$2436,0)),"")</f>
        <v>Belum terisi</v>
      </c>
      <c r="F414" s="67" t="str">
        <f aca="false">IFERROR(INDEX('Master Data'!$F$2:$F$2436,MATCH($B$3&amp;"|"&amp;D414&amp;"|"&amp;B414&amp;"|"&amp;C414,'Master Data'!$A$2:$A$2436,0))&amp;"","")</f>
        <v>Little</v>
      </c>
      <c r="G414" s="66" t="n">
        <f aca="false">IFERROR(INDEX('Master Data'!$G$2:$G$2436,MATCH($B$3&amp;"|"&amp;D414&amp;"|"&amp;B414&amp;"|"&amp;C414,'Master Data'!$A$2:$A$2436,0)),"")</f>
        <v>4</v>
      </c>
      <c r="H414" s="67" t="str">
        <f aca="false">IFERROR(INDEX('Master Data'!$K$2:$K$2436,MATCH($B$3&amp;"|"&amp;D414&amp;"|"&amp;B414&amp;"|"&amp;C414,'Master Data'!$A$2:$A$2436,0))&amp;"","")</f>
        <v/>
      </c>
      <c r="I414" s="67" t="s">
        <v>477</v>
      </c>
      <c r="J414" s="67" t="s">
        <v>134</v>
      </c>
      <c r="K414" s="68"/>
      <c r="L414" s="68"/>
      <c r="M414" s="68"/>
      <c r="N414" s="69"/>
      <c r="O414" s="68"/>
    </row>
    <row r="415" customFormat="false" ht="40.5" hidden="false" customHeight="true" outlineLevel="0" collapsed="false">
      <c r="A415" s="66" t="n">
        <v>324</v>
      </c>
      <c r="B415" s="67" t="s">
        <v>78</v>
      </c>
      <c r="C415" s="66" t="s">
        <v>121</v>
      </c>
      <c r="D415" s="66" t="n">
        <v>1</v>
      </c>
      <c r="E415" s="67" t="str">
        <f aca="false">IFERROR(INDEX('Master Data'!$L$2:$L$2436,MATCH($B$3&amp;"|"&amp;D415&amp;"|"&amp;B415&amp;"|"&amp;C415,'Master Data'!$A$2:$A$2436,0)),"")</f>
        <v>Belum terisi</v>
      </c>
      <c r="F415" s="67" t="str">
        <f aca="false">IFERROR(INDEX('Master Data'!$F$2:$F$2436,MATCH($B$3&amp;"|"&amp;D415&amp;"|"&amp;B415&amp;"|"&amp;C415,'Master Data'!$A$2:$A$2436,0))&amp;"","")</f>
        <v>Baby</v>
      </c>
      <c r="G415" s="66" t="n">
        <f aca="false">IFERROR(INDEX('Master Data'!$G$2:$G$2436,MATCH($B$3&amp;"|"&amp;D415&amp;"|"&amp;B415&amp;"|"&amp;C415,'Master Data'!$A$2:$A$2436,0)),"")</f>
        <v>5</v>
      </c>
      <c r="H415" s="67" t="str">
        <f aca="false">IFERROR(INDEX('Master Data'!$K$2:$K$2436,MATCH($B$3&amp;"|"&amp;D415&amp;"|"&amp;B415&amp;"|"&amp;C415,'Master Data'!$A$2:$A$2436,0))&amp;"","")</f>
        <v/>
      </c>
      <c r="I415" s="67" t="s">
        <v>477</v>
      </c>
      <c r="J415" s="67" t="s">
        <v>134</v>
      </c>
      <c r="K415" s="68"/>
      <c r="L415" s="68"/>
      <c r="M415" s="68"/>
      <c r="N415" s="69"/>
      <c r="O415" s="68"/>
    </row>
    <row r="416" customFormat="false" ht="40.5" hidden="false" customHeight="true" outlineLevel="0" collapsed="false">
      <c r="A416" s="66" t="n">
        <v>325</v>
      </c>
      <c r="B416" s="67" t="s">
        <v>78</v>
      </c>
      <c r="C416" s="66" t="s">
        <v>121</v>
      </c>
      <c r="D416" s="66" t="n">
        <v>2</v>
      </c>
      <c r="E416" s="67" t="str">
        <f aca="false">IFERROR(INDEX('Master Data'!$L$2:$L$2436,MATCH($B$3&amp;"|"&amp;D416&amp;"|"&amp;B416&amp;"|"&amp;C416,'Master Data'!$A$2:$A$2436,0)),"")</f>
        <v>Belum terisi</v>
      </c>
      <c r="F416" s="67" t="str">
        <f aca="false">IFERROR(INDEX('Master Data'!$F$2:$F$2436,MATCH($B$3&amp;"|"&amp;D416&amp;"|"&amp;B416&amp;"|"&amp;C416,'Master Data'!$A$2:$A$2436,0))&amp;"","")</f>
        <v>Tiny</v>
      </c>
      <c r="G416" s="66" t="n">
        <f aca="false">IFERROR(INDEX('Master Data'!$G$2:$G$2436,MATCH($B$3&amp;"|"&amp;D416&amp;"|"&amp;B416&amp;"|"&amp;C416,'Master Data'!$A$2:$A$2436,0)),"")</f>
        <v>5</v>
      </c>
      <c r="H416" s="67" t="str">
        <f aca="false">IFERROR(INDEX('Master Data'!$K$2:$K$2436,MATCH($B$3&amp;"|"&amp;D416&amp;"|"&amp;B416&amp;"|"&amp;C416,'Master Data'!$A$2:$A$2436,0))&amp;"","")</f>
        <v/>
      </c>
      <c r="I416" s="67" t="s">
        <v>477</v>
      </c>
      <c r="J416" s="67" t="s">
        <v>134</v>
      </c>
      <c r="K416" s="68"/>
      <c r="L416" s="68"/>
      <c r="M416" s="68"/>
      <c r="N416" s="69"/>
      <c r="O416" s="68"/>
    </row>
    <row r="417" customFormat="false" ht="40.5" hidden="false" customHeight="true" outlineLevel="0" collapsed="false">
      <c r="A417" s="66" t="n">
        <v>326</v>
      </c>
      <c r="B417" s="67" t="s">
        <v>78</v>
      </c>
      <c r="C417" s="66" t="s">
        <v>121</v>
      </c>
      <c r="D417" s="66" t="n">
        <v>5</v>
      </c>
      <c r="E417" s="67" t="str">
        <f aca="false">IFERROR(INDEX('Master Data'!$L$2:$L$2436,MATCH($B$3&amp;"|"&amp;D417&amp;"|"&amp;B417&amp;"|"&amp;C417,'Master Data'!$A$2:$A$2436,0)),"")</f>
        <v>Slot kosong</v>
      </c>
      <c r="F417" s="67" t="str">
        <f aca="false">IFERROR(INDEX('Master Data'!$F$2:$F$2436,MATCH($B$3&amp;"|"&amp;D417&amp;"|"&amp;B417&amp;"|"&amp;C417,'Master Data'!$A$2:$A$2436,0))&amp;"","")</f>
        <v/>
      </c>
      <c r="G417" s="66" t="n">
        <f aca="false">IFERROR(INDEX('Master Data'!$G$2:$G$2436,MATCH($B$3&amp;"|"&amp;D417&amp;"|"&amp;B417&amp;"|"&amp;C417,'Master Data'!$A$2:$A$2436,0)),"")</f>
        <v>4</v>
      </c>
      <c r="H417" s="67" t="str">
        <f aca="false">IFERROR(INDEX('Master Data'!$K$2:$K$2436,MATCH($B$3&amp;"|"&amp;D417&amp;"|"&amp;B417&amp;"|"&amp;C417,'Master Data'!$A$2:$A$2436,0))&amp;"","")</f>
        <v/>
      </c>
      <c r="I417" s="67" t="s">
        <v>477</v>
      </c>
      <c r="J417" s="67" t="s">
        <v>134</v>
      </c>
      <c r="K417" s="68"/>
      <c r="L417" s="68"/>
      <c r="M417" s="68"/>
      <c r="N417" s="69"/>
      <c r="O417" s="68"/>
    </row>
    <row r="418" customFormat="false" ht="40.5" hidden="false" customHeight="true" outlineLevel="0" collapsed="false">
      <c r="A418" s="66" t="n">
        <v>327</v>
      </c>
      <c r="B418" s="67" t="s">
        <v>78</v>
      </c>
      <c r="C418" s="66" t="s">
        <v>107</v>
      </c>
      <c r="D418" s="66" t="n">
        <v>3</v>
      </c>
      <c r="E418" s="67" t="str">
        <f aca="false">IFERROR(INDEX('Master Data'!$L$2:$L$2436,MATCH($B$3&amp;"|"&amp;D418&amp;"|"&amp;B418&amp;"|"&amp;C418,'Master Data'!$A$2:$A$2436,0)),"")</f>
        <v>Belum terisi</v>
      </c>
      <c r="F418" s="67" t="str">
        <f aca="false">IFERROR(INDEX('Master Data'!$F$2:$F$2436,MATCH($B$3&amp;"|"&amp;D418&amp;"|"&amp;B418&amp;"|"&amp;C418,'Master Data'!$A$2:$A$2436,0))&amp;"","")</f>
        <v>Little</v>
      </c>
      <c r="G418" s="66" t="n">
        <f aca="false">IFERROR(INDEX('Master Data'!$G$2:$G$2436,MATCH($B$3&amp;"|"&amp;D418&amp;"|"&amp;B418&amp;"|"&amp;C418,'Master Data'!$A$2:$A$2436,0)),"")</f>
        <v>4</v>
      </c>
      <c r="H418" s="67" t="str">
        <f aca="false">IFERROR(INDEX('Master Data'!$K$2:$K$2436,MATCH($B$3&amp;"|"&amp;D418&amp;"|"&amp;B418&amp;"|"&amp;C418,'Master Data'!$A$2:$A$2436,0))&amp;"","")</f>
        <v/>
      </c>
      <c r="I418" s="67" t="s">
        <v>476</v>
      </c>
      <c r="J418" s="67" t="s">
        <v>134</v>
      </c>
      <c r="K418" s="68"/>
      <c r="L418" s="68"/>
      <c r="M418" s="68"/>
      <c r="N418" s="69"/>
      <c r="O418" s="68"/>
    </row>
    <row r="419" customFormat="false" ht="40.5" hidden="false" customHeight="true" outlineLevel="0" collapsed="false">
      <c r="A419" s="66" t="n">
        <v>328</v>
      </c>
      <c r="B419" s="67" t="s">
        <v>78</v>
      </c>
      <c r="C419" s="66" t="s">
        <v>107</v>
      </c>
      <c r="D419" s="66" t="n">
        <v>4</v>
      </c>
      <c r="E419" s="67" t="str">
        <f aca="false">IFERROR(INDEX('Master Data'!$L$2:$L$2436,MATCH($B$3&amp;"|"&amp;D419&amp;"|"&amp;B419&amp;"|"&amp;C419,'Master Data'!$A$2:$A$2436,0)),"")</f>
        <v>Belum terisi</v>
      </c>
      <c r="F419" s="67" t="str">
        <f aca="false">IFERROR(INDEX('Master Data'!$F$2:$F$2436,MATCH($B$3&amp;"|"&amp;D419&amp;"|"&amp;B419&amp;"|"&amp;C419,'Master Data'!$A$2:$A$2436,0))&amp;"","")</f>
        <v>Kids</v>
      </c>
      <c r="G419" s="66" t="n">
        <f aca="false">IFERROR(INDEX('Master Data'!$G$2:$G$2436,MATCH($B$3&amp;"|"&amp;D419&amp;"|"&amp;B419&amp;"|"&amp;C419,'Master Data'!$A$2:$A$2436,0)),"")</f>
        <v>4</v>
      </c>
      <c r="H419" s="67" t="str">
        <f aca="false">IFERROR(INDEX('Master Data'!$K$2:$K$2436,MATCH($B$3&amp;"|"&amp;D419&amp;"|"&amp;B419&amp;"|"&amp;C419,'Master Data'!$A$2:$A$2436,0))&amp;"","")</f>
        <v/>
      </c>
      <c r="I419" s="67" t="s">
        <v>476</v>
      </c>
      <c r="J419" s="67" t="s">
        <v>134</v>
      </c>
      <c r="K419" s="68"/>
      <c r="L419" s="68"/>
      <c r="M419" s="68"/>
      <c r="N419" s="69"/>
      <c r="O419" s="68"/>
    </row>
    <row r="422" customFormat="false" ht="16.15" hidden="false" customHeight="false" outlineLevel="0" collapsed="false">
      <c r="A422" s="54" t="s">
        <v>188</v>
      </c>
      <c r="B422" s="55"/>
      <c r="C422" s="55"/>
      <c r="D422" s="55"/>
      <c r="E422" s="55"/>
      <c r="F422" s="55"/>
      <c r="G422" s="55"/>
      <c r="H422" s="55"/>
      <c r="I422" s="55"/>
      <c r="J422" s="55"/>
      <c r="K422" s="55"/>
      <c r="L422" s="55"/>
      <c r="M422" s="55"/>
      <c r="N422" s="55"/>
    </row>
    <row r="423" customFormat="false" ht="15" hidden="false" customHeight="false" outlineLevel="0" collapsed="false">
      <c r="A423" s="52" t="s">
        <v>189</v>
      </c>
    </row>
    <row r="424" customFormat="false" ht="22.35" hidden="false" customHeight="false" outlineLevel="0" collapsed="false">
      <c r="A424" s="64" t="s">
        <v>126</v>
      </c>
      <c r="B424" s="64" t="s">
        <v>190</v>
      </c>
      <c r="C424" s="64" t="s">
        <v>191</v>
      </c>
      <c r="D424" s="64" t="s">
        <v>90</v>
      </c>
      <c r="E424" s="64" t="s">
        <v>91</v>
      </c>
      <c r="F424" s="64" t="s">
        <v>92</v>
      </c>
      <c r="G424" s="64" t="s">
        <v>93</v>
      </c>
      <c r="H424" s="64" t="s">
        <v>94</v>
      </c>
      <c r="I424" s="64" t="s">
        <v>95</v>
      </c>
      <c r="J424" s="64" t="s">
        <v>78</v>
      </c>
      <c r="K424" s="64" t="s">
        <v>192</v>
      </c>
      <c r="L424" s="64" t="s">
        <v>193</v>
      </c>
    </row>
    <row r="425" customFormat="false" ht="15" hidden="false" customHeight="false" outlineLevel="0" collapsed="false">
      <c r="A425" s="71" t="n">
        <v>1</v>
      </c>
      <c r="B425" s="72" t="s">
        <v>481</v>
      </c>
      <c r="C425" s="73" t="s">
        <v>461</v>
      </c>
      <c r="D425" s="74" t="n">
        <f aca="false">COUNTIFS('Master Data'!$B$2:$B$2436,$B$3,'Master Data'!$K$2:$K$2436,$B425,'Master Data'!$D$2:$D$2436,D$424)</f>
        <v>0</v>
      </c>
      <c r="E425" s="74" t="n">
        <f aca="false">COUNTIFS('Master Data'!$B$2:$B$2436,$B$3,'Master Data'!$K$2:$K$2436,$B425,'Master Data'!$D$2:$D$2436,E$424)</f>
        <v>0</v>
      </c>
      <c r="F425" s="74" t="n">
        <f aca="false">COUNTIFS('Master Data'!$B$2:$B$2436,$B$3,'Master Data'!$K$2:$K$2436,$B425,'Master Data'!$D$2:$D$2436,F$424)</f>
        <v>5</v>
      </c>
      <c r="G425" s="74" t="n">
        <f aca="false">COUNTIFS('Master Data'!$B$2:$B$2436,$B$3,'Master Data'!$K$2:$K$2436,$B425,'Master Data'!$D$2:$D$2436,G$424)</f>
        <v>5</v>
      </c>
      <c r="H425" s="74" t="n">
        <f aca="false">COUNTIFS('Master Data'!$B$2:$B$2436,$B$3,'Master Data'!$K$2:$K$2436,$B425,'Master Data'!$D$2:$D$2436,H$424)</f>
        <v>4</v>
      </c>
      <c r="I425" s="74" t="n">
        <f aca="false">COUNTIFS('Master Data'!$B$2:$B$2436,$B$3,'Master Data'!$K$2:$K$2436,$B425,'Master Data'!$D$2:$D$2436,I$424)</f>
        <v>5</v>
      </c>
      <c r="J425" s="74" t="n">
        <f aca="false">COUNTIFS('Master Data'!$B$2:$B$2436,$B$3,'Master Data'!$K$2:$K$2436,$B425,'Master Data'!$D$2:$D$2436,J$424)</f>
        <v>5</v>
      </c>
      <c r="K425" s="71" t="n">
        <f aca="false">SUM(D425:J425)</f>
        <v>24</v>
      </c>
      <c r="L425" s="71" t="s">
        <v>482</v>
      </c>
    </row>
    <row r="426" customFormat="false" ht="15" hidden="false" customHeight="false" outlineLevel="0" collapsed="false">
      <c r="A426" s="71" t="n">
        <v>2</v>
      </c>
      <c r="B426" s="72" t="s">
        <v>483</v>
      </c>
      <c r="C426" s="73" t="s">
        <v>203</v>
      </c>
      <c r="D426" s="74" t="n">
        <f aca="false">COUNTIFS('Master Data'!$B$2:$B$2436,$B$3,'Master Data'!$K$2:$K$2436,$B426,'Master Data'!$D$2:$D$2436,D$424)</f>
        <v>0</v>
      </c>
      <c r="E426" s="74" t="n">
        <f aca="false">COUNTIFS('Master Data'!$B$2:$B$2436,$B$3,'Master Data'!$K$2:$K$2436,$B426,'Master Data'!$D$2:$D$2436,E$424)</f>
        <v>0</v>
      </c>
      <c r="F426" s="74" t="n">
        <f aca="false">COUNTIFS('Master Data'!$B$2:$B$2436,$B$3,'Master Data'!$K$2:$K$2436,$B426,'Master Data'!$D$2:$D$2436,F$424)</f>
        <v>0</v>
      </c>
      <c r="G426" s="74" t="n">
        <f aca="false">COUNTIFS('Master Data'!$B$2:$B$2436,$B$3,'Master Data'!$K$2:$K$2436,$B426,'Master Data'!$D$2:$D$2436,G$424)</f>
        <v>4</v>
      </c>
      <c r="H426" s="74" t="n">
        <f aca="false">COUNTIFS('Master Data'!$B$2:$B$2436,$B$3,'Master Data'!$K$2:$K$2436,$B426,'Master Data'!$D$2:$D$2436,H$424)</f>
        <v>5</v>
      </c>
      <c r="I426" s="74" t="n">
        <f aca="false">COUNTIFS('Master Data'!$B$2:$B$2436,$B$3,'Master Data'!$K$2:$K$2436,$B426,'Master Data'!$D$2:$D$2436,I$424)</f>
        <v>5</v>
      </c>
      <c r="J426" s="74" t="n">
        <f aca="false">COUNTIFS('Master Data'!$B$2:$B$2436,$B$3,'Master Data'!$K$2:$K$2436,$B426,'Master Data'!$D$2:$D$2436,J$424)</f>
        <v>3</v>
      </c>
      <c r="K426" s="71" t="n">
        <f aca="false">SUM(D426:J426)</f>
        <v>17</v>
      </c>
      <c r="L426" s="71" t="s">
        <v>484</v>
      </c>
    </row>
    <row r="427" customFormat="false" ht="15" hidden="false" customHeight="false" outlineLevel="0" collapsed="false">
      <c r="A427" s="71" t="n">
        <v>3</v>
      </c>
      <c r="B427" s="72" t="s">
        <v>485</v>
      </c>
      <c r="C427" s="73" t="s">
        <v>203</v>
      </c>
      <c r="D427" s="74" t="n">
        <f aca="false">COUNTIFS('Master Data'!$B$2:$B$2436,$B$3,'Master Data'!$K$2:$K$2436,$B427,'Master Data'!$D$2:$D$2436,D$424)</f>
        <v>4</v>
      </c>
      <c r="E427" s="74" t="n">
        <f aca="false">COUNTIFS('Master Data'!$B$2:$B$2436,$B$3,'Master Data'!$K$2:$K$2436,$B427,'Master Data'!$D$2:$D$2436,E$424)</f>
        <v>3</v>
      </c>
      <c r="F427" s="74" t="n">
        <f aca="false">COUNTIFS('Master Data'!$B$2:$B$2436,$B$3,'Master Data'!$K$2:$K$2436,$B427,'Master Data'!$D$2:$D$2436,F$424)</f>
        <v>0</v>
      </c>
      <c r="G427" s="74" t="n">
        <f aca="false">COUNTIFS('Master Data'!$B$2:$B$2436,$B$3,'Master Data'!$K$2:$K$2436,$B427,'Master Data'!$D$2:$D$2436,G$424)</f>
        <v>0</v>
      </c>
      <c r="H427" s="74" t="n">
        <f aca="false">COUNTIFS('Master Data'!$B$2:$B$2436,$B$3,'Master Data'!$K$2:$K$2436,$B427,'Master Data'!$D$2:$D$2436,H$424)</f>
        <v>5</v>
      </c>
      <c r="I427" s="74" t="n">
        <f aca="false">COUNTIFS('Master Data'!$B$2:$B$2436,$B$3,'Master Data'!$K$2:$K$2436,$B427,'Master Data'!$D$2:$D$2436,I$424)</f>
        <v>3</v>
      </c>
      <c r="J427" s="74" t="n">
        <f aca="false">COUNTIFS('Master Data'!$B$2:$B$2436,$B$3,'Master Data'!$K$2:$K$2436,$B427,'Master Data'!$D$2:$D$2436,J$424)</f>
        <v>2</v>
      </c>
      <c r="K427" s="71" t="n">
        <f aca="false">SUM(D427:J427)</f>
        <v>17</v>
      </c>
      <c r="L427" s="71" t="s">
        <v>436</v>
      </c>
    </row>
    <row r="428" customFormat="false" ht="15" hidden="false" customHeight="false" outlineLevel="0" collapsed="false">
      <c r="A428" s="71" t="n">
        <v>4</v>
      </c>
      <c r="B428" s="72" t="s">
        <v>486</v>
      </c>
      <c r="C428" s="73" t="s">
        <v>203</v>
      </c>
      <c r="D428" s="74" t="n">
        <f aca="false">COUNTIFS('Master Data'!$B$2:$B$2436,$B$3,'Master Data'!$K$2:$K$2436,$B428,'Master Data'!$D$2:$D$2436,D$424)</f>
        <v>3</v>
      </c>
      <c r="E428" s="74" t="n">
        <f aca="false">COUNTIFS('Master Data'!$B$2:$B$2436,$B$3,'Master Data'!$K$2:$K$2436,$B428,'Master Data'!$D$2:$D$2436,E$424)</f>
        <v>2</v>
      </c>
      <c r="F428" s="74" t="n">
        <f aca="false">COUNTIFS('Master Data'!$B$2:$B$2436,$B$3,'Master Data'!$K$2:$K$2436,$B428,'Master Data'!$D$2:$D$2436,F$424)</f>
        <v>4</v>
      </c>
      <c r="G428" s="74" t="n">
        <f aca="false">COUNTIFS('Master Data'!$B$2:$B$2436,$B$3,'Master Data'!$K$2:$K$2436,$B428,'Master Data'!$D$2:$D$2436,G$424)</f>
        <v>0</v>
      </c>
      <c r="H428" s="74" t="n">
        <f aca="false">COUNTIFS('Master Data'!$B$2:$B$2436,$B$3,'Master Data'!$K$2:$K$2436,$B428,'Master Data'!$D$2:$D$2436,H$424)</f>
        <v>0</v>
      </c>
      <c r="I428" s="74" t="n">
        <f aca="false">COUNTIFS('Master Data'!$B$2:$B$2436,$B$3,'Master Data'!$K$2:$K$2436,$B428,'Master Data'!$D$2:$D$2436,I$424)</f>
        <v>4</v>
      </c>
      <c r="J428" s="74" t="n">
        <f aca="false">COUNTIFS('Master Data'!$B$2:$B$2436,$B$3,'Master Data'!$K$2:$K$2436,$B428,'Master Data'!$D$2:$D$2436,J$424)</f>
        <v>2</v>
      </c>
      <c r="K428" s="71" t="n">
        <f aca="false">SUM(D428:J428)</f>
        <v>15</v>
      </c>
      <c r="L428" s="71" t="s">
        <v>196</v>
      </c>
    </row>
    <row r="429" customFormat="false" ht="15" hidden="false" customHeight="false" outlineLevel="0" collapsed="false">
      <c r="A429" s="71" t="n">
        <v>5</v>
      </c>
      <c r="B429" s="72" t="s">
        <v>487</v>
      </c>
      <c r="C429" s="73" t="s">
        <v>358</v>
      </c>
      <c r="D429" s="74" t="n">
        <f aca="false">COUNTIFS('Master Data'!$B$2:$B$2436,$B$3,'Master Data'!$K$2:$K$2436,$B429,'Master Data'!$D$2:$D$2436,D$424)</f>
        <v>1</v>
      </c>
      <c r="E429" s="74" t="n">
        <f aca="false">COUNTIFS('Master Data'!$B$2:$B$2436,$B$3,'Master Data'!$K$2:$K$2436,$B429,'Master Data'!$D$2:$D$2436,E$424)</f>
        <v>1</v>
      </c>
      <c r="F429" s="74" t="n">
        <f aca="false">COUNTIFS('Master Data'!$B$2:$B$2436,$B$3,'Master Data'!$K$2:$K$2436,$B429,'Master Data'!$D$2:$D$2436,F$424)</f>
        <v>3</v>
      </c>
      <c r="G429" s="74" t="n">
        <f aca="false">COUNTIFS('Master Data'!$B$2:$B$2436,$B$3,'Master Data'!$K$2:$K$2436,$B429,'Master Data'!$D$2:$D$2436,G$424)</f>
        <v>0</v>
      </c>
      <c r="H429" s="74" t="n">
        <f aca="false">COUNTIFS('Master Data'!$B$2:$B$2436,$B$3,'Master Data'!$K$2:$K$2436,$B429,'Master Data'!$D$2:$D$2436,H$424)</f>
        <v>0</v>
      </c>
      <c r="I429" s="74" t="n">
        <f aca="false">COUNTIFS('Master Data'!$B$2:$B$2436,$B$3,'Master Data'!$K$2:$K$2436,$B429,'Master Data'!$D$2:$D$2436,I$424)</f>
        <v>7</v>
      </c>
      <c r="J429" s="74" t="n">
        <f aca="false">COUNTIFS('Master Data'!$B$2:$B$2436,$B$3,'Master Data'!$K$2:$K$2436,$B429,'Master Data'!$D$2:$D$2436,J$424)</f>
        <v>0</v>
      </c>
      <c r="K429" s="71" t="n">
        <f aca="false">SUM(D429:J429)</f>
        <v>12</v>
      </c>
      <c r="L429" s="71" t="s">
        <v>482</v>
      </c>
    </row>
    <row r="430" customFormat="false" ht="15" hidden="false" customHeight="false" outlineLevel="0" collapsed="false">
      <c r="A430" s="71" t="n">
        <v>6</v>
      </c>
      <c r="B430" s="72" t="s">
        <v>488</v>
      </c>
      <c r="C430" s="73" t="s">
        <v>203</v>
      </c>
      <c r="D430" s="74" t="n">
        <f aca="false">COUNTIFS('Master Data'!$B$2:$B$2436,$B$3,'Master Data'!$K$2:$K$2436,$B430,'Master Data'!$D$2:$D$2436,D$424)</f>
        <v>0</v>
      </c>
      <c r="E430" s="74" t="n">
        <f aca="false">COUNTIFS('Master Data'!$B$2:$B$2436,$B$3,'Master Data'!$K$2:$K$2436,$B430,'Master Data'!$D$2:$D$2436,E$424)</f>
        <v>0</v>
      </c>
      <c r="F430" s="74" t="n">
        <f aca="false">COUNTIFS('Master Data'!$B$2:$B$2436,$B$3,'Master Data'!$K$2:$K$2436,$B430,'Master Data'!$D$2:$D$2436,F$424)</f>
        <v>1</v>
      </c>
      <c r="G430" s="74" t="n">
        <f aca="false">COUNTIFS('Master Data'!$B$2:$B$2436,$B$3,'Master Data'!$K$2:$K$2436,$B430,'Master Data'!$D$2:$D$2436,G$424)</f>
        <v>3</v>
      </c>
      <c r="H430" s="74" t="n">
        <f aca="false">COUNTIFS('Master Data'!$B$2:$B$2436,$B$3,'Master Data'!$K$2:$K$2436,$B430,'Master Data'!$D$2:$D$2436,H$424)</f>
        <v>1</v>
      </c>
      <c r="I430" s="74" t="n">
        <f aca="false">COUNTIFS('Master Data'!$B$2:$B$2436,$B$3,'Master Data'!$K$2:$K$2436,$B430,'Master Data'!$D$2:$D$2436,I$424)</f>
        <v>1</v>
      </c>
      <c r="J430" s="74" t="n">
        <f aca="false">COUNTIFS('Master Data'!$B$2:$B$2436,$B$3,'Master Data'!$K$2:$K$2436,$B430,'Master Data'!$D$2:$D$2436,J$424)</f>
        <v>2</v>
      </c>
      <c r="K430" s="71" t="n">
        <f aca="false">SUM(D430:J430)</f>
        <v>8</v>
      </c>
      <c r="L430" s="71" t="s">
        <v>206</v>
      </c>
    </row>
  </sheetData>
  <autoFilter ref="A91:O419"/>
  <mergeCells count="4">
    <mergeCell ref="A1:F1"/>
    <mergeCell ref="A2:F2"/>
    <mergeCell ref="D3:E3"/>
    <mergeCell ref="D4:E4"/>
  </mergeCells>
  <conditionalFormatting sqref="B15:H26">
    <cfRule type="expression" priority="2" aboveAverage="0" equalAverage="0" bottom="0" percent="0" rank="0" text="" dxfId="8">
      <formula>T15="Belum terisi"</formula>
    </cfRule>
    <cfRule type="expression" priority="3" aboveAverage="0" equalAverage="0" bottom="0" percent="0" rank="0" text="" dxfId="9">
      <formula>T15="Slot kosong"</formula>
    </cfRule>
    <cfRule type="expression" priority="4" aboveAverage="0" equalAverage="0" bottom="0" percent="0" rank="0" text="" dxfId="10">
      <formula>T15="Sebagian"</formula>
    </cfRule>
    <cfRule type="expression" priority="5" aboveAverage="0" equalAverage="0" bottom="0" percent="0" rank="0" text="" dxfId="11">
      <formula>T15="Penuh"</formula>
    </cfRule>
    <cfRule type="expression" priority="6" aboveAverage="0" equalAverage="0" bottom="0" percent="0" rank="0" text="" dxfId="12">
      <formula>T15="Lebih kapasitas"</formula>
    </cfRule>
    <cfRule type="expression" priority="7" aboveAverage="0" equalAverage="0" bottom="0" percent="0" rank="0" text="" dxfId="13">
      <formula>T15="Tutup"</formula>
    </cfRule>
    <cfRule type="expression" priority="8" aboveAverage="0" equalAverage="0" bottom="0" percent="0" rank="0" text="" dxfId="14">
      <formula>T15="Tidak dibuka"</formula>
    </cfRule>
  </conditionalFormatting>
  <conditionalFormatting sqref="B30:H41">
    <cfRule type="expression" priority="9" aboveAverage="0" equalAverage="0" bottom="0" percent="0" rank="0" text="" dxfId="8">
      <formula>T30="Belum terisi"</formula>
    </cfRule>
    <cfRule type="expression" priority="10" aboveAverage="0" equalAverage="0" bottom="0" percent="0" rank="0" text="" dxfId="9">
      <formula>T30="Slot kosong"</formula>
    </cfRule>
    <cfRule type="expression" priority="11" aboveAverage="0" equalAverage="0" bottom="0" percent="0" rank="0" text="" dxfId="10">
      <formula>T30="Sebagian"</formula>
    </cfRule>
    <cfRule type="expression" priority="12" aboveAverage="0" equalAverage="0" bottom="0" percent="0" rank="0" text="" dxfId="11">
      <formula>T30="Penuh"</formula>
    </cfRule>
    <cfRule type="expression" priority="13" aboveAverage="0" equalAverage="0" bottom="0" percent="0" rank="0" text="" dxfId="12">
      <formula>T30="Lebih kapasitas"</formula>
    </cfRule>
    <cfRule type="expression" priority="14" aboveAverage="0" equalAverage="0" bottom="0" percent="0" rank="0" text="" dxfId="13">
      <formula>T30="Tutup"</formula>
    </cfRule>
    <cfRule type="expression" priority="15" aboveAverage="0" equalAverage="0" bottom="0" percent="0" rank="0" text="" dxfId="14">
      <formula>T30="Tidak dibuka"</formula>
    </cfRule>
  </conditionalFormatting>
  <conditionalFormatting sqref="B45:H56">
    <cfRule type="expression" priority="16" aboveAverage="0" equalAverage="0" bottom="0" percent="0" rank="0" text="" dxfId="8">
      <formula>T45="Belum terisi"</formula>
    </cfRule>
    <cfRule type="expression" priority="17" aboveAverage="0" equalAverage="0" bottom="0" percent="0" rank="0" text="" dxfId="9">
      <formula>T45="Slot kosong"</formula>
    </cfRule>
    <cfRule type="expression" priority="18" aboveAverage="0" equalAverage="0" bottom="0" percent="0" rank="0" text="" dxfId="10">
      <formula>T45="Sebagian"</formula>
    </cfRule>
    <cfRule type="expression" priority="19" aboveAverage="0" equalAverage="0" bottom="0" percent="0" rank="0" text="" dxfId="11">
      <formula>T45="Penuh"</formula>
    </cfRule>
    <cfRule type="expression" priority="20" aboveAverage="0" equalAverage="0" bottom="0" percent="0" rank="0" text="" dxfId="12">
      <formula>T45="Lebih kapasitas"</formula>
    </cfRule>
    <cfRule type="expression" priority="21" aboveAverage="0" equalAverage="0" bottom="0" percent="0" rank="0" text="" dxfId="13">
      <formula>T45="Tutup"</formula>
    </cfRule>
    <cfRule type="expression" priority="22" aboveAverage="0" equalAverage="0" bottom="0" percent="0" rank="0" text="" dxfId="14">
      <formula>T45="Tidak dibuka"</formula>
    </cfRule>
  </conditionalFormatting>
  <conditionalFormatting sqref="B60:H71">
    <cfRule type="expression" priority="23" aboveAverage="0" equalAverage="0" bottom="0" percent="0" rank="0" text="" dxfId="8">
      <formula>T60="Belum terisi"</formula>
    </cfRule>
    <cfRule type="expression" priority="24" aboveAverage="0" equalAverage="0" bottom="0" percent="0" rank="0" text="" dxfId="9">
      <formula>T60="Slot kosong"</formula>
    </cfRule>
    <cfRule type="expression" priority="25" aboveAverage="0" equalAverage="0" bottom="0" percent="0" rank="0" text="" dxfId="10">
      <formula>T60="Sebagian"</formula>
    </cfRule>
    <cfRule type="expression" priority="26" aboveAverage="0" equalAverage="0" bottom="0" percent="0" rank="0" text="" dxfId="11">
      <formula>T60="Penuh"</formula>
    </cfRule>
    <cfRule type="expression" priority="27" aboveAverage="0" equalAverage="0" bottom="0" percent="0" rank="0" text="" dxfId="12">
      <formula>T60="Lebih kapasitas"</formula>
    </cfRule>
    <cfRule type="expression" priority="28" aboveAverage="0" equalAverage="0" bottom="0" percent="0" rank="0" text="" dxfId="13">
      <formula>T60="Tutup"</formula>
    </cfRule>
    <cfRule type="expression" priority="29" aboveAverage="0" equalAverage="0" bottom="0" percent="0" rank="0" text="" dxfId="14">
      <formula>T60="Tidak dibuka"</formula>
    </cfRule>
  </conditionalFormatting>
  <conditionalFormatting sqref="B75:H86">
    <cfRule type="expression" priority="30" aboveAverage="0" equalAverage="0" bottom="0" percent="0" rank="0" text="" dxfId="8">
      <formula>T75="Belum terisi"</formula>
    </cfRule>
    <cfRule type="expression" priority="31" aboveAverage="0" equalAverage="0" bottom="0" percent="0" rank="0" text="" dxfId="9">
      <formula>T75="Slot kosong"</formula>
    </cfRule>
    <cfRule type="expression" priority="32" aboveAverage="0" equalAverage="0" bottom="0" percent="0" rank="0" text="" dxfId="10">
      <formula>T75="Sebagian"</formula>
    </cfRule>
    <cfRule type="expression" priority="33" aboveAverage="0" equalAverage="0" bottom="0" percent="0" rank="0" text="" dxfId="11">
      <formula>T75="Penuh"</formula>
    </cfRule>
    <cfRule type="expression" priority="34" aboveAverage="0" equalAverage="0" bottom="0" percent="0" rank="0" text="" dxfId="12">
      <formula>T75="Lebih kapasitas"</formula>
    </cfRule>
    <cfRule type="expression" priority="35" aboveAverage="0" equalAverage="0" bottom="0" percent="0" rank="0" text="" dxfId="13">
      <formula>T75="Tutup"</formula>
    </cfRule>
    <cfRule type="expression" priority="36" aboveAverage="0" equalAverage="0" bottom="0" percent="0" rank="0" text="" dxfId="14">
      <formula>T75="Tidak dibuka"</formula>
    </cfRule>
  </conditionalFormatting>
  <conditionalFormatting sqref="E92:E419">
    <cfRule type="expression" priority="37" aboveAverage="0" equalAverage="0" bottom="0" percent="0" rank="0" text="" dxfId="8">
      <formula>E92="Belum terisi"</formula>
    </cfRule>
    <cfRule type="expression" priority="38" aboveAverage="0" equalAverage="0" bottom="0" percent="0" rank="0" text="" dxfId="9">
      <formula>E92="Slot kosong"</formula>
    </cfRule>
  </conditionalFormatting>
  <conditionalFormatting sqref="A92:O419">
    <cfRule type="expression" priority="39" aboveAverage="0" equalAverage="0" bottom="0" percent="0" rank="0" text="" dxfId="15">
      <formula>$K92="Jual minggu ini"</formula>
    </cfRule>
  </conditionalFormatting>
  <conditionalFormatting sqref="D425:J430">
    <cfRule type="colorScale" priority="40">
      <colorScale>
        <cfvo type="num" val="0"/>
        <cfvo type="max" val="0"/>
        <color rgb="FFFFFFFF"/>
        <color rgb="FF8EC6D0"/>
      </colorScale>
    </cfRule>
  </conditionalFormatting>
  <dataValidations count="4">
    <dataValidation allowBlank="true" error="Isi angka 0–20" errorStyle="stop" errorTitle="Target murid" operator="between" showDropDown="false" showErrorMessage="false" showInputMessage="false" sqref="N92:N419" type="whole">
      <formula1>0</formula1>
      <formula2>20</formula2>
    </dataValidation>
    <dataValidation allowBlank="true" errorStyle="stop" operator="between" showDropDown="false" showErrorMessage="false" showInputMessage="false" sqref="K92:K419" type="list">
      <formula1>"Jual minggu ini,Buka kelas baru,Ganti age group,Tahan,Tutup slot"</formula1>
      <formula2>0</formula2>
    </dataValidation>
    <dataValidation allowBlank="true" errorStyle="stop" operator="between" showDropDown="false" showErrorMessage="false" showInputMessage="false" sqref="L92:L419" type="list">
      <formula1>"Baby,Tiny,Little,Kids"</formula1>
      <formula2>0</formula2>
    </dataValidation>
    <dataValidation allowBlank="true" errorStyle="stop" operator="between" showDropDown="false" showErrorMessage="false" showInputMessage="false" sqref="M92:M419" type="list">
      <formula1>$B$425:$B$430</formula1>
      <formula2>0</formula2>
    </dataValidation>
  </dataValidations>
  <hyperlinks>
    <hyperlink ref="B11" r:id="rId1" location="'HIB'!A13" display="→ Slot Map"/>
    <hyperlink ref="C11" r:id="rId2" location="'HIB'!A89" display="→ Daftar Diskusi"/>
    <hyperlink ref="D11" r:id="rId3" location="'HIB'!A422" display="→ Coach"/>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4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 min="3" style="0" width="6"/>
    <col collapsed="false" customWidth="true" hidden="false" outlineLevel="0" max="4" min="4" style="0" width="9"/>
    <col collapsed="false" customWidth="true" hidden="false" outlineLevel="0" max="5" min="5" style="0" width="7"/>
    <col collapsed="false" customWidth="true" hidden="false" outlineLevel="0" max="6" min="6" style="0" width="11"/>
    <col collapsed="false" customWidth="true" hidden="false" outlineLevel="0" max="7" min="7" style="0" width="10"/>
    <col collapsed="false" customWidth="true" hidden="false" outlineLevel="0" max="8" min="8" style="0" width="8"/>
    <col collapsed="false" customWidth="true" hidden="false" outlineLevel="0" max="10" min="9" style="0" width="10"/>
    <col collapsed="false" customWidth="true" hidden="false" outlineLevel="0" max="11" min="11" style="0" width="14"/>
    <col collapsed="false" customWidth="true" hidden="false" outlineLevel="0" max="12" min="12" style="0" width="16"/>
    <col collapsed="false" customWidth="true" hidden="false" outlineLevel="0" max="13" min="13" style="0" width="30"/>
  </cols>
  <sheetData>
    <row r="1" customFormat="false" ht="15" hidden="false" customHeight="false" outlineLevel="0" collapsed="false">
      <c r="A1" s="75" t="s">
        <v>489</v>
      </c>
      <c r="B1" s="75" t="s">
        <v>54</v>
      </c>
      <c r="C1" s="75" t="s">
        <v>128</v>
      </c>
      <c r="D1" s="75" t="s">
        <v>127</v>
      </c>
      <c r="E1" s="75" t="s">
        <v>89</v>
      </c>
      <c r="F1" s="75" t="s">
        <v>490</v>
      </c>
      <c r="G1" s="75" t="s">
        <v>57</v>
      </c>
      <c r="H1" s="75" t="s">
        <v>491</v>
      </c>
      <c r="I1" s="75" t="s">
        <v>492</v>
      </c>
      <c r="J1" s="75" t="s">
        <v>55</v>
      </c>
      <c r="K1" s="75" t="s">
        <v>190</v>
      </c>
      <c r="L1" s="75" t="s">
        <v>36</v>
      </c>
      <c r="M1" s="75" t="s">
        <v>493</v>
      </c>
    </row>
    <row r="2" customFormat="false" ht="15" hidden="false" customHeight="false" outlineLevel="0" collapsed="false">
      <c r="A2" s="76" t="str">
        <f aca="false">B2&amp;"|"&amp;C2&amp;"|"&amp;D2&amp;"|"&amp;E2</f>
        <v>KLM|1|Senin|08:15</v>
      </c>
      <c r="B2" s="76" t="s">
        <v>61</v>
      </c>
      <c r="C2" s="76" t="n">
        <v>1</v>
      </c>
      <c r="D2" s="76" t="s">
        <v>90</v>
      </c>
      <c r="E2" s="76" t="s">
        <v>96</v>
      </c>
      <c r="F2" s="77"/>
      <c r="G2" s="77" t="n">
        <v>0</v>
      </c>
      <c r="H2" s="77" t="n">
        <v>0</v>
      </c>
      <c r="I2" s="76" t="n">
        <f aca="false">IF(AND(ISNUMBER(G2),ISNUMBER(H2)),MAX(G2-H2,0),"")</f>
        <v>0</v>
      </c>
      <c r="J2" s="78" t="str">
        <f aca="false">IF(AND(ISNUMBER(G2),ISNUMBER(H2)),IF(G2&gt;0,H2/G2,""),"")</f>
        <v/>
      </c>
      <c r="K2" s="77"/>
      <c r="L2" s="76" t="str">
        <f aca="false">IF(OR(G2="",H2=""),"Data tidak lengkap",IF(AND(G2=0,H2=0),IF(AND(F2="",K2=""),"Tidak dibuka","Tutup"),IF(H2&gt;G2,"Lebih kapasitas",IF(H2=G2,"Penuh",IF(H2=0,IF(F2="","Slot kosong","Belum terisi"),"Sebagian")))))</f>
        <v>Tidak dibuka</v>
      </c>
      <c r="M2" s="76" t="str">
        <f aca="false">IF(L2="Tidak dibuka","–",IF(F2="","(tanpa age group)",F2)&amp;"  "&amp;IF(H2="","?",H2)&amp;"/"&amp;IF(G2="","?",G2)&amp;CHAR(10)&amp;IF(K2="","coach: –","coach: "&amp;K2))</f>
        <v>–</v>
      </c>
    </row>
    <row r="3" customFormat="false" ht="22.35" hidden="false" customHeight="false" outlineLevel="0" collapsed="false">
      <c r="A3" s="76" t="str">
        <f aca="false">B3&amp;"|"&amp;C3&amp;"|"&amp;D3&amp;"|"&amp;E3</f>
        <v>KLM|1|Senin|09:00</v>
      </c>
      <c r="B3" s="76" t="s">
        <v>61</v>
      </c>
      <c r="C3" s="76" t="n">
        <v>1</v>
      </c>
      <c r="D3" s="76" t="s">
        <v>90</v>
      </c>
      <c r="E3" s="76" t="s">
        <v>97</v>
      </c>
      <c r="F3" s="77"/>
      <c r="G3" s="77" t="n">
        <v>5</v>
      </c>
      <c r="H3" s="77" t="n">
        <v>0</v>
      </c>
      <c r="I3" s="76" t="n">
        <f aca="false">IF(AND(ISNUMBER(G3),ISNUMBER(H3)),MAX(G3-H3,0),"")</f>
        <v>5</v>
      </c>
      <c r="J3" s="78" t="n">
        <f aca="false">IF(AND(ISNUMBER(G3),ISNUMBER(H3)),IF(G3&gt;0,H3/G3,""),"")</f>
        <v>0</v>
      </c>
      <c r="K3" s="77"/>
      <c r="L3" s="76" t="str">
        <f aca="false">IF(OR(G3="",H3=""),"Data tidak lengkap",IF(AND(G3=0,H3=0),IF(AND(F3="",K3=""),"Tidak dibuka","Tutup"),IF(H3&gt;G3,"Lebih kapasitas",IF(H3=G3,"Penuh",IF(H3=0,IF(F3="","Slot kosong","Belum terisi"),"Sebagian")))))</f>
        <v>Slot kosong</v>
      </c>
      <c r="M3" s="79" t="str">
        <f aca="false">IF(L3="Tidak dibuka","–",IF(F3="","(tanpa age group)",F3)&amp;"  "&amp;IF(H3="","?",H3)&amp;"/"&amp;IF(G3="","?",G3)&amp;CHAR(10)&amp;IF(K3="","coach: –","coach: "&amp;K3))</f>
        <v>(tanpa age group)  0/5
coach: –</v>
      </c>
    </row>
    <row r="4" customFormat="false" ht="22.35" hidden="false" customHeight="false" outlineLevel="0" collapsed="false">
      <c r="A4" s="76" t="str">
        <f aca="false">B4&amp;"|"&amp;C4&amp;"|"&amp;D4&amp;"|"&amp;E4</f>
        <v>KLM|1|Senin|09:45</v>
      </c>
      <c r="B4" s="76" t="s">
        <v>61</v>
      </c>
      <c r="C4" s="76" t="n">
        <v>1</v>
      </c>
      <c r="D4" s="76" t="s">
        <v>90</v>
      </c>
      <c r="E4" s="76" t="s">
        <v>98</v>
      </c>
      <c r="F4" s="77"/>
      <c r="G4" s="77" t="n">
        <v>5</v>
      </c>
      <c r="H4" s="77" t="n">
        <v>0</v>
      </c>
      <c r="I4" s="76" t="n">
        <f aca="false">IF(AND(ISNUMBER(G4),ISNUMBER(H4)),MAX(G4-H4,0),"")</f>
        <v>5</v>
      </c>
      <c r="J4" s="78" t="n">
        <f aca="false">IF(AND(ISNUMBER(G4),ISNUMBER(H4)),IF(G4&gt;0,H4/G4,""),"")</f>
        <v>0</v>
      </c>
      <c r="K4" s="77"/>
      <c r="L4" s="76" t="str">
        <f aca="false">IF(OR(G4="",H4=""),"Data tidak lengkap",IF(AND(G4=0,H4=0),IF(AND(F4="",K4=""),"Tidak dibuka","Tutup"),IF(H4&gt;G4,"Lebih kapasitas",IF(H4=G4,"Penuh",IF(H4=0,IF(F4="","Slot kosong","Belum terisi"),"Sebagian")))))</f>
        <v>Slot kosong</v>
      </c>
      <c r="M4" s="79" t="str">
        <f aca="false">IF(L4="Tidak dibuka","–",IF(F4="","(tanpa age group)",F4)&amp;"  "&amp;IF(H4="","?",H4)&amp;"/"&amp;IF(G4="","?",G4)&amp;CHAR(10)&amp;IF(K4="","coach: –","coach: "&amp;K4))</f>
        <v>(tanpa age group)  0/5
coach: –</v>
      </c>
    </row>
    <row r="5" customFormat="false" ht="22.35" hidden="false" customHeight="false" outlineLevel="0" collapsed="false">
      <c r="A5" s="76" t="str">
        <f aca="false">B5&amp;"|"&amp;C5&amp;"|"&amp;D5&amp;"|"&amp;E5</f>
        <v>KLM|1|Senin|10:30</v>
      </c>
      <c r="B5" s="76" t="s">
        <v>61</v>
      </c>
      <c r="C5" s="76" t="n">
        <v>1</v>
      </c>
      <c r="D5" s="76" t="s">
        <v>90</v>
      </c>
      <c r="E5" s="76" t="s">
        <v>99</v>
      </c>
      <c r="F5" s="77" t="s">
        <v>242</v>
      </c>
      <c r="G5" s="77" t="n">
        <v>5</v>
      </c>
      <c r="H5" s="77" t="n">
        <v>1</v>
      </c>
      <c r="I5" s="76" t="n">
        <f aca="false">IF(AND(ISNUMBER(G5),ISNUMBER(H5)),MAX(G5-H5,0),"")</f>
        <v>4</v>
      </c>
      <c r="J5" s="78" t="n">
        <f aca="false">IF(AND(ISNUMBER(G5),ISNUMBER(H5)),IF(G5&gt;0,H5/G5,""),"")</f>
        <v>0.2</v>
      </c>
      <c r="K5" s="77" t="s">
        <v>44</v>
      </c>
      <c r="L5" s="76" t="str">
        <f aca="false">IF(OR(G5="",H5=""),"Data tidak lengkap",IF(AND(G5=0,H5=0),IF(AND(F5="",K5=""),"Tidak dibuka","Tutup"),IF(H5&gt;G5,"Lebih kapasitas",IF(H5=G5,"Penuh",IF(H5=0,IF(F5="","Slot kosong","Belum terisi"),"Sebagian")))))</f>
        <v>Sebagian</v>
      </c>
      <c r="M5" s="79" t="str">
        <f aca="false">IF(L5="Tidak dibuka","–",IF(F5="","(tanpa age group)",F5)&amp;"  "&amp;IF(H5="","?",H5)&amp;"/"&amp;IF(G5="","?",G5)&amp;CHAR(10)&amp;IF(K5="","coach: –","coach: "&amp;K5))</f>
        <v>Baby  1/5
coach: Danti</v>
      </c>
    </row>
    <row r="6" customFormat="false" ht="22.35" hidden="false" customHeight="false" outlineLevel="0" collapsed="false">
      <c r="A6" s="76" t="str">
        <f aca="false">B6&amp;"|"&amp;C6&amp;"|"&amp;D6&amp;"|"&amp;E6</f>
        <v>KLM|1|Senin|11:15</v>
      </c>
      <c r="B6" s="76" t="s">
        <v>61</v>
      </c>
      <c r="C6" s="76" t="n">
        <v>1</v>
      </c>
      <c r="D6" s="76" t="s">
        <v>90</v>
      </c>
      <c r="E6" s="76" t="s">
        <v>100</v>
      </c>
      <c r="F6" s="77"/>
      <c r="G6" s="77" t="n">
        <v>5</v>
      </c>
      <c r="H6" s="77" t="n">
        <v>0</v>
      </c>
      <c r="I6" s="76" t="n">
        <f aca="false">IF(AND(ISNUMBER(G6),ISNUMBER(H6)),MAX(G6-H6,0),"")</f>
        <v>5</v>
      </c>
      <c r="J6" s="78" t="n">
        <f aca="false">IF(AND(ISNUMBER(G6),ISNUMBER(H6)),IF(G6&gt;0,H6/G6,""),"")</f>
        <v>0</v>
      </c>
      <c r="K6" s="77"/>
      <c r="L6" s="76" t="str">
        <f aca="false">IF(OR(G6="",H6=""),"Data tidak lengkap",IF(AND(G6=0,H6=0),IF(AND(F6="",K6=""),"Tidak dibuka","Tutup"),IF(H6&gt;G6,"Lebih kapasitas",IF(H6=G6,"Penuh",IF(H6=0,IF(F6="","Slot kosong","Belum terisi"),"Sebagian")))))</f>
        <v>Slot kosong</v>
      </c>
      <c r="M6" s="79" t="str">
        <f aca="false">IF(L6="Tidak dibuka","–",IF(F6="","(tanpa age group)",F6)&amp;"  "&amp;IF(H6="","?",H6)&amp;"/"&amp;IF(G6="","?",G6)&amp;CHAR(10)&amp;IF(K6="","coach: –","coach: "&amp;K6))</f>
        <v>(tanpa age group)  0/5
coach: –</v>
      </c>
    </row>
    <row r="7" customFormat="false" ht="22.35" hidden="false" customHeight="false" outlineLevel="0" collapsed="false">
      <c r="A7" s="76" t="str">
        <f aca="false">B7&amp;"|"&amp;C7&amp;"|"&amp;D7&amp;"|"&amp;E7</f>
        <v>KLM|1|Senin|12:00</v>
      </c>
      <c r="B7" s="76" t="s">
        <v>61</v>
      </c>
      <c r="C7" s="76" t="n">
        <v>1</v>
      </c>
      <c r="D7" s="76" t="s">
        <v>90</v>
      </c>
      <c r="E7" s="76" t="s">
        <v>101</v>
      </c>
      <c r="F7" s="77" t="s">
        <v>242</v>
      </c>
      <c r="G7" s="77" t="n">
        <v>5</v>
      </c>
      <c r="H7" s="77" t="n">
        <v>3</v>
      </c>
      <c r="I7" s="76" t="n">
        <f aca="false">IF(AND(ISNUMBER(G7),ISNUMBER(H7)),MAX(G7-H7,0),"")</f>
        <v>2</v>
      </c>
      <c r="J7" s="78" t="n">
        <f aca="false">IF(AND(ISNUMBER(G7),ISNUMBER(H7)),IF(G7&gt;0,H7/G7,""),"")</f>
        <v>0.6</v>
      </c>
      <c r="K7" s="77" t="s">
        <v>44</v>
      </c>
      <c r="L7" s="76" t="str">
        <f aca="false">IF(OR(G7="",H7=""),"Data tidak lengkap",IF(AND(G7=0,H7=0),IF(AND(F7="",K7=""),"Tidak dibuka","Tutup"),IF(H7&gt;G7,"Lebih kapasitas",IF(H7=G7,"Penuh",IF(H7=0,IF(F7="","Slot kosong","Belum terisi"),"Sebagian")))))</f>
        <v>Sebagian</v>
      </c>
      <c r="M7" s="79" t="str">
        <f aca="false">IF(L7="Tidak dibuka","–",IF(F7="","(tanpa age group)",F7)&amp;"  "&amp;IF(H7="","?",H7)&amp;"/"&amp;IF(G7="","?",G7)&amp;CHAR(10)&amp;IF(K7="","coach: –","coach: "&amp;K7))</f>
        <v>Baby  3/5
coach: Danti</v>
      </c>
    </row>
    <row r="8" customFormat="false" ht="22.35" hidden="false" customHeight="false" outlineLevel="0" collapsed="false">
      <c r="A8" s="76" t="str">
        <f aca="false">B8&amp;"|"&amp;C8&amp;"|"&amp;D8&amp;"|"&amp;E8</f>
        <v>KLM|1|Senin|13:30</v>
      </c>
      <c r="B8" s="76" t="s">
        <v>61</v>
      </c>
      <c r="C8" s="76" t="n">
        <v>1</v>
      </c>
      <c r="D8" s="76" t="s">
        <v>90</v>
      </c>
      <c r="E8" s="76" t="s">
        <v>102</v>
      </c>
      <c r="F8" s="77" t="s">
        <v>277</v>
      </c>
      <c r="G8" s="77" t="n">
        <v>4</v>
      </c>
      <c r="H8" s="77" t="n">
        <v>1</v>
      </c>
      <c r="I8" s="76" t="n">
        <f aca="false">IF(AND(ISNUMBER(G8),ISNUMBER(H8)),MAX(G8-H8,0),"")</f>
        <v>3</v>
      </c>
      <c r="J8" s="78" t="n">
        <f aca="false">IF(AND(ISNUMBER(G8),ISNUMBER(H8)),IF(G8&gt;0,H8/G8,""),"")</f>
        <v>0.25</v>
      </c>
      <c r="K8" s="77" t="s">
        <v>207</v>
      </c>
      <c r="L8" s="76" t="str">
        <f aca="false">IF(OR(G8="",H8=""),"Data tidak lengkap",IF(AND(G8=0,H8=0),IF(AND(F8="",K8=""),"Tidak dibuka","Tutup"),IF(H8&gt;G8,"Lebih kapasitas",IF(H8=G8,"Penuh",IF(H8=0,IF(F8="","Slot kosong","Belum terisi"),"Sebagian")))))</f>
        <v>Sebagian</v>
      </c>
      <c r="M8" s="79" t="str">
        <f aca="false">IF(L8="Tidak dibuka","–",IF(F8="","(tanpa age group)",F8)&amp;"  "&amp;IF(H8="","?",H8)&amp;"/"&amp;IF(G8="","?",G8)&amp;CHAR(10)&amp;IF(K8="","coach: –","coach: "&amp;K8))</f>
        <v>Little  1/4
coach: Gita</v>
      </c>
    </row>
    <row r="9" customFormat="false" ht="22.35" hidden="false" customHeight="false" outlineLevel="0" collapsed="false">
      <c r="A9" s="76" t="str">
        <f aca="false">B9&amp;"|"&amp;C9&amp;"|"&amp;D9&amp;"|"&amp;E9</f>
        <v>KLM|1|Senin|14:15</v>
      </c>
      <c r="B9" s="76" t="s">
        <v>61</v>
      </c>
      <c r="C9" s="76" t="n">
        <v>1</v>
      </c>
      <c r="D9" s="76" t="s">
        <v>90</v>
      </c>
      <c r="E9" s="76" t="s">
        <v>103</v>
      </c>
      <c r="F9" s="77"/>
      <c r="G9" s="77" t="n">
        <v>5</v>
      </c>
      <c r="H9" s="77" t="n">
        <v>0</v>
      </c>
      <c r="I9" s="76" t="n">
        <f aca="false">IF(AND(ISNUMBER(G9),ISNUMBER(H9)),MAX(G9-H9,0),"")</f>
        <v>5</v>
      </c>
      <c r="J9" s="78" t="n">
        <f aca="false">IF(AND(ISNUMBER(G9),ISNUMBER(H9)),IF(G9&gt;0,H9/G9,""),"")</f>
        <v>0</v>
      </c>
      <c r="K9" s="77"/>
      <c r="L9" s="76" t="str">
        <f aca="false">IF(OR(G9="",H9=""),"Data tidak lengkap",IF(AND(G9=0,H9=0),IF(AND(F9="",K9=""),"Tidak dibuka","Tutup"),IF(H9&gt;G9,"Lebih kapasitas",IF(H9=G9,"Penuh",IF(H9=0,IF(F9="","Slot kosong","Belum terisi"),"Sebagian")))))</f>
        <v>Slot kosong</v>
      </c>
      <c r="M9" s="79" t="str">
        <f aca="false">IF(L9="Tidak dibuka","–",IF(F9="","(tanpa age group)",F9)&amp;"  "&amp;IF(H9="","?",H9)&amp;"/"&amp;IF(G9="","?",G9)&amp;CHAR(10)&amp;IF(K9="","coach: –","coach: "&amp;K9))</f>
        <v>(tanpa age group)  0/5
coach: –</v>
      </c>
    </row>
    <row r="10" customFormat="false" ht="22.35" hidden="false" customHeight="false" outlineLevel="0" collapsed="false">
      <c r="A10" s="76" t="str">
        <f aca="false">B10&amp;"|"&amp;C10&amp;"|"&amp;D10&amp;"|"&amp;E10</f>
        <v>KLM|1|Senin|15:00</v>
      </c>
      <c r="B10" s="76" t="s">
        <v>61</v>
      </c>
      <c r="C10" s="76" t="n">
        <v>1</v>
      </c>
      <c r="D10" s="76" t="s">
        <v>90</v>
      </c>
      <c r="E10" s="76" t="s">
        <v>104</v>
      </c>
      <c r="F10" s="77" t="s">
        <v>277</v>
      </c>
      <c r="G10" s="77" t="n">
        <v>0</v>
      </c>
      <c r="H10" s="77" t="n">
        <v>2</v>
      </c>
      <c r="I10" s="76" t="n">
        <f aca="false">IF(AND(ISNUMBER(G10),ISNUMBER(H10)),MAX(G10-H10,0),"")</f>
        <v>0</v>
      </c>
      <c r="J10" s="78" t="str">
        <f aca="false">IF(AND(ISNUMBER(G10),ISNUMBER(H10)),IF(G10&gt;0,H10/G10,""),"")</f>
        <v/>
      </c>
      <c r="K10" s="77" t="s">
        <v>207</v>
      </c>
      <c r="L10" s="76" t="str">
        <f aca="false">IF(OR(G10="",H10=""),"Data tidak lengkap",IF(AND(G10=0,H10=0),IF(AND(F10="",K10=""),"Tidak dibuka","Tutup"),IF(H10&gt;G10,"Lebih kapasitas",IF(H10=G10,"Penuh",IF(H10=0,IF(F10="","Slot kosong","Belum terisi"),"Sebagian")))))</f>
        <v>Lebih kapasitas</v>
      </c>
      <c r="M10" s="79" t="str">
        <f aca="false">IF(L10="Tidak dibuka","–",IF(F10="","(tanpa age group)",F10)&amp;"  "&amp;IF(H10="","?",H10)&amp;"/"&amp;IF(G10="","?",G10)&amp;CHAR(10)&amp;IF(K10="","coach: –","coach: "&amp;K10))</f>
        <v>Little  2/0
coach: Gita</v>
      </c>
    </row>
    <row r="11" customFormat="false" ht="15" hidden="false" customHeight="false" outlineLevel="0" collapsed="false">
      <c r="A11" s="76" t="str">
        <f aca="false">B11&amp;"|"&amp;C11&amp;"|"&amp;D11&amp;"|"&amp;E11</f>
        <v>KLM|1|Senin|15:45</v>
      </c>
      <c r="B11" s="76" t="s">
        <v>61</v>
      </c>
      <c r="C11" s="76" t="n">
        <v>1</v>
      </c>
      <c r="D11" s="76" t="s">
        <v>90</v>
      </c>
      <c r="E11" s="76" t="s">
        <v>105</v>
      </c>
      <c r="F11" s="77"/>
      <c r="G11" s="77" t="n">
        <v>0</v>
      </c>
      <c r="H11" s="77" t="n">
        <v>0</v>
      </c>
      <c r="I11" s="76" t="n">
        <f aca="false">IF(AND(ISNUMBER(G11),ISNUMBER(H11)),MAX(G11-H11,0),"")</f>
        <v>0</v>
      </c>
      <c r="J11" s="78" t="str">
        <f aca="false">IF(AND(ISNUMBER(G11),ISNUMBER(H11)),IF(G11&gt;0,H11/G11,""),"")</f>
        <v/>
      </c>
      <c r="K11" s="77"/>
      <c r="L11" s="76" t="str">
        <f aca="false">IF(OR(G11="",H11=""),"Data tidak lengkap",IF(AND(G11=0,H11=0),IF(AND(F11="",K11=""),"Tidak dibuka","Tutup"),IF(H11&gt;G11,"Lebih kapasitas",IF(H11=G11,"Penuh",IF(H11=0,IF(F11="","Slot kosong","Belum terisi"),"Sebagian")))))</f>
        <v>Tidak dibuka</v>
      </c>
      <c r="M11" s="76" t="str">
        <f aca="false">IF(L11="Tidak dibuka","–",IF(F11="","(tanpa age group)",F11)&amp;"  "&amp;IF(H11="","?",H11)&amp;"/"&amp;IF(G11="","?",G11)&amp;CHAR(10)&amp;IF(K11="","coach: –","coach: "&amp;K11))</f>
        <v>–</v>
      </c>
    </row>
    <row r="12" customFormat="false" ht="22.35" hidden="false" customHeight="false" outlineLevel="0" collapsed="false">
      <c r="A12" s="76" t="str">
        <f aca="false">B12&amp;"|"&amp;C12&amp;"|"&amp;D12&amp;"|"&amp;E12</f>
        <v>KLM|1|Senin|16:30</v>
      </c>
      <c r="B12" s="76" t="s">
        <v>61</v>
      </c>
      <c r="C12" s="76" t="n">
        <v>1</v>
      </c>
      <c r="D12" s="76" t="s">
        <v>90</v>
      </c>
      <c r="E12" s="76" t="s">
        <v>106</v>
      </c>
      <c r="F12" s="77" t="s">
        <v>210</v>
      </c>
      <c r="G12" s="77" t="n">
        <v>5</v>
      </c>
      <c r="H12" s="77" t="n">
        <v>3</v>
      </c>
      <c r="I12" s="76" t="n">
        <f aca="false">IF(AND(ISNUMBER(G12),ISNUMBER(H12)),MAX(G12-H12,0),"")</f>
        <v>2</v>
      </c>
      <c r="J12" s="78" t="n">
        <f aca="false">IF(AND(ISNUMBER(G12),ISNUMBER(H12)),IF(G12&gt;0,H12/G12,""),"")</f>
        <v>0.6</v>
      </c>
      <c r="K12" s="77" t="s">
        <v>207</v>
      </c>
      <c r="L12" s="76" t="str">
        <f aca="false">IF(OR(G12="",H12=""),"Data tidak lengkap",IF(AND(G12=0,H12=0),IF(AND(F12="",K12=""),"Tidak dibuka","Tutup"),IF(H12&gt;G12,"Lebih kapasitas",IF(H12=G12,"Penuh",IF(H12=0,IF(F12="","Slot kosong","Belum terisi"),"Sebagian")))))</f>
        <v>Sebagian</v>
      </c>
      <c r="M12" s="79" t="str">
        <f aca="false">IF(L12="Tidak dibuka","–",IF(F12="","(tanpa age group)",F12)&amp;"  "&amp;IF(H12="","?",H12)&amp;"/"&amp;IF(G12="","?",G12)&amp;CHAR(10)&amp;IF(K12="","coach: –","coach: "&amp;K12))</f>
        <v>Kids  3/5
coach: Gita</v>
      </c>
    </row>
    <row r="13" customFormat="false" ht="22.35" hidden="false" customHeight="false" outlineLevel="0" collapsed="false">
      <c r="A13" s="76" t="str">
        <f aca="false">B13&amp;"|"&amp;C13&amp;"|"&amp;D13&amp;"|"&amp;E13</f>
        <v>KLM|1|Senin|17:15</v>
      </c>
      <c r="B13" s="76" t="s">
        <v>61</v>
      </c>
      <c r="C13" s="76" t="n">
        <v>1</v>
      </c>
      <c r="D13" s="76" t="s">
        <v>90</v>
      </c>
      <c r="E13" s="76" t="s">
        <v>107</v>
      </c>
      <c r="F13" s="77" t="s">
        <v>242</v>
      </c>
      <c r="G13" s="77" t="n">
        <v>5</v>
      </c>
      <c r="H13" s="77" t="n">
        <v>2</v>
      </c>
      <c r="I13" s="76" t="n">
        <f aca="false">IF(AND(ISNUMBER(G13),ISNUMBER(H13)),MAX(G13-H13,0),"")</f>
        <v>3</v>
      </c>
      <c r="J13" s="78" t="n">
        <f aca="false">IF(AND(ISNUMBER(G13),ISNUMBER(H13)),IF(G13&gt;0,H13/G13,""),"")</f>
        <v>0.4</v>
      </c>
      <c r="K13" s="77" t="s">
        <v>197</v>
      </c>
      <c r="L13" s="76" t="str">
        <f aca="false">IF(OR(G13="",H13=""),"Data tidak lengkap",IF(AND(G13=0,H13=0),IF(AND(F13="",K13=""),"Tidak dibuka","Tutup"),IF(H13&gt;G13,"Lebih kapasitas",IF(H13=G13,"Penuh",IF(H13=0,IF(F13="","Slot kosong","Belum terisi"),"Sebagian")))))</f>
        <v>Sebagian</v>
      </c>
      <c r="M13" s="79" t="str">
        <f aca="false">IF(L13="Tidak dibuka","–",IF(F13="","(tanpa age group)",F13)&amp;"  "&amp;IF(H13="","?",H13)&amp;"/"&amp;IF(G13="","?",G13)&amp;CHAR(10)&amp;IF(K13="","coach: –","coach: "&amp;K13))</f>
        <v>Baby  2/5
coach: Rischa</v>
      </c>
    </row>
    <row r="14" customFormat="false" ht="15" hidden="false" customHeight="false" outlineLevel="0" collapsed="false">
      <c r="A14" s="76" t="str">
        <f aca="false">B14&amp;"|"&amp;C14&amp;"|"&amp;D14&amp;"|"&amp;E14</f>
        <v>KLM|1|Selasa|08:15</v>
      </c>
      <c r="B14" s="76" t="s">
        <v>61</v>
      </c>
      <c r="C14" s="76" t="n">
        <v>1</v>
      </c>
      <c r="D14" s="76" t="s">
        <v>91</v>
      </c>
      <c r="E14" s="76" t="s">
        <v>96</v>
      </c>
      <c r="F14" s="77"/>
      <c r="G14" s="77" t="n">
        <v>0</v>
      </c>
      <c r="H14" s="77" t="n">
        <v>0</v>
      </c>
      <c r="I14" s="76" t="n">
        <f aca="false">IF(AND(ISNUMBER(G14),ISNUMBER(H14)),MAX(G14-H14,0),"")</f>
        <v>0</v>
      </c>
      <c r="J14" s="78" t="str">
        <f aca="false">IF(AND(ISNUMBER(G14),ISNUMBER(H14)),IF(G14&gt;0,H14/G14,""),"")</f>
        <v/>
      </c>
      <c r="K14" s="77"/>
      <c r="L14" s="76" t="str">
        <f aca="false">IF(OR(G14="",H14=""),"Data tidak lengkap",IF(AND(G14=0,H14=0),IF(AND(F14="",K14=""),"Tidak dibuka","Tutup"),IF(H14&gt;G14,"Lebih kapasitas",IF(H14=G14,"Penuh",IF(H14=0,IF(F14="","Slot kosong","Belum terisi"),"Sebagian")))))</f>
        <v>Tidak dibuka</v>
      </c>
      <c r="M14" s="76" t="str">
        <f aca="false">IF(L14="Tidak dibuka","–",IF(F14="","(tanpa age group)",F14)&amp;"  "&amp;IF(H14="","?",H14)&amp;"/"&amp;IF(G14="","?",G14)&amp;CHAR(10)&amp;IF(K14="","coach: –","coach: "&amp;K14))</f>
        <v>–</v>
      </c>
    </row>
    <row r="15" customFormat="false" ht="22.35" hidden="false" customHeight="false" outlineLevel="0" collapsed="false">
      <c r="A15" s="76" t="str">
        <f aca="false">B15&amp;"|"&amp;C15&amp;"|"&amp;D15&amp;"|"&amp;E15</f>
        <v>KLM|1|Selasa|09:00</v>
      </c>
      <c r="B15" s="76" t="s">
        <v>61</v>
      </c>
      <c r="C15" s="76" t="n">
        <v>1</v>
      </c>
      <c r="D15" s="76" t="s">
        <v>91</v>
      </c>
      <c r="E15" s="76" t="s">
        <v>97</v>
      </c>
      <c r="F15" s="77"/>
      <c r="G15" s="77" t="n">
        <v>5</v>
      </c>
      <c r="H15" s="77" t="n">
        <v>0</v>
      </c>
      <c r="I15" s="76" t="n">
        <f aca="false">IF(AND(ISNUMBER(G15),ISNUMBER(H15)),MAX(G15-H15,0),"")</f>
        <v>5</v>
      </c>
      <c r="J15" s="78" t="n">
        <f aca="false">IF(AND(ISNUMBER(G15),ISNUMBER(H15)),IF(G15&gt;0,H15/G15,""),"")</f>
        <v>0</v>
      </c>
      <c r="K15" s="77"/>
      <c r="L15" s="76" t="str">
        <f aca="false">IF(OR(G15="",H15=""),"Data tidak lengkap",IF(AND(G15=0,H15=0),IF(AND(F15="",K15=""),"Tidak dibuka","Tutup"),IF(H15&gt;G15,"Lebih kapasitas",IF(H15=G15,"Penuh",IF(H15=0,IF(F15="","Slot kosong","Belum terisi"),"Sebagian")))))</f>
        <v>Slot kosong</v>
      </c>
      <c r="M15" s="79" t="str">
        <f aca="false">IF(L15="Tidak dibuka","–",IF(F15="","(tanpa age group)",F15)&amp;"  "&amp;IF(H15="","?",H15)&amp;"/"&amp;IF(G15="","?",G15)&amp;CHAR(10)&amp;IF(K15="","coach: –","coach: "&amp;K15))</f>
        <v>(tanpa age group)  0/5
coach: –</v>
      </c>
    </row>
    <row r="16" customFormat="false" ht="22.35" hidden="false" customHeight="false" outlineLevel="0" collapsed="false">
      <c r="A16" s="76" t="str">
        <f aca="false">B16&amp;"|"&amp;C16&amp;"|"&amp;D16&amp;"|"&amp;E16</f>
        <v>KLM|1|Selasa|09:45</v>
      </c>
      <c r="B16" s="76" t="s">
        <v>61</v>
      </c>
      <c r="C16" s="76" t="n">
        <v>1</v>
      </c>
      <c r="D16" s="76" t="s">
        <v>91</v>
      </c>
      <c r="E16" s="76" t="s">
        <v>98</v>
      </c>
      <c r="F16" s="77"/>
      <c r="G16" s="77" t="n">
        <v>5</v>
      </c>
      <c r="H16" s="77" t="n">
        <v>0</v>
      </c>
      <c r="I16" s="76" t="n">
        <f aca="false">IF(AND(ISNUMBER(G16),ISNUMBER(H16)),MAX(G16-H16,0),"")</f>
        <v>5</v>
      </c>
      <c r="J16" s="78" t="n">
        <f aca="false">IF(AND(ISNUMBER(G16),ISNUMBER(H16)),IF(G16&gt;0,H16/G16,""),"")</f>
        <v>0</v>
      </c>
      <c r="K16" s="77"/>
      <c r="L16" s="76" t="str">
        <f aca="false">IF(OR(G16="",H16=""),"Data tidak lengkap",IF(AND(G16=0,H16=0),IF(AND(F16="",K16=""),"Tidak dibuka","Tutup"),IF(H16&gt;G16,"Lebih kapasitas",IF(H16=G16,"Penuh",IF(H16=0,IF(F16="","Slot kosong","Belum terisi"),"Sebagian")))))</f>
        <v>Slot kosong</v>
      </c>
      <c r="M16" s="79" t="str">
        <f aca="false">IF(L16="Tidak dibuka","–",IF(F16="","(tanpa age group)",F16)&amp;"  "&amp;IF(H16="","?",H16)&amp;"/"&amp;IF(G16="","?",G16)&amp;CHAR(10)&amp;IF(K16="","coach: –","coach: "&amp;K16))</f>
        <v>(tanpa age group)  0/5
coach: –</v>
      </c>
    </row>
    <row r="17" customFormat="false" ht="22.35" hidden="false" customHeight="false" outlineLevel="0" collapsed="false">
      <c r="A17" s="76" t="str">
        <f aca="false">B17&amp;"|"&amp;C17&amp;"|"&amp;D17&amp;"|"&amp;E17</f>
        <v>KLM|1|Selasa|10:30</v>
      </c>
      <c r="B17" s="76" t="s">
        <v>61</v>
      </c>
      <c r="C17" s="76" t="n">
        <v>1</v>
      </c>
      <c r="D17" s="76" t="s">
        <v>91</v>
      </c>
      <c r="E17" s="76" t="s">
        <v>99</v>
      </c>
      <c r="F17" s="77" t="s">
        <v>242</v>
      </c>
      <c r="G17" s="77" t="n">
        <v>5</v>
      </c>
      <c r="H17" s="77" t="n">
        <v>1</v>
      </c>
      <c r="I17" s="76" t="n">
        <f aca="false">IF(AND(ISNUMBER(G17),ISNUMBER(H17)),MAX(G17-H17,0),"")</f>
        <v>4</v>
      </c>
      <c r="J17" s="78" t="n">
        <f aca="false">IF(AND(ISNUMBER(G17),ISNUMBER(H17)),IF(G17&gt;0,H17/G17,""),"")</f>
        <v>0.2</v>
      </c>
      <c r="K17" s="77" t="s">
        <v>200</v>
      </c>
      <c r="L17" s="76" t="str">
        <f aca="false">IF(OR(G17="",H17=""),"Data tidak lengkap",IF(AND(G17=0,H17=0),IF(AND(F17="",K17=""),"Tidak dibuka","Tutup"),IF(H17&gt;G17,"Lebih kapasitas",IF(H17=G17,"Penuh",IF(H17=0,IF(F17="","Slot kosong","Belum terisi"),"Sebagian")))))</f>
        <v>Sebagian</v>
      </c>
      <c r="M17" s="79" t="str">
        <f aca="false">IF(L17="Tidak dibuka","–",IF(F17="","(tanpa age group)",F17)&amp;"  "&amp;IF(H17="","?",H17)&amp;"/"&amp;IF(G17="","?",G17)&amp;CHAR(10)&amp;IF(K17="","coach: –","coach: "&amp;K17))</f>
        <v>Baby  1/5
coach: Zidane</v>
      </c>
    </row>
    <row r="18" customFormat="false" ht="22.35" hidden="false" customHeight="false" outlineLevel="0" collapsed="false">
      <c r="A18" s="76" t="str">
        <f aca="false">B18&amp;"|"&amp;C18&amp;"|"&amp;D18&amp;"|"&amp;E18</f>
        <v>KLM|1|Selasa|11:15</v>
      </c>
      <c r="B18" s="76" t="s">
        <v>61</v>
      </c>
      <c r="C18" s="76" t="n">
        <v>1</v>
      </c>
      <c r="D18" s="76" t="s">
        <v>91</v>
      </c>
      <c r="E18" s="76" t="s">
        <v>100</v>
      </c>
      <c r="F18" s="77" t="s">
        <v>242</v>
      </c>
      <c r="G18" s="77" t="n">
        <v>5</v>
      </c>
      <c r="H18" s="77" t="n">
        <v>2</v>
      </c>
      <c r="I18" s="76" t="n">
        <f aca="false">IF(AND(ISNUMBER(G18),ISNUMBER(H18)),MAX(G18-H18,0),"")</f>
        <v>3</v>
      </c>
      <c r="J18" s="78" t="n">
        <f aca="false">IF(AND(ISNUMBER(G18),ISNUMBER(H18)),IF(G18&gt;0,H18/G18,""),"")</f>
        <v>0.4</v>
      </c>
      <c r="K18" s="77" t="s">
        <v>200</v>
      </c>
      <c r="L18" s="76" t="str">
        <f aca="false">IF(OR(G18="",H18=""),"Data tidak lengkap",IF(AND(G18=0,H18=0),IF(AND(F18="",K18=""),"Tidak dibuka","Tutup"),IF(H18&gt;G18,"Lebih kapasitas",IF(H18=G18,"Penuh",IF(H18=0,IF(F18="","Slot kosong","Belum terisi"),"Sebagian")))))</f>
        <v>Sebagian</v>
      </c>
      <c r="M18" s="79" t="str">
        <f aca="false">IF(L18="Tidak dibuka","–",IF(F18="","(tanpa age group)",F18)&amp;"  "&amp;IF(H18="","?",H18)&amp;"/"&amp;IF(G18="","?",G18)&amp;CHAR(10)&amp;IF(K18="","coach: –","coach: "&amp;K18))</f>
        <v>Baby  2/5
coach: Zidane</v>
      </c>
    </row>
    <row r="19" customFormat="false" ht="15" hidden="false" customHeight="false" outlineLevel="0" collapsed="false">
      <c r="A19" s="76" t="str">
        <f aca="false">B19&amp;"|"&amp;C19&amp;"|"&amp;D19&amp;"|"&amp;E19</f>
        <v>KLM|1|Selasa|12:00</v>
      </c>
      <c r="B19" s="76" t="s">
        <v>61</v>
      </c>
      <c r="C19" s="76" t="n">
        <v>1</v>
      </c>
      <c r="D19" s="76" t="s">
        <v>91</v>
      </c>
      <c r="E19" s="76" t="s">
        <v>101</v>
      </c>
      <c r="F19" s="77"/>
      <c r="G19" s="77" t="n">
        <v>0</v>
      </c>
      <c r="H19" s="77" t="n">
        <v>0</v>
      </c>
      <c r="I19" s="76" t="n">
        <f aca="false">IF(AND(ISNUMBER(G19),ISNUMBER(H19)),MAX(G19-H19,0),"")</f>
        <v>0</v>
      </c>
      <c r="J19" s="78" t="str">
        <f aca="false">IF(AND(ISNUMBER(G19),ISNUMBER(H19)),IF(G19&gt;0,H19/G19,""),"")</f>
        <v/>
      </c>
      <c r="K19" s="77"/>
      <c r="L19" s="76" t="str">
        <f aca="false">IF(OR(G19="",H19=""),"Data tidak lengkap",IF(AND(G19=0,H19=0),IF(AND(F19="",K19=""),"Tidak dibuka","Tutup"),IF(H19&gt;G19,"Lebih kapasitas",IF(H19=G19,"Penuh",IF(H19=0,IF(F19="","Slot kosong","Belum terisi"),"Sebagian")))))</f>
        <v>Tidak dibuka</v>
      </c>
      <c r="M19" s="76" t="str">
        <f aca="false">IF(L19="Tidak dibuka","–",IF(F19="","(tanpa age group)",F19)&amp;"  "&amp;IF(H19="","?",H19)&amp;"/"&amp;IF(G19="","?",G19)&amp;CHAR(10)&amp;IF(K19="","coach: –","coach: "&amp;K19))</f>
        <v>–</v>
      </c>
    </row>
    <row r="20" customFormat="false" ht="22.35" hidden="false" customHeight="false" outlineLevel="0" collapsed="false">
      <c r="A20" s="76" t="str">
        <f aca="false">B20&amp;"|"&amp;C20&amp;"|"&amp;D20&amp;"|"&amp;E20</f>
        <v>KLM|1|Selasa|13:30</v>
      </c>
      <c r="B20" s="76" t="s">
        <v>61</v>
      </c>
      <c r="C20" s="76" t="n">
        <v>1</v>
      </c>
      <c r="D20" s="76" t="s">
        <v>91</v>
      </c>
      <c r="E20" s="76" t="s">
        <v>102</v>
      </c>
      <c r="F20" s="77"/>
      <c r="G20" s="77" t="n">
        <v>5</v>
      </c>
      <c r="H20" s="77" t="n">
        <v>0</v>
      </c>
      <c r="I20" s="76" t="n">
        <f aca="false">IF(AND(ISNUMBER(G20),ISNUMBER(H20)),MAX(G20-H20,0),"")</f>
        <v>5</v>
      </c>
      <c r="J20" s="78" t="n">
        <f aca="false">IF(AND(ISNUMBER(G20),ISNUMBER(H20)),IF(G20&gt;0,H20/G20,""),"")</f>
        <v>0</v>
      </c>
      <c r="K20" s="77"/>
      <c r="L20" s="76" t="str">
        <f aca="false">IF(OR(G20="",H20=""),"Data tidak lengkap",IF(AND(G20=0,H20=0),IF(AND(F20="",K20=""),"Tidak dibuka","Tutup"),IF(H20&gt;G20,"Lebih kapasitas",IF(H20=G20,"Penuh",IF(H20=0,IF(F20="","Slot kosong","Belum terisi"),"Sebagian")))))</f>
        <v>Slot kosong</v>
      </c>
      <c r="M20" s="79" t="str">
        <f aca="false">IF(L20="Tidak dibuka","–",IF(F20="","(tanpa age group)",F20)&amp;"  "&amp;IF(H20="","?",H20)&amp;"/"&amp;IF(G20="","?",G20)&amp;CHAR(10)&amp;IF(K20="","coach: –","coach: "&amp;K20))</f>
        <v>(tanpa age group)  0/5
coach: –</v>
      </c>
    </row>
    <row r="21" customFormat="false" ht="22.35" hidden="false" customHeight="false" outlineLevel="0" collapsed="false">
      <c r="A21" s="76" t="str">
        <f aca="false">B21&amp;"|"&amp;C21&amp;"|"&amp;D21&amp;"|"&amp;E21</f>
        <v>KLM|1|Selasa|14:15</v>
      </c>
      <c r="B21" s="76" t="s">
        <v>61</v>
      </c>
      <c r="C21" s="76" t="n">
        <v>1</v>
      </c>
      <c r="D21" s="76" t="s">
        <v>91</v>
      </c>
      <c r="E21" s="76" t="s">
        <v>103</v>
      </c>
      <c r="F21" s="77"/>
      <c r="G21" s="77" t="n">
        <v>5</v>
      </c>
      <c r="H21" s="77" t="n">
        <v>0</v>
      </c>
      <c r="I21" s="76" t="n">
        <f aca="false">IF(AND(ISNUMBER(G21),ISNUMBER(H21)),MAX(G21-H21,0),"")</f>
        <v>5</v>
      </c>
      <c r="J21" s="78" t="n">
        <f aca="false">IF(AND(ISNUMBER(G21),ISNUMBER(H21)),IF(G21&gt;0,H21/G21,""),"")</f>
        <v>0</v>
      </c>
      <c r="K21" s="77"/>
      <c r="L21" s="76" t="str">
        <f aca="false">IF(OR(G21="",H21=""),"Data tidak lengkap",IF(AND(G21=0,H21=0),IF(AND(F21="",K21=""),"Tidak dibuka","Tutup"),IF(H21&gt;G21,"Lebih kapasitas",IF(H21=G21,"Penuh",IF(H21=0,IF(F21="","Slot kosong","Belum terisi"),"Sebagian")))))</f>
        <v>Slot kosong</v>
      </c>
      <c r="M21" s="79" t="str">
        <f aca="false">IF(L21="Tidak dibuka","–",IF(F21="","(tanpa age group)",F21)&amp;"  "&amp;IF(H21="","?",H21)&amp;"/"&amp;IF(G21="","?",G21)&amp;CHAR(10)&amp;IF(K21="","coach: –","coach: "&amp;K21))</f>
        <v>(tanpa age group)  0/5
coach: –</v>
      </c>
    </row>
    <row r="22" customFormat="false" ht="22.35" hidden="false" customHeight="false" outlineLevel="0" collapsed="false">
      <c r="A22" s="76" t="str">
        <f aca="false">B22&amp;"|"&amp;C22&amp;"|"&amp;D22&amp;"|"&amp;E22</f>
        <v>KLM|1|Selasa|15:00</v>
      </c>
      <c r="B22" s="76" t="s">
        <v>61</v>
      </c>
      <c r="C22" s="76" t="n">
        <v>1</v>
      </c>
      <c r="D22" s="76" t="s">
        <v>91</v>
      </c>
      <c r="E22" s="76" t="s">
        <v>104</v>
      </c>
      <c r="F22" s="77" t="s">
        <v>210</v>
      </c>
      <c r="G22" s="77" t="n">
        <v>0</v>
      </c>
      <c r="H22" s="77" t="n">
        <v>4</v>
      </c>
      <c r="I22" s="76" t="n">
        <f aca="false">IF(AND(ISNUMBER(G22),ISNUMBER(H22)),MAX(G22-H22,0),"")</f>
        <v>0</v>
      </c>
      <c r="J22" s="78" t="str">
        <f aca="false">IF(AND(ISNUMBER(G22),ISNUMBER(H22)),IF(G22&gt;0,H22/G22,""),"")</f>
        <v/>
      </c>
      <c r="K22" s="77" t="s">
        <v>205</v>
      </c>
      <c r="L22" s="76" t="str">
        <f aca="false">IF(OR(G22="",H22=""),"Data tidak lengkap",IF(AND(G22=0,H22=0),IF(AND(F22="",K22=""),"Tidak dibuka","Tutup"),IF(H22&gt;G22,"Lebih kapasitas",IF(H22=G22,"Penuh",IF(H22=0,IF(F22="","Slot kosong","Belum terisi"),"Sebagian")))))</f>
        <v>Lebih kapasitas</v>
      </c>
      <c r="M22" s="79" t="str">
        <f aca="false">IF(L22="Tidak dibuka","–",IF(F22="","(tanpa age group)",F22)&amp;"  "&amp;IF(H22="","?",H22)&amp;"/"&amp;IF(G22="","?",G22)&amp;CHAR(10)&amp;IF(K22="","coach: –","coach: "&amp;K22))</f>
        <v>Kids  4/0
coach: Tessa</v>
      </c>
    </row>
    <row r="23" customFormat="false" ht="15" hidden="false" customHeight="false" outlineLevel="0" collapsed="false">
      <c r="A23" s="76" t="str">
        <f aca="false">B23&amp;"|"&amp;C23&amp;"|"&amp;D23&amp;"|"&amp;E23</f>
        <v>KLM|1|Selasa|15:45</v>
      </c>
      <c r="B23" s="76" t="s">
        <v>61</v>
      </c>
      <c r="C23" s="76" t="n">
        <v>1</v>
      </c>
      <c r="D23" s="76" t="s">
        <v>91</v>
      </c>
      <c r="E23" s="76" t="s">
        <v>105</v>
      </c>
      <c r="F23" s="77"/>
      <c r="G23" s="77" t="n">
        <v>0</v>
      </c>
      <c r="H23" s="77" t="n">
        <v>0</v>
      </c>
      <c r="I23" s="76" t="n">
        <f aca="false">IF(AND(ISNUMBER(G23),ISNUMBER(H23)),MAX(G23-H23,0),"")</f>
        <v>0</v>
      </c>
      <c r="J23" s="78" t="str">
        <f aca="false">IF(AND(ISNUMBER(G23),ISNUMBER(H23)),IF(G23&gt;0,H23/G23,""),"")</f>
        <v/>
      </c>
      <c r="K23" s="77"/>
      <c r="L23" s="76" t="str">
        <f aca="false">IF(OR(G23="",H23=""),"Data tidak lengkap",IF(AND(G23=0,H23=0),IF(AND(F23="",K23=""),"Tidak dibuka","Tutup"),IF(H23&gt;G23,"Lebih kapasitas",IF(H23=G23,"Penuh",IF(H23=0,IF(F23="","Slot kosong","Belum terisi"),"Sebagian")))))</f>
        <v>Tidak dibuka</v>
      </c>
      <c r="M23" s="76" t="str">
        <f aca="false">IF(L23="Tidak dibuka","–",IF(F23="","(tanpa age group)",F23)&amp;"  "&amp;IF(H23="","?",H23)&amp;"/"&amp;IF(G23="","?",G23)&amp;CHAR(10)&amp;IF(K23="","coach: –","coach: "&amp;K23))</f>
        <v>–</v>
      </c>
    </row>
    <row r="24" customFormat="false" ht="22.35" hidden="false" customHeight="false" outlineLevel="0" collapsed="false">
      <c r="A24" s="76" t="str">
        <f aca="false">B24&amp;"|"&amp;C24&amp;"|"&amp;D24&amp;"|"&amp;E24</f>
        <v>KLM|1|Selasa|16:30</v>
      </c>
      <c r="B24" s="76" t="s">
        <v>61</v>
      </c>
      <c r="C24" s="76" t="n">
        <v>1</v>
      </c>
      <c r="D24" s="76" t="s">
        <v>91</v>
      </c>
      <c r="E24" s="76" t="s">
        <v>106</v>
      </c>
      <c r="F24" s="77"/>
      <c r="G24" s="77" t="n">
        <v>5</v>
      </c>
      <c r="H24" s="77" t="n">
        <v>0</v>
      </c>
      <c r="I24" s="76" t="n">
        <f aca="false">IF(AND(ISNUMBER(G24),ISNUMBER(H24)),MAX(G24-H24,0),"")</f>
        <v>5</v>
      </c>
      <c r="J24" s="78" t="n">
        <f aca="false">IF(AND(ISNUMBER(G24),ISNUMBER(H24)),IF(G24&gt;0,H24/G24,""),"")</f>
        <v>0</v>
      </c>
      <c r="K24" s="77"/>
      <c r="L24" s="76" t="str">
        <f aca="false">IF(OR(G24="",H24=""),"Data tidak lengkap",IF(AND(G24=0,H24=0),IF(AND(F24="",K24=""),"Tidak dibuka","Tutup"),IF(H24&gt;G24,"Lebih kapasitas",IF(H24=G24,"Penuh",IF(H24=0,IF(F24="","Slot kosong","Belum terisi"),"Sebagian")))))</f>
        <v>Slot kosong</v>
      </c>
      <c r="M24" s="79" t="str">
        <f aca="false">IF(L24="Tidak dibuka","–",IF(F24="","(tanpa age group)",F24)&amp;"  "&amp;IF(H24="","?",H24)&amp;"/"&amp;IF(G24="","?",G24)&amp;CHAR(10)&amp;IF(K24="","coach: –","coach: "&amp;K24))</f>
        <v>(tanpa age group)  0/5
coach: –</v>
      </c>
    </row>
    <row r="25" customFormat="false" ht="22.35" hidden="false" customHeight="false" outlineLevel="0" collapsed="false">
      <c r="A25" s="76" t="str">
        <f aca="false">B25&amp;"|"&amp;C25&amp;"|"&amp;D25&amp;"|"&amp;E25</f>
        <v>KLM|1|Selasa|17:15</v>
      </c>
      <c r="B25" s="76" t="s">
        <v>61</v>
      </c>
      <c r="C25" s="76" t="n">
        <v>1</v>
      </c>
      <c r="D25" s="76" t="s">
        <v>91</v>
      </c>
      <c r="E25" s="76" t="s">
        <v>107</v>
      </c>
      <c r="F25" s="77" t="s">
        <v>242</v>
      </c>
      <c r="G25" s="77" t="n">
        <v>5</v>
      </c>
      <c r="H25" s="77" t="n">
        <v>4</v>
      </c>
      <c r="I25" s="76" t="n">
        <f aca="false">IF(AND(ISNUMBER(G25),ISNUMBER(H25)),MAX(G25-H25,0),"")</f>
        <v>1</v>
      </c>
      <c r="J25" s="78" t="n">
        <f aca="false">IF(AND(ISNUMBER(G25),ISNUMBER(H25)),IF(G25&gt;0,H25/G25,""),"")</f>
        <v>0.8</v>
      </c>
      <c r="K25" s="77" t="s">
        <v>44</v>
      </c>
      <c r="L25" s="76" t="str">
        <f aca="false">IF(OR(G25="",H25=""),"Data tidak lengkap",IF(AND(G25=0,H25=0),IF(AND(F25="",K25=""),"Tidak dibuka","Tutup"),IF(H25&gt;G25,"Lebih kapasitas",IF(H25=G25,"Penuh",IF(H25=0,IF(F25="","Slot kosong","Belum terisi"),"Sebagian")))))</f>
        <v>Sebagian</v>
      </c>
      <c r="M25" s="79" t="str">
        <f aca="false">IF(L25="Tidak dibuka","–",IF(F25="","(tanpa age group)",F25)&amp;"  "&amp;IF(H25="","?",H25)&amp;"/"&amp;IF(G25="","?",G25)&amp;CHAR(10)&amp;IF(K25="","coach: –","coach: "&amp;K25))</f>
        <v>Baby  4/5
coach: Danti</v>
      </c>
    </row>
    <row r="26" customFormat="false" ht="15" hidden="false" customHeight="false" outlineLevel="0" collapsed="false">
      <c r="A26" s="76" t="str">
        <f aca="false">B26&amp;"|"&amp;C26&amp;"|"&amp;D26&amp;"|"&amp;E26</f>
        <v>KLM|1|Rabu|08:15</v>
      </c>
      <c r="B26" s="76" t="s">
        <v>61</v>
      </c>
      <c r="C26" s="76" t="n">
        <v>1</v>
      </c>
      <c r="D26" s="76" t="s">
        <v>92</v>
      </c>
      <c r="E26" s="76" t="s">
        <v>96</v>
      </c>
      <c r="F26" s="77"/>
      <c r="G26" s="77" t="n">
        <v>0</v>
      </c>
      <c r="H26" s="77" t="n">
        <v>0</v>
      </c>
      <c r="I26" s="76" t="n">
        <f aca="false">IF(AND(ISNUMBER(G26),ISNUMBER(H26)),MAX(G26-H26,0),"")</f>
        <v>0</v>
      </c>
      <c r="J26" s="78" t="str">
        <f aca="false">IF(AND(ISNUMBER(G26),ISNUMBER(H26)),IF(G26&gt;0,H26/G26,""),"")</f>
        <v/>
      </c>
      <c r="K26" s="77"/>
      <c r="L26" s="76" t="str">
        <f aca="false">IF(OR(G26="",H26=""),"Data tidak lengkap",IF(AND(G26=0,H26=0),IF(AND(F26="",K26=""),"Tidak dibuka","Tutup"),IF(H26&gt;G26,"Lebih kapasitas",IF(H26=G26,"Penuh",IF(H26=0,IF(F26="","Slot kosong","Belum terisi"),"Sebagian")))))</f>
        <v>Tidak dibuka</v>
      </c>
      <c r="M26" s="76" t="str">
        <f aca="false">IF(L26="Tidak dibuka","–",IF(F26="","(tanpa age group)",F26)&amp;"  "&amp;IF(H26="","?",H26)&amp;"/"&amp;IF(G26="","?",G26)&amp;CHAR(10)&amp;IF(K26="","coach: –","coach: "&amp;K26))</f>
        <v>–</v>
      </c>
    </row>
    <row r="27" customFormat="false" ht="22.35" hidden="false" customHeight="false" outlineLevel="0" collapsed="false">
      <c r="A27" s="76" t="str">
        <f aca="false">B27&amp;"|"&amp;C27&amp;"|"&amp;D27&amp;"|"&amp;E27</f>
        <v>KLM|1|Rabu|09:00</v>
      </c>
      <c r="B27" s="76" t="s">
        <v>61</v>
      </c>
      <c r="C27" s="76" t="n">
        <v>1</v>
      </c>
      <c r="D27" s="76" t="s">
        <v>92</v>
      </c>
      <c r="E27" s="76" t="s">
        <v>97</v>
      </c>
      <c r="F27" s="77" t="s">
        <v>242</v>
      </c>
      <c r="G27" s="77" t="n">
        <v>5</v>
      </c>
      <c r="H27" s="77" t="n">
        <v>5</v>
      </c>
      <c r="I27" s="76" t="n">
        <f aca="false">IF(AND(ISNUMBER(G27),ISNUMBER(H27)),MAX(G27-H27,0),"")</f>
        <v>0</v>
      </c>
      <c r="J27" s="78" t="n">
        <f aca="false">IF(AND(ISNUMBER(G27),ISNUMBER(H27)),IF(G27&gt;0,H27/G27,""),"")</f>
        <v>1</v>
      </c>
      <c r="K27" s="77" t="s">
        <v>201</v>
      </c>
      <c r="L27" s="76" t="str">
        <f aca="false">IF(OR(G27="",H27=""),"Data tidak lengkap",IF(AND(G27=0,H27=0),IF(AND(F27="",K27=""),"Tidak dibuka","Tutup"),IF(H27&gt;G27,"Lebih kapasitas",IF(H27=G27,"Penuh",IF(H27=0,IF(F27="","Slot kosong","Belum terisi"),"Sebagian")))))</f>
        <v>Penuh</v>
      </c>
      <c r="M27" s="79" t="str">
        <f aca="false">IF(L27="Tidak dibuka","–",IF(F27="","(tanpa age group)",F27)&amp;"  "&amp;IF(H27="","?",H27)&amp;"/"&amp;IF(G27="","?",G27)&amp;CHAR(10)&amp;IF(K27="","coach: –","coach: "&amp;K27))</f>
        <v>Baby  5/5
coach: Nuky</v>
      </c>
    </row>
    <row r="28" customFormat="false" ht="22.35" hidden="false" customHeight="false" outlineLevel="0" collapsed="false">
      <c r="A28" s="76" t="str">
        <f aca="false">B28&amp;"|"&amp;C28&amp;"|"&amp;D28&amp;"|"&amp;E28</f>
        <v>KLM|1|Rabu|09:45</v>
      </c>
      <c r="B28" s="76" t="s">
        <v>61</v>
      </c>
      <c r="C28" s="76" t="n">
        <v>1</v>
      </c>
      <c r="D28" s="76" t="s">
        <v>92</v>
      </c>
      <c r="E28" s="76" t="s">
        <v>98</v>
      </c>
      <c r="F28" s="77"/>
      <c r="G28" s="77" t="n">
        <v>5</v>
      </c>
      <c r="H28" s="77" t="n">
        <v>0</v>
      </c>
      <c r="I28" s="76" t="n">
        <f aca="false">IF(AND(ISNUMBER(G28),ISNUMBER(H28)),MAX(G28-H28,0),"")</f>
        <v>5</v>
      </c>
      <c r="J28" s="78" t="n">
        <f aca="false">IF(AND(ISNUMBER(G28),ISNUMBER(H28)),IF(G28&gt;0,H28/G28,""),"")</f>
        <v>0</v>
      </c>
      <c r="K28" s="77"/>
      <c r="L28" s="76" t="str">
        <f aca="false">IF(OR(G28="",H28=""),"Data tidak lengkap",IF(AND(G28=0,H28=0),IF(AND(F28="",K28=""),"Tidak dibuka","Tutup"),IF(H28&gt;G28,"Lebih kapasitas",IF(H28=G28,"Penuh",IF(H28=0,IF(F28="","Slot kosong","Belum terisi"),"Sebagian")))))</f>
        <v>Slot kosong</v>
      </c>
      <c r="M28" s="79" t="str">
        <f aca="false">IF(L28="Tidak dibuka","–",IF(F28="","(tanpa age group)",F28)&amp;"  "&amp;IF(H28="","?",H28)&amp;"/"&amp;IF(G28="","?",G28)&amp;CHAR(10)&amp;IF(K28="","coach: –","coach: "&amp;K28))</f>
        <v>(tanpa age group)  0/5
coach: –</v>
      </c>
    </row>
    <row r="29" customFormat="false" ht="22.35" hidden="false" customHeight="false" outlineLevel="0" collapsed="false">
      <c r="A29" s="76" t="str">
        <f aca="false">B29&amp;"|"&amp;C29&amp;"|"&amp;D29&amp;"|"&amp;E29</f>
        <v>KLM|1|Rabu|10:30</v>
      </c>
      <c r="B29" s="76" t="s">
        <v>61</v>
      </c>
      <c r="C29" s="76" t="n">
        <v>1</v>
      </c>
      <c r="D29" s="76" t="s">
        <v>92</v>
      </c>
      <c r="E29" s="76" t="s">
        <v>99</v>
      </c>
      <c r="F29" s="77"/>
      <c r="G29" s="77" t="n">
        <v>5</v>
      </c>
      <c r="H29" s="77" t="n">
        <v>0</v>
      </c>
      <c r="I29" s="76" t="n">
        <f aca="false">IF(AND(ISNUMBER(G29),ISNUMBER(H29)),MAX(G29-H29,0),"")</f>
        <v>5</v>
      </c>
      <c r="J29" s="78" t="n">
        <f aca="false">IF(AND(ISNUMBER(G29),ISNUMBER(H29)),IF(G29&gt;0,H29/G29,""),"")</f>
        <v>0</v>
      </c>
      <c r="K29" s="77"/>
      <c r="L29" s="76" t="str">
        <f aca="false">IF(OR(G29="",H29=""),"Data tidak lengkap",IF(AND(G29=0,H29=0),IF(AND(F29="",K29=""),"Tidak dibuka","Tutup"),IF(H29&gt;G29,"Lebih kapasitas",IF(H29=G29,"Penuh",IF(H29=0,IF(F29="","Slot kosong","Belum terisi"),"Sebagian")))))</f>
        <v>Slot kosong</v>
      </c>
      <c r="M29" s="79" t="str">
        <f aca="false">IF(L29="Tidak dibuka","–",IF(F29="","(tanpa age group)",F29)&amp;"  "&amp;IF(H29="","?",H29)&amp;"/"&amp;IF(G29="","?",G29)&amp;CHAR(10)&amp;IF(K29="","coach: –","coach: "&amp;K29))</f>
        <v>(tanpa age group)  0/5
coach: –</v>
      </c>
    </row>
    <row r="30" customFormat="false" ht="22.35" hidden="false" customHeight="false" outlineLevel="0" collapsed="false">
      <c r="A30" s="76" t="str">
        <f aca="false">B30&amp;"|"&amp;C30&amp;"|"&amp;D30&amp;"|"&amp;E30</f>
        <v>KLM|1|Rabu|11:15</v>
      </c>
      <c r="B30" s="76" t="s">
        <v>61</v>
      </c>
      <c r="C30" s="76" t="n">
        <v>1</v>
      </c>
      <c r="D30" s="76" t="s">
        <v>92</v>
      </c>
      <c r="E30" s="76" t="s">
        <v>100</v>
      </c>
      <c r="F30" s="77" t="s">
        <v>242</v>
      </c>
      <c r="G30" s="77" t="n">
        <v>5</v>
      </c>
      <c r="H30" s="77" t="n">
        <v>2</v>
      </c>
      <c r="I30" s="76" t="n">
        <f aca="false">IF(AND(ISNUMBER(G30),ISNUMBER(H30)),MAX(G30-H30,0),"")</f>
        <v>3</v>
      </c>
      <c r="J30" s="78" t="n">
        <f aca="false">IF(AND(ISNUMBER(G30),ISNUMBER(H30)),IF(G30&gt;0,H30/G30,""),"")</f>
        <v>0.4</v>
      </c>
      <c r="K30" s="77" t="s">
        <v>201</v>
      </c>
      <c r="L30" s="76" t="str">
        <f aca="false">IF(OR(G30="",H30=""),"Data tidak lengkap",IF(AND(G30=0,H30=0),IF(AND(F30="",K30=""),"Tidak dibuka","Tutup"),IF(H30&gt;G30,"Lebih kapasitas",IF(H30=G30,"Penuh",IF(H30=0,IF(F30="","Slot kosong","Belum terisi"),"Sebagian")))))</f>
        <v>Sebagian</v>
      </c>
      <c r="M30" s="79" t="str">
        <f aca="false">IF(L30="Tidak dibuka","–",IF(F30="","(tanpa age group)",F30)&amp;"  "&amp;IF(H30="","?",H30)&amp;"/"&amp;IF(G30="","?",G30)&amp;CHAR(10)&amp;IF(K30="","coach: –","coach: "&amp;K30))</f>
        <v>Baby  2/5
coach: Nuky</v>
      </c>
    </row>
    <row r="31" customFormat="false" ht="15" hidden="false" customHeight="false" outlineLevel="0" collapsed="false">
      <c r="A31" s="76" t="str">
        <f aca="false">B31&amp;"|"&amp;C31&amp;"|"&amp;D31&amp;"|"&amp;E31</f>
        <v>KLM|1|Rabu|12:00</v>
      </c>
      <c r="B31" s="76" t="s">
        <v>61</v>
      </c>
      <c r="C31" s="76" t="n">
        <v>1</v>
      </c>
      <c r="D31" s="76" t="s">
        <v>92</v>
      </c>
      <c r="E31" s="76" t="s">
        <v>101</v>
      </c>
      <c r="F31" s="77"/>
      <c r="G31" s="77" t="n">
        <v>0</v>
      </c>
      <c r="H31" s="77" t="n">
        <v>0</v>
      </c>
      <c r="I31" s="76" t="n">
        <f aca="false">IF(AND(ISNUMBER(G31),ISNUMBER(H31)),MAX(G31-H31,0),"")</f>
        <v>0</v>
      </c>
      <c r="J31" s="78" t="str">
        <f aca="false">IF(AND(ISNUMBER(G31),ISNUMBER(H31)),IF(G31&gt;0,H31/G31,""),"")</f>
        <v/>
      </c>
      <c r="K31" s="77"/>
      <c r="L31" s="76" t="str">
        <f aca="false">IF(OR(G31="",H31=""),"Data tidak lengkap",IF(AND(G31=0,H31=0),IF(AND(F31="",K31=""),"Tidak dibuka","Tutup"),IF(H31&gt;G31,"Lebih kapasitas",IF(H31=G31,"Penuh",IF(H31=0,IF(F31="","Slot kosong","Belum terisi"),"Sebagian")))))</f>
        <v>Tidak dibuka</v>
      </c>
      <c r="M31" s="76" t="str">
        <f aca="false">IF(L31="Tidak dibuka","–",IF(F31="","(tanpa age group)",F31)&amp;"  "&amp;IF(H31="","?",H31)&amp;"/"&amp;IF(G31="","?",G31)&amp;CHAR(10)&amp;IF(K31="","coach: –","coach: "&amp;K31))</f>
        <v>–</v>
      </c>
    </row>
    <row r="32" customFormat="false" ht="22.35" hidden="false" customHeight="false" outlineLevel="0" collapsed="false">
      <c r="A32" s="76" t="str">
        <f aca="false">B32&amp;"|"&amp;C32&amp;"|"&amp;D32&amp;"|"&amp;E32</f>
        <v>KLM|1|Rabu|13:30</v>
      </c>
      <c r="B32" s="76" t="s">
        <v>61</v>
      </c>
      <c r="C32" s="76" t="n">
        <v>1</v>
      </c>
      <c r="D32" s="76" t="s">
        <v>92</v>
      </c>
      <c r="E32" s="76" t="s">
        <v>102</v>
      </c>
      <c r="F32" s="77" t="s">
        <v>242</v>
      </c>
      <c r="G32" s="77" t="n">
        <v>5</v>
      </c>
      <c r="H32" s="77" t="n">
        <v>0</v>
      </c>
      <c r="I32" s="76" t="n">
        <f aca="false">IF(AND(ISNUMBER(G32),ISNUMBER(H32)),MAX(G32-H32,0),"")</f>
        <v>5</v>
      </c>
      <c r="J32" s="78" t="n">
        <f aca="false">IF(AND(ISNUMBER(G32),ISNUMBER(H32)),IF(G32&gt;0,H32/G32,""),"")</f>
        <v>0</v>
      </c>
      <c r="K32" s="77"/>
      <c r="L32" s="76" t="str">
        <f aca="false">IF(OR(G32="",H32=""),"Data tidak lengkap",IF(AND(G32=0,H32=0),IF(AND(F32="",K32=""),"Tidak dibuka","Tutup"),IF(H32&gt;G32,"Lebih kapasitas",IF(H32=G32,"Penuh",IF(H32=0,IF(F32="","Slot kosong","Belum terisi"),"Sebagian")))))</f>
        <v>Belum terisi</v>
      </c>
      <c r="M32" s="79" t="str">
        <f aca="false">IF(L32="Tidak dibuka","–",IF(F32="","(tanpa age group)",F32)&amp;"  "&amp;IF(H32="","?",H32)&amp;"/"&amp;IF(G32="","?",G32)&amp;CHAR(10)&amp;IF(K32="","coach: –","coach: "&amp;K32))</f>
        <v>Baby  0/5
coach: –</v>
      </c>
    </row>
    <row r="33" customFormat="false" ht="22.35" hidden="false" customHeight="false" outlineLevel="0" collapsed="false">
      <c r="A33" s="76" t="str">
        <f aca="false">B33&amp;"|"&amp;C33&amp;"|"&amp;D33&amp;"|"&amp;E33</f>
        <v>KLM|1|Rabu|14:15</v>
      </c>
      <c r="B33" s="76" t="s">
        <v>61</v>
      </c>
      <c r="C33" s="76" t="n">
        <v>1</v>
      </c>
      <c r="D33" s="76" t="s">
        <v>92</v>
      </c>
      <c r="E33" s="76" t="s">
        <v>103</v>
      </c>
      <c r="F33" s="77"/>
      <c r="G33" s="77" t="n">
        <v>5</v>
      </c>
      <c r="H33" s="77" t="n">
        <v>0</v>
      </c>
      <c r="I33" s="76" t="n">
        <f aca="false">IF(AND(ISNUMBER(G33),ISNUMBER(H33)),MAX(G33-H33,0),"")</f>
        <v>5</v>
      </c>
      <c r="J33" s="78" t="n">
        <f aca="false">IF(AND(ISNUMBER(G33),ISNUMBER(H33)),IF(G33&gt;0,H33/G33,""),"")</f>
        <v>0</v>
      </c>
      <c r="K33" s="77"/>
      <c r="L33" s="76" t="str">
        <f aca="false">IF(OR(G33="",H33=""),"Data tidak lengkap",IF(AND(G33=0,H33=0),IF(AND(F33="",K33=""),"Tidak dibuka","Tutup"),IF(H33&gt;G33,"Lebih kapasitas",IF(H33=G33,"Penuh",IF(H33=0,IF(F33="","Slot kosong","Belum terisi"),"Sebagian")))))</f>
        <v>Slot kosong</v>
      </c>
      <c r="M33" s="79" t="str">
        <f aca="false">IF(L33="Tidak dibuka","–",IF(F33="","(tanpa age group)",F33)&amp;"  "&amp;IF(H33="","?",H33)&amp;"/"&amp;IF(G33="","?",G33)&amp;CHAR(10)&amp;IF(K33="","coach: –","coach: "&amp;K33))</f>
        <v>(tanpa age group)  0/5
coach: –</v>
      </c>
    </row>
    <row r="34" customFormat="false" ht="22.35" hidden="false" customHeight="false" outlineLevel="0" collapsed="false">
      <c r="A34" s="76" t="str">
        <f aca="false">B34&amp;"|"&amp;C34&amp;"|"&amp;D34&amp;"|"&amp;E34</f>
        <v>KLM|1|Rabu|15:00</v>
      </c>
      <c r="B34" s="76" t="s">
        <v>61</v>
      </c>
      <c r="C34" s="76" t="n">
        <v>1</v>
      </c>
      <c r="D34" s="76" t="s">
        <v>92</v>
      </c>
      <c r="E34" s="76" t="s">
        <v>104</v>
      </c>
      <c r="F34" s="77" t="s">
        <v>242</v>
      </c>
      <c r="G34" s="77" t="n">
        <v>0</v>
      </c>
      <c r="H34" s="77" t="n">
        <v>1</v>
      </c>
      <c r="I34" s="76" t="n">
        <f aca="false">IF(AND(ISNUMBER(G34),ISNUMBER(H34)),MAX(G34-H34,0),"")</f>
        <v>0</v>
      </c>
      <c r="J34" s="78" t="str">
        <f aca="false">IF(AND(ISNUMBER(G34),ISNUMBER(H34)),IF(G34&gt;0,H34/G34,""),"")</f>
        <v/>
      </c>
      <c r="K34" s="77" t="s">
        <v>200</v>
      </c>
      <c r="L34" s="76" t="str">
        <f aca="false">IF(OR(G34="",H34=""),"Data tidak lengkap",IF(AND(G34=0,H34=0),IF(AND(F34="",K34=""),"Tidak dibuka","Tutup"),IF(H34&gt;G34,"Lebih kapasitas",IF(H34=G34,"Penuh",IF(H34=0,IF(F34="","Slot kosong","Belum terisi"),"Sebagian")))))</f>
        <v>Lebih kapasitas</v>
      </c>
      <c r="M34" s="79" t="str">
        <f aca="false">IF(L34="Tidak dibuka","–",IF(F34="","(tanpa age group)",F34)&amp;"  "&amp;IF(H34="","?",H34)&amp;"/"&amp;IF(G34="","?",G34)&amp;CHAR(10)&amp;IF(K34="","coach: –","coach: "&amp;K34))</f>
        <v>Baby  1/0
coach: Zidane</v>
      </c>
    </row>
    <row r="35" customFormat="false" ht="22.35" hidden="false" customHeight="false" outlineLevel="0" collapsed="false">
      <c r="A35" s="76" t="str">
        <f aca="false">B35&amp;"|"&amp;C35&amp;"|"&amp;D35&amp;"|"&amp;E35</f>
        <v>KLM|1|Rabu|15:45</v>
      </c>
      <c r="B35" s="76" t="s">
        <v>61</v>
      </c>
      <c r="C35" s="76" t="n">
        <v>1</v>
      </c>
      <c r="D35" s="76" t="s">
        <v>92</v>
      </c>
      <c r="E35" s="76" t="s">
        <v>105</v>
      </c>
      <c r="F35" s="77" t="s">
        <v>277</v>
      </c>
      <c r="G35" s="77" t="n">
        <v>0</v>
      </c>
      <c r="H35" s="77" t="n">
        <v>3</v>
      </c>
      <c r="I35" s="76" t="n">
        <f aca="false">IF(AND(ISNUMBER(G35),ISNUMBER(H35)),MAX(G35-H35,0),"")</f>
        <v>0</v>
      </c>
      <c r="J35" s="78" t="str">
        <f aca="false">IF(AND(ISNUMBER(G35),ISNUMBER(H35)),IF(G35&gt;0,H35/G35,""),"")</f>
        <v/>
      </c>
      <c r="K35" s="77" t="s">
        <v>207</v>
      </c>
      <c r="L35" s="76" t="str">
        <f aca="false">IF(OR(G35="",H35=""),"Data tidak lengkap",IF(AND(G35=0,H35=0),IF(AND(F35="",K35=""),"Tidak dibuka","Tutup"),IF(H35&gt;G35,"Lebih kapasitas",IF(H35=G35,"Penuh",IF(H35=0,IF(F35="","Slot kosong","Belum terisi"),"Sebagian")))))</f>
        <v>Lebih kapasitas</v>
      </c>
      <c r="M35" s="79" t="str">
        <f aca="false">IF(L35="Tidak dibuka","–",IF(F35="","(tanpa age group)",F35)&amp;"  "&amp;IF(H35="","?",H35)&amp;"/"&amp;IF(G35="","?",G35)&amp;CHAR(10)&amp;IF(K35="","coach: –","coach: "&amp;K35))</f>
        <v>Little  3/0
coach: Gita</v>
      </c>
    </row>
    <row r="36" customFormat="false" ht="22.35" hidden="false" customHeight="false" outlineLevel="0" collapsed="false">
      <c r="A36" s="76" t="str">
        <f aca="false">B36&amp;"|"&amp;C36&amp;"|"&amp;D36&amp;"|"&amp;E36</f>
        <v>KLM|1|Rabu|16:30</v>
      </c>
      <c r="B36" s="76" t="s">
        <v>61</v>
      </c>
      <c r="C36" s="76" t="n">
        <v>1</v>
      </c>
      <c r="D36" s="76" t="s">
        <v>92</v>
      </c>
      <c r="E36" s="76" t="s">
        <v>106</v>
      </c>
      <c r="F36" s="77"/>
      <c r="G36" s="77" t="n">
        <v>5</v>
      </c>
      <c r="H36" s="77" t="n">
        <v>0</v>
      </c>
      <c r="I36" s="76" t="n">
        <f aca="false">IF(AND(ISNUMBER(G36),ISNUMBER(H36)),MAX(G36-H36,0),"")</f>
        <v>5</v>
      </c>
      <c r="J36" s="78" t="n">
        <f aca="false">IF(AND(ISNUMBER(G36),ISNUMBER(H36)),IF(G36&gt;0,H36/G36,""),"")</f>
        <v>0</v>
      </c>
      <c r="K36" s="77"/>
      <c r="L36" s="76" t="str">
        <f aca="false">IF(OR(G36="",H36=""),"Data tidak lengkap",IF(AND(G36=0,H36=0),IF(AND(F36="",K36=""),"Tidak dibuka","Tutup"),IF(H36&gt;G36,"Lebih kapasitas",IF(H36=G36,"Penuh",IF(H36=0,IF(F36="","Slot kosong","Belum terisi"),"Sebagian")))))</f>
        <v>Slot kosong</v>
      </c>
      <c r="M36" s="79" t="str">
        <f aca="false">IF(L36="Tidak dibuka","–",IF(F36="","(tanpa age group)",F36)&amp;"  "&amp;IF(H36="","?",H36)&amp;"/"&amp;IF(G36="","?",G36)&amp;CHAR(10)&amp;IF(K36="","coach: –","coach: "&amp;K36))</f>
        <v>(tanpa age group)  0/5
coach: –</v>
      </c>
    </row>
    <row r="37" customFormat="false" ht="22.35" hidden="false" customHeight="false" outlineLevel="0" collapsed="false">
      <c r="A37" s="76" t="str">
        <f aca="false">B37&amp;"|"&amp;C37&amp;"|"&amp;D37&amp;"|"&amp;E37</f>
        <v>KLM|1|Rabu|17:15</v>
      </c>
      <c r="B37" s="76" t="s">
        <v>61</v>
      </c>
      <c r="C37" s="76" t="n">
        <v>1</v>
      </c>
      <c r="D37" s="76" t="s">
        <v>92</v>
      </c>
      <c r="E37" s="76" t="s">
        <v>107</v>
      </c>
      <c r="F37" s="77"/>
      <c r="G37" s="77" t="n">
        <v>5</v>
      </c>
      <c r="H37" s="77" t="n">
        <v>0</v>
      </c>
      <c r="I37" s="76" t="n">
        <f aca="false">IF(AND(ISNUMBER(G37),ISNUMBER(H37)),MAX(G37-H37,0),"")</f>
        <v>5</v>
      </c>
      <c r="J37" s="78" t="n">
        <f aca="false">IF(AND(ISNUMBER(G37),ISNUMBER(H37)),IF(G37&gt;0,H37/G37,""),"")</f>
        <v>0</v>
      </c>
      <c r="K37" s="77"/>
      <c r="L37" s="76" t="str">
        <f aca="false">IF(OR(G37="",H37=""),"Data tidak lengkap",IF(AND(G37=0,H37=0),IF(AND(F37="",K37=""),"Tidak dibuka","Tutup"),IF(H37&gt;G37,"Lebih kapasitas",IF(H37=G37,"Penuh",IF(H37=0,IF(F37="","Slot kosong","Belum terisi"),"Sebagian")))))</f>
        <v>Slot kosong</v>
      </c>
      <c r="M37" s="79" t="str">
        <f aca="false">IF(L37="Tidak dibuka","–",IF(F37="","(tanpa age group)",F37)&amp;"  "&amp;IF(H37="","?",H37)&amp;"/"&amp;IF(G37="","?",G37)&amp;CHAR(10)&amp;IF(K37="","coach: –","coach: "&amp;K37))</f>
        <v>(tanpa age group)  0/5
coach: –</v>
      </c>
    </row>
    <row r="38" customFormat="false" ht="15" hidden="false" customHeight="false" outlineLevel="0" collapsed="false">
      <c r="A38" s="76" t="str">
        <f aca="false">B38&amp;"|"&amp;C38&amp;"|"&amp;D38&amp;"|"&amp;E38</f>
        <v>KLM|1|Kamis|08:15</v>
      </c>
      <c r="B38" s="76" t="s">
        <v>61</v>
      </c>
      <c r="C38" s="76" t="n">
        <v>1</v>
      </c>
      <c r="D38" s="76" t="s">
        <v>93</v>
      </c>
      <c r="E38" s="76" t="s">
        <v>96</v>
      </c>
      <c r="F38" s="77"/>
      <c r="G38" s="77" t="n">
        <v>0</v>
      </c>
      <c r="H38" s="77" t="n">
        <v>0</v>
      </c>
      <c r="I38" s="76" t="n">
        <f aca="false">IF(AND(ISNUMBER(G38),ISNUMBER(H38)),MAX(G38-H38,0),"")</f>
        <v>0</v>
      </c>
      <c r="J38" s="78" t="str">
        <f aca="false">IF(AND(ISNUMBER(G38),ISNUMBER(H38)),IF(G38&gt;0,H38/G38,""),"")</f>
        <v/>
      </c>
      <c r="K38" s="77"/>
      <c r="L38" s="76" t="str">
        <f aca="false">IF(OR(G38="",H38=""),"Data tidak lengkap",IF(AND(G38=0,H38=0),IF(AND(F38="",K38=""),"Tidak dibuka","Tutup"),IF(H38&gt;G38,"Lebih kapasitas",IF(H38=G38,"Penuh",IF(H38=0,IF(F38="","Slot kosong","Belum terisi"),"Sebagian")))))</f>
        <v>Tidak dibuka</v>
      </c>
      <c r="M38" s="76" t="str">
        <f aca="false">IF(L38="Tidak dibuka","–",IF(F38="","(tanpa age group)",F38)&amp;"  "&amp;IF(H38="","?",H38)&amp;"/"&amp;IF(G38="","?",G38)&amp;CHAR(10)&amp;IF(K38="","coach: –","coach: "&amp;K38))</f>
        <v>–</v>
      </c>
    </row>
    <row r="39" customFormat="false" ht="22.35" hidden="false" customHeight="false" outlineLevel="0" collapsed="false">
      <c r="A39" s="76" t="str">
        <f aca="false">B39&amp;"|"&amp;C39&amp;"|"&amp;D39&amp;"|"&amp;E39</f>
        <v>KLM|1|Kamis|09:00</v>
      </c>
      <c r="B39" s="76" t="s">
        <v>61</v>
      </c>
      <c r="C39" s="76" t="n">
        <v>1</v>
      </c>
      <c r="D39" s="76" t="s">
        <v>93</v>
      </c>
      <c r="E39" s="76" t="s">
        <v>97</v>
      </c>
      <c r="F39" s="77"/>
      <c r="G39" s="77" t="n">
        <v>5</v>
      </c>
      <c r="H39" s="77" t="n">
        <v>0</v>
      </c>
      <c r="I39" s="76" t="n">
        <f aca="false">IF(AND(ISNUMBER(G39),ISNUMBER(H39)),MAX(G39-H39,0),"")</f>
        <v>5</v>
      </c>
      <c r="J39" s="78" t="n">
        <f aca="false">IF(AND(ISNUMBER(G39),ISNUMBER(H39)),IF(G39&gt;0,H39/G39,""),"")</f>
        <v>0</v>
      </c>
      <c r="K39" s="77"/>
      <c r="L39" s="76" t="str">
        <f aca="false">IF(OR(G39="",H39=""),"Data tidak lengkap",IF(AND(G39=0,H39=0),IF(AND(F39="",K39=""),"Tidak dibuka","Tutup"),IF(H39&gt;G39,"Lebih kapasitas",IF(H39=G39,"Penuh",IF(H39=0,IF(F39="","Slot kosong","Belum terisi"),"Sebagian")))))</f>
        <v>Slot kosong</v>
      </c>
      <c r="M39" s="79" t="str">
        <f aca="false">IF(L39="Tidak dibuka","–",IF(F39="","(tanpa age group)",F39)&amp;"  "&amp;IF(H39="","?",H39)&amp;"/"&amp;IF(G39="","?",G39)&amp;CHAR(10)&amp;IF(K39="","coach: –","coach: "&amp;K39))</f>
        <v>(tanpa age group)  0/5
coach: –</v>
      </c>
    </row>
    <row r="40" customFormat="false" ht="22.35" hidden="false" customHeight="false" outlineLevel="0" collapsed="false">
      <c r="A40" s="76" t="str">
        <f aca="false">B40&amp;"|"&amp;C40&amp;"|"&amp;D40&amp;"|"&amp;E40</f>
        <v>KLM|1|Kamis|09:45</v>
      </c>
      <c r="B40" s="76" t="s">
        <v>61</v>
      </c>
      <c r="C40" s="76" t="n">
        <v>1</v>
      </c>
      <c r="D40" s="76" t="s">
        <v>93</v>
      </c>
      <c r="E40" s="76" t="s">
        <v>98</v>
      </c>
      <c r="F40" s="77"/>
      <c r="G40" s="77" t="n">
        <v>5</v>
      </c>
      <c r="H40" s="77" t="n">
        <v>0</v>
      </c>
      <c r="I40" s="76" t="n">
        <f aca="false">IF(AND(ISNUMBER(G40),ISNUMBER(H40)),MAX(G40-H40,0),"")</f>
        <v>5</v>
      </c>
      <c r="J40" s="78" t="n">
        <f aca="false">IF(AND(ISNUMBER(G40),ISNUMBER(H40)),IF(G40&gt;0,H40/G40,""),"")</f>
        <v>0</v>
      </c>
      <c r="K40" s="77"/>
      <c r="L40" s="76" t="str">
        <f aca="false">IF(OR(G40="",H40=""),"Data tidak lengkap",IF(AND(G40=0,H40=0),IF(AND(F40="",K40=""),"Tidak dibuka","Tutup"),IF(H40&gt;G40,"Lebih kapasitas",IF(H40=G40,"Penuh",IF(H40=0,IF(F40="","Slot kosong","Belum terisi"),"Sebagian")))))</f>
        <v>Slot kosong</v>
      </c>
      <c r="M40" s="79" t="str">
        <f aca="false">IF(L40="Tidak dibuka","–",IF(F40="","(tanpa age group)",F40)&amp;"  "&amp;IF(H40="","?",H40)&amp;"/"&amp;IF(G40="","?",G40)&amp;CHAR(10)&amp;IF(K40="","coach: –","coach: "&amp;K40))</f>
        <v>(tanpa age group)  0/5
coach: –</v>
      </c>
    </row>
    <row r="41" customFormat="false" ht="22.35" hidden="false" customHeight="false" outlineLevel="0" collapsed="false">
      <c r="A41" s="76" t="str">
        <f aca="false">B41&amp;"|"&amp;C41&amp;"|"&amp;D41&amp;"|"&amp;E41</f>
        <v>KLM|1|Kamis|10:30</v>
      </c>
      <c r="B41" s="76" t="s">
        <v>61</v>
      </c>
      <c r="C41" s="76" t="n">
        <v>1</v>
      </c>
      <c r="D41" s="76" t="s">
        <v>93</v>
      </c>
      <c r="E41" s="76" t="s">
        <v>99</v>
      </c>
      <c r="F41" s="77"/>
      <c r="G41" s="77" t="n">
        <v>5</v>
      </c>
      <c r="H41" s="77" t="n">
        <v>0</v>
      </c>
      <c r="I41" s="76" t="n">
        <f aca="false">IF(AND(ISNUMBER(G41),ISNUMBER(H41)),MAX(G41-H41,0),"")</f>
        <v>5</v>
      </c>
      <c r="J41" s="78" t="n">
        <f aca="false">IF(AND(ISNUMBER(G41),ISNUMBER(H41)),IF(G41&gt;0,H41/G41,""),"")</f>
        <v>0</v>
      </c>
      <c r="K41" s="77"/>
      <c r="L41" s="76" t="str">
        <f aca="false">IF(OR(G41="",H41=""),"Data tidak lengkap",IF(AND(G41=0,H41=0),IF(AND(F41="",K41=""),"Tidak dibuka","Tutup"),IF(H41&gt;G41,"Lebih kapasitas",IF(H41=G41,"Penuh",IF(H41=0,IF(F41="","Slot kosong","Belum terisi"),"Sebagian")))))</f>
        <v>Slot kosong</v>
      </c>
      <c r="M41" s="79" t="str">
        <f aca="false">IF(L41="Tidak dibuka","–",IF(F41="","(tanpa age group)",F41)&amp;"  "&amp;IF(H41="","?",H41)&amp;"/"&amp;IF(G41="","?",G41)&amp;CHAR(10)&amp;IF(K41="","coach: –","coach: "&amp;K41))</f>
        <v>(tanpa age group)  0/5
coach: –</v>
      </c>
    </row>
    <row r="42" customFormat="false" ht="22.35" hidden="false" customHeight="false" outlineLevel="0" collapsed="false">
      <c r="A42" s="76" t="str">
        <f aca="false">B42&amp;"|"&amp;C42&amp;"|"&amp;D42&amp;"|"&amp;E42</f>
        <v>KLM|1|Kamis|11:15</v>
      </c>
      <c r="B42" s="76" t="s">
        <v>61</v>
      </c>
      <c r="C42" s="76" t="n">
        <v>1</v>
      </c>
      <c r="D42" s="76" t="s">
        <v>93</v>
      </c>
      <c r="E42" s="76" t="s">
        <v>100</v>
      </c>
      <c r="F42" s="77"/>
      <c r="G42" s="77" t="n">
        <v>5</v>
      </c>
      <c r="H42" s="77" t="n">
        <v>0</v>
      </c>
      <c r="I42" s="76" t="n">
        <f aca="false">IF(AND(ISNUMBER(G42),ISNUMBER(H42)),MAX(G42-H42,0),"")</f>
        <v>5</v>
      </c>
      <c r="J42" s="78" t="n">
        <f aca="false">IF(AND(ISNUMBER(G42),ISNUMBER(H42)),IF(G42&gt;0,H42/G42,""),"")</f>
        <v>0</v>
      </c>
      <c r="K42" s="77"/>
      <c r="L42" s="76" t="str">
        <f aca="false">IF(OR(G42="",H42=""),"Data tidak lengkap",IF(AND(G42=0,H42=0),IF(AND(F42="",K42=""),"Tidak dibuka","Tutup"),IF(H42&gt;G42,"Lebih kapasitas",IF(H42=G42,"Penuh",IF(H42=0,IF(F42="","Slot kosong","Belum terisi"),"Sebagian")))))</f>
        <v>Slot kosong</v>
      </c>
      <c r="M42" s="79" t="str">
        <f aca="false">IF(L42="Tidak dibuka","–",IF(F42="","(tanpa age group)",F42)&amp;"  "&amp;IF(H42="","?",H42)&amp;"/"&amp;IF(G42="","?",G42)&amp;CHAR(10)&amp;IF(K42="","coach: –","coach: "&amp;K42))</f>
        <v>(tanpa age group)  0/5
coach: –</v>
      </c>
    </row>
    <row r="43" customFormat="false" ht="15" hidden="false" customHeight="false" outlineLevel="0" collapsed="false">
      <c r="A43" s="76" t="str">
        <f aca="false">B43&amp;"|"&amp;C43&amp;"|"&amp;D43&amp;"|"&amp;E43</f>
        <v>KLM|1|Kamis|12:00</v>
      </c>
      <c r="B43" s="76" t="s">
        <v>61</v>
      </c>
      <c r="C43" s="76" t="n">
        <v>1</v>
      </c>
      <c r="D43" s="76" t="s">
        <v>93</v>
      </c>
      <c r="E43" s="76" t="s">
        <v>101</v>
      </c>
      <c r="F43" s="77"/>
      <c r="G43" s="77" t="n">
        <v>0</v>
      </c>
      <c r="H43" s="77" t="n">
        <v>0</v>
      </c>
      <c r="I43" s="76" t="n">
        <f aca="false">IF(AND(ISNUMBER(G43),ISNUMBER(H43)),MAX(G43-H43,0),"")</f>
        <v>0</v>
      </c>
      <c r="J43" s="78" t="str">
        <f aca="false">IF(AND(ISNUMBER(G43),ISNUMBER(H43)),IF(G43&gt;0,H43/G43,""),"")</f>
        <v/>
      </c>
      <c r="K43" s="77"/>
      <c r="L43" s="76" t="str">
        <f aca="false">IF(OR(G43="",H43=""),"Data tidak lengkap",IF(AND(G43=0,H43=0),IF(AND(F43="",K43=""),"Tidak dibuka","Tutup"),IF(H43&gt;G43,"Lebih kapasitas",IF(H43=G43,"Penuh",IF(H43=0,IF(F43="","Slot kosong","Belum terisi"),"Sebagian")))))</f>
        <v>Tidak dibuka</v>
      </c>
      <c r="M43" s="76" t="str">
        <f aca="false">IF(L43="Tidak dibuka","–",IF(F43="","(tanpa age group)",F43)&amp;"  "&amp;IF(H43="","?",H43)&amp;"/"&amp;IF(G43="","?",G43)&amp;CHAR(10)&amp;IF(K43="","coach: –","coach: "&amp;K43))</f>
        <v>–</v>
      </c>
    </row>
    <row r="44" customFormat="false" ht="22.35" hidden="false" customHeight="false" outlineLevel="0" collapsed="false">
      <c r="A44" s="76" t="str">
        <f aca="false">B44&amp;"|"&amp;C44&amp;"|"&amp;D44&amp;"|"&amp;E44</f>
        <v>KLM|1|Kamis|13:30</v>
      </c>
      <c r="B44" s="76" t="s">
        <v>61</v>
      </c>
      <c r="C44" s="76" t="n">
        <v>1</v>
      </c>
      <c r="D44" s="76" t="s">
        <v>93</v>
      </c>
      <c r="E44" s="76" t="s">
        <v>102</v>
      </c>
      <c r="F44" s="77"/>
      <c r="G44" s="77" t="n">
        <v>5</v>
      </c>
      <c r="H44" s="77" t="n">
        <v>0</v>
      </c>
      <c r="I44" s="76" t="n">
        <f aca="false">IF(AND(ISNUMBER(G44),ISNUMBER(H44)),MAX(G44-H44,0),"")</f>
        <v>5</v>
      </c>
      <c r="J44" s="78" t="n">
        <f aca="false">IF(AND(ISNUMBER(G44),ISNUMBER(H44)),IF(G44&gt;0,H44/G44,""),"")</f>
        <v>0</v>
      </c>
      <c r="K44" s="77"/>
      <c r="L44" s="76" t="str">
        <f aca="false">IF(OR(G44="",H44=""),"Data tidak lengkap",IF(AND(G44=0,H44=0),IF(AND(F44="",K44=""),"Tidak dibuka","Tutup"),IF(H44&gt;G44,"Lebih kapasitas",IF(H44=G44,"Penuh",IF(H44=0,IF(F44="","Slot kosong","Belum terisi"),"Sebagian")))))</f>
        <v>Slot kosong</v>
      </c>
      <c r="M44" s="79" t="str">
        <f aca="false">IF(L44="Tidak dibuka","–",IF(F44="","(tanpa age group)",F44)&amp;"  "&amp;IF(H44="","?",H44)&amp;"/"&amp;IF(G44="","?",G44)&amp;CHAR(10)&amp;IF(K44="","coach: –","coach: "&amp;K44))</f>
        <v>(tanpa age group)  0/5
coach: –</v>
      </c>
    </row>
    <row r="45" customFormat="false" ht="22.35" hidden="false" customHeight="false" outlineLevel="0" collapsed="false">
      <c r="A45" s="76" t="str">
        <f aca="false">B45&amp;"|"&amp;C45&amp;"|"&amp;D45&amp;"|"&amp;E45</f>
        <v>KLM|1|Kamis|14:15</v>
      </c>
      <c r="B45" s="76" t="s">
        <v>61</v>
      </c>
      <c r="C45" s="76" t="n">
        <v>1</v>
      </c>
      <c r="D45" s="76" t="s">
        <v>93</v>
      </c>
      <c r="E45" s="76" t="s">
        <v>103</v>
      </c>
      <c r="F45" s="77" t="s">
        <v>210</v>
      </c>
      <c r="G45" s="77" t="n">
        <v>5</v>
      </c>
      <c r="H45" s="77" t="n">
        <v>1</v>
      </c>
      <c r="I45" s="76" t="n">
        <f aca="false">IF(AND(ISNUMBER(G45),ISNUMBER(H45)),MAX(G45-H45,0),"")</f>
        <v>4</v>
      </c>
      <c r="J45" s="78" t="n">
        <f aca="false">IF(AND(ISNUMBER(G45),ISNUMBER(H45)),IF(G45&gt;0,H45/G45,""),"")</f>
        <v>0.2</v>
      </c>
      <c r="K45" s="77" t="s">
        <v>205</v>
      </c>
      <c r="L45" s="76" t="str">
        <f aca="false">IF(OR(G45="",H45=""),"Data tidak lengkap",IF(AND(G45=0,H45=0),IF(AND(F45="",K45=""),"Tidak dibuka","Tutup"),IF(H45&gt;G45,"Lebih kapasitas",IF(H45=G45,"Penuh",IF(H45=0,IF(F45="","Slot kosong","Belum terisi"),"Sebagian")))))</f>
        <v>Sebagian</v>
      </c>
      <c r="M45" s="79" t="str">
        <f aca="false">IF(L45="Tidak dibuka","–",IF(F45="","(tanpa age group)",F45)&amp;"  "&amp;IF(H45="","?",H45)&amp;"/"&amp;IF(G45="","?",G45)&amp;CHAR(10)&amp;IF(K45="","coach: –","coach: "&amp;K45))</f>
        <v>Kids  1/5
coach: Tessa</v>
      </c>
    </row>
    <row r="46" customFormat="false" ht="22.35" hidden="false" customHeight="false" outlineLevel="0" collapsed="false">
      <c r="A46" s="76" t="str">
        <f aca="false">B46&amp;"|"&amp;C46&amp;"|"&amp;D46&amp;"|"&amp;E46</f>
        <v>KLM|1|Kamis|15:00</v>
      </c>
      <c r="B46" s="76" t="s">
        <v>61</v>
      </c>
      <c r="C46" s="76" t="n">
        <v>1</v>
      </c>
      <c r="D46" s="76" t="s">
        <v>93</v>
      </c>
      <c r="E46" s="76" t="s">
        <v>104</v>
      </c>
      <c r="F46" s="77" t="s">
        <v>242</v>
      </c>
      <c r="G46" s="77" t="n">
        <v>0</v>
      </c>
      <c r="H46" s="77" t="n">
        <v>1</v>
      </c>
      <c r="I46" s="76" t="n">
        <f aca="false">IF(AND(ISNUMBER(G46),ISNUMBER(H46)),MAX(G46-H46,0),"")</f>
        <v>0</v>
      </c>
      <c r="J46" s="78" t="str">
        <f aca="false">IF(AND(ISNUMBER(G46),ISNUMBER(H46)),IF(G46&gt;0,H46/G46,""),"")</f>
        <v/>
      </c>
      <c r="K46" s="77" t="s">
        <v>205</v>
      </c>
      <c r="L46" s="76" t="str">
        <f aca="false">IF(OR(G46="",H46=""),"Data tidak lengkap",IF(AND(G46=0,H46=0),IF(AND(F46="",K46=""),"Tidak dibuka","Tutup"),IF(H46&gt;G46,"Lebih kapasitas",IF(H46=G46,"Penuh",IF(H46=0,IF(F46="","Slot kosong","Belum terisi"),"Sebagian")))))</f>
        <v>Lebih kapasitas</v>
      </c>
      <c r="M46" s="79" t="str">
        <f aca="false">IF(L46="Tidak dibuka","–",IF(F46="","(tanpa age group)",F46)&amp;"  "&amp;IF(H46="","?",H46)&amp;"/"&amp;IF(G46="","?",G46)&amp;CHAR(10)&amp;IF(K46="","coach: –","coach: "&amp;K46))</f>
        <v>Baby  1/0
coach: Tessa</v>
      </c>
    </row>
    <row r="47" customFormat="false" ht="22.35" hidden="false" customHeight="false" outlineLevel="0" collapsed="false">
      <c r="A47" s="76" t="str">
        <f aca="false">B47&amp;"|"&amp;C47&amp;"|"&amp;D47&amp;"|"&amp;E47</f>
        <v>KLM|1|Kamis|15:45</v>
      </c>
      <c r="B47" s="76" t="s">
        <v>61</v>
      </c>
      <c r="C47" s="76" t="n">
        <v>1</v>
      </c>
      <c r="D47" s="76" t="s">
        <v>93</v>
      </c>
      <c r="E47" s="76" t="s">
        <v>105</v>
      </c>
      <c r="F47" s="77" t="s">
        <v>210</v>
      </c>
      <c r="G47" s="77" t="n">
        <v>0</v>
      </c>
      <c r="H47" s="77" t="n">
        <v>1</v>
      </c>
      <c r="I47" s="76" t="n">
        <f aca="false">IF(AND(ISNUMBER(G47),ISNUMBER(H47)),MAX(G47-H47,0),"")</f>
        <v>0</v>
      </c>
      <c r="J47" s="78" t="str">
        <f aca="false">IF(AND(ISNUMBER(G47),ISNUMBER(H47)),IF(G47&gt;0,H47/G47,""),"")</f>
        <v/>
      </c>
      <c r="K47" s="77" t="s">
        <v>202</v>
      </c>
      <c r="L47" s="76" t="str">
        <f aca="false">IF(OR(G47="",H47=""),"Data tidak lengkap",IF(AND(G47=0,H47=0),IF(AND(F47="",K47=""),"Tidak dibuka","Tutup"),IF(H47&gt;G47,"Lebih kapasitas",IF(H47=G47,"Penuh",IF(H47=0,IF(F47="","Slot kosong","Belum terisi"),"Sebagian")))))</f>
        <v>Lebih kapasitas</v>
      </c>
      <c r="M47" s="79" t="str">
        <f aca="false">IF(L47="Tidak dibuka","–",IF(F47="","(tanpa age group)",F47)&amp;"  "&amp;IF(H47="","?",H47)&amp;"/"&amp;IF(G47="","?",G47)&amp;CHAR(10)&amp;IF(K47="","coach: –","coach: "&amp;K47))</f>
        <v>Kids  1/0
coach: Daffa</v>
      </c>
    </row>
    <row r="48" customFormat="false" ht="22.35" hidden="false" customHeight="false" outlineLevel="0" collapsed="false">
      <c r="A48" s="76" t="str">
        <f aca="false">B48&amp;"|"&amp;C48&amp;"|"&amp;D48&amp;"|"&amp;E48</f>
        <v>KLM|1|Kamis|16:30</v>
      </c>
      <c r="B48" s="76" t="s">
        <v>61</v>
      </c>
      <c r="C48" s="76" t="n">
        <v>1</v>
      </c>
      <c r="D48" s="76" t="s">
        <v>93</v>
      </c>
      <c r="E48" s="76" t="s">
        <v>106</v>
      </c>
      <c r="F48" s="77" t="s">
        <v>210</v>
      </c>
      <c r="G48" s="77" t="n">
        <v>4</v>
      </c>
      <c r="H48" s="77" t="n">
        <v>4</v>
      </c>
      <c r="I48" s="76" t="n">
        <f aca="false">IF(AND(ISNUMBER(G48),ISNUMBER(H48)),MAX(G48-H48,0),"")</f>
        <v>0</v>
      </c>
      <c r="J48" s="78" t="n">
        <f aca="false">IF(AND(ISNUMBER(G48),ISNUMBER(H48)),IF(G48&gt;0,H48/G48,""),"")</f>
        <v>1</v>
      </c>
      <c r="K48" s="77" t="s">
        <v>205</v>
      </c>
      <c r="L48" s="76" t="str">
        <f aca="false">IF(OR(G48="",H48=""),"Data tidak lengkap",IF(AND(G48=0,H48=0),IF(AND(F48="",K48=""),"Tidak dibuka","Tutup"),IF(H48&gt;G48,"Lebih kapasitas",IF(H48=G48,"Penuh",IF(H48=0,IF(F48="","Slot kosong","Belum terisi"),"Sebagian")))))</f>
        <v>Penuh</v>
      </c>
      <c r="M48" s="79" t="str">
        <f aca="false">IF(L48="Tidak dibuka","–",IF(F48="","(tanpa age group)",F48)&amp;"  "&amp;IF(H48="","?",H48)&amp;"/"&amp;IF(G48="","?",G48)&amp;CHAR(10)&amp;IF(K48="","coach: –","coach: "&amp;K48))</f>
        <v>Kids  4/4
coach: Tessa</v>
      </c>
    </row>
    <row r="49" customFormat="false" ht="22.35" hidden="false" customHeight="false" outlineLevel="0" collapsed="false">
      <c r="A49" s="76" t="str">
        <f aca="false">B49&amp;"|"&amp;C49&amp;"|"&amp;D49&amp;"|"&amp;E49</f>
        <v>KLM|1|Kamis|17:15</v>
      </c>
      <c r="B49" s="76" t="s">
        <v>61</v>
      </c>
      <c r="C49" s="76" t="n">
        <v>1</v>
      </c>
      <c r="D49" s="76" t="s">
        <v>93</v>
      </c>
      <c r="E49" s="76" t="s">
        <v>107</v>
      </c>
      <c r="F49" s="77"/>
      <c r="G49" s="77" t="n">
        <v>5</v>
      </c>
      <c r="H49" s="77" t="n">
        <v>0</v>
      </c>
      <c r="I49" s="76" t="n">
        <f aca="false">IF(AND(ISNUMBER(G49),ISNUMBER(H49)),MAX(G49-H49,0),"")</f>
        <v>5</v>
      </c>
      <c r="J49" s="78" t="n">
        <f aca="false">IF(AND(ISNUMBER(G49),ISNUMBER(H49)),IF(G49&gt;0,H49/G49,""),"")</f>
        <v>0</v>
      </c>
      <c r="K49" s="77"/>
      <c r="L49" s="76" t="str">
        <f aca="false">IF(OR(G49="",H49=""),"Data tidak lengkap",IF(AND(G49=0,H49=0),IF(AND(F49="",K49=""),"Tidak dibuka","Tutup"),IF(H49&gt;G49,"Lebih kapasitas",IF(H49=G49,"Penuh",IF(H49=0,IF(F49="","Slot kosong","Belum terisi"),"Sebagian")))))</f>
        <v>Slot kosong</v>
      </c>
      <c r="M49" s="79" t="str">
        <f aca="false">IF(L49="Tidak dibuka","–",IF(F49="","(tanpa age group)",F49)&amp;"  "&amp;IF(H49="","?",H49)&amp;"/"&amp;IF(G49="","?",G49)&amp;CHAR(10)&amp;IF(K49="","coach: –","coach: "&amp;K49))</f>
        <v>(tanpa age group)  0/5
coach: –</v>
      </c>
    </row>
    <row r="50" customFormat="false" ht="15" hidden="false" customHeight="false" outlineLevel="0" collapsed="false">
      <c r="A50" s="76" t="str">
        <f aca="false">B50&amp;"|"&amp;C50&amp;"|"&amp;D50&amp;"|"&amp;E50</f>
        <v>KLM|1|Jumat|08:15</v>
      </c>
      <c r="B50" s="76" t="s">
        <v>61</v>
      </c>
      <c r="C50" s="76" t="n">
        <v>1</v>
      </c>
      <c r="D50" s="76" t="s">
        <v>94</v>
      </c>
      <c r="E50" s="76" t="s">
        <v>96</v>
      </c>
      <c r="F50" s="77"/>
      <c r="G50" s="77" t="n">
        <v>0</v>
      </c>
      <c r="H50" s="77" t="n">
        <v>0</v>
      </c>
      <c r="I50" s="76" t="n">
        <f aca="false">IF(AND(ISNUMBER(G50),ISNUMBER(H50)),MAX(G50-H50,0),"")</f>
        <v>0</v>
      </c>
      <c r="J50" s="78" t="str">
        <f aca="false">IF(AND(ISNUMBER(G50),ISNUMBER(H50)),IF(G50&gt;0,H50/G50,""),"")</f>
        <v/>
      </c>
      <c r="K50" s="77"/>
      <c r="L50" s="76" t="str">
        <f aca="false">IF(OR(G50="",H50=""),"Data tidak lengkap",IF(AND(G50=0,H50=0),IF(AND(F50="",K50=""),"Tidak dibuka","Tutup"),IF(H50&gt;G50,"Lebih kapasitas",IF(H50=G50,"Penuh",IF(H50=0,IF(F50="","Slot kosong","Belum terisi"),"Sebagian")))))</f>
        <v>Tidak dibuka</v>
      </c>
      <c r="M50" s="76" t="str">
        <f aca="false">IF(L50="Tidak dibuka","–",IF(F50="","(tanpa age group)",F50)&amp;"  "&amp;IF(H50="","?",H50)&amp;"/"&amp;IF(G50="","?",G50)&amp;CHAR(10)&amp;IF(K50="","coach: –","coach: "&amp;K50))</f>
        <v>–</v>
      </c>
    </row>
    <row r="51" customFormat="false" ht="22.35" hidden="false" customHeight="false" outlineLevel="0" collapsed="false">
      <c r="A51" s="76" t="str">
        <f aca="false">B51&amp;"|"&amp;C51&amp;"|"&amp;D51&amp;"|"&amp;E51</f>
        <v>KLM|1|Jumat|09:00</v>
      </c>
      <c r="B51" s="76" t="s">
        <v>61</v>
      </c>
      <c r="C51" s="76" t="n">
        <v>1</v>
      </c>
      <c r="D51" s="76" t="s">
        <v>94</v>
      </c>
      <c r="E51" s="76" t="s">
        <v>97</v>
      </c>
      <c r="F51" s="77" t="s">
        <v>242</v>
      </c>
      <c r="G51" s="77" t="n">
        <v>5</v>
      </c>
      <c r="H51" s="77" t="n">
        <v>5</v>
      </c>
      <c r="I51" s="76" t="n">
        <f aca="false">IF(AND(ISNUMBER(G51),ISNUMBER(H51)),MAX(G51-H51,0),"")</f>
        <v>0</v>
      </c>
      <c r="J51" s="78" t="n">
        <f aca="false">IF(AND(ISNUMBER(G51),ISNUMBER(H51)),IF(G51&gt;0,H51/G51,""),"")</f>
        <v>1</v>
      </c>
      <c r="K51" s="77" t="s">
        <v>198</v>
      </c>
      <c r="L51" s="76" t="str">
        <f aca="false">IF(OR(G51="",H51=""),"Data tidak lengkap",IF(AND(G51=0,H51=0),IF(AND(F51="",K51=""),"Tidak dibuka","Tutup"),IF(H51&gt;G51,"Lebih kapasitas",IF(H51=G51,"Penuh",IF(H51=0,IF(F51="","Slot kosong","Belum terisi"),"Sebagian")))))</f>
        <v>Penuh</v>
      </c>
      <c r="M51" s="79" t="str">
        <f aca="false">IF(L51="Tidak dibuka","–",IF(F51="","(tanpa age group)",F51)&amp;"  "&amp;IF(H51="","?",H51)&amp;"/"&amp;IF(G51="","?",G51)&amp;CHAR(10)&amp;IF(K51="","coach: –","coach: "&amp;K51))</f>
        <v>Baby  5/5
coach: Surya</v>
      </c>
    </row>
    <row r="52" customFormat="false" ht="22.35" hidden="false" customHeight="false" outlineLevel="0" collapsed="false">
      <c r="A52" s="76" t="str">
        <f aca="false">B52&amp;"|"&amp;C52&amp;"|"&amp;D52&amp;"|"&amp;E52</f>
        <v>KLM|1|Jumat|09:45</v>
      </c>
      <c r="B52" s="76" t="s">
        <v>61</v>
      </c>
      <c r="C52" s="76" t="n">
        <v>1</v>
      </c>
      <c r="D52" s="76" t="s">
        <v>94</v>
      </c>
      <c r="E52" s="76" t="s">
        <v>98</v>
      </c>
      <c r="F52" s="77"/>
      <c r="G52" s="77" t="n">
        <v>5</v>
      </c>
      <c r="H52" s="77" t="n">
        <v>0</v>
      </c>
      <c r="I52" s="76" t="n">
        <f aca="false">IF(AND(ISNUMBER(G52),ISNUMBER(H52)),MAX(G52-H52,0),"")</f>
        <v>5</v>
      </c>
      <c r="J52" s="78" t="n">
        <f aca="false">IF(AND(ISNUMBER(G52),ISNUMBER(H52)),IF(G52&gt;0,H52/G52,""),"")</f>
        <v>0</v>
      </c>
      <c r="K52" s="77"/>
      <c r="L52" s="76" t="str">
        <f aca="false">IF(OR(G52="",H52=""),"Data tidak lengkap",IF(AND(G52=0,H52=0),IF(AND(F52="",K52=""),"Tidak dibuka","Tutup"),IF(H52&gt;G52,"Lebih kapasitas",IF(H52=G52,"Penuh",IF(H52=0,IF(F52="","Slot kosong","Belum terisi"),"Sebagian")))))</f>
        <v>Slot kosong</v>
      </c>
      <c r="M52" s="79" t="str">
        <f aca="false">IF(L52="Tidak dibuka","–",IF(F52="","(tanpa age group)",F52)&amp;"  "&amp;IF(H52="","?",H52)&amp;"/"&amp;IF(G52="","?",G52)&amp;CHAR(10)&amp;IF(K52="","coach: –","coach: "&amp;K52))</f>
        <v>(tanpa age group)  0/5
coach: –</v>
      </c>
    </row>
    <row r="53" customFormat="false" ht="22.35" hidden="false" customHeight="false" outlineLevel="0" collapsed="false">
      <c r="A53" s="76" t="str">
        <f aca="false">B53&amp;"|"&amp;C53&amp;"|"&amp;D53&amp;"|"&amp;E53</f>
        <v>KLM|1|Jumat|10:30</v>
      </c>
      <c r="B53" s="76" t="s">
        <v>61</v>
      </c>
      <c r="C53" s="76" t="n">
        <v>1</v>
      </c>
      <c r="D53" s="76" t="s">
        <v>94</v>
      </c>
      <c r="E53" s="76" t="s">
        <v>99</v>
      </c>
      <c r="F53" s="77"/>
      <c r="G53" s="77" t="n">
        <v>5</v>
      </c>
      <c r="H53" s="77" t="n">
        <v>0</v>
      </c>
      <c r="I53" s="76" t="n">
        <f aca="false">IF(AND(ISNUMBER(G53),ISNUMBER(H53)),MAX(G53-H53,0),"")</f>
        <v>5</v>
      </c>
      <c r="J53" s="78" t="n">
        <f aca="false">IF(AND(ISNUMBER(G53),ISNUMBER(H53)),IF(G53&gt;0,H53/G53,""),"")</f>
        <v>0</v>
      </c>
      <c r="K53" s="77"/>
      <c r="L53" s="76" t="str">
        <f aca="false">IF(OR(G53="",H53=""),"Data tidak lengkap",IF(AND(G53=0,H53=0),IF(AND(F53="",K53=""),"Tidak dibuka","Tutup"),IF(H53&gt;G53,"Lebih kapasitas",IF(H53=G53,"Penuh",IF(H53=0,IF(F53="","Slot kosong","Belum terisi"),"Sebagian")))))</f>
        <v>Slot kosong</v>
      </c>
      <c r="M53" s="79" t="str">
        <f aca="false">IF(L53="Tidak dibuka","–",IF(F53="","(tanpa age group)",F53)&amp;"  "&amp;IF(H53="","?",H53)&amp;"/"&amp;IF(G53="","?",G53)&amp;CHAR(10)&amp;IF(K53="","coach: –","coach: "&amp;K53))</f>
        <v>(tanpa age group)  0/5
coach: –</v>
      </c>
    </row>
    <row r="54" customFormat="false" ht="22.35" hidden="false" customHeight="false" outlineLevel="0" collapsed="false">
      <c r="A54" s="76" t="str">
        <f aca="false">B54&amp;"|"&amp;C54&amp;"|"&amp;D54&amp;"|"&amp;E54</f>
        <v>KLM|1|Jumat|11:15</v>
      </c>
      <c r="B54" s="76" t="s">
        <v>61</v>
      </c>
      <c r="C54" s="76" t="n">
        <v>1</v>
      </c>
      <c r="D54" s="76" t="s">
        <v>94</v>
      </c>
      <c r="E54" s="76" t="s">
        <v>100</v>
      </c>
      <c r="F54" s="77"/>
      <c r="G54" s="77" t="n">
        <v>5</v>
      </c>
      <c r="H54" s="77" t="n">
        <v>0</v>
      </c>
      <c r="I54" s="76" t="n">
        <f aca="false">IF(AND(ISNUMBER(G54),ISNUMBER(H54)),MAX(G54-H54,0),"")</f>
        <v>5</v>
      </c>
      <c r="J54" s="78" t="n">
        <f aca="false">IF(AND(ISNUMBER(G54),ISNUMBER(H54)),IF(G54&gt;0,H54/G54,""),"")</f>
        <v>0</v>
      </c>
      <c r="K54" s="77"/>
      <c r="L54" s="76" t="str">
        <f aca="false">IF(OR(G54="",H54=""),"Data tidak lengkap",IF(AND(G54=0,H54=0),IF(AND(F54="",K54=""),"Tidak dibuka","Tutup"),IF(H54&gt;G54,"Lebih kapasitas",IF(H54=G54,"Penuh",IF(H54=0,IF(F54="","Slot kosong","Belum terisi"),"Sebagian")))))</f>
        <v>Slot kosong</v>
      </c>
      <c r="M54" s="79" t="str">
        <f aca="false">IF(L54="Tidak dibuka","–",IF(F54="","(tanpa age group)",F54)&amp;"  "&amp;IF(H54="","?",H54)&amp;"/"&amp;IF(G54="","?",G54)&amp;CHAR(10)&amp;IF(K54="","coach: –","coach: "&amp;K54))</f>
        <v>(tanpa age group)  0/5
coach: –</v>
      </c>
    </row>
    <row r="55" customFormat="false" ht="15" hidden="false" customHeight="false" outlineLevel="0" collapsed="false">
      <c r="A55" s="76" t="str">
        <f aca="false">B55&amp;"|"&amp;C55&amp;"|"&amp;D55&amp;"|"&amp;E55</f>
        <v>KLM|1|Jumat|12:00</v>
      </c>
      <c r="B55" s="76" t="s">
        <v>61</v>
      </c>
      <c r="C55" s="76" t="n">
        <v>1</v>
      </c>
      <c r="D55" s="76" t="s">
        <v>94</v>
      </c>
      <c r="E55" s="76" t="s">
        <v>101</v>
      </c>
      <c r="F55" s="77"/>
      <c r="G55" s="77" t="n">
        <v>0</v>
      </c>
      <c r="H55" s="77" t="n">
        <v>0</v>
      </c>
      <c r="I55" s="76" t="n">
        <f aca="false">IF(AND(ISNUMBER(G55),ISNUMBER(H55)),MAX(G55-H55,0),"")</f>
        <v>0</v>
      </c>
      <c r="J55" s="78" t="str">
        <f aca="false">IF(AND(ISNUMBER(G55),ISNUMBER(H55)),IF(G55&gt;0,H55/G55,""),"")</f>
        <v/>
      </c>
      <c r="K55" s="77"/>
      <c r="L55" s="76" t="str">
        <f aca="false">IF(OR(G55="",H55=""),"Data tidak lengkap",IF(AND(G55=0,H55=0),IF(AND(F55="",K55=""),"Tidak dibuka","Tutup"),IF(H55&gt;G55,"Lebih kapasitas",IF(H55=G55,"Penuh",IF(H55=0,IF(F55="","Slot kosong","Belum terisi"),"Sebagian")))))</f>
        <v>Tidak dibuka</v>
      </c>
      <c r="M55" s="76" t="str">
        <f aca="false">IF(L55="Tidak dibuka","–",IF(F55="","(tanpa age group)",F55)&amp;"  "&amp;IF(H55="","?",H55)&amp;"/"&amp;IF(G55="","?",G55)&amp;CHAR(10)&amp;IF(K55="","coach: –","coach: "&amp;K55))</f>
        <v>–</v>
      </c>
    </row>
    <row r="56" customFormat="false" ht="22.35" hidden="false" customHeight="false" outlineLevel="0" collapsed="false">
      <c r="A56" s="76" t="str">
        <f aca="false">B56&amp;"|"&amp;C56&amp;"|"&amp;D56&amp;"|"&amp;E56</f>
        <v>KLM|1|Jumat|13:30</v>
      </c>
      <c r="B56" s="76" t="s">
        <v>61</v>
      </c>
      <c r="C56" s="76" t="n">
        <v>1</v>
      </c>
      <c r="D56" s="76" t="s">
        <v>94</v>
      </c>
      <c r="E56" s="76" t="s">
        <v>102</v>
      </c>
      <c r="F56" s="77"/>
      <c r="G56" s="77" t="n">
        <v>5</v>
      </c>
      <c r="H56" s="77" t="n">
        <v>0</v>
      </c>
      <c r="I56" s="76" t="n">
        <f aca="false">IF(AND(ISNUMBER(G56),ISNUMBER(H56)),MAX(G56-H56,0),"")</f>
        <v>5</v>
      </c>
      <c r="J56" s="78" t="n">
        <f aca="false">IF(AND(ISNUMBER(G56),ISNUMBER(H56)),IF(G56&gt;0,H56/G56,""),"")</f>
        <v>0</v>
      </c>
      <c r="K56" s="77"/>
      <c r="L56" s="76" t="str">
        <f aca="false">IF(OR(G56="",H56=""),"Data tidak lengkap",IF(AND(G56=0,H56=0),IF(AND(F56="",K56=""),"Tidak dibuka","Tutup"),IF(H56&gt;G56,"Lebih kapasitas",IF(H56=G56,"Penuh",IF(H56=0,IF(F56="","Slot kosong","Belum terisi"),"Sebagian")))))</f>
        <v>Slot kosong</v>
      </c>
      <c r="M56" s="79" t="str">
        <f aca="false">IF(L56="Tidak dibuka","–",IF(F56="","(tanpa age group)",F56)&amp;"  "&amp;IF(H56="","?",H56)&amp;"/"&amp;IF(G56="","?",G56)&amp;CHAR(10)&amp;IF(K56="","coach: –","coach: "&amp;K56))</f>
        <v>(tanpa age group)  0/5
coach: –</v>
      </c>
    </row>
    <row r="57" customFormat="false" ht="22.35" hidden="false" customHeight="false" outlineLevel="0" collapsed="false">
      <c r="A57" s="76" t="str">
        <f aca="false">B57&amp;"|"&amp;C57&amp;"|"&amp;D57&amp;"|"&amp;E57</f>
        <v>KLM|1|Jumat|14:15</v>
      </c>
      <c r="B57" s="76" t="s">
        <v>61</v>
      </c>
      <c r="C57" s="76" t="n">
        <v>1</v>
      </c>
      <c r="D57" s="76" t="s">
        <v>94</v>
      </c>
      <c r="E57" s="76" t="s">
        <v>103</v>
      </c>
      <c r="F57" s="77" t="s">
        <v>210</v>
      </c>
      <c r="G57" s="77" t="n">
        <v>4</v>
      </c>
      <c r="H57" s="77" t="n">
        <v>3</v>
      </c>
      <c r="I57" s="76" t="n">
        <f aca="false">IF(AND(ISNUMBER(G57),ISNUMBER(H57)),MAX(G57-H57,0),"")</f>
        <v>1</v>
      </c>
      <c r="J57" s="78" t="n">
        <f aca="false">IF(AND(ISNUMBER(G57),ISNUMBER(H57)),IF(G57&gt;0,H57/G57,""),"")</f>
        <v>0.75</v>
      </c>
      <c r="K57" s="77" t="s">
        <v>205</v>
      </c>
      <c r="L57" s="76" t="str">
        <f aca="false">IF(OR(G57="",H57=""),"Data tidak lengkap",IF(AND(G57=0,H57=0),IF(AND(F57="",K57=""),"Tidak dibuka","Tutup"),IF(H57&gt;G57,"Lebih kapasitas",IF(H57=G57,"Penuh",IF(H57=0,IF(F57="","Slot kosong","Belum terisi"),"Sebagian")))))</f>
        <v>Sebagian</v>
      </c>
      <c r="M57" s="79" t="str">
        <f aca="false">IF(L57="Tidak dibuka","–",IF(F57="","(tanpa age group)",F57)&amp;"  "&amp;IF(H57="","?",H57)&amp;"/"&amp;IF(G57="","?",G57)&amp;CHAR(10)&amp;IF(K57="","coach: –","coach: "&amp;K57))</f>
        <v>Kids  3/4
coach: Tessa</v>
      </c>
    </row>
    <row r="58" customFormat="false" ht="22.35" hidden="false" customHeight="false" outlineLevel="0" collapsed="false">
      <c r="A58" s="76" t="str">
        <f aca="false">B58&amp;"|"&amp;C58&amp;"|"&amp;D58&amp;"|"&amp;E58</f>
        <v>KLM|1|Jumat|15:00</v>
      </c>
      <c r="B58" s="76" t="s">
        <v>61</v>
      </c>
      <c r="C58" s="76" t="n">
        <v>1</v>
      </c>
      <c r="D58" s="76" t="s">
        <v>94</v>
      </c>
      <c r="E58" s="76" t="s">
        <v>104</v>
      </c>
      <c r="F58" s="77" t="s">
        <v>277</v>
      </c>
      <c r="G58" s="77" t="n">
        <v>4</v>
      </c>
      <c r="H58" s="77" t="n">
        <v>3</v>
      </c>
      <c r="I58" s="76" t="n">
        <f aca="false">IF(AND(ISNUMBER(G58),ISNUMBER(H58)),MAX(G58-H58,0),"")</f>
        <v>1</v>
      </c>
      <c r="J58" s="78" t="n">
        <f aca="false">IF(AND(ISNUMBER(G58),ISNUMBER(H58)),IF(G58&gt;0,H58/G58,""),"")</f>
        <v>0.75</v>
      </c>
      <c r="K58" s="77" t="s">
        <v>204</v>
      </c>
      <c r="L58" s="76" t="str">
        <f aca="false">IF(OR(G58="",H58=""),"Data tidak lengkap",IF(AND(G58=0,H58=0),IF(AND(F58="",K58=""),"Tidak dibuka","Tutup"),IF(H58&gt;G58,"Lebih kapasitas",IF(H58=G58,"Penuh",IF(H58=0,IF(F58="","Slot kosong","Belum terisi"),"Sebagian")))))</f>
        <v>Sebagian</v>
      </c>
      <c r="M58" s="79" t="str">
        <f aca="false">IF(L58="Tidak dibuka","–",IF(F58="","(tanpa age group)",F58)&amp;"  "&amp;IF(H58="","?",H58)&amp;"/"&amp;IF(G58="","?",G58)&amp;CHAR(10)&amp;IF(K58="","coach: –","coach: "&amp;K58))</f>
        <v>Little  3/4
coach: Dian</v>
      </c>
    </row>
    <row r="59" customFormat="false" ht="22.35" hidden="false" customHeight="false" outlineLevel="0" collapsed="false">
      <c r="A59" s="76" t="str">
        <f aca="false">B59&amp;"|"&amp;C59&amp;"|"&amp;D59&amp;"|"&amp;E59</f>
        <v>KLM|1|Jumat|15:45</v>
      </c>
      <c r="B59" s="76" t="s">
        <v>61</v>
      </c>
      <c r="C59" s="76" t="n">
        <v>1</v>
      </c>
      <c r="D59" s="76" t="s">
        <v>94</v>
      </c>
      <c r="E59" s="76" t="s">
        <v>105</v>
      </c>
      <c r="F59" s="77" t="s">
        <v>210</v>
      </c>
      <c r="G59" s="77" t="n">
        <v>4</v>
      </c>
      <c r="H59" s="77" t="n">
        <v>4</v>
      </c>
      <c r="I59" s="76" t="n">
        <f aca="false">IF(AND(ISNUMBER(G59),ISNUMBER(H59)),MAX(G59-H59,0),"")</f>
        <v>0</v>
      </c>
      <c r="J59" s="78" t="n">
        <f aca="false">IF(AND(ISNUMBER(G59),ISNUMBER(H59)),IF(G59&gt;0,H59/G59,""),"")</f>
        <v>1</v>
      </c>
      <c r="K59" s="77" t="s">
        <v>198</v>
      </c>
      <c r="L59" s="76" t="str">
        <f aca="false">IF(OR(G59="",H59=""),"Data tidak lengkap",IF(AND(G59=0,H59=0),IF(AND(F59="",K59=""),"Tidak dibuka","Tutup"),IF(H59&gt;G59,"Lebih kapasitas",IF(H59=G59,"Penuh",IF(H59=0,IF(F59="","Slot kosong","Belum terisi"),"Sebagian")))))</f>
        <v>Penuh</v>
      </c>
      <c r="M59" s="79" t="str">
        <f aca="false">IF(L59="Tidak dibuka","–",IF(F59="","(tanpa age group)",F59)&amp;"  "&amp;IF(H59="","?",H59)&amp;"/"&amp;IF(G59="","?",G59)&amp;CHAR(10)&amp;IF(K59="","coach: –","coach: "&amp;K59))</f>
        <v>Kids  4/4
coach: Surya</v>
      </c>
    </row>
    <row r="60" customFormat="false" ht="22.35" hidden="false" customHeight="false" outlineLevel="0" collapsed="false">
      <c r="A60" s="76" t="str">
        <f aca="false">B60&amp;"|"&amp;C60&amp;"|"&amp;D60&amp;"|"&amp;E60</f>
        <v>KLM|1|Jumat|16:30</v>
      </c>
      <c r="B60" s="76" t="s">
        <v>61</v>
      </c>
      <c r="C60" s="76" t="n">
        <v>1</v>
      </c>
      <c r="D60" s="76" t="s">
        <v>94</v>
      </c>
      <c r="E60" s="76" t="s">
        <v>106</v>
      </c>
      <c r="F60" s="77" t="s">
        <v>277</v>
      </c>
      <c r="G60" s="77" t="n">
        <v>4</v>
      </c>
      <c r="H60" s="77" t="n">
        <v>3</v>
      </c>
      <c r="I60" s="76" t="n">
        <f aca="false">IF(AND(ISNUMBER(G60),ISNUMBER(H60)),MAX(G60-H60,0),"")</f>
        <v>1</v>
      </c>
      <c r="J60" s="78" t="n">
        <f aca="false">IF(AND(ISNUMBER(G60),ISNUMBER(H60)),IF(G60&gt;0,H60/G60,""),"")</f>
        <v>0.75</v>
      </c>
      <c r="K60" s="77" t="s">
        <v>205</v>
      </c>
      <c r="L60" s="76" t="str">
        <f aca="false">IF(OR(G60="",H60=""),"Data tidak lengkap",IF(AND(G60=0,H60=0),IF(AND(F60="",K60=""),"Tidak dibuka","Tutup"),IF(H60&gt;G60,"Lebih kapasitas",IF(H60=G60,"Penuh",IF(H60=0,IF(F60="","Slot kosong","Belum terisi"),"Sebagian")))))</f>
        <v>Sebagian</v>
      </c>
      <c r="M60" s="79" t="str">
        <f aca="false">IF(L60="Tidak dibuka","–",IF(F60="","(tanpa age group)",F60)&amp;"  "&amp;IF(H60="","?",H60)&amp;"/"&amp;IF(G60="","?",G60)&amp;CHAR(10)&amp;IF(K60="","coach: –","coach: "&amp;K60))</f>
        <v>Little  3/4
coach: Tessa</v>
      </c>
    </row>
    <row r="61" customFormat="false" ht="22.35" hidden="false" customHeight="false" outlineLevel="0" collapsed="false">
      <c r="A61" s="76" t="str">
        <f aca="false">B61&amp;"|"&amp;C61&amp;"|"&amp;D61&amp;"|"&amp;E61</f>
        <v>KLM|1|Jumat|17:15</v>
      </c>
      <c r="B61" s="76" t="s">
        <v>61</v>
      </c>
      <c r="C61" s="76" t="n">
        <v>1</v>
      </c>
      <c r="D61" s="76" t="s">
        <v>94</v>
      </c>
      <c r="E61" s="76" t="s">
        <v>107</v>
      </c>
      <c r="F61" s="77" t="s">
        <v>242</v>
      </c>
      <c r="G61" s="77" t="n">
        <v>5</v>
      </c>
      <c r="H61" s="77" t="n">
        <v>5</v>
      </c>
      <c r="I61" s="76" t="n">
        <f aca="false">IF(AND(ISNUMBER(G61),ISNUMBER(H61)),MAX(G61-H61,0),"")</f>
        <v>0</v>
      </c>
      <c r="J61" s="78" t="n">
        <f aca="false">IF(AND(ISNUMBER(G61),ISNUMBER(H61)),IF(G61&gt;0,H61/G61,""),"")</f>
        <v>1</v>
      </c>
      <c r="K61" s="77" t="s">
        <v>201</v>
      </c>
      <c r="L61" s="76" t="str">
        <f aca="false">IF(OR(G61="",H61=""),"Data tidak lengkap",IF(AND(G61=0,H61=0),IF(AND(F61="",K61=""),"Tidak dibuka","Tutup"),IF(H61&gt;G61,"Lebih kapasitas",IF(H61=G61,"Penuh",IF(H61=0,IF(F61="","Slot kosong","Belum terisi"),"Sebagian")))))</f>
        <v>Penuh</v>
      </c>
      <c r="M61" s="79" t="str">
        <f aca="false">IF(L61="Tidak dibuka","–",IF(F61="","(tanpa age group)",F61)&amp;"  "&amp;IF(H61="","?",H61)&amp;"/"&amp;IF(G61="","?",G61)&amp;CHAR(10)&amp;IF(K61="","coach: –","coach: "&amp;K61))</f>
        <v>Baby  5/5
coach: Nuky</v>
      </c>
    </row>
    <row r="62" customFormat="false" ht="15" hidden="false" customHeight="false" outlineLevel="0" collapsed="false">
      <c r="A62" s="76" t="str">
        <f aca="false">B62&amp;"|"&amp;C62&amp;"|"&amp;D62&amp;"|"&amp;E62</f>
        <v>KLM|1|Sabtu|08:15</v>
      </c>
      <c r="B62" s="76" t="s">
        <v>61</v>
      </c>
      <c r="C62" s="76" t="n">
        <v>1</v>
      </c>
      <c r="D62" s="76" t="s">
        <v>95</v>
      </c>
      <c r="E62" s="76" t="s">
        <v>96</v>
      </c>
      <c r="F62" s="77"/>
      <c r="G62" s="77" t="n">
        <v>0</v>
      </c>
      <c r="H62" s="77" t="n">
        <v>0</v>
      </c>
      <c r="I62" s="76" t="n">
        <f aca="false">IF(AND(ISNUMBER(G62),ISNUMBER(H62)),MAX(G62-H62,0),"")</f>
        <v>0</v>
      </c>
      <c r="J62" s="78" t="str">
        <f aca="false">IF(AND(ISNUMBER(G62),ISNUMBER(H62)),IF(G62&gt;0,H62/G62,""),"")</f>
        <v/>
      </c>
      <c r="K62" s="77"/>
      <c r="L62" s="76" t="str">
        <f aca="false">IF(OR(G62="",H62=""),"Data tidak lengkap",IF(AND(G62=0,H62=0),IF(AND(F62="",K62=""),"Tidak dibuka","Tutup"),IF(H62&gt;G62,"Lebih kapasitas",IF(H62=G62,"Penuh",IF(H62=0,IF(F62="","Slot kosong","Belum terisi"),"Sebagian")))))</f>
        <v>Tidak dibuka</v>
      </c>
      <c r="M62" s="76" t="str">
        <f aca="false">IF(L62="Tidak dibuka","–",IF(F62="","(tanpa age group)",F62)&amp;"  "&amp;IF(H62="","?",H62)&amp;"/"&amp;IF(G62="","?",G62)&amp;CHAR(10)&amp;IF(K62="","coach: –","coach: "&amp;K62))</f>
        <v>–</v>
      </c>
    </row>
    <row r="63" customFormat="false" ht="22.35" hidden="false" customHeight="false" outlineLevel="0" collapsed="false">
      <c r="A63" s="76" t="str">
        <f aca="false">B63&amp;"|"&amp;C63&amp;"|"&amp;D63&amp;"|"&amp;E63</f>
        <v>KLM|1|Sabtu|09:00</v>
      </c>
      <c r="B63" s="76" t="s">
        <v>61</v>
      </c>
      <c r="C63" s="76" t="n">
        <v>1</v>
      </c>
      <c r="D63" s="76" t="s">
        <v>95</v>
      </c>
      <c r="E63" s="76" t="s">
        <v>97</v>
      </c>
      <c r="F63" s="77" t="s">
        <v>242</v>
      </c>
      <c r="G63" s="77" t="n">
        <v>5</v>
      </c>
      <c r="H63" s="77" t="n">
        <v>5</v>
      </c>
      <c r="I63" s="76" t="n">
        <f aca="false">IF(AND(ISNUMBER(G63),ISNUMBER(H63)),MAX(G63-H63,0),"")</f>
        <v>0</v>
      </c>
      <c r="J63" s="78" t="n">
        <f aca="false">IF(AND(ISNUMBER(G63),ISNUMBER(H63)),IF(G63&gt;0,H63/G63,""),"")</f>
        <v>1</v>
      </c>
      <c r="K63" s="77" t="s">
        <v>195</v>
      </c>
      <c r="L63" s="76" t="str">
        <f aca="false">IF(OR(G63="",H63=""),"Data tidak lengkap",IF(AND(G63=0,H63=0),IF(AND(F63="",K63=""),"Tidak dibuka","Tutup"),IF(H63&gt;G63,"Lebih kapasitas",IF(H63=G63,"Penuh",IF(H63=0,IF(F63="","Slot kosong","Belum terisi"),"Sebagian")))))</f>
        <v>Penuh</v>
      </c>
      <c r="M63" s="79" t="str">
        <f aca="false">IF(L63="Tidak dibuka","–",IF(F63="","(tanpa age group)",F63)&amp;"  "&amp;IF(H63="","?",H63)&amp;"/"&amp;IF(G63="","?",G63)&amp;CHAR(10)&amp;IF(K63="","coach: –","coach: "&amp;K63))</f>
        <v>Baby  5/5
coach: Eka</v>
      </c>
    </row>
    <row r="64" customFormat="false" ht="22.35" hidden="false" customHeight="false" outlineLevel="0" collapsed="false">
      <c r="A64" s="76" t="str">
        <f aca="false">B64&amp;"|"&amp;C64&amp;"|"&amp;D64&amp;"|"&amp;E64</f>
        <v>KLM|1|Sabtu|09:45</v>
      </c>
      <c r="B64" s="76" t="s">
        <v>61</v>
      </c>
      <c r="C64" s="76" t="n">
        <v>1</v>
      </c>
      <c r="D64" s="76" t="s">
        <v>95</v>
      </c>
      <c r="E64" s="76" t="s">
        <v>98</v>
      </c>
      <c r="F64" s="77" t="s">
        <v>242</v>
      </c>
      <c r="G64" s="77" t="n">
        <v>5</v>
      </c>
      <c r="H64" s="77" t="n">
        <v>5</v>
      </c>
      <c r="I64" s="76" t="n">
        <f aca="false">IF(AND(ISNUMBER(G64),ISNUMBER(H64)),MAX(G64-H64,0),"")</f>
        <v>0</v>
      </c>
      <c r="J64" s="78" t="n">
        <f aca="false">IF(AND(ISNUMBER(G64),ISNUMBER(H64)),IF(G64&gt;0,H64/G64,""),"")</f>
        <v>1</v>
      </c>
      <c r="K64" s="77" t="s">
        <v>197</v>
      </c>
      <c r="L64" s="76" t="str">
        <f aca="false">IF(OR(G64="",H64=""),"Data tidak lengkap",IF(AND(G64=0,H64=0),IF(AND(F64="",K64=""),"Tidak dibuka","Tutup"),IF(H64&gt;G64,"Lebih kapasitas",IF(H64=G64,"Penuh",IF(H64=0,IF(F64="","Slot kosong","Belum terisi"),"Sebagian")))))</f>
        <v>Penuh</v>
      </c>
      <c r="M64" s="79" t="str">
        <f aca="false">IF(L64="Tidak dibuka","–",IF(F64="","(tanpa age group)",F64)&amp;"  "&amp;IF(H64="","?",H64)&amp;"/"&amp;IF(G64="","?",G64)&amp;CHAR(10)&amp;IF(K64="","coach: –","coach: "&amp;K64))</f>
        <v>Baby  5/5
coach: Rischa</v>
      </c>
    </row>
    <row r="65" customFormat="false" ht="22.35" hidden="false" customHeight="false" outlineLevel="0" collapsed="false">
      <c r="A65" s="76" t="str">
        <f aca="false">B65&amp;"|"&amp;C65&amp;"|"&amp;D65&amp;"|"&amp;E65</f>
        <v>KLM|1|Sabtu|10:30</v>
      </c>
      <c r="B65" s="76" t="s">
        <v>61</v>
      </c>
      <c r="C65" s="76" t="n">
        <v>1</v>
      </c>
      <c r="D65" s="76" t="s">
        <v>95</v>
      </c>
      <c r="E65" s="76" t="s">
        <v>99</v>
      </c>
      <c r="F65" s="77" t="s">
        <v>242</v>
      </c>
      <c r="G65" s="77" t="n">
        <v>5</v>
      </c>
      <c r="H65" s="77" t="n">
        <v>5</v>
      </c>
      <c r="I65" s="76" t="n">
        <f aca="false">IF(AND(ISNUMBER(G65),ISNUMBER(H65)),MAX(G65-H65,0),"")</f>
        <v>0</v>
      </c>
      <c r="J65" s="78" t="n">
        <f aca="false">IF(AND(ISNUMBER(G65),ISNUMBER(H65)),IF(G65&gt;0,H65/G65,""),"")</f>
        <v>1</v>
      </c>
      <c r="K65" s="77" t="s">
        <v>197</v>
      </c>
      <c r="L65" s="76" t="str">
        <f aca="false">IF(OR(G65="",H65=""),"Data tidak lengkap",IF(AND(G65=0,H65=0),IF(AND(F65="",K65=""),"Tidak dibuka","Tutup"),IF(H65&gt;G65,"Lebih kapasitas",IF(H65=G65,"Penuh",IF(H65=0,IF(F65="","Slot kosong","Belum terisi"),"Sebagian")))))</f>
        <v>Penuh</v>
      </c>
      <c r="M65" s="79" t="str">
        <f aca="false">IF(L65="Tidak dibuka","–",IF(F65="","(tanpa age group)",F65)&amp;"  "&amp;IF(H65="","?",H65)&amp;"/"&amp;IF(G65="","?",G65)&amp;CHAR(10)&amp;IF(K65="","coach: –","coach: "&amp;K65))</f>
        <v>Baby  5/5
coach: Rischa</v>
      </c>
    </row>
    <row r="66" customFormat="false" ht="22.35" hidden="false" customHeight="false" outlineLevel="0" collapsed="false">
      <c r="A66" s="76" t="str">
        <f aca="false">B66&amp;"|"&amp;C66&amp;"|"&amp;D66&amp;"|"&amp;E66</f>
        <v>KLM|1|Sabtu|11:15</v>
      </c>
      <c r="B66" s="76" t="s">
        <v>61</v>
      </c>
      <c r="C66" s="76" t="n">
        <v>1</v>
      </c>
      <c r="D66" s="76" t="s">
        <v>95</v>
      </c>
      <c r="E66" s="76" t="s">
        <v>100</v>
      </c>
      <c r="F66" s="77" t="s">
        <v>277</v>
      </c>
      <c r="G66" s="77" t="n">
        <v>4</v>
      </c>
      <c r="H66" s="77" t="n">
        <v>4</v>
      </c>
      <c r="I66" s="76" t="n">
        <f aca="false">IF(AND(ISNUMBER(G66),ISNUMBER(H66)),MAX(G66-H66,0),"")</f>
        <v>0</v>
      </c>
      <c r="J66" s="78" t="n">
        <f aca="false">IF(AND(ISNUMBER(G66),ISNUMBER(H66)),IF(G66&gt;0,H66/G66,""),"")</f>
        <v>1</v>
      </c>
      <c r="K66" s="77" t="s">
        <v>205</v>
      </c>
      <c r="L66" s="76" t="str">
        <f aca="false">IF(OR(G66="",H66=""),"Data tidak lengkap",IF(AND(G66=0,H66=0),IF(AND(F66="",K66=""),"Tidak dibuka","Tutup"),IF(H66&gt;G66,"Lebih kapasitas",IF(H66=G66,"Penuh",IF(H66=0,IF(F66="","Slot kosong","Belum terisi"),"Sebagian")))))</f>
        <v>Penuh</v>
      </c>
      <c r="M66" s="79" t="str">
        <f aca="false">IF(L66="Tidak dibuka","–",IF(F66="","(tanpa age group)",F66)&amp;"  "&amp;IF(H66="","?",H66)&amp;"/"&amp;IF(G66="","?",G66)&amp;CHAR(10)&amp;IF(K66="","coach: –","coach: "&amp;K66))</f>
        <v>Little  4/4
coach: Tessa</v>
      </c>
    </row>
    <row r="67" customFormat="false" ht="22.35" hidden="false" customHeight="false" outlineLevel="0" collapsed="false">
      <c r="A67" s="76" t="str">
        <f aca="false">B67&amp;"|"&amp;C67&amp;"|"&amp;D67&amp;"|"&amp;E67</f>
        <v>KLM|1|Sabtu|12:00</v>
      </c>
      <c r="B67" s="76" t="s">
        <v>61</v>
      </c>
      <c r="C67" s="76" t="n">
        <v>1</v>
      </c>
      <c r="D67" s="76" t="s">
        <v>95</v>
      </c>
      <c r="E67" s="76" t="s">
        <v>101</v>
      </c>
      <c r="F67" s="77" t="s">
        <v>277</v>
      </c>
      <c r="G67" s="77" t="n">
        <v>4</v>
      </c>
      <c r="H67" s="77" t="n">
        <v>2</v>
      </c>
      <c r="I67" s="76" t="n">
        <f aca="false">IF(AND(ISNUMBER(G67),ISNUMBER(H67)),MAX(G67-H67,0),"")</f>
        <v>2</v>
      </c>
      <c r="J67" s="78" t="n">
        <f aca="false">IF(AND(ISNUMBER(G67),ISNUMBER(H67)),IF(G67&gt;0,H67/G67,""),"")</f>
        <v>0.5</v>
      </c>
      <c r="K67" s="77" t="s">
        <v>202</v>
      </c>
      <c r="L67" s="76" t="str">
        <f aca="false">IF(OR(G67="",H67=""),"Data tidak lengkap",IF(AND(G67=0,H67=0),IF(AND(F67="",K67=""),"Tidak dibuka","Tutup"),IF(H67&gt;G67,"Lebih kapasitas",IF(H67=G67,"Penuh",IF(H67=0,IF(F67="","Slot kosong","Belum terisi"),"Sebagian")))))</f>
        <v>Sebagian</v>
      </c>
      <c r="M67" s="79" t="str">
        <f aca="false">IF(L67="Tidak dibuka","–",IF(F67="","(tanpa age group)",F67)&amp;"  "&amp;IF(H67="","?",H67)&amp;"/"&amp;IF(G67="","?",G67)&amp;CHAR(10)&amp;IF(K67="","coach: –","coach: "&amp;K67))</f>
        <v>Little  2/4
coach: Daffa</v>
      </c>
    </row>
    <row r="68" customFormat="false" ht="22.35" hidden="false" customHeight="false" outlineLevel="0" collapsed="false">
      <c r="A68" s="76" t="str">
        <f aca="false">B68&amp;"|"&amp;C68&amp;"|"&amp;D68&amp;"|"&amp;E68</f>
        <v>KLM|1|Sabtu|13:30</v>
      </c>
      <c r="B68" s="76" t="s">
        <v>61</v>
      </c>
      <c r="C68" s="76" t="n">
        <v>1</v>
      </c>
      <c r="D68" s="76" t="s">
        <v>95</v>
      </c>
      <c r="E68" s="76" t="s">
        <v>102</v>
      </c>
      <c r="F68" s="77" t="s">
        <v>242</v>
      </c>
      <c r="G68" s="77" t="n">
        <v>5</v>
      </c>
      <c r="H68" s="77" t="n">
        <v>5</v>
      </c>
      <c r="I68" s="76" t="n">
        <f aca="false">IF(AND(ISNUMBER(G68),ISNUMBER(H68)),MAX(G68-H68,0),"")</f>
        <v>0</v>
      </c>
      <c r="J68" s="78" t="n">
        <f aca="false">IF(AND(ISNUMBER(G68),ISNUMBER(H68)),IF(G68&gt;0,H68/G68,""),"")</f>
        <v>1</v>
      </c>
      <c r="K68" s="77" t="s">
        <v>44</v>
      </c>
      <c r="L68" s="76" t="str">
        <f aca="false">IF(OR(G68="",H68=""),"Data tidak lengkap",IF(AND(G68=0,H68=0),IF(AND(F68="",K68=""),"Tidak dibuka","Tutup"),IF(H68&gt;G68,"Lebih kapasitas",IF(H68=G68,"Penuh",IF(H68=0,IF(F68="","Slot kosong","Belum terisi"),"Sebagian")))))</f>
        <v>Penuh</v>
      </c>
      <c r="M68" s="79" t="str">
        <f aca="false">IF(L68="Tidak dibuka","–",IF(F68="","(tanpa age group)",F68)&amp;"  "&amp;IF(H68="","?",H68)&amp;"/"&amp;IF(G68="","?",G68)&amp;CHAR(10)&amp;IF(K68="","coach: –","coach: "&amp;K68))</f>
        <v>Baby  5/5
coach: Danti</v>
      </c>
    </row>
    <row r="69" customFormat="false" ht="22.35" hidden="false" customHeight="false" outlineLevel="0" collapsed="false">
      <c r="A69" s="76" t="str">
        <f aca="false">B69&amp;"|"&amp;C69&amp;"|"&amp;D69&amp;"|"&amp;E69</f>
        <v>KLM|1|Sabtu|14:15</v>
      </c>
      <c r="B69" s="76" t="s">
        <v>61</v>
      </c>
      <c r="C69" s="76" t="n">
        <v>1</v>
      </c>
      <c r="D69" s="76" t="s">
        <v>95</v>
      </c>
      <c r="E69" s="76" t="s">
        <v>103</v>
      </c>
      <c r="F69" s="77" t="s">
        <v>210</v>
      </c>
      <c r="G69" s="77" t="n">
        <v>4</v>
      </c>
      <c r="H69" s="77" t="n">
        <v>4</v>
      </c>
      <c r="I69" s="76" t="n">
        <f aca="false">IF(AND(ISNUMBER(G69),ISNUMBER(H69)),MAX(G69-H69,0),"")</f>
        <v>0</v>
      </c>
      <c r="J69" s="78" t="n">
        <f aca="false">IF(AND(ISNUMBER(G69),ISNUMBER(H69)),IF(G69&gt;0,H69/G69,""),"")</f>
        <v>1</v>
      </c>
      <c r="K69" s="77" t="s">
        <v>202</v>
      </c>
      <c r="L69" s="76" t="str">
        <f aca="false">IF(OR(G69="",H69=""),"Data tidak lengkap",IF(AND(G69=0,H69=0),IF(AND(F69="",K69=""),"Tidak dibuka","Tutup"),IF(H69&gt;G69,"Lebih kapasitas",IF(H69=G69,"Penuh",IF(H69=0,IF(F69="","Slot kosong","Belum terisi"),"Sebagian")))))</f>
        <v>Penuh</v>
      </c>
      <c r="M69" s="79" t="str">
        <f aca="false">IF(L69="Tidak dibuka","–",IF(F69="","(tanpa age group)",F69)&amp;"  "&amp;IF(H69="","?",H69)&amp;"/"&amp;IF(G69="","?",G69)&amp;CHAR(10)&amp;IF(K69="","coach: –","coach: "&amp;K69))</f>
        <v>Kids  4/4
coach: Daffa</v>
      </c>
    </row>
    <row r="70" customFormat="false" ht="22.35" hidden="false" customHeight="false" outlineLevel="0" collapsed="false">
      <c r="A70" s="76" t="str">
        <f aca="false">B70&amp;"|"&amp;C70&amp;"|"&amp;D70&amp;"|"&amp;E70</f>
        <v>KLM|1|Sabtu|15:00</v>
      </c>
      <c r="B70" s="76" t="s">
        <v>61</v>
      </c>
      <c r="C70" s="76" t="n">
        <v>1</v>
      </c>
      <c r="D70" s="76" t="s">
        <v>95</v>
      </c>
      <c r="E70" s="76" t="s">
        <v>104</v>
      </c>
      <c r="F70" s="77" t="s">
        <v>242</v>
      </c>
      <c r="G70" s="77" t="n">
        <v>5</v>
      </c>
      <c r="H70" s="77" t="n">
        <v>5</v>
      </c>
      <c r="I70" s="76" t="n">
        <f aca="false">IF(AND(ISNUMBER(G70),ISNUMBER(H70)),MAX(G70-H70,0),"")</f>
        <v>0</v>
      </c>
      <c r="J70" s="78" t="n">
        <f aca="false">IF(AND(ISNUMBER(G70),ISNUMBER(H70)),IF(G70&gt;0,H70/G70,""),"")</f>
        <v>1</v>
      </c>
      <c r="K70" s="77" t="s">
        <v>195</v>
      </c>
      <c r="L70" s="76" t="str">
        <f aca="false">IF(OR(G70="",H70=""),"Data tidak lengkap",IF(AND(G70=0,H70=0),IF(AND(F70="",K70=""),"Tidak dibuka","Tutup"),IF(H70&gt;G70,"Lebih kapasitas",IF(H70=G70,"Penuh",IF(H70=0,IF(F70="","Slot kosong","Belum terisi"),"Sebagian")))))</f>
        <v>Penuh</v>
      </c>
      <c r="M70" s="79" t="str">
        <f aca="false">IF(L70="Tidak dibuka","–",IF(F70="","(tanpa age group)",F70)&amp;"  "&amp;IF(H70="","?",H70)&amp;"/"&amp;IF(G70="","?",G70)&amp;CHAR(10)&amp;IF(K70="","coach: –","coach: "&amp;K70))</f>
        <v>Baby  5/5
coach: Eka</v>
      </c>
    </row>
    <row r="71" customFormat="false" ht="22.35" hidden="false" customHeight="false" outlineLevel="0" collapsed="false">
      <c r="A71" s="76" t="str">
        <f aca="false">B71&amp;"|"&amp;C71&amp;"|"&amp;D71&amp;"|"&amp;E71</f>
        <v>KLM|1|Sabtu|15:45</v>
      </c>
      <c r="B71" s="76" t="s">
        <v>61</v>
      </c>
      <c r="C71" s="76" t="n">
        <v>1</v>
      </c>
      <c r="D71" s="76" t="s">
        <v>95</v>
      </c>
      <c r="E71" s="76" t="s">
        <v>105</v>
      </c>
      <c r="F71" s="77" t="s">
        <v>277</v>
      </c>
      <c r="G71" s="77" t="n">
        <v>4</v>
      </c>
      <c r="H71" s="77" t="n">
        <v>4</v>
      </c>
      <c r="I71" s="76" t="n">
        <f aca="false">IF(AND(ISNUMBER(G71),ISNUMBER(H71)),MAX(G71-H71,0),"")</f>
        <v>0</v>
      </c>
      <c r="J71" s="78" t="n">
        <f aca="false">IF(AND(ISNUMBER(G71),ISNUMBER(H71)),IF(G71&gt;0,H71/G71,""),"")</f>
        <v>1</v>
      </c>
      <c r="K71" s="77" t="s">
        <v>202</v>
      </c>
      <c r="L71" s="76" t="str">
        <f aca="false">IF(OR(G71="",H71=""),"Data tidak lengkap",IF(AND(G71=0,H71=0),IF(AND(F71="",K71=""),"Tidak dibuka","Tutup"),IF(H71&gt;G71,"Lebih kapasitas",IF(H71=G71,"Penuh",IF(H71=0,IF(F71="","Slot kosong","Belum terisi"),"Sebagian")))))</f>
        <v>Penuh</v>
      </c>
      <c r="M71" s="79" t="str">
        <f aca="false">IF(L71="Tidak dibuka","–",IF(F71="","(tanpa age group)",F71)&amp;"  "&amp;IF(H71="","?",H71)&amp;"/"&amp;IF(G71="","?",G71)&amp;CHAR(10)&amp;IF(K71="","coach: –","coach: "&amp;K71))</f>
        <v>Little  4/4
coach: Daffa</v>
      </c>
    </row>
    <row r="72" customFormat="false" ht="22.35" hidden="false" customHeight="false" outlineLevel="0" collapsed="false">
      <c r="A72" s="76" t="str">
        <f aca="false">B72&amp;"|"&amp;C72&amp;"|"&amp;D72&amp;"|"&amp;E72</f>
        <v>KLM|1|Sabtu|16:30</v>
      </c>
      <c r="B72" s="76" t="s">
        <v>61</v>
      </c>
      <c r="C72" s="76" t="n">
        <v>1</v>
      </c>
      <c r="D72" s="76" t="s">
        <v>95</v>
      </c>
      <c r="E72" s="76" t="s">
        <v>106</v>
      </c>
      <c r="F72" s="77" t="s">
        <v>242</v>
      </c>
      <c r="G72" s="77" t="n">
        <v>5</v>
      </c>
      <c r="H72" s="77" t="n">
        <v>4</v>
      </c>
      <c r="I72" s="76" t="n">
        <f aca="false">IF(AND(ISNUMBER(G72),ISNUMBER(H72)),MAX(G72-H72,0),"")</f>
        <v>1</v>
      </c>
      <c r="J72" s="78" t="n">
        <f aca="false">IF(AND(ISNUMBER(G72),ISNUMBER(H72)),IF(G72&gt;0,H72/G72,""),"")</f>
        <v>0.8</v>
      </c>
      <c r="K72" s="77" t="s">
        <v>44</v>
      </c>
      <c r="L72" s="76" t="str">
        <f aca="false">IF(OR(G72="",H72=""),"Data tidak lengkap",IF(AND(G72=0,H72=0),IF(AND(F72="",K72=""),"Tidak dibuka","Tutup"),IF(H72&gt;G72,"Lebih kapasitas",IF(H72=G72,"Penuh",IF(H72=0,IF(F72="","Slot kosong","Belum terisi"),"Sebagian")))))</f>
        <v>Sebagian</v>
      </c>
      <c r="M72" s="79" t="str">
        <f aca="false">IF(L72="Tidak dibuka","–",IF(F72="","(tanpa age group)",F72)&amp;"  "&amp;IF(H72="","?",H72)&amp;"/"&amp;IF(G72="","?",G72)&amp;CHAR(10)&amp;IF(K72="","coach: –","coach: "&amp;K72))</f>
        <v>Baby  4/5
coach: Danti</v>
      </c>
    </row>
    <row r="73" customFormat="false" ht="22.35" hidden="false" customHeight="false" outlineLevel="0" collapsed="false">
      <c r="A73" s="76" t="str">
        <f aca="false">B73&amp;"|"&amp;C73&amp;"|"&amp;D73&amp;"|"&amp;E73</f>
        <v>KLM|1|Sabtu|17:15</v>
      </c>
      <c r="B73" s="76" t="s">
        <v>61</v>
      </c>
      <c r="C73" s="76" t="n">
        <v>1</v>
      </c>
      <c r="D73" s="76" t="s">
        <v>95</v>
      </c>
      <c r="E73" s="76" t="s">
        <v>107</v>
      </c>
      <c r="F73" s="77"/>
      <c r="G73" s="77" t="n">
        <v>5</v>
      </c>
      <c r="H73" s="77" t="n">
        <v>0</v>
      </c>
      <c r="I73" s="76" t="n">
        <f aca="false">IF(AND(ISNUMBER(G73),ISNUMBER(H73)),MAX(G73-H73,0),"")</f>
        <v>5</v>
      </c>
      <c r="J73" s="78" t="n">
        <f aca="false">IF(AND(ISNUMBER(G73),ISNUMBER(H73)),IF(G73&gt;0,H73/G73,""),"")</f>
        <v>0</v>
      </c>
      <c r="K73" s="77"/>
      <c r="L73" s="76" t="str">
        <f aca="false">IF(OR(G73="",H73=""),"Data tidak lengkap",IF(AND(G73=0,H73=0),IF(AND(F73="",K73=""),"Tidak dibuka","Tutup"),IF(H73&gt;G73,"Lebih kapasitas",IF(H73=G73,"Penuh",IF(H73=0,IF(F73="","Slot kosong","Belum terisi"),"Sebagian")))))</f>
        <v>Slot kosong</v>
      </c>
      <c r="M73" s="79" t="str">
        <f aca="false">IF(L73="Tidak dibuka","–",IF(F73="","(tanpa age group)",F73)&amp;"  "&amp;IF(H73="","?",H73)&amp;"/"&amp;IF(G73="","?",G73)&amp;CHAR(10)&amp;IF(K73="","coach: –","coach: "&amp;K73))</f>
        <v>(tanpa age group)  0/5
coach: –</v>
      </c>
    </row>
    <row r="74" customFormat="false" ht="15" hidden="false" customHeight="false" outlineLevel="0" collapsed="false">
      <c r="A74" s="76" t="str">
        <f aca="false">B74&amp;"|"&amp;C74&amp;"|"&amp;D74&amp;"|"&amp;E74</f>
        <v>KLM|1|Minggu|08:15</v>
      </c>
      <c r="B74" s="76" t="s">
        <v>61</v>
      </c>
      <c r="C74" s="76" t="n">
        <v>1</v>
      </c>
      <c r="D74" s="76" t="s">
        <v>78</v>
      </c>
      <c r="E74" s="76" t="s">
        <v>96</v>
      </c>
      <c r="F74" s="77"/>
      <c r="G74" s="77" t="n">
        <v>0</v>
      </c>
      <c r="H74" s="77" t="n">
        <v>0</v>
      </c>
      <c r="I74" s="76" t="n">
        <f aca="false">IF(AND(ISNUMBER(G74),ISNUMBER(H74)),MAX(G74-H74,0),"")</f>
        <v>0</v>
      </c>
      <c r="J74" s="78" t="str">
        <f aca="false">IF(AND(ISNUMBER(G74),ISNUMBER(H74)),IF(G74&gt;0,H74/G74,""),"")</f>
        <v/>
      </c>
      <c r="K74" s="77"/>
      <c r="L74" s="76" t="str">
        <f aca="false">IF(OR(G74="",H74=""),"Data tidak lengkap",IF(AND(G74=0,H74=0),IF(AND(F74="",K74=""),"Tidak dibuka","Tutup"),IF(H74&gt;G74,"Lebih kapasitas",IF(H74=G74,"Penuh",IF(H74=0,IF(F74="","Slot kosong","Belum terisi"),"Sebagian")))))</f>
        <v>Tidak dibuka</v>
      </c>
      <c r="M74" s="76" t="str">
        <f aca="false">IF(L74="Tidak dibuka","–",IF(F74="","(tanpa age group)",F74)&amp;"  "&amp;IF(H74="","?",H74)&amp;"/"&amp;IF(G74="","?",G74)&amp;CHAR(10)&amp;IF(K74="","coach: –","coach: "&amp;K74))</f>
        <v>–</v>
      </c>
    </row>
    <row r="75" customFormat="false" ht="22.35" hidden="false" customHeight="false" outlineLevel="0" collapsed="false">
      <c r="A75" s="76" t="str">
        <f aca="false">B75&amp;"|"&amp;C75&amp;"|"&amp;D75&amp;"|"&amp;E75</f>
        <v>KLM|1|Minggu|09:00</v>
      </c>
      <c r="B75" s="76" t="s">
        <v>61</v>
      </c>
      <c r="C75" s="76" t="n">
        <v>1</v>
      </c>
      <c r="D75" s="76" t="s">
        <v>78</v>
      </c>
      <c r="E75" s="76" t="s">
        <v>97</v>
      </c>
      <c r="F75" s="77" t="s">
        <v>242</v>
      </c>
      <c r="G75" s="77" t="n">
        <v>5</v>
      </c>
      <c r="H75" s="77" t="n">
        <v>5</v>
      </c>
      <c r="I75" s="76" t="n">
        <f aca="false">IF(AND(ISNUMBER(G75),ISNUMBER(H75)),MAX(G75-H75,0),"")</f>
        <v>0</v>
      </c>
      <c r="J75" s="78" t="n">
        <f aca="false">IF(AND(ISNUMBER(G75),ISNUMBER(H75)),IF(G75&gt;0,H75/G75,""),"")</f>
        <v>1</v>
      </c>
      <c r="K75" s="77" t="s">
        <v>197</v>
      </c>
      <c r="L75" s="76" t="str">
        <f aca="false">IF(OR(G75="",H75=""),"Data tidak lengkap",IF(AND(G75=0,H75=0),IF(AND(F75="",K75=""),"Tidak dibuka","Tutup"),IF(H75&gt;G75,"Lebih kapasitas",IF(H75=G75,"Penuh",IF(H75=0,IF(F75="","Slot kosong","Belum terisi"),"Sebagian")))))</f>
        <v>Penuh</v>
      </c>
      <c r="M75" s="79" t="str">
        <f aca="false">IF(L75="Tidak dibuka","–",IF(F75="","(tanpa age group)",F75)&amp;"  "&amp;IF(H75="","?",H75)&amp;"/"&amp;IF(G75="","?",G75)&amp;CHAR(10)&amp;IF(K75="","coach: –","coach: "&amp;K75))</f>
        <v>Baby  5/5
coach: Rischa</v>
      </c>
    </row>
    <row r="76" customFormat="false" ht="22.35" hidden="false" customHeight="false" outlineLevel="0" collapsed="false">
      <c r="A76" s="76" t="str">
        <f aca="false">B76&amp;"|"&amp;C76&amp;"|"&amp;D76&amp;"|"&amp;E76</f>
        <v>KLM|1|Minggu|09:45</v>
      </c>
      <c r="B76" s="76" t="s">
        <v>61</v>
      </c>
      <c r="C76" s="76" t="n">
        <v>1</v>
      </c>
      <c r="D76" s="76" t="s">
        <v>78</v>
      </c>
      <c r="E76" s="76" t="s">
        <v>98</v>
      </c>
      <c r="F76" s="77" t="s">
        <v>242</v>
      </c>
      <c r="G76" s="77" t="n">
        <v>5</v>
      </c>
      <c r="H76" s="77" t="n">
        <v>5</v>
      </c>
      <c r="I76" s="76" t="n">
        <f aca="false">IF(AND(ISNUMBER(G76),ISNUMBER(H76)),MAX(G76-H76,0),"")</f>
        <v>0</v>
      </c>
      <c r="J76" s="78" t="n">
        <f aca="false">IF(AND(ISNUMBER(G76),ISNUMBER(H76)),IF(G76&gt;0,H76/G76,""),"")</f>
        <v>1</v>
      </c>
      <c r="K76" s="77" t="s">
        <v>200</v>
      </c>
      <c r="L76" s="76" t="str">
        <f aca="false">IF(OR(G76="",H76=""),"Data tidak lengkap",IF(AND(G76=0,H76=0),IF(AND(F76="",K76=""),"Tidak dibuka","Tutup"),IF(H76&gt;G76,"Lebih kapasitas",IF(H76=G76,"Penuh",IF(H76=0,IF(F76="","Slot kosong","Belum terisi"),"Sebagian")))))</f>
        <v>Penuh</v>
      </c>
      <c r="M76" s="79" t="str">
        <f aca="false">IF(L76="Tidak dibuka","–",IF(F76="","(tanpa age group)",F76)&amp;"  "&amp;IF(H76="","?",H76)&amp;"/"&amp;IF(G76="","?",G76)&amp;CHAR(10)&amp;IF(K76="","coach: –","coach: "&amp;K76))</f>
        <v>Baby  5/5
coach: Zidane</v>
      </c>
    </row>
    <row r="77" customFormat="false" ht="22.35" hidden="false" customHeight="false" outlineLevel="0" collapsed="false">
      <c r="A77" s="76" t="str">
        <f aca="false">B77&amp;"|"&amp;C77&amp;"|"&amp;D77&amp;"|"&amp;E77</f>
        <v>KLM|1|Minggu|10:30</v>
      </c>
      <c r="B77" s="76" t="s">
        <v>61</v>
      </c>
      <c r="C77" s="76" t="n">
        <v>1</v>
      </c>
      <c r="D77" s="76" t="s">
        <v>78</v>
      </c>
      <c r="E77" s="76" t="s">
        <v>99</v>
      </c>
      <c r="F77" s="77" t="s">
        <v>242</v>
      </c>
      <c r="G77" s="77" t="n">
        <v>5</v>
      </c>
      <c r="H77" s="77" t="n">
        <v>4</v>
      </c>
      <c r="I77" s="76" t="n">
        <f aca="false">IF(AND(ISNUMBER(G77),ISNUMBER(H77)),MAX(G77-H77,0),"")</f>
        <v>1</v>
      </c>
      <c r="J77" s="78" t="n">
        <f aca="false">IF(AND(ISNUMBER(G77),ISNUMBER(H77)),IF(G77&gt;0,H77/G77,""),"")</f>
        <v>0.8</v>
      </c>
      <c r="K77" s="77" t="s">
        <v>201</v>
      </c>
      <c r="L77" s="76" t="str">
        <f aca="false">IF(OR(G77="",H77=""),"Data tidak lengkap",IF(AND(G77=0,H77=0),IF(AND(F77="",K77=""),"Tidak dibuka","Tutup"),IF(H77&gt;G77,"Lebih kapasitas",IF(H77=G77,"Penuh",IF(H77=0,IF(F77="","Slot kosong","Belum terisi"),"Sebagian")))))</f>
        <v>Sebagian</v>
      </c>
      <c r="M77" s="79" t="str">
        <f aca="false">IF(L77="Tidak dibuka","–",IF(F77="","(tanpa age group)",F77)&amp;"  "&amp;IF(H77="","?",H77)&amp;"/"&amp;IF(G77="","?",G77)&amp;CHAR(10)&amp;IF(K77="","coach: –","coach: "&amp;K77))</f>
        <v>Baby  4/5
coach: Nuky</v>
      </c>
    </row>
    <row r="78" customFormat="false" ht="22.35" hidden="false" customHeight="false" outlineLevel="0" collapsed="false">
      <c r="A78" s="76" t="str">
        <f aca="false">B78&amp;"|"&amp;C78&amp;"|"&amp;D78&amp;"|"&amp;E78</f>
        <v>KLM|1|Minggu|11:15</v>
      </c>
      <c r="B78" s="76" t="s">
        <v>61</v>
      </c>
      <c r="C78" s="76" t="n">
        <v>1</v>
      </c>
      <c r="D78" s="76" t="s">
        <v>78</v>
      </c>
      <c r="E78" s="76" t="s">
        <v>100</v>
      </c>
      <c r="F78" s="77" t="s">
        <v>277</v>
      </c>
      <c r="G78" s="77" t="n">
        <v>4</v>
      </c>
      <c r="H78" s="77" t="n">
        <v>4</v>
      </c>
      <c r="I78" s="76" t="n">
        <f aca="false">IF(AND(ISNUMBER(G78),ISNUMBER(H78)),MAX(G78-H78,0),"")</f>
        <v>0</v>
      </c>
      <c r="J78" s="78" t="n">
        <f aca="false">IF(AND(ISNUMBER(G78),ISNUMBER(H78)),IF(G78&gt;0,H78/G78,""),"")</f>
        <v>1</v>
      </c>
      <c r="K78" s="77" t="s">
        <v>207</v>
      </c>
      <c r="L78" s="76" t="str">
        <f aca="false">IF(OR(G78="",H78=""),"Data tidak lengkap",IF(AND(G78=0,H78=0),IF(AND(F78="",K78=""),"Tidak dibuka","Tutup"),IF(H78&gt;G78,"Lebih kapasitas",IF(H78=G78,"Penuh",IF(H78=0,IF(F78="","Slot kosong","Belum terisi"),"Sebagian")))))</f>
        <v>Penuh</v>
      </c>
      <c r="M78" s="79" t="str">
        <f aca="false">IF(L78="Tidak dibuka","–",IF(F78="","(tanpa age group)",F78)&amp;"  "&amp;IF(H78="","?",H78)&amp;"/"&amp;IF(G78="","?",G78)&amp;CHAR(10)&amp;IF(K78="","coach: –","coach: "&amp;K78))</f>
        <v>Little  4/4
coach: Gita</v>
      </c>
    </row>
    <row r="79" customFormat="false" ht="22.35" hidden="false" customHeight="false" outlineLevel="0" collapsed="false">
      <c r="A79" s="76" t="str">
        <f aca="false">B79&amp;"|"&amp;C79&amp;"|"&amp;D79&amp;"|"&amp;E79</f>
        <v>KLM|1|Minggu|12:00</v>
      </c>
      <c r="B79" s="76" t="s">
        <v>61</v>
      </c>
      <c r="C79" s="76" t="n">
        <v>1</v>
      </c>
      <c r="D79" s="76" t="s">
        <v>78</v>
      </c>
      <c r="E79" s="76" t="s">
        <v>101</v>
      </c>
      <c r="F79" s="77"/>
      <c r="G79" s="77" t="n">
        <v>5</v>
      </c>
      <c r="H79" s="77" t="n">
        <v>0</v>
      </c>
      <c r="I79" s="76" t="n">
        <f aca="false">IF(AND(ISNUMBER(G79),ISNUMBER(H79)),MAX(G79-H79,0),"")</f>
        <v>5</v>
      </c>
      <c r="J79" s="78" t="n">
        <f aca="false">IF(AND(ISNUMBER(G79),ISNUMBER(H79)),IF(G79&gt;0,H79/G79,""),"")</f>
        <v>0</v>
      </c>
      <c r="K79" s="77"/>
      <c r="L79" s="76" t="str">
        <f aca="false">IF(OR(G79="",H79=""),"Data tidak lengkap",IF(AND(G79=0,H79=0),IF(AND(F79="",K79=""),"Tidak dibuka","Tutup"),IF(H79&gt;G79,"Lebih kapasitas",IF(H79=G79,"Penuh",IF(H79=0,IF(F79="","Slot kosong","Belum terisi"),"Sebagian")))))</f>
        <v>Slot kosong</v>
      </c>
      <c r="M79" s="79" t="str">
        <f aca="false">IF(L79="Tidak dibuka","–",IF(F79="","(tanpa age group)",F79)&amp;"  "&amp;IF(H79="","?",H79)&amp;"/"&amp;IF(G79="","?",G79)&amp;CHAR(10)&amp;IF(K79="","coach: –","coach: "&amp;K79))</f>
        <v>(tanpa age group)  0/5
coach: –</v>
      </c>
    </row>
    <row r="80" customFormat="false" ht="22.35" hidden="false" customHeight="false" outlineLevel="0" collapsed="false">
      <c r="A80" s="76" t="str">
        <f aca="false">B80&amp;"|"&amp;C80&amp;"|"&amp;D80&amp;"|"&amp;E80</f>
        <v>KLM|1|Minggu|13:30</v>
      </c>
      <c r="B80" s="76" t="s">
        <v>61</v>
      </c>
      <c r="C80" s="76" t="n">
        <v>1</v>
      </c>
      <c r="D80" s="76" t="s">
        <v>78</v>
      </c>
      <c r="E80" s="76" t="s">
        <v>102</v>
      </c>
      <c r="F80" s="77" t="s">
        <v>242</v>
      </c>
      <c r="G80" s="77" t="n">
        <v>5</v>
      </c>
      <c r="H80" s="77" t="n">
        <v>3</v>
      </c>
      <c r="I80" s="76" t="n">
        <f aca="false">IF(AND(ISNUMBER(G80),ISNUMBER(H80)),MAX(G80-H80,0),"")</f>
        <v>2</v>
      </c>
      <c r="J80" s="78" t="n">
        <f aca="false">IF(AND(ISNUMBER(G80),ISNUMBER(H80)),IF(G80&gt;0,H80/G80,""),"")</f>
        <v>0.6</v>
      </c>
      <c r="K80" s="77" t="s">
        <v>195</v>
      </c>
      <c r="L80" s="76" t="str">
        <f aca="false">IF(OR(G80="",H80=""),"Data tidak lengkap",IF(AND(G80=0,H80=0),IF(AND(F80="",K80=""),"Tidak dibuka","Tutup"),IF(H80&gt;G80,"Lebih kapasitas",IF(H80=G80,"Penuh",IF(H80=0,IF(F80="","Slot kosong","Belum terisi"),"Sebagian")))))</f>
        <v>Sebagian</v>
      </c>
      <c r="M80" s="79" t="str">
        <f aca="false">IF(L80="Tidak dibuka","–",IF(F80="","(tanpa age group)",F80)&amp;"  "&amp;IF(H80="","?",H80)&amp;"/"&amp;IF(G80="","?",G80)&amp;CHAR(10)&amp;IF(K80="","coach: –","coach: "&amp;K80))</f>
        <v>Baby  3/5
coach: Eka</v>
      </c>
    </row>
    <row r="81" customFormat="false" ht="22.35" hidden="false" customHeight="false" outlineLevel="0" collapsed="false">
      <c r="A81" s="76" t="str">
        <f aca="false">B81&amp;"|"&amp;C81&amp;"|"&amp;D81&amp;"|"&amp;E81</f>
        <v>KLM|1|Minggu|14:15</v>
      </c>
      <c r="B81" s="76" t="s">
        <v>61</v>
      </c>
      <c r="C81" s="76" t="n">
        <v>1</v>
      </c>
      <c r="D81" s="76" t="s">
        <v>78</v>
      </c>
      <c r="E81" s="76" t="s">
        <v>103</v>
      </c>
      <c r="F81" s="77" t="s">
        <v>210</v>
      </c>
      <c r="G81" s="77" t="n">
        <v>4</v>
      </c>
      <c r="H81" s="77" t="n">
        <v>4</v>
      </c>
      <c r="I81" s="76" t="n">
        <f aca="false">IF(AND(ISNUMBER(G81),ISNUMBER(H81)),MAX(G81-H81,0),"")</f>
        <v>0</v>
      </c>
      <c r="J81" s="78" t="n">
        <f aca="false">IF(AND(ISNUMBER(G81),ISNUMBER(H81)),IF(G81&gt;0,H81/G81,""),"")</f>
        <v>1</v>
      </c>
      <c r="K81" s="77" t="s">
        <v>44</v>
      </c>
      <c r="L81" s="76" t="str">
        <f aca="false">IF(OR(G81="",H81=""),"Data tidak lengkap",IF(AND(G81=0,H81=0),IF(AND(F81="",K81=""),"Tidak dibuka","Tutup"),IF(H81&gt;G81,"Lebih kapasitas",IF(H81=G81,"Penuh",IF(H81=0,IF(F81="","Slot kosong","Belum terisi"),"Sebagian")))))</f>
        <v>Penuh</v>
      </c>
      <c r="M81" s="79" t="str">
        <f aca="false">IF(L81="Tidak dibuka","–",IF(F81="","(tanpa age group)",F81)&amp;"  "&amp;IF(H81="","?",H81)&amp;"/"&amp;IF(G81="","?",G81)&amp;CHAR(10)&amp;IF(K81="","coach: –","coach: "&amp;K81))</f>
        <v>Kids  4/4
coach: Danti</v>
      </c>
    </row>
    <row r="82" customFormat="false" ht="22.35" hidden="false" customHeight="false" outlineLevel="0" collapsed="false">
      <c r="A82" s="76" t="str">
        <f aca="false">B82&amp;"|"&amp;C82&amp;"|"&amp;D82&amp;"|"&amp;E82</f>
        <v>KLM|1|Minggu|15:00</v>
      </c>
      <c r="B82" s="76" t="s">
        <v>61</v>
      </c>
      <c r="C82" s="76" t="n">
        <v>1</v>
      </c>
      <c r="D82" s="76" t="s">
        <v>78</v>
      </c>
      <c r="E82" s="76" t="s">
        <v>104</v>
      </c>
      <c r="F82" s="77" t="s">
        <v>242</v>
      </c>
      <c r="G82" s="77" t="n">
        <v>5</v>
      </c>
      <c r="H82" s="77" t="n">
        <v>4</v>
      </c>
      <c r="I82" s="76" t="n">
        <f aca="false">IF(AND(ISNUMBER(G82),ISNUMBER(H82)),MAX(G82-H82,0),"")</f>
        <v>1</v>
      </c>
      <c r="J82" s="78" t="n">
        <f aca="false">IF(AND(ISNUMBER(G82),ISNUMBER(H82)),IF(G82&gt;0,H82/G82,""),"")</f>
        <v>0.8</v>
      </c>
      <c r="K82" s="77" t="s">
        <v>200</v>
      </c>
      <c r="L82" s="76" t="str">
        <f aca="false">IF(OR(G82="",H82=""),"Data tidak lengkap",IF(AND(G82=0,H82=0),IF(AND(F82="",K82=""),"Tidak dibuka","Tutup"),IF(H82&gt;G82,"Lebih kapasitas",IF(H82=G82,"Penuh",IF(H82=0,IF(F82="","Slot kosong","Belum terisi"),"Sebagian")))))</f>
        <v>Sebagian</v>
      </c>
      <c r="M82" s="79" t="str">
        <f aca="false">IF(L82="Tidak dibuka","–",IF(F82="","(tanpa age group)",F82)&amp;"  "&amp;IF(H82="","?",H82)&amp;"/"&amp;IF(G82="","?",G82)&amp;CHAR(10)&amp;IF(K82="","coach: –","coach: "&amp;K82))</f>
        <v>Baby  4/5
coach: Zidane</v>
      </c>
    </row>
    <row r="83" customFormat="false" ht="22.35" hidden="false" customHeight="false" outlineLevel="0" collapsed="false">
      <c r="A83" s="76" t="str">
        <f aca="false">B83&amp;"|"&amp;C83&amp;"|"&amp;D83&amp;"|"&amp;E83</f>
        <v>KLM|1|Minggu|15:45</v>
      </c>
      <c r="B83" s="76" t="s">
        <v>61</v>
      </c>
      <c r="C83" s="76" t="n">
        <v>1</v>
      </c>
      <c r="D83" s="76" t="s">
        <v>78</v>
      </c>
      <c r="E83" s="76" t="s">
        <v>105</v>
      </c>
      <c r="F83" s="77" t="s">
        <v>210</v>
      </c>
      <c r="G83" s="77" t="n">
        <v>4</v>
      </c>
      <c r="H83" s="77" t="n">
        <v>2</v>
      </c>
      <c r="I83" s="76" t="n">
        <f aca="false">IF(AND(ISNUMBER(G83),ISNUMBER(H83)),MAX(G83-H83,0),"")</f>
        <v>2</v>
      </c>
      <c r="J83" s="78" t="n">
        <f aca="false">IF(AND(ISNUMBER(G83),ISNUMBER(H83)),IF(G83&gt;0,H83/G83,""),"")</f>
        <v>0.5</v>
      </c>
      <c r="K83" s="77" t="s">
        <v>200</v>
      </c>
      <c r="L83" s="76" t="str">
        <f aca="false">IF(OR(G83="",H83=""),"Data tidak lengkap",IF(AND(G83=0,H83=0),IF(AND(F83="",K83=""),"Tidak dibuka","Tutup"),IF(H83&gt;G83,"Lebih kapasitas",IF(H83=G83,"Penuh",IF(H83=0,IF(F83="","Slot kosong","Belum terisi"),"Sebagian")))))</f>
        <v>Sebagian</v>
      </c>
      <c r="M83" s="79" t="str">
        <f aca="false">IF(L83="Tidak dibuka","–",IF(F83="","(tanpa age group)",F83)&amp;"  "&amp;IF(H83="","?",H83)&amp;"/"&amp;IF(G83="","?",G83)&amp;CHAR(10)&amp;IF(K83="","coach: –","coach: "&amp;K83))</f>
        <v>Kids  2/4
coach: Zidane</v>
      </c>
    </row>
    <row r="84" customFormat="false" ht="22.35" hidden="false" customHeight="false" outlineLevel="0" collapsed="false">
      <c r="A84" s="76" t="str">
        <f aca="false">B84&amp;"|"&amp;C84&amp;"|"&amp;D84&amp;"|"&amp;E84</f>
        <v>KLM|1|Minggu|16:30</v>
      </c>
      <c r="B84" s="76" t="s">
        <v>61</v>
      </c>
      <c r="C84" s="76" t="n">
        <v>1</v>
      </c>
      <c r="D84" s="76" t="s">
        <v>78</v>
      </c>
      <c r="E84" s="76" t="s">
        <v>106</v>
      </c>
      <c r="F84" s="77" t="s">
        <v>277</v>
      </c>
      <c r="G84" s="77" t="n">
        <v>4</v>
      </c>
      <c r="H84" s="77" t="n">
        <v>1</v>
      </c>
      <c r="I84" s="76" t="n">
        <f aca="false">IF(AND(ISNUMBER(G84),ISNUMBER(H84)),MAX(G84-H84,0),"")</f>
        <v>3</v>
      </c>
      <c r="J84" s="78" t="n">
        <f aca="false">IF(AND(ISNUMBER(G84),ISNUMBER(H84)),IF(G84&gt;0,H84/G84,""),"")</f>
        <v>0.25</v>
      </c>
      <c r="K84" s="77" t="s">
        <v>204</v>
      </c>
      <c r="L84" s="76" t="str">
        <f aca="false">IF(OR(G84="",H84=""),"Data tidak lengkap",IF(AND(G84=0,H84=0),IF(AND(F84="",K84=""),"Tidak dibuka","Tutup"),IF(H84&gt;G84,"Lebih kapasitas",IF(H84=G84,"Penuh",IF(H84=0,IF(F84="","Slot kosong","Belum terisi"),"Sebagian")))))</f>
        <v>Sebagian</v>
      </c>
      <c r="M84" s="79" t="str">
        <f aca="false">IF(L84="Tidak dibuka","–",IF(F84="","(tanpa age group)",F84)&amp;"  "&amp;IF(H84="","?",H84)&amp;"/"&amp;IF(G84="","?",G84)&amp;CHAR(10)&amp;IF(K84="","coach: –","coach: "&amp;K84))</f>
        <v>Little  1/4
coach: Dian</v>
      </c>
    </row>
    <row r="85" customFormat="false" ht="22.35" hidden="false" customHeight="false" outlineLevel="0" collapsed="false">
      <c r="A85" s="76" t="str">
        <f aca="false">B85&amp;"|"&amp;C85&amp;"|"&amp;D85&amp;"|"&amp;E85</f>
        <v>KLM|1|Minggu|17:15</v>
      </c>
      <c r="B85" s="76" t="s">
        <v>61</v>
      </c>
      <c r="C85" s="76" t="n">
        <v>1</v>
      </c>
      <c r="D85" s="76" t="s">
        <v>78</v>
      </c>
      <c r="E85" s="76" t="s">
        <v>107</v>
      </c>
      <c r="F85" s="77"/>
      <c r="G85" s="77" t="n">
        <v>5</v>
      </c>
      <c r="H85" s="77" t="n">
        <v>0</v>
      </c>
      <c r="I85" s="76" t="n">
        <f aca="false">IF(AND(ISNUMBER(G85),ISNUMBER(H85)),MAX(G85-H85,0),"")</f>
        <v>5</v>
      </c>
      <c r="J85" s="78" t="n">
        <f aca="false">IF(AND(ISNUMBER(G85),ISNUMBER(H85)),IF(G85&gt;0,H85/G85,""),"")</f>
        <v>0</v>
      </c>
      <c r="K85" s="77"/>
      <c r="L85" s="76" t="str">
        <f aca="false">IF(OR(G85="",H85=""),"Data tidak lengkap",IF(AND(G85=0,H85=0),IF(AND(F85="",K85=""),"Tidak dibuka","Tutup"),IF(H85&gt;G85,"Lebih kapasitas",IF(H85=G85,"Penuh",IF(H85=0,IF(F85="","Slot kosong","Belum terisi"),"Sebagian")))))</f>
        <v>Slot kosong</v>
      </c>
      <c r="M85" s="79" t="str">
        <f aca="false">IF(L85="Tidak dibuka","–",IF(F85="","(tanpa age group)",F85)&amp;"  "&amp;IF(H85="","?",H85)&amp;"/"&amp;IF(G85="","?",G85)&amp;CHAR(10)&amp;IF(K85="","coach: –","coach: "&amp;K85))</f>
        <v>(tanpa age group)  0/5
coach: –</v>
      </c>
    </row>
    <row r="86" customFormat="false" ht="22.35" hidden="false" customHeight="false" outlineLevel="0" collapsed="false">
      <c r="A86" s="76" t="str">
        <f aca="false">B86&amp;"|"&amp;C86&amp;"|"&amp;D86&amp;"|"&amp;E86</f>
        <v>KLM|2|Senin|08:15</v>
      </c>
      <c r="B86" s="76" t="s">
        <v>61</v>
      </c>
      <c r="C86" s="76" t="n">
        <v>2</v>
      </c>
      <c r="D86" s="76" t="s">
        <v>90</v>
      </c>
      <c r="E86" s="76" t="s">
        <v>96</v>
      </c>
      <c r="F86" s="77" t="s">
        <v>42</v>
      </c>
      <c r="G86" s="77" t="n">
        <v>0</v>
      </c>
      <c r="H86" s="77" t="n">
        <v>0</v>
      </c>
      <c r="I86" s="76" t="n">
        <f aca="false">IF(AND(ISNUMBER(G86),ISNUMBER(H86)),MAX(G86-H86,0),"")</f>
        <v>0</v>
      </c>
      <c r="J86" s="78" t="str">
        <f aca="false">IF(AND(ISNUMBER(G86),ISNUMBER(H86)),IF(G86&gt;0,H86/G86,""),"")</f>
        <v/>
      </c>
      <c r="K86" s="77"/>
      <c r="L86" s="76" t="str">
        <f aca="false">IF(OR(G86="",H86=""),"Data tidak lengkap",IF(AND(G86=0,H86=0),IF(AND(F86="",K86=""),"Tidak dibuka","Tutup"),IF(H86&gt;G86,"Lebih kapasitas",IF(H86=G86,"Penuh",IF(H86=0,IF(F86="","Slot kosong","Belum terisi"),"Sebagian")))))</f>
        <v>Tutup</v>
      </c>
      <c r="M86" s="79" t="str">
        <f aca="false">IF(L86="Tidak dibuka","–",IF(F86="","(tanpa age group)",F86)&amp;"  "&amp;IF(H86="","?",H86)&amp;"/"&amp;IF(G86="","?",G86)&amp;CHAR(10)&amp;IF(K86="","coach: –","coach: "&amp;K86))</f>
        <v>Tiny  0/0
coach: –</v>
      </c>
    </row>
    <row r="87" customFormat="false" ht="22.35" hidden="false" customHeight="false" outlineLevel="0" collapsed="false">
      <c r="A87" s="76" t="str">
        <f aca="false">B87&amp;"|"&amp;C87&amp;"|"&amp;D87&amp;"|"&amp;E87</f>
        <v>KLM|2|Senin|09:00</v>
      </c>
      <c r="B87" s="76" t="s">
        <v>61</v>
      </c>
      <c r="C87" s="76" t="n">
        <v>2</v>
      </c>
      <c r="D87" s="76" t="s">
        <v>90</v>
      </c>
      <c r="E87" s="76" t="s">
        <v>97</v>
      </c>
      <c r="F87" s="77" t="s">
        <v>42</v>
      </c>
      <c r="G87" s="77" t="n">
        <v>5</v>
      </c>
      <c r="H87" s="77" t="n">
        <v>3</v>
      </c>
      <c r="I87" s="76" t="n">
        <f aca="false">IF(AND(ISNUMBER(G87),ISNUMBER(H87)),MAX(G87-H87,0),"")</f>
        <v>2</v>
      </c>
      <c r="J87" s="78" t="n">
        <f aca="false">IF(AND(ISNUMBER(G87),ISNUMBER(H87)),IF(G87&gt;0,H87/G87,""),"")</f>
        <v>0.6</v>
      </c>
      <c r="K87" s="77" t="s">
        <v>200</v>
      </c>
      <c r="L87" s="76" t="str">
        <f aca="false">IF(OR(G87="",H87=""),"Data tidak lengkap",IF(AND(G87=0,H87=0),IF(AND(F87="",K87=""),"Tidak dibuka","Tutup"),IF(H87&gt;G87,"Lebih kapasitas",IF(H87=G87,"Penuh",IF(H87=0,IF(F87="","Slot kosong","Belum terisi"),"Sebagian")))))</f>
        <v>Sebagian</v>
      </c>
      <c r="M87" s="79" t="str">
        <f aca="false">IF(L87="Tidak dibuka","–",IF(F87="","(tanpa age group)",F87)&amp;"  "&amp;IF(H87="","?",H87)&amp;"/"&amp;IF(G87="","?",G87)&amp;CHAR(10)&amp;IF(K87="","coach: –","coach: "&amp;K87))</f>
        <v>Tiny  3/5
coach: Zidane</v>
      </c>
    </row>
    <row r="88" customFormat="false" ht="22.35" hidden="false" customHeight="false" outlineLevel="0" collapsed="false">
      <c r="A88" s="76" t="str">
        <f aca="false">B88&amp;"|"&amp;C88&amp;"|"&amp;D88&amp;"|"&amp;E88</f>
        <v>KLM|2|Senin|09:45</v>
      </c>
      <c r="B88" s="76" t="s">
        <v>61</v>
      </c>
      <c r="C88" s="76" t="n">
        <v>2</v>
      </c>
      <c r="D88" s="76" t="s">
        <v>90</v>
      </c>
      <c r="E88" s="76" t="s">
        <v>98</v>
      </c>
      <c r="F88" s="77" t="s">
        <v>42</v>
      </c>
      <c r="G88" s="77" t="n">
        <v>5</v>
      </c>
      <c r="H88" s="77" t="n">
        <v>3</v>
      </c>
      <c r="I88" s="76" t="n">
        <f aca="false">IF(AND(ISNUMBER(G88),ISNUMBER(H88)),MAX(G88-H88,0),"")</f>
        <v>2</v>
      </c>
      <c r="J88" s="78" t="n">
        <f aca="false">IF(AND(ISNUMBER(G88),ISNUMBER(H88)),IF(G88&gt;0,H88/G88,""),"")</f>
        <v>0.6</v>
      </c>
      <c r="K88" s="77" t="s">
        <v>200</v>
      </c>
      <c r="L88" s="76" t="str">
        <f aca="false">IF(OR(G88="",H88=""),"Data tidak lengkap",IF(AND(G88=0,H88=0),IF(AND(F88="",K88=""),"Tidak dibuka","Tutup"),IF(H88&gt;G88,"Lebih kapasitas",IF(H88=G88,"Penuh",IF(H88=0,IF(F88="","Slot kosong","Belum terisi"),"Sebagian")))))</f>
        <v>Sebagian</v>
      </c>
      <c r="M88" s="79" t="str">
        <f aca="false">IF(L88="Tidak dibuka","–",IF(F88="","(tanpa age group)",F88)&amp;"  "&amp;IF(H88="","?",H88)&amp;"/"&amp;IF(G88="","?",G88)&amp;CHAR(10)&amp;IF(K88="","coach: –","coach: "&amp;K88))</f>
        <v>Tiny  3/5
coach: Zidane</v>
      </c>
    </row>
    <row r="89" customFormat="false" ht="22.35" hidden="false" customHeight="false" outlineLevel="0" collapsed="false">
      <c r="A89" s="76" t="str">
        <f aca="false">B89&amp;"|"&amp;C89&amp;"|"&amp;D89&amp;"|"&amp;E89</f>
        <v>KLM|2|Senin|10:30</v>
      </c>
      <c r="B89" s="76" t="s">
        <v>61</v>
      </c>
      <c r="C89" s="76" t="n">
        <v>2</v>
      </c>
      <c r="D89" s="76" t="s">
        <v>90</v>
      </c>
      <c r="E89" s="76" t="s">
        <v>99</v>
      </c>
      <c r="F89" s="77" t="s">
        <v>42</v>
      </c>
      <c r="G89" s="77" t="n">
        <v>5</v>
      </c>
      <c r="H89" s="77" t="n">
        <v>0</v>
      </c>
      <c r="I89" s="76" t="n">
        <f aca="false">IF(AND(ISNUMBER(G89),ISNUMBER(H89)),MAX(G89-H89,0),"")</f>
        <v>5</v>
      </c>
      <c r="J89" s="78" t="n">
        <f aca="false">IF(AND(ISNUMBER(G89),ISNUMBER(H89)),IF(G89&gt;0,H89/G89,""),"")</f>
        <v>0</v>
      </c>
      <c r="K89" s="77"/>
      <c r="L89" s="76" t="str">
        <f aca="false">IF(OR(G89="",H89=""),"Data tidak lengkap",IF(AND(G89=0,H89=0),IF(AND(F89="",K89=""),"Tidak dibuka","Tutup"),IF(H89&gt;G89,"Lebih kapasitas",IF(H89=G89,"Penuh",IF(H89=0,IF(F89="","Slot kosong","Belum terisi"),"Sebagian")))))</f>
        <v>Belum terisi</v>
      </c>
      <c r="M89" s="79" t="str">
        <f aca="false">IF(L89="Tidak dibuka","–",IF(F89="","(tanpa age group)",F89)&amp;"  "&amp;IF(H89="","?",H89)&amp;"/"&amp;IF(G89="","?",G89)&amp;CHAR(10)&amp;IF(K89="","coach: –","coach: "&amp;K89))</f>
        <v>Tiny  0/5
coach: –</v>
      </c>
    </row>
    <row r="90" customFormat="false" ht="22.35" hidden="false" customHeight="false" outlineLevel="0" collapsed="false">
      <c r="A90" s="76" t="str">
        <f aca="false">B90&amp;"|"&amp;C90&amp;"|"&amp;D90&amp;"|"&amp;E90</f>
        <v>KLM|2|Senin|11:15</v>
      </c>
      <c r="B90" s="76" t="s">
        <v>61</v>
      </c>
      <c r="C90" s="76" t="n">
        <v>2</v>
      </c>
      <c r="D90" s="76" t="s">
        <v>90</v>
      </c>
      <c r="E90" s="76" t="s">
        <v>100</v>
      </c>
      <c r="F90" s="77" t="s">
        <v>42</v>
      </c>
      <c r="G90" s="77" t="n">
        <v>5</v>
      </c>
      <c r="H90" s="77" t="n">
        <v>0</v>
      </c>
      <c r="I90" s="76" t="n">
        <f aca="false">IF(AND(ISNUMBER(G90),ISNUMBER(H90)),MAX(G90-H90,0),"")</f>
        <v>5</v>
      </c>
      <c r="J90" s="78" t="n">
        <f aca="false">IF(AND(ISNUMBER(G90),ISNUMBER(H90)),IF(G90&gt;0,H90/G90,""),"")</f>
        <v>0</v>
      </c>
      <c r="K90" s="77"/>
      <c r="L90" s="76" t="str">
        <f aca="false">IF(OR(G90="",H90=""),"Data tidak lengkap",IF(AND(G90=0,H90=0),IF(AND(F90="",K90=""),"Tidak dibuka","Tutup"),IF(H90&gt;G90,"Lebih kapasitas",IF(H90=G90,"Penuh",IF(H90=0,IF(F90="","Slot kosong","Belum terisi"),"Sebagian")))))</f>
        <v>Belum terisi</v>
      </c>
      <c r="M90" s="79" t="str">
        <f aca="false">IF(L90="Tidak dibuka","–",IF(F90="","(tanpa age group)",F90)&amp;"  "&amp;IF(H90="","?",H90)&amp;"/"&amp;IF(G90="","?",G90)&amp;CHAR(10)&amp;IF(K90="","coach: –","coach: "&amp;K90))</f>
        <v>Tiny  0/5
coach: –</v>
      </c>
    </row>
    <row r="91" customFormat="false" ht="22.35" hidden="false" customHeight="false" outlineLevel="0" collapsed="false">
      <c r="A91" s="76" t="str">
        <f aca="false">B91&amp;"|"&amp;C91&amp;"|"&amp;D91&amp;"|"&amp;E91</f>
        <v>KLM|2|Senin|12:00</v>
      </c>
      <c r="B91" s="76" t="s">
        <v>61</v>
      </c>
      <c r="C91" s="76" t="n">
        <v>2</v>
      </c>
      <c r="D91" s="76" t="s">
        <v>90</v>
      </c>
      <c r="E91" s="76" t="s">
        <v>101</v>
      </c>
      <c r="F91" s="77" t="s">
        <v>42</v>
      </c>
      <c r="G91" s="77" t="n">
        <v>0</v>
      </c>
      <c r="H91" s="77" t="n">
        <v>0</v>
      </c>
      <c r="I91" s="76" t="n">
        <f aca="false">IF(AND(ISNUMBER(G91),ISNUMBER(H91)),MAX(G91-H91,0),"")</f>
        <v>0</v>
      </c>
      <c r="J91" s="78" t="str">
        <f aca="false">IF(AND(ISNUMBER(G91),ISNUMBER(H91)),IF(G91&gt;0,H91/G91,""),"")</f>
        <v/>
      </c>
      <c r="K91" s="77"/>
      <c r="L91" s="76" t="str">
        <f aca="false">IF(OR(G91="",H91=""),"Data tidak lengkap",IF(AND(G91=0,H91=0),IF(AND(F91="",K91=""),"Tidak dibuka","Tutup"),IF(H91&gt;G91,"Lebih kapasitas",IF(H91=G91,"Penuh",IF(H91=0,IF(F91="","Slot kosong","Belum terisi"),"Sebagian")))))</f>
        <v>Tutup</v>
      </c>
      <c r="M91" s="79" t="str">
        <f aca="false">IF(L91="Tidak dibuka","–",IF(F91="","(tanpa age group)",F91)&amp;"  "&amp;IF(H91="","?",H91)&amp;"/"&amp;IF(G91="","?",G91)&amp;CHAR(10)&amp;IF(K91="","coach: –","coach: "&amp;K91))</f>
        <v>Tiny  0/0
coach: –</v>
      </c>
    </row>
    <row r="92" customFormat="false" ht="22.35" hidden="false" customHeight="false" outlineLevel="0" collapsed="false">
      <c r="A92" s="76" t="str">
        <f aca="false">B92&amp;"|"&amp;C92&amp;"|"&amp;D92&amp;"|"&amp;E92</f>
        <v>KLM|2|Senin|13:30</v>
      </c>
      <c r="B92" s="76" t="s">
        <v>61</v>
      </c>
      <c r="C92" s="76" t="n">
        <v>2</v>
      </c>
      <c r="D92" s="76" t="s">
        <v>90</v>
      </c>
      <c r="E92" s="76" t="s">
        <v>102</v>
      </c>
      <c r="F92" s="77" t="s">
        <v>42</v>
      </c>
      <c r="G92" s="77" t="n">
        <v>5</v>
      </c>
      <c r="H92" s="77" t="n">
        <v>0</v>
      </c>
      <c r="I92" s="76" t="n">
        <f aca="false">IF(AND(ISNUMBER(G92),ISNUMBER(H92)),MAX(G92-H92,0),"")</f>
        <v>5</v>
      </c>
      <c r="J92" s="78" t="n">
        <f aca="false">IF(AND(ISNUMBER(G92),ISNUMBER(H92)),IF(G92&gt;0,H92/G92,""),"")</f>
        <v>0</v>
      </c>
      <c r="K92" s="77"/>
      <c r="L92" s="76" t="str">
        <f aca="false">IF(OR(G92="",H92=""),"Data tidak lengkap",IF(AND(G92=0,H92=0),IF(AND(F92="",K92=""),"Tidak dibuka","Tutup"),IF(H92&gt;G92,"Lebih kapasitas",IF(H92=G92,"Penuh",IF(H92=0,IF(F92="","Slot kosong","Belum terisi"),"Sebagian")))))</f>
        <v>Belum terisi</v>
      </c>
      <c r="M92" s="79" t="str">
        <f aca="false">IF(L92="Tidak dibuka","–",IF(F92="","(tanpa age group)",F92)&amp;"  "&amp;IF(H92="","?",H92)&amp;"/"&amp;IF(G92="","?",G92)&amp;CHAR(10)&amp;IF(K92="","coach: –","coach: "&amp;K92))</f>
        <v>Tiny  0/5
coach: –</v>
      </c>
    </row>
    <row r="93" customFormat="false" ht="22.35" hidden="false" customHeight="false" outlineLevel="0" collapsed="false">
      <c r="A93" s="76" t="str">
        <f aca="false">B93&amp;"|"&amp;C93&amp;"|"&amp;D93&amp;"|"&amp;E93</f>
        <v>KLM|2|Senin|14:15</v>
      </c>
      <c r="B93" s="76" t="s">
        <v>61</v>
      </c>
      <c r="C93" s="76" t="n">
        <v>2</v>
      </c>
      <c r="D93" s="76" t="s">
        <v>90</v>
      </c>
      <c r="E93" s="76" t="s">
        <v>103</v>
      </c>
      <c r="F93" s="77" t="s">
        <v>42</v>
      </c>
      <c r="G93" s="77" t="n">
        <v>5</v>
      </c>
      <c r="H93" s="77" t="n">
        <v>1</v>
      </c>
      <c r="I93" s="76" t="n">
        <f aca="false">IF(AND(ISNUMBER(G93),ISNUMBER(H93)),MAX(G93-H93,0),"")</f>
        <v>4</v>
      </c>
      <c r="J93" s="78" t="n">
        <f aca="false">IF(AND(ISNUMBER(G93),ISNUMBER(H93)),IF(G93&gt;0,H93/G93,""),"")</f>
        <v>0.2</v>
      </c>
      <c r="K93" s="77" t="s">
        <v>197</v>
      </c>
      <c r="L93" s="76" t="str">
        <f aca="false">IF(OR(G93="",H93=""),"Data tidak lengkap",IF(AND(G93=0,H93=0),IF(AND(F93="",K93=""),"Tidak dibuka","Tutup"),IF(H93&gt;G93,"Lebih kapasitas",IF(H93=G93,"Penuh",IF(H93=0,IF(F93="","Slot kosong","Belum terisi"),"Sebagian")))))</f>
        <v>Sebagian</v>
      </c>
      <c r="M93" s="79" t="str">
        <f aca="false">IF(L93="Tidak dibuka","–",IF(F93="","(tanpa age group)",F93)&amp;"  "&amp;IF(H93="","?",H93)&amp;"/"&amp;IF(G93="","?",G93)&amp;CHAR(10)&amp;IF(K93="","coach: –","coach: "&amp;K93))</f>
        <v>Tiny  1/5
coach: Rischa</v>
      </c>
    </row>
    <row r="94" customFormat="false" ht="22.35" hidden="false" customHeight="false" outlineLevel="0" collapsed="false">
      <c r="A94" s="76" t="str">
        <f aca="false">B94&amp;"|"&amp;C94&amp;"|"&amp;D94&amp;"|"&amp;E94</f>
        <v>KLM|2|Senin|15:00</v>
      </c>
      <c r="B94" s="76" t="s">
        <v>61</v>
      </c>
      <c r="C94" s="76" t="n">
        <v>2</v>
      </c>
      <c r="D94" s="76" t="s">
        <v>90</v>
      </c>
      <c r="E94" s="76" t="s">
        <v>104</v>
      </c>
      <c r="F94" s="77" t="s">
        <v>42</v>
      </c>
      <c r="G94" s="77" t="n">
        <v>0</v>
      </c>
      <c r="H94" s="77" t="n">
        <v>0</v>
      </c>
      <c r="I94" s="76" t="n">
        <f aca="false">IF(AND(ISNUMBER(G94),ISNUMBER(H94)),MAX(G94-H94,0),"")</f>
        <v>0</v>
      </c>
      <c r="J94" s="78" t="str">
        <f aca="false">IF(AND(ISNUMBER(G94),ISNUMBER(H94)),IF(G94&gt;0,H94/G94,""),"")</f>
        <v/>
      </c>
      <c r="K94" s="77"/>
      <c r="L94" s="76" t="str">
        <f aca="false">IF(OR(G94="",H94=""),"Data tidak lengkap",IF(AND(G94=0,H94=0),IF(AND(F94="",K94=""),"Tidak dibuka","Tutup"),IF(H94&gt;G94,"Lebih kapasitas",IF(H94=G94,"Penuh",IF(H94=0,IF(F94="","Slot kosong","Belum terisi"),"Sebagian")))))</f>
        <v>Tutup</v>
      </c>
      <c r="M94" s="79" t="str">
        <f aca="false">IF(L94="Tidak dibuka","–",IF(F94="","(tanpa age group)",F94)&amp;"  "&amp;IF(H94="","?",H94)&amp;"/"&amp;IF(G94="","?",G94)&amp;CHAR(10)&amp;IF(K94="","coach: –","coach: "&amp;K94))</f>
        <v>Tiny  0/0
coach: –</v>
      </c>
    </row>
    <row r="95" customFormat="false" ht="22.35" hidden="false" customHeight="false" outlineLevel="0" collapsed="false">
      <c r="A95" s="76" t="str">
        <f aca="false">B95&amp;"|"&amp;C95&amp;"|"&amp;D95&amp;"|"&amp;E95</f>
        <v>KLM|2|Senin|15:45</v>
      </c>
      <c r="B95" s="76" t="s">
        <v>61</v>
      </c>
      <c r="C95" s="76" t="n">
        <v>2</v>
      </c>
      <c r="D95" s="76" t="s">
        <v>90</v>
      </c>
      <c r="E95" s="76" t="s">
        <v>105</v>
      </c>
      <c r="F95" s="77" t="s">
        <v>42</v>
      </c>
      <c r="G95" s="77" t="n">
        <v>0</v>
      </c>
      <c r="H95" s="77" t="n">
        <v>0</v>
      </c>
      <c r="I95" s="76" t="n">
        <f aca="false">IF(AND(ISNUMBER(G95),ISNUMBER(H95)),MAX(G95-H95,0),"")</f>
        <v>0</v>
      </c>
      <c r="J95" s="78" t="str">
        <f aca="false">IF(AND(ISNUMBER(G95),ISNUMBER(H95)),IF(G95&gt;0,H95/G95,""),"")</f>
        <v/>
      </c>
      <c r="K95" s="77"/>
      <c r="L95" s="76" t="str">
        <f aca="false">IF(OR(G95="",H95=""),"Data tidak lengkap",IF(AND(G95=0,H95=0),IF(AND(F95="",K95=""),"Tidak dibuka","Tutup"),IF(H95&gt;G95,"Lebih kapasitas",IF(H95=G95,"Penuh",IF(H95=0,IF(F95="","Slot kosong","Belum terisi"),"Sebagian")))))</f>
        <v>Tutup</v>
      </c>
      <c r="M95" s="79" t="str">
        <f aca="false">IF(L95="Tidak dibuka","–",IF(F95="","(tanpa age group)",F95)&amp;"  "&amp;IF(H95="","?",H95)&amp;"/"&amp;IF(G95="","?",G95)&amp;CHAR(10)&amp;IF(K95="","coach: –","coach: "&amp;K95))</f>
        <v>Tiny  0/0
coach: –</v>
      </c>
    </row>
    <row r="96" customFormat="false" ht="22.35" hidden="false" customHeight="false" outlineLevel="0" collapsed="false">
      <c r="A96" s="76" t="str">
        <f aca="false">B96&amp;"|"&amp;C96&amp;"|"&amp;D96&amp;"|"&amp;E96</f>
        <v>KLM|2|Senin|16:30</v>
      </c>
      <c r="B96" s="76" t="s">
        <v>61</v>
      </c>
      <c r="C96" s="76" t="n">
        <v>2</v>
      </c>
      <c r="D96" s="76" t="s">
        <v>90</v>
      </c>
      <c r="E96" s="76" t="s">
        <v>106</v>
      </c>
      <c r="F96" s="77" t="s">
        <v>42</v>
      </c>
      <c r="G96" s="77" t="n">
        <v>5</v>
      </c>
      <c r="H96" s="77" t="n">
        <v>0</v>
      </c>
      <c r="I96" s="76" t="n">
        <f aca="false">IF(AND(ISNUMBER(G96),ISNUMBER(H96)),MAX(G96-H96,0),"")</f>
        <v>5</v>
      </c>
      <c r="J96" s="78" t="n">
        <f aca="false">IF(AND(ISNUMBER(G96),ISNUMBER(H96)),IF(G96&gt;0,H96/G96,""),"")</f>
        <v>0</v>
      </c>
      <c r="K96" s="77"/>
      <c r="L96" s="76" t="str">
        <f aca="false">IF(OR(G96="",H96=""),"Data tidak lengkap",IF(AND(G96=0,H96=0),IF(AND(F96="",K96=""),"Tidak dibuka","Tutup"),IF(H96&gt;G96,"Lebih kapasitas",IF(H96=G96,"Penuh",IF(H96=0,IF(F96="","Slot kosong","Belum terisi"),"Sebagian")))))</f>
        <v>Belum terisi</v>
      </c>
      <c r="M96" s="79" t="str">
        <f aca="false">IF(L96="Tidak dibuka","–",IF(F96="","(tanpa age group)",F96)&amp;"  "&amp;IF(H96="","?",H96)&amp;"/"&amp;IF(G96="","?",G96)&amp;CHAR(10)&amp;IF(K96="","coach: –","coach: "&amp;K96))</f>
        <v>Tiny  0/5
coach: –</v>
      </c>
    </row>
    <row r="97" customFormat="false" ht="22.35" hidden="false" customHeight="false" outlineLevel="0" collapsed="false">
      <c r="A97" s="76" t="str">
        <f aca="false">B97&amp;"|"&amp;C97&amp;"|"&amp;D97&amp;"|"&amp;E97</f>
        <v>KLM|2|Senin|17:15</v>
      </c>
      <c r="B97" s="76" t="s">
        <v>61</v>
      </c>
      <c r="C97" s="76" t="n">
        <v>2</v>
      </c>
      <c r="D97" s="76" t="s">
        <v>90</v>
      </c>
      <c r="E97" s="76" t="s">
        <v>107</v>
      </c>
      <c r="F97" s="77" t="s">
        <v>42</v>
      </c>
      <c r="G97" s="77" t="n">
        <v>5</v>
      </c>
      <c r="H97" s="77" t="n">
        <v>0</v>
      </c>
      <c r="I97" s="76" t="n">
        <f aca="false">IF(AND(ISNUMBER(G97),ISNUMBER(H97)),MAX(G97-H97,0),"")</f>
        <v>5</v>
      </c>
      <c r="J97" s="78" t="n">
        <f aca="false">IF(AND(ISNUMBER(G97),ISNUMBER(H97)),IF(G97&gt;0,H97/G97,""),"")</f>
        <v>0</v>
      </c>
      <c r="K97" s="77"/>
      <c r="L97" s="76" t="str">
        <f aca="false">IF(OR(G97="",H97=""),"Data tidak lengkap",IF(AND(G97=0,H97=0),IF(AND(F97="",K97=""),"Tidak dibuka","Tutup"),IF(H97&gt;G97,"Lebih kapasitas",IF(H97=G97,"Penuh",IF(H97=0,IF(F97="","Slot kosong","Belum terisi"),"Sebagian")))))</f>
        <v>Belum terisi</v>
      </c>
      <c r="M97" s="79" t="str">
        <f aca="false">IF(L97="Tidak dibuka","–",IF(F97="","(tanpa age group)",F97)&amp;"  "&amp;IF(H97="","?",H97)&amp;"/"&amp;IF(G97="","?",G97)&amp;CHAR(10)&amp;IF(K97="","coach: –","coach: "&amp;K97))</f>
        <v>Tiny  0/5
coach: –</v>
      </c>
    </row>
    <row r="98" customFormat="false" ht="22.35" hidden="false" customHeight="false" outlineLevel="0" collapsed="false">
      <c r="A98" s="76" t="str">
        <f aca="false">B98&amp;"|"&amp;C98&amp;"|"&amp;D98&amp;"|"&amp;E98</f>
        <v>KLM|2|Selasa|08:15</v>
      </c>
      <c r="B98" s="76" t="s">
        <v>61</v>
      </c>
      <c r="C98" s="76" t="n">
        <v>2</v>
      </c>
      <c r="D98" s="76" t="s">
        <v>91</v>
      </c>
      <c r="E98" s="76" t="s">
        <v>96</v>
      </c>
      <c r="F98" s="77" t="s">
        <v>42</v>
      </c>
      <c r="G98" s="77" t="n">
        <v>0</v>
      </c>
      <c r="H98" s="77" t="n">
        <v>0</v>
      </c>
      <c r="I98" s="76" t="n">
        <f aca="false">IF(AND(ISNUMBER(G98),ISNUMBER(H98)),MAX(G98-H98,0),"")</f>
        <v>0</v>
      </c>
      <c r="J98" s="78" t="str">
        <f aca="false">IF(AND(ISNUMBER(G98),ISNUMBER(H98)),IF(G98&gt;0,H98/G98,""),"")</f>
        <v/>
      </c>
      <c r="K98" s="77"/>
      <c r="L98" s="76" t="str">
        <f aca="false">IF(OR(G98="",H98=""),"Data tidak lengkap",IF(AND(G98=0,H98=0),IF(AND(F98="",K98=""),"Tidak dibuka","Tutup"),IF(H98&gt;G98,"Lebih kapasitas",IF(H98=G98,"Penuh",IF(H98=0,IF(F98="","Slot kosong","Belum terisi"),"Sebagian")))))</f>
        <v>Tutup</v>
      </c>
      <c r="M98" s="79" t="str">
        <f aca="false">IF(L98="Tidak dibuka","–",IF(F98="","(tanpa age group)",F98)&amp;"  "&amp;IF(H98="","?",H98)&amp;"/"&amp;IF(G98="","?",G98)&amp;CHAR(10)&amp;IF(K98="","coach: –","coach: "&amp;K98))</f>
        <v>Tiny  0/0
coach: –</v>
      </c>
    </row>
    <row r="99" customFormat="false" ht="22.35" hidden="false" customHeight="false" outlineLevel="0" collapsed="false">
      <c r="A99" s="76" t="str">
        <f aca="false">B99&amp;"|"&amp;C99&amp;"|"&amp;D99&amp;"|"&amp;E99</f>
        <v>KLM|2|Selasa|09:00</v>
      </c>
      <c r="B99" s="76" t="s">
        <v>61</v>
      </c>
      <c r="C99" s="76" t="n">
        <v>2</v>
      </c>
      <c r="D99" s="76" t="s">
        <v>91</v>
      </c>
      <c r="E99" s="76" t="s">
        <v>97</v>
      </c>
      <c r="F99" s="77" t="s">
        <v>42</v>
      </c>
      <c r="G99" s="77" t="n">
        <v>5</v>
      </c>
      <c r="H99" s="77" t="n">
        <v>5</v>
      </c>
      <c r="I99" s="76" t="n">
        <f aca="false">IF(AND(ISNUMBER(G99),ISNUMBER(H99)),MAX(G99-H99,0),"")</f>
        <v>0</v>
      </c>
      <c r="J99" s="78" t="n">
        <f aca="false">IF(AND(ISNUMBER(G99),ISNUMBER(H99)),IF(G99&gt;0,H99/G99,""),"")</f>
        <v>1</v>
      </c>
      <c r="K99" s="77" t="s">
        <v>200</v>
      </c>
      <c r="L99" s="76" t="str">
        <f aca="false">IF(OR(G99="",H99=""),"Data tidak lengkap",IF(AND(G99=0,H99=0),IF(AND(F99="",K99=""),"Tidak dibuka","Tutup"),IF(H99&gt;G99,"Lebih kapasitas",IF(H99=G99,"Penuh",IF(H99=0,IF(F99="","Slot kosong","Belum terisi"),"Sebagian")))))</f>
        <v>Penuh</v>
      </c>
      <c r="M99" s="79" t="str">
        <f aca="false">IF(L99="Tidak dibuka","–",IF(F99="","(tanpa age group)",F99)&amp;"  "&amp;IF(H99="","?",H99)&amp;"/"&amp;IF(G99="","?",G99)&amp;CHAR(10)&amp;IF(K99="","coach: –","coach: "&amp;K99))</f>
        <v>Tiny  5/5
coach: Zidane</v>
      </c>
    </row>
    <row r="100" customFormat="false" ht="22.35" hidden="false" customHeight="false" outlineLevel="0" collapsed="false">
      <c r="A100" s="76" t="str">
        <f aca="false">B100&amp;"|"&amp;C100&amp;"|"&amp;D100&amp;"|"&amp;E100</f>
        <v>KLM|2|Selasa|09:45</v>
      </c>
      <c r="B100" s="76" t="s">
        <v>61</v>
      </c>
      <c r="C100" s="76" t="n">
        <v>2</v>
      </c>
      <c r="D100" s="76" t="s">
        <v>91</v>
      </c>
      <c r="E100" s="76" t="s">
        <v>98</v>
      </c>
      <c r="F100" s="77" t="s">
        <v>42</v>
      </c>
      <c r="G100" s="77" t="n">
        <v>5</v>
      </c>
      <c r="H100" s="77" t="n">
        <v>4</v>
      </c>
      <c r="I100" s="76" t="n">
        <f aca="false">IF(AND(ISNUMBER(G100),ISNUMBER(H100)),MAX(G100-H100,0),"")</f>
        <v>1</v>
      </c>
      <c r="J100" s="78" t="n">
        <f aca="false">IF(AND(ISNUMBER(G100),ISNUMBER(H100)),IF(G100&gt;0,H100/G100,""),"")</f>
        <v>0.8</v>
      </c>
      <c r="K100" s="77" t="s">
        <v>197</v>
      </c>
      <c r="L100" s="76" t="str">
        <f aca="false">IF(OR(G100="",H100=""),"Data tidak lengkap",IF(AND(G100=0,H100=0),IF(AND(F100="",K100=""),"Tidak dibuka","Tutup"),IF(H100&gt;G100,"Lebih kapasitas",IF(H100=G100,"Penuh",IF(H100=0,IF(F100="","Slot kosong","Belum terisi"),"Sebagian")))))</f>
        <v>Sebagian</v>
      </c>
      <c r="M100" s="79" t="str">
        <f aca="false">IF(L100="Tidak dibuka","–",IF(F100="","(tanpa age group)",F100)&amp;"  "&amp;IF(H100="","?",H100)&amp;"/"&amp;IF(G100="","?",G100)&amp;CHAR(10)&amp;IF(K100="","coach: –","coach: "&amp;K100))</f>
        <v>Tiny  4/5
coach: Rischa</v>
      </c>
    </row>
    <row r="101" customFormat="false" ht="22.35" hidden="false" customHeight="false" outlineLevel="0" collapsed="false">
      <c r="A101" s="76" t="str">
        <f aca="false">B101&amp;"|"&amp;C101&amp;"|"&amp;D101&amp;"|"&amp;E101</f>
        <v>KLM|2|Selasa|10:30</v>
      </c>
      <c r="B101" s="76" t="s">
        <v>61</v>
      </c>
      <c r="C101" s="76" t="n">
        <v>2</v>
      </c>
      <c r="D101" s="76" t="s">
        <v>91</v>
      </c>
      <c r="E101" s="76" t="s">
        <v>99</v>
      </c>
      <c r="F101" s="77" t="s">
        <v>42</v>
      </c>
      <c r="G101" s="77" t="n">
        <v>5</v>
      </c>
      <c r="H101" s="77" t="n">
        <v>3</v>
      </c>
      <c r="I101" s="76" t="n">
        <f aca="false">IF(AND(ISNUMBER(G101),ISNUMBER(H101)),MAX(G101-H101,0),"")</f>
        <v>2</v>
      </c>
      <c r="J101" s="78" t="n">
        <f aca="false">IF(AND(ISNUMBER(G101),ISNUMBER(H101)),IF(G101&gt;0,H101/G101,""),"")</f>
        <v>0.6</v>
      </c>
      <c r="K101" s="77" t="s">
        <v>197</v>
      </c>
      <c r="L101" s="76" t="str">
        <f aca="false">IF(OR(G101="",H101=""),"Data tidak lengkap",IF(AND(G101=0,H101=0),IF(AND(F101="",K101=""),"Tidak dibuka","Tutup"),IF(H101&gt;G101,"Lebih kapasitas",IF(H101=G101,"Penuh",IF(H101=0,IF(F101="","Slot kosong","Belum terisi"),"Sebagian")))))</f>
        <v>Sebagian</v>
      </c>
      <c r="M101" s="79" t="str">
        <f aca="false">IF(L101="Tidak dibuka","–",IF(F101="","(tanpa age group)",F101)&amp;"  "&amp;IF(H101="","?",H101)&amp;"/"&amp;IF(G101="","?",G101)&amp;CHAR(10)&amp;IF(K101="","coach: –","coach: "&amp;K101))</f>
        <v>Tiny  3/5
coach: Rischa</v>
      </c>
    </row>
    <row r="102" customFormat="false" ht="22.35" hidden="false" customHeight="false" outlineLevel="0" collapsed="false">
      <c r="A102" s="76" t="str">
        <f aca="false">B102&amp;"|"&amp;C102&amp;"|"&amp;D102&amp;"|"&amp;E102</f>
        <v>KLM|2|Selasa|11:15</v>
      </c>
      <c r="B102" s="76" t="s">
        <v>61</v>
      </c>
      <c r="C102" s="76" t="n">
        <v>2</v>
      </c>
      <c r="D102" s="76" t="s">
        <v>91</v>
      </c>
      <c r="E102" s="76" t="s">
        <v>100</v>
      </c>
      <c r="F102" s="77" t="s">
        <v>42</v>
      </c>
      <c r="G102" s="77" t="n">
        <v>5</v>
      </c>
      <c r="H102" s="77" t="n">
        <v>0</v>
      </c>
      <c r="I102" s="76" t="n">
        <f aca="false">IF(AND(ISNUMBER(G102),ISNUMBER(H102)),MAX(G102-H102,0),"")</f>
        <v>5</v>
      </c>
      <c r="J102" s="78" t="n">
        <f aca="false">IF(AND(ISNUMBER(G102),ISNUMBER(H102)),IF(G102&gt;0,H102/G102,""),"")</f>
        <v>0</v>
      </c>
      <c r="K102" s="77"/>
      <c r="L102" s="76" t="str">
        <f aca="false">IF(OR(G102="",H102=""),"Data tidak lengkap",IF(AND(G102=0,H102=0),IF(AND(F102="",K102=""),"Tidak dibuka","Tutup"),IF(H102&gt;G102,"Lebih kapasitas",IF(H102=G102,"Penuh",IF(H102=0,IF(F102="","Slot kosong","Belum terisi"),"Sebagian")))))</f>
        <v>Belum terisi</v>
      </c>
      <c r="M102" s="79" t="str">
        <f aca="false">IF(L102="Tidak dibuka","–",IF(F102="","(tanpa age group)",F102)&amp;"  "&amp;IF(H102="","?",H102)&amp;"/"&amp;IF(G102="","?",G102)&amp;CHAR(10)&amp;IF(K102="","coach: –","coach: "&amp;K102))</f>
        <v>Tiny  0/5
coach: –</v>
      </c>
    </row>
    <row r="103" customFormat="false" ht="22.35" hidden="false" customHeight="false" outlineLevel="0" collapsed="false">
      <c r="A103" s="76" t="str">
        <f aca="false">B103&amp;"|"&amp;C103&amp;"|"&amp;D103&amp;"|"&amp;E103</f>
        <v>KLM|2|Selasa|12:00</v>
      </c>
      <c r="B103" s="76" t="s">
        <v>61</v>
      </c>
      <c r="C103" s="76" t="n">
        <v>2</v>
      </c>
      <c r="D103" s="76" t="s">
        <v>91</v>
      </c>
      <c r="E103" s="76" t="s">
        <v>101</v>
      </c>
      <c r="F103" s="77" t="s">
        <v>42</v>
      </c>
      <c r="G103" s="77" t="n">
        <v>0</v>
      </c>
      <c r="H103" s="77" t="n">
        <v>0</v>
      </c>
      <c r="I103" s="76" t="n">
        <f aca="false">IF(AND(ISNUMBER(G103),ISNUMBER(H103)),MAX(G103-H103,0),"")</f>
        <v>0</v>
      </c>
      <c r="J103" s="78" t="str">
        <f aca="false">IF(AND(ISNUMBER(G103),ISNUMBER(H103)),IF(G103&gt;0,H103/G103,""),"")</f>
        <v/>
      </c>
      <c r="K103" s="77"/>
      <c r="L103" s="76" t="str">
        <f aca="false">IF(OR(G103="",H103=""),"Data tidak lengkap",IF(AND(G103=0,H103=0),IF(AND(F103="",K103=""),"Tidak dibuka","Tutup"),IF(H103&gt;G103,"Lebih kapasitas",IF(H103=G103,"Penuh",IF(H103=0,IF(F103="","Slot kosong","Belum terisi"),"Sebagian")))))</f>
        <v>Tutup</v>
      </c>
      <c r="M103" s="79" t="str">
        <f aca="false">IF(L103="Tidak dibuka","–",IF(F103="","(tanpa age group)",F103)&amp;"  "&amp;IF(H103="","?",H103)&amp;"/"&amp;IF(G103="","?",G103)&amp;CHAR(10)&amp;IF(K103="","coach: –","coach: "&amp;K103))</f>
        <v>Tiny  0/0
coach: –</v>
      </c>
    </row>
    <row r="104" customFormat="false" ht="22.35" hidden="false" customHeight="false" outlineLevel="0" collapsed="false">
      <c r="A104" s="76" t="str">
        <f aca="false">B104&amp;"|"&amp;C104&amp;"|"&amp;D104&amp;"|"&amp;E104</f>
        <v>KLM|2|Selasa|13:30</v>
      </c>
      <c r="B104" s="76" t="s">
        <v>61</v>
      </c>
      <c r="C104" s="76" t="n">
        <v>2</v>
      </c>
      <c r="D104" s="76" t="s">
        <v>91</v>
      </c>
      <c r="E104" s="76" t="s">
        <v>102</v>
      </c>
      <c r="F104" s="77" t="s">
        <v>42</v>
      </c>
      <c r="G104" s="77" t="n">
        <v>5</v>
      </c>
      <c r="H104" s="77" t="n">
        <v>0</v>
      </c>
      <c r="I104" s="76" t="n">
        <f aca="false">IF(AND(ISNUMBER(G104),ISNUMBER(H104)),MAX(G104-H104,0),"")</f>
        <v>5</v>
      </c>
      <c r="J104" s="78" t="n">
        <f aca="false">IF(AND(ISNUMBER(G104),ISNUMBER(H104)),IF(G104&gt;0,H104/G104,""),"")</f>
        <v>0</v>
      </c>
      <c r="K104" s="77"/>
      <c r="L104" s="76" t="str">
        <f aca="false">IF(OR(G104="",H104=""),"Data tidak lengkap",IF(AND(G104=0,H104=0),IF(AND(F104="",K104=""),"Tidak dibuka","Tutup"),IF(H104&gt;G104,"Lebih kapasitas",IF(H104=G104,"Penuh",IF(H104=0,IF(F104="","Slot kosong","Belum terisi"),"Sebagian")))))</f>
        <v>Belum terisi</v>
      </c>
      <c r="M104" s="79" t="str">
        <f aca="false">IF(L104="Tidak dibuka","–",IF(F104="","(tanpa age group)",F104)&amp;"  "&amp;IF(H104="","?",H104)&amp;"/"&amp;IF(G104="","?",G104)&amp;CHAR(10)&amp;IF(K104="","coach: –","coach: "&amp;K104))</f>
        <v>Tiny  0/5
coach: –</v>
      </c>
    </row>
    <row r="105" customFormat="false" ht="22.35" hidden="false" customHeight="false" outlineLevel="0" collapsed="false">
      <c r="A105" s="76" t="str">
        <f aca="false">B105&amp;"|"&amp;C105&amp;"|"&amp;D105&amp;"|"&amp;E105</f>
        <v>KLM|2|Selasa|14:15</v>
      </c>
      <c r="B105" s="76" t="s">
        <v>61</v>
      </c>
      <c r="C105" s="76" t="n">
        <v>2</v>
      </c>
      <c r="D105" s="76" t="s">
        <v>91</v>
      </c>
      <c r="E105" s="76" t="s">
        <v>103</v>
      </c>
      <c r="F105" s="77" t="s">
        <v>42</v>
      </c>
      <c r="G105" s="77" t="n">
        <v>5</v>
      </c>
      <c r="H105" s="77" t="n">
        <v>2</v>
      </c>
      <c r="I105" s="76" t="n">
        <f aca="false">IF(AND(ISNUMBER(G105),ISNUMBER(H105)),MAX(G105-H105,0),"")</f>
        <v>3</v>
      </c>
      <c r="J105" s="78" t="n">
        <f aca="false">IF(AND(ISNUMBER(G105),ISNUMBER(H105)),IF(G105&gt;0,H105/G105,""),"")</f>
        <v>0.4</v>
      </c>
      <c r="K105" s="77" t="s">
        <v>197</v>
      </c>
      <c r="L105" s="76" t="str">
        <f aca="false">IF(OR(G105="",H105=""),"Data tidak lengkap",IF(AND(G105=0,H105=0),IF(AND(F105="",K105=""),"Tidak dibuka","Tutup"),IF(H105&gt;G105,"Lebih kapasitas",IF(H105=G105,"Penuh",IF(H105=0,IF(F105="","Slot kosong","Belum terisi"),"Sebagian")))))</f>
        <v>Sebagian</v>
      </c>
      <c r="M105" s="79" t="str">
        <f aca="false">IF(L105="Tidak dibuka","–",IF(F105="","(tanpa age group)",F105)&amp;"  "&amp;IF(H105="","?",H105)&amp;"/"&amp;IF(G105="","?",G105)&amp;CHAR(10)&amp;IF(K105="","coach: –","coach: "&amp;K105))</f>
        <v>Tiny  2/5
coach: Rischa</v>
      </c>
    </row>
    <row r="106" customFormat="false" ht="22.35" hidden="false" customHeight="false" outlineLevel="0" collapsed="false">
      <c r="A106" s="76" t="str">
        <f aca="false">B106&amp;"|"&amp;C106&amp;"|"&amp;D106&amp;"|"&amp;E106</f>
        <v>KLM|2|Selasa|15:00</v>
      </c>
      <c r="B106" s="76" t="s">
        <v>61</v>
      </c>
      <c r="C106" s="76" t="n">
        <v>2</v>
      </c>
      <c r="D106" s="76" t="s">
        <v>91</v>
      </c>
      <c r="E106" s="76" t="s">
        <v>104</v>
      </c>
      <c r="F106" s="77" t="s">
        <v>42</v>
      </c>
      <c r="G106" s="77" t="n">
        <v>0</v>
      </c>
      <c r="H106" s="77" t="n">
        <v>0</v>
      </c>
      <c r="I106" s="76" t="n">
        <f aca="false">IF(AND(ISNUMBER(G106),ISNUMBER(H106)),MAX(G106-H106,0),"")</f>
        <v>0</v>
      </c>
      <c r="J106" s="78" t="str">
        <f aca="false">IF(AND(ISNUMBER(G106),ISNUMBER(H106)),IF(G106&gt;0,H106/G106,""),"")</f>
        <v/>
      </c>
      <c r="K106" s="77"/>
      <c r="L106" s="76" t="str">
        <f aca="false">IF(OR(G106="",H106=""),"Data tidak lengkap",IF(AND(G106=0,H106=0),IF(AND(F106="",K106=""),"Tidak dibuka","Tutup"),IF(H106&gt;G106,"Lebih kapasitas",IF(H106=G106,"Penuh",IF(H106=0,IF(F106="","Slot kosong","Belum terisi"),"Sebagian")))))</f>
        <v>Tutup</v>
      </c>
      <c r="M106" s="79" t="str">
        <f aca="false">IF(L106="Tidak dibuka","–",IF(F106="","(tanpa age group)",F106)&amp;"  "&amp;IF(H106="","?",H106)&amp;"/"&amp;IF(G106="","?",G106)&amp;CHAR(10)&amp;IF(K106="","coach: –","coach: "&amp;K106))</f>
        <v>Tiny  0/0
coach: –</v>
      </c>
    </row>
    <row r="107" customFormat="false" ht="22.35" hidden="false" customHeight="false" outlineLevel="0" collapsed="false">
      <c r="A107" s="76" t="str">
        <f aca="false">B107&amp;"|"&amp;C107&amp;"|"&amp;D107&amp;"|"&amp;E107</f>
        <v>KLM|2|Selasa|15:45</v>
      </c>
      <c r="B107" s="76" t="s">
        <v>61</v>
      </c>
      <c r="C107" s="76" t="n">
        <v>2</v>
      </c>
      <c r="D107" s="76" t="s">
        <v>91</v>
      </c>
      <c r="E107" s="76" t="s">
        <v>105</v>
      </c>
      <c r="F107" s="77" t="s">
        <v>210</v>
      </c>
      <c r="G107" s="77" t="n">
        <v>0</v>
      </c>
      <c r="H107" s="77" t="n">
        <v>4</v>
      </c>
      <c r="I107" s="76" t="n">
        <f aca="false">IF(AND(ISNUMBER(G107),ISNUMBER(H107)),MAX(G107-H107,0),"")</f>
        <v>0</v>
      </c>
      <c r="J107" s="78" t="str">
        <f aca="false">IF(AND(ISNUMBER(G107),ISNUMBER(H107)),IF(G107&gt;0,H107/G107,""),"")</f>
        <v/>
      </c>
      <c r="K107" s="77" t="s">
        <v>204</v>
      </c>
      <c r="L107" s="76" t="str">
        <f aca="false">IF(OR(G107="",H107=""),"Data tidak lengkap",IF(AND(G107=0,H107=0),IF(AND(F107="",K107=""),"Tidak dibuka","Tutup"),IF(H107&gt;G107,"Lebih kapasitas",IF(H107=G107,"Penuh",IF(H107=0,IF(F107="","Slot kosong","Belum terisi"),"Sebagian")))))</f>
        <v>Lebih kapasitas</v>
      </c>
      <c r="M107" s="79" t="str">
        <f aca="false">IF(L107="Tidak dibuka","–",IF(F107="","(tanpa age group)",F107)&amp;"  "&amp;IF(H107="","?",H107)&amp;"/"&amp;IF(G107="","?",G107)&amp;CHAR(10)&amp;IF(K107="","coach: –","coach: "&amp;K107))</f>
        <v>Kids  4/0
coach: Dian</v>
      </c>
    </row>
    <row r="108" customFormat="false" ht="22.35" hidden="false" customHeight="false" outlineLevel="0" collapsed="false">
      <c r="A108" s="76" t="str">
        <f aca="false">B108&amp;"|"&amp;C108&amp;"|"&amp;D108&amp;"|"&amp;E108</f>
        <v>KLM|2|Selasa|16:30</v>
      </c>
      <c r="B108" s="76" t="s">
        <v>61</v>
      </c>
      <c r="C108" s="76" t="n">
        <v>2</v>
      </c>
      <c r="D108" s="76" t="s">
        <v>91</v>
      </c>
      <c r="E108" s="76" t="s">
        <v>106</v>
      </c>
      <c r="F108" s="77" t="s">
        <v>42</v>
      </c>
      <c r="G108" s="77" t="n">
        <v>5</v>
      </c>
      <c r="H108" s="77" t="n">
        <v>3</v>
      </c>
      <c r="I108" s="76" t="n">
        <f aca="false">IF(AND(ISNUMBER(G108),ISNUMBER(H108)),MAX(G108-H108,0),"")</f>
        <v>2</v>
      </c>
      <c r="J108" s="78" t="n">
        <f aca="false">IF(AND(ISNUMBER(G108),ISNUMBER(H108)),IF(G108&gt;0,H108/G108,""),"")</f>
        <v>0.6</v>
      </c>
      <c r="K108" s="77" t="s">
        <v>200</v>
      </c>
      <c r="L108" s="76" t="str">
        <f aca="false">IF(OR(G108="",H108=""),"Data tidak lengkap",IF(AND(G108=0,H108=0),IF(AND(F108="",K108=""),"Tidak dibuka","Tutup"),IF(H108&gt;G108,"Lebih kapasitas",IF(H108=G108,"Penuh",IF(H108=0,IF(F108="","Slot kosong","Belum terisi"),"Sebagian")))))</f>
        <v>Sebagian</v>
      </c>
      <c r="M108" s="79" t="str">
        <f aca="false">IF(L108="Tidak dibuka","–",IF(F108="","(tanpa age group)",F108)&amp;"  "&amp;IF(H108="","?",H108)&amp;"/"&amp;IF(G108="","?",G108)&amp;CHAR(10)&amp;IF(K108="","coach: –","coach: "&amp;K108))</f>
        <v>Tiny  3/5
coach: Zidane</v>
      </c>
    </row>
    <row r="109" customFormat="false" ht="22.35" hidden="false" customHeight="false" outlineLevel="0" collapsed="false">
      <c r="A109" s="76" t="str">
        <f aca="false">B109&amp;"|"&amp;C109&amp;"|"&amp;D109&amp;"|"&amp;E109</f>
        <v>KLM|2|Selasa|17:15</v>
      </c>
      <c r="B109" s="76" t="s">
        <v>61</v>
      </c>
      <c r="C109" s="76" t="n">
        <v>2</v>
      </c>
      <c r="D109" s="76" t="s">
        <v>91</v>
      </c>
      <c r="E109" s="76" t="s">
        <v>107</v>
      </c>
      <c r="F109" s="77" t="s">
        <v>42</v>
      </c>
      <c r="G109" s="77" t="n">
        <v>5</v>
      </c>
      <c r="H109" s="77" t="n">
        <v>0</v>
      </c>
      <c r="I109" s="76" t="n">
        <f aca="false">IF(AND(ISNUMBER(G109),ISNUMBER(H109)),MAX(G109-H109,0),"")</f>
        <v>5</v>
      </c>
      <c r="J109" s="78" t="n">
        <f aca="false">IF(AND(ISNUMBER(G109),ISNUMBER(H109)),IF(G109&gt;0,H109/G109,""),"")</f>
        <v>0</v>
      </c>
      <c r="K109" s="77"/>
      <c r="L109" s="76" t="str">
        <f aca="false">IF(OR(G109="",H109=""),"Data tidak lengkap",IF(AND(G109=0,H109=0),IF(AND(F109="",K109=""),"Tidak dibuka","Tutup"),IF(H109&gt;G109,"Lebih kapasitas",IF(H109=G109,"Penuh",IF(H109=0,IF(F109="","Slot kosong","Belum terisi"),"Sebagian")))))</f>
        <v>Belum terisi</v>
      </c>
      <c r="M109" s="79" t="str">
        <f aca="false">IF(L109="Tidak dibuka","–",IF(F109="","(tanpa age group)",F109)&amp;"  "&amp;IF(H109="","?",H109)&amp;"/"&amp;IF(G109="","?",G109)&amp;CHAR(10)&amp;IF(K109="","coach: –","coach: "&amp;K109))</f>
        <v>Tiny  0/5
coach: –</v>
      </c>
    </row>
    <row r="110" customFormat="false" ht="22.35" hidden="false" customHeight="false" outlineLevel="0" collapsed="false">
      <c r="A110" s="76" t="str">
        <f aca="false">B110&amp;"|"&amp;C110&amp;"|"&amp;D110&amp;"|"&amp;E110</f>
        <v>KLM|2|Rabu|08:15</v>
      </c>
      <c r="B110" s="76" t="s">
        <v>61</v>
      </c>
      <c r="C110" s="76" t="n">
        <v>2</v>
      </c>
      <c r="D110" s="76" t="s">
        <v>92</v>
      </c>
      <c r="E110" s="76" t="s">
        <v>96</v>
      </c>
      <c r="F110" s="77" t="s">
        <v>42</v>
      </c>
      <c r="G110" s="77" t="n">
        <v>0</v>
      </c>
      <c r="H110" s="77" t="n">
        <v>0</v>
      </c>
      <c r="I110" s="76" t="n">
        <f aca="false">IF(AND(ISNUMBER(G110),ISNUMBER(H110)),MAX(G110-H110,0),"")</f>
        <v>0</v>
      </c>
      <c r="J110" s="78" t="str">
        <f aca="false">IF(AND(ISNUMBER(G110),ISNUMBER(H110)),IF(G110&gt;0,H110/G110,""),"")</f>
        <v/>
      </c>
      <c r="K110" s="77"/>
      <c r="L110" s="76" t="str">
        <f aca="false">IF(OR(G110="",H110=""),"Data tidak lengkap",IF(AND(G110=0,H110=0),IF(AND(F110="",K110=""),"Tidak dibuka","Tutup"),IF(H110&gt;G110,"Lebih kapasitas",IF(H110=G110,"Penuh",IF(H110=0,IF(F110="","Slot kosong","Belum terisi"),"Sebagian")))))</f>
        <v>Tutup</v>
      </c>
      <c r="M110" s="79" t="str">
        <f aca="false">IF(L110="Tidak dibuka","–",IF(F110="","(tanpa age group)",F110)&amp;"  "&amp;IF(H110="","?",H110)&amp;"/"&amp;IF(G110="","?",G110)&amp;CHAR(10)&amp;IF(K110="","coach: –","coach: "&amp;K110))</f>
        <v>Tiny  0/0
coach: –</v>
      </c>
    </row>
    <row r="111" customFormat="false" ht="22.35" hidden="false" customHeight="false" outlineLevel="0" collapsed="false">
      <c r="A111" s="76" t="str">
        <f aca="false">B111&amp;"|"&amp;C111&amp;"|"&amp;D111&amp;"|"&amp;E111</f>
        <v>KLM|2|Rabu|09:00</v>
      </c>
      <c r="B111" s="76" t="s">
        <v>61</v>
      </c>
      <c r="C111" s="76" t="n">
        <v>2</v>
      </c>
      <c r="D111" s="76" t="s">
        <v>92</v>
      </c>
      <c r="E111" s="76" t="s">
        <v>97</v>
      </c>
      <c r="F111" s="77" t="s">
        <v>42</v>
      </c>
      <c r="G111" s="77" t="n">
        <v>5</v>
      </c>
      <c r="H111" s="77" t="n">
        <v>4</v>
      </c>
      <c r="I111" s="76" t="n">
        <f aca="false">IF(AND(ISNUMBER(G111),ISNUMBER(H111)),MAX(G111-H111,0),"")</f>
        <v>1</v>
      </c>
      <c r="J111" s="78" t="n">
        <f aca="false">IF(AND(ISNUMBER(G111),ISNUMBER(H111)),IF(G111&gt;0,H111/G111,""),"")</f>
        <v>0.8</v>
      </c>
      <c r="K111" s="77" t="s">
        <v>195</v>
      </c>
      <c r="L111" s="76" t="str">
        <f aca="false">IF(OR(G111="",H111=""),"Data tidak lengkap",IF(AND(G111=0,H111=0),IF(AND(F111="",K111=""),"Tidak dibuka","Tutup"),IF(H111&gt;G111,"Lebih kapasitas",IF(H111=G111,"Penuh",IF(H111=0,IF(F111="","Slot kosong","Belum terisi"),"Sebagian")))))</f>
        <v>Sebagian</v>
      </c>
      <c r="M111" s="79" t="str">
        <f aca="false">IF(L111="Tidak dibuka","–",IF(F111="","(tanpa age group)",F111)&amp;"  "&amp;IF(H111="","?",H111)&amp;"/"&amp;IF(G111="","?",G111)&amp;CHAR(10)&amp;IF(K111="","coach: –","coach: "&amp;K111))</f>
        <v>Tiny  4/5
coach: Eka</v>
      </c>
    </row>
    <row r="112" customFormat="false" ht="22.35" hidden="false" customHeight="false" outlineLevel="0" collapsed="false">
      <c r="A112" s="76" t="str">
        <f aca="false">B112&amp;"|"&amp;C112&amp;"|"&amp;D112&amp;"|"&amp;E112</f>
        <v>KLM|2|Rabu|09:45</v>
      </c>
      <c r="B112" s="76" t="s">
        <v>61</v>
      </c>
      <c r="C112" s="76" t="n">
        <v>2</v>
      </c>
      <c r="D112" s="76" t="s">
        <v>92</v>
      </c>
      <c r="E112" s="76" t="s">
        <v>98</v>
      </c>
      <c r="F112" s="77" t="s">
        <v>42</v>
      </c>
      <c r="G112" s="77" t="n">
        <v>5</v>
      </c>
      <c r="H112" s="77" t="n">
        <v>4</v>
      </c>
      <c r="I112" s="76" t="n">
        <f aca="false">IF(AND(ISNUMBER(G112),ISNUMBER(H112)),MAX(G112-H112,0),"")</f>
        <v>1</v>
      </c>
      <c r="J112" s="78" t="n">
        <f aca="false">IF(AND(ISNUMBER(G112),ISNUMBER(H112)),IF(G112&gt;0,H112/G112,""),"")</f>
        <v>0.8</v>
      </c>
      <c r="K112" s="77" t="s">
        <v>198</v>
      </c>
      <c r="L112" s="76" t="str">
        <f aca="false">IF(OR(G112="",H112=""),"Data tidak lengkap",IF(AND(G112=0,H112=0),IF(AND(F112="",K112=""),"Tidak dibuka","Tutup"),IF(H112&gt;G112,"Lebih kapasitas",IF(H112=G112,"Penuh",IF(H112=0,IF(F112="","Slot kosong","Belum terisi"),"Sebagian")))))</f>
        <v>Sebagian</v>
      </c>
      <c r="M112" s="79" t="str">
        <f aca="false">IF(L112="Tidak dibuka","–",IF(F112="","(tanpa age group)",F112)&amp;"  "&amp;IF(H112="","?",H112)&amp;"/"&amp;IF(G112="","?",G112)&amp;CHAR(10)&amp;IF(K112="","coach: –","coach: "&amp;K112))</f>
        <v>Tiny  4/5
coach: Surya</v>
      </c>
    </row>
    <row r="113" customFormat="false" ht="22.35" hidden="false" customHeight="false" outlineLevel="0" collapsed="false">
      <c r="A113" s="76" t="str">
        <f aca="false">B113&amp;"|"&amp;C113&amp;"|"&amp;D113&amp;"|"&amp;E113</f>
        <v>KLM|2|Rabu|10:30</v>
      </c>
      <c r="B113" s="76" t="s">
        <v>61</v>
      </c>
      <c r="C113" s="76" t="n">
        <v>2</v>
      </c>
      <c r="D113" s="76" t="s">
        <v>92</v>
      </c>
      <c r="E113" s="76" t="s">
        <v>99</v>
      </c>
      <c r="F113" s="77" t="s">
        <v>42</v>
      </c>
      <c r="G113" s="77" t="n">
        <v>5</v>
      </c>
      <c r="H113" s="77" t="n">
        <v>5</v>
      </c>
      <c r="I113" s="76" t="n">
        <f aca="false">IF(AND(ISNUMBER(G113),ISNUMBER(H113)),MAX(G113-H113,0),"")</f>
        <v>0</v>
      </c>
      <c r="J113" s="78" t="n">
        <f aca="false">IF(AND(ISNUMBER(G113),ISNUMBER(H113)),IF(G113&gt;0,H113/G113,""),"")</f>
        <v>1</v>
      </c>
      <c r="K113" s="77" t="s">
        <v>198</v>
      </c>
      <c r="L113" s="76" t="str">
        <f aca="false">IF(OR(G113="",H113=""),"Data tidak lengkap",IF(AND(G113=0,H113=0),IF(AND(F113="",K113=""),"Tidak dibuka","Tutup"),IF(H113&gt;G113,"Lebih kapasitas",IF(H113=G113,"Penuh",IF(H113=0,IF(F113="","Slot kosong","Belum terisi"),"Sebagian")))))</f>
        <v>Penuh</v>
      </c>
      <c r="M113" s="79" t="str">
        <f aca="false">IF(L113="Tidak dibuka","–",IF(F113="","(tanpa age group)",F113)&amp;"  "&amp;IF(H113="","?",H113)&amp;"/"&amp;IF(G113="","?",G113)&amp;CHAR(10)&amp;IF(K113="","coach: –","coach: "&amp;K113))</f>
        <v>Tiny  5/5
coach: Surya</v>
      </c>
    </row>
    <row r="114" customFormat="false" ht="22.35" hidden="false" customHeight="false" outlineLevel="0" collapsed="false">
      <c r="A114" s="76" t="str">
        <f aca="false">B114&amp;"|"&amp;C114&amp;"|"&amp;D114&amp;"|"&amp;E114</f>
        <v>KLM|2|Rabu|11:15</v>
      </c>
      <c r="B114" s="76" t="s">
        <v>61</v>
      </c>
      <c r="C114" s="76" t="n">
        <v>2</v>
      </c>
      <c r="D114" s="76" t="s">
        <v>92</v>
      </c>
      <c r="E114" s="76" t="s">
        <v>100</v>
      </c>
      <c r="F114" s="77" t="s">
        <v>42</v>
      </c>
      <c r="G114" s="77" t="n">
        <v>5</v>
      </c>
      <c r="H114" s="77" t="n">
        <v>0</v>
      </c>
      <c r="I114" s="76" t="n">
        <f aca="false">IF(AND(ISNUMBER(G114),ISNUMBER(H114)),MAX(G114-H114,0),"")</f>
        <v>5</v>
      </c>
      <c r="J114" s="78" t="n">
        <f aca="false">IF(AND(ISNUMBER(G114),ISNUMBER(H114)),IF(G114&gt;0,H114/G114,""),"")</f>
        <v>0</v>
      </c>
      <c r="K114" s="77"/>
      <c r="L114" s="76" t="str">
        <f aca="false">IF(OR(G114="",H114=""),"Data tidak lengkap",IF(AND(G114=0,H114=0),IF(AND(F114="",K114=""),"Tidak dibuka","Tutup"),IF(H114&gt;G114,"Lebih kapasitas",IF(H114=G114,"Penuh",IF(H114=0,IF(F114="","Slot kosong","Belum terisi"),"Sebagian")))))</f>
        <v>Belum terisi</v>
      </c>
      <c r="M114" s="79" t="str">
        <f aca="false">IF(L114="Tidak dibuka","–",IF(F114="","(tanpa age group)",F114)&amp;"  "&amp;IF(H114="","?",H114)&amp;"/"&amp;IF(G114="","?",G114)&amp;CHAR(10)&amp;IF(K114="","coach: –","coach: "&amp;K114))</f>
        <v>Tiny  0/5
coach: –</v>
      </c>
    </row>
    <row r="115" customFormat="false" ht="22.35" hidden="false" customHeight="false" outlineLevel="0" collapsed="false">
      <c r="A115" s="76" t="str">
        <f aca="false">B115&amp;"|"&amp;C115&amp;"|"&amp;D115&amp;"|"&amp;E115</f>
        <v>KLM|2|Rabu|12:00</v>
      </c>
      <c r="B115" s="76" t="s">
        <v>61</v>
      </c>
      <c r="C115" s="76" t="n">
        <v>2</v>
      </c>
      <c r="D115" s="76" t="s">
        <v>92</v>
      </c>
      <c r="E115" s="76" t="s">
        <v>101</v>
      </c>
      <c r="F115" s="77" t="s">
        <v>42</v>
      </c>
      <c r="G115" s="77" t="n">
        <v>0</v>
      </c>
      <c r="H115" s="77" t="n">
        <v>0</v>
      </c>
      <c r="I115" s="76" t="n">
        <f aca="false">IF(AND(ISNUMBER(G115),ISNUMBER(H115)),MAX(G115-H115,0),"")</f>
        <v>0</v>
      </c>
      <c r="J115" s="78" t="str">
        <f aca="false">IF(AND(ISNUMBER(G115),ISNUMBER(H115)),IF(G115&gt;0,H115/G115,""),"")</f>
        <v/>
      </c>
      <c r="K115" s="77"/>
      <c r="L115" s="76" t="str">
        <f aca="false">IF(OR(G115="",H115=""),"Data tidak lengkap",IF(AND(G115=0,H115=0),IF(AND(F115="",K115=""),"Tidak dibuka","Tutup"),IF(H115&gt;G115,"Lebih kapasitas",IF(H115=G115,"Penuh",IF(H115=0,IF(F115="","Slot kosong","Belum terisi"),"Sebagian")))))</f>
        <v>Tutup</v>
      </c>
      <c r="M115" s="79" t="str">
        <f aca="false">IF(L115="Tidak dibuka","–",IF(F115="","(tanpa age group)",F115)&amp;"  "&amp;IF(H115="","?",H115)&amp;"/"&amp;IF(G115="","?",G115)&amp;CHAR(10)&amp;IF(K115="","coach: –","coach: "&amp;K115))</f>
        <v>Tiny  0/0
coach: –</v>
      </c>
    </row>
    <row r="116" customFormat="false" ht="22.35" hidden="false" customHeight="false" outlineLevel="0" collapsed="false">
      <c r="A116" s="76" t="str">
        <f aca="false">B116&amp;"|"&amp;C116&amp;"|"&amp;D116&amp;"|"&amp;E116</f>
        <v>KLM|2|Rabu|13:30</v>
      </c>
      <c r="B116" s="76" t="s">
        <v>61</v>
      </c>
      <c r="C116" s="76" t="n">
        <v>2</v>
      </c>
      <c r="D116" s="76" t="s">
        <v>92</v>
      </c>
      <c r="E116" s="76" t="s">
        <v>102</v>
      </c>
      <c r="F116" s="77" t="s">
        <v>42</v>
      </c>
      <c r="G116" s="77" t="n">
        <v>5</v>
      </c>
      <c r="H116" s="77" t="n">
        <v>0</v>
      </c>
      <c r="I116" s="76" t="n">
        <f aca="false">IF(AND(ISNUMBER(G116),ISNUMBER(H116)),MAX(G116-H116,0),"")</f>
        <v>5</v>
      </c>
      <c r="J116" s="78" t="n">
        <f aca="false">IF(AND(ISNUMBER(G116),ISNUMBER(H116)),IF(G116&gt;0,H116/G116,""),"")</f>
        <v>0</v>
      </c>
      <c r="K116" s="77"/>
      <c r="L116" s="76" t="str">
        <f aca="false">IF(OR(G116="",H116=""),"Data tidak lengkap",IF(AND(G116=0,H116=0),IF(AND(F116="",K116=""),"Tidak dibuka","Tutup"),IF(H116&gt;G116,"Lebih kapasitas",IF(H116=G116,"Penuh",IF(H116=0,IF(F116="","Slot kosong","Belum terisi"),"Sebagian")))))</f>
        <v>Belum terisi</v>
      </c>
      <c r="M116" s="79" t="str">
        <f aca="false">IF(L116="Tidak dibuka","–",IF(F116="","(tanpa age group)",F116)&amp;"  "&amp;IF(H116="","?",H116)&amp;"/"&amp;IF(G116="","?",G116)&amp;CHAR(10)&amp;IF(K116="","coach: –","coach: "&amp;K116))</f>
        <v>Tiny  0/5
coach: –</v>
      </c>
    </row>
    <row r="117" customFormat="false" ht="22.35" hidden="false" customHeight="false" outlineLevel="0" collapsed="false">
      <c r="A117" s="76" t="str">
        <f aca="false">B117&amp;"|"&amp;C117&amp;"|"&amp;D117&amp;"|"&amp;E117</f>
        <v>KLM|2|Rabu|14:15</v>
      </c>
      <c r="B117" s="76" t="s">
        <v>61</v>
      </c>
      <c r="C117" s="76" t="n">
        <v>2</v>
      </c>
      <c r="D117" s="76" t="s">
        <v>92</v>
      </c>
      <c r="E117" s="76" t="s">
        <v>103</v>
      </c>
      <c r="F117" s="77" t="s">
        <v>42</v>
      </c>
      <c r="G117" s="77" t="n">
        <v>5</v>
      </c>
      <c r="H117" s="77" t="n">
        <v>0</v>
      </c>
      <c r="I117" s="76" t="n">
        <f aca="false">IF(AND(ISNUMBER(G117),ISNUMBER(H117)),MAX(G117-H117,0),"")</f>
        <v>5</v>
      </c>
      <c r="J117" s="78" t="n">
        <f aca="false">IF(AND(ISNUMBER(G117),ISNUMBER(H117)),IF(G117&gt;0,H117/G117,""),"")</f>
        <v>0</v>
      </c>
      <c r="K117" s="77"/>
      <c r="L117" s="76" t="str">
        <f aca="false">IF(OR(G117="",H117=""),"Data tidak lengkap",IF(AND(G117=0,H117=0),IF(AND(F117="",K117=""),"Tidak dibuka","Tutup"),IF(H117&gt;G117,"Lebih kapasitas",IF(H117=G117,"Penuh",IF(H117=0,IF(F117="","Slot kosong","Belum terisi"),"Sebagian")))))</f>
        <v>Belum terisi</v>
      </c>
      <c r="M117" s="79" t="str">
        <f aca="false">IF(L117="Tidak dibuka","–",IF(F117="","(tanpa age group)",F117)&amp;"  "&amp;IF(H117="","?",H117)&amp;"/"&amp;IF(G117="","?",G117)&amp;CHAR(10)&amp;IF(K117="","coach: –","coach: "&amp;K117))</f>
        <v>Tiny  0/5
coach: –</v>
      </c>
    </row>
    <row r="118" customFormat="false" ht="22.35" hidden="false" customHeight="false" outlineLevel="0" collapsed="false">
      <c r="A118" s="76" t="str">
        <f aca="false">B118&amp;"|"&amp;C118&amp;"|"&amp;D118&amp;"|"&amp;E118</f>
        <v>KLM|2|Rabu|15:00</v>
      </c>
      <c r="B118" s="76" t="s">
        <v>61</v>
      </c>
      <c r="C118" s="76" t="n">
        <v>2</v>
      </c>
      <c r="D118" s="76" t="s">
        <v>92</v>
      </c>
      <c r="E118" s="76" t="s">
        <v>104</v>
      </c>
      <c r="F118" s="77" t="s">
        <v>42</v>
      </c>
      <c r="G118" s="77" t="n">
        <v>0</v>
      </c>
      <c r="H118" s="77" t="n">
        <v>0</v>
      </c>
      <c r="I118" s="76" t="n">
        <f aca="false">IF(AND(ISNUMBER(G118),ISNUMBER(H118)),MAX(G118-H118,0),"")</f>
        <v>0</v>
      </c>
      <c r="J118" s="78" t="str">
        <f aca="false">IF(AND(ISNUMBER(G118),ISNUMBER(H118)),IF(G118&gt;0,H118/G118,""),"")</f>
        <v/>
      </c>
      <c r="K118" s="77"/>
      <c r="L118" s="76" t="str">
        <f aca="false">IF(OR(G118="",H118=""),"Data tidak lengkap",IF(AND(G118=0,H118=0),IF(AND(F118="",K118=""),"Tidak dibuka","Tutup"),IF(H118&gt;G118,"Lebih kapasitas",IF(H118=G118,"Penuh",IF(H118=0,IF(F118="","Slot kosong","Belum terisi"),"Sebagian")))))</f>
        <v>Tutup</v>
      </c>
      <c r="M118" s="79" t="str">
        <f aca="false">IF(L118="Tidak dibuka","–",IF(F118="","(tanpa age group)",F118)&amp;"  "&amp;IF(H118="","?",H118)&amp;"/"&amp;IF(G118="","?",G118)&amp;CHAR(10)&amp;IF(K118="","coach: –","coach: "&amp;K118))</f>
        <v>Tiny  0/0
coach: –</v>
      </c>
    </row>
    <row r="119" customFormat="false" ht="22.35" hidden="false" customHeight="false" outlineLevel="0" collapsed="false">
      <c r="A119" s="76" t="str">
        <f aca="false">B119&amp;"|"&amp;C119&amp;"|"&amp;D119&amp;"|"&amp;E119</f>
        <v>KLM|2|Rabu|15:45</v>
      </c>
      <c r="B119" s="76" t="s">
        <v>61</v>
      </c>
      <c r="C119" s="76" t="n">
        <v>2</v>
      </c>
      <c r="D119" s="76" t="s">
        <v>92</v>
      </c>
      <c r="E119" s="76" t="s">
        <v>105</v>
      </c>
      <c r="F119" s="77" t="s">
        <v>42</v>
      </c>
      <c r="G119" s="77" t="n">
        <v>5</v>
      </c>
      <c r="H119" s="77" t="n">
        <v>0</v>
      </c>
      <c r="I119" s="76" t="n">
        <f aca="false">IF(AND(ISNUMBER(G119),ISNUMBER(H119)),MAX(G119-H119,0),"")</f>
        <v>5</v>
      </c>
      <c r="J119" s="78" t="n">
        <f aca="false">IF(AND(ISNUMBER(G119),ISNUMBER(H119)),IF(G119&gt;0,H119/G119,""),"")</f>
        <v>0</v>
      </c>
      <c r="K119" s="77"/>
      <c r="L119" s="76" t="str">
        <f aca="false">IF(OR(G119="",H119=""),"Data tidak lengkap",IF(AND(G119=0,H119=0),IF(AND(F119="",K119=""),"Tidak dibuka","Tutup"),IF(H119&gt;G119,"Lebih kapasitas",IF(H119=G119,"Penuh",IF(H119=0,IF(F119="","Slot kosong","Belum terisi"),"Sebagian")))))</f>
        <v>Belum terisi</v>
      </c>
      <c r="M119" s="79" t="str">
        <f aca="false">IF(L119="Tidak dibuka","–",IF(F119="","(tanpa age group)",F119)&amp;"  "&amp;IF(H119="","?",H119)&amp;"/"&amp;IF(G119="","?",G119)&amp;CHAR(10)&amp;IF(K119="","coach: –","coach: "&amp;K119))</f>
        <v>Tiny  0/5
coach: –</v>
      </c>
    </row>
    <row r="120" customFormat="false" ht="22.35" hidden="false" customHeight="false" outlineLevel="0" collapsed="false">
      <c r="A120" s="76" t="str">
        <f aca="false">B120&amp;"|"&amp;C120&amp;"|"&amp;D120&amp;"|"&amp;E120</f>
        <v>KLM|2|Rabu|16:30</v>
      </c>
      <c r="B120" s="76" t="s">
        <v>61</v>
      </c>
      <c r="C120" s="76" t="n">
        <v>2</v>
      </c>
      <c r="D120" s="76" t="s">
        <v>92</v>
      </c>
      <c r="E120" s="76" t="s">
        <v>106</v>
      </c>
      <c r="F120" s="77" t="s">
        <v>42</v>
      </c>
      <c r="G120" s="77" t="n">
        <v>5</v>
      </c>
      <c r="H120" s="77" t="n">
        <v>5</v>
      </c>
      <c r="I120" s="76" t="n">
        <f aca="false">IF(AND(ISNUMBER(G120),ISNUMBER(H120)),MAX(G120-H120,0),"")</f>
        <v>0</v>
      </c>
      <c r="J120" s="78" t="n">
        <f aca="false">IF(AND(ISNUMBER(G120),ISNUMBER(H120)),IF(G120&gt;0,H120/G120,""),"")</f>
        <v>1</v>
      </c>
      <c r="K120" s="77" t="s">
        <v>201</v>
      </c>
      <c r="L120" s="76" t="str">
        <f aca="false">IF(OR(G120="",H120=""),"Data tidak lengkap",IF(AND(G120=0,H120=0),IF(AND(F120="",K120=""),"Tidak dibuka","Tutup"),IF(H120&gt;G120,"Lebih kapasitas",IF(H120=G120,"Penuh",IF(H120=0,IF(F120="","Slot kosong","Belum terisi"),"Sebagian")))))</f>
        <v>Penuh</v>
      </c>
      <c r="M120" s="79" t="str">
        <f aca="false">IF(L120="Tidak dibuka","–",IF(F120="","(tanpa age group)",F120)&amp;"  "&amp;IF(H120="","?",H120)&amp;"/"&amp;IF(G120="","?",G120)&amp;CHAR(10)&amp;IF(K120="","coach: –","coach: "&amp;K120))</f>
        <v>Tiny  5/5
coach: Nuky</v>
      </c>
    </row>
    <row r="121" customFormat="false" ht="22.35" hidden="false" customHeight="false" outlineLevel="0" collapsed="false">
      <c r="A121" s="76" t="str">
        <f aca="false">B121&amp;"|"&amp;C121&amp;"|"&amp;D121&amp;"|"&amp;E121</f>
        <v>KLM|2|Rabu|17:15</v>
      </c>
      <c r="B121" s="76" t="s">
        <v>61</v>
      </c>
      <c r="C121" s="76" t="n">
        <v>2</v>
      </c>
      <c r="D121" s="76" t="s">
        <v>92</v>
      </c>
      <c r="E121" s="76" t="s">
        <v>107</v>
      </c>
      <c r="F121" s="77" t="s">
        <v>42</v>
      </c>
      <c r="G121" s="77" t="n">
        <v>5</v>
      </c>
      <c r="H121" s="77" t="n">
        <v>4</v>
      </c>
      <c r="I121" s="76" t="n">
        <f aca="false">IF(AND(ISNUMBER(G121),ISNUMBER(H121)),MAX(G121-H121,0),"")</f>
        <v>1</v>
      </c>
      <c r="J121" s="78" t="n">
        <f aca="false">IF(AND(ISNUMBER(G121),ISNUMBER(H121)),IF(G121&gt;0,H121/G121,""),"")</f>
        <v>0.8</v>
      </c>
      <c r="K121" s="77" t="s">
        <v>195</v>
      </c>
      <c r="L121" s="76" t="str">
        <f aca="false">IF(OR(G121="",H121=""),"Data tidak lengkap",IF(AND(G121=0,H121=0),IF(AND(F121="",K121=""),"Tidak dibuka","Tutup"),IF(H121&gt;G121,"Lebih kapasitas",IF(H121=G121,"Penuh",IF(H121=0,IF(F121="","Slot kosong","Belum terisi"),"Sebagian")))))</f>
        <v>Sebagian</v>
      </c>
      <c r="M121" s="79" t="str">
        <f aca="false">IF(L121="Tidak dibuka","–",IF(F121="","(tanpa age group)",F121)&amp;"  "&amp;IF(H121="","?",H121)&amp;"/"&amp;IF(G121="","?",G121)&amp;CHAR(10)&amp;IF(K121="","coach: –","coach: "&amp;K121))</f>
        <v>Tiny  4/5
coach: Eka</v>
      </c>
    </row>
    <row r="122" customFormat="false" ht="22.35" hidden="false" customHeight="false" outlineLevel="0" collapsed="false">
      <c r="A122" s="76" t="str">
        <f aca="false">B122&amp;"|"&amp;C122&amp;"|"&amp;D122&amp;"|"&amp;E122</f>
        <v>KLM|2|Kamis|08:15</v>
      </c>
      <c r="B122" s="76" t="s">
        <v>61</v>
      </c>
      <c r="C122" s="76" t="n">
        <v>2</v>
      </c>
      <c r="D122" s="76" t="s">
        <v>93</v>
      </c>
      <c r="E122" s="76" t="s">
        <v>96</v>
      </c>
      <c r="F122" s="77" t="s">
        <v>42</v>
      </c>
      <c r="G122" s="77" t="n">
        <v>0</v>
      </c>
      <c r="H122" s="77" t="n">
        <v>0</v>
      </c>
      <c r="I122" s="76" t="n">
        <f aca="false">IF(AND(ISNUMBER(G122),ISNUMBER(H122)),MAX(G122-H122,0),"")</f>
        <v>0</v>
      </c>
      <c r="J122" s="78" t="str">
        <f aca="false">IF(AND(ISNUMBER(G122),ISNUMBER(H122)),IF(G122&gt;0,H122/G122,""),"")</f>
        <v/>
      </c>
      <c r="K122" s="77"/>
      <c r="L122" s="76" t="str">
        <f aca="false">IF(OR(G122="",H122=""),"Data tidak lengkap",IF(AND(G122=0,H122=0),IF(AND(F122="",K122=""),"Tidak dibuka","Tutup"),IF(H122&gt;G122,"Lebih kapasitas",IF(H122=G122,"Penuh",IF(H122=0,IF(F122="","Slot kosong","Belum terisi"),"Sebagian")))))</f>
        <v>Tutup</v>
      </c>
      <c r="M122" s="79" t="str">
        <f aca="false">IF(L122="Tidak dibuka","–",IF(F122="","(tanpa age group)",F122)&amp;"  "&amp;IF(H122="","?",H122)&amp;"/"&amp;IF(G122="","?",G122)&amp;CHAR(10)&amp;IF(K122="","coach: –","coach: "&amp;K122))</f>
        <v>Tiny  0/0
coach: –</v>
      </c>
    </row>
    <row r="123" customFormat="false" ht="22.35" hidden="false" customHeight="false" outlineLevel="0" collapsed="false">
      <c r="A123" s="76" t="str">
        <f aca="false">B123&amp;"|"&amp;C123&amp;"|"&amp;D123&amp;"|"&amp;E123</f>
        <v>KLM|2|Kamis|09:00</v>
      </c>
      <c r="B123" s="76" t="s">
        <v>61</v>
      </c>
      <c r="C123" s="76" t="n">
        <v>2</v>
      </c>
      <c r="D123" s="76" t="s">
        <v>93</v>
      </c>
      <c r="E123" s="76" t="s">
        <v>97</v>
      </c>
      <c r="F123" s="77" t="s">
        <v>42</v>
      </c>
      <c r="G123" s="77" t="n">
        <v>5</v>
      </c>
      <c r="H123" s="77" t="n">
        <v>0</v>
      </c>
      <c r="I123" s="76" t="n">
        <f aca="false">IF(AND(ISNUMBER(G123),ISNUMBER(H123)),MAX(G123-H123,0),"")</f>
        <v>5</v>
      </c>
      <c r="J123" s="78" t="n">
        <f aca="false">IF(AND(ISNUMBER(G123),ISNUMBER(H123)),IF(G123&gt;0,H123/G123,""),"")</f>
        <v>0</v>
      </c>
      <c r="K123" s="77"/>
      <c r="L123" s="76" t="str">
        <f aca="false">IF(OR(G123="",H123=""),"Data tidak lengkap",IF(AND(G123=0,H123=0),IF(AND(F123="",K123=""),"Tidak dibuka","Tutup"),IF(H123&gt;G123,"Lebih kapasitas",IF(H123=G123,"Penuh",IF(H123=0,IF(F123="","Slot kosong","Belum terisi"),"Sebagian")))))</f>
        <v>Belum terisi</v>
      </c>
      <c r="M123" s="79" t="str">
        <f aca="false">IF(L123="Tidak dibuka","–",IF(F123="","(tanpa age group)",F123)&amp;"  "&amp;IF(H123="","?",H123)&amp;"/"&amp;IF(G123="","?",G123)&amp;CHAR(10)&amp;IF(K123="","coach: –","coach: "&amp;K123))</f>
        <v>Tiny  0/5
coach: –</v>
      </c>
    </row>
    <row r="124" customFormat="false" ht="22.35" hidden="false" customHeight="false" outlineLevel="0" collapsed="false">
      <c r="A124" s="76" t="str">
        <f aca="false">B124&amp;"|"&amp;C124&amp;"|"&amp;D124&amp;"|"&amp;E124</f>
        <v>KLM|2|Kamis|09:45</v>
      </c>
      <c r="B124" s="76" t="s">
        <v>61</v>
      </c>
      <c r="C124" s="76" t="n">
        <v>2</v>
      </c>
      <c r="D124" s="76" t="s">
        <v>93</v>
      </c>
      <c r="E124" s="76" t="s">
        <v>98</v>
      </c>
      <c r="F124" s="77" t="s">
        <v>42</v>
      </c>
      <c r="G124" s="77" t="n">
        <v>5</v>
      </c>
      <c r="H124" s="77" t="n">
        <v>4</v>
      </c>
      <c r="I124" s="76" t="n">
        <f aca="false">IF(AND(ISNUMBER(G124),ISNUMBER(H124)),MAX(G124-H124,0),"")</f>
        <v>1</v>
      </c>
      <c r="J124" s="78" t="n">
        <f aca="false">IF(AND(ISNUMBER(G124),ISNUMBER(H124)),IF(G124&gt;0,H124/G124,""),"")</f>
        <v>0.8</v>
      </c>
      <c r="K124" s="77" t="s">
        <v>195</v>
      </c>
      <c r="L124" s="76" t="str">
        <f aca="false">IF(OR(G124="",H124=""),"Data tidak lengkap",IF(AND(G124=0,H124=0),IF(AND(F124="",K124=""),"Tidak dibuka","Tutup"),IF(H124&gt;G124,"Lebih kapasitas",IF(H124=G124,"Penuh",IF(H124=0,IF(F124="","Slot kosong","Belum terisi"),"Sebagian")))))</f>
        <v>Sebagian</v>
      </c>
      <c r="M124" s="79" t="str">
        <f aca="false">IF(L124="Tidak dibuka","–",IF(F124="","(tanpa age group)",F124)&amp;"  "&amp;IF(H124="","?",H124)&amp;"/"&amp;IF(G124="","?",G124)&amp;CHAR(10)&amp;IF(K124="","coach: –","coach: "&amp;K124))</f>
        <v>Tiny  4/5
coach: Eka</v>
      </c>
    </row>
    <row r="125" customFormat="false" ht="22.35" hidden="false" customHeight="false" outlineLevel="0" collapsed="false">
      <c r="A125" s="76" t="str">
        <f aca="false">B125&amp;"|"&amp;C125&amp;"|"&amp;D125&amp;"|"&amp;E125</f>
        <v>KLM|2|Kamis|10:30</v>
      </c>
      <c r="B125" s="76" t="s">
        <v>61</v>
      </c>
      <c r="C125" s="76" t="n">
        <v>2</v>
      </c>
      <c r="D125" s="76" t="s">
        <v>93</v>
      </c>
      <c r="E125" s="76" t="s">
        <v>99</v>
      </c>
      <c r="F125" s="77" t="s">
        <v>42</v>
      </c>
      <c r="G125" s="77" t="n">
        <v>5</v>
      </c>
      <c r="H125" s="77" t="n">
        <v>0</v>
      </c>
      <c r="I125" s="76" t="n">
        <f aca="false">IF(AND(ISNUMBER(G125),ISNUMBER(H125)),MAX(G125-H125,0),"")</f>
        <v>5</v>
      </c>
      <c r="J125" s="78" t="n">
        <f aca="false">IF(AND(ISNUMBER(G125),ISNUMBER(H125)),IF(G125&gt;0,H125/G125,""),"")</f>
        <v>0</v>
      </c>
      <c r="K125" s="77"/>
      <c r="L125" s="76" t="str">
        <f aca="false">IF(OR(G125="",H125=""),"Data tidak lengkap",IF(AND(G125=0,H125=0),IF(AND(F125="",K125=""),"Tidak dibuka","Tutup"),IF(H125&gt;G125,"Lebih kapasitas",IF(H125=G125,"Penuh",IF(H125=0,IF(F125="","Slot kosong","Belum terisi"),"Sebagian")))))</f>
        <v>Belum terisi</v>
      </c>
      <c r="M125" s="79" t="str">
        <f aca="false">IF(L125="Tidak dibuka","–",IF(F125="","(tanpa age group)",F125)&amp;"  "&amp;IF(H125="","?",H125)&amp;"/"&amp;IF(G125="","?",G125)&amp;CHAR(10)&amp;IF(K125="","coach: –","coach: "&amp;K125))</f>
        <v>Tiny  0/5
coach: –</v>
      </c>
    </row>
    <row r="126" customFormat="false" ht="22.35" hidden="false" customHeight="false" outlineLevel="0" collapsed="false">
      <c r="A126" s="76" t="str">
        <f aca="false">B126&amp;"|"&amp;C126&amp;"|"&amp;D126&amp;"|"&amp;E126</f>
        <v>KLM|2|Kamis|11:15</v>
      </c>
      <c r="B126" s="76" t="s">
        <v>61</v>
      </c>
      <c r="C126" s="76" t="n">
        <v>2</v>
      </c>
      <c r="D126" s="76" t="s">
        <v>93</v>
      </c>
      <c r="E126" s="76" t="s">
        <v>100</v>
      </c>
      <c r="F126" s="77" t="s">
        <v>42</v>
      </c>
      <c r="G126" s="77" t="n">
        <v>5</v>
      </c>
      <c r="H126" s="77" t="n">
        <v>0</v>
      </c>
      <c r="I126" s="76" t="n">
        <f aca="false">IF(AND(ISNUMBER(G126),ISNUMBER(H126)),MAX(G126-H126,0),"")</f>
        <v>5</v>
      </c>
      <c r="J126" s="78" t="n">
        <f aca="false">IF(AND(ISNUMBER(G126),ISNUMBER(H126)),IF(G126&gt;0,H126/G126,""),"")</f>
        <v>0</v>
      </c>
      <c r="K126" s="77"/>
      <c r="L126" s="76" t="str">
        <f aca="false">IF(OR(G126="",H126=""),"Data tidak lengkap",IF(AND(G126=0,H126=0),IF(AND(F126="",K126=""),"Tidak dibuka","Tutup"),IF(H126&gt;G126,"Lebih kapasitas",IF(H126=G126,"Penuh",IF(H126=0,IF(F126="","Slot kosong","Belum terisi"),"Sebagian")))))</f>
        <v>Belum terisi</v>
      </c>
      <c r="M126" s="79" t="str">
        <f aca="false">IF(L126="Tidak dibuka","–",IF(F126="","(tanpa age group)",F126)&amp;"  "&amp;IF(H126="","?",H126)&amp;"/"&amp;IF(G126="","?",G126)&amp;CHAR(10)&amp;IF(K126="","coach: –","coach: "&amp;K126))</f>
        <v>Tiny  0/5
coach: –</v>
      </c>
    </row>
    <row r="127" customFormat="false" ht="22.35" hidden="false" customHeight="false" outlineLevel="0" collapsed="false">
      <c r="A127" s="76" t="str">
        <f aca="false">B127&amp;"|"&amp;C127&amp;"|"&amp;D127&amp;"|"&amp;E127</f>
        <v>KLM|2|Kamis|12:00</v>
      </c>
      <c r="B127" s="76" t="s">
        <v>61</v>
      </c>
      <c r="C127" s="76" t="n">
        <v>2</v>
      </c>
      <c r="D127" s="76" t="s">
        <v>93</v>
      </c>
      <c r="E127" s="76" t="s">
        <v>101</v>
      </c>
      <c r="F127" s="77" t="s">
        <v>42</v>
      </c>
      <c r="G127" s="77" t="n">
        <v>0</v>
      </c>
      <c r="H127" s="77" t="n">
        <v>0</v>
      </c>
      <c r="I127" s="76" t="n">
        <f aca="false">IF(AND(ISNUMBER(G127),ISNUMBER(H127)),MAX(G127-H127,0),"")</f>
        <v>0</v>
      </c>
      <c r="J127" s="78" t="str">
        <f aca="false">IF(AND(ISNUMBER(G127),ISNUMBER(H127)),IF(G127&gt;0,H127/G127,""),"")</f>
        <v/>
      </c>
      <c r="K127" s="77"/>
      <c r="L127" s="76" t="str">
        <f aca="false">IF(OR(G127="",H127=""),"Data tidak lengkap",IF(AND(G127=0,H127=0),IF(AND(F127="",K127=""),"Tidak dibuka","Tutup"),IF(H127&gt;G127,"Lebih kapasitas",IF(H127=G127,"Penuh",IF(H127=0,IF(F127="","Slot kosong","Belum terisi"),"Sebagian")))))</f>
        <v>Tutup</v>
      </c>
      <c r="M127" s="79" t="str">
        <f aca="false">IF(L127="Tidak dibuka","–",IF(F127="","(tanpa age group)",F127)&amp;"  "&amp;IF(H127="","?",H127)&amp;"/"&amp;IF(G127="","?",G127)&amp;CHAR(10)&amp;IF(K127="","coach: –","coach: "&amp;K127))</f>
        <v>Tiny  0/0
coach: –</v>
      </c>
    </row>
    <row r="128" customFormat="false" ht="22.35" hidden="false" customHeight="false" outlineLevel="0" collapsed="false">
      <c r="A128" s="76" t="str">
        <f aca="false">B128&amp;"|"&amp;C128&amp;"|"&amp;D128&amp;"|"&amp;E128</f>
        <v>KLM|2|Kamis|13:30</v>
      </c>
      <c r="B128" s="76" t="s">
        <v>61</v>
      </c>
      <c r="C128" s="76" t="n">
        <v>2</v>
      </c>
      <c r="D128" s="76" t="s">
        <v>93</v>
      </c>
      <c r="E128" s="76" t="s">
        <v>102</v>
      </c>
      <c r="F128" s="77" t="s">
        <v>42</v>
      </c>
      <c r="G128" s="77" t="n">
        <v>5</v>
      </c>
      <c r="H128" s="77" t="n">
        <v>0</v>
      </c>
      <c r="I128" s="76" t="n">
        <f aca="false">IF(AND(ISNUMBER(G128),ISNUMBER(H128)),MAX(G128-H128,0),"")</f>
        <v>5</v>
      </c>
      <c r="J128" s="78" t="n">
        <f aca="false">IF(AND(ISNUMBER(G128),ISNUMBER(H128)),IF(G128&gt;0,H128/G128,""),"")</f>
        <v>0</v>
      </c>
      <c r="K128" s="77"/>
      <c r="L128" s="76" t="str">
        <f aca="false">IF(OR(G128="",H128=""),"Data tidak lengkap",IF(AND(G128=0,H128=0),IF(AND(F128="",K128=""),"Tidak dibuka","Tutup"),IF(H128&gt;G128,"Lebih kapasitas",IF(H128=G128,"Penuh",IF(H128=0,IF(F128="","Slot kosong","Belum terisi"),"Sebagian")))))</f>
        <v>Belum terisi</v>
      </c>
      <c r="M128" s="79" t="str">
        <f aca="false">IF(L128="Tidak dibuka","–",IF(F128="","(tanpa age group)",F128)&amp;"  "&amp;IF(H128="","?",H128)&amp;"/"&amp;IF(G128="","?",G128)&amp;CHAR(10)&amp;IF(K128="","coach: –","coach: "&amp;K128))</f>
        <v>Tiny  0/5
coach: –</v>
      </c>
    </row>
    <row r="129" customFormat="false" ht="22.35" hidden="false" customHeight="false" outlineLevel="0" collapsed="false">
      <c r="A129" s="76" t="str">
        <f aca="false">B129&amp;"|"&amp;C129&amp;"|"&amp;D129&amp;"|"&amp;E129</f>
        <v>KLM|2|Kamis|14:15</v>
      </c>
      <c r="B129" s="76" t="s">
        <v>61</v>
      </c>
      <c r="C129" s="76" t="n">
        <v>2</v>
      </c>
      <c r="D129" s="76" t="s">
        <v>93</v>
      </c>
      <c r="E129" s="76" t="s">
        <v>103</v>
      </c>
      <c r="F129" s="77" t="s">
        <v>42</v>
      </c>
      <c r="G129" s="77" t="n">
        <v>5</v>
      </c>
      <c r="H129" s="77" t="n">
        <v>0</v>
      </c>
      <c r="I129" s="76" t="n">
        <f aca="false">IF(AND(ISNUMBER(G129),ISNUMBER(H129)),MAX(G129-H129,0),"")</f>
        <v>5</v>
      </c>
      <c r="J129" s="78" t="n">
        <f aca="false">IF(AND(ISNUMBER(G129),ISNUMBER(H129)),IF(G129&gt;0,H129/G129,""),"")</f>
        <v>0</v>
      </c>
      <c r="K129" s="77"/>
      <c r="L129" s="76" t="str">
        <f aca="false">IF(OR(G129="",H129=""),"Data tidak lengkap",IF(AND(G129=0,H129=0),IF(AND(F129="",K129=""),"Tidak dibuka","Tutup"),IF(H129&gt;G129,"Lebih kapasitas",IF(H129=G129,"Penuh",IF(H129=0,IF(F129="","Slot kosong","Belum terisi"),"Sebagian")))))</f>
        <v>Belum terisi</v>
      </c>
      <c r="M129" s="79" t="str">
        <f aca="false">IF(L129="Tidak dibuka","–",IF(F129="","(tanpa age group)",F129)&amp;"  "&amp;IF(H129="","?",H129)&amp;"/"&amp;IF(G129="","?",G129)&amp;CHAR(10)&amp;IF(K129="","coach: –","coach: "&amp;K129))</f>
        <v>Tiny  0/5
coach: –</v>
      </c>
    </row>
    <row r="130" customFormat="false" ht="22.35" hidden="false" customHeight="false" outlineLevel="0" collapsed="false">
      <c r="A130" s="76" t="str">
        <f aca="false">B130&amp;"|"&amp;C130&amp;"|"&amp;D130&amp;"|"&amp;E130</f>
        <v>KLM|2|Kamis|15:00</v>
      </c>
      <c r="B130" s="76" t="s">
        <v>61</v>
      </c>
      <c r="C130" s="76" t="n">
        <v>2</v>
      </c>
      <c r="D130" s="76" t="s">
        <v>93</v>
      </c>
      <c r="E130" s="76" t="s">
        <v>104</v>
      </c>
      <c r="F130" s="77" t="s">
        <v>42</v>
      </c>
      <c r="G130" s="77" t="n">
        <v>0</v>
      </c>
      <c r="H130" s="77" t="n">
        <v>0</v>
      </c>
      <c r="I130" s="76" t="n">
        <f aca="false">IF(AND(ISNUMBER(G130),ISNUMBER(H130)),MAX(G130-H130,0),"")</f>
        <v>0</v>
      </c>
      <c r="J130" s="78" t="str">
        <f aca="false">IF(AND(ISNUMBER(G130),ISNUMBER(H130)),IF(G130&gt;0,H130/G130,""),"")</f>
        <v/>
      </c>
      <c r="K130" s="77"/>
      <c r="L130" s="76" t="str">
        <f aca="false">IF(OR(G130="",H130=""),"Data tidak lengkap",IF(AND(G130=0,H130=0),IF(AND(F130="",K130=""),"Tidak dibuka","Tutup"),IF(H130&gt;G130,"Lebih kapasitas",IF(H130=G130,"Penuh",IF(H130=0,IF(F130="","Slot kosong","Belum terisi"),"Sebagian")))))</f>
        <v>Tutup</v>
      </c>
      <c r="M130" s="79" t="str">
        <f aca="false">IF(L130="Tidak dibuka","–",IF(F130="","(tanpa age group)",F130)&amp;"  "&amp;IF(H130="","?",H130)&amp;"/"&amp;IF(G130="","?",G130)&amp;CHAR(10)&amp;IF(K130="","coach: –","coach: "&amp;K130))</f>
        <v>Tiny  0/0
coach: –</v>
      </c>
    </row>
    <row r="131" customFormat="false" ht="22.35" hidden="false" customHeight="false" outlineLevel="0" collapsed="false">
      <c r="A131" s="76" t="str">
        <f aca="false">B131&amp;"|"&amp;C131&amp;"|"&amp;D131&amp;"|"&amp;E131</f>
        <v>KLM|2|Kamis|15:45</v>
      </c>
      <c r="B131" s="76" t="s">
        <v>61</v>
      </c>
      <c r="C131" s="76" t="n">
        <v>2</v>
      </c>
      <c r="D131" s="76" t="s">
        <v>93</v>
      </c>
      <c r="E131" s="76" t="s">
        <v>105</v>
      </c>
      <c r="F131" s="77" t="s">
        <v>42</v>
      </c>
      <c r="G131" s="77" t="n">
        <v>0</v>
      </c>
      <c r="H131" s="77" t="n">
        <v>0</v>
      </c>
      <c r="I131" s="76" t="n">
        <f aca="false">IF(AND(ISNUMBER(G131),ISNUMBER(H131)),MAX(G131-H131,0),"")</f>
        <v>0</v>
      </c>
      <c r="J131" s="78" t="str">
        <f aca="false">IF(AND(ISNUMBER(G131),ISNUMBER(H131)),IF(G131&gt;0,H131/G131,""),"")</f>
        <v/>
      </c>
      <c r="K131" s="77"/>
      <c r="L131" s="76" t="str">
        <f aca="false">IF(OR(G131="",H131=""),"Data tidak lengkap",IF(AND(G131=0,H131=0),IF(AND(F131="",K131=""),"Tidak dibuka","Tutup"),IF(H131&gt;G131,"Lebih kapasitas",IF(H131=G131,"Penuh",IF(H131=0,IF(F131="","Slot kosong","Belum terisi"),"Sebagian")))))</f>
        <v>Tutup</v>
      </c>
      <c r="M131" s="79" t="str">
        <f aca="false">IF(L131="Tidak dibuka","–",IF(F131="","(tanpa age group)",F131)&amp;"  "&amp;IF(H131="","?",H131)&amp;"/"&amp;IF(G131="","?",G131)&amp;CHAR(10)&amp;IF(K131="","coach: –","coach: "&amp;K131))</f>
        <v>Tiny  0/0
coach: –</v>
      </c>
    </row>
    <row r="132" customFormat="false" ht="22.35" hidden="false" customHeight="false" outlineLevel="0" collapsed="false">
      <c r="A132" s="76" t="str">
        <f aca="false">B132&amp;"|"&amp;C132&amp;"|"&amp;D132&amp;"|"&amp;E132</f>
        <v>KLM|2|Kamis|16:30</v>
      </c>
      <c r="B132" s="76" t="s">
        <v>61</v>
      </c>
      <c r="C132" s="76" t="n">
        <v>2</v>
      </c>
      <c r="D132" s="76" t="s">
        <v>93</v>
      </c>
      <c r="E132" s="76" t="s">
        <v>106</v>
      </c>
      <c r="F132" s="77" t="s">
        <v>42</v>
      </c>
      <c r="G132" s="77" t="n">
        <v>5</v>
      </c>
      <c r="H132" s="77" t="n">
        <v>0</v>
      </c>
      <c r="I132" s="76" t="n">
        <f aca="false">IF(AND(ISNUMBER(G132),ISNUMBER(H132)),MAX(G132-H132,0),"")</f>
        <v>5</v>
      </c>
      <c r="J132" s="78" t="n">
        <f aca="false">IF(AND(ISNUMBER(G132),ISNUMBER(H132)),IF(G132&gt;0,H132/G132,""),"")</f>
        <v>0</v>
      </c>
      <c r="K132" s="77"/>
      <c r="L132" s="76" t="str">
        <f aca="false">IF(OR(G132="",H132=""),"Data tidak lengkap",IF(AND(G132=0,H132=0),IF(AND(F132="",K132=""),"Tidak dibuka","Tutup"),IF(H132&gt;G132,"Lebih kapasitas",IF(H132=G132,"Penuh",IF(H132=0,IF(F132="","Slot kosong","Belum terisi"),"Sebagian")))))</f>
        <v>Belum terisi</v>
      </c>
      <c r="M132" s="79" t="str">
        <f aca="false">IF(L132="Tidak dibuka","–",IF(F132="","(tanpa age group)",F132)&amp;"  "&amp;IF(H132="","?",H132)&amp;"/"&amp;IF(G132="","?",G132)&amp;CHAR(10)&amp;IF(K132="","coach: –","coach: "&amp;K132))</f>
        <v>Tiny  0/5
coach: –</v>
      </c>
    </row>
    <row r="133" customFormat="false" ht="22.35" hidden="false" customHeight="false" outlineLevel="0" collapsed="false">
      <c r="A133" s="76" t="str">
        <f aca="false">B133&amp;"|"&amp;C133&amp;"|"&amp;D133&amp;"|"&amp;E133</f>
        <v>KLM|2|Kamis|17:15</v>
      </c>
      <c r="B133" s="76" t="s">
        <v>61</v>
      </c>
      <c r="C133" s="76" t="n">
        <v>2</v>
      </c>
      <c r="D133" s="76" t="s">
        <v>93</v>
      </c>
      <c r="E133" s="76" t="s">
        <v>107</v>
      </c>
      <c r="F133" s="77" t="s">
        <v>42</v>
      </c>
      <c r="G133" s="77" t="n">
        <v>5</v>
      </c>
      <c r="H133" s="77" t="n">
        <v>0</v>
      </c>
      <c r="I133" s="76" t="n">
        <f aca="false">IF(AND(ISNUMBER(G133),ISNUMBER(H133)),MAX(G133-H133,0),"")</f>
        <v>5</v>
      </c>
      <c r="J133" s="78" t="n">
        <f aca="false">IF(AND(ISNUMBER(G133),ISNUMBER(H133)),IF(G133&gt;0,H133/G133,""),"")</f>
        <v>0</v>
      </c>
      <c r="K133" s="77"/>
      <c r="L133" s="76" t="str">
        <f aca="false">IF(OR(G133="",H133=""),"Data tidak lengkap",IF(AND(G133=0,H133=0),IF(AND(F133="",K133=""),"Tidak dibuka","Tutup"),IF(H133&gt;G133,"Lebih kapasitas",IF(H133=G133,"Penuh",IF(H133=0,IF(F133="","Slot kosong","Belum terisi"),"Sebagian")))))</f>
        <v>Belum terisi</v>
      </c>
      <c r="M133" s="79" t="str">
        <f aca="false">IF(L133="Tidak dibuka","–",IF(F133="","(tanpa age group)",F133)&amp;"  "&amp;IF(H133="","?",H133)&amp;"/"&amp;IF(G133="","?",G133)&amp;CHAR(10)&amp;IF(K133="","coach: –","coach: "&amp;K133))</f>
        <v>Tiny  0/5
coach: –</v>
      </c>
    </row>
    <row r="134" customFormat="false" ht="22.35" hidden="false" customHeight="false" outlineLevel="0" collapsed="false">
      <c r="A134" s="76" t="str">
        <f aca="false">B134&amp;"|"&amp;C134&amp;"|"&amp;D134&amp;"|"&amp;E134</f>
        <v>KLM|2|Jumat|08:15</v>
      </c>
      <c r="B134" s="76" t="s">
        <v>61</v>
      </c>
      <c r="C134" s="76" t="n">
        <v>2</v>
      </c>
      <c r="D134" s="76" t="s">
        <v>94</v>
      </c>
      <c r="E134" s="76" t="s">
        <v>96</v>
      </c>
      <c r="F134" s="77" t="s">
        <v>42</v>
      </c>
      <c r="G134" s="77" t="n">
        <v>0</v>
      </c>
      <c r="H134" s="77" t="n">
        <v>0</v>
      </c>
      <c r="I134" s="76" t="n">
        <f aca="false">IF(AND(ISNUMBER(G134),ISNUMBER(H134)),MAX(G134-H134,0),"")</f>
        <v>0</v>
      </c>
      <c r="J134" s="78" t="str">
        <f aca="false">IF(AND(ISNUMBER(G134),ISNUMBER(H134)),IF(G134&gt;0,H134/G134,""),"")</f>
        <v/>
      </c>
      <c r="K134" s="77"/>
      <c r="L134" s="76" t="str">
        <f aca="false">IF(OR(G134="",H134=""),"Data tidak lengkap",IF(AND(G134=0,H134=0),IF(AND(F134="",K134=""),"Tidak dibuka","Tutup"),IF(H134&gt;G134,"Lebih kapasitas",IF(H134=G134,"Penuh",IF(H134=0,IF(F134="","Slot kosong","Belum terisi"),"Sebagian")))))</f>
        <v>Tutup</v>
      </c>
      <c r="M134" s="79" t="str">
        <f aca="false">IF(L134="Tidak dibuka","–",IF(F134="","(tanpa age group)",F134)&amp;"  "&amp;IF(H134="","?",H134)&amp;"/"&amp;IF(G134="","?",G134)&amp;CHAR(10)&amp;IF(K134="","coach: –","coach: "&amp;K134))</f>
        <v>Tiny  0/0
coach: –</v>
      </c>
    </row>
    <row r="135" customFormat="false" ht="22.35" hidden="false" customHeight="false" outlineLevel="0" collapsed="false">
      <c r="A135" s="76" t="str">
        <f aca="false">B135&amp;"|"&amp;C135&amp;"|"&amp;D135&amp;"|"&amp;E135</f>
        <v>KLM|2|Jumat|09:00</v>
      </c>
      <c r="B135" s="76" t="s">
        <v>61</v>
      </c>
      <c r="C135" s="76" t="n">
        <v>2</v>
      </c>
      <c r="D135" s="76" t="s">
        <v>94</v>
      </c>
      <c r="E135" s="76" t="s">
        <v>97</v>
      </c>
      <c r="F135" s="77" t="s">
        <v>42</v>
      </c>
      <c r="G135" s="77" t="n">
        <v>5</v>
      </c>
      <c r="H135" s="77" t="n">
        <v>2</v>
      </c>
      <c r="I135" s="76" t="n">
        <f aca="false">IF(AND(ISNUMBER(G135),ISNUMBER(H135)),MAX(G135-H135,0),"")</f>
        <v>3</v>
      </c>
      <c r="J135" s="78" t="n">
        <f aca="false">IF(AND(ISNUMBER(G135),ISNUMBER(H135)),IF(G135&gt;0,H135/G135,""),"")</f>
        <v>0.4</v>
      </c>
      <c r="K135" s="77" t="s">
        <v>207</v>
      </c>
      <c r="L135" s="76" t="str">
        <f aca="false">IF(OR(G135="",H135=""),"Data tidak lengkap",IF(AND(G135=0,H135=0),IF(AND(F135="",K135=""),"Tidak dibuka","Tutup"),IF(H135&gt;G135,"Lebih kapasitas",IF(H135=G135,"Penuh",IF(H135=0,IF(F135="","Slot kosong","Belum terisi"),"Sebagian")))))</f>
        <v>Sebagian</v>
      </c>
      <c r="M135" s="79" t="str">
        <f aca="false">IF(L135="Tidak dibuka","–",IF(F135="","(tanpa age group)",F135)&amp;"  "&amp;IF(H135="","?",H135)&amp;"/"&amp;IF(G135="","?",G135)&amp;CHAR(10)&amp;IF(K135="","coach: –","coach: "&amp;K135))</f>
        <v>Tiny  2/5
coach: Gita</v>
      </c>
    </row>
    <row r="136" customFormat="false" ht="22.35" hidden="false" customHeight="false" outlineLevel="0" collapsed="false">
      <c r="A136" s="76" t="str">
        <f aca="false">B136&amp;"|"&amp;C136&amp;"|"&amp;D136&amp;"|"&amp;E136</f>
        <v>KLM|2|Jumat|09:45</v>
      </c>
      <c r="B136" s="76" t="s">
        <v>61</v>
      </c>
      <c r="C136" s="76" t="n">
        <v>2</v>
      </c>
      <c r="D136" s="76" t="s">
        <v>94</v>
      </c>
      <c r="E136" s="76" t="s">
        <v>98</v>
      </c>
      <c r="F136" s="77" t="s">
        <v>42</v>
      </c>
      <c r="G136" s="77" t="n">
        <v>5</v>
      </c>
      <c r="H136" s="77" t="n">
        <v>5</v>
      </c>
      <c r="I136" s="76" t="n">
        <f aca="false">IF(AND(ISNUMBER(G136),ISNUMBER(H136)),MAX(G136-H136,0),"")</f>
        <v>0</v>
      </c>
      <c r="J136" s="78" t="n">
        <f aca="false">IF(AND(ISNUMBER(G136),ISNUMBER(H136)),IF(G136&gt;0,H136/G136,""),"")</f>
        <v>1</v>
      </c>
      <c r="K136" s="77" t="s">
        <v>198</v>
      </c>
      <c r="L136" s="76" t="str">
        <f aca="false">IF(OR(G136="",H136=""),"Data tidak lengkap",IF(AND(G136=0,H136=0),IF(AND(F136="",K136=""),"Tidak dibuka","Tutup"),IF(H136&gt;G136,"Lebih kapasitas",IF(H136=G136,"Penuh",IF(H136=0,IF(F136="","Slot kosong","Belum terisi"),"Sebagian")))))</f>
        <v>Penuh</v>
      </c>
      <c r="M136" s="79" t="str">
        <f aca="false">IF(L136="Tidak dibuka","–",IF(F136="","(tanpa age group)",F136)&amp;"  "&amp;IF(H136="","?",H136)&amp;"/"&amp;IF(G136="","?",G136)&amp;CHAR(10)&amp;IF(K136="","coach: –","coach: "&amp;K136))</f>
        <v>Tiny  5/5
coach: Surya</v>
      </c>
    </row>
    <row r="137" customFormat="false" ht="22.35" hidden="false" customHeight="false" outlineLevel="0" collapsed="false">
      <c r="A137" s="76" t="str">
        <f aca="false">B137&amp;"|"&amp;C137&amp;"|"&amp;D137&amp;"|"&amp;E137</f>
        <v>KLM|2|Jumat|10:30</v>
      </c>
      <c r="B137" s="76" t="s">
        <v>61</v>
      </c>
      <c r="C137" s="76" t="n">
        <v>2</v>
      </c>
      <c r="D137" s="76" t="s">
        <v>94</v>
      </c>
      <c r="E137" s="76" t="s">
        <v>99</v>
      </c>
      <c r="F137" s="77" t="s">
        <v>42</v>
      </c>
      <c r="G137" s="77" t="n">
        <v>5</v>
      </c>
      <c r="H137" s="77" t="n">
        <v>0</v>
      </c>
      <c r="I137" s="76" t="n">
        <f aca="false">IF(AND(ISNUMBER(G137),ISNUMBER(H137)),MAX(G137-H137,0),"")</f>
        <v>5</v>
      </c>
      <c r="J137" s="78" t="n">
        <f aca="false">IF(AND(ISNUMBER(G137),ISNUMBER(H137)),IF(G137&gt;0,H137/G137,""),"")</f>
        <v>0</v>
      </c>
      <c r="K137" s="77"/>
      <c r="L137" s="76" t="str">
        <f aca="false">IF(OR(G137="",H137=""),"Data tidak lengkap",IF(AND(G137=0,H137=0),IF(AND(F137="",K137=""),"Tidak dibuka","Tutup"),IF(H137&gt;G137,"Lebih kapasitas",IF(H137=G137,"Penuh",IF(H137=0,IF(F137="","Slot kosong","Belum terisi"),"Sebagian")))))</f>
        <v>Belum terisi</v>
      </c>
      <c r="M137" s="79" t="str">
        <f aca="false">IF(L137="Tidak dibuka","–",IF(F137="","(tanpa age group)",F137)&amp;"  "&amp;IF(H137="","?",H137)&amp;"/"&amp;IF(G137="","?",G137)&amp;CHAR(10)&amp;IF(K137="","coach: –","coach: "&amp;K137))</f>
        <v>Tiny  0/5
coach: –</v>
      </c>
    </row>
    <row r="138" customFormat="false" ht="22.35" hidden="false" customHeight="false" outlineLevel="0" collapsed="false">
      <c r="A138" s="76" t="str">
        <f aca="false">B138&amp;"|"&amp;C138&amp;"|"&amp;D138&amp;"|"&amp;E138</f>
        <v>KLM|2|Jumat|11:15</v>
      </c>
      <c r="B138" s="76" t="s">
        <v>61</v>
      </c>
      <c r="C138" s="76" t="n">
        <v>2</v>
      </c>
      <c r="D138" s="76" t="s">
        <v>94</v>
      </c>
      <c r="E138" s="76" t="s">
        <v>100</v>
      </c>
      <c r="F138" s="77" t="s">
        <v>42</v>
      </c>
      <c r="G138" s="77" t="n">
        <v>5</v>
      </c>
      <c r="H138" s="77" t="n">
        <v>0</v>
      </c>
      <c r="I138" s="76" t="n">
        <f aca="false">IF(AND(ISNUMBER(G138),ISNUMBER(H138)),MAX(G138-H138,0),"")</f>
        <v>5</v>
      </c>
      <c r="J138" s="78" t="n">
        <f aca="false">IF(AND(ISNUMBER(G138),ISNUMBER(H138)),IF(G138&gt;0,H138/G138,""),"")</f>
        <v>0</v>
      </c>
      <c r="K138" s="77"/>
      <c r="L138" s="76" t="str">
        <f aca="false">IF(OR(G138="",H138=""),"Data tidak lengkap",IF(AND(G138=0,H138=0),IF(AND(F138="",K138=""),"Tidak dibuka","Tutup"),IF(H138&gt;G138,"Lebih kapasitas",IF(H138=G138,"Penuh",IF(H138=0,IF(F138="","Slot kosong","Belum terisi"),"Sebagian")))))</f>
        <v>Belum terisi</v>
      </c>
      <c r="M138" s="79" t="str">
        <f aca="false">IF(L138="Tidak dibuka","–",IF(F138="","(tanpa age group)",F138)&amp;"  "&amp;IF(H138="","?",H138)&amp;"/"&amp;IF(G138="","?",G138)&amp;CHAR(10)&amp;IF(K138="","coach: –","coach: "&amp;K138))</f>
        <v>Tiny  0/5
coach: –</v>
      </c>
    </row>
    <row r="139" customFormat="false" ht="22.35" hidden="false" customHeight="false" outlineLevel="0" collapsed="false">
      <c r="A139" s="76" t="str">
        <f aca="false">B139&amp;"|"&amp;C139&amp;"|"&amp;D139&amp;"|"&amp;E139</f>
        <v>KLM|2|Jumat|12:00</v>
      </c>
      <c r="B139" s="76" t="s">
        <v>61</v>
      </c>
      <c r="C139" s="76" t="n">
        <v>2</v>
      </c>
      <c r="D139" s="76" t="s">
        <v>94</v>
      </c>
      <c r="E139" s="76" t="s">
        <v>101</v>
      </c>
      <c r="F139" s="77" t="s">
        <v>42</v>
      </c>
      <c r="G139" s="77" t="n">
        <v>0</v>
      </c>
      <c r="H139" s="77" t="n">
        <v>0</v>
      </c>
      <c r="I139" s="76" t="n">
        <f aca="false">IF(AND(ISNUMBER(G139),ISNUMBER(H139)),MAX(G139-H139,0),"")</f>
        <v>0</v>
      </c>
      <c r="J139" s="78" t="str">
        <f aca="false">IF(AND(ISNUMBER(G139),ISNUMBER(H139)),IF(G139&gt;0,H139/G139,""),"")</f>
        <v/>
      </c>
      <c r="K139" s="77"/>
      <c r="L139" s="76" t="str">
        <f aca="false">IF(OR(G139="",H139=""),"Data tidak lengkap",IF(AND(G139=0,H139=0),IF(AND(F139="",K139=""),"Tidak dibuka","Tutup"),IF(H139&gt;G139,"Lebih kapasitas",IF(H139=G139,"Penuh",IF(H139=0,IF(F139="","Slot kosong","Belum terisi"),"Sebagian")))))</f>
        <v>Tutup</v>
      </c>
      <c r="M139" s="79" t="str">
        <f aca="false">IF(L139="Tidak dibuka","–",IF(F139="","(tanpa age group)",F139)&amp;"  "&amp;IF(H139="","?",H139)&amp;"/"&amp;IF(G139="","?",G139)&amp;CHAR(10)&amp;IF(K139="","coach: –","coach: "&amp;K139))</f>
        <v>Tiny  0/0
coach: –</v>
      </c>
    </row>
    <row r="140" customFormat="false" ht="22.35" hidden="false" customHeight="false" outlineLevel="0" collapsed="false">
      <c r="A140" s="76" t="str">
        <f aca="false">B140&amp;"|"&amp;C140&amp;"|"&amp;D140&amp;"|"&amp;E140</f>
        <v>KLM|2|Jumat|13:30</v>
      </c>
      <c r="B140" s="76" t="s">
        <v>61</v>
      </c>
      <c r="C140" s="76" t="n">
        <v>2</v>
      </c>
      <c r="D140" s="76" t="s">
        <v>94</v>
      </c>
      <c r="E140" s="76" t="s">
        <v>102</v>
      </c>
      <c r="F140" s="77" t="s">
        <v>42</v>
      </c>
      <c r="G140" s="77" t="n">
        <v>5</v>
      </c>
      <c r="H140" s="77" t="n">
        <v>0</v>
      </c>
      <c r="I140" s="76" t="n">
        <f aca="false">IF(AND(ISNUMBER(G140),ISNUMBER(H140)),MAX(G140-H140,0),"")</f>
        <v>5</v>
      </c>
      <c r="J140" s="78" t="n">
        <f aca="false">IF(AND(ISNUMBER(G140),ISNUMBER(H140)),IF(G140&gt;0,H140/G140,""),"")</f>
        <v>0</v>
      </c>
      <c r="K140" s="77"/>
      <c r="L140" s="76" t="str">
        <f aca="false">IF(OR(G140="",H140=""),"Data tidak lengkap",IF(AND(G140=0,H140=0),IF(AND(F140="",K140=""),"Tidak dibuka","Tutup"),IF(H140&gt;G140,"Lebih kapasitas",IF(H140=G140,"Penuh",IF(H140=0,IF(F140="","Slot kosong","Belum terisi"),"Sebagian")))))</f>
        <v>Belum terisi</v>
      </c>
      <c r="M140" s="79" t="str">
        <f aca="false">IF(L140="Tidak dibuka","–",IF(F140="","(tanpa age group)",F140)&amp;"  "&amp;IF(H140="","?",H140)&amp;"/"&amp;IF(G140="","?",G140)&amp;CHAR(10)&amp;IF(K140="","coach: –","coach: "&amp;K140))</f>
        <v>Tiny  0/5
coach: –</v>
      </c>
    </row>
    <row r="141" customFormat="false" ht="22.35" hidden="false" customHeight="false" outlineLevel="0" collapsed="false">
      <c r="A141" s="76" t="str">
        <f aca="false">B141&amp;"|"&amp;C141&amp;"|"&amp;D141&amp;"|"&amp;E141</f>
        <v>KLM|2|Jumat|14:15</v>
      </c>
      <c r="B141" s="76" t="s">
        <v>61</v>
      </c>
      <c r="C141" s="76" t="n">
        <v>2</v>
      </c>
      <c r="D141" s="76" t="s">
        <v>94</v>
      </c>
      <c r="E141" s="76" t="s">
        <v>103</v>
      </c>
      <c r="F141" s="77" t="s">
        <v>42</v>
      </c>
      <c r="G141" s="77" t="n">
        <v>5</v>
      </c>
      <c r="H141" s="77" t="n">
        <v>3</v>
      </c>
      <c r="I141" s="76" t="n">
        <f aca="false">IF(AND(ISNUMBER(G141),ISNUMBER(H141)),MAX(G141-H141,0),"")</f>
        <v>2</v>
      </c>
      <c r="J141" s="78" t="n">
        <f aca="false">IF(AND(ISNUMBER(G141),ISNUMBER(H141)),IF(G141&gt;0,H141/G141,""),"")</f>
        <v>0.6</v>
      </c>
      <c r="K141" s="77" t="s">
        <v>198</v>
      </c>
      <c r="L141" s="76" t="str">
        <f aca="false">IF(OR(G141="",H141=""),"Data tidak lengkap",IF(AND(G141=0,H141=0),IF(AND(F141="",K141=""),"Tidak dibuka","Tutup"),IF(H141&gt;G141,"Lebih kapasitas",IF(H141=G141,"Penuh",IF(H141=0,IF(F141="","Slot kosong","Belum terisi"),"Sebagian")))))</f>
        <v>Sebagian</v>
      </c>
      <c r="M141" s="79" t="str">
        <f aca="false">IF(L141="Tidak dibuka","–",IF(F141="","(tanpa age group)",F141)&amp;"  "&amp;IF(H141="","?",H141)&amp;"/"&amp;IF(G141="","?",G141)&amp;CHAR(10)&amp;IF(K141="","coach: –","coach: "&amp;K141))</f>
        <v>Tiny  3/5
coach: Surya</v>
      </c>
    </row>
    <row r="142" customFormat="false" ht="22.35" hidden="false" customHeight="false" outlineLevel="0" collapsed="false">
      <c r="A142" s="76" t="str">
        <f aca="false">B142&amp;"|"&amp;C142&amp;"|"&amp;D142&amp;"|"&amp;E142</f>
        <v>KLM|2|Jumat|15:00</v>
      </c>
      <c r="B142" s="76" t="s">
        <v>61</v>
      </c>
      <c r="C142" s="76" t="n">
        <v>2</v>
      </c>
      <c r="D142" s="76" t="s">
        <v>94</v>
      </c>
      <c r="E142" s="76" t="s">
        <v>104</v>
      </c>
      <c r="F142" s="77" t="s">
        <v>42</v>
      </c>
      <c r="G142" s="77" t="n">
        <v>0</v>
      </c>
      <c r="H142" s="77" t="n">
        <v>0</v>
      </c>
      <c r="I142" s="76" t="n">
        <f aca="false">IF(AND(ISNUMBER(G142),ISNUMBER(H142)),MAX(G142-H142,0),"")</f>
        <v>0</v>
      </c>
      <c r="J142" s="78" t="str">
        <f aca="false">IF(AND(ISNUMBER(G142),ISNUMBER(H142)),IF(G142&gt;0,H142/G142,""),"")</f>
        <v/>
      </c>
      <c r="K142" s="77"/>
      <c r="L142" s="76" t="str">
        <f aca="false">IF(OR(G142="",H142=""),"Data tidak lengkap",IF(AND(G142=0,H142=0),IF(AND(F142="",K142=""),"Tidak dibuka","Tutup"),IF(H142&gt;G142,"Lebih kapasitas",IF(H142=G142,"Penuh",IF(H142=0,IF(F142="","Slot kosong","Belum terisi"),"Sebagian")))))</f>
        <v>Tutup</v>
      </c>
      <c r="M142" s="79" t="str">
        <f aca="false">IF(L142="Tidak dibuka","–",IF(F142="","(tanpa age group)",F142)&amp;"  "&amp;IF(H142="","?",H142)&amp;"/"&amp;IF(G142="","?",G142)&amp;CHAR(10)&amp;IF(K142="","coach: –","coach: "&amp;K142))</f>
        <v>Tiny  0/0
coach: –</v>
      </c>
    </row>
    <row r="143" customFormat="false" ht="22.35" hidden="false" customHeight="false" outlineLevel="0" collapsed="false">
      <c r="A143" s="76" t="str">
        <f aca="false">B143&amp;"|"&amp;C143&amp;"|"&amp;D143&amp;"|"&amp;E143</f>
        <v>KLM|2|Jumat|15:45</v>
      </c>
      <c r="B143" s="76" t="s">
        <v>61</v>
      </c>
      <c r="C143" s="76" t="n">
        <v>2</v>
      </c>
      <c r="D143" s="76" t="s">
        <v>94</v>
      </c>
      <c r="E143" s="76" t="s">
        <v>105</v>
      </c>
      <c r="F143" s="77" t="s">
        <v>210</v>
      </c>
      <c r="G143" s="77" t="n">
        <v>0</v>
      </c>
      <c r="H143" s="77" t="n">
        <v>4</v>
      </c>
      <c r="I143" s="76" t="n">
        <f aca="false">IF(AND(ISNUMBER(G143),ISNUMBER(H143)),MAX(G143-H143,0),"")</f>
        <v>0</v>
      </c>
      <c r="J143" s="78" t="str">
        <f aca="false">IF(AND(ISNUMBER(G143),ISNUMBER(H143)),IF(G143&gt;0,H143/G143,""),"")</f>
        <v/>
      </c>
      <c r="K143" s="77" t="s">
        <v>205</v>
      </c>
      <c r="L143" s="76" t="str">
        <f aca="false">IF(OR(G143="",H143=""),"Data tidak lengkap",IF(AND(G143=0,H143=0),IF(AND(F143="",K143=""),"Tidak dibuka","Tutup"),IF(H143&gt;G143,"Lebih kapasitas",IF(H143=G143,"Penuh",IF(H143=0,IF(F143="","Slot kosong","Belum terisi"),"Sebagian")))))</f>
        <v>Lebih kapasitas</v>
      </c>
      <c r="M143" s="79" t="str">
        <f aca="false">IF(L143="Tidak dibuka","–",IF(F143="","(tanpa age group)",F143)&amp;"  "&amp;IF(H143="","?",H143)&amp;"/"&amp;IF(G143="","?",G143)&amp;CHAR(10)&amp;IF(K143="","coach: –","coach: "&amp;K143))</f>
        <v>Kids  4/0
coach: Tessa</v>
      </c>
    </row>
    <row r="144" customFormat="false" ht="22.35" hidden="false" customHeight="false" outlineLevel="0" collapsed="false">
      <c r="A144" s="76" t="str">
        <f aca="false">B144&amp;"|"&amp;C144&amp;"|"&amp;D144&amp;"|"&amp;E144</f>
        <v>KLM|2|Jumat|16:30</v>
      </c>
      <c r="B144" s="76" t="s">
        <v>61</v>
      </c>
      <c r="C144" s="76" t="n">
        <v>2</v>
      </c>
      <c r="D144" s="76" t="s">
        <v>94</v>
      </c>
      <c r="E144" s="76" t="s">
        <v>106</v>
      </c>
      <c r="F144" s="77" t="s">
        <v>42</v>
      </c>
      <c r="G144" s="77" t="n">
        <v>5</v>
      </c>
      <c r="H144" s="77" t="n">
        <v>4</v>
      </c>
      <c r="I144" s="76" t="n">
        <f aca="false">IF(AND(ISNUMBER(G144),ISNUMBER(H144)),MAX(G144-H144,0),"")</f>
        <v>1</v>
      </c>
      <c r="J144" s="78" t="n">
        <f aca="false">IF(AND(ISNUMBER(G144),ISNUMBER(H144)),IF(G144&gt;0,H144/G144,""),"")</f>
        <v>0.8</v>
      </c>
      <c r="K144" s="77" t="s">
        <v>198</v>
      </c>
      <c r="L144" s="76" t="str">
        <f aca="false">IF(OR(G144="",H144=""),"Data tidak lengkap",IF(AND(G144=0,H144=0),IF(AND(F144="",K144=""),"Tidak dibuka","Tutup"),IF(H144&gt;G144,"Lebih kapasitas",IF(H144=G144,"Penuh",IF(H144=0,IF(F144="","Slot kosong","Belum terisi"),"Sebagian")))))</f>
        <v>Sebagian</v>
      </c>
      <c r="M144" s="79" t="str">
        <f aca="false">IF(L144="Tidak dibuka","–",IF(F144="","(tanpa age group)",F144)&amp;"  "&amp;IF(H144="","?",H144)&amp;"/"&amp;IF(G144="","?",G144)&amp;CHAR(10)&amp;IF(K144="","coach: –","coach: "&amp;K144))</f>
        <v>Tiny  4/5
coach: Surya</v>
      </c>
    </row>
    <row r="145" customFormat="false" ht="22.35" hidden="false" customHeight="false" outlineLevel="0" collapsed="false">
      <c r="A145" s="76" t="str">
        <f aca="false">B145&amp;"|"&amp;C145&amp;"|"&amp;D145&amp;"|"&amp;E145</f>
        <v>KLM|2|Jumat|17:15</v>
      </c>
      <c r="B145" s="76" t="s">
        <v>61</v>
      </c>
      <c r="C145" s="76" t="n">
        <v>2</v>
      </c>
      <c r="D145" s="76" t="s">
        <v>94</v>
      </c>
      <c r="E145" s="76" t="s">
        <v>107</v>
      </c>
      <c r="F145" s="77" t="s">
        <v>42</v>
      </c>
      <c r="G145" s="77" t="n">
        <v>5</v>
      </c>
      <c r="H145" s="77" t="n">
        <v>3</v>
      </c>
      <c r="I145" s="76" t="n">
        <f aca="false">IF(AND(ISNUMBER(G145),ISNUMBER(H145)),MAX(G145-H145,0),"")</f>
        <v>2</v>
      </c>
      <c r="J145" s="78" t="n">
        <f aca="false">IF(AND(ISNUMBER(G145),ISNUMBER(H145)),IF(G145&gt;0,H145/G145,""),"")</f>
        <v>0.6</v>
      </c>
      <c r="K145" s="77" t="s">
        <v>205</v>
      </c>
      <c r="L145" s="76" t="str">
        <f aca="false">IF(OR(G145="",H145=""),"Data tidak lengkap",IF(AND(G145=0,H145=0),IF(AND(F145="",K145=""),"Tidak dibuka","Tutup"),IF(H145&gt;G145,"Lebih kapasitas",IF(H145=G145,"Penuh",IF(H145=0,IF(F145="","Slot kosong","Belum terisi"),"Sebagian")))))</f>
        <v>Sebagian</v>
      </c>
      <c r="M145" s="79" t="str">
        <f aca="false">IF(L145="Tidak dibuka","–",IF(F145="","(tanpa age group)",F145)&amp;"  "&amp;IF(H145="","?",H145)&amp;"/"&amp;IF(G145="","?",G145)&amp;CHAR(10)&amp;IF(K145="","coach: –","coach: "&amp;K145))</f>
        <v>Tiny  3/5
coach: Tessa</v>
      </c>
    </row>
    <row r="146" customFormat="false" ht="22.35" hidden="false" customHeight="false" outlineLevel="0" collapsed="false">
      <c r="A146" s="76" t="str">
        <f aca="false">B146&amp;"|"&amp;C146&amp;"|"&amp;D146&amp;"|"&amp;E146</f>
        <v>KLM|2|Sabtu|08:15</v>
      </c>
      <c r="B146" s="76" t="s">
        <v>61</v>
      </c>
      <c r="C146" s="76" t="n">
        <v>2</v>
      </c>
      <c r="D146" s="76" t="s">
        <v>95</v>
      </c>
      <c r="E146" s="76" t="s">
        <v>96</v>
      </c>
      <c r="F146" s="77" t="s">
        <v>42</v>
      </c>
      <c r="G146" s="77" t="n">
        <v>0</v>
      </c>
      <c r="H146" s="77" t="n">
        <v>0</v>
      </c>
      <c r="I146" s="76" t="n">
        <f aca="false">IF(AND(ISNUMBER(G146),ISNUMBER(H146)),MAX(G146-H146,0),"")</f>
        <v>0</v>
      </c>
      <c r="J146" s="78" t="str">
        <f aca="false">IF(AND(ISNUMBER(G146),ISNUMBER(H146)),IF(G146&gt;0,H146/G146,""),"")</f>
        <v/>
      </c>
      <c r="K146" s="77"/>
      <c r="L146" s="76" t="str">
        <f aca="false">IF(OR(G146="",H146=""),"Data tidak lengkap",IF(AND(G146=0,H146=0),IF(AND(F146="",K146=""),"Tidak dibuka","Tutup"),IF(H146&gt;G146,"Lebih kapasitas",IF(H146=G146,"Penuh",IF(H146=0,IF(F146="","Slot kosong","Belum terisi"),"Sebagian")))))</f>
        <v>Tutup</v>
      </c>
      <c r="M146" s="79" t="str">
        <f aca="false">IF(L146="Tidak dibuka","–",IF(F146="","(tanpa age group)",F146)&amp;"  "&amp;IF(H146="","?",H146)&amp;"/"&amp;IF(G146="","?",G146)&amp;CHAR(10)&amp;IF(K146="","coach: –","coach: "&amp;K146))</f>
        <v>Tiny  0/0
coach: –</v>
      </c>
    </row>
    <row r="147" customFormat="false" ht="22.35" hidden="false" customHeight="false" outlineLevel="0" collapsed="false">
      <c r="A147" s="76" t="str">
        <f aca="false">B147&amp;"|"&amp;C147&amp;"|"&amp;D147&amp;"|"&amp;E147</f>
        <v>KLM|2|Sabtu|09:00</v>
      </c>
      <c r="B147" s="76" t="s">
        <v>61</v>
      </c>
      <c r="C147" s="76" t="n">
        <v>2</v>
      </c>
      <c r="D147" s="76" t="s">
        <v>95</v>
      </c>
      <c r="E147" s="76" t="s">
        <v>97</v>
      </c>
      <c r="F147" s="77" t="s">
        <v>42</v>
      </c>
      <c r="G147" s="77" t="n">
        <v>5</v>
      </c>
      <c r="H147" s="77" t="n">
        <v>5</v>
      </c>
      <c r="I147" s="76" t="n">
        <f aca="false">IF(AND(ISNUMBER(G147),ISNUMBER(H147)),MAX(G147-H147,0),"")</f>
        <v>0</v>
      </c>
      <c r="J147" s="78" t="n">
        <f aca="false">IF(AND(ISNUMBER(G147),ISNUMBER(H147)),IF(G147&gt;0,H147/G147,""),"")</f>
        <v>1</v>
      </c>
      <c r="K147" s="77" t="s">
        <v>197</v>
      </c>
      <c r="L147" s="76" t="str">
        <f aca="false">IF(OR(G147="",H147=""),"Data tidak lengkap",IF(AND(G147=0,H147=0),IF(AND(F147="",K147=""),"Tidak dibuka","Tutup"),IF(H147&gt;G147,"Lebih kapasitas",IF(H147=G147,"Penuh",IF(H147=0,IF(F147="","Slot kosong","Belum terisi"),"Sebagian")))))</f>
        <v>Penuh</v>
      </c>
      <c r="M147" s="79" t="str">
        <f aca="false">IF(L147="Tidak dibuka","–",IF(F147="","(tanpa age group)",F147)&amp;"  "&amp;IF(H147="","?",H147)&amp;"/"&amp;IF(G147="","?",G147)&amp;CHAR(10)&amp;IF(K147="","coach: –","coach: "&amp;K147))</f>
        <v>Tiny  5/5
coach: Rischa</v>
      </c>
    </row>
    <row r="148" customFormat="false" ht="22.35" hidden="false" customHeight="false" outlineLevel="0" collapsed="false">
      <c r="A148" s="76" t="str">
        <f aca="false">B148&amp;"|"&amp;C148&amp;"|"&amp;D148&amp;"|"&amp;E148</f>
        <v>KLM|2|Sabtu|09:45</v>
      </c>
      <c r="B148" s="76" t="s">
        <v>61</v>
      </c>
      <c r="C148" s="76" t="n">
        <v>2</v>
      </c>
      <c r="D148" s="76" t="s">
        <v>95</v>
      </c>
      <c r="E148" s="76" t="s">
        <v>98</v>
      </c>
      <c r="F148" s="77" t="s">
        <v>42</v>
      </c>
      <c r="G148" s="77" t="n">
        <v>5</v>
      </c>
      <c r="H148" s="77" t="n">
        <v>5</v>
      </c>
      <c r="I148" s="76" t="n">
        <f aca="false">IF(AND(ISNUMBER(G148),ISNUMBER(H148)),MAX(G148-H148,0),"")</f>
        <v>0</v>
      </c>
      <c r="J148" s="78" t="n">
        <f aca="false">IF(AND(ISNUMBER(G148),ISNUMBER(H148)),IF(G148&gt;0,H148/G148,""),"")</f>
        <v>1</v>
      </c>
      <c r="K148" s="77" t="s">
        <v>195</v>
      </c>
      <c r="L148" s="76" t="str">
        <f aca="false">IF(OR(G148="",H148=""),"Data tidak lengkap",IF(AND(G148=0,H148=0),IF(AND(F148="",K148=""),"Tidak dibuka","Tutup"),IF(H148&gt;G148,"Lebih kapasitas",IF(H148=G148,"Penuh",IF(H148=0,IF(F148="","Slot kosong","Belum terisi"),"Sebagian")))))</f>
        <v>Penuh</v>
      </c>
      <c r="M148" s="79" t="str">
        <f aca="false">IF(L148="Tidak dibuka","–",IF(F148="","(tanpa age group)",F148)&amp;"  "&amp;IF(H148="","?",H148)&amp;"/"&amp;IF(G148="","?",G148)&amp;CHAR(10)&amp;IF(K148="","coach: –","coach: "&amp;K148))</f>
        <v>Tiny  5/5
coach: Eka</v>
      </c>
    </row>
    <row r="149" customFormat="false" ht="22.35" hidden="false" customHeight="false" outlineLevel="0" collapsed="false">
      <c r="A149" s="76" t="str">
        <f aca="false">B149&amp;"|"&amp;C149&amp;"|"&amp;D149&amp;"|"&amp;E149</f>
        <v>KLM|2|Sabtu|10:30</v>
      </c>
      <c r="B149" s="76" t="s">
        <v>61</v>
      </c>
      <c r="C149" s="76" t="n">
        <v>2</v>
      </c>
      <c r="D149" s="76" t="s">
        <v>95</v>
      </c>
      <c r="E149" s="76" t="s">
        <v>99</v>
      </c>
      <c r="F149" s="77" t="s">
        <v>42</v>
      </c>
      <c r="G149" s="77" t="n">
        <v>5</v>
      </c>
      <c r="H149" s="77" t="n">
        <v>5</v>
      </c>
      <c r="I149" s="76" t="n">
        <f aca="false">IF(AND(ISNUMBER(G149),ISNUMBER(H149)),MAX(G149-H149,0),"")</f>
        <v>0</v>
      </c>
      <c r="J149" s="78" t="n">
        <f aca="false">IF(AND(ISNUMBER(G149),ISNUMBER(H149)),IF(G149&gt;0,H149/G149,""),"")</f>
        <v>1</v>
      </c>
      <c r="K149" s="77" t="s">
        <v>195</v>
      </c>
      <c r="L149" s="76" t="str">
        <f aca="false">IF(OR(G149="",H149=""),"Data tidak lengkap",IF(AND(G149=0,H149=0),IF(AND(F149="",K149=""),"Tidak dibuka","Tutup"),IF(H149&gt;G149,"Lebih kapasitas",IF(H149=G149,"Penuh",IF(H149=0,IF(F149="","Slot kosong","Belum terisi"),"Sebagian")))))</f>
        <v>Penuh</v>
      </c>
      <c r="M149" s="79" t="str">
        <f aca="false">IF(L149="Tidak dibuka","–",IF(F149="","(tanpa age group)",F149)&amp;"  "&amp;IF(H149="","?",H149)&amp;"/"&amp;IF(G149="","?",G149)&amp;CHAR(10)&amp;IF(K149="","coach: –","coach: "&amp;K149))</f>
        <v>Tiny  5/5
coach: Eka</v>
      </c>
    </row>
    <row r="150" customFormat="false" ht="22.35" hidden="false" customHeight="false" outlineLevel="0" collapsed="false">
      <c r="A150" s="76" t="str">
        <f aca="false">B150&amp;"|"&amp;C150&amp;"|"&amp;D150&amp;"|"&amp;E150</f>
        <v>KLM|2|Sabtu|11:15</v>
      </c>
      <c r="B150" s="76" t="s">
        <v>61</v>
      </c>
      <c r="C150" s="76" t="n">
        <v>2</v>
      </c>
      <c r="D150" s="76" t="s">
        <v>95</v>
      </c>
      <c r="E150" s="76" t="s">
        <v>100</v>
      </c>
      <c r="F150" s="77" t="s">
        <v>42</v>
      </c>
      <c r="G150" s="77" t="n">
        <v>5</v>
      </c>
      <c r="H150" s="77" t="n">
        <v>4</v>
      </c>
      <c r="I150" s="76" t="n">
        <f aca="false">IF(AND(ISNUMBER(G150),ISNUMBER(H150)),MAX(G150-H150,0),"")</f>
        <v>1</v>
      </c>
      <c r="J150" s="78" t="n">
        <f aca="false">IF(AND(ISNUMBER(G150),ISNUMBER(H150)),IF(G150&gt;0,H150/G150,""),"")</f>
        <v>0.8</v>
      </c>
      <c r="K150" s="77" t="s">
        <v>201</v>
      </c>
      <c r="L150" s="76" t="str">
        <f aca="false">IF(OR(G150="",H150=""),"Data tidak lengkap",IF(AND(G150=0,H150=0),IF(AND(F150="",K150=""),"Tidak dibuka","Tutup"),IF(H150&gt;G150,"Lebih kapasitas",IF(H150=G150,"Penuh",IF(H150=0,IF(F150="","Slot kosong","Belum terisi"),"Sebagian")))))</f>
        <v>Sebagian</v>
      </c>
      <c r="M150" s="79" t="str">
        <f aca="false">IF(L150="Tidak dibuka","–",IF(F150="","(tanpa age group)",F150)&amp;"  "&amp;IF(H150="","?",H150)&amp;"/"&amp;IF(G150="","?",G150)&amp;CHAR(10)&amp;IF(K150="","coach: –","coach: "&amp;K150))</f>
        <v>Tiny  4/5
coach: Nuky</v>
      </c>
    </row>
    <row r="151" customFormat="false" ht="22.35" hidden="false" customHeight="false" outlineLevel="0" collapsed="false">
      <c r="A151" s="76" t="str">
        <f aca="false">B151&amp;"|"&amp;C151&amp;"|"&amp;D151&amp;"|"&amp;E151</f>
        <v>KLM|2|Sabtu|12:00</v>
      </c>
      <c r="B151" s="76" t="s">
        <v>61</v>
      </c>
      <c r="C151" s="76" t="n">
        <v>2</v>
      </c>
      <c r="D151" s="76" t="s">
        <v>95</v>
      </c>
      <c r="E151" s="76" t="s">
        <v>101</v>
      </c>
      <c r="F151" s="77" t="s">
        <v>210</v>
      </c>
      <c r="G151" s="77" t="n">
        <v>4</v>
      </c>
      <c r="H151" s="77" t="n">
        <v>4</v>
      </c>
      <c r="I151" s="76" t="n">
        <f aca="false">IF(AND(ISNUMBER(G151),ISNUMBER(H151)),MAX(G151-H151,0),"")</f>
        <v>0</v>
      </c>
      <c r="J151" s="78" t="n">
        <f aca="false">IF(AND(ISNUMBER(G151),ISNUMBER(H151)),IF(G151&gt;0,H151/G151,""),"")</f>
        <v>1</v>
      </c>
      <c r="K151" s="77" t="s">
        <v>205</v>
      </c>
      <c r="L151" s="76" t="str">
        <f aca="false">IF(OR(G151="",H151=""),"Data tidak lengkap",IF(AND(G151=0,H151=0),IF(AND(F151="",K151=""),"Tidak dibuka","Tutup"),IF(H151&gt;G151,"Lebih kapasitas",IF(H151=G151,"Penuh",IF(H151=0,IF(F151="","Slot kosong","Belum terisi"),"Sebagian")))))</f>
        <v>Penuh</v>
      </c>
      <c r="M151" s="79" t="str">
        <f aca="false">IF(L151="Tidak dibuka","–",IF(F151="","(tanpa age group)",F151)&amp;"  "&amp;IF(H151="","?",H151)&amp;"/"&amp;IF(G151="","?",G151)&amp;CHAR(10)&amp;IF(K151="","coach: –","coach: "&amp;K151))</f>
        <v>Kids  4/4
coach: Tessa</v>
      </c>
    </row>
    <row r="152" customFormat="false" ht="22.35" hidden="false" customHeight="false" outlineLevel="0" collapsed="false">
      <c r="A152" s="76" t="str">
        <f aca="false">B152&amp;"|"&amp;C152&amp;"|"&amp;D152&amp;"|"&amp;E152</f>
        <v>KLM|2|Sabtu|13:30</v>
      </c>
      <c r="B152" s="76" t="s">
        <v>61</v>
      </c>
      <c r="C152" s="76" t="n">
        <v>2</v>
      </c>
      <c r="D152" s="76" t="s">
        <v>95</v>
      </c>
      <c r="E152" s="76" t="s">
        <v>102</v>
      </c>
      <c r="F152" s="77" t="s">
        <v>42</v>
      </c>
      <c r="G152" s="77" t="n">
        <v>5</v>
      </c>
      <c r="H152" s="77" t="n">
        <v>3</v>
      </c>
      <c r="I152" s="76" t="n">
        <f aca="false">IF(AND(ISNUMBER(G152),ISNUMBER(H152)),MAX(G152-H152,0),"")</f>
        <v>2</v>
      </c>
      <c r="J152" s="78" t="n">
        <f aca="false">IF(AND(ISNUMBER(G152),ISNUMBER(H152)),IF(G152&gt;0,H152/G152,""),"")</f>
        <v>0.6</v>
      </c>
      <c r="K152" s="77" t="s">
        <v>200</v>
      </c>
      <c r="L152" s="76" t="str">
        <f aca="false">IF(OR(G152="",H152=""),"Data tidak lengkap",IF(AND(G152=0,H152=0),IF(AND(F152="",K152=""),"Tidak dibuka","Tutup"),IF(H152&gt;G152,"Lebih kapasitas",IF(H152=G152,"Penuh",IF(H152=0,IF(F152="","Slot kosong","Belum terisi"),"Sebagian")))))</f>
        <v>Sebagian</v>
      </c>
      <c r="M152" s="79" t="str">
        <f aca="false">IF(L152="Tidak dibuka","–",IF(F152="","(tanpa age group)",F152)&amp;"  "&amp;IF(H152="","?",H152)&amp;"/"&amp;IF(G152="","?",G152)&amp;CHAR(10)&amp;IF(K152="","coach: –","coach: "&amp;K152))</f>
        <v>Tiny  3/5
coach: Zidane</v>
      </c>
    </row>
    <row r="153" customFormat="false" ht="22.35" hidden="false" customHeight="false" outlineLevel="0" collapsed="false">
      <c r="A153" s="76" t="str">
        <f aca="false">B153&amp;"|"&amp;C153&amp;"|"&amp;D153&amp;"|"&amp;E153</f>
        <v>KLM|2|Sabtu|14:15</v>
      </c>
      <c r="B153" s="76" t="s">
        <v>61</v>
      </c>
      <c r="C153" s="76" t="n">
        <v>2</v>
      </c>
      <c r="D153" s="76" t="s">
        <v>95</v>
      </c>
      <c r="E153" s="76" t="s">
        <v>103</v>
      </c>
      <c r="F153" s="77" t="s">
        <v>42</v>
      </c>
      <c r="G153" s="77" t="n">
        <v>5</v>
      </c>
      <c r="H153" s="77" t="n">
        <v>5</v>
      </c>
      <c r="I153" s="76" t="n">
        <f aca="false">IF(AND(ISNUMBER(G153),ISNUMBER(H153)),MAX(G153-H153,0),"")</f>
        <v>0</v>
      </c>
      <c r="J153" s="78" t="n">
        <f aca="false">IF(AND(ISNUMBER(G153),ISNUMBER(H153)),IF(G153&gt;0,H153/G153,""),"")</f>
        <v>1</v>
      </c>
      <c r="K153" s="77" t="s">
        <v>197</v>
      </c>
      <c r="L153" s="76" t="str">
        <f aca="false">IF(OR(G153="",H153=""),"Data tidak lengkap",IF(AND(G153=0,H153=0),IF(AND(F153="",K153=""),"Tidak dibuka","Tutup"),IF(H153&gt;G153,"Lebih kapasitas",IF(H153=G153,"Penuh",IF(H153=0,IF(F153="","Slot kosong","Belum terisi"),"Sebagian")))))</f>
        <v>Penuh</v>
      </c>
      <c r="M153" s="79" t="str">
        <f aca="false">IF(L153="Tidak dibuka","–",IF(F153="","(tanpa age group)",F153)&amp;"  "&amp;IF(H153="","?",H153)&amp;"/"&amp;IF(G153="","?",G153)&amp;CHAR(10)&amp;IF(K153="","coach: –","coach: "&amp;K153))</f>
        <v>Tiny  5/5
coach: Rischa</v>
      </c>
    </row>
    <row r="154" customFormat="false" ht="22.35" hidden="false" customHeight="false" outlineLevel="0" collapsed="false">
      <c r="A154" s="76" t="str">
        <f aca="false">B154&amp;"|"&amp;C154&amp;"|"&amp;D154&amp;"|"&amp;E154</f>
        <v>KLM|2|Sabtu|15:00</v>
      </c>
      <c r="B154" s="76" t="s">
        <v>61</v>
      </c>
      <c r="C154" s="76" t="n">
        <v>2</v>
      </c>
      <c r="D154" s="76" t="s">
        <v>95</v>
      </c>
      <c r="E154" s="76" t="s">
        <v>104</v>
      </c>
      <c r="F154" s="77" t="s">
        <v>42</v>
      </c>
      <c r="G154" s="77" t="n">
        <v>5</v>
      </c>
      <c r="H154" s="77" t="n">
        <v>5</v>
      </c>
      <c r="I154" s="76" t="n">
        <f aca="false">IF(AND(ISNUMBER(G154),ISNUMBER(H154)),MAX(G154-H154,0),"")</f>
        <v>0</v>
      </c>
      <c r="J154" s="78" t="n">
        <f aca="false">IF(AND(ISNUMBER(G154),ISNUMBER(H154)),IF(G154&gt;0,H154/G154,""),"")</f>
        <v>1</v>
      </c>
      <c r="K154" s="77" t="s">
        <v>201</v>
      </c>
      <c r="L154" s="76" t="str">
        <f aca="false">IF(OR(G154="",H154=""),"Data tidak lengkap",IF(AND(G154=0,H154=0),IF(AND(F154="",K154=""),"Tidak dibuka","Tutup"),IF(H154&gt;G154,"Lebih kapasitas",IF(H154=G154,"Penuh",IF(H154=0,IF(F154="","Slot kosong","Belum terisi"),"Sebagian")))))</f>
        <v>Penuh</v>
      </c>
      <c r="M154" s="79" t="str">
        <f aca="false">IF(L154="Tidak dibuka","–",IF(F154="","(tanpa age group)",F154)&amp;"  "&amp;IF(H154="","?",H154)&amp;"/"&amp;IF(G154="","?",G154)&amp;CHAR(10)&amp;IF(K154="","coach: –","coach: "&amp;K154))</f>
        <v>Tiny  5/5
coach: Nuky</v>
      </c>
    </row>
    <row r="155" customFormat="false" ht="22.35" hidden="false" customHeight="false" outlineLevel="0" collapsed="false">
      <c r="A155" s="76" t="str">
        <f aca="false">B155&amp;"|"&amp;C155&amp;"|"&amp;D155&amp;"|"&amp;E155</f>
        <v>KLM|2|Sabtu|15:45</v>
      </c>
      <c r="B155" s="76" t="s">
        <v>61</v>
      </c>
      <c r="C155" s="76" t="n">
        <v>2</v>
      </c>
      <c r="D155" s="76" t="s">
        <v>95</v>
      </c>
      <c r="E155" s="76" t="s">
        <v>105</v>
      </c>
      <c r="F155" s="77" t="s">
        <v>210</v>
      </c>
      <c r="G155" s="77" t="n">
        <v>4</v>
      </c>
      <c r="H155" s="77" t="n">
        <v>4</v>
      </c>
      <c r="I155" s="76" t="n">
        <f aca="false">IF(AND(ISNUMBER(G155),ISNUMBER(H155)),MAX(G155-H155,0),"")</f>
        <v>0</v>
      </c>
      <c r="J155" s="78" t="n">
        <f aca="false">IF(AND(ISNUMBER(G155),ISNUMBER(H155)),IF(G155&gt;0,H155/G155,""),"")</f>
        <v>1</v>
      </c>
      <c r="K155" s="77" t="s">
        <v>207</v>
      </c>
      <c r="L155" s="76" t="str">
        <f aca="false">IF(OR(G155="",H155=""),"Data tidak lengkap",IF(AND(G155=0,H155=0),IF(AND(F155="",K155=""),"Tidak dibuka","Tutup"),IF(H155&gt;G155,"Lebih kapasitas",IF(H155=G155,"Penuh",IF(H155=0,IF(F155="","Slot kosong","Belum terisi"),"Sebagian")))))</f>
        <v>Penuh</v>
      </c>
      <c r="M155" s="79" t="str">
        <f aca="false">IF(L155="Tidak dibuka","–",IF(F155="","(tanpa age group)",F155)&amp;"  "&amp;IF(H155="","?",H155)&amp;"/"&amp;IF(G155="","?",G155)&amp;CHAR(10)&amp;IF(K155="","coach: –","coach: "&amp;K155))</f>
        <v>Kids  4/4
coach: Gita</v>
      </c>
    </row>
    <row r="156" customFormat="false" ht="22.35" hidden="false" customHeight="false" outlineLevel="0" collapsed="false">
      <c r="A156" s="76" t="str">
        <f aca="false">B156&amp;"|"&amp;C156&amp;"|"&amp;D156&amp;"|"&amp;E156</f>
        <v>KLM|2|Sabtu|16:30</v>
      </c>
      <c r="B156" s="76" t="s">
        <v>61</v>
      </c>
      <c r="C156" s="76" t="n">
        <v>2</v>
      </c>
      <c r="D156" s="76" t="s">
        <v>95</v>
      </c>
      <c r="E156" s="76" t="s">
        <v>106</v>
      </c>
      <c r="F156" s="77" t="s">
        <v>42</v>
      </c>
      <c r="G156" s="77" t="n">
        <v>5</v>
      </c>
      <c r="H156" s="77" t="n">
        <v>5</v>
      </c>
      <c r="I156" s="76" t="n">
        <f aca="false">IF(AND(ISNUMBER(G156),ISNUMBER(H156)),MAX(G156-H156,0),"")</f>
        <v>0</v>
      </c>
      <c r="J156" s="78" t="n">
        <f aca="false">IF(AND(ISNUMBER(G156),ISNUMBER(H156)),IF(G156&gt;0,H156/G156,""),"")</f>
        <v>1</v>
      </c>
      <c r="K156" s="77" t="s">
        <v>205</v>
      </c>
      <c r="L156" s="76" t="str">
        <f aca="false">IF(OR(G156="",H156=""),"Data tidak lengkap",IF(AND(G156=0,H156=0),IF(AND(F156="",K156=""),"Tidak dibuka","Tutup"),IF(H156&gt;G156,"Lebih kapasitas",IF(H156=G156,"Penuh",IF(H156=0,IF(F156="","Slot kosong","Belum terisi"),"Sebagian")))))</f>
        <v>Penuh</v>
      </c>
      <c r="M156" s="79" t="str">
        <f aca="false">IF(L156="Tidak dibuka","–",IF(F156="","(tanpa age group)",F156)&amp;"  "&amp;IF(H156="","?",H156)&amp;"/"&amp;IF(G156="","?",G156)&amp;CHAR(10)&amp;IF(K156="","coach: –","coach: "&amp;K156))</f>
        <v>Tiny  5/5
coach: Tessa</v>
      </c>
    </row>
    <row r="157" customFormat="false" ht="22.35" hidden="false" customHeight="false" outlineLevel="0" collapsed="false">
      <c r="A157" s="76" t="str">
        <f aca="false">B157&amp;"|"&amp;C157&amp;"|"&amp;D157&amp;"|"&amp;E157</f>
        <v>KLM|2|Sabtu|17:15</v>
      </c>
      <c r="B157" s="76" t="s">
        <v>61</v>
      </c>
      <c r="C157" s="76" t="n">
        <v>2</v>
      </c>
      <c r="D157" s="76" t="s">
        <v>95</v>
      </c>
      <c r="E157" s="76" t="s">
        <v>107</v>
      </c>
      <c r="F157" s="77" t="s">
        <v>42</v>
      </c>
      <c r="G157" s="77" t="n">
        <v>5</v>
      </c>
      <c r="H157" s="77" t="n">
        <v>0</v>
      </c>
      <c r="I157" s="76" t="n">
        <f aca="false">IF(AND(ISNUMBER(G157),ISNUMBER(H157)),MAX(G157-H157,0),"")</f>
        <v>5</v>
      </c>
      <c r="J157" s="78" t="n">
        <f aca="false">IF(AND(ISNUMBER(G157),ISNUMBER(H157)),IF(G157&gt;0,H157/G157,""),"")</f>
        <v>0</v>
      </c>
      <c r="K157" s="77"/>
      <c r="L157" s="76" t="str">
        <f aca="false">IF(OR(G157="",H157=""),"Data tidak lengkap",IF(AND(G157=0,H157=0),IF(AND(F157="",K157=""),"Tidak dibuka","Tutup"),IF(H157&gt;G157,"Lebih kapasitas",IF(H157=G157,"Penuh",IF(H157=0,IF(F157="","Slot kosong","Belum terisi"),"Sebagian")))))</f>
        <v>Belum terisi</v>
      </c>
      <c r="M157" s="79" t="str">
        <f aca="false">IF(L157="Tidak dibuka","–",IF(F157="","(tanpa age group)",F157)&amp;"  "&amp;IF(H157="","?",H157)&amp;"/"&amp;IF(G157="","?",G157)&amp;CHAR(10)&amp;IF(K157="","coach: –","coach: "&amp;K157))</f>
        <v>Tiny  0/5
coach: –</v>
      </c>
    </row>
    <row r="158" customFormat="false" ht="22.35" hidden="false" customHeight="false" outlineLevel="0" collapsed="false">
      <c r="A158" s="76" t="str">
        <f aca="false">B158&amp;"|"&amp;C158&amp;"|"&amp;D158&amp;"|"&amp;E158</f>
        <v>KLM|2|Minggu|08:15</v>
      </c>
      <c r="B158" s="76" t="s">
        <v>61</v>
      </c>
      <c r="C158" s="76" t="n">
        <v>2</v>
      </c>
      <c r="D158" s="76" t="s">
        <v>78</v>
      </c>
      <c r="E158" s="76" t="s">
        <v>96</v>
      </c>
      <c r="F158" s="77" t="s">
        <v>42</v>
      </c>
      <c r="G158" s="77" t="n">
        <v>0</v>
      </c>
      <c r="H158" s="77" t="n">
        <v>0</v>
      </c>
      <c r="I158" s="76" t="n">
        <f aca="false">IF(AND(ISNUMBER(G158),ISNUMBER(H158)),MAX(G158-H158,0),"")</f>
        <v>0</v>
      </c>
      <c r="J158" s="78" t="str">
        <f aca="false">IF(AND(ISNUMBER(G158),ISNUMBER(H158)),IF(G158&gt;0,H158/G158,""),"")</f>
        <v/>
      </c>
      <c r="K158" s="77"/>
      <c r="L158" s="76" t="str">
        <f aca="false">IF(OR(G158="",H158=""),"Data tidak lengkap",IF(AND(G158=0,H158=0),IF(AND(F158="",K158=""),"Tidak dibuka","Tutup"),IF(H158&gt;G158,"Lebih kapasitas",IF(H158=G158,"Penuh",IF(H158=0,IF(F158="","Slot kosong","Belum terisi"),"Sebagian")))))</f>
        <v>Tutup</v>
      </c>
      <c r="M158" s="79" t="str">
        <f aca="false">IF(L158="Tidak dibuka","–",IF(F158="","(tanpa age group)",F158)&amp;"  "&amp;IF(H158="","?",H158)&amp;"/"&amp;IF(G158="","?",G158)&amp;CHAR(10)&amp;IF(K158="","coach: –","coach: "&amp;K158))</f>
        <v>Tiny  0/0
coach: –</v>
      </c>
    </row>
    <row r="159" customFormat="false" ht="22.35" hidden="false" customHeight="false" outlineLevel="0" collapsed="false">
      <c r="A159" s="76" t="str">
        <f aca="false">B159&amp;"|"&amp;C159&amp;"|"&amp;D159&amp;"|"&amp;E159</f>
        <v>KLM|2|Minggu|09:00</v>
      </c>
      <c r="B159" s="76" t="s">
        <v>61</v>
      </c>
      <c r="C159" s="76" t="n">
        <v>2</v>
      </c>
      <c r="D159" s="76" t="s">
        <v>78</v>
      </c>
      <c r="E159" s="76" t="s">
        <v>97</v>
      </c>
      <c r="F159" s="77" t="s">
        <v>42</v>
      </c>
      <c r="G159" s="77" t="n">
        <v>5</v>
      </c>
      <c r="H159" s="77" t="n">
        <v>5</v>
      </c>
      <c r="I159" s="76" t="n">
        <f aca="false">IF(AND(ISNUMBER(G159),ISNUMBER(H159)),MAX(G159-H159,0),"")</f>
        <v>0</v>
      </c>
      <c r="J159" s="78" t="n">
        <f aca="false">IF(AND(ISNUMBER(G159),ISNUMBER(H159)),IF(G159&gt;0,H159/G159,""),"")</f>
        <v>1</v>
      </c>
      <c r="K159" s="77" t="s">
        <v>44</v>
      </c>
      <c r="L159" s="76" t="str">
        <f aca="false">IF(OR(G159="",H159=""),"Data tidak lengkap",IF(AND(G159=0,H159=0),IF(AND(F159="",K159=""),"Tidak dibuka","Tutup"),IF(H159&gt;G159,"Lebih kapasitas",IF(H159=G159,"Penuh",IF(H159=0,IF(F159="","Slot kosong","Belum terisi"),"Sebagian")))))</f>
        <v>Penuh</v>
      </c>
      <c r="M159" s="79" t="str">
        <f aca="false">IF(L159="Tidak dibuka","–",IF(F159="","(tanpa age group)",F159)&amp;"  "&amp;IF(H159="","?",H159)&amp;"/"&amp;IF(G159="","?",G159)&amp;CHAR(10)&amp;IF(K159="","coach: –","coach: "&amp;K159))</f>
        <v>Tiny  5/5
coach: Danti</v>
      </c>
    </row>
    <row r="160" customFormat="false" ht="22.35" hidden="false" customHeight="false" outlineLevel="0" collapsed="false">
      <c r="A160" s="76" t="str">
        <f aca="false">B160&amp;"|"&amp;C160&amp;"|"&amp;D160&amp;"|"&amp;E160</f>
        <v>KLM|2|Minggu|09:45</v>
      </c>
      <c r="B160" s="76" t="s">
        <v>61</v>
      </c>
      <c r="C160" s="76" t="n">
        <v>2</v>
      </c>
      <c r="D160" s="76" t="s">
        <v>78</v>
      </c>
      <c r="E160" s="76" t="s">
        <v>98</v>
      </c>
      <c r="F160" s="77" t="s">
        <v>42</v>
      </c>
      <c r="G160" s="77" t="n">
        <v>5</v>
      </c>
      <c r="H160" s="77" t="n">
        <v>4</v>
      </c>
      <c r="I160" s="76" t="n">
        <f aca="false">IF(AND(ISNUMBER(G160),ISNUMBER(H160)),MAX(G160-H160,0),"")</f>
        <v>1</v>
      </c>
      <c r="J160" s="78" t="n">
        <f aca="false">IF(AND(ISNUMBER(G160),ISNUMBER(H160)),IF(G160&gt;0,H160/G160,""),"")</f>
        <v>0.8</v>
      </c>
      <c r="K160" s="77" t="s">
        <v>197</v>
      </c>
      <c r="L160" s="76" t="str">
        <f aca="false">IF(OR(G160="",H160=""),"Data tidak lengkap",IF(AND(G160=0,H160=0),IF(AND(F160="",K160=""),"Tidak dibuka","Tutup"),IF(H160&gt;G160,"Lebih kapasitas",IF(H160=G160,"Penuh",IF(H160=0,IF(F160="","Slot kosong","Belum terisi"),"Sebagian")))))</f>
        <v>Sebagian</v>
      </c>
      <c r="M160" s="79" t="str">
        <f aca="false">IF(L160="Tidak dibuka","–",IF(F160="","(tanpa age group)",F160)&amp;"  "&amp;IF(H160="","?",H160)&amp;"/"&amp;IF(G160="","?",G160)&amp;CHAR(10)&amp;IF(K160="","coach: –","coach: "&amp;K160))</f>
        <v>Tiny  4/5
coach: Rischa</v>
      </c>
    </row>
    <row r="161" customFormat="false" ht="22.35" hidden="false" customHeight="false" outlineLevel="0" collapsed="false">
      <c r="A161" s="76" t="str">
        <f aca="false">B161&amp;"|"&amp;C161&amp;"|"&amp;D161&amp;"|"&amp;E161</f>
        <v>KLM|2|Minggu|10:30</v>
      </c>
      <c r="B161" s="76" t="s">
        <v>61</v>
      </c>
      <c r="C161" s="76" t="n">
        <v>2</v>
      </c>
      <c r="D161" s="76" t="s">
        <v>78</v>
      </c>
      <c r="E161" s="76" t="s">
        <v>99</v>
      </c>
      <c r="F161" s="77" t="s">
        <v>42</v>
      </c>
      <c r="G161" s="77" t="n">
        <v>5</v>
      </c>
      <c r="H161" s="77" t="n">
        <v>5</v>
      </c>
      <c r="I161" s="76" t="n">
        <f aca="false">IF(AND(ISNUMBER(G161),ISNUMBER(H161)),MAX(G161-H161,0),"")</f>
        <v>0</v>
      </c>
      <c r="J161" s="78" t="n">
        <f aca="false">IF(AND(ISNUMBER(G161),ISNUMBER(H161)),IF(G161&gt;0,H161/G161,""),"")</f>
        <v>1</v>
      </c>
      <c r="K161" s="77" t="s">
        <v>44</v>
      </c>
      <c r="L161" s="76" t="str">
        <f aca="false">IF(OR(G161="",H161=""),"Data tidak lengkap",IF(AND(G161=0,H161=0),IF(AND(F161="",K161=""),"Tidak dibuka","Tutup"),IF(H161&gt;G161,"Lebih kapasitas",IF(H161=G161,"Penuh",IF(H161=0,IF(F161="","Slot kosong","Belum terisi"),"Sebagian")))))</f>
        <v>Penuh</v>
      </c>
      <c r="M161" s="79" t="str">
        <f aca="false">IF(L161="Tidak dibuka","–",IF(F161="","(tanpa age group)",F161)&amp;"  "&amp;IF(H161="","?",H161)&amp;"/"&amp;IF(G161="","?",G161)&amp;CHAR(10)&amp;IF(K161="","coach: –","coach: "&amp;K161))</f>
        <v>Tiny  5/5
coach: Danti</v>
      </c>
    </row>
    <row r="162" customFormat="false" ht="22.35" hidden="false" customHeight="false" outlineLevel="0" collapsed="false">
      <c r="A162" s="76" t="str">
        <f aca="false">B162&amp;"|"&amp;C162&amp;"|"&amp;D162&amp;"|"&amp;E162</f>
        <v>KLM|2|Minggu|11:15</v>
      </c>
      <c r="B162" s="76" t="s">
        <v>61</v>
      </c>
      <c r="C162" s="76" t="n">
        <v>2</v>
      </c>
      <c r="D162" s="76" t="s">
        <v>78</v>
      </c>
      <c r="E162" s="76" t="s">
        <v>100</v>
      </c>
      <c r="F162" s="77" t="s">
        <v>42</v>
      </c>
      <c r="G162" s="77" t="n">
        <v>5</v>
      </c>
      <c r="H162" s="77" t="n">
        <v>5</v>
      </c>
      <c r="I162" s="76" t="n">
        <f aca="false">IF(AND(ISNUMBER(G162),ISNUMBER(H162)),MAX(G162-H162,0),"")</f>
        <v>0</v>
      </c>
      <c r="J162" s="78" t="n">
        <f aca="false">IF(AND(ISNUMBER(G162),ISNUMBER(H162)),IF(G162&gt;0,H162/G162,""),"")</f>
        <v>1</v>
      </c>
      <c r="K162" s="77" t="s">
        <v>198</v>
      </c>
      <c r="L162" s="76" t="str">
        <f aca="false">IF(OR(G162="",H162=""),"Data tidak lengkap",IF(AND(G162=0,H162=0),IF(AND(F162="",K162=""),"Tidak dibuka","Tutup"),IF(H162&gt;G162,"Lebih kapasitas",IF(H162=G162,"Penuh",IF(H162=0,IF(F162="","Slot kosong","Belum terisi"),"Sebagian")))))</f>
        <v>Penuh</v>
      </c>
      <c r="M162" s="79" t="str">
        <f aca="false">IF(L162="Tidak dibuka","–",IF(F162="","(tanpa age group)",F162)&amp;"  "&amp;IF(H162="","?",H162)&amp;"/"&amp;IF(G162="","?",G162)&amp;CHAR(10)&amp;IF(K162="","coach: –","coach: "&amp;K162))</f>
        <v>Tiny  5/5
coach: Surya</v>
      </c>
    </row>
    <row r="163" customFormat="false" ht="22.35" hidden="false" customHeight="false" outlineLevel="0" collapsed="false">
      <c r="A163" s="76" t="str">
        <f aca="false">B163&amp;"|"&amp;C163&amp;"|"&amp;D163&amp;"|"&amp;E163</f>
        <v>KLM|2|Minggu|12:00</v>
      </c>
      <c r="B163" s="76" t="s">
        <v>61</v>
      </c>
      <c r="C163" s="76" t="n">
        <v>2</v>
      </c>
      <c r="D163" s="76" t="s">
        <v>78</v>
      </c>
      <c r="E163" s="76" t="s">
        <v>101</v>
      </c>
      <c r="F163" s="77" t="s">
        <v>42</v>
      </c>
      <c r="G163" s="77" t="n">
        <v>5</v>
      </c>
      <c r="H163" s="77" t="n">
        <v>2</v>
      </c>
      <c r="I163" s="76" t="n">
        <f aca="false">IF(AND(ISNUMBER(G163),ISNUMBER(H163)),MAX(G163-H163,0),"")</f>
        <v>3</v>
      </c>
      <c r="J163" s="78" t="n">
        <f aca="false">IF(AND(ISNUMBER(G163),ISNUMBER(H163)),IF(G163&gt;0,H163/G163,""),"")</f>
        <v>0.4</v>
      </c>
      <c r="K163" s="77" t="s">
        <v>205</v>
      </c>
      <c r="L163" s="76" t="str">
        <f aca="false">IF(OR(G163="",H163=""),"Data tidak lengkap",IF(AND(G163=0,H163=0),IF(AND(F163="",K163=""),"Tidak dibuka","Tutup"),IF(H163&gt;G163,"Lebih kapasitas",IF(H163=G163,"Penuh",IF(H163=0,IF(F163="","Slot kosong","Belum terisi"),"Sebagian")))))</f>
        <v>Sebagian</v>
      </c>
      <c r="M163" s="79" t="str">
        <f aca="false">IF(L163="Tidak dibuka","–",IF(F163="","(tanpa age group)",F163)&amp;"  "&amp;IF(H163="","?",H163)&amp;"/"&amp;IF(G163="","?",G163)&amp;CHAR(10)&amp;IF(K163="","coach: –","coach: "&amp;K163))</f>
        <v>Tiny  2/5
coach: Tessa</v>
      </c>
    </row>
    <row r="164" customFormat="false" ht="22.35" hidden="false" customHeight="false" outlineLevel="0" collapsed="false">
      <c r="A164" s="76" t="str">
        <f aca="false">B164&amp;"|"&amp;C164&amp;"|"&amp;D164&amp;"|"&amp;E164</f>
        <v>KLM|2|Minggu|13:30</v>
      </c>
      <c r="B164" s="76" t="s">
        <v>61</v>
      </c>
      <c r="C164" s="76" t="n">
        <v>2</v>
      </c>
      <c r="D164" s="76" t="s">
        <v>78</v>
      </c>
      <c r="E164" s="76" t="s">
        <v>102</v>
      </c>
      <c r="F164" s="77" t="s">
        <v>42</v>
      </c>
      <c r="G164" s="77" t="n">
        <v>5</v>
      </c>
      <c r="H164" s="77" t="n">
        <v>4</v>
      </c>
      <c r="I164" s="76" t="n">
        <f aca="false">IF(AND(ISNUMBER(G164),ISNUMBER(H164)),MAX(G164-H164,0),"")</f>
        <v>1</v>
      </c>
      <c r="J164" s="78" t="n">
        <f aca="false">IF(AND(ISNUMBER(G164),ISNUMBER(H164)),IF(G164&gt;0,H164/G164,""),"")</f>
        <v>0.8</v>
      </c>
      <c r="K164" s="77" t="s">
        <v>198</v>
      </c>
      <c r="L164" s="76" t="str">
        <f aca="false">IF(OR(G164="",H164=""),"Data tidak lengkap",IF(AND(G164=0,H164=0),IF(AND(F164="",K164=""),"Tidak dibuka","Tutup"),IF(H164&gt;G164,"Lebih kapasitas",IF(H164=G164,"Penuh",IF(H164=0,IF(F164="","Slot kosong","Belum terisi"),"Sebagian")))))</f>
        <v>Sebagian</v>
      </c>
      <c r="M164" s="79" t="str">
        <f aca="false">IF(L164="Tidak dibuka","–",IF(F164="","(tanpa age group)",F164)&amp;"  "&amp;IF(H164="","?",H164)&amp;"/"&amp;IF(G164="","?",G164)&amp;CHAR(10)&amp;IF(K164="","coach: –","coach: "&amp;K164))</f>
        <v>Tiny  4/5
coach: Surya</v>
      </c>
    </row>
    <row r="165" customFormat="false" ht="22.35" hidden="false" customHeight="false" outlineLevel="0" collapsed="false">
      <c r="A165" s="76" t="str">
        <f aca="false">B165&amp;"|"&amp;C165&amp;"|"&amp;D165&amp;"|"&amp;E165</f>
        <v>KLM|2|Minggu|14:15</v>
      </c>
      <c r="B165" s="76" t="s">
        <v>61</v>
      </c>
      <c r="C165" s="76" t="n">
        <v>2</v>
      </c>
      <c r="D165" s="76" t="s">
        <v>78</v>
      </c>
      <c r="E165" s="76" t="s">
        <v>103</v>
      </c>
      <c r="F165" s="77" t="s">
        <v>210</v>
      </c>
      <c r="G165" s="77" t="n">
        <v>4</v>
      </c>
      <c r="H165" s="77" t="n">
        <v>1</v>
      </c>
      <c r="I165" s="76" t="n">
        <f aca="false">IF(AND(ISNUMBER(G165),ISNUMBER(H165)),MAX(G165-H165,0),"")</f>
        <v>3</v>
      </c>
      <c r="J165" s="78" t="n">
        <f aca="false">IF(AND(ISNUMBER(G165),ISNUMBER(H165)),IF(G165&gt;0,H165/G165,""),"")</f>
        <v>0.25</v>
      </c>
      <c r="K165" s="77" t="s">
        <v>205</v>
      </c>
      <c r="L165" s="76" t="str">
        <f aca="false">IF(OR(G165="",H165=""),"Data tidak lengkap",IF(AND(G165=0,H165=0),IF(AND(F165="",K165=""),"Tidak dibuka","Tutup"),IF(H165&gt;G165,"Lebih kapasitas",IF(H165=G165,"Penuh",IF(H165=0,IF(F165="","Slot kosong","Belum terisi"),"Sebagian")))))</f>
        <v>Sebagian</v>
      </c>
      <c r="M165" s="79" t="str">
        <f aca="false">IF(L165="Tidak dibuka","–",IF(F165="","(tanpa age group)",F165)&amp;"  "&amp;IF(H165="","?",H165)&amp;"/"&amp;IF(G165="","?",G165)&amp;CHAR(10)&amp;IF(K165="","coach: –","coach: "&amp;K165))</f>
        <v>Kids  1/4
coach: Tessa</v>
      </c>
    </row>
    <row r="166" customFormat="false" ht="22.35" hidden="false" customHeight="false" outlineLevel="0" collapsed="false">
      <c r="A166" s="76" t="str">
        <f aca="false">B166&amp;"|"&amp;C166&amp;"|"&amp;D166&amp;"|"&amp;E166</f>
        <v>KLM|2|Minggu|15:00</v>
      </c>
      <c r="B166" s="76" t="s">
        <v>61</v>
      </c>
      <c r="C166" s="76" t="n">
        <v>2</v>
      </c>
      <c r="D166" s="76" t="s">
        <v>78</v>
      </c>
      <c r="E166" s="76" t="s">
        <v>104</v>
      </c>
      <c r="F166" s="77" t="s">
        <v>42</v>
      </c>
      <c r="G166" s="77" t="n">
        <v>5</v>
      </c>
      <c r="H166" s="77" t="n">
        <v>3</v>
      </c>
      <c r="I166" s="76" t="n">
        <f aca="false">IF(AND(ISNUMBER(G166),ISNUMBER(H166)),MAX(G166-H166,0),"")</f>
        <v>2</v>
      </c>
      <c r="J166" s="78" t="n">
        <f aca="false">IF(AND(ISNUMBER(G166),ISNUMBER(H166)),IF(G166&gt;0,H166/G166,""),"")</f>
        <v>0.6</v>
      </c>
      <c r="K166" s="77" t="s">
        <v>201</v>
      </c>
      <c r="L166" s="76" t="str">
        <f aca="false">IF(OR(G166="",H166=""),"Data tidak lengkap",IF(AND(G166=0,H166=0),IF(AND(F166="",K166=""),"Tidak dibuka","Tutup"),IF(H166&gt;G166,"Lebih kapasitas",IF(H166=G166,"Penuh",IF(H166=0,IF(F166="","Slot kosong","Belum terisi"),"Sebagian")))))</f>
        <v>Sebagian</v>
      </c>
      <c r="M166" s="79" t="str">
        <f aca="false">IF(L166="Tidak dibuka","–",IF(F166="","(tanpa age group)",F166)&amp;"  "&amp;IF(H166="","?",H166)&amp;"/"&amp;IF(G166="","?",G166)&amp;CHAR(10)&amp;IF(K166="","coach: –","coach: "&amp;K166))</f>
        <v>Tiny  3/5
coach: Nuky</v>
      </c>
    </row>
    <row r="167" customFormat="false" ht="22.35" hidden="false" customHeight="false" outlineLevel="0" collapsed="false">
      <c r="A167" s="76" t="str">
        <f aca="false">B167&amp;"|"&amp;C167&amp;"|"&amp;D167&amp;"|"&amp;E167</f>
        <v>KLM|2|Minggu|15:45</v>
      </c>
      <c r="B167" s="76" t="s">
        <v>61</v>
      </c>
      <c r="C167" s="76" t="n">
        <v>2</v>
      </c>
      <c r="D167" s="76" t="s">
        <v>78</v>
      </c>
      <c r="E167" s="76" t="s">
        <v>105</v>
      </c>
      <c r="F167" s="77" t="s">
        <v>42</v>
      </c>
      <c r="G167" s="77" t="n">
        <v>5</v>
      </c>
      <c r="H167" s="77" t="n">
        <v>5</v>
      </c>
      <c r="I167" s="76" t="n">
        <f aca="false">IF(AND(ISNUMBER(G167),ISNUMBER(H167)),MAX(G167-H167,0),"")</f>
        <v>0</v>
      </c>
      <c r="J167" s="78" t="n">
        <f aca="false">IF(AND(ISNUMBER(G167),ISNUMBER(H167)),IF(G167&gt;0,H167/G167,""),"")</f>
        <v>1</v>
      </c>
      <c r="K167" s="77" t="s">
        <v>207</v>
      </c>
      <c r="L167" s="76" t="str">
        <f aca="false">IF(OR(G167="",H167=""),"Data tidak lengkap",IF(AND(G167=0,H167=0),IF(AND(F167="",K167=""),"Tidak dibuka","Tutup"),IF(H167&gt;G167,"Lebih kapasitas",IF(H167=G167,"Penuh",IF(H167=0,IF(F167="","Slot kosong","Belum terisi"),"Sebagian")))))</f>
        <v>Penuh</v>
      </c>
      <c r="M167" s="79" t="str">
        <f aca="false">IF(L167="Tidak dibuka","–",IF(F167="","(tanpa age group)",F167)&amp;"  "&amp;IF(H167="","?",H167)&amp;"/"&amp;IF(G167="","?",G167)&amp;CHAR(10)&amp;IF(K167="","coach: –","coach: "&amp;K167))</f>
        <v>Tiny  5/5
coach: Gita</v>
      </c>
    </row>
    <row r="168" customFormat="false" ht="22.35" hidden="false" customHeight="false" outlineLevel="0" collapsed="false">
      <c r="A168" s="76" t="str">
        <f aca="false">B168&amp;"|"&amp;C168&amp;"|"&amp;D168&amp;"|"&amp;E168</f>
        <v>KLM|2|Minggu|16:30</v>
      </c>
      <c r="B168" s="76" t="s">
        <v>61</v>
      </c>
      <c r="C168" s="76" t="n">
        <v>2</v>
      </c>
      <c r="D168" s="76" t="s">
        <v>78</v>
      </c>
      <c r="E168" s="76" t="s">
        <v>106</v>
      </c>
      <c r="F168" s="77" t="s">
        <v>42</v>
      </c>
      <c r="G168" s="77" t="n">
        <v>5</v>
      </c>
      <c r="H168" s="77" t="n">
        <v>5</v>
      </c>
      <c r="I168" s="76" t="n">
        <f aca="false">IF(AND(ISNUMBER(G168),ISNUMBER(H168)),MAX(G168-H168,0),"")</f>
        <v>0</v>
      </c>
      <c r="J168" s="78" t="n">
        <f aca="false">IF(AND(ISNUMBER(G168),ISNUMBER(H168)),IF(G168&gt;0,H168/G168,""),"")</f>
        <v>1</v>
      </c>
      <c r="K168" s="77" t="s">
        <v>201</v>
      </c>
      <c r="L168" s="76" t="str">
        <f aca="false">IF(OR(G168="",H168=""),"Data tidak lengkap",IF(AND(G168=0,H168=0),IF(AND(F168="",K168=""),"Tidak dibuka","Tutup"),IF(H168&gt;G168,"Lebih kapasitas",IF(H168=G168,"Penuh",IF(H168=0,IF(F168="","Slot kosong","Belum terisi"),"Sebagian")))))</f>
        <v>Penuh</v>
      </c>
      <c r="M168" s="79" t="str">
        <f aca="false">IF(L168="Tidak dibuka","–",IF(F168="","(tanpa age group)",F168)&amp;"  "&amp;IF(H168="","?",H168)&amp;"/"&amp;IF(G168="","?",G168)&amp;CHAR(10)&amp;IF(K168="","coach: –","coach: "&amp;K168))</f>
        <v>Tiny  5/5
coach: Nuky</v>
      </c>
    </row>
    <row r="169" customFormat="false" ht="22.35" hidden="false" customHeight="false" outlineLevel="0" collapsed="false">
      <c r="A169" s="76" t="str">
        <f aca="false">B169&amp;"|"&amp;C169&amp;"|"&amp;D169&amp;"|"&amp;E169</f>
        <v>KLM|2|Minggu|17:15</v>
      </c>
      <c r="B169" s="76" t="s">
        <v>61</v>
      </c>
      <c r="C169" s="76" t="n">
        <v>2</v>
      </c>
      <c r="D169" s="76" t="s">
        <v>78</v>
      </c>
      <c r="E169" s="76" t="s">
        <v>107</v>
      </c>
      <c r="F169" s="77" t="s">
        <v>42</v>
      </c>
      <c r="G169" s="77" t="n">
        <v>5</v>
      </c>
      <c r="H169" s="77" t="n">
        <v>0</v>
      </c>
      <c r="I169" s="76" t="n">
        <f aca="false">IF(AND(ISNUMBER(G169),ISNUMBER(H169)),MAX(G169-H169,0),"")</f>
        <v>5</v>
      </c>
      <c r="J169" s="78" t="n">
        <f aca="false">IF(AND(ISNUMBER(G169),ISNUMBER(H169)),IF(G169&gt;0,H169/G169,""),"")</f>
        <v>0</v>
      </c>
      <c r="K169" s="77"/>
      <c r="L169" s="76" t="str">
        <f aca="false">IF(OR(G169="",H169=""),"Data tidak lengkap",IF(AND(G169=0,H169=0),IF(AND(F169="",K169=""),"Tidak dibuka","Tutup"),IF(H169&gt;G169,"Lebih kapasitas",IF(H169=G169,"Penuh",IF(H169=0,IF(F169="","Slot kosong","Belum terisi"),"Sebagian")))))</f>
        <v>Belum terisi</v>
      </c>
      <c r="M169" s="79" t="str">
        <f aca="false">IF(L169="Tidak dibuka","–",IF(F169="","(tanpa age group)",F169)&amp;"  "&amp;IF(H169="","?",H169)&amp;"/"&amp;IF(G169="","?",G169)&amp;CHAR(10)&amp;IF(K169="","coach: –","coach: "&amp;K169))</f>
        <v>Tiny  0/5
coach: –</v>
      </c>
    </row>
    <row r="170" customFormat="false" ht="22.35" hidden="false" customHeight="false" outlineLevel="0" collapsed="false">
      <c r="A170" s="76" t="str">
        <f aca="false">B170&amp;"|"&amp;C170&amp;"|"&amp;D170&amp;"|"&amp;E170</f>
        <v>KLM|3|Senin|08:00</v>
      </c>
      <c r="B170" s="76" t="s">
        <v>61</v>
      </c>
      <c r="C170" s="76" t="n">
        <v>3</v>
      </c>
      <c r="D170" s="76" t="s">
        <v>90</v>
      </c>
      <c r="E170" s="76" t="s">
        <v>110</v>
      </c>
      <c r="F170" s="77" t="s">
        <v>277</v>
      </c>
      <c r="G170" s="77" t="n">
        <v>0</v>
      </c>
      <c r="H170" s="77" t="n">
        <v>0</v>
      </c>
      <c r="I170" s="76" t="n">
        <f aca="false">IF(AND(ISNUMBER(G170),ISNUMBER(H170)),MAX(G170-H170,0),"")</f>
        <v>0</v>
      </c>
      <c r="J170" s="78" t="str">
        <f aca="false">IF(AND(ISNUMBER(G170),ISNUMBER(H170)),IF(G170&gt;0,H170/G170,""),"")</f>
        <v/>
      </c>
      <c r="K170" s="77"/>
      <c r="L170" s="76" t="str">
        <f aca="false">IF(OR(G170="",H170=""),"Data tidak lengkap",IF(AND(G170=0,H170=0),IF(AND(F170="",K170=""),"Tidak dibuka","Tutup"),IF(H170&gt;G170,"Lebih kapasitas",IF(H170=G170,"Penuh",IF(H170=0,IF(F170="","Slot kosong","Belum terisi"),"Sebagian")))))</f>
        <v>Tutup</v>
      </c>
      <c r="M170" s="79" t="str">
        <f aca="false">IF(L170="Tidak dibuka","–",IF(F170="","(tanpa age group)",F170)&amp;"  "&amp;IF(H170="","?",H170)&amp;"/"&amp;IF(G170="","?",G170)&amp;CHAR(10)&amp;IF(K170="","coach: –","coach: "&amp;K170))</f>
        <v>Little  0/0
coach: –</v>
      </c>
    </row>
    <row r="171" customFormat="false" ht="22.35" hidden="false" customHeight="false" outlineLevel="0" collapsed="false">
      <c r="A171" s="76" t="str">
        <f aca="false">B171&amp;"|"&amp;C171&amp;"|"&amp;D171&amp;"|"&amp;E171</f>
        <v>KLM|3|Senin|08:45</v>
      </c>
      <c r="B171" s="76" t="s">
        <v>61</v>
      </c>
      <c r="C171" s="76" t="n">
        <v>3</v>
      </c>
      <c r="D171" s="76" t="s">
        <v>90</v>
      </c>
      <c r="E171" s="76" t="s">
        <v>111</v>
      </c>
      <c r="F171" s="77" t="s">
        <v>277</v>
      </c>
      <c r="G171" s="77" t="n">
        <v>4</v>
      </c>
      <c r="H171" s="77" t="n">
        <v>2</v>
      </c>
      <c r="I171" s="76" t="n">
        <f aca="false">IF(AND(ISNUMBER(G171),ISNUMBER(H171)),MAX(G171-H171,0),"")</f>
        <v>2</v>
      </c>
      <c r="J171" s="78" t="n">
        <f aca="false">IF(AND(ISNUMBER(G171),ISNUMBER(H171)),IF(G171&gt;0,H171/G171,""),"")</f>
        <v>0.5</v>
      </c>
      <c r="K171" s="77" t="s">
        <v>202</v>
      </c>
      <c r="L171" s="76" t="str">
        <f aca="false">IF(OR(G171="",H171=""),"Data tidak lengkap",IF(AND(G171=0,H171=0),IF(AND(F171="",K171=""),"Tidak dibuka","Tutup"),IF(H171&gt;G171,"Lebih kapasitas",IF(H171=G171,"Penuh",IF(H171=0,IF(F171="","Slot kosong","Belum terisi"),"Sebagian")))))</f>
        <v>Sebagian</v>
      </c>
      <c r="M171" s="79" t="str">
        <f aca="false">IF(L171="Tidak dibuka","–",IF(F171="","(tanpa age group)",F171)&amp;"  "&amp;IF(H171="","?",H171)&amp;"/"&amp;IF(G171="","?",G171)&amp;CHAR(10)&amp;IF(K171="","coach: –","coach: "&amp;K171))</f>
        <v>Little  2/4
coach: Daffa</v>
      </c>
    </row>
    <row r="172" customFormat="false" ht="22.35" hidden="false" customHeight="false" outlineLevel="0" collapsed="false">
      <c r="A172" s="76" t="str">
        <f aca="false">B172&amp;"|"&amp;C172&amp;"|"&amp;D172&amp;"|"&amp;E172</f>
        <v>KLM|3|Senin|09:30</v>
      </c>
      <c r="B172" s="76" t="s">
        <v>61</v>
      </c>
      <c r="C172" s="76" t="n">
        <v>3</v>
      </c>
      <c r="D172" s="76" t="s">
        <v>90</v>
      </c>
      <c r="E172" s="76" t="s">
        <v>112</v>
      </c>
      <c r="F172" s="77" t="s">
        <v>277</v>
      </c>
      <c r="G172" s="77" t="n">
        <v>4</v>
      </c>
      <c r="H172" s="77" t="n">
        <v>0</v>
      </c>
      <c r="I172" s="76" t="n">
        <f aca="false">IF(AND(ISNUMBER(G172),ISNUMBER(H172)),MAX(G172-H172,0),"")</f>
        <v>4</v>
      </c>
      <c r="J172" s="78" t="n">
        <f aca="false">IF(AND(ISNUMBER(G172),ISNUMBER(H172)),IF(G172&gt;0,H172/G172,""),"")</f>
        <v>0</v>
      </c>
      <c r="K172" s="77"/>
      <c r="L172" s="76" t="str">
        <f aca="false">IF(OR(G172="",H172=""),"Data tidak lengkap",IF(AND(G172=0,H172=0),IF(AND(F172="",K172=""),"Tidak dibuka","Tutup"),IF(H172&gt;G172,"Lebih kapasitas",IF(H172=G172,"Penuh",IF(H172=0,IF(F172="","Slot kosong","Belum terisi"),"Sebagian")))))</f>
        <v>Belum terisi</v>
      </c>
      <c r="M172" s="79" t="str">
        <f aca="false">IF(L172="Tidak dibuka","–",IF(F172="","(tanpa age group)",F172)&amp;"  "&amp;IF(H172="","?",H172)&amp;"/"&amp;IF(G172="","?",G172)&amp;CHAR(10)&amp;IF(K172="","coach: –","coach: "&amp;K172))</f>
        <v>Little  0/4
coach: –</v>
      </c>
    </row>
    <row r="173" customFormat="false" ht="22.35" hidden="false" customHeight="false" outlineLevel="0" collapsed="false">
      <c r="A173" s="76" t="str">
        <f aca="false">B173&amp;"|"&amp;C173&amp;"|"&amp;D173&amp;"|"&amp;E173</f>
        <v>KLM|3|Senin|10:15</v>
      </c>
      <c r="B173" s="76" t="s">
        <v>61</v>
      </c>
      <c r="C173" s="76" t="n">
        <v>3</v>
      </c>
      <c r="D173" s="76" t="s">
        <v>90</v>
      </c>
      <c r="E173" s="76" t="s">
        <v>113</v>
      </c>
      <c r="F173" s="77" t="s">
        <v>277</v>
      </c>
      <c r="G173" s="77" t="n">
        <v>4</v>
      </c>
      <c r="H173" s="77" t="n">
        <v>3</v>
      </c>
      <c r="I173" s="76" t="n">
        <f aca="false">IF(AND(ISNUMBER(G173),ISNUMBER(H173)),MAX(G173-H173,0),"")</f>
        <v>1</v>
      </c>
      <c r="J173" s="78" t="n">
        <f aca="false">IF(AND(ISNUMBER(G173),ISNUMBER(H173)),IF(G173&gt;0,H173/G173,""),"")</f>
        <v>0.75</v>
      </c>
      <c r="K173" s="77" t="s">
        <v>204</v>
      </c>
      <c r="L173" s="76" t="str">
        <f aca="false">IF(OR(G173="",H173=""),"Data tidak lengkap",IF(AND(G173=0,H173=0),IF(AND(F173="",K173=""),"Tidak dibuka","Tutup"),IF(H173&gt;G173,"Lebih kapasitas",IF(H173=G173,"Penuh",IF(H173=0,IF(F173="","Slot kosong","Belum terisi"),"Sebagian")))))</f>
        <v>Sebagian</v>
      </c>
      <c r="M173" s="79" t="str">
        <f aca="false">IF(L173="Tidak dibuka","–",IF(F173="","(tanpa age group)",F173)&amp;"  "&amp;IF(H173="","?",H173)&amp;"/"&amp;IF(G173="","?",G173)&amp;CHAR(10)&amp;IF(K173="","coach: –","coach: "&amp;K173))</f>
        <v>Little  3/4
coach: Dian</v>
      </c>
    </row>
    <row r="174" customFormat="false" ht="22.35" hidden="false" customHeight="false" outlineLevel="0" collapsed="false">
      <c r="A174" s="76" t="str">
        <f aca="false">B174&amp;"|"&amp;C174&amp;"|"&amp;D174&amp;"|"&amp;E174</f>
        <v>KLM|3|Senin|11:00</v>
      </c>
      <c r="B174" s="76" t="s">
        <v>61</v>
      </c>
      <c r="C174" s="76" t="n">
        <v>3</v>
      </c>
      <c r="D174" s="76" t="s">
        <v>90</v>
      </c>
      <c r="E174" s="76" t="s">
        <v>114</v>
      </c>
      <c r="F174" s="77" t="s">
        <v>277</v>
      </c>
      <c r="G174" s="77" t="n">
        <v>4</v>
      </c>
      <c r="H174" s="77" t="n">
        <v>3</v>
      </c>
      <c r="I174" s="76" t="n">
        <f aca="false">IF(AND(ISNUMBER(G174),ISNUMBER(H174)),MAX(G174-H174,0),"")</f>
        <v>1</v>
      </c>
      <c r="J174" s="78" t="n">
        <f aca="false">IF(AND(ISNUMBER(G174),ISNUMBER(H174)),IF(G174&gt;0,H174/G174,""),"")</f>
        <v>0.75</v>
      </c>
      <c r="K174" s="77" t="s">
        <v>197</v>
      </c>
      <c r="L174" s="76" t="str">
        <f aca="false">IF(OR(G174="",H174=""),"Data tidak lengkap",IF(AND(G174=0,H174=0),IF(AND(F174="",K174=""),"Tidak dibuka","Tutup"),IF(H174&gt;G174,"Lebih kapasitas",IF(H174=G174,"Penuh",IF(H174=0,IF(F174="","Slot kosong","Belum terisi"),"Sebagian")))))</f>
        <v>Sebagian</v>
      </c>
      <c r="M174" s="79" t="str">
        <f aca="false">IF(L174="Tidak dibuka","–",IF(F174="","(tanpa age group)",F174)&amp;"  "&amp;IF(H174="","?",H174)&amp;"/"&amp;IF(G174="","?",G174)&amp;CHAR(10)&amp;IF(K174="","coach: –","coach: "&amp;K174))</f>
        <v>Little  3/4
coach: Rischa</v>
      </c>
    </row>
    <row r="175" customFormat="false" ht="22.35" hidden="false" customHeight="false" outlineLevel="0" collapsed="false">
      <c r="A175" s="76" t="str">
        <f aca="false">B175&amp;"|"&amp;C175&amp;"|"&amp;D175&amp;"|"&amp;E175</f>
        <v>KLM|3|Senin|11:45</v>
      </c>
      <c r="B175" s="76" t="s">
        <v>61</v>
      </c>
      <c r="C175" s="76" t="n">
        <v>3</v>
      </c>
      <c r="D175" s="76" t="s">
        <v>90</v>
      </c>
      <c r="E175" s="76" t="s">
        <v>115</v>
      </c>
      <c r="F175" s="77" t="s">
        <v>277</v>
      </c>
      <c r="G175" s="77" t="n">
        <v>0</v>
      </c>
      <c r="H175" s="77" t="n">
        <v>2</v>
      </c>
      <c r="I175" s="76" t="n">
        <f aca="false">IF(AND(ISNUMBER(G175),ISNUMBER(H175)),MAX(G175-H175,0),"")</f>
        <v>0</v>
      </c>
      <c r="J175" s="78" t="str">
        <f aca="false">IF(AND(ISNUMBER(G175),ISNUMBER(H175)),IF(G175&gt;0,H175/G175,""),"")</f>
        <v/>
      </c>
      <c r="K175" s="77" t="s">
        <v>207</v>
      </c>
      <c r="L175" s="76" t="str">
        <f aca="false">IF(OR(G175="",H175=""),"Data tidak lengkap",IF(AND(G175=0,H175=0),IF(AND(F175="",K175=""),"Tidak dibuka","Tutup"),IF(H175&gt;G175,"Lebih kapasitas",IF(H175=G175,"Penuh",IF(H175=0,IF(F175="","Slot kosong","Belum terisi"),"Sebagian")))))</f>
        <v>Lebih kapasitas</v>
      </c>
      <c r="M175" s="79" t="str">
        <f aca="false">IF(L175="Tidak dibuka","–",IF(F175="","(tanpa age group)",F175)&amp;"  "&amp;IF(H175="","?",H175)&amp;"/"&amp;IF(G175="","?",G175)&amp;CHAR(10)&amp;IF(K175="","coach: –","coach: "&amp;K175))</f>
        <v>Little  2/0
coach: Gita</v>
      </c>
    </row>
    <row r="176" customFormat="false" ht="22.35" hidden="false" customHeight="false" outlineLevel="0" collapsed="false">
      <c r="A176" s="76" t="str">
        <f aca="false">B176&amp;"|"&amp;C176&amp;"|"&amp;D176&amp;"|"&amp;E176</f>
        <v>KLM|3|Senin|13:15</v>
      </c>
      <c r="B176" s="76" t="s">
        <v>61</v>
      </c>
      <c r="C176" s="76" t="n">
        <v>3</v>
      </c>
      <c r="D176" s="76" t="s">
        <v>90</v>
      </c>
      <c r="E176" s="76" t="s">
        <v>116</v>
      </c>
      <c r="F176" s="77" t="s">
        <v>277</v>
      </c>
      <c r="G176" s="77" t="n">
        <v>4</v>
      </c>
      <c r="H176" s="77" t="n">
        <v>0</v>
      </c>
      <c r="I176" s="76" t="n">
        <f aca="false">IF(AND(ISNUMBER(G176),ISNUMBER(H176)),MAX(G176-H176,0),"")</f>
        <v>4</v>
      </c>
      <c r="J176" s="78" t="n">
        <f aca="false">IF(AND(ISNUMBER(G176),ISNUMBER(H176)),IF(G176&gt;0,H176/G176,""),"")</f>
        <v>0</v>
      </c>
      <c r="K176" s="77"/>
      <c r="L176" s="76" t="str">
        <f aca="false">IF(OR(G176="",H176=""),"Data tidak lengkap",IF(AND(G176=0,H176=0),IF(AND(F176="",K176=""),"Tidak dibuka","Tutup"),IF(H176&gt;G176,"Lebih kapasitas",IF(H176=G176,"Penuh",IF(H176=0,IF(F176="","Slot kosong","Belum terisi"),"Sebagian")))))</f>
        <v>Belum terisi</v>
      </c>
      <c r="M176" s="79" t="str">
        <f aca="false">IF(L176="Tidak dibuka","–",IF(F176="","(tanpa age group)",F176)&amp;"  "&amp;IF(H176="","?",H176)&amp;"/"&amp;IF(G176="","?",G176)&amp;CHAR(10)&amp;IF(K176="","coach: –","coach: "&amp;K176))</f>
        <v>Little  0/4
coach: –</v>
      </c>
    </row>
    <row r="177" customFormat="false" ht="22.35" hidden="false" customHeight="false" outlineLevel="0" collapsed="false">
      <c r="A177" s="76" t="str">
        <f aca="false">B177&amp;"|"&amp;C177&amp;"|"&amp;D177&amp;"|"&amp;E177</f>
        <v>KLM|3|Senin|14:00</v>
      </c>
      <c r="B177" s="76" t="s">
        <v>61</v>
      </c>
      <c r="C177" s="76" t="n">
        <v>3</v>
      </c>
      <c r="D177" s="76" t="s">
        <v>90</v>
      </c>
      <c r="E177" s="76" t="s">
        <v>117</v>
      </c>
      <c r="F177" s="77" t="s">
        <v>277</v>
      </c>
      <c r="G177" s="77" t="n">
        <v>4</v>
      </c>
      <c r="H177" s="77" t="n">
        <v>2</v>
      </c>
      <c r="I177" s="76" t="n">
        <f aca="false">IF(AND(ISNUMBER(G177),ISNUMBER(H177)),MAX(G177-H177,0),"")</f>
        <v>2</v>
      </c>
      <c r="J177" s="78" t="n">
        <f aca="false">IF(AND(ISNUMBER(G177),ISNUMBER(H177)),IF(G177&gt;0,H177/G177,""),"")</f>
        <v>0.5</v>
      </c>
      <c r="K177" s="77" t="s">
        <v>200</v>
      </c>
      <c r="L177" s="76" t="str">
        <f aca="false">IF(OR(G177="",H177=""),"Data tidak lengkap",IF(AND(G177=0,H177=0),IF(AND(F177="",K177=""),"Tidak dibuka","Tutup"),IF(H177&gt;G177,"Lebih kapasitas",IF(H177=G177,"Penuh",IF(H177=0,IF(F177="","Slot kosong","Belum terisi"),"Sebagian")))))</f>
        <v>Sebagian</v>
      </c>
      <c r="M177" s="79" t="str">
        <f aca="false">IF(L177="Tidak dibuka","–",IF(F177="","(tanpa age group)",F177)&amp;"  "&amp;IF(H177="","?",H177)&amp;"/"&amp;IF(G177="","?",G177)&amp;CHAR(10)&amp;IF(K177="","coach: –","coach: "&amp;K177))</f>
        <v>Little  2/4
coach: Zidane</v>
      </c>
    </row>
    <row r="178" customFormat="false" ht="22.35" hidden="false" customHeight="false" outlineLevel="0" collapsed="false">
      <c r="A178" s="76" t="str">
        <f aca="false">B178&amp;"|"&amp;C178&amp;"|"&amp;D178&amp;"|"&amp;E178</f>
        <v>KLM|3|Senin|14:45</v>
      </c>
      <c r="B178" s="76" t="s">
        <v>61</v>
      </c>
      <c r="C178" s="76" t="n">
        <v>3</v>
      </c>
      <c r="D178" s="76" t="s">
        <v>90</v>
      </c>
      <c r="E178" s="76" t="s">
        <v>118</v>
      </c>
      <c r="F178" s="77" t="s">
        <v>277</v>
      </c>
      <c r="G178" s="77" t="n">
        <v>0</v>
      </c>
      <c r="H178" s="77" t="n">
        <v>3</v>
      </c>
      <c r="I178" s="76" t="n">
        <f aca="false">IF(AND(ISNUMBER(G178),ISNUMBER(H178)),MAX(G178-H178,0),"")</f>
        <v>0</v>
      </c>
      <c r="J178" s="78" t="str">
        <f aca="false">IF(AND(ISNUMBER(G178),ISNUMBER(H178)),IF(G178&gt;0,H178/G178,""),"")</f>
        <v/>
      </c>
      <c r="K178" s="77" t="s">
        <v>202</v>
      </c>
      <c r="L178" s="76" t="str">
        <f aca="false">IF(OR(G178="",H178=""),"Data tidak lengkap",IF(AND(G178=0,H178=0),IF(AND(F178="",K178=""),"Tidak dibuka","Tutup"),IF(H178&gt;G178,"Lebih kapasitas",IF(H178=G178,"Penuh",IF(H178=0,IF(F178="","Slot kosong","Belum terisi"),"Sebagian")))))</f>
        <v>Lebih kapasitas</v>
      </c>
      <c r="M178" s="79" t="str">
        <f aca="false">IF(L178="Tidak dibuka","–",IF(F178="","(tanpa age group)",F178)&amp;"  "&amp;IF(H178="","?",H178)&amp;"/"&amp;IF(G178="","?",G178)&amp;CHAR(10)&amp;IF(K178="","coach: –","coach: "&amp;K178))</f>
        <v>Little  3/0
coach: Daffa</v>
      </c>
    </row>
    <row r="179" customFormat="false" ht="22.35" hidden="false" customHeight="false" outlineLevel="0" collapsed="false">
      <c r="A179" s="76" t="str">
        <f aca="false">B179&amp;"|"&amp;C179&amp;"|"&amp;D179&amp;"|"&amp;E179</f>
        <v>KLM|3|Senin|15:30</v>
      </c>
      <c r="B179" s="76" t="s">
        <v>61</v>
      </c>
      <c r="C179" s="76" t="n">
        <v>3</v>
      </c>
      <c r="D179" s="76" t="s">
        <v>90</v>
      </c>
      <c r="E179" s="76" t="s">
        <v>119</v>
      </c>
      <c r="F179" s="77" t="s">
        <v>277</v>
      </c>
      <c r="G179" s="77" t="n">
        <v>4</v>
      </c>
      <c r="H179" s="77" t="n">
        <v>3</v>
      </c>
      <c r="I179" s="76" t="n">
        <f aca="false">IF(AND(ISNUMBER(G179),ISNUMBER(H179)),MAX(G179-H179,0),"")</f>
        <v>1</v>
      </c>
      <c r="J179" s="78" t="n">
        <f aca="false">IF(AND(ISNUMBER(G179),ISNUMBER(H179)),IF(G179&gt;0,H179/G179,""),"")</f>
        <v>0.75</v>
      </c>
      <c r="K179" s="77" t="s">
        <v>204</v>
      </c>
      <c r="L179" s="76" t="str">
        <f aca="false">IF(OR(G179="",H179=""),"Data tidak lengkap",IF(AND(G179=0,H179=0),IF(AND(F179="",K179=""),"Tidak dibuka","Tutup"),IF(H179&gt;G179,"Lebih kapasitas",IF(H179=G179,"Penuh",IF(H179=0,IF(F179="","Slot kosong","Belum terisi"),"Sebagian")))))</f>
        <v>Sebagian</v>
      </c>
      <c r="M179" s="79" t="str">
        <f aca="false">IF(L179="Tidak dibuka","–",IF(F179="","(tanpa age group)",F179)&amp;"  "&amp;IF(H179="","?",H179)&amp;"/"&amp;IF(G179="","?",G179)&amp;CHAR(10)&amp;IF(K179="","coach: –","coach: "&amp;K179))</f>
        <v>Little  3/4
coach: Dian</v>
      </c>
    </row>
    <row r="180" customFormat="false" ht="22.35" hidden="false" customHeight="false" outlineLevel="0" collapsed="false">
      <c r="A180" s="76" t="str">
        <f aca="false">B180&amp;"|"&amp;C180&amp;"|"&amp;D180&amp;"|"&amp;E180</f>
        <v>KLM|3|Senin|16:15</v>
      </c>
      <c r="B180" s="76" t="s">
        <v>61</v>
      </c>
      <c r="C180" s="76" t="n">
        <v>3</v>
      </c>
      <c r="D180" s="76" t="s">
        <v>90</v>
      </c>
      <c r="E180" s="76" t="s">
        <v>120</v>
      </c>
      <c r="F180" s="77" t="s">
        <v>277</v>
      </c>
      <c r="G180" s="77" t="n">
        <v>4</v>
      </c>
      <c r="H180" s="77" t="n">
        <v>3</v>
      </c>
      <c r="I180" s="76" t="n">
        <f aca="false">IF(AND(ISNUMBER(G180),ISNUMBER(H180)),MAX(G180-H180,0),"")</f>
        <v>1</v>
      </c>
      <c r="J180" s="78" t="n">
        <f aca="false">IF(AND(ISNUMBER(G180),ISNUMBER(H180)),IF(G180&gt;0,H180/G180,""),"")</f>
        <v>0.75</v>
      </c>
      <c r="K180" s="77" t="s">
        <v>197</v>
      </c>
      <c r="L180" s="76" t="str">
        <f aca="false">IF(OR(G180="",H180=""),"Data tidak lengkap",IF(AND(G180=0,H180=0),IF(AND(F180="",K180=""),"Tidak dibuka","Tutup"),IF(H180&gt;G180,"Lebih kapasitas",IF(H180=G180,"Penuh",IF(H180=0,IF(F180="","Slot kosong","Belum terisi"),"Sebagian")))))</f>
        <v>Sebagian</v>
      </c>
      <c r="M180" s="79" t="str">
        <f aca="false">IF(L180="Tidak dibuka","–",IF(F180="","(tanpa age group)",F180)&amp;"  "&amp;IF(H180="","?",H180)&amp;"/"&amp;IF(G180="","?",G180)&amp;CHAR(10)&amp;IF(K180="","coach: –","coach: "&amp;K180))</f>
        <v>Little  3/4
coach: Rischa</v>
      </c>
    </row>
    <row r="181" customFormat="false" ht="22.35" hidden="false" customHeight="false" outlineLevel="0" collapsed="false">
      <c r="A181" s="76" t="str">
        <f aca="false">B181&amp;"|"&amp;C181&amp;"|"&amp;D181&amp;"|"&amp;E181</f>
        <v>KLM|3|Senin|17:00</v>
      </c>
      <c r="B181" s="76" t="s">
        <v>61</v>
      </c>
      <c r="C181" s="76" t="n">
        <v>3</v>
      </c>
      <c r="D181" s="76" t="s">
        <v>90</v>
      </c>
      <c r="E181" s="76" t="s">
        <v>121</v>
      </c>
      <c r="F181" s="77" t="s">
        <v>277</v>
      </c>
      <c r="G181" s="77" t="n">
        <v>4</v>
      </c>
      <c r="H181" s="77" t="n">
        <v>4</v>
      </c>
      <c r="I181" s="76" t="n">
        <f aca="false">IF(AND(ISNUMBER(G181),ISNUMBER(H181)),MAX(G181-H181,0),"")</f>
        <v>0</v>
      </c>
      <c r="J181" s="78" t="n">
        <f aca="false">IF(AND(ISNUMBER(G181),ISNUMBER(H181)),IF(G181&gt;0,H181/G181,""),"")</f>
        <v>1</v>
      </c>
      <c r="K181" s="77" t="s">
        <v>202</v>
      </c>
      <c r="L181" s="76" t="str">
        <f aca="false">IF(OR(G181="",H181=""),"Data tidak lengkap",IF(AND(G181=0,H181=0),IF(AND(F181="",K181=""),"Tidak dibuka","Tutup"),IF(H181&gt;G181,"Lebih kapasitas",IF(H181=G181,"Penuh",IF(H181=0,IF(F181="","Slot kosong","Belum terisi"),"Sebagian")))))</f>
        <v>Penuh</v>
      </c>
      <c r="M181" s="79" t="str">
        <f aca="false">IF(L181="Tidak dibuka","–",IF(F181="","(tanpa age group)",F181)&amp;"  "&amp;IF(H181="","?",H181)&amp;"/"&amp;IF(G181="","?",G181)&amp;CHAR(10)&amp;IF(K181="","coach: –","coach: "&amp;K181))</f>
        <v>Little  4/4
coach: Daffa</v>
      </c>
    </row>
    <row r="182" customFormat="false" ht="22.35" hidden="false" customHeight="false" outlineLevel="0" collapsed="false">
      <c r="A182" s="76" t="str">
        <f aca="false">B182&amp;"|"&amp;C182&amp;"|"&amp;D182&amp;"|"&amp;E182</f>
        <v>KLM|3|Selasa|08:00</v>
      </c>
      <c r="B182" s="76" t="s">
        <v>61</v>
      </c>
      <c r="C182" s="76" t="n">
        <v>3</v>
      </c>
      <c r="D182" s="76" t="s">
        <v>91</v>
      </c>
      <c r="E182" s="76" t="s">
        <v>110</v>
      </c>
      <c r="F182" s="77" t="s">
        <v>277</v>
      </c>
      <c r="G182" s="77" t="n">
        <v>0</v>
      </c>
      <c r="H182" s="77" t="n">
        <v>0</v>
      </c>
      <c r="I182" s="76" t="n">
        <f aca="false">IF(AND(ISNUMBER(G182),ISNUMBER(H182)),MAX(G182-H182,0),"")</f>
        <v>0</v>
      </c>
      <c r="J182" s="78" t="str">
        <f aca="false">IF(AND(ISNUMBER(G182),ISNUMBER(H182)),IF(G182&gt;0,H182/G182,""),"")</f>
        <v/>
      </c>
      <c r="K182" s="77"/>
      <c r="L182" s="76" t="str">
        <f aca="false">IF(OR(G182="",H182=""),"Data tidak lengkap",IF(AND(G182=0,H182=0),IF(AND(F182="",K182=""),"Tidak dibuka","Tutup"),IF(H182&gt;G182,"Lebih kapasitas",IF(H182=G182,"Penuh",IF(H182=0,IF(F182="","Slot kosong","Belum terisi"),"Sebagian")))))</f>
        <v>Tutup</v>
      </c>
      <c r="M182" s="79" t="str">
        <f aca="false">IF(L182="Tidak dibuka","–",IF(F182="","(tanpa age group)",F182)&amp;"  "&amp;IF(H182="","?",H182)&amp;"/"&amp;IF(G182="","?",G182)&amp;CHAR(10)&amp;IF(K182="","coach: –","coach: "&amp;K182))</f>
        <v>Little  0/0
coach: –</v>
      </c>
    </row>
    <row r="183" customFormat="false" ht="22.35" hidden="false" customHeight="false" outlineLevel="0" collapsed="false">
      <c r="A183" s="76" t="str">
        <f aca="false">B183&amp;"|"&amp;C183&amp;"|"&amp;D183&amp;"|"&amp;E183</f>
        <v>KLM|3|Selasa|08:45</v>
      </c>
      <c r="B183" s="76" t="s">
        <v>61</v>
      </c>
      <c r="C183" s="76" t="n">
        <v>3</v>
      </c>
      <c r="D183" s="76" t="s">
        <v>91</v>
      </c>
      <c r="E183" s="76" t="s">
        <v>111</v>
      </c>
      <c r="F183" s="77" t="s">
        <v>277</v>
      </c>
      <c r="G183" s="77" t="n">
        <v>4</v>
      </c>
      <c r="H183" s="77" t="n">
        <v>3</v>
      </c>
      <c r="I183" s="76" t="n">
        <f aca="false">IF(AND(ISNUMBER(G183),ISNUMBER(H183)),MAX(G183-H183,0),"")</f>
        <v>1</v>
      </c>
      <c r="J183" s="78" t="n">
        <f aca="false">IF(AND(ISNUMBER(G183),ISNUMBER(H183)),IF(G183&gt;0,H183/G183,""),"")</f>
        <v>0.75</v>
      </c>
      <c r="K183" s="77" t="s">
        <v>204</v>
      </c>
      <c r="L183" s="76" t="str">
        <f aca="false">IF(OR(G183="",H183=""),"Data tidak lengkap",IF(AND(G183=0,H183=0),IF(AND(F183="",K183=""),"Tidak dibuka","Tutup"),IF(H183&gt;G183,"Lebih kapasitas",IF(H183=G183,"Penuh",IF(H183=0,IF(F183="","Slot kosong","Belum terisi"),"Sebagian")))))</f>
        <v>Sebagian</v>
      </c>
      <c r="M183" s="79" t="str">
        <f aca="false">IF(L183="Tidak dibuka","–",IF(F183="","(tanpa age group)",F183)&amp;"  "&amp;IF(H183="","?",H183)&amp;"/"&amp;IF(G183="","?",G183)&amp;CHAR(10)&amp;IF(K183="","coach: –","coach: "&amp;K183))</f>
        <v>Little  3/4
coach: Dian</v>
      </c>
    </row>
    <row r="184" customFormat="false" ht="22.35" hidden="false" customHeight="false" outlineLevel="0" collapsed="false">
      <c r="A184" s="76" t="str">
        <f aca="false">B184&amp;"|"&amp;C184&amp;"|"&amp;D184&amp;"|"&amp;E184</f>
        <v>KLM|3|Selasa|09:30</v>
      </c>
      <c r="B184" s="76" t="s">
        <v>61</v>
      </c>
      <c r="C184" s="76" t="n">
        <v>3</v>
      </c>
      <c r="D184" s="76" t="s">
        <v>91</v>
      </c>
      <c r="E184" s="76" t="s">
        <v>112</v>
      </c>
      <c r="F184" s="77" t="s">
        <v>277</v>
      </c>
      <c r="G184" s="77" t="n">
        <v>4</v>
      </c>
      <c r="H184" s="77" t="n">
        <v>2</v>
      </c>
      <c r="I184" s="76" t="n">
        <f aca="false">IF(AND(ISNUMBER(G184),ISNUMBER(H184)),MAX(G184-H184,0),"")</f>
        <v>2</v>
      </c>
      <c r="J184" s="78" t="n">
        <f aca="false">IF(AND(ISNUMBER(G184),ISNUMBER(H184)),IF(G184&gt;0,H184/G184,""),"")</f>
        <v>0.5</v>
      </c>
      <c r="K184" s="77" t="s">
        <v>204</v>
      </c>
      <c r="L184" s="76" t="str">
        <f aca="false">IF(OR(G184="",H184=""),"Data tidak lengkap",IF(AND(G184=0,H184=0),IF(AND(F184="",K184=""),"Tidak dibuka","Tutup"),IF(H184&gt;G184,"Lebih kapasitas",IF(H184=G184,"Penuh",IF(H184=0,IF(F184="","Slot kosong","Belum terisi"),"Sebagian")))))</f>
        <v>Sebagian</v>
      </c>
      <c r="M184" s="79" t="str">
        <f aca="false">IF(L184="Tidak dibuka","–",IF(F184="","(tanpa age group)",F184)&amp;"  "&amp;IF(H184="","?",H184)&amp;"/"&amp;IF(G184="","?",G184)&amp;CHAR(10)&amp;IF(K184="","coach: –","coach: "&amp;K184))</f>
        <v>Little  2/4
coach: Dian</v>
      </c>
    </row>
    <row r="185" customFormat="false" ht="22.35" hidden="false" customHeight="false" outlineLevel="0" collapsed="false">
      <c r="A185" s="76" t="str">
        <f aca="false">B185&amp;"|"&amp;C185&amp;"|"&amp;D185&amp;"|"&amp;E185</f>
        <v>KLM|3|Selasa|10:15</v>
      </c>
      <c r="B185" s="76" t="s">
        <v>61</v>
      </c>
      <c r="C185" s="76" t="n">
        <v>3</v>
      </c>
      <c r="D185" s="76" t="s">
        <v>91</v>
      </c>
      <c r="E185" s="76" t="s">
        <v>113</v>
      </c>
      <c r="F185" s="77" t="s">
        <v>277</v>
      </c>
      <c r="G185" s="77" t="n">
        <v>4</v>
      </c>
      <c r="H185" s="77" t="n">
        <v>2</v>
      </c>
      <c r="I185" s="76" t="n">
        <f aca="false">IF(AND(ISNUMBER(G185),ISNUMBER(H185)),MAX(G185-H185,0),"")</f>
        <v>2</v>
      </c>
      <c r="J185" s="78" t="n">
        <f aca="false">IF(AND(ISNUMBER(G185),ISNUMBER(H185)),IF(G185&gt;0,H185/G185,""),"")</f>
        <v>0.5</v>
      </c>
      <c r="K185" s="77" t="s">
        <v>44</v>
      </c>
      <c r="L185" s="76" t="str">
        <f aca="false">IF(OR(G185="",H185=""),"Data tidak lengkap",IF(AND(G185=0,H185=0),IF(AND(F185="",K185=""),"Tidak dibuka","Tutup"),IF(H185&gt;G185,"Lebih kapasitas",IF(H185=G185,"Penuh",IF(H185=0,IF(F185="","Slot kosong","Belum terisi"),"Sebagian")))))</f>
        <v>Sebagian</v>
      </c>
      <c r="M185" s="79" t="str">
        <f aca="false">IF(L185="Tidak dibuka","–",IF(F185="","(tanpa age group)",F185)&amp;"  "&amp;IF(H185="","?",H185)&amp;"/"&amp;IF(G185="","?",G185)&amp;CHAR(10)&amp;IF(K185="","coach: –","coach: "&amp;K185))</f>
        <v>Little  2/4
coach: Danti</v>
      </c>
    </row>
    <row r="186" customFormat="false" ht="22.35" hidden="false" customHeight="false" outlineLevel="0" collapsed="false">
      <c r="A186" s="76" t="str">
        <f aca="false">B186&amp;"|"&amp;C186&amp;"|"&amp;D186&amp;"|"&amp;E186</f>
        <v>KLM|3|Selasa|11:00</v>
      </c>
      <c r="B186" s="76" t="s">
        <v>61</v>
      </c>
      <c r="C186" s="76" t="n">
        <v>3</v>
      </c>
      <c r="D186" s="76" t="s">
        <v>91</v>
      </c>
      <c r="E186" s="76" t="s">
        <v>114</v>
      </c>
      <c r="F186" s="77" t="s">
        <v>277</v>
      </c>
      <c r="G186" s="77" t="n">
        <v>4</v>
      </c>
      <c r="H186" s="77" t="n">
        <v>4</v>
      </c>
      <c r="I186" s="76" t="n">
        <f aca="false">IF(AND(ISNUMBER(G186),ISNUMBER(H186)),MAX(G186-H186,0),"")</f>
        <v>0</v>
      </c>
      <c r="J186" s="78" t="n">
        <f aca="false">IF(AND(ISNUMBER(G186),ISNUMBER(H186)),IF(G186&gt;0,H186/G186,""),"")</f>
        <v>1</v>
      </c>
      <c r="K186" s="77" t="s">
        <v>44</v>
      </c>
      <c r="L186" s="76" t="str">
        <f aca="false">IF(OR(G186="",H186=""),"Data tidak lengkap",IF(AND(G186=0,H186=0),IF(AND(F186="",K186=""),"Tidak dibuka","Tutup"),IF(H186&gt;G186,"Lebih kapasitas",IF(H186=G186,"Penuh",IF(H186=0,IF(F186="","Slot kosong","Belum terisi"),"Sebagian")))))</f>
        <v>Penuh</v>
      </c>
      <c r="M186" s="79" t="str">
        <f aca="false">IF(L186="Tidak dibuka","–",IF(F186="","(tanpa age group)",F186)&amp;"  "&amp;IF(H186="","?",H186)&amp;"/"&amp;IF(G186="","?",G186)&amp;CHAR(10)&amp;IF(K186="","coach: –","coach: "&amp;K186))</f>
        <v>Little  4/4
coach: Danti</v>
      </c>
    </row>
    <row r="187" customFormat="false" ht="22.35" hidden="false" customHeight="false" outlineLevel="0" collapsed="false">
      <c r="A187" s="76" t="str">
        <f aca="false">B187&amp;"|"&amp;C187&amp;"|"&amp;D187&amp;"|"&amp;E187</f>
        <v>KLM|3|Selasa|11:45</v>
      </c>
      <c r="B187" s="76" t="s">
        <v>61</v>
      </c>
      <c r="C187" s="76" t="n">
        <v>3</v>
      </c>
      <c r="D187" s="76" t="s">
        <v>91</v>
      </c>
      <c r="E187" s="76" t="s">
        <v>115</v>
      </c>
      <c r="F187" s="77" t="s">
        <v>277</v>
      </c>
      <c r="G187" s="77" t="n">
        <v>0</v>
      </c>
      <c r="H187" s="77" t="n">
        <v>1</v>
      </c>
      <c r="I187" s="76" t="n">
        <f aca="false">IF(AND(ISNUMBER(G187),ISNUMBER(H187)),MAX(G187-H187,0),"")</f>
        <v>0</v>
      </c>
      <c r="J187" s="78" t="str">
        <f aca="false">IF(AND(ISNUMBER(G187),ISNUMBER(H187)),IF(G187&gt;0,H187/G187,""),"")</f>
        <v/>
      </c>
      <c r="K187" s="77" t="s">
        <v>205</v>
      </c>
      <c r="L187" s="76" t="str">
        <f aca="false">IF(OR(G187="",H187=""),"Data tidak lengkap",IF(AND(G187=0,H187=0),IF(AND(F187="",K187=""),"Tidak dibuka","Tutup"),IF(H187&gt;G187,"Lebih kapasitas",IF(H187=G187,"Penuh",IF(H187=0,IF(F187="","Slot kosong","Belum terisi"),"Sebagian")))))</f>
        <v>Lebih kapasitas</v>
      </c>
      <c r="M187" s="79" t="str">
        <f aca="false">IF(L187="Tidak dibuka","–",IF(F187="","(tanpa age group)",F187)&amp;"  "&amp;IF(H187="","?",H187)&amp;"/"&amp;IF(G187="","?",G187)&amp;CHAR(10)&amp;IF(K187="","coach: –","coach: "&amp;K187))</f>
        <v>Little  1/0
coach: Tessa</v>
      </c>
    </row>
    <row r="188" customFormat="false" ht="22.35" hidden="false" customHeight="false" outlineLevel="0" collapsed="false">
      <c r="A188" s="76" t="str">
        <f aca="false">B188&amp;"|"&amp;C188&amp;"|"&amp;D188&amp;"|"&amp;E188</f>
        <v>KLM|3|Selasa|13:15</v>
      </c>
      <c r="B188" s="76" t="s">
        <v>61</v>
      </c>
      <c r="C188" s="76" t="n">
        <v>3</v>
      </c>
      <c r="D188" s="76" t="s">
        <v>91</v>
      </c>
      <c r="E188" s="76" t="s">
        <v>116</v>
      </c>
      <c r="F188" s="77" t="s">
        <v>277</v>
      </c>
      <c r="G188" s="77" t="n">
        <v>4</v>
      </c>
      <c r="H188" s="77" t="n">
        <v>0</v>
      </c>
      <c r="I188" s="76" t="n">
        <f aca="false">IF(AND(ISNUMBER(G188),ISNUMBER(H188)),MAX(G188-H188,0),"")</f>
        <v>4</v>
      </c>
      <c r="J188" s="78" t="n">
        <f aca="false">IF(AND(ISNUMBER(G188),ISNUMBER(H188)),IF(G188&gt;0,H188/G188,""),"")</f>
        <v>0</v>
      </c>
      <c r="K188" s="77"/>
      <c r="L188" s="76" t="str">
        <f aca="false">IF(OR(G188="",H188=""),"Data tidak lengkap",IF(AND(G188=0,H188=0),IF(AND(F188="",K188=""),"Tidak dibuka","Tutup"),IF(H188&gt;G188,"Lebih kapasitas",IF(H188=G188,"Penuh",IF(H188=0,IF(F188="","Slot kosong","Belum terisi"),"Sebagian")))))</f>
        <v>Belum terisi</v>
      </c>
      <c r="M188" s="79" t="str">
        <f aca="false">IF(L188="Tidak dibuka","–",IF(F188="","(tanpa age group)",F188)&amp;"  "&amp;IF(H188="","?",H188)&amp;"/"&amp;IF(G188="","?",G188)&amp;CHAR(10)&amp;IF(K188="","coach: –","coach: "&amp;K188))</f>
        <v>Little  0/4
coach: –</v>
      </c>
    </row>
    <row r="189" customFormat="false" ht="22.35" hidden="false" customHeight="false" outlineLevel="0" collapsed="false">
      <c r="A189" s="76" t="str">
        <f aca="false">B189&amp;"|"&amp;C189&amp;"|"&amp;D189&amp;"|"&amp;E189</f>
        <v>KLM|3|Selasa|14:00</v>
      </c>
      <c r="B189" s="76" t="s">
        <v>61</v>
      </c>
      <c r="C189" s="76" t="n">
        <v>3</v>
      </c>
      <c r="D189" s="76" t="s">
        <v>91</v>
      </c>
      <c r="E189" s="76" t="s">
        <v>117</v>
      </c>
      <c r="F189" s="77" t="s">
        <v>277</v>
      </c>
      <c r="G189" s="77" t="n">
        <v>4</v>
      </c>
      <c r="H189" s="77" t="n">
        <v>3</v>
      </c>
      <c r="I189" s="76" t="n">
        <f aca="false">IF(AND(ISNUMBER(G189),ISNUMBER(H189)),MAX(G189-H189,0),"")</f>
        <v>1</v>
      </c>
      <c r="J189" s="78" t="n">
        <f aca="false">IF(AND(ISNUMBER(G189),ISNUMBER(H189)),IF(G189&gt;0,H189/G189,""),"")</f>
        <v>0.75</v>
      </c>
      <c r="K189" s="77" t="s">
        <v>44</v>
      </c>
      <c r="L189" s="76" t="str">
        <f aca="false">IF(OR(G189="",H189=""),"Data tidak lengkap",IF(AND(G189=0,H189=0),IF(AND(F189="",K189=""),"Tidak dibuka","Tutup"),IF(H189&gt;G189,"Lebih kapasitas",IF(H189=G189,"Penuh",IF(H189=0,IF(F189="","Slot kosong","Belum terisi"),"Sebagian")))))</f>
        <v>Sebagian</v>
      </c>
      <c r="M189" s="79" t="str">
        <f aca="false">IF(L189="Tidak dibuka","–",IF(F189="","(tanpa age group)",F189)&amp;"  "&amp;IF(H189="","?",H189)&amp;"/"&amp;IF(G189="","?",G189)&amp;CHAR(10)&amp;IF(K189="","coach: –","coach: "&amp;K189))</f>
        <v>Little  3/4
coach: Danti</v>
      </c>
    </row>
    <row r="190" customFormat="false" ht="22.35" hidden="false" customHeight="false" outlineLevel="0" collapsed="false">
      <c r="A190" s="76" t="str">
        <f aca="false">B190&amp;"|"&amp;C190&amp;"|"&amp;D190&amp;"|"&amp;E190</f>
        <v>KLM|3|Selasa|14:45</v>
      </c>
      <c r="B190" s="76" t="s">
        <v>61</v>
      </c>
      <c r="C190" s="76" t="n">
        <v>3</v>
      </c>
      <c r="D190" s="76" t="s">
        <v>91</v>
      </c>
      <c r="E190" s="76" t="s">
        <v>118</v>
      </c>
      <c r="F190" s="77" t="s">
        <v>277</v>
      </c>
      <c r="G190" s="77" t="n">
        <v>4</v>
      </c>
      <c r="H190" s="77" t="n">
        <v>3</v>
      </c>
      <c r="I190" s="76" t="n">
        <f aca="false">IF(AND(ISNUMBER(G190),ISNUMBER(H190)),MAX(G190-H190,0),"")</f>
        <v>1</v>
      </c>
      <c r="J190" s="78" t="n">
        <f aca="false">IF(AND(ISNUMBER(G190),ISNUMBER(H190)),IF(G190&gt;0,H190/G190,""),"")</f>
        <v>0.75</v>
      </c>
      <c r="K190" s="77" t="s">
        <v>197</v>
      </c>
      <c r="L190" s="76" t="str">
        <f aca="false">IF(OR(G190="",H190=""),"Data tidak lengkap",IF(AND(G190=0,H190=0),IF(AND(F190="",K190=""),"Tidak dibuka","Tutup"),IF(H190&gt;G190,"Lebih kapasitas",IF(H190=G190,"Penuh",IF(H190=0,IF(F190="","Slot kosong","Belum terisi"),"Sebagian")))))</f>
        <v>Sebagian</v>
      </c>
      <c r="M190" s="79" t="str">
        <f aca="false">IF(L190="Tidak dibuka","–",IF(F190="","(tanpa age group)",F190)&amp;"  "&amp;IF(H190="","?",H190)&amp;"/"&amp;IF(G190="","?",G190)&amp;CHAR(10)&amp;IF(K190="","coach: –","coach: "&amp;K190))</f>
        <v>Little  3/4
coach: Rischa</v>
      </c>
    </row>
    <row r="191" customFormat="false" ht="22.35" hidden="false" customHeight="false" outlineLevel="0" collapsed="false">
      <c r="A191" s="76" t="str">
        <f aca="false">B191&amp;"|"&amp;C191&amp;"|"&amp;D191&amp;"|"&amp;E191</f>
        <v>KLM|3|Selasa|15:30</v>
      </c>
      <c r="B191" s="76" t="s">
        <v>61</v>
      </c>
      <c r="C191" s="76" t="n">
        <v>3</v>
      </c>
      <c r="D191" s="76" t="s">
        <v>91</v>
      </c>
      <c r="E191" s="76" t="s">
        <v>119</v>
      </c>
      <c r="F191" s="77" t="s">
        <v>277</v>
      </c>
      <c r="G191" s="77" t="n">
        <v>0</v>
      </c>
      <c r="H191" s="77" t="n">
        <v>0</v>
      </c>
      <c r="I191" s="76" t="n">
        <f aca="false">IF(AND(ISNUMBER(G191),ISNUMBER(H191)),MAX(G191-H191,0),"")</f>
        <v>0</v>
      </c>
      <c r="J191" s="78" t="str">
        <f aca="false">IF(AND(ISNUMBER(G191),ISNUMBER(H191)),IF(G191&gt;0,H191/G191,""),"")</f>
        <v/>
      </c>
      <c r="K191" s="77"/>
      <c r="L191" s="76" t="str">
        <f aca="false">IF(OR(G191="",H191=""),"Data tidak lengkap",IF(AND(G191=0,H191=0),IF(AND(F191="",K191=""),"Tidak dibuka","Tutup"),IF(H191&gt;G191,"Lebih kapasitas",IF(H191=G191,"Penuh",IF(H191=0,IF(F191="","Slot kosong","Belum terisi"),"Sebagian")))))</f>
        <v>Tutup</v>
      </c>
      <c r="M191" s="79" t="str">
        <f aca="false">IF(L191="Tidak dibuka","–",IF(F191="","(tanpa age group)",F191)&amp;"  "&amp;IF(H191="","?",H191)&amp;"/"&amp;IF(G191="","?",G191)&amp;CHAR(10)&amp;IF(K191="","coach: –","coach: "&amp;K191))</f>
        <v>Little  0/0
coach: –</v>
      </c>
    </row>
    <row r="192" customFormat="false" ht="22.35" hidden="false" customHeight="false" outlineLevel="0" collapsed="false">
      <c r="A192" s="76" t="str">
        <f aca="false">B192&amp;"|"&amp;C192&amp;"|"&amp;D192&amp;"|"&amp;E192</f>
        <v>KLM|3|Selasa|16:15</v>
      </c>
      <c r="B192" s="76" t="s">
        <v>61</v>
      </c>
      <c r="C192" s="76" t="n">
        <v>3</v>
      </c>
      <c r="D192" s="76" t="s">
        <v>91</v>
      </c>
      <c r="E192" s="76" t="s">
        <v>120</v>
      </c>
      <c r="F192" s="77" t="s">
        <v>277</v>
      </c>
      <c r="G192" s="77" t="n">
        <v>4</v>
      </c>
      <c r="H192" s="77" t="n">
        <v>4</v>
      </c>
      <c r="I192" s="76" t="n">
        <f aca="false">IF(AND(ISNUMBER(G192),ISNUMBER(H192)),MAX(G192-H192,0),"")</f>
        <v>0</v>
      </c>
      <c r="J192" s="78" t="n">
        <f aca="false">IF(AND(ISNUMBER(G192),ISNUMBER(H192)),IF(G192&gt;0,H192/G192,""),"")</f>
        <v>1</v>
      </c>
      <c r="K192" s="77" t="s">
        <v>197</v>
      </c>
      <c r="L192" s="76" t="str">
        <f aca="false">IF(OR(G192="",H192=""),"Data tidak lengkap",IF(AND(G192=0,H192=0),IF(AND(F192="",K192=""),"Tidak dibuka","Tutup"),IF(H192&gt;G192,"Lebih kapasitas",IF(H192=G192,"Penuh",IF(H192=0,IF(F192="","Slot kosong","Belum terisi"),"Sebagian")))))</f>
        <v>Penuh</v>
      </c>
      <c r="M192" s="79" t="str">
        <f aca="false">IF(L192="Tidak dibuka","–",IF(F192="","(tanpa age group)",F192)&amp;"  "&amp;IF(H192="","?",H192)&amp;"/"&amp;IF(G192="","?",G192)&amp;CHAR(10)&amp;IF(K192="","coach: –","coach: "&amp;K192))</f>
        <v>Little  4/4
coach: Rischa</v>
      </c>
    </row>
    <row r="193" customFormat="false" ht="22.35" hidden="false" customHeight="false" outlineLevel="0" collapsed="false">
      <c r="A193" s="76" t="str">
        <f aca="false">B193&amp;"|"&amp;C193&amp;"|"&amp;D193&amp;"|"&amp;E193</f>
        <v>KLM|3|Selasa|17:00</v>
      </c>
      <c r="B193" s="76" t="s">
        <v>61</v>
      </c>
      <c r="C193" s="76" t="n">
        <v>3</v>
      </c>
      <c r="D193" s="76" t="s">
        <v>91</v>
      </c>
      <c r="E193" s="76" t="s">
        <v>121</v>
      </c>
      <c r="F193" s="77" t="s">
        <v>277</v>
      </c>
      <c r="G193" s="77" t="n">
        <v>4</v>
      </c>
      <c r="H193" s="77" t="n">
        <v>4</v>
      </c>
      <c r="I193" s="76" t="n">
        <f aca="false">IF(AND(ISNUMBER(G193),ISNUMBER(H193)),MAX(G193-H193,0),"")</f>
        <v>0</v>
      </c>
      <c r="J193" s="78" t="n">
        <f aca="false">IF(AND(ISNUMBER(G193),ISNUMBER(H193)),IF(G193&gt;0,H193/G193,""),"")</f>
        <v>1</v>
      </c>
      <c r="K193" s="77" t="s">
        <v>200</v>
      </c>
      <c r="L193" s="76" t="str">
        <f aca="false">IF(OR(G193="",H193=""),"Data tidak lengkap",IF(AND(G193=0,H193=0),IF(AND(F193="",K193=""),"Tidak dibuka","Tutup"),IF(H193&gt;G193,"Lebih kapasitas",IF(H193=G193,"Penuh",IF(H193=0,IF(F193="","Slot kosong","Belum terisi"),"Sebagian")))))</f>
        <v>Penuh</v>
      </c>
      <c r="M193" s="79" t="str">
        <f aca="false">IF(L193="Tidak dibuka","–",IF(F193="","(tanpa age group)",F193)&amp;"  "&amp;IF(H193="","?",H193)&amp;"/"&amp;IF(G193="","?",G193)&amp;CHAR(10)&amp;IF(K193="","coach: –","coach: "&amp;K193))</f>
        <v>Little  4/4
coach: Zidane</v>
      </c>
    </row>
    <row r="194" customFormat="false" ht="22.35" hidden="false" customHeight="false" outlineLevel="0" collapsed="false">
      <c r="A194" s="76" t="str">
        <f aca="false">B194&amp;"|"&amp;C194&amp;"|"&amp;D194&amp;"|"&amp;E194</f>
        <v>KLM|3|Rabu|08:00</v>
      </c>
      <c r="B194" s="76" t="s">
        <v>61</v>
      </c>
      <c r="C194" s="76" t="n">
        <v>3</v>
      </c>
      <c r="D194" s="76" t="s">
        <v>92</v>
      </c>
      <c r="E194" s="76" t="s">
        <v>110</v>
      </c>
      <c r="F194" s="77" t="s">
        <v>277</v>
      </c>
      <c r="G194" s="77" t="n">
        <v>0</v>
      </c>
      <c r="H194" s="77" t="n">
        <v>0</v>
      </c>
      <c r="I194" s="76" t="n">
        <f aca="false">IF(AND(ISNUMBER(G194),ISNUMBER(H194)),MAX(G194-H194,0),"")</f>
        <v>0</v>
      </c>
      <c r="J194" s="78" t="str">
        <f aca="false">IF(AND(ISNUMBER(G194),ISNUMBER(H194)),IF(G194&gt;0,H194/G194,""),"")</f>
        <v/>
      </c>
      <c r="K194" s="77"/>
      <c r="L194" s="76" t="str">
        <f aca="false">IF(OR(G194="",H194=""),"Data tidak lengkap",IF(AND(G194=0,H194=0),IF(AND(F194="",K194=""),"Tidak dibuka","Tutup"),IF(H194&gt;G194,"Lebih kapasitas",IF(H194=G194,"Penuh",IF(H194=0,IF(F194="","Slot kosong","Belum terisi"),"Sebagian")))))</f>
        <v>Tutup</v>
      </c>
      <c r="M194" s="79" t="str">
        <f aca="false">IF(L194="Tidak dibuka","–",IF(F194="","(tanpa age group)",F194)&amp;"  "&amp;IF(H194="","?",H194)&amp;"/"&amp;IF(G194="","?",G194)&amp;CHAR(10)&amp;IF(K194="","coach: –","coach: "&amp;K194))</f>
        <v>Little  0/0
coach: –</v>
      </c>
    </row>
    <row r="195" customFormat="false" ht="22.35" hidden="false" customHeight="false" outlineLevel="0" collapsed="false">
      <c r="A195" s="76" t="str">
        <f aca="false">B195&amp;"|"&amp;C195&amp;"|"&amp;D195&amp;"|"&amp;E195</f>
        <v>KLM|3|Rabu|08:45</v>
      </c>
      <c r="B195" s="76" t="s">
        <v>61</v>
      </c>
      <c r="C195" s="76" t="n">
        <v>3</v>
      </c>
      <c r="D195" s="76" t="s">
        <v>92</v>
      </c>
      <c r="E195" s="76" t="s">
        <v>111</v>
      </c>
      <c r="F195" s="77" t="s">
        <v>277</v>
      </c>
      <c r="G195" s="77" t="n">
        <v>4</v>
      </c>
      <c r="H195" s="77" t="n">
        <v>3</v>
      </c>
      <c r="I195" s="76" t="n">
        <f aca="false">IF(AND(ISNUMBER(G195),ISNUMBER(H195)),MAX(G195-H195,0),"")</f>
        <v>1</v>
      </c>
      <c r="J195" s="78" t="n">
        <f aca="false">IF(AND(ISNUMBER(G195),ISNUMBER(H195)),IF(G195&gt;0,H195/G195,""),"")</f>
        <v>0.75</v>
      </c>
      <c r="K195" s="77" t="s">
        <v>44</v>
      </c>
      <c r="L195" s="76" t="str">
        <f aca="false">IF(OR(G195="",H195=""),"Data tidak lengkap",IF(AND(G195=0,H195=0),IF(AND(F195="",K195=""),"Tidak dibuka","Tutup"),IF(H195&gt;G195,"Lebih kapasitas",IF(H195=G195,"Penuh",IF(H195=0,IF(F195="","Slot kosong","Belum terisi"),"Sebagian")))))</f>
        <v>Sebagian</v>
      </c>
      <c r="M195" s="79" t="str">
        <f aca="false">IF(L195="Tidak dibuka","–",IF(F195="","(tanpa age group)",F195)&amp;"  "&amp;IF(H195="","?",H195)&amp;"/"&amp;IF(G195="","?",G195)&amp;CHAR(10)&amp;IF(K195="","coach: –","coach: "&amp;K195))</f>
        <v>Little  3/4
coach: Danti</v>
      </c>
    </row>
    <row r="196" customFormat="false" ht="22.35" hidden="false" customHeight="false" outlineLevel="0" collapsed="false">
      <c r="A196" s="76" t="str">
        <f aca="false">B196&amp;"|"&amp;C196&amp;"|"&amp;D196&amp;"|"&amp;E196</f>
        <v>KLM|3|Rabu|09:30</v>
      </c>
      <c r="B196" s="76" t="s">
        <v>61</v>
      </c>
      <c r="C196" s="76" t="n">
        <v>3</v>
      </c>
      <c r="D196" s="76" t="s">
        <v>92</v>
      </c>
      <c r="E196" s="76" t="s">
        <v>112</v>
      </c>
      <c r="F196" s="77" t="s">
        <v>277</v>
      </c>
      <c r="G196" s="77" t="n">
        <v>4</v>
      </c>
      <c r="H196" s="77" t="n">
        <v>0</v>
      </c>
      <c r="I196" s="76" t="n">
        <f aca="false">IF(AND(ISNUMBER(G196),ISNUMBER(H196)),MAX(G196-H196,0),"")</f>
        <v>4</v>
      </c>
      <c r="J196" s="78" t="n">
        <f aca="false">IF(AND(ISNUMBER(G196),ISNUMBER(H196)),IF(G196&gt;0,H196/G196,""),"")</f>
        <v>0</v>
      </c>
      <c r="K196" s="77"/>
      <c r="L196" s="76" t="str">
        <f aca="false">IF(OR(G196="",H196=""),"Data tidak lengkap",IF(AND(G196=0,H196=0),IF(AND(F196="",K196=""),"Tidak dibuka","Tutup"),IF(H196&gt;G196,"Lebih kapasitas",IF(H196=G196,"Penuh",IF(H196=0,IF(F196="","Slot kosong","Belum terisi"),"Sebagian")))))</f>
        <v>Belum terisi</v>
      </c>
      <c r="M196" s="79" t="str">
        <f aca="false">IF(L196="Tidak dibuka","–",IF(F196="","(tanpa age group)",F196)&amp;"  "&amp;IF(H196="","?",H196)&amp;"/"&amp;IF(G196="","?",G196)&amp;CHAR(10)&amp;IF(K196="","coach: –","coach: "&amp;K196))</f>
        <v>Little  0/4
coach: –</v>
      </c>
    </row>
    <row r="197" customFormat="false" ht="22.35" hidden="false" customHeight="false" outlineLevel="0" collapsed="false">
      <c r="A197" s="76" t="str">
        <f aca="false">B197&amp;"|"&amp;C197&amp;"|"&amp;D197&amp;"|"&amp;E197</f>
        <v>KLM|3|Rabu|10:15</v>
      </c>
      <c r="B197" s="76" t="s">
        <v>61</v>
      </c>
      <c r="C197" s="76" t="n">
        <v>3</v>
      </c>
      <c r="D197" s="76" t="s">
        <v>92</v>
      </c>
      <c r="E197" s="76" t="s">
        <v>113</v>
      </c>
      <c r="F197" s="77" t="s">
        <v>277</v>
      </c>
      <c r="G197" s="77" t="n">
        <v>4</v>
      </c>
      <c r="H197" s="77" t="n">
        <v>1</v>
      </c>
      <c r="I197" s="76" t="n">
        <f aca="false">IF(AND(ISNUMBER(G197),ISNUMBER(H197)),MAX(G197-H197,0),"")</f>
        <v>3</v>
      </c>
      <c r="J197" s="78" t="n">
        <f aca="false">IF(AND(ISNUMBER(G197),ISNUMBER(H197)),IF(G197&gt;0,H197/G197,""),"")</f>
        <v>0.25</v>
      </c>
      <c r="K197" s="77" t="s">
        <v>200</v>
      </c>
      <c r="L197" s="76" t="str">
        <f aca="false">IF(OR(G197="",H197=""),"Data tidak lengkap",IF(AND(G197=0,H197=0),IF(AND(F197="",K197=""),"Tidak dibuka","Tutup"),IF(H197&gt;G197,"Lebih kapasitas",IF(H197=G197,"Penuh",IF(H197=0,IF(F197="","Slot kosong","Belum terisi"),"Sebagian")))))</f>
        <v>Sebagian</v>
      </c>
      <c r="M197" s="79" t="str">
        <f aca="false">IF(L197="Tidak dibuka","–",IF(F197="","(tanpa age group)",F197)&amp;"  "&amp;IF(H197="","?",H197)&amp;"/"&amp;IF(G197="","?",G197)&amp;CHAR(10)&amp;IF(K197="","coach: –","coach: "&amp;K197))</f>
        <v>Little  1/4
coach: Zidane</v>
      </c>
    </row>
    <row r="198" customFormat="false" ht="22.35" hidden="false" customHeight="false" outlineLevel="0" collapsed="false">
      <c r="A198" s="76" t="str">
        <f aca="false">B198&amp;"|"&amp;C198&amp;"|"&amp;D198&amp;"|"&amp;E198</f>
        <v>KLM|3|Rabu|11:00</v>
      </c>
      <c r="B198" s="76" t="s">
        <v>61</v>
      </c>
      <c r="C198" s="76" t="n">
        <v>3</v>
      </c>
      <c r="D198" s="76" t="s">
        <v>92</v>
      </c>
      <c r="E198" s="76" t="s">
        <v>114</v>
      </c>
      <c r="F198" s="77" t="s">
        <v>277</v>
      </c>
      <c r="G198" s="77" t="n">
        <v>4</v>
      </c>
      <c r="H198" s="77" t="n">
        <v>4</v>
      </c>
      <c r="I198" s="76" t="n">
        <f aca="false">IF(AND(ISNUMBER(G198),ISNUMBER(H198)),MAX(G198-H198,0),"")</f>
        <v>0</v>
      </c>
      <c r="J198" s="78" t="n">
        <f aca="false">IF(AND(ISNUMBER(G198),ISNUMBER(H198)),IF(G198&gt;0,H198/G198,""),"")</f>
        <v>1</v>
      </c>
      <c r="K198" s="77" t="s">
        <v>44</v>
      </c>
      <c r="L198" s="76" t="str">
        <f aca="false">IF(OR(G198="",H198=""),"Data tidak lengkap",IF(AND(G198=0,H198=0),IF(AND(F198="",K198=""),"Tidak dibuka","Tutup"),IF(H198&gt;G198,"Lebih kapasitas",IF(H198=G198,"Penuh",IF(H198=0,IF(F198="","Slot kosong","Belum terisi"),"Sebagian")))))</f>
        <v>Penuh</v>
      </c>
      <c r="M198" s="79" t="str">
        <f aca="false">IF(L198="Tidak dibuka","–",IF(F198="","(tanpa age group)",F198)&amp;"  "&amp;IF(H198="","?",H198)&amp;"/"&amp;IF(G198="","?",G198)&amp;CHAR(10)&amp;IF(K198="","coach: –","coach: "&amp;K198))</f>
        <v>Little  4/4
coach: Danti</v>
      </c>
    </row>
    <row r="199" customFormat="false" ht="22.35" hidden="false" customHeight="false" outlineLevel="0" collapsed="false">
      <c r="A199" s="76" t="str">
        <f aca="false">B199&amp;"|"&amp;C199&amp;"|"&amp;D199&amp;"|"&amp;E199</f>
        <v>KLM|3|Rabu|11:45</v>
      </c>
      <c r="B199" s="76" t="s">
        <v>61</v>
      </c>
      <c r="C199" s="76" t="n">
        <v>3</v>
      </c>
      <c r="D199" s="76" t="s">
        <v>92</v>
      </c>
      <c r="E199" s="76" t="s">
        <v>115</v>
      </c>
      <c r="F199" s="77" t="s">
        <v>277</v>
      </c>
      <c r="G199" s="77" t="n">
        <v>0</v>
      </c>
      <c r="H199" s="77" t="n">
        <v>0</v>
      </c>
      <c r="I199" s="76" t="n">
        <f aca="false">IF(AND(ISNUMBER(G199),ISNUMBER(H199)),MAX(G199-H199,0),"")</f>
        <v>0</v>
      </c>
      <c r="J199" s="78" t="str">
        <f aca="false">IF(AND(ISNUMBER(G199),ISNUMBER(H199)),IF(G199&gt;0,H199/G199,""),"")</f>
        <v/>
      </c>
      <c r="K199" s="77"/>
      <c r="L199" s="76" t="str">
        <f aca="false">IF(OR(G199="",H199=""),"Data tidak lengkap",IF(AND(G199=0,H199=0),IF(AND(F199="",K199=""),"Tidak dibuka","Tutup"),IF(H199&gt;G199,"Lebih kapasitas",IF(H199=G199,"Penuh",IF(H199=0,IF(F199="","Slot kosong","Belum terisi"),"Sebagian")))))</f>
        <v>Tutup</v>
      </c>
      <c r="M199" s="79" t="str">
        <f aca="false">IF(L199="Tidak dibuka","–",IF(F199="","(tanpa age group)",F199)&amp;"  "&amp;IF(H199="","?",H199)&amp;"/"&amp;IF(G199="","?",G199)&amp;CHAR(10)&amp;IF(K199="","coach: –","coach: "&amp;K199))</f>
        <v>Little  0/0
coach: –</v>
      </c>
    </row>
    <row r="200" customFormat="false" ht="22.35" hidden="false" customHeight="false" outlineLevel="0" collapsed="false">
      <c r="A200" s="76" t="str">
        <f aca="false">B200&amp;"|"&amp;C200&amp;"|"&amp;D200&amp;"|"&amp;E200</f>
        <v>KLM|3|Rabu|13:15</v>
      </c>
      <c r="B200" s="76" t="s">
        <v>61</v>
      </c>
      <c r="C200" s="76" t="n">
        <v>3</v>
      </c>
      <c r="D200" s="76" t="s">
        <v>92</v>
      </c>
      <c r="E200" s="76" t="s">
        <v>116</v>
      </c>
      <c r="F200" s="77" t="s">
        <v>277</v>
      </c>
      <c r="G200" s="77" t="n">
        <v>4</v>
      </c>
      <c r="H200" s="77" t="n">
        <v>4</v>
      </c>
      <c r="I200" s="76" t="n">
        <f aca="false">IF(AND(ISNUMBER(G200),ISNUMBER(H200)),MAX(G200-H200,0),"")</f>
        <v>0</v>
      </c>
      <c r="J200" s="78" t="n">
        <f aca="false">IF(AND(ISNUMBER(G200),ISNUMBER(H200)),IF(G200&gt;0,H200/G200,""),"")</f>
        <v>1</v>
      </c>
      <c r="K200" s="77" t="s">
        <v>200</v>
      </c>
      <c r="L200" s="76" t="str">
        <f aca="false">IF(OR(G200="",H200=""),"Data tidak lengkap",IF(AND(G200=0,H200=0),IF(AND(F200="",K200=""),"Tidak dibuka","Tutup"),IF(H200&gt;G200,"Lebih kapasitas",IF(H200=G200,"Penuh",IF(H200=0,IF(F200="","Slot kosong","Belum terisi"),"Sebagian")))))</f>
        <v>Penuh</v>
      </c>
      <c r="M200" s="79" t="str">
        <f aca="false">IF(L200="Tidak dibuka","–",IF(F200="","(tanpa age group)",F200)&amp;"  "&amp;IF(H200="","?",H200)&amp;"/"&amp;IF(G200="","?",G200)&amp;CHAR(10)&amp;IF(K200="","coach: –","coach: "&amp;K200))</f>
        <v>Little  4/4
coach: Zidane</v>
      </c>
    </row>
    <row r="201" customFormat="false" ht="22.35" hidden="false" customHeight="false" outlineLevel="0" collapsed="false">
      <c r="A201" s="76" t="str">
        <f aca="false">B201&amp;"|"&amp;C201&amp;"|"&amp;D201&amp;"|"&amp;E201</f>
        <v>KLM|3|Rabu|14:00</v>
      </c>
      <c r="B201" s="76" t="s">
        <v>61</v>
      </c>
      <c r="C201" s="76" t="n">
        <v>3</v>
      </c>
      <c r="D201" s="76" t="s">
        <v>92</v>
      </c>
      <c r="E201" s="76" t="s">
        <v>117</v>
      </c>
      <c r="F201" s="77" t="s">
        <v>277</v>
      </c>
      <c r="G201" s="77" t="n">
        <v>4</v>
      </c>
      <c r="H201" s="77" t="n">
        <v>3</v>
      </c>
      <c r="I201" s="76" t="n">
        <f aca="false">IF(AND(ISNUMBER(G201),ISNUMBER(H201)),MAX(G201-H201,0),"")</f>
        <v>1</v>
      </c>
      <c r="J201" s="78" t="n">
        <f aca="false">IF(AND(ISNUMBER(G201),ISNUMBER(H201)),IF(G201&gt;0,H201/G201,""),"")</f>
        <v>0.75</v>
      </c>
      <c r="K201" s="77" t="s">
        <v>195</v>
      </c>
      <c r="L201" s="76" t="str">
        <f aca="false">IF(OR(G201="",H201=""),"Data tidak lengkap",IF(AND(G201=0,H201=0),IF(AND(F201="",K201=""),"Tidak dibuka","Tutup"),IF(H201&gt;G201,"Lebih kapasitas",IF(H201=G201,"Penuh",IF(H201=0,IF(F201="","Slot kosong","Belum terisi"),"Sebagian")))))</f>
        <v>Sebagian</v>
      </c>
      <c r="M201" s="79" t="str">
        <f aca="false">IF(L201="Tidak dibuka","–",IF(F201="","(tanpa age group)",F201)&amp;"  "&amp;IF(H201="","?",H201)&amp;"/"&amp;IF(G201="","?",G201)&amp;CHAR(10)&amp;IF(K201="","coach: –","coach: "&amp;K201))</f>
        <v>Little  3/4
coach: Eka</v>
      </c>
    </row>
    <row r="202" customFormat="false" ht="22.35" hidden="false" customHeight="false" outlineLevel="0" collapsed="false">
      <c r="A202" s="76" t="str">
        <f aca="false">B202&amp;"|"&amp;C202&amp;"|"&amp;D202&amp;"|"&amp;E202</f>
        <v>KLM|3|Rabu|14:45</v>
      </c>
      <c r="B202" s="76" t="s">
        <v>61</v>
      </c>
      <c r="C202" s="76" t="n">
        <v>3</v>
      </c>
      <c r="D202" s="76" t="s">
        <v>92</v>
      </c>
      <c r="E202" s="76" t="s">
        <v>118</v>
      </c>
      <c r="F202" s="77" t="s">
        <v>277</v>
      </c>
      <c r="G202" s="77" t="n">
        <v>0</v>
      </c>
      <c r="H202" s="77" t="n">
        <v>2</v>
      </c>
      <c r="I202" s="76" t="n">
        <f aca="false">IF(AND(ISNUMBER(G202),ISNUMBER(H202)),MAX(G202-H202,0),"")</f>
        <v>0</v>
      </c>
      <c r="J202" s="78" t="str">
        <f aca="false">IF(AND(ISNUMBER(G202),ISNUMBER(H202)),IF(G202&gt;0,H202/G202,""),"")</f>
        <v/>
      </c>
      <c r="K202" s="77" t="s">
        <v>198</v>
      </c>
      <c r="L202" s="76" t="str">
        <f aca="false">IF(OR(G202="",H202=""),"Data tidak lengkap",IF(AND(G202=0,H202=0),IF(AND(F202="",K202=""),"Tidak dibuka","Tutup"),IF(H202&gt;G202,"Lebih kapasitas",IF(H202=G202,"Penuh",IF(H202=0,IF(F202="","Slot kosong","Belum terisi"),"Sebagian")))))</f>
        <v>Lebih kapasitas</v>
      </c>
      <c r="M202" s="79" t="str">
        <f aca="false">IF(L202="Tidak dibuka","–",IF(F202="","(tanpa age group)",F202)&amp;"  "&amp;IF(H202="","?",H202)&amp;"/"&amp;IF(G202="","?",G202)&amp;CHAR(10)&amp;IF(K202="","coach: –","coach: "&amp;K202))</f>
        <v>Little  2/0
coach: Surya</v>
      </c>
    </row>
    <row r="203" customFormat="false" ht="22.35" hidden="false" customHeight="false" outlineLevel="0" collapsed="false">
      <c r="A203" s="76" t="str">
        <f aca="false">B203&amp;"|"&amp;C203&amp;"|"&amp;D203&amp;"|"&amp;E203</f>
        <v>KLM|3|Rabu|15:30</v>
      </c>
      <c r="B203" s="76" t="s">
        <v>61</v>
      </c>
      <c r="C203" s="76" t="n">
        <v>3</v>
      </c>
      <c r="D203" s="76" t="s">
        <v>92</v>
      </c>
      <c r="E203" s="76" t="s">
        <v>119</v>
      </c>
      <c r="F203" s="77" t="s">
        <v>277</v>
      </c>
      <c r="G203" s="77" t="n">
        <v>4</v>
      </c>
      <c r="H203" s="77" t="n">
        <v>4</v>
      </c>
      <c r="I203" s="76" t="n">
        <f aca="false">IF(AND(ISNUMBER(G203),ISNUMBER(H203)),MAX(G203-H203,0),"")</f>
        <v>0</v>
      </c>
      <c r="J203" s="78" t="n">
        <f aca="false">IF(AND(ISNUMBER(G203),ISNUMBER(H203)),IF(G203&gt;0,H203/G203,""),"")</f>
        <v>1</v>
      </c>
      <c r="K203" s="77" t="s">
        <v>198</v>
      </c>
      <c r="L203" s="76" t="str">
        <f aca="false">IF(OR(G203="",H203=""),"Data tidak lengkap",IF(AND(G203=0,H203=0),IF(AND(F203="",K203=""),"Tidak dibuka","Tutup"),IF(H203&gt;G203,"Lebih kapasitas",IF(H203=G203,"Penuh",IF(H203=0,IF(F203="","Slot kosong","Belum terisi"),"Sebagian")))))</f>
        <v>Penuh</v>
      </c>
      <c r="M203" s="79" t="str">
        <f aca="false">IF(L203="Tidak dibuka","–",IF(F203="","(tanpa age group)",F203)&amp;"  "&amp;IF(H203="","?",H203)&amp;"/"&amp;IF(G203="","?",G203)&amp;CHAR(10)&amp;IF(K203="","coach: –","coach: "&amp;K203))</f>
        <v>Little  4/4
coach: Surya</v>
      </c>
    </row>
    <row r="204" customFormat="false" ht="22.35" hidden="false" customHeight="false" outlineLevel="0" collapsed="false">
      <c r="A204" s="76" t="str">
        <f aca="false">B204&amp;"|"&amp;C204&amp;"|"&amp;D204&amp;"|"&amp;E204</f>
        <v>KLM|3|Rabu|16:15</v>
      </c>
      <c r="B204" s="76" t="s">
        <v>61</v>
      </c>
      <c r="C204" s="76" t="n">
        <v>3</v>
      </c>
      <c r="D204" s="76" t="s">
        <v>92</v>
      </c>
      <c r="E204" s="76" t="s">
        <v>120</v>
      </c>
      <c r="F204" s="77" t="s">
        <v>277</v>
      </c>
      <c r="G204" s="77" t="n">
        <v>4</v>
      </c>
      <c r="H204" s="77" t="n">
        <v>3</v>
      </c>
      <c r="I204" s="76" t="n">
        <f aca="false">IF(AND(ISNUMBER(G204),ISNUMBER(H204)),MAX(G204-H204,0),"")</f>
        <v>1</v>
      </c>
      <c r="J204" s="78" t="n">
        <f aca="false">IF(AND(ISNUMBER(G204),ISNUMBER(H204)),IF(G204&gt;0,H204/G204,""),"")</f>
        <v>0.75</v>
      </c>
      <c r="K204" s="77" t="s">
        <v>195</v>
      </c>
      <c r="L204" s="76" t="str">
        <f aca="false">IF(OR(G204="",H204=""),"Data tidak lengkap",IF(AND(G204=0,H204=0),IF(AND(F204="",K204=""),"Tidak dibuka","Tutup"),IF(H204&gt;G204,"Lebih kapasitas",IF(H204=G204,"Penuh",IF(H204=0,IF(F204="","Slot kosong","Belum terisi"),"Sebagian")))))</f>
        <v>Sebagian</v>
      </c>
      <c r="M204" s="79" t="str">
        <f aca="false">IF(L204="Tidak dibuka","–",IF(F204="","(tanpa age group)",F204)&amp;"  "&amp;IF(H204="","?",H204)&amp;"/"&amp;IF(G204="","?",G204)&amp;CHAR(10)&amp;IF(K204="","coach: –","coach: "&amp;K204))</f>
        <v>Little  3/4
coach: Eka</v>
      </c>
    </row>
    <row r="205" customFormat="false" ht="22.35" hidden="false" customHeight="false" outlineLevel="0" collapsed="false">
      <c r="A205" s="76" t="str">
        <f aca="false">B205&amp;"|"&amp;C205&amp;"|"&amp;D205&amp;"|"&amp;E205</f>
        <v>KLM|3|Rabu|17:00</v>
      </c>
      <c r="B205" s="76" t="s">
        <v>61</v>
      </c>
      <c r="C205" s="76" t="n">
        <v>3</v>
      </c>
      <c r="D205" s="76" t="s">
        <v>92</v>
      </c>
      <c r="E205" s="76" t="s">
        <v>121</v>
      </c>
      <c r="F205" s="77" t="s">
        <v>277</v>
      </c>
      <c r="G205" s="77" t="n">
        <v>4</v>
      </c>
      <c r="H205" s="77" t="n">
        <v>4</v>
      </c>
      <c r="I205" s="76" t="n">
        <f aca="false">IF(AND(ISNUMBER(G205),ISNUMBER(H205)),MAX(G205-H205,0),"")</f>
        <v>0</v>
      </c>
      <c r="J205" s="78" t="n">
        <f aca="false">IF(AND(ISNUMBER(G205),ISNUMBER(H205)),IF(G205&gt;0,H205/G205,""),"")</f>
        <v>1</v>
      </c>
      <c r="K205" s="77" t="s">
        <v>198</v>
      </c>
      <c r="L205" s="76" t="str">
        <f aca="false">IF(OR(G205="",H205=""),"Data tidak lengkap",IF(AND(G205=0,H205=0),IF(AND(F205="",K205=""),"Tidak dibuka","Tutup"),IF(H205&gt;G205,"Lebih kapasitas",IF(H205=G205,"Penuh",IF(H205=0,IF(F205="","Slot kosong","Belum terisi"),"Sebagian")))))</f>
        <v>Penuh</v>
      </c>
      <c r="M205" s="79" t="str">
        <f aca="false">IF(L205="Tidak dibuka","–",IF(F205="","(tanpa age group)",F205)&amp;"  "&amp;IF(H205="","?",H205)&amp;"/"&amp;IF(G205="","?",G205)&amp;CHAR(10)&amp;IF(K205="","coach: –","coach: "&amp;K205))</f>
        <v>Little  4/4
coach: Surya</v>
      </c>
    </row>
    <row r="206" customFormat="false" ht="22.35" hidden="false" customHeight="false" outlineLevel="0" collapsed="false">
      <c r="A206" s="76" t="str">
        <f aca="false">B206&amp;"|"&amp;C206&amp;"|"&amp;D206&amp;"|"&amp;E206</f>
        <v>KLM|3|Kamis|08:00</v>
      </c>
      <c r="B206" s="76" t="s">
        <v>61</v>
      </c>
      <c r="C206" s="76" t="n">
        <v>3</v>
      </c>
      <c r="D206" s="76" t="s">
        <v>93</v>
      </c>
      <c r="E206" s="76" t="s">
        <v>110</v>
      </c>
      <c r="F206" s="77" t="s">
        <v>277</v>
      </c>
      <c r="G206" s="77" t="n">
        <v>0</v>
      </c>
      <c r="H206" s="77" t="n">
        <v>0</v>
      </c>
      <c r="I206" s="76" t="n">
        <f aca="false">IF(AND(ISNUMBER(G206),ISNUMBER(H206)),MAX(G206-H206,0),"")</f>
        <v>0</v>
      </c>
      <c r="J206" s="78" t="str">
        <f aca="false">IF(AND(ISNUMBER(G206),ISNUMBER(H206)),IF(G206&gt;0,H206/G206,""),"")</f>
        <v/>
      </c>
      <c r="K206" s="77"/>
      <c r="L206" s="76" t="str">
        <f aca="false">IF(OR(G206="",H206=""),"Data tidak lengkap",IF(AND(G206=0,H206=0),IF(AND(F206="",K206=""),"Tidak dibuka","Tutup"),IF(H206&gt;G206,"Lebih kapasitas",IF(H206=G206,"Penuh",IF(H206=0,IF(F206="","Slot kosong","Belum terisi"),"Sebagian")))))</f>
        <v>Tutup</v>
      </c>
      <c r="M206" s="79" t="str">
        <f aca="false">IF(L206="Tidak dibuka","–",IF(F206="","(tanpa age group)",F206)&amp;"  "&amp;IF(H206="","?",H206)&amp;"/"&amp;IF(G206="","?",G206)&amp;CHAR(10)&amp;IF(K206="","coach: –","coach: "&amp;K206))</f>
        <v>Little  0/0
coach: –</v>
      </c>
    </row>
    <row r="207" customFormat="false" ht="22.35" hidden="false" customHeight="false" outlineLevel="0" collapsed="false">
      <c r="A207" s="76" t="str">
        <f aca="false">B207&amp;"|"&amp;C207&amp;"|"&amp;D207&amp;"|"&amp;E207</f>
        <v>KLM|3|Kamis|08:45</v>
      </c>
      <c r="B207" s="76" t="s">
        <v>61</v>
      </c>
      <c r="C207" s="76" t="n">
        <v>3</v>
      </c>
      <c r="D207" s="76" t="s">
        <v>93</v>
      </c>
      <c r="E207" s="76" t="s">
        <v>111</v>
      </c>
      <c r="F207" s="77" t="s">
        <v>277</v>
      </c>
      <c r="G207" s="77" t="n">
        <v>4</v>
      </c>
      <c r="H207" s="77" t="n">
        <v>4</v>
      </c>
      <c r="I207" s="76" t="n">
        <f aca="false">IF(AND(ISNUMBER(G207),ISNUMBER(H207)),MAX(G207-H207,0),"")</f>
        <v>0</v>
      </c>
      <c r="J207" s="78" t="n">
        <f aca="false">IF(AND(ISNUMBER(G207),ISNUMBER(H207)),IF(G207&gt;0,H207/G207,""),"")</f>
        <v>1</v>
      </c>
      <c r="K207" s="77" t="s">
        <v>198</v>
      </c>
      <c r="L207" s="76" t="str">
        <f aca="false">IF(OR(G207="",H207=""),"Data tidak lengkap",IF(AND(G207=0,H207=0),IF(AND(F207="",K207=""),"Tidak dibuka","Tutup"),IF(H207&gt;G207,"Lebih kapasitas",IF(H207=G207,"Penuh",IF(H207=0,IF(F207="","Slot kosong","Belum terisi"),"Sebagian")))))</f>
        <v>Penuh</v>
      </c>
      <c r="M207" s="79" t="str">
        <f aca="false">IF(L207="Tidak dibuka","–",IF(F207="","(tanpa age group)",F207)&amp;"  "&amp;IF(H207="","?",H207)&amp;"/"&amp;IF(G207="","?",G207)&amp;CHAR(10)&amp;IF(K207="","coach: –","coach: "&amp;K207))</f>
        <v>Little  4/4
coach: Surya</v>
      </c>
    </row>
    <row r="208" customFormat="false" ht="22.35" hidden="false" customHeight="false" outlineLevel="0" collapsed="false">
      <c r="A208" s="76" t="str">
        <f aca="false">B208&amp;"|"&amp;C208&amp;"|"&amp;D208&amp;"|"&amp;E208</f>
        <v>KLM|3|Kamis|09:30</v>
      </c>
      <c r="B208" s="76" t="s">
        <v>61</v>
      </c>
      <c r="C208" s="76" t="n">
        <v>3</v>
      </c>
      <c r="D208" s="76" t="s">
        <v>93</v>
      </c>
      <c r="E208" s="76" t="s">
        <v>112</v>
      </c>
      <c r="F208" s="77" t="s">
        <v>277</v>
      </c>
      <c r="G208" s="77" t="n">
        <v>4</v>
      </c>
      <c r="H208" s="77" t="n">
        <v>4</v>
      </c>
      <c r="I208" s="76" t="n">
        <f aca="false">IF(AND(ISNUMBER(G208),ISNUMBER(H208)),MAX(G208-H208,0),"")</f>
        <v>0</v>
      </c>
      <c r="J208" s="78" t="n">
        <f aca="false">IF(AND(ISNUMBER(G208),ISNUMBER(H208)),IF(G208&gt;0,H208/G208,""),"")</f>
        <v>1</v>
      </c>
      <c r="K208" s="77" t="s">
        <v>202</v>
      </c>
      <c r="L208" s="76" t="str">
        <f aca="false">IF(OR(G208="",H208=""),"Data tidak lengkap",IF(AND(G208=0,H208=0),IF(AND(F208="",K208=""),"Tidak dibuka","Tutup"),IF(H208&gt;G208,"Lebih kapasitas",IF(H208=G208,"Penuh",IF(H208=0,IF(F208="","Slot kosong","Belum terisi"),"Sebagian")))))</f>
        <v>Penuh</v>
      </c>
      <c r="M208" s="79" t="str">
        <f aca="false">IF(L208="Tidak dibuka","–",IF(F208="","(tanpa age group)",F208)&amp;"  "&amp;IF(H208="","?",H208)&amp;"/"&amp;IF(G208="","?",G208)&amp;CHAR(10)&amp;IF(K208="","coach: –","coach: "&amp;K208))</f>
        <v>Little  4/4
coach: Daffa</v>
      </c>
    </row>
    <row r="209" customFormat="false" ht="22.35" hidden="false" customHeight="false" outlineLevel="0" collapsed="false">
      <c r="A209" s="76" t="str">
        <f aca="false">B209&amp;"|"&amp;C209&amp;"|"&amp;D209&amp;"|"&amp;E209</f>
        <v>KLM|3|Kamis|10:15</v>
      </c>
      <c r="B209" s="76" t="s">
        <v>61</v>
      </c>
      <c r="C209" s="76" t="n">
        <v>3</v>
      </c>
      <c r="D209" s="76" t="s">
        <v>93</v>
      </c>
      <c r="E209" s="76" t="s">
        <v>113</v>
      </c>
      <c r="F209" s="77" t="s">
        <v>277</v>
      </c>
      <c r="G209" s="77" t="n">
        <v>4</v>
      </c>
      <c r="H209" s="77" t="n">
        <v>3</v>
      </c>
      <c r="I209" s="76" t="n">
        <f aca="false">IF(AND(ISNUMBER(G209),ISNUMBER(H209)),MAX(G209-H209,0),"")</f>
        <v>1</v>
      </c>
      <c r="J209" s="78" t="n">
        <f aca="false">IF(AND(ISNUMBER(G209),ISNUMBER(H209)),IF(G209&gt;0,H209/G209,""),"")</f>
        <v>0.75</v>
      </c>
      <c r="K209" s="77" t="s">
        <v>195</v>
      </c>
      <c r="L209" s="76" t="str">
        <f aca="false">IF(OR(G209="",H209=""),"Data tidak lengkap",IF(AND(G209=0,H209=0),IF(AND(F209="",K209=""),"Tidak dibuka","Tutup"),IF(H209&gt;G209,"Lebih kapasitas",IF(H209=G209,"Penuh",IF(H209=0,IF(F209="","Slot kosong","Belum terisi"),"Sebagian")))))</f>
        <v>Sebagian</v>
      </c>
      <c r="M209" s="79" t="str">
        <f aca="false">IF(L209="Tidak dibuka","–",IF(F209="","(tanpa age group)",F209)&amp;"  "&amp;IF(H209="","?",H209)&amp;"/"&amp;IF(G209="","?",G209)&amp;CHAR(10)&amp;IF(K209="","coach: –","coach: "&amp;K209))</f>
        <v>Little  3/4
coach: Eka</v>
      </c>
    </row>
    <row r="210" customFormat="false" ht="22.35" hidden="false" customHeight="false" outlineLevel="0" collapsed="false">
      <c r="A210" s="76" t="str">
        <f aca="false">B210&amp;"|"&amp;C210&amp;"|"&amp;D210&amp;"|"&amp;E210</f>
        <v>KLM|3|Kamis|11:00</v>
      </c>
      <c r="B210" s="76" t="s">
        <v>61</v>
      </c>
      <c r="C210" s="76" t="n">
        <v>3</v>
      </c>
      <c r="D210" s="76" t="s">
        <v>93</v>
      </c>
      <c r="E210" s="76" t="s">
        <v>114</v>
      </c>
      <c r="F210" s="77" t="s">
        <v>277</v>
      </c>
      <c r="G210" s="77" t="n">
        <v>4</v>
      </c>
      <c r="H210" s="77" t="n">
        <v>3</v>
      </c>
      <c r="I210" s="76" t="n">
        <f aca="false">IF(AND(ISNUMBER(G210),ISNUMBER(H210)),MAX(G210-H210,0),"")</f>
        <v>1</v>
      </c>
      <c r="J210" s="78" t="n">
        <f aca="false">IF(AND(ISNUMBER(G210),ISNUMBER(H210)),IF(G210&gt;0,H210/G210,""),"")</f>
        <v>0.75</v>
      </c>
      <c r="K210" s="77" t="s">
        <v>198</v>
      </c>
      <c r="L210" s="76" t="str">
        <f aca="false">IF(OR(G210="",H210=""),"Data tidak lengkap",IF(AND(G210=0,H210=0),IF(AND(F210="",K210=""),"Tidak dibuka","Tutup"),IF(H210&gt;G210,"Lebih kapasitas",IF(H210=G210,"Penuh",IF(H210=0,IF(F210="","Slot kosong","Belum terisi"),"Sebagian")))))</f>
        <v>Sebagian</v>
      </c>
      <c r="M210" s="79" t="str">
        <f aca="false">IF(L210="Tidak dibuka","–",IF(F210="","(tanpa age group)",F210)&amp;"  "&amp;IF(H210="","?",H210)&amp;"/"&amp;IF(G210="","?",G210)&amp;CHAR(10)&amp;IF(K210="","coach: –","coach: "&amp;K210))</f>
        <v>Little  3/4
coach: Surya</v>
      </c>
    </row>
    <row r="211" customFormat="false" ht="22.35" hidden="false" customHeight="false" outlineLevel="0" collapsed="false">
      <c r="A211" s="76" t="str">
        <f aca="false">B211&amp;"|"&amp;C211&amp;"|"&amp;D211&amp;"|"&amp;E211</f>
        <v>KLM|3|Kamis|11:45</v>
      </c>
      <c r="B211" s="76" t="s">
        <v>61</v>
      </c>
      <c r="C211" s="76" t="n">
        <v>3</v>
      </c>
      <c r="D211" s="76" t="s">
        <v>93</v>
      </c>
      <c r="E211" s="76" t="s">
        <v>115</v>
      </c>
      <c r="F211" s="77" t="s">
        <v>277</v>
      </c>
      <c r="G211" s="77" t="n">
        <v>0</v>
      </c>
      <c r="H211" s="77" t="n">
        <v>0</v>
      </c>
      <c r="I211" s="76" t="n">
        <f aca="false">IF(AND(ISNUMBER(G211),ISNUMBER(H211)),MAX(G211-H211,0),"")</f>
        <v>0</v>
      </c>
      <c r="J211" s="78" t="str">
        <f aca="false">IF(AND(ISNUMBER(G211),ISNUMBER(H211)),IF(G211&gt;0,H211/G211,""),"")</f>
        <v/>
      </c>
      <c r="K211" s="77"/>
      <c r="L211" s="76" t="str">
        <f aca="false">IF(OR(G211="",H211=""),"Data tidak lengkap",IF(AND(G211=0,H211=0),IF(AND(F211="",K211=""),"Tidak dibuka","Tutup"),IF(H211&gt;G211,"Lebih kapasitas",IF(H211=G211,"Penuh",IF(H211=0,IF(F211="","Slot kosong","Belum terisi"),"Sebagian")))))</f>
        <v>Tutup</v>
      </c>
      <c r="M211" s="79" t="str">
        <f aca="false">IF(L211="Tidak dibuka","–",IF(F211="","(tanpa age group)",F211)&amp;"  "&amp;IF(H211="","?",H211)&amp;"/"&amp;IF(G211="","?",G211)&amp;CHAR(10)&amp;IF(K211="","coach: –","coach: "&amp;K211))</f>
        <v>Little  0/0
coach: –</v>
      </c>
    </row>
    <row r="212" customFormat="false" ht="22.35" hidden="false" customHeight="false" outlineLevel="0" collapsed="false">
      <c r="A212" s="76" t="str">
        <f aca="false">B212&amp;"|"&amp;C212&amp;"|"&amp;D212&amp;"|"&amp;E212</f>
        <v>KLM|3|Kamis|13:15</v>
      </c>
      <c r="B212" s="76" t="s">
        <v>61</v>
      </c>
      <c r="C212" s="76" t="n">
        <v>3</v>
      </c>
      <c r="D212" s="76" t="s">
        <v>93</v>
      </c>
      <c r="E212" s="76" t="s">
        <v>116</v>
      </c>
      <c r="F212" s="77" t="s">
        <v>277</v>
      </c>
      <c r="G212" s="77" t="n">
        <v>4</v>
      </c>
      <c r="H212" s="77" t="n">
        <v>3</v>
      </c>
      <c r="I212" s="76" t="n">
        <f aca="false">IF(AND(ISNUMBER(G212),ISNUMBER(H212)),MAX(G212-H212,0),"")</f>
        <v>1</v>
      </c>
      <c r="J212" s="78" t="n">
        <f aca="false">IF(AND(ISNUMBER(G212),ISNUMBER(H212)),IF(G212&gt;0,H212/G212,""),"")</f>
        <v>0.75</v>
      </c>
      <c r="K212" s="77" t="s">
        <v>202</v>
      </c>
      <c r="L212" s="76" t="str">
        <f aca="false">IF(OR(G212="",H212=""),"Data tidak lengkap",IF(AND(G212=0,H212=0),IF(AND(F212="",K212=""),"Tidak dibuka","Tutup"),IF(H212&gt;G212,"Lebih kapasitas",IF(H212=G212,"Penuh",IF(H212=0,IF(F212="","Slot kosong","Belum terisi"),"Sebagian")))))</f>
        <v>Sebagian</v>
      </c>
      <c r="M212" s="79" t="str">
        <f aca="false">IF(L212="Tidak dibuka","–",IF(F212="","(tanpa age group)",F212)&amp;"  "&amp;IF(H212="","?",H212)&amp;"/"&amp;IF(G212="","?",G212)&amp;CHAR(10)&amp;IF(K212="","coach: –","coach: "&amp;K212))</f>
        <v>Little  3/4
coach: Daffa</v>
      </c>
    </row>
    <row r="213" customFormat="false" ht="22.35" hidden="false" customHeight="false" outlineLevel="0" collapsed="false">
      <c r="A213" s="76" t="str">
        <f aca="false">B213&amp;"|"&amp;C213&amp;"|"&amp;D213&amp;"|"&amp;E213</f>
        <v>KLM|3|Kamis|14:00</v>
      </c>
      <c r="B213" s="76" t="s">
        <v>61</v>
      </c>
      <c r="C213" s="76" t="n">
        <v>3</v>
      </c>
      <c r="D213" s="76" t="s">
        <v>93</v>
      </c>
      <c r="E213" s="76" t="s">
        <v>117</v>
      </c>
      <c r="F213" s="77" t="s">
        <v>277</v>
      </c>
      <c r="G213" s="77" t="n">
        <v>4</v>
      </c>
      <c r="H213" s="77" t="n">
        <v>4</v>
      </c>
      <c r="I213" s="76" t="n">
        <f aca="false">IF(AND(ISNUMBER(G213),ISNUMBER(H213)),MAX(G213-H213,0),"")</f>
        <v>0</v>
      </c>
      <c r="J213" s="78" t="n">
        <f aca="false">IF(AND(ISNUMBER(G213),ISNUMBER(H213)),IF(G213&gt;0,H213/G213,""),"")</f>
        <v>1</v>
      </c>
      <c r="K213" s="77" t="s">
        <v>201</v>
      </c>
      <c r="L213" s="76" t="str">
        <f aca="false">IF(OR(G213="",H213=""),"Data tidak lengkap",IF(AND(G213=0,H213=0),IF(AND(F213="",K213=""),"Tidak dibuka","Tutup"),IF(H213&gt;G213,"Lebih kapasitas",IF(H213=G213,"Penuh",IF(H213=0,IF(F213="","Slot kosong","Belum terisi"),"Sebagian")))))</f>
        <v>Penuh</v>
      </c>
      <c r="M213" s="79" t="str">
        <f aca="false">IF(L213="Tidak dibuka","–",IF(F213="","(tanpa age group)",F213)&amp;"  "&amp;IF(H213="","?",H213)&amp;"/"&amp;IF(G213="","?",G213)&amp;CHAR(10)&amp;IF(K213="","coach: –","coach: "&amp;K213))</f>
        <v>Little  4/4
coach: Nuky</v>
      </c>
    </row>
    <row r="214" customFormat="false" ht="22.35" hidden="false" customHeight="false" outlineLevel="0" collapsed="false">
      <c r="A214" s="76" t="str">
        <f aca="false">B214&amp;"|"&amp;C214&amp;"|"&amp;D214&amp;"|"&amp;E214</f>
        <v>KLM|3|Kamis|14:45</v>
      </c>
      <c r="B214" s="76" t="s">
        <v>61</v>
      </c>
      <c r="C214" s="76" t="n">
        <v>3</v>
      </c>
      <c r="D214" s="76" t="s">
        <v>93</v>
      </c>
      <c r="E214" s="76" t="s">
        <v>118</v>
      </c>
      <c r="F214" s="77" t="s">
        <v>277</v>
      </c>
      <c r="G214" s="77" t="n">
        <v>0</v>
      </c>
      <c r="H214" s="77" t="n">
        <v>0</v>
      </c>
      <c r="I214" s="76" t="n">
        <f aca="false">IF(AND(ISNUMBER(G214),ISNUMBER(H214)),MAX(G214-H214,0),"")</f>
        <v>0</v>
      </c>
      <c r="J214" s="78" t="str">
        <f aca="false">IF(AND(ISNUMBER(G214),ISNUMBER(H214)),IF(G214&gt;0,H214/G214,""),"")</f>
        <v/>
      </c>
      <c r="K214" s="77"/>
      <c r="L214" s="76" t="str">
        <f aca="false">IF(OR(G214="",H214=""),"Data tidak lengkap",IF(AND(G214=0,H214=0),IF(AND(F214="",K214=""),"Tidak dibuka","Tutup"),IF(H214&gt;G214,"Lebih kapasitas",IF(H214=G214,"Penuh",IF(H214=0,IF(F214="","Slot kosong","Belum terisi"),"Sebagian")))))</f>
        <v>Tutup</v>
      </c>
      <c r="M214" s="79" t="str">
        <f aca="false">IF(L214="Tidak dibuka","–",IF(F214="","(tanpa age group)",F214)&amp;"  "&amp;IF(H214="","?",H214)&amp;"/"&amp;IF(G214="","?",G214)&amp;CHAR(10)&amp;IF(K214="","coach: –","coach: "&amp;K214))</f>
        <v>Little  0/0
coach: –</v>
      </c>
    </row>
    <row r="215" customFormat="false" ht="22.35" hidden="false" customHeight="false" outlineLevel="0" collapsed="false">
      <c r="A215" s="76" t="str">
        <f aca="false">B215&amp;"|"&amp;C215&amp;"|"&amp;D215&amp;"|"&amp;E215</f>
        <v>KLM|3|Kamis|15:30</v>
      </c>
      <c r="B215" s="76" t="s">
        <v>61</v>
      </c>
      <c r="C215" s="76" t="n">
        <v>3</v>
      </c>
      <c r="D215" s="76" t="s">
        <v>93</v>
      </c>
      <c r="E215" s="76" t="s">
        <v>119</v>
      </c>
      <c r="F215" s="77" t="s">
        <v>277</v>
      </c>
      <c r="G215" s="77" t="n">
        <v>4</v>
      </c>
      <c r="H215" s="77" t="n">
        <v>4</v>
      </c>
      <c r="I215" s="76" t="n">
        <f aca="false">IF(AND(ISNUMBER(G215),ISNUMBER(H215)),MAX(G215-H215,0),"")</f>
        <v>0</v>
      </c>
      <c r="J215" s="78" t="n">
        <f aca="false">IF(AND(ISNUMBER(G215),ISNUMBER(H215)),IF(G215&gt;0,H215/G215,""),"")</f>
        <v>1</v>
      </c>
      <c r="K215" s="77" t="s">
        <v>198</v>
      </c>
      <c r="L215" s="76" t="str">
        <f aca="false">IF(OR(G215="",H215=""),"Data tidak lengkap",IF(AND(G215=0,H215=0),IF(AND(F215="",K215=""),"Tidak dibuka","Tutup"),IF(H215&gt;G215,"Lebih kapasitas",IF(H215=G215,"Penuh",IF(H215=0,IF(F215="","Slot kosong","Belum terisi"),"Sebagian")))))</f>
        <v>Penuh</v>
      </c>
      <c r="M215" s="79" t="str">
        <f aca="false">IF(L215="Tidak dibuka","–",IF(F215="","(tanpa age group)",F215)&amp;"  "&amp;IF(H215="","?",H215)&amp;"/"&amp;IF(G215="","?",G215)&amp;CHAR(10)&amp;IF(K215="","coach: –","coach: "&amp;K215))</f>
        <v>Little  4/4
coach: Surya</v>
      </c>
    </row>
    <row r="216" customFormat="false" ht="22.35" hidden="false" customHeight="false" outlineLevel="0" collapsed="false">
      <c r="A216" s="76" t="str">
        <f aca="false">B216&amp;"|"&amp;C216&amp;"|"&amp;D216&amp;"|"&amp;E216</f>
        <v>KLM|3|Kamis|16:15</v>
      </c>
      <c r="B216" s="76" t="s">
        <v>61</v>
      </c>
      <c r="C216" s="76" t="n">
        <v>3</v>
      </c>
      <c r="D216" s="76" t="s">
        <v>93</v>
      </c>
      <c r="E216" s="76" t="s">
        <v>120</v>
      </c>
      <c r="F216" s="77" t="s">
        <v>277</v>
      </c>
      <c r="G216" s="77" t="n">
        <v>4</v>
      </c>
      <c r="H216" s="77" t="n">
        <v>4</v>
      </c>
      <c r="I216" s="76" t="n">
        <f aca="false">IF(AND(ISNUMBER(G216),ISNUMBER(H216)),MAX(G216-H216,0),"")</f>
        <v>0</v>
      </c>
      <c r="J216" s="78" t="n">
        <f aca="false">IF(AND(ISNUMBER(G216),ISNUMBER(H216)),IF(G216&gt;0,H216/G216,""),"")</f>
        <v>1</v>
      </c>
      <c r="K216" s="77" t="s">
        <v>198</v>
      </c>
      <c r="L216" s="76" t="str">
        <f aca="false">IF(OR(G216="",H216=""),"Data tidak lengkap",IF(AND(G216=0,H216=0),IF(AND(F216="",K216=""),"Tidak dibuka","Tutup"),IF(H216&gt;G216,"Lebih kapasitas",IF(H216=G216,"Penuh",IF(H216=0,IF(F216="","Slot kosong","Belum terisi"),"Sebagian")))))</f>
        <v>Penuh</v>
      </c>
      <c r="M216" s="79" t="str">
        <f aca="false">IF(L216="Tidak dibuka","–",IF(F216="","(tanpa age group)",F216)&amp;"  "&amp;IF(H216="","?",H216)&amp;"/"&amp;IF(G216="","?",G216)&amp;CHAR(10)&amp;IF(K216="","coach: –","coach: "&amp;K216))</f>
        <v>Little  4/4
coach: Surya</v>
      </c>
    </row>
    <row r="217" customFormat="false" ht="22.35" hidden="false" customHeight="false" outlineLevel="0" collapsed="false">
      <c r="A217" s="76" t="str">
        <f aca="false">B217&amp;"|"&amp;C217&amp;"|"&amp;D217&amp;"|"&amp;E217</f>
        <v>KLM|3|Kamis|17:00</v>
      </c>
      <c r="B217" s="76" t="s">
        <v>61</v>
      </c>
      <c r="C217" s="76" t="n">
        <v>3</v>
      </c>
      <c r="D217" s="76" t="s">
        <v>93</v>
      </c>
      <c r="E217" s="76" t="s">
        <v>121</v>
      </c>
      <c r="F217" s="77" t="s">
        <v>277</v>
      </c>
      <c r="G217" s="77" t="n">
        <v>4</v>
      </c>
      <c r="H217" s="77" t="n">
        <v>4</v>
      </c>
      <c r="I217" s="76" t="n">
        <f aca="false">IF(AND(ISNUMBER(G217),ISNUMBER(H217)),MAX(G217-H217,0),"")</f>
        <v>0</v>
      </c>
      <c r="J217" s="78" t="n">
        <f aca="false">IF(AND(ISNUMBER(G217),ISNUMBER(H217)),IF(G217&gt;0,H217/G217,""),"")</f>
        <v>1</v>
      </c>
      <c r="K217" s="77" t="s">
        <v>201</v>
      </c>
      <c r="L217" s="76" t="str">
        <f aca="false">IF(OR(G217="",H217=""),"Data tidak lengkap",IF(AND(G217=0,H217=0),IF(AND(F217="",K217=""),"Tidak dibuka","Tutup"),IF(H217&gt;G217,"Lebih kapasitas",IF(H217=G217,"Penuh",IF(H217=0,IF(F217="","Slot kosong","Belum terisi"),"Sebagian")))))</f>
        <v>Penuh</v>
      </c>
      <c r="M217" s="79" t="str">
        <f aca="false">IF(L217="Tidak dibuka","–",IF(F217="","(tanpa age group)",F217)&amp;"  "&amp;IF(H217="","?",H217)&amp;"/"&amp;IF(G217="","?",G217)&amp;CHAR(10)&amp;IF(K217="","coach: –","coach: "&amp;K217))</f>
        <v>Little  4/4
coach: Nuky</v>
      </c>
    </row>
    <row r="218" customFormat="false" ht="22.35" hidden="false" customHeight="false" outlineLevel="0" collapsed="false">
      <c r="A218" s="76" t="str">
        <f aca="false">B218&amp;"|"&amp;C218&amp;"|"&amp;D218&amp;"|"&amp;E218</f>
        <v>KLM|3|Jumat|08:00</v>
      </c>
      <c r="B218" s="76" t="s">
        <v>61</v>
      </c>
      <c r="C218" s="76" t="n">
        <v>3</v>
      </c>
      <c r="D218" s="76" t="s">
        <v>94</v>
      </c>
      <c r="E218" s="76" t="s">
        <v>110</v>
      </c>
      <c r="F218" s="77" t="s">
        <v>277</v>
      </c>
      <c r="G218" s="77" t="n">
        <v>0</v>
      </c>
      <c r="H218" s="77" t="n">
        <v>0</v>
      </c>
      <c r="I218" s="76" t="n">
        <f aca="false">IF(AND(ISNUMBER(G218),ISNUMBER(H218)),MAX(G218-H218,0),"")</f>
        <v>0</v>
      </c>
      <c r="J218" s="78" t="str">
        <f aca="false">IF(AND(ISNUMBER(G218),ISNUMBER(H218)),IF(G218&gt;0,H218/G218,""),"")</f>
        <v/>
      </c>
      <c r="K218" s="77"/>
      <c r="L218" s="76" t="str">
        <f aca="false">IF(OR(G218="",H218=""),"Data tidak lengkap",IF(AND(G218=0,H218=0),IF(AND(F218="",K218=""),"Tidak dibuka","Tutup"),IF(H218&gt;G218,"Lebih kapasitas",IF(H218=G218,"Penuh",IF(H218=0,IF(F218="","Slot kosong","Belum terisi"),"Sebagian")))))</f>
        <v>Tutup</v>
      </c>
      <c r="M218" s="79" t="str">
        <f aca="false">IF(L218="Tidak dibuka","–",IF(F218="","(tanpa age group)",F218)&amp;"  "&amp;IF(H218="","?",H218)&amp;"/"&amp;IF(G218="","?",G218)&amp;CHAR(10)&amp;IF(K218="","coach: –","coach: "&amp;K218))</f>
        <v>Little  0/0
coach: –</v>
      </c>
    </row>
    <row r="219" customFormat="false" ht="22.35" hidden="false" customHeight="false" outlineLevel="0" collapsed="false">
      <c r="A219" s="76" t="str">
        <f aca="false">B219&amp;"|"&amp;C219&amp;"|"&amp;D219&amp;"|"&amp;E219</f>
        <v>KLM|3|Jumat|08:45</v>
      </c>
      <c r="B219" s="76" t="s">
        <v>61</v>
      </c>
      <c r="C219" s="76" t="n">
        <v>3</v>
      </c>
      <c r="D219" s="76" t="s">
        <v>94</v>
      </c>
      <c r="E219" s="76" t="s">
        <v>111</v>
      </c>
      <c r="F219" s="77" t="s">
        <v>277</v>
      </c>
      <c r="G219" s="77" t="n">
        <v>4</v>
      </c>
      <c r="H219" s="77" t="n">
        <v>0</v>
      </c>
      <c r="I219" s="76" t="n">
        <f aca="false">IF(AND(ISNUMBER(G219),ISNUMBER(H219)),MAX(G219-H219,0),"")</f>
        <v>4</v>
      </c>
      <c r="J219" s="78" t="n">
        <f aca="false">IF(AND(ISNUMBER(G219),ISNUMBER(H219)),IF(G219&gt;0,H219/G219,""),"")</f>
        <v>0</v>
      </c>
      <c r="K219" s="77"/>
      <c r="L219" s="76" t="str">
        <f aca="false">IF(OR(G219="",H219=""),"Data tidak lengkap",IF(AND(G219=0,H219=0),IF(AND(F219="",K219=""),"Tidak dibuka","Tutup"),IF(H219&gt;G219,"Lebih kapasitas",IF(H219=G219,"Penuh",IF(H219=0,IF(F219="","Slot kosong","Belum terisi"),"Sebagian")))))</f>
        <v>Belum terisi</v>
      </c>
      <c r="M219" s="79" t="str">
        <f aca="false">IF(L219="Tidak dibuka","–",IF(F219="","(tanpa age group)",F219)&amp;"  "&amp;IF(H219="","?",H219)&amp;"/"&amp;IF(G219="","?",G219)&amp;CHAR(10)&amp;IF(K219="","coach: –","coach: "&amp;K219))</f>
        <v>Little  0/4
coach: –</v>
      </c>
    </row>
    <row r="220" customFormat="false" ht="22.35" hidden="false" customHeight="false" outlineLevel="0" collapsed="false">
      <c r="A220" s="76" t="str">
        <f aca="false">B220&amp;"|"&amp;C220&amp;"|"&amp;D220&amp;"|"&amp;E220</f>
        <v>KLM|3|Jumat|09:30</v>
      </c>
      <c r="B220" s="76" t="s">
        <v>61</v>
      </c>
      <c r="C220" s="76" t="n">
        <v>3</v>
      </c>
      <c r="D220" s="76" t="s">
        <v>94</v>
      </c>
      <c r="E220" s="76" t="s">
        <v>112</v>
      </c>
      <c r="F220" s="77" t="s">
        <v>277</v>
      </c>
      <c r="G220" s="77" t="n">
        <v>4</v>
      </c>
      <c r="H220" s="77" t="n">
        <v>0</v>
      </c>
      <c r="I220" s="76" t="n">
        <f aca="false">IF(AND(ISNUMBER(G220),ISNUMBER(H220)),MAX(G220-H220,0),"")</f>
        <v>4</v>
      </c>
      <c r="J220" s="78" t="n">
        <f aca="false">IF(AND(ISNUMBER(G220),ISNUMBER(H220)),IF(G220&gt;0,H220/G220,""),"")</f>
        <v>0</v>
      </c>
      <c r="K220" s="77"/>
      <c r="L220" s="76" t="str">
        <f aca="false">IF(OR(G220="",H220=""),"Data tidak lengkap",IF(AND(G220=0,H220=0),IF(AND(F220="",K220=""),"Tidak dibuka","Tutup"),IF(H220&gt;G220,"Lebih kapasitas",IF(H220=G220,"Penuh",IF(H220=0,IF(F220="","Slot kosong","Belum terisi"),"Sebagian")))))</f>
        <v>Belum terisi</v>
      </c>
      <c r="M220" s="79" t="str">
        <f aca="false">IF(L220="Tidak dibuka","–",IF(F220="","(tanpa age group)",F220)&amp;"  "&amp;IF(H220="","?",H220)&amp;"/"&amp;IF(G220="","?",G220)&amp;CHAR(10)&amp;IF(K220="","coach: –","coach: "&amp;K220))</f>
        <v>Little  0/4
coach: –</v>
      </c>
    </row>
    <row r="221" customFormat="false" ht="22.35" hidden="false" customHeight="false" outlineLevel="0" collapsed="false">
      <c r="A221" s="76" t="str">
        <f aca="false">B221&amp;"|"&amp;C221&amp;"|"&amp;D221&amp;"|"&amp;E221</f>
        <v>KLM|3|Jumat|10:15</v>
      </c>
      <c r="B221" s="76" t="s">
        <v>61</v>
      </c>
      <c r="C221" s="76" t="n">
        <v>3</v>
      </c>
      <c r="D221" s="76" t="s">
        <v>94</v>
      </c>
      <c r="E221" s="76" t="s">
        <v>113</v>
      </c>
      <c r="F221" s="77" t="s">
        <v>277</v>
      </c>
      <c r="G221" s="77" t="n">
        <v>4</v>
      </c>
      <c r="H221" s="77" t="n">
        <v>3</v>
      </c>
      <c r="I221" s="76" t="n">
        <f aca="false">IF(AND(ISNUMBER(G221),ISNUMBER(H221)),MAX(G221-H221,0),"")</f>
        <v>1</v>
      </c>
      <c r="J221" s="78" t="n">
        <f aca="false">IF(AND(ISNUMBER(G221),ISNUMBER(H221)),IF(G221&gt;0,H221/G221,""),"")</f>
        <v>0.75</v>
      </c>
      <c r="K221" s="77" t="s">
        <v>195</v>
      </c>
      <c r="L221" s="76" t="str">
        <f aca="false">IF(OR(G221="",H221=""),"Data tidak lengkap",IF(AND(G221=0,H221=0),IF(AND(F221="",K221=""),"Tidak dibuka","Tutup"),IF(H221&gt;G221,"Lebih kapasitas",IF(H221=G221,"Penuh",IF(H221=0,IF(F221="","Slot kosong","Belum terisi"),"Sebagian")))))</f>
        <v>Sebagian</v>
      </c>
      <c r="M221" s="79" t="str">
        <f aca="false">IF(L221="Tidak dibuka","–",IF(F221="","(tanpa age group)",F221)&amp;"  "&amp;IF(H221="","?",H221)&amp;"/"&amp;IF(G221="","?",G221)&amp;CHAR(10)&amp;IF(K221="","coach: –","coach: "&amp;K221))</f>
        <v>Little  3/4
coach: Eka</v>
      </c>
    </row>
    <row r="222" customFormat="false" ht="22.35" hidden="false" customHeight="false" outlineLevel="0" collapsed="false">
      <c r="A222" s="76" t="str">
        <f aca="false">B222&amp;"|"&amp;C222&amp;"|"&amp;D222&amp;"|"&amp;E222</f>
        <v>KLM|3|Jumat|11:00</v>
      </c>
      <c r="B222" s="76" t="s">
        <v>61</v>
      </c>
      <c r="C222" s="76" t="n">
        <v>3</v>
      </c>
      <c r="D222" s="76" t="s">
        <v>94</v>
      </c>
      <c r="E222" s="76" t="s">
        <v>114</v>
      </c>
      <c r="F222" s="77" t="s">
        <v>277</v>
      </c>
      <c r="G222" s="77" t="n">
        <v>4</v>
      </c>
      <c r="H222" s="77" t="n">
        <v>2</v>
      </c>
      <c r="I222" s="76" t="n">
        <f aca="false">IF(AND(ISNUMBER(G222),ISNUMBER(H222)),MAX(G222-H222,0),"")</f>
        <v>2</v>
      </c>
      <c r="J222" s="78" t="n">
        <f aca="false">IF(AND(ISNUMBER(G222),ISNUMBER(H222)),IF(G222&gt;0,H222/G222,""),"")</f>
        <v>0.5</v>
      </c>
      <c r="K222" s="77" t="s">
        <v>197</v>
      </c>
      <c r="L222" s="76" t="str">
        <f aca="false">IF(OR(G222="",H222=""),"Data tidak lengkap",IF(AND(G222=0,H222=0),IF(AND(F222="",K222=""),"Tidak dibuka","Tutup"),IF(H222&gt;G222,"Lebih kapasitas",IF(H222=G222,"Penuh",IF(H222=0,IF(F222="","Slot kosong","Belum terisi"),"Sebagian")))))</f>
        <v>Sebagian</v>
      </c>
      <c r="M222" s="79" t="str">
        <f aca="false">IF(L222="Tidak dibuka","–",IF(F222="","(tanpa age group)",F222)&amp;"  "&amp;IF(H222="","?",H222)&amp;"/"&amp;IF(G222="","?",G222)&amp;CHAR(10)&amp;IF(K222="","coach: –","coach: "&amp;K222))</f>
        <v>Little  2/4
coach: Rischa</v>
      </c>
    </row>
    <row r="223" customFormat="false" ht="22.35" hidden="false" customHeight="false" outlineLevel="0" collapsed="false">
      <c r="A223" s="76" t="str">
        <f aca="false">B223&amp;"|"&amp;C223&amp;"|"&amp;D223&amp;"|"&amp;E223</f>
        <v>KLM|3|Jumat|11:45</v>
      </c>
      <c r="B223" s="76" t="s">
        <v>61</v>
      </c>
      <c r="C223" s="76" t="n">
        <v>3</v>
      </c>
      <c r="D223" s="76" t="s">
        <v>94</v>
      </c>
      <c r="E223" s="76" t="s">
        <v>115</v>
      </c>
      <c r="F223" s="77" t="s">
        <v>277</v>
      </c>
      <c r="G223" s="77" t="n">
        <v>4</v>
      </c>
      <c r="H223" s="77" t="n">
        <v>3</v>
      </c>
      <c r="I223" s="76" t="n">
        <f aca="false">IF(AND(ISNUMBER(G223),ISNUMBER(H223)),MAX(G223-H223,0),"")</f>
        <v>1</v>
      </c>
      <c r="J223" s="78" t="n">
        <f aca="false">IF(AND(ISNUMBER(G223),ISNUMBER(H223)),IF(G223&gt;0,H223/G223,""),"")</f>
        <v>0.75</v>
      </c>
      <c r="K223" s="77" t="s">
        <v>197</v>
      </c>
      <c r="L223" s="76" t="str">
        <f aca="false">IF(OR(G223="",H223=""),"Data tidak lengkap",IF(AND(G223=0,H223=0),IF(AND(F223="",K223=""),"Tidak dibuka","Tutup"),IF(H223&gt;G223,"Lebih kapasitas",IF(H223=G223,"Penuh",IF(H223=0,IF(F223="","Slot kosong","Belum terisi"),"Sebagian")))))</f>
        <v>Sebagian</v>
      </c>
      <c r="M223" s="79" t="str">
        <f aca="false">IF(L223="Tidak dibuka","–",IF(F223="","(tanpa age group)",F223)&amp;"  "&amp;IF(H223="","?",H223)&amp;"/"&amp;IF(G223="","?",G223)&amp;CHAR(10)&amp;IF(K223="","coach: –","coach: "&amp;K223))</f>
        <v>Little  3/4
coach: Rischa</v>
      </c>
    </row>
    <row r="224" customFormat="false" ht="22.35" hidden="false" customHeight="false" outlineLevel="0" collapsed="false">
      <c r="A224" s="76" t="str">
        <f aca="false">B224&amp;"|"&amp;C224&amp;"|"&amp;D224&amp;"|"&amp;E224</f>
        <v>KLM|3|Jumat|13:15</v>
      </c>
      <c r="B224" s="76" t="s">
        <v>61</v>
      </c>
      <c r="C224" s="76" t="n">
        <v>3</v>
      </c>
      <c r="D224" s="76" t="s">
        <v>94</v>
      </c>
      <c r="E224" s="76" t="s">
        <v>116</v>
      </c>
      <c r="F224" s="77" t="s">
        <v>277</v>
      </c>
      <c r="G224" s="77" t="n">
        <v>0</v>
      </c>
      <c r="H224" s="77" t="n">
        <v>3</v>
      </c>
      <c r="I224" s="76" t="n">
        <f aca="false">IF(AND(ISNUMBER(G224),ISNUMBER(H224)),MAX(G224-H224,0),"")</f>
        <v>0</v>
      </c>
      <c r="J224" s="78" t="str">
        <f aca="false">IF(AND(ISNUMBER(G224),ISNUMBER(H224)),IF(G224&gt;0,H224/G224,""),"")</f>
        <v/>
      </c>
      <c r="K224" s="77" t="s">
        <v>201</v>
      </c>
      <c r="L224" s="76" t="str">
        <f aca="false">IF(OR(G224="",H224=""),"Data tidak lengkap",IF(AND(G224=0,H224=0),IF(AND(F224="",K224=""),"Tidak dibuka","Tutup"),IF(H224&gt;G224,"Lebih kapasitas",IF(H224=G224,"Penuh",IF(H224=0,IF(F224="","Slot kosong","Belum terisi"),"Sebagian")))))</f>
        <v>Lebih kapasitas</v>
      </c>
      <c r="M224" s="79" t="str">
        <f aca="false">IF(L224="Tidak dibuka","–",IF(F224="","(tanpa age group)",F224)&amp;"  "&amp;IF(H224="","?",H224)&amp;"/"&amp;IF(G224="","?",G224)&amp;CHAR(10)&amp;IF(K224="","coach: –","coach: "&amp;K224))</f>
        <v>Little  3/0
coach: Nuky</v>
      </c>
    </row>
    <row r="225" customFormat="false" ht="22.35" hidden="false" customHeight="false" outlineLevel="0" collapsed="false">
      <c r="A225" s="76" t="str">
        <f aca="false">B225&amp;"|"&amp;C225&amp;"|"&amp;D225&amp;"|"&amp;E225</f>
        <v>KLM|3|Jumat|14:00</v>
      </c>
      <c r="B225" s="76" t="s">
        <v>61</v>
      </c>
      <c r="C225" s="76" t="n">
        <v>3</v>
      </c>
      <c r="D225" s="76" t="s">
        <v>94</v>
      </c>
      <c r="E225" s="76" t="s">
        <v>117</v>
      </c>
      <c r="F225" s="77" t="s">
        <v>277</v>
      </c>
      <c r="G225" s="77" t="n">
        <v>4</v>
      </c>
      <c r="H225" s="77" t="n">
        <v>2</v>
      </c>
      <c r="I225" s="76" t="n">
        <f aca="false">IF(AND(ISNUMBER(G225),ISNUMBER(H225)),MAX(G225-H225,0),"")</f>
        <v>2</v>
      </c>
      <c r="J225" s="78" t="n">
        <f aca="false">IF(AND(ISNUMBER(G225),ISNUMBER(H225)),IF(G225&gt;0,H225/G225,""),"")</f>
        <v>0.5</v>
      </c>
      <c r="K225" s="77" t="s">
        <v>204</v>
      </c>
      <c r="L225" s="76" t="str">
        <f aca="false">IF(OR(G225="",H225=""),"Data tidak lengkap",IF(AND(G225=0,H225=0),IF(AND(F225="",K225=""),"Tidak dibuka","Tutup"),IF(H225&gt;G225,"Lebih kapasitas",IF(H225=G225,"Penuh",IF(H225=0,IF(F225="","Slot kosong","Belum terisi"),"Sebagian")))))</f>
        <v>Sebagian</v>
      </c>
      <c r="M225" s="79" t="str">
        <f aca="false">IF(L225="Tidak dibuka","–",IF(F225="","(tanpa age group)",F225)&amp;"  "&amp;IF(H225="","?",H225)&amp;"/"&amp;IF(G225="","?",G225)&amp;CHAR(10)&amp;IF(K225="","coach: –","coach: "&amp;K225))</f>
        <v>Little  2/4
coach: Dian</v>
      </c>
    </row>
    <row r="226" customFormat="false" ht="22.35" hidden="false" customHeight="false" outlineLevel="0" collapsed="false">
      <c r="A226" s="76" t="str">
        <f aca="false">B226&amp;"|"&amp;C226&amp;"|"&amp;D226&amp;"|"&amp;E226</f>
        <v>KLM|3|Jumat|14:45</v>
      </c>
      <c r="B226" s="76" t="s">
        <v>61</v>
      </c>
      <c r="C226" s="76" t="n">
        <v>3</v>
      </c>
      <c r="D226" s="76" t="s">
        <v>94</v>
      </c>
      <c r="E226" s="76" t="s">
        <v>118</v>
      </c>
      <c r="F226" s="77" t="s">
        <v>277</v>
      </c>
      <c r="G226" s="77" t="n">
        <v>4</v>
      </c>
      <c r="H226" s="77" t="n">
        <v>4</v>
      </c>
      <c r="I226" s="76" t="n">
        <f aca="false">IF(AND(ISNUMBER(G226),ISNUMBER(H226)),MAX(G226-H226,0),"")</f>
        <v>0</v>
      </c>
      <c r="J226" s="78" t="n">
        <f aca="false">IF(AND(ISNUMBER(G226),ISNUMBER(H226)),IF(G226&gt;0,H226/G226,""),"")</f>
        <v>1</v>
      </c>
      <c r="K226" s="77" t="s">
        <v>198</v>
      </c>
      <c r="L226" s="76" t="str">
        <f aca="false">IF(OR(G226="",H226=""),"Data tidak lengkap",IF(AND(G226=0,H226=0),IF(AND(F226="",K226=""),"Tidak dibuka","Tutup"),IF(H226&gt;G226,"Lebih kapasitas",IF(H226=G226,"Penuh",IF(H226=0,IF(F226="","Slot kosong","Belum terisi"),"Sebagian")))))</f>
        <v>Penuh</v>
      </c>
      <c r="M226" s="79" t="str">
        <f aca="false">IF(L226="Tidak dibuka","–",IF(F226="","(tanpa age group)",F226)&amp;"  "&amp;IF(H226="","?",H226)&amp;"/"&amp;IF(G226="","?",G226)&amp;CHAR(10)&amp;IF(K226="","coach: –","coach: "&amp;K226))</f>
        <v>Little  4/4
coach: Surya</v>
      </c>
    </row>
    <row r="227" customFormat="false" ht="22.35" hidden="false" customHeight="false" outlineLevel="0" collapsed="false">
      <c r="A227" s="76" t="str">
        <f aca="false">B227&amp;"|"&amp;C227&amp;"|"&amp;D227&amp;"|"&amp;E227</f>
        <v>KLM|3|Jumat|15:30</v>
      </c>
      <c r="B227" s="76" t="s">
        <v>61</v>
      </c>
      <c r="C227" s="76" t="n">
        <v>3</v>
      </c>
      <c r="D227" s="76" t="s">
        <v>94</v>
      </c>
      <c r="E227" s="76" t="s">
        <v>119</v>
      </c>
      <c r="F227" s="77" t="s">
        <v>277</v>
      </c>
      <c r="G227" s="77" t="n">
        <v>4</v>
      </c>
      <c r="H227" s="77" t="n">
        <v>3</v>
      </c>
      <c r="I227" s="76" t="n">
        <f aca="false">IF(AND(ISNUMBER(G227),ISNUMBER(H227)),MAX(G227-H227,0),"")</f>
        <v>1</v>
      </c>
      <c r="J227" s="78" t="n">
        <f aca="false">IF(AND(ISNUMBER(G227),ISNUMBER(H227)),IF(G227&gt;0,H227/G227,""),"")</f>
        <v>0.75</v>
      </c>
      <c r="K227" s="77" t="s">
        <v>195</v>
      </c>
      <c r="L227" s="76" t="str">
        <f aca="false">IF(OR(G227="",H227=""),"Data tidak lengkap",IF(AND(G227=0,H227=0),IF(AND(F227="",K227=""),"Tidak dibuka","Tutup"),IF(H227&gt;G227,"Lebih kapasitas",IF(H227=G227,"Penuh",IF(H227=0,IF(F227="","Slot kosong","Belum terisi"),"Sebagian")))))</f>
        <v>Sebagian</v>
      </c>
      <c r="M227" s="79" t="str">
        <f aca="false">IF(L227="Tidak dibuka","–",IF(F227="","(tanpa age group)",F227)&amp;"  "&amp;IF(H227="","?",H227)&amp;"/"&amp;IF(G227="","?",G227)&amp;CHAR(10)&amp;IF(K227="","coach: –","coach: "&amp;K227))</f>
        <v>Little  3/4
coach: Eka</v>
      </c>
    </row>
    <row r="228" customFormat="false" ht="22.35" hidden="false" customHeight="false" outlineLevel="0" collapsed="false">
      <c r="A228" s="76" t="str">
        <f aca="false">B228&amp;"|"&amp;C228&amp;"|"&amp;D228&amp;"|"&amp;E228</f>
        <v>KLM|3|Jumat|16:15</v>
      </c>
      <c r="B228" s="76" t="s">
        <v>61</v>
      </c>
      <c r="C228" s="76" t="n">
        <v>3</v>
      </c>
      <c r="D228" s="76" t="s">
        <v>94</v>
      </c>
      <c r="E228" s="76" t="s">
        <v>120</v>
      </c>
      <c r="F228" s="77" t="s">
        <v>277</v>
      </c>
      <c r="G228" s="77" t="n">
        <v>4</v>
      </c>
      <c r="H228" s="77" t="n">
        <v>4</v>
      </c>
      <c r="I228" s="76" t="n">
        <f aca="false">IF(AND(ISNUMBER(G228),ISNUMBER(H228)),MAX(G228-H228,0),"")</f>
        <v>0</v>
      </c>
      <c r="J228" s="78" t="n">
        <f aca="false">IF(AND(ISNUMBER(G228),ISNUMBER(H228)),IF(G228&gt;0,H228/G228,""),"")</f>
        <v>1</v>
      </c>
      <c r="K228" s="77" t="s">
        <v>202</v>
      </c>
      <c r="L228" s="76" t="str">
        <f aca="false">IF(OR(G228="",H228=""),"Data tidak lengkap",IF(AND(G228=0,H228=0),IF(AND(F228="",K228=""),"Tidak dibuka","Tutup"),IF(H228&gt;G228,"Lebih kapasitas",IF(H228=G228,"Penuh",IF(H228=0,IF(F228="","Slot kosong","Belum terisi"),"Sebagian")))))</f>
        <v>Penuh</v>
      </c>
      <c r="M228" s="79" t="str">
        <f aca="false">IF(L228="Tidak dibuka","–",IF(F228="","(tanpa age group)",F228)&amp;"  "&amp;IF(H228="","?",H228)&amp;"/"&amp;IF(G228="","?",G228)&amp;CHAR(10)&amp;IF(K228="","coach: –","coach: "&amp;K228))</f>
        <v>Little  4/4
coach: Daffa</v>
      </c>
    </row>
    <row r="229" customFormat="false" ht="22.35" hidden="false" customHeight="false" outlineLevel="0" collapsed="false">
      <c r="A229" s="76" t="str">
        <f aca="false">B229&amp;"|"&amp;C229&amp;"|"&amp;D229&amp;"|"&amp;E229</f>
        <v>KLM|3|Jumat|17:00</v>
      </c>
      <c r="B229" s="76" t="s">
        <v>61</v>
      </c>
      <c r="C229" s="76" t="n">
        <v>3</v>
      </c>
      <c r="D229" s="76" t="s">
        <v>94</v>
      </c>
      <c r="E229" s="76" t="s">
        <v>121</v>
      </c>
      <c r="F229" s="77" t="s">
        <v>277</v>
      </c>
      <c r="G229" s="77" t="n">
        <v>4</v>
      </c>
      <c r="H229" s="77" t="n">
        <v>4</v>
      </c>
      <c r="I229" s="76" t="n">
        <f aca="false">IF(AND(ISNUMBER(G229),ISNUMBER(H229)),MAX(G229-H229,0),"")</f>
        <v>0</v>
      </c>
      <c r="J229" s="78" t="n">
        <f aca="false">IF(AND(ISNUMBER(G229),ISNUMBER(H229)),IF(G229&gt;0,H229/G229,""),"")</f>
        <v>1</v>
      </c>
      <c r="K229" s="77" t="s">
        <v>197</v>
      </c>
      <c r="L229" s="76" t="str">
        <f aca="false">IF(OR(G229="",H229=""),"Data tidak lengkap",IF(AND(G229=0,H229=0),IF(AND(F229="",K229=""),"Tidak dibuka","Tutup"),IF(H229&gt;G229,"Lebih kapasitas",IF(H229=G229,"Penuh",IF(H229=0,IF(F229="","Slot kosong","Belum terisi"),"Sebagian")))))</f>
        <v>Penuh</v>
      </c>
      <c r="M229" s="79" t="str">
        <f aca="false">IF(L229="Tidak dibuka","–",IF(F229="","(tanpa age group)",F229)&amp;"  "&amp;IF(H229="","?",H229)&amp;"/"&amp;IF(G229="","?",G229)&amp;CHAR(10)&amp;IF(K229="","coach: –","coach: "&amp;K229))</f>
        <v>Little  4/4
coach: Rischa</v>
      </c>
    </row>
    <row r="230" customFormat="false" ht="22.35" hidden="false" customHeight="false" outlineLevel="0" collapsed="false">
      <c r="A230" s="76" t="str">
        <f aca="false">B230&amp;"|"&amp;C230&amp;"|"&amp;D230&amp;"|"&amp;E230</f>
        <v>KLM|3|Sabtu|08:00</v>
      </c>
      <c r="B230" s="76" t="s">
        <v>61</v>
      </c>
      <c r="C230" s="76" t="n">
        <v>3</v>
      </c>
      <c r="D230" s="76" t="s">
        <v>95</v>
      </c>
      <c r="E230" s="76" t="s">
        <v>110</v>
      </c>
      <c r="F230" s="77" t="s">
        <v>277</v>
      </c>
      <c r="G230" s="77" t="n">
        <v>0</v>
      </c>
      <c r="H230" s="77" t="n">
        <v>0</v>
      </c>
      <c r="I230" s="76" t="n">
        <f aca="false">IF(AND(ISNUMBER(G230),ISNUMBER(H230)),MAX(G230-H230,0),"")</f>
        <v>0</v>
      </c>
      <c r="J230" s="78" t="str">
        <f aca="false">IF(AND(ISNUMBER(G230),ISNUMBER(H230)),IF(G230&gt;0,H230/G230,""),"")</f>
        <v/>
      </c>
      <c r="K230" s="77"/>
      <c r="L230" s="76" t="str">
        <f aca="false">IF(OR(G230="",H230=""),"Data tidak lengkap",IF(AND(G230=0,H230=0),IF(AND(F230="",K230=""),"Tidak dibuka","Tutup"),IF(H230&gt;G230,"Lebih kapasitas",IF(H230=G230,"Penuh",IF(H230=0,IF(F230="","Slot kosong","Belum terisi"),"Sebagian")))))</f>
        <v>Tutup</v>
      </c>
      <c r="M230" s="79" t="str">
        <f aca="false">IF(L230="Tidak dibuka","–",IF(F230="","(tanpa age group)",F230)&amp;"  "&amp;IF(H230="","?",H230)&amp;"/"&amp;IF(G230="","?",G230)&amp;CHAR(10)&amp;IF(K230="","coach: –","coach: "&amp;K230))</f>
        <v>Little  0/0
coach: –</v>
      </c>
    </row>
    <row r="231" customFormat="false" ht="22.35" hidden="false" customHeight="false" outlineLevel="0" collapsed="false">
      <c r="A231" s="76" t="str">
        <f aca="false">B231&amp;"|"&amp;C231&amp;"|"&amp;D231&amp;"|"&amp;E231</f>
        <v>KLM|3|Sabtu|08:45</v>
      </c>
      <c r="B231" s="76" t="s">
        <v>61</v>
      </c>
      <c r="C231" s="76" t="n">
        <v>3</v>
      </c>
      <c r="D231" s="76" t="s">
        <v>95</v>
      </c>
      <c r="E231" s="76" t="s">
        <v>111</v>
      </c>
      <c r="F231" s="77" t="s">
        <v>277</v>
      </c>
      <c r="G231" s="77" t="n">
        <v>4</v>
      </c>
      <c r="H231" s="77" t="n">
        <v>4</v>
      </c>
      <c r="I231" s="76" t="n">
        <f aca="false">IF(AND(ISNUMBER(G231),ISNUMBER(H231)),MAX(G231-H231,0),"")</f>
        <v>0</v>
      </c>
      <c r="J231" s="78" t="n">
        <f aca="false">IF(AND(ISNUMBER(G231),ISNUMBER(H231)),IF(G231&gt;0,H231/G231,""),"")</f>
        <v>1</v>
      </c>
      <c r="K231" s="77" t="s">
        <v>200</v>
      </c>
      <c r="L231" s="76" t="str">
        <f aca="false">IF(OR(G231="",H231=""),"Data tidak lengkap",IF(AND(G231=0,H231=0),IF(AND(F231="",K231=""),"Tidak dibuka","Tutup"),IF(H231&gt;G231,"Lebih kapasitas",IF(H231=G231,"Penuh",IF(H231=0,IF(F231="","Slot kosong","Belum terisi"),"Sebagian")))))</f>
        <v>Penuh</v>
      </c>
      <c r="M231" s="79" t="str">
        <f aca="false">IF(L231="Tidak dibuka","–",IF(F231="","(tanpa age group)",F231)&amp;"  "&amp;IF(H231="","?",H231)&amp;"/"&amp;IF(G231="","?",G231)&amp;CHAR(10)&amp;IF(K231="","coach: –","coach: "&amp;K231))</f>
        <v>Little  4/4
coach: Zidane</v>
      </c>
    </row>
    <row r="232" customFormat="false" ht="22.35" hidden="false" customHeight="false" outlineLevel="0" collapsed="false">
      <c r="A232" s="76" t="str">
        <f aca="false">B232&amp;"|"&amp;C232&amp;"|"&amp;D232&amp;"|"&amp;E232</f>
        <v>KLM|3|Sabtu|09:30</v>
      </c>
      <c r="B232" s="76" t="s">
        <v>61</v>
      </c>
      <c r="C232" s="76" t="n">
        <v>3</v>
      </c>
      <c r="D232" s="76" t="s">
        <v>95</v>
      </c>
      <c r="E232" s="76" t="s">
        <v>112</v>
      </c>
      <c r="F232" s="77" t="s">
        <v>277</v>
      </c>
      <c r="G232" s="77" t="n">
        <v>4</v>
      </c>
      <c r="H232" s="77" t="n">
        <v>4</v>
      </c>
      <c r="I232" s="76" t="n">
        <f aca="false">IF(AND(ISNUMBER(G232),ISNUMBER(H232)),MAX(G232-H232,0),"")</f>
        <v>0</v>
      </c>
      <c r="J232" s="78" t="n">
        <f aca="false">IF(AND(ISNUMBER(G232),ISNUMBER(H232)),IF(G232&gt;0,H232/G232,""),"")</f>
        <v>1</v>
      </c>
      <c r="K232" s="77" t="s">
        <v>198</v>
      </c>
      <c r="L232" s="76" t="str">
        <f aca="false">IF(OR(G232="",H232=""),"Data tidak lengkap",IF(AND(G232=0,H232=0),IF(AND(F232="",K232=""),"Tidak dibuka","Tutup"),IF(H232&gt;G232,"Lebih kapasitas",IF(H232=G232,"Penuh",IF(H232=0,IF(F232="","Slot kosong","Belum terisi"),"Sebagian")))))</f>
        <v>Penuh</v>
      </c>
      <c r="M232" s="79" t="str">
        <f aca="false">IF(L232="Tidak dibuka","–",IF(F232="","(tanpa age group)",F232)&amp;"  "&amp;IF(H232="","?",H232)&amp;"/"&amp;IF(G232="","?",G232)&amp;CHAR(10)&amp;IF(K232="","coach: –","coach: "&amp;K232))</f>
        <v>Little  4/4
coach: Surya</v>
      </c>
    </row>
    <row r="233" customFormat="false" ht="22.35" hidden="false" customHeight="false" outlineLevel="0" collapsed="false">
      <c r="A233" s="76" t="str">
        <f aca="false">B233&amp;"|"&amp;C233&amp;"|"&amp;D233&amp;"|"&amp;E233</f>
        <v>KLM|3|Sabtu|10:15</v>
      </c>
      <c r="B233" s="76" t="s">
        <v>61</v>
      </c>
      <c r="C233" s="76" t="n">
        <v>3</v>
      </c>
      <c r="D233" s="76" t="s">
        <v>95</v>
      </c>
      <c r="E233" s="76" t="s">
        <v>113</v>
      </c>
      <c r="F233" s="77" t="s">
        <v>277</v>
      </c>
      <c r="G233" s="77" t="n">
        <v>4</v>
      </c>
      <c r="H233" s="77" t="n">
        <v>4</v>
      </c>
      <c r="I233" s="76" t="n">
        <f aca="false">IF(AND(ISNUMBER(G233),ISNUMBER(H233)),MAX(G233-H233,0),"")</f>
        <v>0</v>
      </c>
      <c r="J233" s="78" t="n">
        <f aca="false">IF(AND(ISNUMBER(G233),ISNUMBER(H233)),IF(G233&gt;0,H233/G233,""),"")</f>
        <v>1</v>
      </c>
      <c r="K233" s="77" t="s">
        <v>200</v>
      </c>
      <c r="L233" s="76" t="str">
        <f aca="false">IF(OR(G233="",H233=""),"Data tidak lengkap",IF(AND(G233=0,H233=0),IF(AND(F233="",K233=""),"Tidak dibuka","Tutup"),IF(H233&gt;G233,"Lebih kapasitas",IF(H233=G233,"Penuh",IF(H233=0,IF(F233="","Slot kosong","Belum terisi"),"Sebagian")))))</f>
        <v>Penuh</v>
      </c>
      <c r="M233" s="79" t="str">
        <f aca="false">IF(L233="Tidak dibuka","–",IF(F233="","(tanpa age group)",F233)&amp;"  "&amp;IF(H233="","?",H233)&amp;"/"&amp;IF(G233="","?",G233)&amp;CHAR(10)&amp;IF(K233="","coach: –","coach: "&amp;K233))</f>
        <v>Little  4/4
coach: Zidane</v>
      </c>
    </row>
    <row r="234" customFormat="false" ht="22.35" hidden="false" customHeight="false" outlineLevel="0" collapsed="false">
      <c r="A234" s="76" t="str">
        <f aca="false">B234&amp;"|"&amp;C234&amp;"|"&amp;D234&amp;"|"&amp;E234</f>
        <v>KLM|3|Sabtu|11:00</v>
      </c>
      <c r="B234" s="76" t="s">
        <v>61</v>
      </c>
      <c r="C234" s="76" t="n">
        <v>3</v>
      </c>
      <c r="D234" s="76" t="s">
        <v>95</v>
      </c>
      <c r="E234" s="76" t="s">
        <v>114</v>
      </c>
      <c r="F234" s="77" t="s">
        <v>277</v>
      </c>
      <c r="G234" s="77" t="n">
        <v>4</v>
      </c>
      <c r="H234" s="77" t="n">
        <v>4</v>
      </c>
      <c r="I234" s="76" t="n">
        <f aca="false">IF(AND(ISNUMBER(G234),ISNUMBER(H234)),MAX(G234-H234,0),"")</f>
        <v>0</v>
      </c>
      <c r="J234" s="78" t="n">
        <f aca="false">IF(AND(ISNUMBER(G234),ISNUMBER(H234)),IF(G234&gt;0,H234/G234,""),"")</f>
        <v>1</v>
      </c>
      <c r="K234" s="77" t="s">
        <v>204</v>
      </c>
      <c r="L234" s="76" t="str">
        <f aca="false">IF(OR(G234="",H234=""),"Data tidak lengkap",IF(AND(G234=0,H234=0),IF(AND(F234="",K234=""),"Tidak dibuka","Tutup"),IF(H234&gt;G234,"Lebih kapasitas",IF(H234=G234,"Penuh",IF(H234=0,IF(F234="","Slot kosong","Belum terisi"),"Sebagian")))))</f>
        <v>Penuh</v>
      </c>
      <c r="M234" s="79" t="str">
        <f aca="false">IF(L234="Tidak dibuka","–",IF(F234="","(tanpa age group)",F234)&amp;"  "&amp;IF(H234="","?",H234)&amp;"/"&amp;IF(G234="","?",G234)&amp;CHAR(10)&amp;IF(K234="","coach: –","coach: "&amp;K234))</f>
        <v>Little  4/4
coach: Dian</v>
      </c>
    </row>
    <row r="235" customFormat="false" ht="22.35" hidden="false" customHeight="false" outlineLevel="0" collapsed="false">
      <c r="A235" s="76" t="str">
        <f aca="false">B235&amp;"|"&amp;C235&amp;"|"&amp;D235&amp;"|"&amp;E235</f>
        <v>KLM|3|Sabtu|11:45</v>
      </c>
      <c r="B235" s="76" t="s">
        <v>61</v>
      </c>
      <c r="C235" s="76" t="n">
        <v>3</v>
      </c>
      <c r="D235" s="76" t="s">
        <v>95</v>
      </c>
      <c r="E235" s="76" t="s">
        <v>115</v>
      </c>
      <c r="F235" s="77" t="s">
        <v>277</v>
      </c>
      <c r="G235" s="77" t="n">
        <v>4</v>
      </c>
      <c r="H235" s="77" t="n">
        <v>3</v>
      </c>
      <c r="I235" s="76" t="n">
        <f aca="false">IF(AND(ISNUMBER(G235),ISNUMBER(H235)),MAX(G235-H235,0),"")</f>
        <v>1</v>
      </c>
      <c r="J235" s="78" t="n">
        <f aca="false">IF(AND(ISNUMBER(G235),ISNUMBER(H235)),IF(G235&gt;0,H235/G235,""),"")</f>
        <v>0.75</v>
      </c>
      <c r="K235" s="77" t="s">
        <v>200</v>
      </c>
      <c r="L235" s="76" t="str">
        <f aca="false">IF(OR(G235="",H235=""),"Data tidak lengkap",IF(AND(G235=0,H235=0),IF(AND(F235="",K235=""),"Tidak dibuka","Tutup"),IF(H235&gt;G235,"Lebih kapasitas",IF(H235=G235,"Penuh",IF(H235=0,IF(F235="","Slot kosong","Belum terisi"),"Sebagian")))))</f>
        <v>Sebagian</v>
      </c>
      <c r="M235" s="79" t="str">
        <f aca="false">IF(L235="Tidak dibuka","–",IF(F235="","(tanpa age group)",F235)&amp;"  "&amp;IF(H235="","?",H235)&amp;"/"&amp;IF(G235="","?",G235)&amp;CHAR(10)&amp;IF(K235="","coach: –","coach: "&amp;K235))</f>
        <v>Little  3/4
coach: Zidane</v>
      </c>
    </row>
    <row r="236" customFormat="false" ht="22.35" hidden="false" customHeight="false" outlineLevel="0" collapsed="false">
      <c r="A236" s="76" t="str">
        <f aca="false">B236&amp;"|"&amp;C236&amp;"|"&amp;D236&amp;"|"&amp;E236</f>
        <v>KLM|3|Sabtu|13:15</v>
      </c>
      <c r="B236" s="76" t="s">
        <v>61</v>
      </c>
      <c r="C236" s="76" t="n">
        <v>3</v>
      </c>
      <c r="D236" s="76" t="s">
        <v>95</v>
      </c>
      <c r="E236" s="76" t="s">
        <v>116</v>
      </c>
      <c r="F236" s="77" t="s">
        <v>277</v>
      </c>
      <c r="G236" s="77" t="n">
        <v>4</v>
      </c>
      <c r="H236" s="77" t="n">
        <v>4</v>
      </c>
      <c r="I236" s="76" t="n">
        <f aca="false">IF(AND(ISNUMBER(G236),ISNUMBER(H236)),MAX(G236-H236,0),"")</f>
        <v>0</v>
      </c>
      <c r="J236" s="78" t="n">
        <f aca="false">IF(AND(ISNUMBER(G236),ISNUMBER(H236)),IF(G236&gt;0,H236/G236,""),"")</f>
        <v>1</v>
      </c>
      <c r="K236" s="77" t="s">
        <v>197</v>
      </c>
      <c r="L236" s="76" t="str">
        <f aca="false">IF(OR(G236="",H236=""),"Data tidak lengkap",IF(AND(G236=0,H236=0),IF(AND(F236="",K236=""),"Tidak dibuka","Tutup"),IF(H236&gt;G236,"Lebih kapasitas",IF(H236=G236,"Penuh",IF(H236=0,IF(F236="","Slot kosong","Belum terisi"),"Sebagian")))))</f>
        <v>Penuh</v>
      </c>
      <c r="M236" s="79" t="str">
        <f aca="false">IF(L236="Tidak dibuka","–",IF(F236="","(tanpa age group)",F236)&amp;"  "&amp;IF(H236="","?",H236)&amp;"/"&amp;IF(G236="","?",G236)&amp;CHAR(10)&amp;IF(K236="","coach: –","coach: "&amp;K236))</f>
        <v>Little  4/4
coach: Rischa</v>
      </c>
    </row>
    <row r="237" customFormat="false" ht="22.35" hidden="false" customHeight="false" outlineLevel="0" collapsed="false">
      <c r="A237" s="76" t="str">
        <f aca="false">B237&amp;"|"&amp;C237&amp;"|"&amp;D237&amp;"|"&amp;E237</f>
        <v>KLM|3|Sabtu|14:00</v>
      </c>
      <c r="B237" s="76" t="s">
        <v>61</v>
      </c>
      <c r="C237" s="76" t="n">
        <v>3</v>
      </c>
      <c r="D237" s="76" t="s">
        <v>95</v>
      </c>
      <c r="E237" s="76" t="s">
        <v>117</v>
      </c>
      <c r="F237" s="77" t="s">
        <v>277</v>
      </c>
      <c r="G237" s="77" t="n">
        <v>4</v>
      </c>
      <c r="H237" s="77" t="n">
        <v>2</v>
      </c>
      <c r="I237" s="76" t="n">
        <f aca="false">IF(AND(ISNUMBER(G237),ISNUMBER(H237)),MAX(G237-H237,0),"")</f>
        <v>2</v>
      </c>
      <c r="J237" s="78" t="n">
        <f aca="false">IF(AND(ISNUMBER(G237),ISNUMBER(H237)),IF(G237&gt;0,H237/G237,""),"")</f>
        <v>0.5</v>
      </c>
      <c r="K237" s="77" t="s">
        <v>44</v>
      </c>
      <c r="L237" s="76" t="str">
        <f aca="false">IF(OR(G237="",H237=""),"Data tidak lengkap",IF(AND(G237=0,H237=0),IF(AND(F237="",K237=""),"Tidak dibuka","Tutup"),IF(H237&gt;G237,"Lebih kapasitas",IF(H237=G237,"Penuh",IF(H237=0,IF(F237="","Slot kosong","Belum terisi"),"Sebagian")))))</f>
        <v>Sebagian</v>
      </c>
      <c r="M237" s="79" t="str">
        <f aca="false">IF(L237="Tidak dibuka","–",IF(F237="","(tanpa age group)",F237)&amp;"  "&amp;IF(H237="","?",H237)&amp;"/"&amp;IF(G237="","?",G237)&amp;CHAR(10)&amp;IF(K237="","coach: –","coach: "&amp;K237))</f>
        <v>Little  2/4
coach: Danti</v>
      </c>
    </row>
    <row r="238" customFormat="false" ht="22.35" hidden="false" customHeight="false" outlineLevel="0" collapsed="false">
      <c r="A238" s="76" t="str">
        <f aca="false">B238&amp;"|"&amp;C238&amp;"|"&amp;D238&amp;"|"&amp;E238</f>
        <v>KLM|3|Sabtu|14:45</v>
      </c>
      <c r="B238" s="76" t="s">
        <v>61</v>
      </c>
      <c r="C238" s="76" t="n">
        <v>3</v>
      </c>
      <c r="D238" s="76" t="s">
        <v>95</v>
      </c>
      <c r="E238" s="76" t="s">
        <v>118</v>
      </c>
      <c r="F238" s="77" t="s">
        <v>277</v>
      </c>
      <c r="G238" s="77" t="n">
        <v>4</v>
      </c>
      <c r="H238" s="77" t="n">
        <v>4</v>
      </c>
      <c r="I238" s="76" t="n">
        <f aca="false">IF(AND(ISNUMBER(G238),ISNUMBER(H238)),MAX(G238-H238,0),"")</f>
        <v>0</v>
      </c>
      <c r="J238" s="78" t="n">
        <f aca="false">IF(AND(ISNUMBER(G238),ISNUMBER(H238)),IF(G238&gt;0,H238/G238,""),"")</f>
        <v>1</v>
      </c>
      <c r="K238" s="77" t="s">
        <v>205</v>
      </c>
      <c r="L238" s="76" t="str">
        <f aca="false">IF(OR(G238="",H238=""),"Data tidak lengkap",IF(AND(G238=0,H238=0),IF(AND(F238="",K238=""),"Tidak dibuka","Tutup"),IF(H238&gt;G238,"Lebih kapasitas",IF(H238=G238,"Penuh",IF(H238=0,IF(F238="","Slot kosong","Belum terisi"),"Sebagian")))))</f>
        <v>Penuh</v>
      </c>
      <c r="M238" s="79" t="str">
        <f aca="false">IF(L238="Tidak dibuka","–",IF(F238="","(tanpa age group)",F238)&amp;"  "&amp;IF(H238="","?",H238)&amp;"/"&amp;IF(G238="","?",G238)&amp;CHAR(10)&amp;IF(K238="","coach: –","coach: "&amp;K238))</f>
        <v>Little  4/4
coach: Tessa</v>
      </c>
    </row>
    <row r="239" customFormat="false" ht="22.35" hidden="false" customHeight="false" outlineLevel="0" collapsed="false">
      <c r="A239" s="76" t="str">
        <f aca="false">B239&amp;"|"&amp;C239&amp;"|"&amp;D239&amp;"|"&amp;E239</f>
        <v>KLM|3|Sabtu|15:30</v>
      </c>
      <c r="B239" s="76" t="s">
        <v>61</v>
      </c>
      <c r="C239" s="76" t="n">
        <v>3</v>
      </c>
      <c r="D239" s="76" t="s">
        <v>95</v>
      </c>
      <c r="E239" s="76" t="s">
        <v>119</v>
      </c>
      <c r="F239" s="77" t="s">
        <v>277</v>
      </c>
      <c r="G239" s="77" t="n">
        <v>4</v>
      </c>
      <c r="H239" s="77" t="n">
        <v>4</v>
      </c>
      <c r="I239" s="76" t="n">
        <f aca="false">IF(AND(ISNUMBER(G239),ISNUMBER(H239)),MAX(G239-H239,0),"")</f>
        <v>0</v>
      </c>
      <c r="J239" s="78" t="n">
        <f aca="false">IF(AND(ISNUMBER(G239),ISNUMBER(H239)),IF(G239&gt;0,H239/G239,""),"")</f>
        <v>1</v>
      </c>
      <c r="K239" s="77" t="s">
        <v>200</v>
      </c>
      <c r="L239" s="76" t="str">
        <f aca="false">IF(OR(G239="",H239=""),"Data tidak lengkap",IF(AND(G239=0,H239=0),IF(AND(F239="",K239=""),"Tidak dibuka","Tutup"),IF(H239&gt;G239,"Lebih kapasitas",IF(H239=G239,"Penuh",IF(H239=0,IF(F239="","Slot kosong","Belum terisi"),"Sebagian")))))</f>
        <v>Penuh</v>
      </c>
      <c r="M239" s="79" t="str">
        <f aca="false">IF(L239="Tidak dibuka","–",IF(F239="","(tanpa age group)",F239)&amp;"  "&amp;IF(H239="","?",H239)&amp;"/"&amp;IF(G239="","?",G239)&amp;CHAR(10)&amp;IF(K239="","coach: –","coach: "&amp;K239))</f>
        <v>Little  4/4
coach: Zidane</v>
      </c>
    </row>
    <row r="240" customFormat="false" ht="22.35" hidden="false" customHeight="false" outlineLevel="0" collapsed="false">
      <c r="A240" s="76" t="str">
        <f aca="false">B240&amp;"|"&amp;C240&amp;"|"&amp;D240&amp;"|"&amp;E240</f>
        <v>KLM|3|Sabtu|16:15</v>
      </c>
      <c r="B240" s="76" t="s">
        <v>61</v>
      </c>
      <c r="C240" s="76" t="n">
        <v>3</v>
      </c>
      <c r="D240" s="76" t="s">
        <v>95</v>
      </c>
      <c r="E240" s="76" t="s">
        <v>120</v>
      </c>
      <c r="F240" s="77" t="s">
        <v>277</v>
      </c>
      <c r="G240" s="77" t="n">
        <v>4</v>
      </c>
      <c r="H240" s="77" t="n">
        <v>4</v>
      </c>
      <c r="I240" s="76" t="n">
        <f aca="false">IF(AND(ISNUMBER(G240),ISNUMBER(H240)),MAX(G240-H240,0),"")</f>
        <v>0</v>
      </c>
      <c r="J240" s="78" t="n">
        <f aca="false">IF(AND(ISNUMBER(G240),ISNUMBER(H240)),IF(G240&gt;0,H240/G240,""),"")</f>
        <v>1</v>
      </c>
      <c r="K240" s="77" t="s">
        <v>201</v>
      </c>
      <c r="L240" s="76" t="str">
        <f aca="false">IF(OR(G240="",H240=""),"Data tidak lengkap",IF(AND(G240=0,H240=0),IF(AND(F240="",K240=""),"Tidak dibuka","Tutup"),IF(H240&gt;G240,"Lebih kapasitas",IF(H240=G240,"Penuh",IF(H240=0,IF(F240="","Slot kosong","Belum terisi"),"Sebagian")))))</f>
        <v>Penuh</v>
      </c>
      <c r="M240" s="79" t="str">
        <f aca="false">IF(L240="Tidak dibuka","–",IF(F240="","(tanpa age group)",F240)&amp;"  "&amp;IF(H240="","?",H240)&amp;"/"&amp;IF(G240="","?",G240)&amp;CHAR(10)&amp;IF(K240="","coach: –","coach: "&amp;K240))</f>
        <v>Little  4/4
coach: Nuky</v>
      </c>
    </row>
    <row r="241" customFormat="false" ht="22.35" hidden="false" customHeight="false" outlineLevel="0" collapsed="false">
      <c r="A241" s="76" t="str">
        <f aca="false">B241&amp;"|"&amp;C241&amp;"|"&amp;D241&amp;"|"&amp;E241</f>
        <v>KLM|3|Sabtu|17:00</v>
      </c>
      <c r="B241" s="76" t="s">
        <v>61</v>
      </c>
      <c r="C241" s="76" t="n">
        <v>3</v>
      </c>
      <c r="D241" s="76" t="s">
        <v>95</v>
      </c>
      <c r="E241" s="76" t="s">
        <v>121</v>
      </c>
      <c r="F241" s="77" t="s">
        <v>277</v>
      </c>
      <c r="G241" s="77" t="n">
        <v>4</v>
      </c>
      <c r="H241" s="77" t="n">
        <v>4</v>
      </c>
      <c r="I241" s="76" t="n">
        <f aca="false">IF(AND(ISNUMBER(G241),ISNUMBER(H241)),MAX(G241-H241,0),"")</f>
        <v>0</v>
      </c>
      <c r="J241" s="78" t="n">
        <f aca="false">IF(AND(ISNUMBER(G241),ISNUMBER(H241)),IF(G241&gt;0,H241/G241,""),"")</f>
        <v>1</v>
      </c>
      <c r="K241" s="77" t="s">
        <v>44</v>
      </c>
      <c r="L241" s="76" t="str">
        <f aca="false">IF(OR(G241="",H241=""),"Data tidak lengkap",IF(AND(G241=0,H241=0),IF(AND(F241="",K241=""),"Tidak dibuka","Tutup"),IF(H241&gt;G241,"Lebih kapasitas",IF(H241=G241,"Penuh",IF(H241=0,IF(F241="","Slot kosong","Belum terisi"),"Sebagian")))))</f>
        <v>Penuh</v>
      </c>
      <c r="M241" s="79" t="str">
        <f aca="false">IF(L241="Tidak dibuka","–",IF(F241="","(tanpa age group)",F241)&amp;"  "&amp;IF(H241="","?",H241)&amp;"/"&amp;IF(G241="","?",G241)&amp;CHAR(10)&amp;IF(K241="","coach: –","coach: "&amp;K241))</f>
        <v>Little  4/4
coach: Danti</v>
      </c>
    </row>
    <row r="242" customFormat="false" ht="22.35" hidden="false" customHeight="false" outlineLevel="0" collapsed="false">
      <c r="A242" s="76" t="str">
        <f aca="false">B242&amp;"|"&amp;C242&amp;"|"&amp;D242&amp;"|"&amp;E242</f>
        <v>KLM|3|Minggu|08:00</v>
      </c>
      <c r="B242" s="76" t="s">
        <v>61</v>
      </c>
      <c r="C242" s="76" t="n">
        <v>3</v>
      </c>
      <c r="D242" s="76" t="s">
        <v>78</v>
      </c>
      <c r="E242" s="76" t="s">
        <v>110</v>
      </c>
      <c r="F242" s="77" t="s">
        <v>277</v>
      </c>
      <c r="G242" s="77" t="n">
        <v>0</v>
      </c>
      <c r="H242" s="77" t="n">
        <v>0</v>
      </c>
      <c r="I242" s="76" t="n">
        <f aca="false">IF(AND(ISNUMBER(G242),ISNUMBER(H242)),MAX(G242-H242,0),"")</f>
        <v>0</v>
      </c>
      <c r="J242" s="78" t="str">
        <f aca="false">IF(AND(ISNUMBER(G242),ISNUMBER(H242)),IF(G242&gt;0,H242/G242,""),"")</f>
        <v/>
      </c>
      <c r="K242" s="77"/>
      <c r="L242" s="76" t="str">
        <f aca="false">IF(OR(G242="",H242=""),"Data tidak lengkap",IF(AND(G242=0,H242=0),IF(AND(F242="",K242=""),"Tidak dibuka","Tutup"),IF(H242&gt;G242,"Lebih kapasitas",IF(H242=G242,"Penuh",IF(H242=0,IF(F242="","Slot kosong","Belum terisi"),"Sebagian")))))</f>
        <v>Tutup</v>
      </c>
      <c r="M242" s="79" t="str">
        <f aca="false">IF(L242="Tidak dibuka","–",IF(F242="","(tanpa age group)",F242)&amp;"  "&amp;IF(H242="","?",H242)&amp;"/"&amp;IF(G242="","?",G242)&amp;CHAR(10)&amp;IF(K242="","coach: –","coach: "&amp;K242))</f>
        <v>Little  0/0
coach: –</v>
      </c>
    </row>
    <row r="243" customFormat="false" ht="22.35" hidden="false" customHeight="false" outlineLevel="0" collapsed="false">
      <c r="A243" s="76" t="str">
        <f aca="false">B243&amp;"|"&amp;C243&amp;"|"&amp;D243&amp;"|"&amp;E243</f>
        <v>KLM|3|Minggu|08:45</v>
      </c>
      <c r="B243" s="76" t="s">
        <v>61</v>
      </c>
      <c r="C243" s="76" t="n">
        <v>3</v>
      </c>
      <c r="D243" s="76" t="s">
        <v>78</v>
      </c>
      <c r="E243" s="76" t="s">
        <v>111</v>
      </c>
      <c r="F243" s="77" t="s">
        <v>277</v>
      </c>
      <c r="G243" s="77" t="n">
        <v>4</v>
      </c>
      <c r="H243" s="77" t="n">
        <v>3</v>
      </c>
      <c r="I243" s="76" t="n">
        <f aca="false">IF(AND(ISNUMBER(G243),ISNUMBER(H243)),MAX(G243-H243,0),"")</f>
        <v>1</v>
      </c>
      <c r="J243" s="78" t="n">
        <f aca="false">IF(AND(ISNUMBER(G243),ISNUMBER(H243)),IF(G243&gt;0,H243/G243,""),"")</f>
        <v>0.75</v>
      </c>
      <c r="K243" s="77" t="s">
        <v>200</v>
      </c>
      <c r="L243" s="76" t="str">
        <f aca="false">IF(OR(G243="",H243=""),"Data tidak lengkap",IF(AND(G243=0,H243=0),IF(AND(F243="",K243=""),"Tidak dibuka","Tutup"),IF(H243&gt;G243,"Lebih kapasitas",IF(H243=G243,"Penuh",IF(H243=0,IF(F243="","Slot kosong","Belum terisi"),"Sebagian")))))</f>
        <v>Sebagian</v>
      </c>
      <c r="M243" s="79" t="str">
        <f aca="false">IF(L243="Tidak dibuka","–",IF(F243="","(tanpa age group)",F243)&amp;"  "&amp;IF(H243="","?",H243)&amp;"/"&amp;IF(G243="","?",G243)&amp;CHAR(10)&amp;IF(K243="","coach: –","coach: "&amp;K243))</f>
        <v>Little  3/4
coach: Zidane</v>
      </c>
    </row>
    <row r="244" customFormat="false" ht="22.35" hidden="false" customHeight="false" outlineLevel="0" collapsed="false">
      <c r="A244" s="76" t="str">
        <f aca="false">B244&amp;"|"&amp;C244&amp;"|"&amp;D244&amp;"|"&amp;E244</f>
        <v>KLM|3|Minggu|09:30</v>
      </c>
      <c r="B244" s="76" t="s">
        <v>61</v>
      </c>
      <c r="C244" s="76" t="n">
        <v>3</v>
      </c>
      <c r="D244" s="76" t="s">
        <v>78</v>
      </c>
      <c r="E244" s="76" t="s">
        <v>112</v>
      </c>
      <c r="F244" s="77" t="s">
        <v>277</v>
      </c>
      <c r="G244" s="77" t="n">
        <v>4</v>
      </c>
      <c r="H244" s="77" t="n">
        <v>4</v>
      </c>
      <c r="I244" s="76" t="n">
        <f aca="false">IF(AND(ISNUMBER(G244),ISNUMBER(H244)),MAX(G244-H244,0),"")</f>
        <v>0</v>
      </c>
      <c r="J244" s="78" t="n">
        <f aca="false">IF(AND(ISNUMBER(G244),ISNUMBER(H244)),IF(G244&gt;0,H244/G244,""),"")</f>
        <v>1</v>
      </c>
      <c r="K244" s="77" t="s">
        <v>198</v>
      </c>
      <c r="L244" s="76" t="str">
        <f aca="false">IF(OR(G244="",H244=""),"Data tidak lengkap",IF(AND(G244=0,H244=0),IF(AND(F244="",K244=""),"Tidak dibuka","Tutup"),IF(H244&gt;G244,"Lebih kapasitas",IF(H244=G244,"Penuh",IF(H244=0,IF(F244="","Slot kosong","Belum terisi"),"Sebagian")))))</f>
        <v>Penuh</v>
      </c>
      <c r="M244" s="79" t="str">
        <f aca="false">IF(L244="Tidak dibuka","–",IF(F244="","(tanpa age group)",F244)&amp;"  "&amp;IF(H244="","?",H244)&amp;"/"&amp;IF(G244="","?",G244)&amp;CHAR(10)&amp;IF(K244="","coach: –","coach: "&amp;K244))</f>
        <v>Little  4/4
coach: Surya</v>
      </c>
    </row>
    <row r="245" customFormat="false" ht="22.35" hidden="false" customHeight="false" outlineLevel="0" collapsed="false">
      <c r="A245" s="76" t="str">
        <f aca="false">B245&amp;"|"&amp;C245&amp;"|"&amp;D245&amp;"|"&amp;E245</f>
        <v>KLM|3|Minggu|10:15</v>
      </c>
      <c r="B245" s="76" t="s">
        <v>61</v>
      </c>
      <c r="C245" s="76" t="n">
        <v>3</v>
      </c>
      <c r="D245" s="76" t="s">
        <v>78</v>
      </c>
      <c r="E245" s="76" t="s">
        <v>113</v>
      </c>
      <c r="F245" s="77" t="s">
        <v>277</v>
      </c>
      <c r="G245" s="77" t="n">
        <v>4</v>
      </c>
      <c r="H245" s="77" t="n">
        <v>4</v>
      </c>
      <c r="I245" s="76" t="n">
        <f aca="false">IF(AND(ISNUMBER(G245),ISNUMBER(H245)),MAX(G245-H245,0),"")</f>
        <v>0</v>
      </c>
      <c r="J245" s="78" t="n">
        <f aca="false">IF(AND(ISNUMBER(G245),ISNUMBER(H245)),IF(G245&gt;0,H245/G245,""),"")</f>
        <v>1</v>
      </c>
      <c r="K245" s="77" t="s">
        <v>204</v>
      </c>
      <c r="L245" s="76" t="str">
        <f aca="false">IF(OR(G245="",H245=""),"Data tidak lengkap",IF(AND(G245=0,H245=0),IF(AND(F245="",K245=""),"Tidak dibuka","Tutup"),IF(H245&gt;G245,"Lebih kapasitas",IF(H245=G245,"Penuh",IF(H245=0,IF(F245="","Slot kosong","Belum terisi"),"Sebagian")))))</f>
        <v>Penuh</v>
      </c>
      <c r="M245" s="79" t="str">
        <f aca="false">IF(L245="Tidak dibuka","–",IF(F245="","(tanpa age group)",F245)&amp;"  "&amp;IF(H245="","?",H245)&amp;"/"&amp;IF(G245="","?",G245)&amp;CHAR(10)&amp;IF(K245="","coach: –","coach: "&amp;K245))</f>
        <v>Little  4/4
coach: Dian</v>
      </c>
    </row>
    <row r="246" customFormat="false" ht="22.35" hidden="false" customHeight="false" outlineLevel="0" collapsed="false">
      <c r="A246" s="76" t="str">
        <f aca="false">B246&amp;"|"&amp;C246&amp;"|"&amp;D246&amp;"|"&amp;E246</f>
        <v>KLM|3|Minggu|11:00</v>
      </c>
      <c r="B246" s="76" t="s">
        <v>61</v>
      </c>
      <c r="C246" s="76" t="n">
        <v>3</v>
      </c>
      <c r="D246" s="76" t="s">
        <v>78</v>
      </c>
      <c r="E246" s="76" t="s">
        <v>114</v>
      </c>
      <c r="F246" s="77" t="s">
        <v>277</v>
      </c>
      <c r="G246" s="77" t="n">
        <v>4</v>
      </c>
      <c r="H246" s="77" t="n">
        <v>4</v>
      </c>
      <c r="I246" s="76" t="n">
        <f aca="false">IF(AND(ISNUMBER(G246),ISNUMBER(H246)),MAX(G246-H246,0),"")</f>
        <v>0</v>
      </c>
      <c r="J246" s="78" t="n">
        <f aca="false">IF(AND(ISNUMBER(G246),ISNUMBER(H246)),IF(G246&gt;0,H246/G246,""),"")</f>
        <v>1</v>
      </c>
      <c r="K246" s="77" t="s">
        <v>195</v>
      </c>
      <c r="L246" s="76" t="str">
        <f aca="false">IF(OR(G246="",H246=""),"Data tidak lengkap",IF(AND(G246=0,H246=0),IF(AND(F246="",K246=""),"Tidak dibuka","Tutup"),IF(H246&gt;G246,"Lebih kapasitas",IF(H246=G246,"Penuh",IF(H246=0,IF(F246="","Slot kosong","Belum terisi"),"Sebagian")))))</f>
        <v>Penuh</v>
      </c>
      <c r="M246" s="79" t="str">
        <f aca="false">IF(L246="Tidak dibuka","–",IF(F246="","(tanpa age group)",F246)&amp;"  "&amp;IF(H246="","?",H246)&amp;"/"&amp;IF(G246="","?",G246)&amp;CHAR(10)&amp;IF(K246="","coach: –","coach: "&amp;K246))</f>
        <v>Little  4/4
coach: Eka</v>
      </c>
    </row>
    <row r="247" customFormat="false" ht="22.35" hidden="false" customHeight="false" outlineLevel="0" collapsed="false">
      <c r="A247" s="76" t="str">
        <f aca="false">B247&amp;"|"&amp;C247&amp;"|"&amp;D247&amp;"|"&amp;E247</f>
        <v>KLM|3|Minggu|11:45</v>
      </c>
      <c r="B247" s="76" t="s">
        <v>61</v>
      </c>
      <c r="C247" s="76" t="n">
        <v>3</v>
      </c>
      <c r="D247" s="76" t="s">
        <v>78</v>
      </c>
      <c r="E247" s="76" t="s">
        <v>115</v>
      </c>
      <c r="F247" s="77" t="s">
        <v>277</v>
      </c>
      <c r="G247" s="77" t="n">
        <v>4</v>
      </c>
      <c r="H247" s="77" t="n">
        <v>4</v>
      </c>
      <c r="I247" s="76" t="n">
        <f aca="false">IF(AND(ISNUMBER(G247),ISNUMBER(H247)),MAX(G247-H247,0),"")</f>
        <v>0</v>
      </c>
      <c r="J247" s="78" t="n">
        <f aca="false">IF(AND(ISNUMBER(G247),ISNUMBER(H247)),IF(G247&gt;0,H247/G247,""),"")</f>
        <v>1</v>
      </c>
      <c r="K247" s="77" t="s">
        <v>201</v>
      </c>
      <c r="L247" s="76" t="str">
        <f aca="false">IF(OR(G247="",H247=""),"Data tidak lengkap",IF(AND(G247=0,H247=0),IF(AND(F247="",K247=""),"Tidak dibuka","Tutup"),IF(H247&gt;G247,"Lebih kapasitas",IF(H247=G247,"Penuh",IF(H247=0,IF(F247="","Slot kosong","Belum terisi"),"Sebagian")))))</f>
        <v>Penuh</v>
      </c>
      <c r="M247" s="79" t="str">
        <f aca="false">IF(L247="Tidak dibuka","–",IF(F247="","(tanpa age group)",F247)&amp;"  "&amp;IF(H247="","?",H247)&amp;"/"&amp;IF(G247="","?",G247)&amp;CHAR(10)&amp;IF(K247="","coach: –","coach: "&amp;K247))</f>
        <v>Little  4/4
coach: Nuky</v>
      </c>
    </row>
    <row r="248" customFormat="false" ht="22.35" hidden="false" customHeight="false" outlineLevel="0" collapsed="false">
      <c r="A248" s="76" t="str">
        <f aca="false">B248&amp;"|"&amp;C248&amp;"|"&amp;D248&amp;"|"&amp;E248</f>
        <v>KLM|3|Minggu|13:15</v>
      </c>
      <c r="B248" s="76" t="s">
        <v>61</v>
      </c>
      <c r="C248" s="76" t="n">
        <v>3</v>
      </c>
      <c r="D248" s="76" t="s">
        <v>78</v>
      </c>
      <c r="E248" s="76" t="s">
        <v>116</v>
      </c>
      <c r="F248" s="77" t="s">
        <v>277</v>
      </c>
      <c r="G248" s="77" t="n">
        <v>4</v>
      </c>
      <c r="H248" s="77" t="n">
        <v>3</v>
      </c>
      <c r="I248" s="76" t="n">
        <f aca="false">IF(AND(ISNUMBER(G248),ISNUMBER(H248)),MAX(G248-H248,0),"")</f>
        <v>1</v>
      </c>
      <c r="J248" s="78" t="n">
        <f aca="false">IF(AND(ISNUMBER(G248),ISNUMBER(H248)),IF(G248&gt;0,H248/G248,""),"")</f>
        <v>0.75</v>
      </c>
      <c r="K248" s="77" t="s">
        <v>202</v>
      </c>
      <c r="L248" s="76" t="str">
        <f aca="false">IF(OR(G248="",H248=""),"Data tidak lengkap",IF(AND(G248=0,H248=0),IF(AND(F248="",K248=""),"Tidak dibuka","Tutup"),IF(H248&gt;G248,"Lebih kapasitas",IF(H248=G248,"Penuh",IF(H248=0,IF(F248="","Slot kosong","Belum terisi"),"Sebagian")))))</f>
        <v>Sebagian</v>
      </c>
      <c r="M248" s="79" t="str">
        <f aca="false">IF(L248="Tidak dibuka","–",IF(F248="","(tanpa age group)",F248)&amp;"  "&amp;IF(H248="","?",H248)&amp;"/"&amp;IF(G248="","?",G248)&amp;CHAR(10)&amp;IF(K248="","coach: –","coach: "&amp;K248))</f>
        <v>Little  3/4
coach: Daffa</v>
      </c>
    </row>
    <row r="249" customFormat="false" ht="22.35" hidden="false" customHeight="false" outlineLevel="0" collapsed="false">
      <c r="A249" s="76" t="str">
        <f aca="false">B249&amp;"|"&amp;C249&amp;"|"&amp;D249&amp;"|"&amp;E249</f>
        <v>KLM|3|Minggu|14:00</v>
      </c>
      <c r="B249" s="76" t="s">
        <v>61</v>
      </c>
      <c r="C249" s="76" t="n">
        <v>3</v>
      </c>
      <c r="D249" s="76" t="s">
        <v>78</v>
      </c>
      <c r="E249" s="76" t="s">
        <v>117</v>
      </c>
      <c r="F249" s="77" t="s">
        <v>277</v>
      </c>
      <c r="G249" s="77" t="n">
        <v>4</v>
      </c>
      <c r="H249" s="77" t="n">
        <v>3</v>
      </c>
      <c r="I249" s="76" t="n">
        <f aca="false">IF(AND(ISNUMBER(G249),ISNUMBER(H249)),MAX(G249-H249,0),"")</f>
        <v>1</v>
      </c>
      <c r="J249" s="78" t="n">
        <f aca="false">IF(AND(ISNUMBER(G249),ISNUMBER(H249)),IF(G249&gt;0,H249/G249,""),"")</f>
        <v>0.75</v>
      </c>
      <c r="K249" s="77" t="s">
        <v>200</v>
      </c>
      <c r="L249" s="76" t="str">
        <f aca="false">IF(OR(G249="",H249=""),"Data tidak lengkap",IF(AND(G249=0,H249=0),IF(AND(F249="",K249=""),"Tidak dibuka","Tutup"),IF(H249&gt;G249,"Lebih kapasitas",IF(H249=G249,"Penuh",IF(H249=0,IF(F249="","Slot kosong","Belum terisi"),"Sebagian")))))</f>
        <v>Sebagian</v>
      </c>
      <c r="M249" s="79" t="str">
        <f aca="false">IF(L249="Tidak dibuka","–",IF(F249="","(tanpa age group)",F249)&amp;"  "&amp;IF(H249="","?",H249)&amp;"/"&amp;IF(G249="","?",G249)&amp;CHAR(10)&amp;IF(K249="","coach: –","coach: "&amp;K249))</f>
        <v>Little  3/4
coach: Zidane</v>
      </c>
    </row>
    <row r="250" customFormat="false" ht="22.35" hidden="false" customHeight="false" outlineLevel="0" collapsed="false">
      <c r="A250" s="76" t="str">
        <f aca="false">B250&amp;"|"&amp;C250&amp;"|"&amp;D250&amp;"|"&amp;E250</f>
        <v>KLM|3|Minggu|14:45</v>
      </c>
      <c r="B250" s="76" t="s">
        <v>61</v>
      </c>
      <c r="C250" s="76" t="n">
        <v>3</v>
      </c>
      <c r="D250" s="76" t="s">
        <v>78</v>
      </c>
      <c r="E250" s="76" t="s">
        <v>118</v>
      </c>
      <c r="F250" s="77" t="s">
        <v>277</v>
      </c>
      <c r="G250" s="77" t="n">
        <v>4</v>
      </c>
      <c r="H250" s="77" t="n">
        <v>4</v>
      </c>
      <c r="I250" s="76" t="n">
        <f aca="false">IF(AND(ISNUMBER(G250),ISNUMBER(H250)),MAX(G250-H250,0),"")</f>
        <v>0</v>
      </c>
      <c r="J250" s="78" t="n">
        <f aca="false">IF(AND(ISNUMBER(G250),ISNUMBER(H250)),IF(G250&gt;0,H250/G250,""),"")</f>
        <v>1</v>
      </c>
      <c r="K250" s="77" t="s">
        <v>197</v>
      </c>
      <c r="L250" s="76" t="str">
        <f aca="false">IF(OR(G250="",H250=""),"Data tidak lengkap",IF(AND(G250=0,H250=0),IF(AND(F250="",K250=""),"Tidak dibuka","Tutup"),IF(H250&gt;G250,"Lebih kapasitas",IF(H250=G250,"Penuh",IF(H250=0,IF(F250="","Slot kosong","Belum terisi"),"Sebagian")))))</f>
        <v>Penuh</v>
      </c>
      <c r="M250" s="79" t="str">
        <f aca="false">IF(L250="Tidak dibuka","–",IF(F250="","(tanpa age group)",F250)&amp;"  "&amp;IF(H250="","?",H250)&amp;"/"&amp;IF(G250="","?",G250)&amp;CHAR(10)&amp;IF(K250="","coach: –","coach: "&amp;K250))</f>
        <v>Little  4/4
coach: Rischa</v>
      </c>
    </row>
    <row r="251" customFormat="false" ht="22.35" hidden="false" customHeight="false" outlineLevel="0" collapsed="false">
      <c r="A251" s="76" t="str">
        <f aca="false">B251&amp;"|"&amp;C251&amp;"|"&amp;D251&amp;"|"&amp;E251</f>
        <v>KLM|3|Minggu|15:30</v>
      </c>
      <c r="B251" s="76" t="s">
        <v>61</v>
      </c>
      <c r="C251" s="76" t="n">
        <v>3</v>
      </c>
      <c r="D251" s="76" t="s">
        <v>78</v>
      </c>
      <c r="E251" s="76" t="s">
        <v>119</v>
      </c>
      <c r="F251" s="77" t="s">
        <v>277</v>
      </c>
      <c r="G251" s="77" t="n">
        <v>4</v>
      </c>
      <c r="H251" s="77" t="n">
        <v>4</v>
      </c>
      <c r="I251" s="76" t="n">
        <f aca="false">IF(AND(ISNUMBER(G251),ISNUMBER(H251)),MAX(G251-H251,0),"")</f>
        <v>0</v>
      </c>
      <c r="J251" s="78" t="n">
        <f aca="false">IF(AND(ISNUMBER(G251),ISNUMBER(H251)),IF(G251&gt;0,H251/G251,""),"")</f>
        <v>1</v>
      </c>
      <c r="K251" s="77" t="s">
        <v>204</v>
      </c>
      <c r="L251" s="76" t="str">
        <f aca="false">IF(OR(G251="",H251=""),"Data tidak lengkap",IF(AND(G251=0,H251=0),IF(AND(F251="",K251=""),"Tidak dibuka","Tutup"),IF(H251&gt;G251,"Lebih kapasitas",IF(H251=G251,"Penuh",IF(H251=0,IF(F251="","Slot kosong","Belum terisi"),"Sebagian")))))</f>
        <v>Penuh</v>
      </c>
      <c r="M251" s="79" t="str">
        <f aca="false">IF(L251="Tidak dibuka","–",IF(F251="","(tanpa age group)",F251)&amp;"  "&amp;IF(H251="","?",H251)&amp;"/"&amp;IF(G251="","?",G251)&amp;CHAR(10)&amp;IF(K251="","coach: –","coach: "&amp;K251))</f>
        <v>Little  4/4
coach: Dian</v>
      </c>
    </row>
    <row r="252" customFormat="false" ht="22.35" hidden="false" customHeight="false" outlineLevel="0" collapsed="false">
      <c r="A252" s="76" t="str">
        <f aca="false">B252&amp;"|"&amp;C252&amp;"|"&amp;D252&amp;"|"&amp;E252</f>
        <v>KLM|3|Minggu|16:15</v>
      </c>
      <c r="B252" s="76" t="s">
        <v>61</v>
      </c>
      <c r="C252" s="76" t="n">
        <v>3</v>
      </c>
      <c r="D252" s="76" t="s">
        <v>78</v>
      </c>
      <c r="E252" s="76" t="s">
        <v>120</v>
      </c>
      <c r="F252" s="77" t="s">
        <v>277</v>
      </c>
      <c r="G252" s="77" t="n">
        <v>4</v>
      </c>
      <c r="H252" s="77" t="n">
        <v>4</v>
      </c>
      <c r="I252" s="76" t="n">
        <f aca="false">IF(AND(ISNUMBER(G252),ISNUMBER(H252)),MAX(G252-H252,0),"")</f>
        <v>0</v>
      </c>
      <c r="J252" s="78" t="n">
        <f aca="false">IF(AND(ISNUMBER(G252),ISNUMBER(H252)),IF(G252&gt;0,H252/G252,""),"")</f>
        <v>1</v>
      </c>
      <c r="K252" s="77" t="s">
        <v>44</v>
      </c>
      <c r="L252" s="76" t="str">
        <f aca="false">IF(OR(G252="",H252=""),"Data tidak lengkap",IF(AND(G252=0,H252=0),IF(AND(F252="",K252=""),"Tidak dibuka","Tutup"),IF(H252&gt;G252,"Lebih kapasitas",IF(H252=G252,"Penuh",IF(H252=0,IF(F252="","Slot kosong","Belum terisi"),"Sebagian")))))</f>
        <v>Penuh</v>
      </c>
      <c r="M252" s="79" t="str">
        <f aca="false">IF(L252="Tidak dibuka","–",IF(F252="","(tanpa age group)",F252)&amp;"  "&amp;IF(H252="","?",H252)&amp;"/"&amp;IF(G252="","?",G252)&amp;CHAR(10)&amp;IF(K252="","coach: –","coach: "&amp;K252))</f>
        <v>Little  4/4
coach: Danti</v>
      </c>
    </row>
    <row r="253" customFormat="false" ht="22.35" hidden="false" customHeight="false" outlineLevel="0" collapsed="false">
      <c r="A253" s="76" t="str">
        <f aca="false">B253&amp;"|"&amp;C253&amp;"|"&amp;D253&amp;"|"&amp;E253</f>
        <v>KLM|3|Minggu|17:00</v>
      </c>
      <c r="B253" s="76" t="s">
        <v>61</v>
      </c>
      <c r="C253" s="76" t="n">
        <v>3</v>
      </c>
      <c r="D253" s="76" t="s">
        <v>78</v>
      </c>
      <c r="E253" s="76" t="s">
        <v>121</v>
      </c>
      <c r="F253" s="77" t="s">
        <v>277</v>
      </c>
      <c r="G253" s="77" t="n">
        <v>4</v>
      </c>
      <c r="H253" s="77" t="n">
        <v>3</v>
      </c>
      <c r="I253" s="76" t="n">
        <f aca="false">IF(AND(ISNUMBER(G253),ISNUMBER(H253)),MAX(G253-H253,0),"")</f>
        <v>1</v>
      </c>
      <c r="J253" s="78" t="n">
        <f aca="false">IF(AND(ISNUMBER(G253),ISNUMBER(H253)),IF(G253&gt;0,H253/G253,""),"")</f>
        <v>0.75</v>
      </c>
      <c r="K253" s="77" t="s">
        <v>195</v>
      </c>
      <c r="L253" s="76" t="str">
        <f aca="false">IF(OR(G253="",H253=""),"Data tidak lengkap",IF(AND(G253=0,H253=0),IF(AND(F253="",K253=""),"Tidak dibuka","Tutup"),IF(H253&gt;G253,"Lebih kapasitas",IF(H253=G253,"Penuh",IF(H253=0,IF(F253="","Slot kosong","Belum terisi"),"Sebagian")))))</f>
        <v>Sebagian</v>
      </c>
      <c r="M253" s="79" t="str">
        <f aca="false">IF(L253="Tidak dibuka","–",IF(F253="","(tanpa age group)",F253)&amp;"  "&amp;IF(H253="","?",H253)&amp;"/"&amp;IF(G253="","?",G253)&amp;CHAR(10)&amp;IF(K253="","coach: –","coach: "&amp;K253))</f>
        <v>Little  3/4
coach: Eka</v>
      </c>
    </row>
    <row r="254" customFormat="false" ht="22.35" hidden="false" customHeight="false" outlineLevel="0" collapsed="false">
      <c r="A254" s="76" t="str">
        <f aca="false">B254&amp;"|"&amp;C254&amp;"|"&amp;D254&amp;"|"&amp;E254</f>
        <v>KLM|4|Senin|08:00</v>
      </c>
      <c r="B254" s="76" t="s">
        <v>61</v>
      </c>
      <c r="C254" s="76" t="n">
        <v>4</v>
      </c>
      <c r="D254" s="76" t="s">
        <v>90</v>
      </c>
      <c r="E254" s="76" t="s">
        <v>110</v>
      </c>
      <c r="F254" s="77" t="s">
        <v>210</v>
      </c>
      <c r="G254" s="77" t="n">
        <v>0</v>
      </c>
      <c r="H254" s="77" t="n">
        <v>0</v>
      </c>
      <c r="I254" s="76" t="n">
        <f aca="false">IF(AND(ISNUMBER(G254),ISNUMBER(H254)),MAX(G254-H254,0),"")</f>
        <v>0</v>
      </c>
      <c r="J254" s="78" t="str">
        <f aca="false">IF(AND(ISNUMBER(G254),ISNUMBER(H254)),IF(G254&gt;0,H254/G254,""),"")</f>
        <v/>
      </c>
      <c r="K254" s="77"/>
      <c r="L254" s="76" t="str">
        <f aca="false">IF(OR(G254="",H254=""),"Data tidak lengkap",IF(AND(G254=0,H254=0),IF(AND(F254="",K254=""),"Tidak dibuka","Tutup"),IF(H254&gt;G254,"Lebih kapasitas",IF(H254=G254,"Penuh",IF(H254=0,IF(F254="","Slot kosong","Belum terisi"),"Sebagian")))))</f>
        <v>Tutup</v>
      </c>
      <c r="M254" s="79" t="str">
        <f aca="false">IF(L254="Tidak dibuka","–",IF(F254="","(tanpa age group)",F254)&amp;"  "&amp;IF(H254="","?",H254)&amp;"/"&amp;IF(G254="","?",G254)&amp;CHAR(10)&amp;IF(K254="","coach: –","coach: "&amp;K254))</f>
        <v>Kids  0/0
coach: –</v>
      </c>
    </row>
    <row r="255" customFormat="false" ht="22.35" hidden="false" customHeight="false" outlineLevel="0" collapsed="false">
      <c r="A255" s="76" t="str">
        <f aca="false">B255&amp;"|"&amp;C255&amp;"|"&amp;D255&amp;"|"&amp;E255</f>
        <v>KLM|4|Senin|08:45</v>
      </c>
      <c r="B255" s="76" t="s">
        <v>61</v>
      </c>
      <c r="C255" s="76" t="n">
        <v>4</v>
      </c>
      <c r="D255" s="76" t="s">
        <v>90</v>
      </c>
      <c r="E255" s="76" t="s">
        <v>111</v>
      </c>
      <c r="F255" s="77" t="s">
        <v>210</v>
      </c>
      <c r="G255" s="77" t="n">
        <v>4</v>
      </c>
      <c r="H255" s="77" t="n">
        <v>0</v>
      </c>
      <c r="I255" s="76" t="n">
        <f aca="false">IF(AND(ISNUMBER(G255),ISNUMBER(H255)),MAX(G255-H255,0),"")</f>
        <v>4</v>
      </c>
      <c r="J255" s="78" t="n">
        <f aca="false">IF(AND(ISNUMBER(G255),ISNUMBER(H255)),IF(G255&gt;0,H255/G255,""),"")</f>
        <v>0</v>
      </c>
      <c r="K255" s="77"/>
      <c r="L255" s="76" t="str">
        <f aca="false">IF(OR(G255="",H255=""),"Data tidak lengkap",IF(AND(G255=0,H255=0),IF(AND(F255="",K255=""),"Tidak dibuka","Tutup"),IF(H255&gt;G255,"Lebih kapasitas",IF(H255=G255,"Penuh",IF(H255=0,IF(F255="","Slot kosong","Belum terisi"),"Sebagian")))))</f>
        <v>Belum terisi</v>
      </c>
      <c r="M255" s="79" t="str">
        <f aca="false">IF(L255="Tidak dibuka","–",IF(F255="","(tanpa age group)",F255)&amp;"  "&amp;IF(H255="","?",H255)&amp;"/"&amp;IF(G255="","?",G255)&amp;CHAR(10)&amp;IF(K255="","coach: –","coach: "&amp;K255))</f>
        <v>Kids  0/4
coach: –</v>
      </c>
    </row>
    <row r="256" customFormat="false" ht="22.35" hidden="false" customHeight="false" outlineLevel="0" collapsed="false">
      <c r="A256" s="76" t="str">
        <f aca="false">B256&amp;"|"&amp;C256&amp;"|"&amp;D256&amp;"|"&amp;E256</f>
        <v>KLM|4|Senin|09:30</v>
      </c>
      <c r="B256" s="76" t="s">
        <v>61</v>
      </c>
      <c r="C256" s="76" t="n">
        <v>4</v>
      </c>
      <c r="D256" s="76" t="s">
        <v>90</v>
      </c>
      <c r="E256" s="76" t="s">
        <v>112</v>
      </c>
      <c r="F256" s="77" t="s">
        <v>210</v>
      </c>
      <c r="G256" s="77" t="n">
        <v>4</v>
      </c>
      <c r="H256" s="77" t="n">
        <v>0</v>
      </c>
      <c r="I256" s="76" t="n">
        <f aca="false">IF(AND(ISNUMBER(G256),ISNUMBER(H256)),MAX(G256-H256,0),"")</f>
        <v>4</v>
      </c>
      <c r="J256" s="78" t="n">
        <f aca="false">IF(AND(ISNUMBER(G256),ISNUMBER(H256)),IF(G256&gt;0,H256/G256,""),"")</f>
        <v>0</v>
      </c>
      <c r="K256" s="77"/>
      <c r="L256" s="76" t="str">
        <f aca="false">IF(OR(G256="",H256=""),"Data tidak lengkap",IF(AND(G256=0,H256=0),IF(AND(F256="",K256=""),"Tidak dibuka","Tutup"),IF(H256&gt;G256,"Lebih kapasitas",IF(H256=G256,"Penuh",IF(H256=0,IF(F256="","Slot kosong","Belum terisi"),"Sebagian")))))</f>
        <v>Belum terisi</v>
      </c>
      <c r="M256" s="79" t="str">
        <f aca="false">IF(L256="Tidak dibuka","–",IF(F256="","(tanpa age group)",F256)&amp;"  "&amp;IF(H256="","?",H256)&amp;"/"&amp;IF(G256="","?",G256)&amp;CHAR(10)&amp;IF(K256="","coach: –","coach: "&amp;K256))</f>
        <v>Kids  0/4
coach: –</v>
      </c>
    </row>
    <row r="257" customFormat="false" ht="22.35" hidden="false" customHeight="false" outlineLevel="0" collapsed="false">
      <c r="A257" s="76" t="str">
        <f aca="false">B257&amp;"|"&amp;C257&amp;"|"&amp;D257&amp;"|"&amp;E257</f>
        <v>KLM|4|Senin|10:15</v>
      </c>
      <c r="B257" s="76" t="s">
        <v>61</v>
      </c>
      <c r="C257" s="76" t="n">
        <v>4</v>
      </c>
      <c r="D257" s="76" t="s">
        <v>90</v>
      </c>
      <c r="E257" s="76" t="s">
        <v>113</v>
      </c>
      <c r="F257" s="77" t="s">
        <v>210</v>
      </c>
      <c r="G257" s="77" t="n">
        <v>4</v>
      </c>
      <c r="H257" s="77" t="n">
        <v>0</v>
      </c>
      <c r="I257" s="76" t="n">
        <f aca="false">IF(AND(ISNUMBER(G257),ISNUMBER(H257)),MAX(G257-H257,0),"")</f>
        <v>4</v>
      </c>
      <c r="J257" s="78" t="n">
        <f aca="false">IF(AND(ISNUMBER(G257),ISNUMBER(H257)),IF(G257&gt;0,H257/G257,""),"")</f>
        <v>0</v>
      </c>
      <c r="K257" s="77"/>
      <c r="L257" s="76" t="str">
        <f aca="false">IF(OR(G257="",H257=""),"Data tidak lengkap",IF(AND(G257=0,H257=0),IF(AND(F257="",K257=""),"Tidak dibuka","Tutup"),IF(H257&gt;G257,"Lebih kapasitas",IF(H257=G257,"Penuh",IF(H257=0,IF(F257="","Slot kosong","Belum terisi"),"Sebagian")))))</f>
        <v>Belum terisi</v>
      </c>
      <c r="M257" s="79" t="str">
        <f aca="false">IF(L257="Tidak dibuka","–",IF(F257="","(tanpa age group)",F257)&amp;"  "&amp;IF(H257="","?",H257)&amp;"/"&amp;IF(G257="","?",G257)&amp;CHAR(10)&amp;IF(K257="","coach: –","coach: "&amp;K257))</f>
        <v>Kids  0/4
coach: –</v>
      </c>
    </row>
    <row r="258" customFormat="false" ht="22.35" hidden="false" customHeight="false" outlineLevel="0" collapsed="false">
      <c r="A258" s="76" t="str">
        <f aca="false">B258&amp;"|"&amp;C258&amp;"|"&amp;D258&amp;"|"&amp;E258</f>
        <v>KLM|4|Senin|11:00</v>
      </c>
      <c r="B258" s="76" t="s">
        <v>61</v>
      </c>
      <c r="C258" s="76" t="n">
        <v>4</v>
      </c>
      <c r="D258" s="76" t="s">
        <v>90</v>
      </c>
      <c r="E258" s="76" t="s">
        <v>114</v>
      </c>
      <c r="F258" s="77" t="s">
        <v>210</v>
      </c>
      <c r="G258" s="77" t="n">
        <v>4</v>
      </c>
      <c r="H258" s="77" t="n">
        <v>0</v>
      </c>
      <c r="I258" s="76" t="n">
        <f aca="false">IF(AND(ISNUMBER(G258),ISNUMBER(H258)),MAX(G258-H258,0),"")</f>
        <v>4</v>
      </c>
      <c r="J258" s="78" t="n">
        <f aca="false">IF(AND(ISNUMBER(G258),ISNUMBER(H258)),IF(G258&gt;0,H258/G258,""),"")</f>
        <v>0</v>
      </c>
      <c r="K258" s="77"/>
      <c r="L258" s="76" t="str">
        <f aca="false">IF(OR(G258="",H258=""),"Data tidak lengkap",IF(AND(G258=0,H258=0),IF(AND(F258="",K258=""),"Tidak dibuka","Tutup"),IF(H258&gt;G258,"Lebih kapasitas",IF(H258=G258,"Penuh",IF(H258=0,IF(F258="","Slot kosong","Belum terisi"),"Sebagian")))))</f>
        <v>Belum terisi</v>
      </c>
      <c r="M258" s="79" t="str">
        <f aca="false">IF(L258="Tidak dibuka","–",IF(F258="","(tanpa age group)",F258)&amp;"  "&amp;IF(H258="","?",H258)&amp;"/"&amp;IF(G258="","?",G258)&amp;CHAR(10)&amp;IF(K258="","coach: –","coach: "&amp;K258))</f>
        <v>Kids  0/4
coach: –</v>
      </c>
    </row>
    <row r="259" customFormat="false" ht="22.35" hidden="false" customHeight="false" outlineLevel="0" collapsed="false">
      <c r="A259" s="76" t="str">
        <f aca="false">B259&amp;"|"&amp;C259&amp;"|"&amp;D259&amp;"|"&amp;E259</f>
        <v>KLM|4|Senin|11:45</v>
      </c>
      <c r="B259" s="76" t="s">
        <v>61</v>
      </c>
      <c r="C259" s="76" t="n">
        <v>4</v>
      </c>
      <c r="D259" s="76" t="s">
        <v>90</v>
      </c>
      <c r="E259" s="76" t="s">
        <v>115</v>
      </c>
      <c r="F259" s="77" t="s">
        <v>210</v>
      </c>
      <c r="G259" s="77" t="n">
        <v>0</v>
      </c>
      <c r="H259" s="77" t="n">
        <v>0</v>
      </c>
      <c r="I259" s="76" t="n">
        <f aca="false">IF(AND(ISNUMBER(G259),ISNUMBER(H259)),MAX(G259-H259,0),"")</f>
        <v>0</v>
      </c>
      <c r="J259" s="78" t="str">
        <f aca="false">IF(AND(ISNUMBER(G259),ISNUMBER(H259)),IF(G259&gt;0,H259/G259,""),"")</f>
        <v/>
      </c>
      <c r="K259" s="77"/>
      <c r="L259" s="76" t="str">
        <f aca="false">IF(OR(G259="",H259=""),"Data tidak lengkap",IF(AND(G259=0,H259=0),IF(AND(F259="",K259=""),"Tidak dibuka","Tutup"),IF(H259&gt;G259,"Lebih kapasitas",IF(H259=G259,"Penuh",IF(H259=0,IF(F259="","Slot kosong","Belum terisi"),"Sebagian")))))</f>
        <v>Tutup</v>
      </c>
      <c r="M259" s="79" t="str">
        <f aca="false">IF(L259="Tidak dibuka","–",IF(F259="","(tanpa age group)",F259)&amp;"  "&amp;IF(H259="","?",H259)&amp;"/"&amp;IF(G259="","?",G259)&amp;CHAR(10)&amp;IF(K259="","coach: –","coach: "&amp;K259))</f>
        <v>Kids  0/0
coach: –</v>
      </c>
    </row>
    <row r="260" customFormat="false" ht="22.35" hidden="false" customHeight="false" outlineLevel="0" collapsed="false">
      <c r="A260" s="76" t="str">
        <f aca="false">B260&amp;"|"&amp;C260&amp;"|"&amp;D260&amp;"|"&amp;E260</f>
        <v>KLM|4|Senin|13:15</v>
      </c>
      <c r="B260" s="76" t="s">
        <v>61</v>
      </c>
      <c r="C260" s="76" t="n">
        <v>4</v>
      </c>
      <c r="D260" s="76" t="s">
        <v>90</v>
      </c>
      <c r="E260" s="76" t="s">
        <v>116</v>
      </c>
      <c r="F260" s="77" t="s">
        <v>210</v>
      </c>
      <c r="G260" s="77" t="n">
        <v>4</v>
      </c>
      <c r="H260" s="77" t="n">
        <v>3</v>
      </c>
      <c r="I260" s="76" t="n">
        <f aca="false">IF(AND(ISNUMBER(G260),ISNUMBER(H260)),MAX(G260-H260,0),"")</f>
        <v>1</v>
      </c>
      <c r="J260" s="78" t="n">
        <f aca="false">IF(AND(ISNUMBER(G260),ISNUMBER(H260)),IF(G260&gt;0,H260/G260,""),"")</f>
        <v>0.75</v>
      </c>
      <c r="K260" s="77" t="s">
        <v>200</v>
      </c>
      <c r="L260" s="76" t="str">
        <f aca="false">IF(OR(G260="",H260=""),"Data tidak lengkap",IF(AND(G260=0,H260=0),IF(AND(F260="",K260=""),"Tidak dibuka","Tutup"),IF(H260&gt;G260,"Lebih kapasitas",IF(H260=G260,"Penuh",IF(H260=0,IF(F260="","Slot kosong","Belum terisi"),"Sebagian")))))</f>
        <v>Sebagian</v>
      </c>
      <c r="M260" s="79" t="str">
        <f aca="false">IF(L260="Tidak dibuka","–",IF(F260="","(tanpa age group)",F260)&amp;"  "&amp;IF(H260="","?",H260)&amp;"/"&amp;IF(G260="","?",G260)&amp;CHAR(10)&amp;IF(K260="","coach: –","coach: "&amp;K260))</f>
        <v>Kids  3/4
coach: Zidane</v>
      </c>
    </row>
    <row r="261" customFormat="false" ht="22.35" hidden="false" customHeight="false" outlineLevel="0" collapsed="false">
      <c r="A261" s="76" t="str">
        <f aca="false">B261&amp;"|"&amp;C261&amp;"|"&amp;D261&amp;"|"&amp;E261</f>
        <v>KLM|4|Senin|14:00</v>
      </c>
      <c r="B261" s="76" t="s">
        <v>61</v>
      </c>
      <c r="C261" s="76" t="n">
        <v>4</v>
      </c>
      <c r="D261" s="76" t="s">
        <v>90</v>
      </c>
      <c r="E261" s="76" t="s">
        <v>117</v>
      </c>
      <c r="F261" s="77" t="s">
        <v>210</v>
      </c>
      <c r="G261" s="77" t="n">
        <v>4</v>
      </c>
      <c r="H261" s="77" t="n">
        <v>4</v>
      </c>
      <c r="I261" s="76" t="n">
        <f aca="false">IF(AND(ISNUMBER(G261),ISNUMBER(H261)),MAX(G261-H261,0),"")</f>
        <v>0</v>
      </c>
      <c r="J261" s="78" t="n">
        <f aca="false">IF(AND(ISNUMBER(G261),ISNUMBER(H261)),IF(G261&gt;0,H261/G261,""),"")</f>
        <v>1</v>
      </c>
      <c r="K261" s="77" t="s">
        <v>204</v>
      </c>
      <c r="L261" s="76" t="str">
        <f aca="false">IF(OR(G261="",H261=""),"Data tidak lengkap",IF(AND(G261=0,H261=0),IF(AND(F261="",K261=""),"Tidak dibuka","Tutup"),IF(H261&gt;G261,"Lebih kapasitas",IF(H261=G261,"Penuh",IF(H261=0,IF(F261="","Slot kosong","Belum terisi"),"Sebagian")))))</f>
        <v>Penuh</v>
      </c>
      <c r="M261" s="79" t="str">
        <f aca="false">IF(L261="Tidak dibuka","–",IF(F261="","(tanpa age group)",F261)&amp;"  "&amp;IF(H261="","?",H261)&amp;"/"&amp;IF(G261="","?",G261)&amp;CHAR(10)&amp;IF(K261="","coach: –","coach: "&amp;K261))</f>
        <v>Kids  4/4
coach: Dian</v>
      </c>
    </row>
    <row r="262" customFormat="false" ht="22.35" hidden="false" customHeight="false" outlineLevel="0" collapsed="false">
      <c r="A262" s="76" t="str">
        <f aca="false">B262&amp;"|"&amp;C262&amp;"|"&amp;D262&amp;"|"&amp;E262</f>
        <v>KLM|4|Senin|14:45</v>
      </c>
      <c r="B262" s="76" t="s">
        <v>61</v>
      </c>
      <c r="C262" s="76" t="n">
        <v>4</v>
      </c>
      <c r="D262" s="76" t="s">
        <v>90</v>
      </c>
      <c r="E262" s="76" t="s">
        <v>118</v>
      </c>
      <c r="F262" s="77" t="s">
        <v>210</v>
      </c>
      <c r="G262" s="77" t="n">
        <v>4</v>
      </c>
      <c r="H262" s="77" t="n">
        <v>4</v>
      </c>
      <c r="I262" s="76" t="n">
        <f aca="false">IF(AND(ISNUMBER(G262),ISNUMBER(H262)),MAX(G262-H262,0),"")</f>
        <v>0</v>
      </c>
      <c r="J262" s="78" t="n">
        <f aca="false">IF(AND(ISNUMBER(G262),ISNUMBER(H262)),IF(G262&gt;0,H262/G262,""),"")</f>
        <v>1</v>
      </c>
      <c r="K262" s="77" t="s">
        <v>44</v>
      </c>
      <c r="L262" s="76" t="str">
        <f aca="false">IF(OR(G262="",H262=""),"Data tidak lengkap",IF(AND(G262=0,H262=0),IF(AND(F262="",K262=""),"Tidak dibuka","Tutup"),IF(H262&gt;G262,"Lebih kapasitas",IF(H262=G262,"Penuh",IF(H262=0,IF(F262="","Slot kosong","Belum terisi"),"Sebagian")))))</f>
        <v>Penuh</v>
      </c>
      <c r="M262" s="79" t="str">
        <f aca="false">IF(L262="Tidak dibuka","–",IF(F262="","(tanpa age group)",F262)&amp;"  "&amp;IF(H262="","?",H262)&amp;"/"&amp;IF(G262="","?",G262)&amp;CHAR(10)&amp;IF(K262="","coach: –","coach: "&amp;K262))</f>
        <v>Kids  4/4
coach: Danti</v>
      </c>
    </row>
    <row r="263" customFormat="false" ht="22.35" hidden="false" customHeight="false" outlineLevel="0" collapsed="false">
      <c r="A263" s="76" t="str">
        <f aca="false">B263&amp;"|"&amp;C263&amp;"|"&amp;D263&amp;"|"&amp;E263</f>
        <v>KLM|4|Senin|15:30</v>
      </c>
      <c r="B263" s="76" t="s">
        <v>61</v>
      </c>
      <c r="C263" s="76" t="n">
        <v>4</v>
      </c>
      <c r="D263" s="76" t="s">
        <v>90</v>
      </c>
      <c r="E263" s="76" t="s">
        <v>119</v>
      </c>
      <c r="F263" s="77" t="s">
        <v>210</v>
      </c>
      <c r="G263" s="77" t="n">
        <v>4</v>
      </c>
      <c r="H263" s="77" t="n">
        <v>2</v>
      </c>
      <c r="I263" s="76" t="n">
        <f aca="false">IF(AND(ISNUMBER(G263),ISNUMBER(H263)),MAX(G263-H263,0),"")</f>
        <v>2</v>
      </c>
      <c r="J263" s="78" t="n">
        <f aca="false">IF(AND(ISNUMBER(G263),ISNUMBER(H263)),IF(G263&gt;0,H263/G263,""),"")</f>
        <v>0.5</v>
      </c>
      <c r="K263" s="77" t="s">
        <v>200</v>
      </c>
      <c r="L263" s="76" t="str">
        <f aca="false">IF(OR(G263="",H263=""),"Data tidak lengkap",IF(AND(G263=0,H263=0),IF(AND(F263="",K263=""),"Tidak dibuka","Tutup"),IF(H263&gt;G263,"Lebih kapasitas",IF(H263=G263,"Penuh",IF(H263=0,IF(F263="","Slot kosong","Belum terisi"),"Sebagian")))))</f>
        <v>Sebagian</v>
      </c>
      <c r="M263" s="79" t="str">
        <f aca="false">IF(L263="Tidak dibuka","–",IF(F263="","(tanpa age group)",F263)&amp;"  "&amp;IF(H263="","?",H263)&amp;"/"&amp;IF(G263="","?",G263)&amp;CHAR(10)&amp;IF(K263="","coach: –","coach: "&amp;K263))</f>
        <v>Kids  2/4
coach: Zidane</v>
      </c>
    </row>
    <row r="264" customFormat="false" ht="22.35" hidden="false" customHeight="false" outlineLevel="0" collapsed="false">
      <c r="A264" s="76" t="str">
        <f aca="false">B264&amp;"|"&amp;C264&amp;"|"&amp;D264&amp;"|"&amp;E264</f>
        <v>KLM|4|Senin|16:15</v>
      </c>
      <c r="B264" s="76" t="s">
        <v>61</v>
      </c>
      <c r="C264" s="76" t="n">
        <v>4</v>
      </c>
      <c r="D264" s="76" t="s">
        <v>90</v>
      </c>
      <c r="E264" s="76" t="s">
        <v>120</v>
      </c>
      <c r="F264" s="77" t="s">
        <v>210</v>
      </c>
      <c r="G264" s="77" t="n">
        <v>4</v>
      </c>
      <c r="H264" s="77" t="n">
        <v>4</v>
      </c>
      <c r="I264" s="76" t="n">
        <f aca="false">IF(AND(ISNUMBER(G264),ISNUMBER(H264)),MAX(G264-H264,0),"")</f>
        <v>0</v>
      </c>
      <c r="J264" s="78" t="n">
        <f aca="false">IF(AND(ISNUMBER(G264),ISNUMBER(H264)),IF(G264&gt;0,H264/G264,""),"")</f>
        <v>1</v>
      </c>
      <c r="K264" s="77" t="s">
        <v>44</v>
      </c>
      <c r="L264" s="76" t="str">
        <f aca="false">IF(OR(G264="",H264=""),"Data tidak lengkap",IF(AND(G264=0,H264=0),IF(AND(F264="",K264=""),"Tidak dibuka","Tutup"),IF(H264&gt;G264,"Lebih kapasitas",IF(H264=G264,"Penuh",IF(H264=0,IF(F264="","Slot kosong","Belum terisi"),"Sebagian")))))</f>
        <v>Penuh</v>
      </c>
      <c r="M264" s="79" t="str">
        <f aca="false">IF(L264="Tidak dibuka","–",IF(F264="","(tanpa age group)",F264)&amp;"  "&amp;IF(H264="","?",H264)&amp;"/"&amp;IF(G264="","?",G264)&amp;CHAR(10)&amp;IF(K264="","coach: –","coach: "&amp;K264))</f>
        <v>Kids  4/4
coach: Danti</v>
      </c>
    </row>
    <row r="265" customFormat="false" ht="22.35" hidden="false" customHeight="false" outlineLevel="0" collapsed="false">
      <c r="A265" s="76" t="str">
        <f aca="false">B265&amp;"|"&amp;C265&amp;"|"&amp;D265&amp;"|"&amp;E265</f>
        <v>KLM|4|Senin|17:00</v>
      </c>
      <c r="B265" s="76" t="s">
        <v>61</v>
      </c>
      <c r="C265" s="76" t="n">
        <v>4</v>
      </c>
      <c r="D265" s="76" t="s">
        <v>90</v>
      </c>
      <c r="E265" s="76" t="s">
        <v>121</v>
      </c>
      <c r="F265" s="77" t="s">
        <v>210</v>
      </c>
      <c r="G265" s="77" t="n">
        <v>4</v>
      </c>
      <c r="H265" s="77" t="n">
        <v>4</v>
      </c>
      <c r="I265" s="76" t="n">
        <f aca="false">IF(AND(ISNUMBER(G265),ISNUMBER(H265)),MAX(G265-H265,0),"")</f>
        <v>0</v>
      </c>
      <c r="J265" s="78" t="n">
        <f aca="false">IF(AND(ISNUMBER(G265),ISNUMBER(H265)),IF(G265&gt;0,H265/G265,""),"")</f>
        <v>1</v>
      </c>
      <c r="K265" s="77" t="s">
        <v>204</v>
      </c>
      <c r="L265" s="76" t="str">
        <f aca="false">IF(OR(G265="",H265=""),"Data tidak lengkap",IF(AND(G265=0,H265=0),IF(AND(F265="",K265=""),"Tidak dibuka","Tutup"),IF(H265&gt;G265,"Lebih kapasitas",IF(H265=G265,"Penuh",IF(H265=0,IF(F265="","Slot kosong","Belum terisi"),"Sebagian")))))</f>
        <v>Penuh</v>
      </c>
      <c r="M265" s="79" t="str">
        <f aca="false">IF(L265="Tidak dibuka","–",IF(F265="","(tanpa age group)",F265)&amp;"  "&amp;IF(H265="","?",H265)&amp;"/"&amp;IF(G265="","?",G265)&amp;CHAR(10)&amp;IF(K265="","coach: –","coach: "&amp;K265))</f>
        <v>Kids  4/4
coach: Dian</v>
      </c>
    </row>
    <row r="266" customFormat="false" ht="22.35" hidden="false" customHeight="false" outlineLevel="0" collapsed="false">
      <c r="A266" s="76" t="str">
        <f aca="false">B266&amp;"|"&amp;C266&amp;"|"&amp;D266&amp;"|"&amp;E266</f>
        <v>KLM|4|Selasa|08:00</v>
      </c>
      <c r="B266" s="76" t="s">
        <v>61</v>
      </c>
      <c r="C266" s="76" t="n">
        <v>4</v>
      </c>
      <c r="D266" s="76" t="s">
        <v>91</v>
      </c>
      <c r="E266" s="76" t="s">
        <v>110</v>
      </c>
      <c r="F266" s="77" t="s">
        <v>210</v>
      </c>
      <c r="G266" s="77" t="n">
        <v>0</v>
      </c>
      <c r="H266" s="77" t="n">
        <v>0</v>
      </c>
      <c r="I266" s="76" t="n">
        <f aca="false">IF(AND(ISNUMBER(G266),ISNUMBER(H266)),MAX(G266-H266,0),"")</f>
        <v>0</v>
      </c>
      <c r="J266" s="78" t="str">
        <f aca="false">IF(AND(ISNUMBER(G266),ISNUMBER(H266)),IF(G266&gt;0,H266/G266,""),"")</f>
        <v/>
      </c>
      <c r="K266" s="77"/>
      <c r="L266" s="76" t="str">
        <f aca="false">IF(OR(G266="",H266=""),"Data tidak lengkap",IF(AND(G266=0,H266=0),IF(AND(F266="",K266=""),"Tidak dibuka","Tutup"),IF(H266&gt;G266,"Lebih kapasitas",IF(H266=G266,"Penuh",IF(H266=0,IF(F266="","Slot kosong","Belum terisi"),"Sebagian")))))</f>
        <v>Tutup</v>
      </c>
      <c r="M266" s="79" t="str">
        <f aca="false">IF(L266="Tidak dibuka","–",IF(F266="","(tanpa age group)",F266)&amp;"  "&amp;IF(H266="","?",H266)&amp;"/"&amp;IF(G266="","?",G266)&amp;CHAR(10)&amp;IF(K266="","coach: –","coach: "&amp;K266))</f>
        <v>Kids  0/0
coach: –</v>
      </c>
    </row>
    <row r="267" customFormat="false" ht="22.35" hidden="false" customHeight="false" outlineLevel="0" collapsed="false">
      <c r="A267" s="76" t="str">
        <f aca="false">B267&amp;"|"&amp;C267&amp;"|"&amp;D267&amp;"|"&amp;E267</f>
        <v>KLM|4|Selasa|08:45</v>
      </c>
      <c r="B267" s="76" t="s">
        <v>61</v>
      </c>
      <c r="C267" s="76" t="n">
        <v>4</v>
      </c>
      <c r="D267" s="76" t="s">
        <v>91</v>
      </c>
      <c r="E267" s="76" t="s">
        <v>111</v>
      </c>
      <c r="F267" s="77" t="s">
        <v>210</v>
      </c>
      <c r="G267" s="77" t="n">
        <v>4</v>
      </c>
      <c r="H267" s="77" t="n">
        <v>0</v>
      </c>
      <c r="I267" s="76" t="n">
        <f aca="false">IF(AND(ISNUMBER(G267),ISNUMBER(H267)),MAX(G267-H267,0),"")</f>
        <v>4</v>
      </c>
      <c r="J267" s="78" t="n">
        <f aca="false">IF(AND(ISNUMBER(G267),ISNUMBER(H267)),IF(G267&gt;0,H267/G267,""),"")</f>
        <v>0</v>
      </c>
      <c r="K267" s="77"/>
      <c r="L267" s="76" t="str">
        <f aca="false">IF(OR(G267="",H267=""),"Data tidak lengkap",IF(AND(G267=0,H267=0),IF(AND(F267="",K267=""),"Tidak dibuka","Tutup"),IF(H267&gt;G267,"Lebih kapasitas",IF(H267=G267,"Penuh",IF(H267=0,IF(F267="","Slot kosong","Belum terisi"),"Sebagian")))))</f>
        <v>Belum terisi</v>
      </c>
      <c r="M267" s="79" t="str">
        <f aca="false">IF(L267="Tidak dibuka","–",IF(F267="","(tanpa age group)",F267)&amp;"  "&amp;IF(H267="","?",H267)&amp;"/"&amp;IF(G267="","?",G267)&amp;CHAR(10)&amp;IF(K267="","coach: –","coach: "&amp;K267))</f>
        <v>Kids  0/4
coach: –</v>
      </c>
    </row>
    <row r="268" customFormat="false" ht="22.35" hidden="false" customHeight="false" outlineLevel="0" collapsed="false">
      <c r="A268" s="76" t="str">
        <f aca="false">B268&amp;"|"&amp;C268&amp;"|"&amp;D268&amp;"|"&amp;E268</f>
        <v>KLM|4|Selasa|09:30</v>
      </c>
      <c r="B268" s="76" t="s">
        <v>61</v>
      </c>
      <c r="C268" s="76" t="n">
        <v>4</v>
      </c>
      <c r="D268" s="76" t="s">
        <v>91</v>
      </c>
      <c r="E268" s="76" t="s">
        <v>112</v>
      </c>
      <c r="F268" s="77" t="s">
        <v>210</v>
      </c>
      <c r="G268" s="77" t="n">
        <v>4</v>
      </c>
      <c r="H268" s="77" t="n">
        <v>0</v>
      </c>
      <c r="I268" s="76" t="n">
        <f aca="false">IF(AND(ISNUMBER(G268),ISNUMBER(H268)),MAX(G268-H268,0),"")</f>
        <v>4</v>
      </c>
      <c r="J268" s="78" t="n">
        <f aca="false">IF(AND(ISNUMBER(G268),ISNUMBER(H268)),IF(G268&gt;0,H268/G268,""),"")</f>
        <v>0</v>
      </c>
      <c r="K268" s="77"/>
      <c r="L268" s="76" t="str">
        <f aca="false">IF(OR(G268="",H268=""),"Data tidak lengkap",IF(AND(G268=0,H268=0),IF(AND(F268="",K268=""),"Tidak dibuka","Tutup"),IF(H268&gt;G268,"Lebih kapasitas",IF(H268=G268,"Penuh",IF(H268=0,IF(F268="","Slot kosong","Belum terisi"),"Sebagian")))))</f>
        <v>Belum terisi</v>
      </c>
      <c r="M268" s="79" t="str">
        <f aca="false">IF(L268="Tidak dibuka","–",IF(F268="","(tanpa age group)",F268)&amp;"  "&amp;IF(H268="","?",H268)&amp;"/"&amp;IF(G268="","?",G268)&amp;CHAR(10)&amp;IF(K268="","coach: –","coach: "&amp;K268))</f>
        <v>Kids  0/4
coach: –</v>
      </c>
    </row>
    <row r="269" customFormat="false" ht="22.35" hidden="false" customHeight="false" outlineLevel="0" collapsed="false">
      <c r="A269" s="76" t="str">
        <f aca="false">B269&amp;"|"&amp;C269&amp;"|"&amp;D269&amp;"|"&amp;E269</f>
        <v>KLM|4|Selasa|10:15</v>
      </c>
      <c r="B269" s="76" t="s">
        <v>61</v>
      </c>
      <c r="C269" s="76" t="n">
        <v>4</v>
      </c>
      <c r="D269" s="76" t="s">
        <v>91</v>
      </c>
      <c r="E269" s="76" t="s">
        <v>113</v>
      </c>
      <c r="F269" s="77" t="s">
        <v>210</v>
      </c>
      <c r="G269" s="77" t="n">
        <v>4</v>
      </c>
      <c r="H269" s="77" t="n">
        <v>0</v>
      </c>
      <c r="I269" s="76" t="n">
        <f aca="false">IF(AND(ISNUMBER(G269),ISNUMBER(H269)),MAX(G269-H269,0),"")</f>
        <v>4</v>
      </c>
      <c r="J269" s="78" t="n">
        <f aca="false">IF(AND(ISNUMBER(G269),ISNUMBER(H269)),IF(G269&gt;0,H269/G269,""),"")</f>
        <v>0</v>
      </c>
      <c r="K269" s="77"/>
      <c r="L269" s="76" t="str">
        <f aca="false">IF(OR(G269="",H269=""),"Data tidak lengkap",IF(AND(G269=0,H269=0),IF(AND(F269="",K269=""),"Tidak dibuka","Tutup"),IF(H269&gt;G269,"Lebih kapasitas",IF(H269=G269,"Penuh",IF(H269=0,IF(F269="","Slot kosong","Belum terisi"),"Sebagian")))))</f>
        <v>Belum terisi</v>
      </c>
      <c r="M269" s="79" t="str">
        <f aca="false">IF(L269="Tidak dibuka","–",IF(F269="","(tanpa age group)",F269)&amp;"  "&amp;IF(H269="","?",H269)&amp;"/"&amp;IF(G269="","?",G269)&amp;CHAR(10)&amp;IF(K269="","coach: –","coach: "&amp;K269))</f>
        <v>Kids  0/4
coach: –</v>
      </c>
    </row>
    <row r="270" customFormat="false" ht="22.35" hidden="false" customHeight="false" outlineLevel="0" collapsed="false">
      <c r="A270" s="76" t="str">
        <f aca="false">B270&amp;"|"&amp;C270&amp;"|"&amp;D270&amp;"|"&amp;E270</f>
        <v>KLM|4|Selasa|11:00</v>
      </c>
      <c r="B270" s="76" t="s">
        <v>61</v>
      </c>
      <c r="C270" s="76" t="n">
        <v>4</v>
      </c>
      <c r="D270" s="76" t="s">
        <v>91</v>
      </c>
      <c r="E270" s="76" t="s">
        <v>114</v>
      </c>
      <c r="F270" s="77" t="s">
        <v>210</v>
      </c>
      <c r="G270" s="77" t="n">
        <v>4</v>
      </c>
      <c r="H270" s="77" t="n">
        <v>0</v>
      </c>
      <c r="I270" s="76" t="n">
        <f aca="false">IF(AND(ISNUMBER(G270),ISNUMBER(H270)),MAX(G270-H270,0),"")</f>
        <v>4</v>
      </c>
      <c r="J270" s="78" t="n">
        <f aca="false">IF(AND(ISNUMBER(G270),ISNUMBER(H270)),IF(G270&gt;0,H270/G270,""),"")</f>
        <v>0</v>
      </c>
      <c r="K270" s="77"/>
      <c r="L270" s="76" t="str">
        <f aca="false">IF(OR(G270="",H270=""),"Data tidak lengkap",IF(AND(G270=0,H270=0),IF(AND(F270="",K270=""),"Tidak dibuka","Tutup"),IF(H270&gt;G270,"Lebih kapasitas",IF(H270=G270,"Penuh",IF(H270=0,IF(F270="","Slot kosong","Belum terisi"),"Sebagian")))))</f>
        <v>Belum terisi</v>
      </c>
      <c r="M270" s="79" t="str">
        <f aca="false">IF(L270="Tidak dibuka","–",IF(F270="","(tanpa age group)",F270)&amp;"  "&amp;IF(H270="","?",H270)&amp;"/"&amp;IF(G270="","?",G270)&amp;CHAR(10)&amp;IF(K270="","coach: –","coach: "&amp;K270))</f>
        <v>Kids  0/4
coach: –</v>
      </c>
    </row>
    <row r="271" customFormat="false" ht="22.35" hidden="false" customHeight="false" outlineLevel="0" collapsed="false">
      <c r="A271" s="76" t="str">
        <f aca="false">B271&amp;"|"&amp;C271&amp;"|"&amp;D271&amp;"|"&amp;E271</f>
        <v>KLM|4|Selasa|11:45</v>
      </c>
      <c r="B271" s="76" t="s">
        <v>61</v>
      </c>
      <c r="C271" s="76" t="n">
        <v>4</v>
      </c>
      <c r="D271" s="76" t="s">
        <v>91</v>
      </c>
      <c r="E271" s="76" t="s">
        <v>115</v>
      </c>
      <c r="F271" s="77" t="s">
        <v>210</v>
      </c>
      <c r="G271" s="77" t="n">
        <v>0</v>
      </c>
      <c r="H271" s="77" t="n">
        <v>0</v>
      </c>
      <c r="I271" s="76" t="n">
        <f aca="false">IF(AND(ISNUMBER(G271),ISNUMBER(H271)),MAX(G271-H271,0),"")</f>
        <v>0</v>
      </c>
      <c r="J271" s="78" t="str">
        <f aca="false">IF(AND(ISNUMBER(G271),ISNUMBER(H271)),IF(G271&gt;0,H271/G271,""),"")</f>
        <v/>
      </c>
      <c r="K271" s="77"/>
      <c r="L271" s="76" t="str">
        <f aca="false">IF(OR(G271="",H271=""),"Data tidak lengkap",IF(AND(G271=0,H271=0),IF(AND(F271="",K271=""),"Tidak dibuka","Tutup"),IF(H271&gt;G271,"Lebih kapasitas",IF(H271=G271,"Penuh",IF(H271=0,IF(F271="","Slot kosong","Belum terisi"),"Sebagian")))))</f>
        <v>Tutup</v>
      </c>
      <c r="M271" s="79" t="str">
        <f aca="false">IF(L271="Tidak dibuka","–",IF(F271="","(tanpa age group)",F271)&amp;"  "&amp;IF(H271="","?",H271)&amp;"/"&amp;IF(G271="","?",G271)&amp;CHAR(10)&amp;IF(K271="","coach: –","coach: "&amp;K271))</f>
        <v>Kids  0/0
coach: –</v>
      </c>
    </row>
    <row r="272" customFormat="false" ht="22.35" hidden="false" customHeight="false" outlineLevel="0" collapsed="false">
      <c r="A272" s="76" t="str">
        <f aca="false">B272&amp;"|"&amp;C272&amp;"|"&amp;D272&amp;"|"&amp;E272</f>
        <v>KLM|4|Selasa|13:15</v>
      </c>
      <c r="B272" s="76" t="s">
        <v>61</v>
      </c>
      <c r="C272" s="76" t="n">
        <v>4</v>
      </c>
      <c r="D272" s="76" t="s">
        <v>91</v>
      </c>
      <c r="E272" s="76" t="s">
        <v>116</v>
      </c>
      <c r="F272" s="77" t="s">
        <v>210</v>
      </c>
      <c r="G272" s="77" t="n">
        <v>4</v>
      </c>
      <c r="H272" s="77" t="n">
        <v>3</v>
      </c>
      <c r="I272" s="76" t="n">
        <f aca="false">IF(AND(ISNUMBER(G272),ISNUMBER(H272)),MAX(G272-H272,0),"")</f>
        <v>1</v>
      </c>
      <c r="J272" s="78" t="n">
        <f aca="false">IF(AND(ISNUMBER(G272),ISNUMBER(H272)),IF(G272&gt;0,H272/G272,""),"")</f>
        <v>0.75</v>
      </c>
      <c r="K272" s="77" t="s">
        <v>204</v>
      </c>
      <c r="L272" s="76" t="str">
        <f aca="false">IF(OR(G272="",H272=""),"Data tidak lengkap",IF(AND(G272=0,H272=0),IF(AND(F272="",K272=""),"Tidak dibuka","Tutup"),IF(H272&gt;G272,"Lebih kapasitas",IF(H272=G272,"Penuh",IF(H272=0,IF(F272="","Slot kosong","Belum terisi"),"Sebagian")))))</f>
        <v>Sebagian</v>
      </c>
      <c r="M272" s="79" t="str">
        <f aca="false">IF(L272="Tidak dibuka","–",IF(F272="","(tanpa age group)",F272)&amp;"  "&amp;IF(H272="","?",H272)&amp;"/"&amp;IF(G272="","?",G272)&amp;CHAR(10)&amp;IF(K272="","coach: –","coach: "&amp;K272))</f>
        <v>Kids  3/4
coach: Dian</v>
      </c>
    </row>
    <row r="273" customFormat="false" ht="22.35" hidden="false" customHeight="false" outlineLevel="0" collapsed="false">
      <c r="A273" s="76" t="str">
        <f aca="false">B273&amp;"|"&amp;C273&amp;"|"&amp;D273&amp;"|"&amp;E273</f>
        <v>KLM|4|Selasa|14:00</v>
      </c>
      <c r="B273" s="76" t="s">
        <v>61</v>
      </c>
      <c r="C273" s="76" t="n">
        <v>4</v>
      </c>
      <c r="D273" s="76" t="s">
        <v>91</v>
      </c>
      <c r="E273" s="76" t="s">
        <v>117</v>
      </c>
      <c r="F273" s="77" t="s">
        <v>210</v>
      </c>
      <c r="G273" s="77" t="n">
        <v>4</v>
      </c>
      <c r="H273" s="77" t="n">
        <v>4</v>
      </c>
      <c r="I273" s="76" t="n">
        <f aca="false">IF(AND(ISNUMBER(G273),ISNUMBER(H273)),MAX(G273-H273,0),"")</f>
        <v>0</v>
      </c>
      <c r="J273" s="78" t="n">
        <f aca="false">IF(AND(ISNUMBER(G273),ISNUMBER(H273)),IF(G273&gt;0,H273/G273,""),"")</f>
        <v>1</v>
      </c>
      <c r="K273" s="77" t="s">
        <v>200</v>
      </c>
      <c r="L273" s="76" t="str">
        <f aca="false">IF(OR(G273="",H273=""),"Data tidak lengkap",IF(AND(G273=0,H273=0),IF(AND(F273="",K273=""),"Tidak dibuka","Tutup"),IF(H273&gt;G273,"Lebih kapasitas",IF(H273=G273,"Penuh",IF(H273=0,IF(F273="","Slot kosong","Belum terisi"),"Sebagian")))))</f>
        <v>Penuh</v>
      </c>
      <c r="M273" s="79" t="str">
        <f aca="false">IF(L273="Tidak dibuka","–",IF(F273="","(tanpa age group)",F273)&amp;"  "&amp;IF(H273="","?",H273)&amp;"/"&amp;IF(G273="","?",G273)&amp;CHAR(10)&amp;IF(K273="","coach: –","coach: "&amp;K273))</f>
        <v>Kids  4/4
coach: Zidane</v>
      </c>
    </row>
    <row r="274" customFormat="false" ht="22.35" hidden="false" customHeight="false" outlineLevel="0" collapsed="false">
      <c r="A274" s="76" t="str">
        <f aca="false">B274&amp;"|"&amp;C274&amp;"|"&amp;D274&amp;"|"&amp;E274</f>
        <v>KLM|4|Selasa|14:45</v>
      </c>
      <c r="B274" s="76" t="s">
        <v>61</v>
      </c>
      <c r="C274" s="76" t="n">
        <v>4</v>
      </c>
      <c r="D274" s="76" t="s">
        <v>91</v>
      </c>
      <c r="E274" s="76" t="s">
        <v>118</v>
      </c>
      <c r="F274" s="77" t="s">
        <v>210</v>
      </c>
      <c r="G274" s="77" t="n">
        <v>4</v>
      </c>
      <c r="H274" s="77" t="n">
        <v>4</v>
      </c>
      <c r="I274" s="76" t="n">
        <f aca="false">IF(AND(ISNUMBER(G274),ISNUMBER(H274)),MAX(G274-H274,0),"")</f>
        <v>0</v>
      </c>
      <c r="J274" s="78" t="n">
        <f aca="false">IF(AND(ISNUMBER(G274),ISNUMBER(H274)),IF(G274&gt;0,H274/G274,""),"")</f>
        <v>1</v>
      </c>
      <c r="K274" s="77" t="s">
        <v>204</v>
      </c>
      <c r="L274" s="76" t="str">
        <f aca="false">IF(OR(G274="",H274=""),"Data tidak lengkap",IF(AND(G274=0,H274=0),IF(AND(F274="",K274=""),"Tidak dibuka","Tutup"),IF(H274&gt;G274,"Lebih kapasitas",IF(H274=G274,"Penuh",IF(H274=0,IF(F274="","Slot kosong","Belum terisi"),"Sebagian")))))</f>
        <v>Penuh</v>
      </c>
      <c r="M274" s="79" t="str">
        <f aca="false">IF(L274="Tidak dibuka","–",IF(F274="","(tanpa age group)",F274)&amp;"  "&amp;IF(H274="","?",H274)&amp;"/"&amp;IF(G274="","?",G274)&amp;CHAR(10)&amp;IF(K274="","coach: –","coach: "&amp;K274))</f>
        <v>Kids  4/4
coach: Dian</v>
      </c>
    </row>
    <row r="275" customFormat="false" ht="22.35" hidden="false" customHeight="false" outlineLevel="0" collapsed="false">
      <c r="A275" s="76" t="str">
        <f aca="false">B275&amp;"|"&amp;C275&amp;"|"&amp;D275&amp;"|"&amp;E275</f>
        <v>KLM|4|Selasa|15:30</v>
      </c>
      <c r="B275" s="76" t="s">
        <v>61</v>
      </c>
      <c r="C275" s="76" t="n">
        <v>4</v>
      </c>
      <c r="D275" s="76" t="s">
        <v>91</v>
      </c>
      <c r="E275" s="76" t="s">
        <v>119</v>
      </c>
      <c r="F275" s="77" t="s">
        <v>210</v>
      </c>
      <c r="G275" s="77" t="n">
        <v>0</v>
      </c>
      <c r="H275" s="77" t="n">
        <v>4</v>
      </c>
      <c r="I275" s="76" t="n">
        <f aca="false">IF(AND(ISNUMBER(G275),ISNUMBER(H275)),MAX(G275-H275,0),"")</f>
        <v>0</v>
      </c>
      <c r="J275" s="78" t="str">
        <f aca="false">IF(AND(ISNUMBER(G275),ISNUMBER(H275)),IF(G275&gt;0,H275/G275,""),"")</f>
        <v/>
      </c>
      <c r="K275" s="77" t="s">
        <v>200</v>
      </c>
      <c r="L275" s="76" t="str">
        <f aca="false">IF(OR(G275="",H275=""),"Data tidak lengkap",IF(AND(G275=0,H275=0),IF(AND(F275="",K275=""),"Tidak dibuka","Tutup"),IF(H275&gt;G275,"Lebih kapasitas",IF(H275=G275,"Penuh",IF(H275=0,IF(F275="","Slot kosong","Belum terisi"),"Sebagian")))))</f>
        <v>Lebih kapasitas</v>
      </c>
      <c r="M275" s="79" t="str">
        <f aca="false">IF(L275="Tidak dibuka","–",IF(F275="","(tanpa age group)",F275)&amp;"  "&amp;IF(H275="","?",H275)&amp;"/"&amp;IF(G275="","?",G275)&amp;CHAR(10)&amp;IF(K275="","coach: –","coach: "&amp;K275))</f>
        <v>Kids  4/0
coach: Zidane</v>
      </c>
    </row>
    <row r="276" customFormat="false" ht="22.35" hidden="false" customHeight="false" outlineLevel="0" collapsed="false">
      <c r="A276" s="76" t="str">
        <f aca="false">B276&amp;"|"&amp;C276&amp;"|"&amp;D276&amp;"|"&amp;E276</f>
        <v>KLM|4|Selasa|16:15</v>
      </c>
      <c r="B276" s="76" t="s">
        <v>61</v>
      </c>
      <c r="C276" s="76" t="n">
        <v>4</v>
      </c>
      <c r="D276" s="76" t="s">
        <v>91</v>
      </c>
      <c r="E276" s="76" t="s">
        <v>120</v>
      </c>
      <c r="F276" s="77" t="s">
        <v>210</v>
      </c>
      <c r="G276" s="77" t="n">
        <v>4</v>
      </c>
      <c r="H276" s="77" t="n">
        <v>3</v>
      </c>
      <c r="I276" s="76" t="n">
        <f aca="false">IF(AND(ISNUMBER(G276),ISNUMBER(H276)),MAX(G276-H276,0),"")</f>
        <v>1</v>
      </c>
      <c r="J276" s="78" t="n">
        <f aca="false">IF(AND(ISNUMBER(G276),ISNUMBER(H276)),IF(G276&gt;0,H276/G276,""),"")</f>
        <v>0.75</v>
      </c>
      <c r="K276" s="77" t="s">
        <v>44</v>
      </c>
      <c r="L276" s="76" t="str">
        <f aca="false">IF(OR(G276="",H276=""),"Data tidak lengkap",IF(AND(G276=0,H276=0),IF(AND(F276="",K276=""),"Tidak dibuka","Tutup"),IF(H276&gt;G276,"Lebih kapasitas",IF(H276=G276,"Penuh",IF(H276=0,IF(F276="","Slot kosong","Belum terisi"),"Sebagian")))))</f>
        <v>Sebagian</v>
      </c>
      <c r="M276" s="79" t="str">
        <f aca="false">IF(L276="Tidak dibuka","–",IF(F276="","(tanpa age group)",F276)&amp;"  "&amp;IF(H276="","?",H276)&amp;"/"&amp;IF(G276="","?",G276)&amp;CHAR(10)&amp;IF(K276="","coach: –","coach: "&amp;K276))</f>
        <v>Kids  3/4
coach: Danti</v>
      </c>
    </row>
    <row r="277" customFormat="false" ht="22.35" hidden="false" customHeight="false" outlineLevel="0" collapsed="false">
      <c r="A277" s="76" t="str">
        <f aca="false">B277&amp;"|"&amp;C277&amp;"|"&amp;D277&amp;"|"&amp;E277</f>
        <v>KLM|4|Selasa|17:00</v>
      </c>
      <c r="B277" s="76" t="s">
        <v>61</v>
      </c>
      <c r="C277" s="76" t="n">
        <v>4</v>
      </c>
      <c r="D277" s="76" t="s">
        <v>91</v>
      </c>
      <c r="E277" s="76" t="s">
        <v>121</v>
      </c>
      <c r="F277" s="77" t="s">
        <v>210</v>
      </c>
      <c r="G277" s="77" t="n">
        <v>4</v>
      </c>
      <c r="H277" s="77" t="n">
        <v>4</v>
      </c>
      <c r="I277" s="76" t="n">
        <f aca="false">IF(AND(ISNUMBER(G277),ISNUMBER(H277)),MAX(G277-H277,0),"")</f>
        <v>0</v>
      </c>
      <c r="J277" s="78" t="n">
        <f aca="false">IF(AND(ISNUMBER(G277),ISNUMBER(H277)),IF(G277&gt;0,H277/G277,""),"")</f>
        <v>1</v>
      </c>
      <c r="K277" s="77" t="s">
        <v>197</v>
      </c>
      <c r="L277" s="76" t="str">
        <f aca="false">IF(OR(G277="",H277=""),"Data tidak lengkap",IF(AND(G277=0,H277=0),IF(AND(F277="",K277=""),"Tidak dibuka","Tutup"),IF(H277&gt;G277,"Lebih kapasitas",IF(H277=G277,"Penuh",IF(H277=0,IF(F277="","Slot kosong","Belum terisi"),"Sebagian")))))</f>
        <v>Penuh</v>
      </c>
      <c r="M277" s="79" t="str">
        <f aca="false">IF(L277="Tidak dibuka","–",IF(F277="","(tanpa age group)",F277)&amp;"  "&amp;IF(H277="","?",H277)&amp;"/"&amp;IF(G277="","?",G277)&amp;CHAR(10)&amp;IF(K277="","coach: –","coach: "&amp;K277))</f>
        <v>Kids  4/4
coach: Rischa</v>
      </c>
    </row>
    <row r="278" customFormat="false" ht="22.35" hidden="false" customHeight="false" outlineLevel="0" collapsed="false">
      <c r="A278" s="76" t="str">
        <f aca="false">B278&amp;"|"&amp;C278&amp;"|"&amp;D278&amp;"|"&amp;E278</f>
        <v>KLM|4|Rabu|08:00</v>
      </c>
      <c r="B278" s="76" t="s">
        <v>61</v>
      </c>
      <c r="C278" s="76" t="n">
        <v>4</v>
      </c>
      <c r="D278" s="76" t="s">
        <v>92</v>
      </c>
      <c r="E278" s="76" t="s">
        <v>110</v>
      </c>
      <c r="F278" s="77" t="s">
        <v>210</v>
      </c>
      <c r="G278" s="77" t="n">
        <v>0</v>
      </c>
      <c r="H278" s="77" t="n">
        <v>0</v>
      </c>
      <c r="I278" s="76" t="n">
        <f aca="false">IF(AND(ISNUMBER(G278),ISNUMBER(H278)),MAX(G278-H278,0),"")</f>
        <v>0</v>
      </c>
      <c r="J278" s="78" t="str">
        <f aca="false">IF(AND(ISNUMBER(G278),ISNUMBER(H278)),IF(G278&gt;0,H278/G278,""),"")</f>
        <v/>
      </c>
      <c r="K278" s="77"/>
      <c r="L278" s="76" t="str">
        <f aca="false">IF(OR(G278="",H278=""),"Data tidak lengkap",IF(AND(G278=0,H278=0),IF(AND(F278="",K278=""),"Tidak dibuka","Tutup"),IF(H278&gt;G278,"Lebih kapasitas",IF(H278=G278,"Penuh",IF(H278=0,IF(F278="","Slot kosong","Belum terisi"),"Sebagian")))))</f>
        <v>Tutup</v>
      </c>
      <c r="M278" s="79" t="str">
        <f aca="false">IF(L278="Tidak dibuka","–",IF(F278="","(tanpa age group)",F278)&amp;"  "&amp;IF(H278="","?",H278)&amp;"/"&amp;IF(G278="","?",G278)&amp;CHAR(10)&amp;IF(K278="","coach: –","coach: "&amp;K278))</f>
        <v>Kids  0/0
coach: –</v>
      </c>
    </row>
    <row r="279" customFormat="false" ht="22.35" hidden="false" customHeight="false" outlineLevel="0" collapsed="false">
      <c r="A279" s="76" t="str">
        <f aca="false">B279&amp;"|"&amp;C279&amp;"|"&amp;D279&amp;"|"&amp;E279</f>
        <v>KLM|4|Rabu|08:45</v>
      </c>
      <c r="B279" s="76" t="s">
        <v>61</v>
      </c>
      <c r="C279" s="76" t="n">
        <v>4</v>
      </c>
      <c r="D279" s="76" t="s">
        <v>92</v>
      </c>
      <c r="E279" s="76" t="s">
        <v>111</v>
      </c>
      <c r="F279" s="77" t="s">
        <v>210</v>
      </c>
      <c r="G279" s="77" t="n">
        <v>4</v>
      </c>
      <c r="H279" s="77" t="n">
        <v>3</v>
      </c>
      <c r="I279" s="76" t="n">
        <f aca="false">IF(AND(ISNUMBER(G279),ISNUMBER(H279)),MAX(G279-H279,0),"")</f>
        <v>1</v>
      </c>
      <c r="J279" s="78" t="n">
        <f aca="false">IF(AND(ISNUMBER(G279),ISNUMBER(H279)),IF(G279&gt;0,H279/G279,""),"")</f>
        <v>0.75</v>
      </c>
      <c r="K279" s="77" t="s">
        <v>207</v>
      </c>
      <c r="L279" s="76" t="str">
        <f aca="false">IF(OR(G279="",H279=""),"Data tidak lengkap",IF(AND(G279=0,H279=0),IF(AND(F279="",K279=""),"Tidak dibuka","Tutup"),IF(H279&gt;G279,"Lebih kapasitas",IF(H279=G279,"Penuh",IF(H279=0,IF(F279="","Slot kosong","Belum terisi"),"Sebagian")))))</f>
        <v>Sebagian</v>
      </c>
      <c r="M279" s="79" t="str">
        <f aca="false">IF(L279="Tidak dibuka","–",IF(F279="","(tanpa age group)",F279)&amp;"  "&amp;IF(H279="","?",H279)&amp;"/"&amp;IF(G279="","?",G279)&amp;CHAR(10)&amp;IF(K279="","coach: –","coach: "&amp;K279))</f>
        <v>Kids  3/4
coach: Gita</v>
      </c>
    </row>
    <row r="280" customFormat="false" ht="22.35" hidden="false" customHeight="false" outlineLevel="0" collapsed="false">
      <c r="A280" s="76" t="str">
        <f aca="false">B280&amp;"|"&amp;C280&amp;"|"&amp;D280&amp;"|"&amp;E280</f>
        <v>KLM|4|Rabu|09:30</v>
      </c>
      <c r="B280" s="76" t="s">
        <v>61</v>
      </c>
      <c r="C280" s="76" t="n">
        <v>4</v>
      </c>
      <c r="D280" s="76" t="s">
        <v>92</v>
      </c>
      <c r="E280" s="76" t="s">
        <v>112</v>
      </c>
      <c r="F280" s="77" t="s">
        <v>210</v>
      </c>
      <c r="G280" s="77" t="n">
        <v>4</v>
      </c>
      <c r="H280" s="77" t="n">
        <v>0</v>
      </c>
      <c r="I280" s="76" t="n">
        <f aca="false">IF(AND(ISNUMBER(G280),ISNUMBER(H280)),MAX(G280-H280,0),"")</f>
        <v>4</v>
      </c>
      <c r="J280" s="78" t="n">
        <f aca="false">IF(AND(ISNUMBER(G280),ISNUMBER(H280)),IF(G280&gt;0,H280/G280,""),"")</f>
        <v>0</v>
      </c>
      <c r="K280" s="77"/>
      <c r="L280" s="76" t="str">
        <f aca="false">IF(OR(G280="",H280=""),"Data tidak lengkap",IF(AND(G280=0,H280=0),IF(AND(F280="",K280=""),"Tidak dibuka","Tutup"),IF(H280&gt;G280,"Lebih kapasitas",IF(H280=G280,"Penuh",IF(H280=0,IF(F280="","Slot kosong","Belum terisi"),"Sebagian")))))</f>
        <v>Belum terisi</v>
      </c>
      <c r="M280" s="79" t="str">
        <f aca="false">IF(L280="Tidak dibuka","–",IF(F280="","(tanpa age group)",F280)&amp;"  "&amp;IF(H280="","?",H280)&amp;"/"&amp;IF(G280="","?",G280)&amp;CHAR(10)&amp;IF(K280="","coach: –","coach: "&amp;K280))</f>
        <v>Kids  0/4
coach: –</v>
      </c>
    </row>
    <row r="281" customFormat="false" ht="22.35" hidden="false" customHeight="false" outlineLevel="0" collapsed="false">
      <c r="A281" s="76" t="str">
        <f aca="false">B281&amp;"|"&amp;C281&amp;"|"&amp;D281&amp;"|"&amp;E281</f>
        <v>KLM|4|Rabu|10:15</v>
      </c>
      <c r="B281" s="76" t="s">
        <v>61</v>
      </c>
      <c r="C281" s="76" t="n">
        <v>4</v>
      </c>
      <c r="D281" s="76" t="s">
        <v>92</v>
      </c>
      <c r="E281" s="76" t="s">
        <v>113</v>
      </c>
      <c r="F281" s="77" t="s">
        <v>210</v>
      </c>
      <c r="G281" s="77" t="n">
        <v>4</v>
      </c>
      <c r="H281" s="77" t="n">
        <v>0</v>
      </c>
      <c r="I281" s="76" t="n">
        <f aca="false">IF(AND(ISNUMBER(G281),ISNUMBER(H281)),MAX(G281-H281,0),"")</f>
        <v>4</v>
      </c>
      <c r="J281" s="78" t="n">
        <f aca="false">IF(AND(ISNUMBER(G281),ISNUMBER(H281)),IF(G281&gt;0,H281/G281,""),"")</f>
        <v>0</v>
      </c>
      <c r="K281" s="77"/>
      <c r="L281" s="76" t="str">
        <f aca="false">IF(OR(G281="",H281=""),"Data tidak lengkap",IF(AND(G281=0,H281=0),IF(AND(F281="",K281=""),"Tidak dibuka","Tutup"),IF(H281&gt;G281,"Lebih kapasitas",IF(H281=G281,"Penuh",IF(H281=0,IF(F281="","Slot kosong","Belum terisi"),"Sebagian")))))</f>
        <v>Belum terisi</v>
      </c>
      <c r="M281" s="79" t="str">
        <f aca="false">IF(L281="Tidak dibuka","–",IF(F281="","(tanpa age group)",F281)&amp;"  "&amp;IF(H281="","?",H281)&amp;"/"&amp;IF(G281="","?",G281)&amp;CHAR(10)&amp;IF(K281="","coach: –","coach: "&amp;K281))</f>
        <v>Kids  0/4
coach: –</v>
      </c>
    </row>
    <row r="282" customFormat="false" ht="22.35" hidden="false" customHeight="false" outlineLevel="0" collapsed="false">
      <c r="A282" s="76" t="str">
        <f aca="false">B282&amp;"|"&amp;C282&amp;"|"&amp;D282&amp;"|"&amp;E282</f>
        <v>KLM|4|Rabu|11:00</v>
      </c>
      <c r="B282" s="76" t="s">
        <v>61</v>
      </c>
      <c r="C282" s="76" t="n">
        <v>4</v>
      </c>
      <c r="D282" s="76" t="s">
        <v>92</v>
      </c>
      <c r="E282" s="76" t="s">
        <v>114</v>
      </c>
      <c r="F282" s="77" t="s">
        <v>210</v>
      </c>
      <c r="G282" s="77" t="n">
        <v>4</v>
      </c>
      <c r="H282" s="77" t="n">
        <v>0</v>
      </c>
      <c r="I282" s="76" t="n">
        <f aca="false">IF(AND(ISNUMBER(G282),ISNUMBER(H282)),MAX(G282-H282,0),"")</f>
        <v>4</v>
      </c>
      <c r="J282" s="78" t="n">
        <f aca="false">IF(AND(ISNUMBER(G282),ISNUMBER(H282)),IF(G282&gt;0,H282/G282,""),"")</f>
        <v>0</v>
      </c>
      <c r="K282" s="77"/>
      <c r="L282" s="76" t="str">
        <f aca="false">IF(OR(G282="",H282=""),"Data tidak lengkap",IF(AND(G282=0,H282=0),IF(AND(F282="",K282=""),"Tidak dibuka","Tutup"),IF(H282&gt;G282,"Lebih kapasitas",IF(H282=G282,"Penuh",IF(H282=0,IF(F282="","Slot kosong","Belum terisi"),"Sebagian")))))</f>
        <v>Belum terisi</v>
      </c>
      <c r="M282" s="79" t="str">
        <f aca="false">IF(L282="Tidak dibuka","–",IF(F282="","(tanpa age group)",F282)&amp;"  "&amp;IF(H282="","?",H282)&amp;"/"&amp;IF(G282="","?",G282)&amp;CHAR(10)&amp;IF(K282="","coach: –","coach: "&amp;K282))</f>
        <v>Kids  0/4
coach: –</v>
      </c>
    </row>
    <row r="283" customFormat="false" ht="22.35" hidden="false" customHeight="false" outlineLevel="0" collapsed="false">
      <c r="A283" s="76" t="str">
        <f aca="false">B283&amp;"|"&amp;C283&amp;"|"&amp;D283&amp;"|"&amp;E283</f>
        <v>KLM|4|Rabu|11:45</v>
      </c>
      <c r="B283" s="76" t="s">
        <v>61</v>
      </c>
      <c r="C283" s="76" t="n">
        <v>4</v>
      </c>
      <c r="D283" s="76" t="s">
        <v>92</v>
      </c>
      <c r="E283" s="76" t="s">
        <v>115</v>
      </c>
      <c r="F283" s="77" t="s">
        <v>210</v>
      </c>
      <c r="G283" s="77" t="n">
        <v>0</v>
      </c>
      <c r="H283" s="77" t="n">
        <v>0</v>
      </c>
      <c r="I283" s="76" t="n">
        <f aca="false">IF(AND(ISNUMBER(G283),ISNUMBER(H283)),MAX(G283-H283,0),"")</f>
        <v>0</v>
      </c>
      <c r="J283" s="78" t="str">
        <f aca="false">IF(AND(ISNUMBER(G283),ISNUMBER(H283)),IF(G283&gt;0,H283/G283,""),"")</f>
        <v/>
      </c>
      <c r="K283" s="77"/>
      <c r="L283" s="76" t="str">
        <f aca="false">IF(OR(G283="",H283=""),"Data tidak lengkap",IF(AND(G283=0,H283=0),IF(AND(F283="",K283=""),"Tidak dibuka","Tutup"),IF(H283&gt;G283,"Lebih kapasitas",IF(H283=G283,"Penuh",IF(H283=0,IF(F283="","Slot kosong","Belum terisi"),"Sebagian")))))</f>
        <v>Tutup</v>
      </c>
      <c r="M283" s="79" t="str">
        <f aca="false">IF(L283="Tidak dibuka","–",IF(F283="","(tanpa age group)",F283)&amp;"  "&amp;IF(H283="","?",H283)&amp;"/"&amp;IF(G283="","?",G283)&amp;CHAR(10)&amp;IF(K283="","coach: –","coach: "&amp;K283))</f>
        <v>Kids  0/0
coach: –</v>
      </c>
    </row>
    <row r="284" customFormat="false" ht="22.35" hidden="false" customHeight="false" outlineLevel="0" collapsed="false">
      <c r="A284" s="76" t="str">
        <f aca="false">B284&amp;"|"&amp;C284&amp;"|"&amp;D284&amp;"|"&amp;E284</f>
        <v>KLM|4|Rabu|13:15</v>
      </c>
      <c r="B284" s="76" t="s">
        <v>61</v>
      </c>
      <c r="C284" s="76" t="n">
        <v>4</v>
      </c>
      <c r="D284" s="76" t="s">
        <v>92</v>
      </c>
      <c r="E284" s="76" t="s">
        <v>116</v>
      </c>
      <c r="F284" s="77" t="s">
        <v>210</v>
      </c>
      <c r="G284" s="77" t="n">
        <v>4</v>
      </c>
      <c r="H284" s="77" t="n">
        <v>4</v>
      </c>
      <c r="I284" s="76" t="n">
        <f aca="false">IF(AND(ISNUMBER(G284),ISNUMBER(H284)),MAX(G284-H284,0),"")</f>
        <v>0</v>
      </c>
      <c r="J284" s="78" t="n">
        <f aca="false">IF(AND(ISNUMBER(G284),ISNUMBER(H284)),IF(G284&gt;0,H284/G284,""),"")</f>
        <v>1</v>
      </c>
      <c r="K284" s="77" t="s">
        <v>198</v>
      </c>
      <c r="L284" s="76" t="str">
        <f aca="false">IF(OR(G284="",H284=""),"Data tidak lengkap",IF(AND(G284=0,H284=0),IF(AND(F284="",K284=""),"Tidak dibuka","Tutup"),IF(H284&gt;G284,"Lebih kapasitas",IF(H284=G284,"Penuh",IF(H284=0,IF(F284="","Slot kosong","Belum terisi"),"Sebagian")))))</f>
        <v>Penuh</v>
      </c>
      <c r="M284" s="79" t="str">
        <f aca="false">IF(L284="Tidak dibuka","–",IF(F284="","(tanpa age group)",F284)&amp;"  "&amp;IF(H284="","?",H284)&amp;"/"&amp;IF(G284="","?",G284)&amp;CHAR(10)&amp;IF(K284="","coach: –","coach: "&amp;K284))</f>
        <v>Kids  4/4
coach: Surya</v>
      </c>
    </row>
    <row r="285" customFormat="false" ht="22.35" hidden="false" customHeight="false" outlineLevel="0" collapsed="false">
      <c r="A285" s="76" t="str">
        <f aca="false">B285&amp;"|"&amp;C285&amp;"|"&amp;D285&amp;"|"&amp;E285</f>
        <v>KLM|4|Rabu|14:00</v>
      </c>
      <c r="B285" s="76" t="s">
        <v>61</v>
      </c>
      <c r="C285" s="76" t="n">
        <v>4</v>
      </c>
      <c r="D285" s="76" t="s">
        <v>92</v>
      </c>
      <c r="E285" s="76" t="s">
        <v>117</v>
      </c>
      <c r="F285" s="77" t="s">
        <v>210</v>
      </c>
      <c r="G285" s="77" t="n">
        <v>4</v>
      </c>
      <c r="H285" s="77" t="n">
        <v>4</v>
      </c>
      <c r="I285" s="76" t="n">
        <f aca="false">IF(AND(ISNUMBER(G285),ISNUMBER(H285)),MAX(G285-H285,0),"")</f>
        <v>0</v>
      </c>
      <c r="J285" s="78" t="n">
        <f aca="false">IF(AND(ISNUMBER(G285),ISNUMBER(H285)),IF(G285&gt;0,H285/G285,""),"")</f>
        <v>1</v>
      </c>
      <c r="K285" s="77" t="s">
        <v>44</v>
      </c>
      <c r="L285" s="76" t="str">
        <f aca="false">IF(OR(G285="",H285=""),"Data tidak lengkap",IF(AND(G285=0,H285=0),IF(AND(F285="",K285=""),"Tidak dibuka","Tutup"),IF(H285&gt;G285,"Lebih kapasitas",IF(H285=G285,"Penuh",IF(H285=0,IF(F285="","Slot kosong","Belum terisi"),"Sebagian")))))</f>
        <v>Penuh</v>
      </c>
      <c r="M285" s="79" t="str">
        <f aca="false">IF(L285="Tidak dibuka","–",IF(F285="","(tanpa age group)",F285)&amp;"  "&amp;IF(H285="","?",H285)&amp;"/"&amp;IF(G285="","?",G285)&amp;CHAR(10)&amp;IF(K285="","coach: –","coach: "&amp;K285))</f>
        <v>Kids  4/4
coach: Danti</v>
      </c>
    </row>
    <row r="286" customFormat="false" ht="22.35" hidden="false" customHeight="false" outlineLevel="0" collapsed="false">
      <c r="A286" s="76" t="str">
        <f aca="false">B286&amp;"|"&amp;C286&amp;"|"&amp;D286&amp;"|"&amp;E286</f>
        <v>KLM|4|Rabu|14:45</v>
      </c>
      <c r="B286" s="76" t="s">
        <v>61</v>
      </c>
      <c r="C286" s="76" t="n">
        <v>4</v>
      </c>
      <c r="D286" s="76" t="s">
        <v>92</v>
      </c>
      <c r="E286" s="76" t="s">
        <v>118</v>
      </c>
      <c r="F286" s="77" t="s">
        <v>210</v>
      </c>
      <c r="G286" s="77" t="n">
        <v>4</v>
      </c>
      <c r="H286" s="77" t="n">
        <v>4</v>
      </c>
      <c r="I286" s="76" t="n">
        <f aca="false">IF(AND(ISNUMBER(G286),ISNUMBER(H286)),MAX(G286-H286,0),"")</f>
        <v>0</v>
      </c>
      <c r="J286" s="78" t="n">
        <f aca="false">IF(AND(ISNUMBER(G286),ISNUMBER(H286)),IF(G286&gt;0,H286/G286,""),"")</f>
        <v>1</v>
      </c>
      <c r="K286" s="77" t="s">
        <v>44</v>
      </c>
      <c r="L286" s="76" t="str">
        <f aca="false">IF(OR(G286="",H286=""),"Data tidak lengkap",IF(AND(G286=0,H286=0),IF(AND(F286="",K286=""),"Tidak dibuka","Tutup"),IF(H286&gt;G286,"Lebih kapasitas",IF(H286=G286,"Penuh",IF(H286=0,IF(F286="","Slot kosong","Belum terisi"),"Sebagian")))))</f>
        <v>Penuh</v>
      </c>
      <c r="M286" s="79" t="str">
        <f aca="false">IF(L286="Tidak dibuka","–",IF(F286="","(tanpa age group)",F286)&amp;"  "&amp;IF(H286="","?",H286)&amp;"/"&amp;IF(G286="","?",G286)&amp;CHAR(10)&amp;IF(K286="","coach: –","coach: "&amp;K286))</f>
        <v>Kids  4/4
coach: Danti</v>
      </c>
    </row>
    <row r="287" customFormat="false" ht="22.35" hidden="false" customHeight="false" outlineLevel="0" collapsed="false">
      <c r="A287" s="76" t="str">
        <f aca="false">B287&amp;"|"&amp;C287&amp;"|"&amp;D287&amp;"|"&amp;E287</f>
        <v>KLM|4|Rabu|15:30</v>
      </c>
      <c r="B287" s="76" t="s">
        <v>61</v>
      </c>
      <c r="C287" s="76" t="n">
        <v>4</v>
      </c>
      <c r="D287" s="76" t="s">
        <v>92</v>
      </c>
      <c r="E287" s="76" t="s">
        <v>119</v>
      </c>
      <c r="F287" s="77" t="s">
        <v>210</v>
      </c>
      <c r="G287" s="77" t="n">
        <v>4</v>
      </c>
      <c r="H287" s="77" t="n">
        <v>4</v>
      </c>
      <c r="I287" s="76" t="n">
        <f aca="false">IF(AND(ISNUMBER(G287),ISNUMBER(H287)),MAX(G287-H287,0),"")</f>
        <v>0</v>
      </c>
      <c r="J287" s="78" t="n">
        <f aca="false">IF(AND(ISNUMBER(G287),ISNUMBER(H287)),IF(G287&gt;0,H287/G287,""),"")</f>
        <v>1</v>
      </c>
      <c r="K287" s="77" t="s">
        <v>44</v>
      </c>
      <c r="L287" s="76" t="str">
        <f aca="false">IF(OR(G287="",H287=""),"Data tidak lengkap",IF(AND(G287=0,H287=0),IF(AND(F287="",K287=""),"Tidak dibuka","Tutup"),IF(H287&gt;G287,"Lebih kapasitas",IF(H287=G287,"Penuh",IF(H287=0,IF(F287="","Slot kosong","Belum terisi"),"Sebagian")))))</f>
        <v>Penuh</v>
      </c>
      <c r="M287" s="79" t="str">
        <f aca="false">IF(L287="Tidak dibuka","–",IF(F287="","(tanpa age group)",F287)&amp;"  "&amp;IF(H287="","?",H287)&amp;"/"&amp;IF(G287="","?",G287)&amp;CHAR(10)&amp;IF(K287="","coach: –","coach: "&amp;K287))</f>
        <v>Kids  4/4
coach: Danti</v>
      </c>
    </row>
    <row r="288" customFormat="false" ht="22.35" hidden="false" customHeight="false" outlineLevel="0" collapsed="false">
      <c r="A288" s="76" t="str">
        <f aca="false">B288&amp;"|"&amp;C288&amp;"|"&amp;D288&amp;"|"&amp;E288</f>
        <v>KLM|4|Rabu|16:15</v>
      </c>
      <c r="B288" s="76" t="s">
        <v>61</v>
      </c>
      <c r="C288" s="76" t="n">
        <v>4</v>
      </c>
      <c r="D288" s="76" t="s">
        <v>92</v>
      </c>
      <c r="E288" s="76" t="s">
        <v>120</v>
      </c>
      <c r="F288" s="77" t="s">
        <v>210</v>
      </c>
      <c r="G288" s="77" t="n">
        <v>4</v>
      </c>
      <c r="H288" s="77" t="n">
        <v>4</v>
      </c>
      <c r="I288" s="76" t="n">
        <f aca="false">IF(AND(ISNUMBER(G288),ISNUMBER(H288)),MAX(G288-H288,0),"")</f>
        <v>0</v>
      </c>
      <c r="J288" s="78" t="n">
        <f aca="false">IF(AND(ISNUMBER(G288),ISNUMBER(H288)),IF(G288&gt;0,H288/G288,""),"")</f>
        <v>1</v>
      </c>
      <c r="K288" s="77" t="s">
        <v>200</v>
      </c>
      <c r="L288" s="76" t="str">
        <f aca="false">IF(OR(G288="",H288=""),"Data tidak lengkap",IF(AND(G288=0,H288=0),IF(AND(F288="",K288=""),"Tidak dibuka","Tutup"),IF(H288&gt;G288,"Lebih kapasitas",IF(H288=G288,"Penuh",IF(H288=0,IF(F288="","Slot kosong","Belum terisi"),"Sebagian")))))</f>
        <v>Penuh</v>
      </c>
      <c r="M288" s="79" t="str">
        <f aca="false">IF(L288="Tidak dibuka","–",IF(F288="","(tanpa age group)",F288)&amp;"  "&amp;IF(H288="","?",H288)&amp;"/"&amp;IF(G288="","?",G288)&amp;CHAR(10)&amp;IF(K288="","coach: –","coach: "&amp;K288))</f>
        <v>Kids  4/4
coach: Zidane</v>
      </c>
    </row>
    <row r="289" customFormat="false" ht="22.35" hidden="false" customHeight="false" outlineLevel="0" collapsed="false">
      <c r="A289" s="76" t="str">
        <f aca="false">B289&amp;"|"&amp;C289&amp;"|"&amp;D289&amp;"|"&amp;E289</f>
        <v>KLM|4|Rabu|17:00</v>
      </c>
      <c r="B289" s="76" t="s">
        <v>61</v>
      </c>
      <c r="C289" s="76" t="n">
        <v>4</v>
      </c>
      <c r="D289" s="76" t="s">
        <v>92</v>
      </c>
      <c r="E289" s="76" t="s">
        <v>121</v>
      </c>
      <c r="F289" s="77" t="s">
        <v>210</v>
      </c>
      <c r="G289" s="77" t="n">
        <v>4</v>
      </c>
      <c r="H289" s="77" t="n">
        <v>3</v>
      </c>
      <c r="I289" s="76" t="n">
        <f aca="false">IF(AND(ISNUMBER(G289),ISNUMBER(H289)),MAX(G289-H289,0),"")</f>
        <v>1</v>
      </c>
      <c r="J289" s="78" t="n">
        <f aca="false">IF(AND(ISNUMBER(G289),ISNUMBER(H289)),IF(G289&gt;0,H289/G289,""),"")</f>
        <v>0.75</v>
      </c>
      <c r="K289" s="77" t="s">
        <v>200</v>
      </c>
      <c r="L289" s="76" t="str">
        <f aca="false">IF(OR(G289="",H289=""),"Data tidak lengkap",IF(AND(G289=0,H289=0),IF(AND(F289="",K289=""),"Tidak dibuka","Tutup"),IF(H289&gt;G289,"Lebih kapasitas",IF(H289=G289,"Penuh",IF(H289=0,IF(F289="","Slot kosong","Belum terisi"),"Sebagian")))))</f>
        <v>Sebagian</v>
      </c>
      <c r="M289" s="79" t="str">
        <f aca="false">IF(L289="Tidak dibuka","–",IF(F289="","(tanpa age group)",F289)&amp;"  "&amp;IF(H289="","?",H289)&amp;"/"&amp;IF(G289="","?",G289)&amp;CHAR(10)&amp;IF(K289="","coach: –","coach: "&amp;K289))</f>
        <v>Kids  3/4
coach: Zidane</v>
      </c>
    </row>
    <row r="290" customFormat="false" ht="22.35" hidden="false" customHeight="false" outlineLevel="0" collapsed="false">
      <c r="A290" s="76" t="str">
        <f aca="false">B290&amp;"|"&amp;C290&amp;"|"&amp;D290&amp;"|"&amp;E290</f>
        <v>KLM|4|Kamis|08:00</v>
      </c>
      <c r="B290" s="76" t="s">
        <v>61</v>
      </c>
      <c r="C290" s="76" t="n">
        <v>4</v>
      </c>
      <c r="D290" s="76" t="s">
        <v>93</v>
      </c>
      <c r="E290" s="76" t="s">
        <v>110</v>
      </c>
      <c r="F290" s="77" t="s">
        <v>210</v>
      </c>
      <c r="G290" s="77" t="n">
        <v>0</v>
      </c>
      <c r="H290" s="77" t="n">
        <v>0</v>
      </c>
      <c r="I290" s="76" t="n">
        <f aca="false">IF(AND(ISNUMBER(G290),ISNUMBER(H290)),MAX(G290-H290,0),"")</f>
        <v>0</v>
      </c>
      <c r="J290" s="78" t="str">
        <f aca="false">IF(AND(ISNUMBER(G290),ISNUMBER(H290)),IF(G290&gt;0,H290/G290,""),"")</f>
        <v/>
      </c>
      <c r="K290" s="77"/>
      <c r="L290" s="76" t="str">
        <f aca="false">IF(OR(G290="",H290=""),"Data tidak lengkap",IF(AND(G290=0,H290=0),IF(AND(F290="",K290=""),"Tidak dibuka","Tutup"),IF(H290&gt;G290,"Lebih kapasitas",IF(H290=G290,"Penuh",IF(H290=0,IF(F290="","Slot kosong","Belum terisi"),"Sebagian")))))</f>
        <v>Tutup</v>
      </c>
      <c r="M290" s="79" t="str">
        <f aca="false">IF(L290="Tidak dibuka","–",IF(F290="","(tanpa age group)",F290)&amp;"  "&amp;IF(H290="","?",H290)&amp;"/"&amp;IF(G290="","?",G290)&amp;CHAR(10)&amp;IF(K290="","coach: –","coach: "&amp;K290))</f>
        <v>Kids  0/0
coach: –</v>
      </c>
    </row>
    <row r="291" customFormat="false" ht="22.35" hidden="false" customHeight="false" outlineLevel="0" collapsed="false">
      <c r="A291" s="76" t="str">
        <f aca="false">B291&amp;"|"&amp;C291&amp;"|"&amp;D291&amp;"|"&amp;E291</f>
        <v>KLM|4|Kamis|08:45</v>
      </c>
      <c r="B291" s="76" t="s">
        <v>61</v>
      </c>
      <c r="C291" s="76" t="n">
        <v>4</v>
      </c>
      <c r="D291" s="76" t="s">
        <v>93</v>
      </c>
      <c r="E291" s="76" t="s">
        <v>111</v>
      </c>
      <c r="F291" s="77" t="s">
        <v>210</v>
      </c>
      <c r="G291" s="77" t="n">
        <v>4</v>
      </c>
      <c r="H291" s="77" t="n">
        <v>0</v>
      </c>
      <c r="I291" s="76" t="n">
        <f aca="false">IF(AND(ISNUMBER(G291),ISNUMBER(H291)),MAX(G291-H291,0),"")</f>
        <v>4</v>
      </c>
      <c r="J291" s="78" t="n">
        <f aca="false">IF(AND(ISNUMBER(G291),ISNUMBER(H291)),IF(G291&gt;0,H291/G291,""),"")</f>
        <v>0</v>
      </c>
      <c r="K291" s="77"/>
      <c r="L291" s="76" t="str">
        <f aca="false">IF(OR(G291="",H291=""),"Data tidak lengkap",IF(AND(G291=0,H291=0),IF(AND(F291="",K291=""),"Tidak dibuka","Tutup"),IF(H291&gt;G291,"Lebih kapasitas",IF(H291=G291,"Penuh",IF(H291=0,IF(F291="","Slot kosong","Belum terisi"),"Sebagian")))))</f>
        <v>Belum terisi</v>
      </c>
      <c r="M291" s="79" t="str">
        <f aca="false">IF(L291="Tidak dibuka","–",IF(F291="","(tanpa age group)",F291)&amp;"  "&amp;IF(H291="","?",H291)&amp;"/"&amp;IF(G291="","?",G291)&amp;CHAR(10)&amp;IF(K291="","coach: –","coach: "&amp;K291))</f>
        <v>Kids  0/4
coach: –</v>
      </c>
    </row>
    <row r="292" customFormat="false" ht="22.35" hidden="false" customHeight="false" outlineLevel="0" collapsed="false">
      <c r="A292" s="76" t="str">
        <f aca="false">B292&amp;"|"&amp;C292&amp;"|"&amp;D292&amp;"|"&amp;E292</f>
        <v>KLM|4|Kamis|09:30</v>
      </c>
      <c r="B292" s="76" t="s">
        <v>61</v>
      </c>
      <c r="C292" s="76" t="n">
        <v>4</v>
      </c>
      <c r="D292" s="76" t="s">
        <v>93</v>
      </c>
      <c r="E292" s="76" t="s">
        <v>112</v>
      </c>
      <c r="F292" s="77" t="s">
        <v>210</v>
      </c>
      <c r="G292" s="77" t="n">
        <v>4</v>
      </c>
      <c r="H292" s="77" t="n">
        <v>3</v>
      </c>
      <c r="I292" s="76" t="n">
        <f aca="false">IF(AND(ISNUMBER(G292),ISNUMBER(H292)),MAX(G292-H292,0),"")</f>
        <v>1</v>
      </c>
      <c r="J292" s="78" t="n">
        <f aca="false">IF(AND(ISNUMBER(G292),ISNUMBER(H292)),IF(G292&gt;0,H292/G292,""),"")</f>
        <v>0.75</v>
      </c>
      <c r="K292" s="77" t="s">
        <v>198</v>
      </c>
      <c r="L292" s="76" t="str">
        <f aca="false">IF(OR(G292="",H292=""),"Data tidak lengkap",IF(AND(G292=0,H292=0),IF(AND(F292="",K292=""),"Tidak dibuka","Tutup"),IF(H292&gt;G292,"Lebih kapasitas",IF(H292=G292,"Penuh",IF(H292=0,IF(F292="","Slot kosong","Belum terisi"),"Sebagian")))))</f>
        <v>Sebagian</v>
      </c>
      <c r="M292" s="79" t="str">
        <f aca="false">IF(L292="Tidak dibuka","–",IF(F292="","(tanpa age group)",F292)&amp;"  "&amp;IF(H292="","?",H292)&amp;"/"&amp;IF(G292="","?",G292)&amp;CHAR(10)&amp;IF(K292="","coach: –","coach: "&amp;K292))</f>
        <v>Kids  3/4
coach: Surya</v>
      </c>
    </row>
    <row r="293" customFormat="false" ht="22.35" hidden="false" customHeight="false" outlineLevel="0" collapsed="false">
      <c r="A293" s="76" t="str">
        <f aca="false">B293&amp;"|"&amp;C293&amp;"|"&amp;D293&amp;"|"&amp;E293</f>
        <v>KLM|4|Kamis|10:15</v>
      </c>
      <c r="B293" s="76" t="s">
        <v>61</v>
      </c>
      <c r="C293" s="76" t="n">
        <v>4</v>
      </c>
      <c r="D293" s="76" t="s">
        <v>93</v>
      </c>
      <c r="E293" s="76" t="s">
        <v>113</v>
      </c>
      <c r="F293" s="77" t="s">
        <v>210</v>
      </c>
      <c r="G293" s="77" t="n">
        <v>4</v>
      </c>
      <c r="H293" s="77" t="n">
        <v>0</v>
      </c>
      <c r="I293" s="76" t="n">
        <f aca="false">IF(AND(ISNUMBER(G293),ISNUMBER(H293)),MAX(G293-H293,0),"")</f>
        <v>4</v>
      </c>
      <c r="J293" s="78" t="n">
        <f aca="false">IF(AND(ISNUMBER(G293),ISNUMBER(H293)),IF(G293&gt;0,H293/G293,""),"")</f>
        <v>0</v>
      </c>
      <c r="K293" s="77"/>
      <c r="L293" s="76" t="str">
        <f aca="false">IF(OR(G293="",H293=""),"Data tidak lengkap",IF(AND(G293=0,H293=0),IF(AND(F293="",K293=""),"Tidak dibuka","Tutup"),IF(H293&gt;G293,"Lebih kapasitas",IF(H293=G293,"Penuh",IF(H293=0,IF(F293="","Slot kosong","Belum terisi"),"Sebagian")))))</f>
        <v>Belum terisi</v>
      </c>
      <c r="M293" s="79" t="str">
        <f aca="false">IF(L293="Tidak dibuka","–",IF(F293="","(tanpa age group)",F293)&amp;"  "&amp;IF(H293="","?",H293)&amp;"/"&amp;IF(G293="","?",G293)&amp;CHAR(10)&amp;IF(K293="","coach: –","coach: "&amp;K293))</f>
        <v>Kids  0/4
coach: –</v>
      </c>
    </row>
    <row r="294" customFormat="false" ht="22.35" hidden="false" customHeight="false" outlineLevel="0" collapsed="false">
      <c r="A294" s="76" t="str">
        <f aca="false">B294&amp;"|"&amp;C294&amp;"|"&amp;D294&amp;"|"&amp;E294</f>
        <v>KLM|4|Kamis|11:00</v>
      </c>
      <c r="B294" s="76" t="s">
        <v>61</v>
      </c>
      <c r="C294" s="76" t="n">
        <v>4</v>
      </c>
      <c r="D294" s="76" t="s">
        <v>93</v>
      </c>
      <c r="E294" s="76" t="s">
        <v>114</v>
      </c>
      <c r="F294" s="77" t="s">
        <v>210</v>
      </c>
      <c r="G294" s="77" t="n">
        <v>4</v>
      </c>
      <c r="H294" s="77" t="n">
        <v>0</v>
      </c>
      <c r="I294" s="76" t="n">
        <f aca="false">IF(AND(ISNUMBER(G294),ISNUMBER(H294)),MAX(G294-H294,0),"")</f>
        <v>4</v>
      </c>
      <c r="J294" s="78" t="n">
        <f aca="false">IF(AND(ISNUMBER(G294),ISNUMBER(H294)),IF(G294&gt;0,H294/G294,""),"")</f>
        <v>0</v>
      </c>
      <c r="K294" s="77"/>
      <c r="L294" s="76" t="str">
        <f aca="false">IF(OR(G294="",H294=""),"Data tidak lengkap",IF(AND(G294=0,H294=0),IF(AND(F294="",K294=""),"Tidak dibuka","Tutup"),IF(H294&gt;G294,"Lebih kapasitas",IF(H294=G294,"Penuh",IF(H294=0,IF(F294="","Slot kosong","Belum terisi"),"Sebagian")))))</f>
        <v>Belum terisi</v>
      </c>
      <c r="M294" s="79" t="str">
        <f aca="false">IF(L294="Tidak dibuka","–",IF(F294="","(tanpa age group)",F294)&amp;"  "&amp;IF(H294="","?",H294)&amp;"/"&amp;IF(G294="","?",G294)&amp;CHAR(10)&amp;IF(K294="","coach: –","coach: "&amp;K294))</f>
        <v>Kids  0/4
coach: –</v>
      </c>
    </row>
    <row r="295" customFormat="false" ht="22.35" hidden="false" customHeight="false" outlineLevel="0" collapsed="false">
      <c r="A295" s="76" t="str">
        <f aca="false">B295&amp;"|"&amp;C295&amp;"|"&amp;D295&amp;"|"&amp;E295</f>
        <v>KLM|4|Kamis|11:45</v>
      </c>
      <c r="B295" s="76" t="s">
        <v>61</v>
      </c>
      <c r="C295" s="76" t="n">
        <v>4</v>
      </c>
      <c r="D295" s="76" t="s">
        <v>93</v>
      </c>
      <c r="E295" s="76" t="s">
        <v>115</v>
      </c>
      <c r="F295" s="77" t="s">
        <v>210</v>
      </c>
      <c r="G295" s="77" t="n">
        <v>0</v>
      </c>
      <c r="H295" s="77" t="n">
        <v>0</v>
      </c>
      <c r="I295" s="76" t="n">
        <f aca="false">IF(AND(ISNUMBER(G295),ISNUMBER(H295)),MAX(G295-H295,0),"")</f>
        <v>0</v>
      </c>
      <c r="J295" s="78" t="str">
        <f aca="false">IF(AND(ISNUMBER(G295),ISNUMBER(H295)),IF(G295&gt;0,H295/G295,""),"")</f>
        <v/>
      </c>
      <c r="K295" s="77"/>
      <c r="L295" s="76" t="str">
        <f aca="false">IF(OR(G295="",H295=""),"Data tidak lengkap",IF(AND(G295=0,H295=0),IF(AND(F295="",K295=""),"Tidak dibuka","Tutup"),IF(H295&gt;G295,"Lebih kapasitas",IF(H295=G295,"Penuh",IF(H295=0,IF(F295="","Slot kosong","Belum terisi"),"Sebagian")))))</f>
        <v>Tutup</v>
      </c>
      <c r="M295" s="79" t="str">
        <f aca="false">IF(L295="Tidak dibuka","–",IF(F295="","(tanpa age group)",F295)&amp;"  "&amp;IF(H295="","?",H295)&amp;"/"&amp;IF(G295="","?",G295)&amp;CHAR(10)&amp;IF(K295="","coach: –","coach: "&amp;K295))</f>
        <v>Kids  0/0
coach: –</v>
      </c>
    </row>
    <row r="296" customFormat="false" ht="22.35" hidden="false" customHeight="false" outlineLevel="0" collapsed="false">
      <c r="A296" s="76" t="str">
        <f aca="false">B296&amp;"|"&amp;C296&amp;"|"&amp;D296&amp;"|"&amp;E296</f>
        <v>KLM|4|Kamis|13:15</v>
      </c>
      <c r="B296" s="76" t="s">
        <v>61</v>
      </c>
      <c r="C296" s="76" t="n">
        <v>4</v>
      </c>
      <c r="D296" s="76" t="s">
        <v>93</v>
      </c>
      <c r="E296" s="76" t="s">
        <v>116</v>
      </c>
      <c r="F296" s="77" t="s">
        <v>210</v>
      </c>
      <c r="G296" s="77" t="n">
        <v>4</v>
      </c>
      <c r="H296" s="77" t="n">
        <v>0</v>
      </c>
      <c r="I296" s="76" t="n">
        <f aca="false">IF(AND(ISNUMBER(G296),ISNUMBER(H296)),MAX(G296-H296,0),"")</f>
        <v>4</v>
      </c>
      <c r="J296" s="78" t="n">
        <f aca="false">IF(AND(ISNUMBER(G296),ISNUMBER(H296)),IF(G296&gt;0,H296/G296,""),"")</f>
        <v>0</v>
      </c>
      <c r="K296" s="77"/>
      <c r="L296" s="76" t="str">
        <f aca="false">IF(OR(G296="",H296=""),"Data tidak lengkap",IF(AND(G296=0,H296=0),IF(AND(F296="",K296=""),"Tidak dibuka","Tutup"),IF(H296&gt;G296,"Lebih kapasitas",IF(H296=G296,"Penuh",IF(H296=0,IF(F296="","Slot kosong","Belum terisi"),"Sebagian")))))</f>
        <v>Belum terisi</v>
      </c>
      <c r="M296" s="79" t="str">
        <f aca="false">IF(L296="Tidak dibuka","–",IF(F296="","(tanpa age group)",F296)&amp;"  "&amp;IF(H296="","?",H296)&amp;"/"&amp;IF(G296="","?",G296)&amp;CHAR(10)&amp;IF(K296="","coach: –","coach: "&amp;K296))</f>
        <v>Kids  0/4
coach: –</v>
      </c>
    </row>
    <row r="297" customFormat="false" ht="22.35" hidden="false" customHeight="false" outlineLevel="0" collapsed="false">
      <c r="A297" s="76" t="str">
        <f aca="false">B297&amp;"|"&amp;C297&amp;"|"&amp;D297&amp;"|"&amp;E297</f>
        <v>KLM|4|Kamis|14:00</v>
      </c>
      <c r="B297" s="76" t="s">
        <v>61</v>
      </c>
      <c r="C297" s="76" t="n">
        <v>4</v>
      </c>
      <c r="D297" s="76" t="s">
        <v>93</v>
      </c>
      <c r="E297" s="76" t="s">
        <v>117</v>
      </c>
      <c r="F297" s="77" t="s">
        <v>210</v>
      </c>
      <c r="G297" s="77" t="n">
        <v>4</v>
      </c>
      <c r="H297" s="77" t="n">
        <v>3</v>
      </c>
      <c r="I297" s="76" t="n">
        <f aca="false">IF(AND(ISNUMBER(G297),ISNUMBER(H297)),MAX(G297-H297,0),"")</f>
        <v>1</v>
      </c>
      <c r="J297" s="78" t="n">
        <f aca="false">IF(AND(ISNUMBER(G297),ISNUMBER(H297)),IF(G297&gt;0,H297/G297,""),"")</f>
        <v>0.75</v>
      </c>
      <c r="K297" s="77" t="s">
        <v>198</v>
      </c>
      <c r="L297" s="76" t="str">
        <f aca="false">IF(OR(G297="",H297=""),"Data tidak lengkap",IF(AND(G297=0,H297=0),IF(AND(F297="",K297=""),"Tidak dibuka","Tutup"),IF(H297&gt;G297,"Lebih kapasitas",IF(H297=G297,"Penuh",IF(H297=0,IF(F297="","Slot kosong","Belum terisi"),"Sebagian")))))</f>
        <v>Sebagian</v>
      </c>
      <c r="M297" s="79" t="str">
        <f aca="false">IF(L297="Tidak dibuka","–",IF(F297="","(tanpa age group)",F297)&amp;"  "&amp;IF(H297="","?",H297)&amp;"/"&amp;IF(G297="","?",G297)&amp;CHAR(10)&amp;IF(K297="","coach: –","coach: "&amp;K297))</f>
        <v>Kids  3/4
coach: Surya</v>
      </c>
    </row>
    <row r="298" customFormat="false" ht="22.35" hidden="false" customHeight="false" outlineLevel="0" collapsed="false">
      <c r="A298" s="76" t="str">
        <f aca="false">B298&amp;"|"&amp;C298&amp;"|"&amp;D298&amp;"|"&amp;E298</f>
        <v>KLM|4|Kamis|14:45</v>
      </c>
      <c r="B298" s="76" t="s">
        <v>61</v>
      </c>
      <c r="C298" s="76" t="n">
        <v>4</v>
      </c>
      <c r="D298" s="76" t="s">
        <v>93</v>
      </c>
      <c r="E298" s="76" t="s">
        <v>118</v>
      </c>
      <c r="F298" s="77" t="s">
        <v>210</v>
      </c>
      <c r="G298" s="77" t="n">
        <v>0</v>
      </c>
      <c r="H298" s="77" t="n">
        <v>0</v>
      </c>
      <c r="I298" s="76" t="n">
        <f aca="false">IF(AND(ISNUMBER(G298),ISNUMBER(H298)),MAX(G298-H298,0),"")</f>
        <v>0</v>
      </c>
      <c r="J298" s="78" t="str">
        <f aca="false">IF(AND(ISNUMBER(G298),ISNUMBER(H298)),IF(G298&gt;0,H298/G298,""),"")</f>
        <v/>
      </c>
      <c r="K298" s="77"/>
      <c r="L298" s="76" t="str">
        <f aca="false">IF(OR(G298="",H298=""),"Data tidak lengkap",IF(AND(G298=0,H298=0),IF(AND(F298="",K298=""),"Tidak dibuka","Tutup"),IF(H298&gt;G298,"Lebih kapasitas",IF(H298=G298,"Penuh",IF(H298=0,IF(F298="","Slot kosong","Belum terisi"),"Sebagian")))))</f>
        <v>Tutup</v>
      </c>
      <c r="M298" s="79" t="str">
        <f aca="false">IF(L298="Tidak dibuka","–",IF(F298="","(tanpa age group)",F298)&amp;"  "&amp;IF(H298="","?",H298)&amp;"/"&amp;IF(G298="","?",G298)&amp;CHAR(10)&amp;IF(K298="","coach: –","coach: "&amp;K298))</f>
        <v>Kids  0/0
coach: –</v>
      </c>
    </row>
    <row r="299" customFormat="false" ht="22.35" hidden="false" customHeight="false" outlineLevel="0" collapsed="false">
      <c r="A299" s="76" t="str">
        <f aca="false">B299&amp;"|"&amp;C299&amp;"|"&amp;D299&amp;"|"&amp;E299</f>
        <v>KLM|4|Kamis|15:30</v>
      </c>
      <c r="B299" s="76" t="s">
        <v>61</v>
      </c>
      <c r="C299" s="76" t="n">
        <v>4</v>
      </c>
      <c r="D299" s="76" t="s">
        <v>93</v>
      </c>
      <c r="E299" s="76" t="s">
        <v>119</v>
      </c>
      <c r="F299" s="77" t="s">
        <v>210</v>
      </c>
      <c r="G299" s="77" t="n">
        <v>4</v>
      </c>
      <c r="H299" s="77" t="n">
        <v>3</v>
      </c>
      <c r="I299" s="76" t="n">
        <f aca="false">IF(AND(ISNUMBER(G299),ISNUMBER(H299)),MAX(G299-H299,0),"")</f>
        <v>1</v>
      </c>
      <c r="J299" s="78" t="n">
        <f aca="false">IF(AND(ISNUMBER(G299),ISNUMBER(H299)),IF(G299&gt;0,H299/G299,""),"")</f>
        <v>0.75</v>
      </c>
      <c r="K299" s="77" t="s">
        <v>195</v>
      </c>
      <c r="L299" s="76" t="str">
        <f aca="false">IF(OR(G299="",H299=""),"Data tidak lengkap",IF(AND(G299=0,H299=0),IF(AND(F299="",K299=""),"Tidak dibuka","Tutup"),IF(H299&gt;G299,"Lebih kapasitas",IF(H299=G299,"Penuh",IF(H299=0,IF(F299="","Slot kosong","Belum terisi"),"Sebagian")))))</f>
        <v>Sebagian</v>
      </c>
      <c r="M299" s="79" t="str">
        <f aca="false">IF(L299="Tidak dibuka","–",IF(F299="","(tanpa age group)",F299)&amp;"  "&amp;IF(H299="","?",H299)&amp;"/"&amp;IF(G299="","?",G299)&amp;CHAR(10)&amp;IF(K299="","coach: –","coach: "&amp;K299))</f>
        <v>Kids  3/4
coach: Eka</v>
      </c>
    </row>
    <row r="300" customFormat="false" ht="22.35" hidden="false" customHeight="false" outlineLevel="0" collapsed="false">
      <c r="A300" s="76" t="str">
        <f aca="false">B300&amp;"|"&amp;C300&amp;"|"&amp;D300&amp;"|"&amp;E300</f>
        <v>KLM|4|Kamis|16:15</v>
      </c>
      <c r="B300" s="76" t="s">
        <v>61</v>
      </c>
      <c r="C300" s="76" t="n">
        <v>4</v>
      </c>
      <c r="D300" s="76" t="s">
        <v>93</v>
      </c>
      <c r="E300" s="76" t="s">
        <v>120</v>
      </c>
      <c r="F300" s="77" t="s">
        <v>210</v>
      </c>
      <c r="G300" s="77" t="n">
        <v>4</v>
      </c>
      <c r="H300" s="77" t="n">
        <v>4</v>
      </c>
      <c r="I300" s="76" t="n">
        <f aca="false">IF(AND(ISNUMBER(G300),ISNUMBER(H300)),MAX(G300-H300,0),"")</f>
        <v>0</v>
      </c>
      <c r="J300" s="78" t="n">
        <f aca="false">IF(AND(ISNUMBER(G300),ISNUMBER(H300)),IF(G300&gt;0,H300/G300,""),"")</f>
        <v>1</v>
      </c>
      <c r="K300" s="77" t="s">
        <v>195</v>
      </c>
      <c r="L300" s="76" t="str">
        <f aca="false">IF(OR(G300="",H300=""),"Data tidak lengkap",IF(AND(G300=0,H300=0),IF(AND(F300="",K300=""),"Tidak dibuka","Tutup"),IF(H300&gt;G300,"Lebih kapasitas",IF(H300=G300,"Penuh",IF(H300=0,IF(F300="","Slot kosong","Belum terisi"),"Sebagian")))))</f>
        <v>Penuh</v>
      </c>
      <c r="M300" s="79" t="str">
        <f aca="false">IF(L300="Tidak dibuka","–",IF(F300="","(tanpa age group)",F300)&amp;"  "&amp;IF(H300="","?",H300)&amp;"/"&amp;IF(G300="","?",G300)&amp;CHAR(10)&amp;IF(K300="","coach: –","coach: "&amp;K300))</f>
        <v>Kids  4/4
coach: Eka</v>
      </c>
    </row>
    <row r="301" customFormat="false" ht="22.35" hidden="false" customHeight="false" outlineLevel="0" collapsed="false">
      <c r="A301" s="76" t="str">
        <f aca="false">B301&amp;"|"&amp;C301&amp;"|"&amp;D301&amp;"|"&amp;E301</f>
        <v>KLM|4|Kamis|17:00</v>
      </c>
      <c r="B301" s="76" t="s">
        <v>61</v>
      </c>
      <c r="C301" s="76" t="n">
        <v>4</v>
      </c>
      <c r="D301" s="76" t="s">
        <v>93</v>
      </c>
      <c r="E301" s="76" t="s">
        <v>121</v>
      </c>
      <c r="F301" s="77" t="s">
        <v>210</v>
      </c>
      <c r="G301" s="77" t="n">
        <v>4</v>
      </c>
      <c r="H301" s="77" t="n">
        <v>4</v>
      </c>
      <c r="I301" s="76" t="n">
        <f aca="false">IF(AND(ISNUMBER(G301),ISNUMBER(H301)),MAX(G301-H301,0),"")</f>
        <v>0</v>
      </c>
      <c r="J301" s="78" t="n">
        <f aca="false">IF(AND(ISNUMBER(G301),ISNUMBER(H301)),IF(G301&gt;0,H301/G301,""),"")</f>
        <v>1</v>
      </c>
      <c r="K301" s="77" t="s">
        <v>202</v>
      </c>
      <c r="L301" s="76" t="str">
        <f aca="false">IF(OR(G301="",H301=""),"Data tidak lengkap",IF(AND(G301=0,H301=0),IF(AND(F301="",K301=""),"Tidak dibuka","Tutup"),IF(H301&gt;G301,"Lebih kapasitas",IF(H301=G301,"Penuh",IF(H301=0,IF(F301="","Slot kosong","Belum terisi"),"Sebagian")))))</f>
        <v>Penuh</v>
      </c>
      <c r="M301" s="79" t="str">
        <f aca="false">IF(L301="Tidak dibuka","–",IF(F301="","(tanpa age group)",F301)&amp;"  "&amp;IF(H301="","?",H301)&amp;"/"&amp;IF(G301="","?",G301)&amp;CHAR(10)&amp;IF(K301="","coach: –","coach: "&amp;K301))</f>
        <v>Kids  4/4
coach: Daffa</v>
      </c>
    </row>
    <row r="302" customFormat="false" ht="22.35" hidden="false" customHeight="false" outlineLevel="0" collapsed="false">
      <c r="A302" s="76" t="str">
        <f aca="false">B302&amp;"|"&amp;C302&amp;"|"&amp;D302&amp;"|"&amp;E302</f>
        <v>KLM|4|Jumat|08:00</v>
      </c>
      <c r="B302" s="76" t="s">
        <v>61</v>
      </c>
      <c r="C302" s="76" t="n">
        <v>4</v>
      </c>
      <c r="D302" s="76" t="s">
        <v>94</v>
      </c>
      <c r="E302" s="76" t="s">
        <v>110</v>
      </c>
      <c r="F302" s="77" t="s">
        <v>210</v>
      </c>
      <c r="G302" s="77" t="n">
        <v>0</v>
      </c>
      <c r="H302" s="77" t="n">
        <v>0</v>
      </c>
      <c r="I302" s="76" t="n">
        <f aca="false">IF(AND(ISNUMBER(G302),ISNUMBER(H302)),MAX(G302-H302,0),"")</f>
        <v>0</v>
      </c>
      <c r="J302" s="78" t="str">
        <f aca="false">IF(AND(ISNUMBER(G302),ISNUMBER(H302)),IF(G302&gt;0,H302/G302,""),"")</f>
        <v/>
      </c>
      <c r="K302" s="77"/>
      <c r="L302" s="76" t="str">
        <f aca="false">IF(OR(G302="",H302=""),"Data tidak lengkap",IF(AND(G302=0,H302=0),IF(AND(F302="",K302=""),"Tidak dibuka","Tutup"),IF(H302&gt;G302,"Lebih kapasitas",IF(H302=G302,"Penuh",IF(H302=0,IF(F302="","Slot kosong","Belum terisi"),"Sebagian")))))</f>
        <v>Tutup</v>
      </c>
      <c r="M302" s="79" t="str">
        <f aca="false">IF(L302="Tidak dibuka","–",IF(F302="","(tanpa age group)",F302)&amp;"  "&amp;IF(H302="","?",H302)&amp;"/"&amp;IF(G302="","?",G302)&amp;CHAR(10)&amp;IF(K302="","coach: –","coach: "&amp;K302))</f>
        <v>Kids  0/0
coach: –</v>
      </c>
    </row>
    <row r="303" customFormat="false" ht="22.35" hidden="false" customHeight="false" outlineLevel="0" collapsed="false">
      <c r="A303" s="76" t="str">
        <f aca="false">B303&amp;"|"&amp;C303&amp;"|"&amp;D303&amp;"|"&amp;E303</f>
        <v>KLM|4|Jumat|08:45</v>
      </c>
      <c r="B303" s="76" t="s">
        <v>61</v>
      </c>
      <c r="C303" s="76" t="n">
        <v>4</v>
      </c>
      <c r="D303" s="76" t="s">
        <v>94</v>
      </c>
      <c r="E303" s="76" t="s">
        <v>111</v>
      </c>
      <c r="F303" s="77" t="s">
        <v>210</v>
      </c>
      <c r="G303" s="77" t="n">
        <v>4</v>
      </c>
      <c r="H303" s="77" t="n">
        <v>0</v>
      </c>
      <c r="I303" s="76" t="n">
        <f aca="false">IF(AND(ISNUMBER(G303),ISNUMBER(H303)),MAX(G303-H303,0),"")</f>
        <v>4</v>
      </c>
      <c r="J303" s="78" t="n">
        <f aca="false">IF(AND(ISNUMBER(G303),ISNUMBER(H303)),IF(G303&gt;0,H303/G303,""),"")</f>
        <v>0</v>
      </c>
      <c r="K303" s="77"/>
      <c r="L303" s="76" t="str">
        <f aca="false">IF(OR(G303="",H303=""),"Data tidak lengkap",IF(AND(G303=0,H303=0),IF(AND(F303="",K303=""),"Tidak dibuka","Tutup"),IF(H303&gt;G303,"Lebih kapasitas",IF(H303=G303,"Penuh",IF(H303=0,IF(F303="","Slot kosong","Belum terisi"),"Sebagian")))))</f>
        <v>Belum terisi</v>
      </c>
      <c r="M303" s="79" t="str">
        <f aca="false">IF(L303="Tidak dibuka","–",IF(F303="","(tanpa age group)",F303)&amp;"  "&amp;IF(H303="","?",H303)&amp;"/"&amp;IF(G303="","?",G303)&amp;CHAR(10)&amp;IF(K303="","coach: –","coach: "&amp;K303))</f>
        <v>Kids  0/4
coach: –</v>
      </c>
    </row>
    <row r="304" customFormat="false" ht="22.35" hidden="false" customHeight="false" outlineLevel="0" collapsed="false">
      <c r="A304" s="76" t="str">
        <f aca="false">B304&amp;"|"&amp;C304&amp;"|"&amp;D304&amp;"|"&amp;E304</f>
        <v>KLM|4|Jumat|09:30</v>
      </c>
      <c r="B304" s="76" t="s">
        <v>61</v>
      </c>
      <c r="C304" s="76" t="n">
        <v>4</v>
      </c>
      <c r="D304" s="76" t="s">
        <v>94</v>
      </c>
      <c r="E304" s="76" t="s">
        <v>112</v>
      </c>
      <c r="F304" s="77" t="s">
        <v>210</v>
      </c>
      <c r="G304" s="77" t="n">
        <v>4</v>
      </c>
      <c r="H304" s="77" t="n">
        <v>0</v>
      </c>
      <c r="I304" s="76" t="n">
        <f aca="false">IF(AND(ISNUMBER(G304),ISNUMBER(H304)),MAX(G304-H304,0),"")</f>
        <v>4</v>
      </c>
      <c r="J304" s="78" t="n">
        <f aca="false">IF(AND(ISNUMBER(G304),ISNUMBER(H304)),IF(G304&gt;0,H304/G304,""),"")</f>
        <v>0</v>
      </c>
      <c r="K304" s="77"/>
      <c r="L304" s="76" t="str">
        <f aca="false">IF(OR(G304="",H304=""),"Data tidak lengkap",IF(AND(G304=0,H304=0),IF(AND(F304="",K304=""),"Tidak dibuka","Tutup"),IF(H304&gt;G304,"Lebih kapasitas",IF(H304=G304,"Penuh",IF(H304=0,IF(F304="","Slot kosong","Belum terisi"),"Sebagian")))))</f>
        <v>Belum terisi</v>
      </c>
      <c r="M304" s="79" t="str">
        <f aca="false">IF(L304="Tidak dibuka","–",IF(F304="","(tanpa age group)",F304)&amp;"  "&amp;IF(H304="","?",H304)&amp;"/"&amp;IF(G304="","?",G304)&amp;CHAR(10)&amp;IF(K304="","coach: –","coach: "&amp;K304))</f>
        <v>Kids  0/4
coach: –</v>
      </c>
    </row>
    <row r="305" customFormat="false" ht="22.35" hidden="false" customHeight="false" outlineLevel="0" collapsed="false">
      <c r="A305" s="76" t="str">
        <f aca="false">B305&amp;"|"&amp;C305&amp;"|"&amp;D305&amp;"|"&amp;E305</f>
        <v>KLM|4|Jumat|10:15</v>
      </c>
      <c r="B305" s="76" t="s">
        <v>61</v>
      </c>
      <c r="C305" s="76" t="n">
        <v>4</v>
      </c>
      <c r="D305" s="76" t="s">
        <v>94</v>
      </c>
      <c r="E305" s="76" t="s">
        <v>113</v>
      </c>
      <c r="F305" s="77" t="s">
        <v>210</v>
      </c>
      <c r="G305" s="77" t="n">
        <v>4</v>
      </c>
      <c r="H305" s="77" t="n">
        <v>3</v>
      </c>
      <c r="I305" s="76" t="n">
        <f aca="false">IF(AND(ISNUMBER(G305),ISNUMBER(H305)),MAX(G305-H305,0),"")</f>
        <v>1</v>
      </c>
      <c r="J305" s="78" t="n">
        <f aca="false">IF(AND(ISNUMBER(G305),ISNUMBER(H305)),IF(G305&gt;0,H305/G305,""),"")</f>
        <v>0.75</v>
      </c>
      <c r="K305" s="77" t="s">
        <v>197</v>
      </c>
      <c r="L305" s="76" t="str">
        <f aca="false">IF(OR(G305="",H305=""),"Data tidak lengkap",IF(AND(G305=0,H305=0),IF(AND(F305="",K305=""),"Tidak dibuka","Tutup"),IF(H305&gt;G305,"Lebih kapasitas",IF(H305=G305,"Penuh",IF(H305=0,IF(F305="","Slot kosong","Belum terisi"),"Sebagian")))))</f>
        <v>Sebagian</v>
      </c>
      <c r="M305" s="79" t="str">
        <f aca="false">IF(L305="Tidak dibuka","–",IF(F305="","(tanpa age group)",F305)&amp;"  "&amp;IF(H305="","?",H305)&amp;"/"&amp;IF(G305="","?",G305)&amp;CHAR(10)&amp;IF(K305="","coach: –","coach: "&amp;K305))</f>
        <v>Kids  3/4
coach: Rischa</v>
      </c>
    </row>
    <row r="306" customFormat="false" ht="22.35" hidden="false" customHeight="false" outlineLevel="0" collapsed="false">
      <c r="A306" s="76" t="str">
        <f aca="false">B306&amp;"|"&amp;C306&amp;"|"&amp;D306&amp;"|"&amp;E306</f>
        <v>KLM|4|Jumat|11:00</v>
      </c>
      <c r="B306" s="76" t="s">
        <v>61</v>
      </c>
      <c r="C306" s="76" t="n">
        <v>4</v>
      </c>
      <c r="D306" s="76" t="s">
        <v>94</v>
      </c>
      <c r="E306" s="76" t="s">
        <v>114</v>
      </c>
      <c r="F306" s="77" t="s">
        <v>210</v>
      </c>
      <c r="G306" s="77" t="n">
        <v>4</v>
      </c>
      <c r="H306" s="77" t="n">
        <v>3</v>
      </c>
      <c r="I306" s="76" t="n">
        <f aca="false">IF(AND(ISNUMBER(G306),ISNUMBER(H306)),MAX(G306-H306,0),"")</f>
        <v>1</v>
      </c>
      <c r="J306" s="78" t="n">
        <f aca="false">IF(AND(ISNUMBER(G306),ISNUMBER(H306)),IF(G306&gt;0,H306/G306,""),"")</f>
        <v>0.75</v>
      </c>
      <c r="K306" s="77" t="s">
        <v>195</v>
      </c>
      <c r="L306" s="76" t="str">
        <f aca="false">IF(OR(G306="",H306=""),"Data tidak lengkap",IF(AND(G306=0,H306=0),IF(AND(F306="",K306=""),"Tidak dibuka","Tutup"),IF(H306&gt;G306,"Lebih kapasitas",IF(H306=G306,"Penuh",IF(H306=0,IF(F306="","Slot kosong","Belum terisi"),"Sebagian")))))</f>
        <v>Sebagian</v>
      </c>
      <c r="M306" s="79" t="str">
        <f aca="false">IF(L306="Tidak dibuka","–",IF(F306="","(tanpa age group)",F306)&amp;"  "&amp;IF(H306="","?",H306)&amp;"/"&amp;IF(G306="","?",G306)&amp;CHAR(10)&amp;IF(K306="","coach: –","coach: "&amp;K306))</f>
        <v>Kids  3/4
coach: Eka</v>
      </c>
    </row>
    <row r="307" customFormat="false" ht="22.35" hidden="false" customHeight="false" outlineLevel="0" collapsed="false">
      <c r="A307" s="76" t="str">
        <f aca="false">B307&amp;"|"&amp;C307&amp;"|"&amp;D307&amp;"|"&amp;E307</f>
        <v>KLM|4|Jumat|11:45</v>
      </c>
      <c r="B307" s="76" t="s">
        <v>61</v>
      </c>
      <c r="C307" s="76" t="n">
        <v>4</v>
      </c>
      <c r="D307" s="76" t="s">
        <v>94</v>
      </c>
      <c r="E307" s="76" t="s">
        <v>115</v>
      </c>
      <c r="F307" s="77" t="s">
        <v>210</v>
      </c>
      <c r="G307" s="77" t="n">
        <v>0</v>
      </c>
      <c r="H307" s="77" t="n">
        <v>0</v>
      </c>
      <c r="I307" s="76" t="n">
        <f aca="false">IF(AND(ISNUMBER(G307),ISNUMBER(H307)),MAX(G307-H307,0),"")</f>
        <v>0</v>
      </c>
      <c r="J307" s="78" t="str">
        <f aca="false">IF(AND(ISNUMBER(G307),ISNUMBER(H307)),IF(G307&gt;0,H307/G307,""),"")</f>
        <v/>
      </c>
      <c r="K307" s="77"/>
      <c r="L307" s="76" t="str">
        <f aca="false">IF(OR(G307="",H307=""),"Data tidak lengkap",IF(AND(G307=0,H307=0),IF(AND(F307="",K307=""),"Tidak dibuka","Tutup"),IF(H307&gt;G307,"Lebih kapasitas",IF(H307=G307,"Penuh",IF(H307=0,IF(F307="","Slot kosong","Belum terisi"),"Sebagian")))))</f>
        <v>Tutup</v>
      </c>
      <c r="M307" s="79" t="str">
        <f aca="false">IF(L307="Tidak dibuka","–",IF(F307="","(tanpa age group)",F307)&amp;"  "&amp;IF(H307="","?",H307)&amp;"/"&amp;IF(G307="","?",G307)&amp;CHAR(10)&amp;IF(K307="","coach: –","coach: "&amp;K307))</f>
        <v>Kids  0/0
coach: –</v>
      </c>
    </row>
    <row r="308" customFormat="false" ht="22.35" hidden="false" customHeight="false" outlineLevel="0" collapsed="false">
      <c r="A308" s="76" t="str">
        <f aca="false">B308&amp;"|"&amp;C308&amp;"|"&amp;D308&amp;"|"&amp;E308</f>
        <v>KLM|4|Jumat|13:15</v>
      </c>
      <c r="B308" s="76" t="s">
        <v>61</v>
      </c>
      <c r="C308" s="76" t="n">
        <v>4</v>
      </c>
      <c r="D308" s="76" t="s">
        <v>94</v>
      </c>
      <c r="E308" s="76" t="s">
        <v>116</v>
      </c>
      <c r="F308" s="77" t="s">
        <v>210</v>
      </c>
      <c r="G308" s="77" t="n">
        <v>4</v>
      </c>
      <c r="H308" s="77" t="n">
        <v>3</v>
      </c>
      <c r="I308" s="76" t="n">
        <f aca="false">IF(AND(ISNUMBER(G308),ISNUMBER(H308)),MAX(G308-H308,0),"")</f>
        <v>1</v>
      </c>
      <c r="J308" s="78" t="n">
        <f aca="false">IF(AND(ISNUMBER(G308),ISNUMBER(H308)),IF(G308&gt;0,H308/G308,""),"")</f>
        <v>0.75</v>
      </c>
      <c r="K308" s="77" t="s">
        <v>195</v>
      </c>
      <c r="L308" s="76" t="str">
        <f aca="false">IF(OR(G308="",H308=""),"Data tidak lengkap",IF(AND(G308=0,H308=0),IF(AND(F308="",K308=""),"Tidak dibuka","Tutup"),IF(H308&gt;G308,"Lebih kapasitas",IF(H308=G308,"Penuh",IF(H308=0,IF(F308="","Slot kosong","Belum terisi"),"Sebagian")))))</f>
        <v>Sebagian</v>
      </c>
      <c r="M308" s="79" t="str">
        <f aca="false">IF(L308="Tidak dibuka","–",IF(F308="","(tanpa age group)",F308)&amp;"  "&amp;IF(H308="","?",H308)&amp;"/"&amp;IF(G308="","?",G308)&amp;CHAR(10)&amp;IF(K308="","coach: –","coach: "&amp;K308))</f>
        <v>Kids  3/4
coach: Eka</v>
      </c>
    </row>
    <row r="309" customFormat="false" ht="22.35" hidden="false" customHeight="false" outlineLevel="0" collapsed="false">
      <c r="A309" s="76" t="str">
        <f aca="false">B309&amp;"|"&amp;C309&amp;"|"&amp;D309&amp;"|"&amp;E309</f>
        <v>KLM|4|Jumat|14:00</v>
      </c>
      <c r="B309" s="76" t="s">
        <v>61</v>
      </c>
      <c r="C309" s="76" t="n">
        <v>4</v>
      </c>
      <c r="D309" s="76" t="s">
        <v>94</v>
      </c>
      <c r="E309" s="76" t="s">
        <v>117</v>
      </c>
      <c r="F309" s="77" t="s">
        <v>210</v>
      </c>
      <c r="G309" s="77" t="n">
        <v>4</v>
      </c>
      <c r="H309" s="77" t="n">
        <v>2</v>
      </c>
      <c r="I309" s="76" t="n">
        <f aca="false">IF(AND(ISNUMBER(G309),ISNUMBER(H309)),MAX(G309-H309,0),"")</f>
        <v>2</v>
      </c>
      <c r="J309" s="78" t="n">
        <f aca="false">IF(AND(ISNUMBER(G309),ISNUMBER(H309)),IF(G309&gt;0,H309/G309,""),"")</f>
        <v>0.5</v>
      </c>
      <c r="K309" s="77" t="s">
        <v>202</v>
      </c>
      <c r="L309" s="76" t="str">
        <f aca="false">IF(OR(G309="",H309=""),"Data tidak lengkap",IF(AND(G309=0,H309=0),IF(AND(F309="",K309=""),"Tidak dibuka","Tutup"),IF(H309&gt;G309,"Lebih kapasitas",IF(H309=G309,"Penuh",IF(H309=0,IF(F309="","Slot kosong","Belum terisi"),"Sebagian")))))</f>
        <v>Sebagian</v>
      </c>
      <c r="M309" s="79" t="str">
        <f aca="false">IF(L309="Tidak dibuka","–",IF(F309="","(tanpa age group)",F309)&amp;"  "&amp;IF(H309="","?",H309)&amp;"/"&amp;IF(G309="","?",G309)&amp;CHAR(10)&amp;IF(K309="","coach: –","coach: "&amp;K309))</f>
        <v>Kids  2/4
coach: Daffa</v>
      </c>
    </row>
    <row r="310" customFormat="false" ht="22.35" hidden="false" customHeight="false" outlineLevel="0" collapsed="false">
      <c r="A310" s="76" t="str">
        <f aca="false">B310&amp;"|"&amp;C310&amp;"|"&amp;D310&amp;"|"&amp;E310</f>
        <v>KLM|4|Jumat|14:45</v>
      </c>
      <c r="B310" s="76" t="s">
        <v>61</v>
      </c>
      <c r="C310" s="76" t="n">
        <v>4</v>
      </c>
      <c r="D310" s="76" t="s">
        <v>94</v>
      </c>
      <c r="E310" s="76" t="s">
        <v>118</v>
      </c>
      <c r="F310" s="77" t="s">
        <v>210</v>
      </c>
      <c r="G310" s="77" t="n">
        <v>4</v>
      </c>
      <c r="H310" s="77" t="n">
        <v>4</v>
      </c>
      <c r="I310" s="76" t="n">
        <f aca="false">IF(AND(ISNUMBER(G310),ISNUMBER(H310)),MAX(G310-H310,0),"")</f>
        <v>0</v>
      </c>
      <c r="J310" s="78" t="n">
        <f aca="false">IF(AND(ISNUMBER(G310),ISNUMBER(H310)),IF(G310&gt;0,H310/G310,""),"")</f>
        <v>1</v>
      </c>
      <c r="K310" s="77" t="s">
        <v>197</v>
      </c>
      <c r="L310" s="76" t="str">
        <f aca="false">IF(OR(G310="",H310=""),"Data tidak lengkap",IF(AND(G310=0,H310=0),IF(AND(F310="",K310=""),"Tidak dibuka","Tutup"),IF(H310&gt;G310,"Lebih kapasitas",IF(H310=G310,"Penuh",IF(H310=0,IF(F310="","Slot kosong","Belum terisi"),"Sebagian")))))</f>
        <v>Penuh</v>
      </c>
      <c r="M310" s="79" t="str">
        <f aca="false">IF(L310="Tidak dibuka","–",IF(F310="","(tanpa age group)",F310)&amp;"  "&amp;IF(H310="","?",H310)&amp;"/"&amp;IF(G310="","?",G310)&amp;CHAR(10)&amp;IF(K310="","coach: –","coach: "&amp;K310))</f>
        <v>Kids  4/4
coach: Rischa</v>
      </c>
    </row>
    <row r="311" customFormat="false" ht="22.35" hidden="false" customHeight="false" outlineLevel="0" collapsed="false">
      <c r="A311" s="76" t="str">
        <f aca="false">B311&amp;"|"&amp;C311&amp;"|"&amp;D311&amp;"|"&amp;E311</f>
        <v>KLM|4|Jumat|15:30</v>
      </c>
      <c r="B311" s="76" t="s">
        <v>61</v>
      </c>
      <c r="C311" s="76" t="n">
        <v>4</v>
      </c>
      <c r="D311" s="76" t="s">
        <v>94</v>
      </c>
      <c r="E311" s="76" t="s">
        <v>119</v>
      </c>
      <c r="F311" s="77" t="s">
        <v>210</v>
      </c>
      <c r="G311" s="77" t="n">
        <v>0</v>
      </c>
      <c r="H311" s="77" t="n">
        <v>3</v>
      </c>
      <c r="I311" s="76" t="n">
        <f aca="false">IF(AND(ISNUMBER(G311),ISNUMBER(H311)),MAX(G311-H311,0),"")</f>
        <v>0</v>
      </c>
      <c r="J311" s="78" t="str">
        <f aca="false">IF(AND(ISNUMBER(G311),ISNUMBER(H311)),IF(G311&gt;0,H311/G311,""),"")</f>
        <v/>
      </c>
      <c r="K311" s="77" t="s">
        <v>202</v>
      </c>
      <c r="L311" s="76" t="str">
        <f aca="false">IF(OR(G311="",H311=""),"Data tidak lengkap",IF(AND(G311=0,H311=0),IF(AND(F311="",K311=""),"Tidak dibuka","Tutup"),IF(H311&gt;G311,"Lebih kapasitas",IF(H311=G311,"Penuh",IF(H311=0,IF(F311="","Slot kosong","Belum terisi"),"Sebagian")))))</f>
        <v>Lebih kapasitas</v>
      </c>
      <c r="M311" s="79" t="str">
        <f aca="false">IF(L311="Tidak dibuka","–",IF(F311="","(tanpa age group)",F311)&amp;"  "&amp;IF(H311="","?",H311)&amp;"/"&amp;IF(G311="","?",G311)&amp;CHAR(10)&amp;IF(K311="","coach: –","coach: "&amp;K311))</f>
        <v>Kids  3/0
coach: Daffa</v>
      </c>
    </row>
    <row r="312" customFormat="false" ht="22.35" hidden="false" customHeight="false" outlineLevel="0" collapsed="false">
      <c r="A312" s="76" t="str">
        <f aca="false">B312&amp;"|"&amp;C312&amp;"|"&amp;D312&amp;"|"&amp;E312</f>
        <v>KLM|4|Jumat|16:15</v>
      </c>
      <c r="B312" s="76" t="s">
        <v>61</v>
      </c>
      <c r="C312" s="76" t="n">
        <v>4</v>
      </c>
      <c r="D312" s="76" t="s">
        <v>94</v>
      </c>
      <c r="E312" s="76" t="s">
        <v>120</v>
      </c>
      <c r="F312" s="77" t="s">
        <v>210</v>
      </c>
      <c r="G312" s="77" t="n">
        <v>4</v>
      </c>
      <c r="H312" s="77" t="n">
        <v>4</v>
      </c>
      <c r="I312" s="76" t="n">
        <f aca="false">IF(AND(ISNUMBER(G312),ISNUMBER(H312)),MAX(G312-H312,0),"")</f>
        <v>0</v>
      </c>
      <c r="J312" s="78" t="n">
        <f aca="false">IF(AND(ISNUMBER(G312),ISNUMBER(H312)),IF(G312&gt;0,H312/G312,""),"")</f>
        <v>1</v>
      </c>
      <c r="K312" s="77" t="s">
        <v>204</v>
      </c>
      <c r="L312" s="76" t="str">
        <f aca="false">IF(OR(G312="",H312=""),"Data tidak lengkap",IF(AND(G312=0,H312=0),IF(AND(F312="",K312=""),"Tidak dibuka","Tutup"),IF(H312&gt;G312,"Lebih kapasitas",IF(H312=G312,"Penuh",IF(H312=0,IF(F312="","Slot kosong","Belum terisi"),"Sebagian")))))</f>
        <v>Penuh</v>
      </c>
      <c r="M312" s="79" t="str">
        <f aca="false">IF(L312="Tidak dibuka","–",IF(F312="","(tanpa age group)",F312)&amp;"  "&amp;IF(H312="","?",H312)&amp;"/"&amp;IF(G312="","?",G312)&amp;CHAR(10)&amp;IF(K312="","coach: –","coach: "&amp;K312))</f>
        <v>Kids  4/4
coach: Dian</v>
      </c>
    </row>
    <row r="313" customFormat="false" ht="22.35" hidden="false" customHeight="false" outlineLevel="0" collapsed="false">
      <c r="A313" s="76" t="str">
        <f aca="false">B313&amp;"|"&amp;C313&amp;"|"&amp;D313&amp;"|"&amp;E313</f>
        <v>KLM|4|Jumat|17:00</v>
      </c>
      <c r="B313" s="76" t="s">
        <v>61</v>
      </c>
      <c r="C313" s="76" t="n">
        <v>4</v>
      </c>
      <c r="D313" s="76" t="s">
        <v>94</v>
      </c>
      <c r="E313" s="76" t="s">
        <v>121</v>
      </c>
      <c r="F313" s="77" t="s">
        <v>210</v>
      </c>
      <c r="G313" s="77" t="n">
        <v>4</v>
      </c>
      <c r="H313" s="77" t="n">
        <v>4</v>
      </c>
      <c r="I313" s="76" t="n">
        <f aca="false">IF(AND(ISNUMBER(G313),ISNUMBER(H313)),MAX(G313-H313,0),"")</f>
        <v>0</v>
      </c>
      <c r="J313" s="78" t="n">
        <f aca="false">IF(AND(ISNUMBER(G313),ISNUMBER(H313)),IF(G313&gt;0,H313/G313,""),"")</f>
        <v>1</v>
      </c>
      <c r="K313" s="77" t="s">
        <v>195</v>
      </c>
      <c r="L313" s="76" t="str">
        <f aca="false">IF(OR(G313="",H313=""),"Data tidak lengkap",IF(AND(G313=0,H313=0),IF(AND(F313="",K313=""),"Tidak dibuka","Tutup"),IF(H313&gt;G313,"Lebih kapasitas",IF(H313=G313,"Penuh",IF(H313=0,IF(F313="","Slot kosong","Belum terisi"),"Sebagian")))))</f>
        <v>Penuh</v>
      </c>
      <c r="M313" s="79" t="str">
        <f aca="false">IF(L313="Tidak dibuka","–",IF(F313="","(tanpa age group)",F313)&amp;"  "&amp;IF(H313="","?",H313)&amp;"/"&amp;IF(G313="","?",G313)&amp;CHAR(10)&amp;IF(K313="","coach: –","coach: "&amp;K313))</f>
        <v>Kids  4/4
coach: Eka</v>
      </c>
    </row>
    <row r="314" customFormat="false" ht="22.35" hidden="false" customHeight="false" outlineLevel="0" collapsed="false">
      <c r="A314" s="76" t="str">
        <f aca="false">B314&amp;"|"&amp;C314&amp;"|"&amp;D314&amp;"|"&amp;E314</f>
        <v>KLM|4|Sabtu|08:00</v>
      </c>
      <c r="B314" s="76" t="s">
        <v>61</v>
      </c>
      <c r="C314" s="76" t="n">
        <v>4</v>
      </c>
      <c r="D314" s="76" t="s">
        <v>95</v>
      </c>
      <c r="E314" s="76" t="s">
        <v>110</v>
      </c>
      <c r="F314" s="77" t="s">
        <v>210</v>
      </c>
      <c r="G314" s="77" t="n">
        <v>0</v>
      </c>
      <c r="H314" s="77" t="n">
        <v>0</v>
      </c>
      <c r="I314" s="76" t="n">
        <f aca="false">IF(AND(ISNUMBER(G314),ISNUMBER(H314)),MAX(G314-H314,0),"")</f>
        <v>0</v>
      </c>
      <c r="J314" s="78" t="str">
        <f aca="false">IF(AND(ISNUMBER(G314),ISNUMBER(H314)),IF(G314&gt;0,H314/G314,""),"")</f>
        <v/>
      </c>
      <c r="K314" s="77"/>
      <c r="L314" s="76" t="str">
        <f aca="false">IF(OR(G314="",H314=""),"Data tidak lengkap",IF(AND(G314=0,H314=0),IF(AND(F314="",K314=""),"Tidak dibuka","Tutup"),IF(H314&gt;G314,"Lebih kapasitas",IF(H314=G314,"Penuh",IF(H314=0,IF(F314="","Slot kosong","Belum terisi"),"Sebagian")))))</f>
        <v>Tutup</v>
      </c>
      <c r="M314" s="79" t="str">
        <f aca="false">IF(L314="Tidak dibuka","–",IF(F314="","(tanpa age group)",F314)&amp;"  "&amp;IF(H314="","?",H314)&amp;"/"&amp;IF(G314="","?",G314)&amp;CHAR(10)&amp;IF(K314="","coach: –","coach: "&amp;K314))</f>
        <v>Kids  0/0
coach: –</v>
      </c>
    </row>
    <row r="315" customFormat="false" ht="22.35" hidden="false" customHeight="false" outlineLevel="0" collapsed="false">
      <c r="A315" s="76" t="str">
        <f aca="false">B315&amp;"|"&amp;C315&amp;"|"&amp;D315&amp;"|"&amp;E315</f>
        <v>KLM|4|Sabtu|08:45</v>
      </c>
      <c r="B315" s="76" t="s">
        <v>61</v>
      </c>
      <c r="C315" s="76" t="n">
        <v>4</v>
      </c>
      <c r="D315" s="76" t="s">
        <v>95</v>
      </c>
      <c r="E315" s="76" t="s">
        <v>111</v>
      </c>
      <c r="F315" s="77" t="s">
        <v>210</v>
      </c>
      <c r="G315" s="77" t="n">
        <v>4</v>
      </c>
      <c r="H315" s="77" t="n">
        <v>4</v>
      </c>
      <c r="I315" s="76" t="n">
        <f aca="false">IF(AND(ISNUMBER(G315),ISNUMBER(H315)),MAX(G315-H315,0),"")</f>
        <v>0</v>
      </c>
      <c r="J315" s="78" t="n">
        <f aca="false">IF(AND(ISNUMBER(G315),ISNUMBER(H315)),IF(G315&gt;0,H315/G315,""),"")</f>
        <v>1</v>
      </c>
      <c r="K315" s="77" t="s">
        <v>204</v>
      </c>
      <c r="L315" s="76" t="str">
        <f aca="false">IF(OR(G315="",H315=""),"Data tidak lengkap",IF(AND(G315=0,H315=0),IF(AND(F315="",K315=""),"Tidak dibuka","Tutup"),IF(H315&gt;G315,"Lebih kapasitas",IF(H315=G315,"Penuh",IF(H315=0,IF(F315="","Slot kosong","Belum terisi"),"Sebagian")))))</f>
        <v>Penuh</v>
      </c>
      <c r="M315" s="79" t="str">
        <f aca="false">IF(L315="Tidak dibuka","–",IF(F315="","(tanpa age group)",F315)&amp;"  "&amp;IF(H315="","?",H315)&amp;"/"&amp;IF(G315="","?",G315)&amp;CHAR(10)&amp;IF(K315="","coach: –","coach: "&amp;K315))</f>
        <v>Kids  4/4
coach: Dian</v>
      </c>
    </row>
    <row r="316" customFormat="false" ht="22.35" hidden="false" customHeight="false" outlineLevel="0" collapsed="false">
      <c r="A316" s="76" t="str">
        <f aca="false">B316&amp;"|"&amp;C316&amp;"|"&amp;D316&amp;"|"&amp;E316</f>
        <v>KLM|4|Sabtu|09:30</v>
      </c>
      <c r="B316" s="76" t="s">
        <v>61</v>
      </c>
      <c r="C316" s="76" t="n">
        <v>4</v>
      </c>
      <c r="D316" s="76" t="s">
        <v>95</v>
      </c>
      <c r="E316" s="76" t="s">
        <v>112</v>
      </c>
      <c r="F316" s="77" t="s">
        <v>210</v>
      </c>
      <c r="G316" s="77" t="n">
        <v>4</v>
      </c>
      <c r="H316" s="77" t="n">
        <v>3</v>
      </c>
      <c r="I316" s="76" t="n">
        <f aca="false">IF(AND(ISNUMBER(G316),ISNUMBER(H316)),MAX(G316-H316,0),"")</f>
        <v>1</v>
      </c>
      <c r="J316" s="78" t="n">
        <f aca="false">IF(AND(ISNUMBER(G316),ISNUMBER(H316)),IF(G316&gt;0,H316/G316,""),"")</f>
        <v>0.75</v>
      </c>
      <c r="K316" s="77" t="s">
        <v>204</v>
      </c>
      <c r="L316" s="76" t="str">
        <f aca="false">IF(OR(G316="",H316=""),"Data tidak lengkap",IF(AND(G316=0,H316=0),IF(AND(F316="",K316=""),"Tidak dibuka","Tutup"),IF(H316&gt;G316,"Lebih kapasitas",IF(H316=G316,"Penuh",IF(H316=0,IF(F316="","Slot kosong","Belum terisi"),"Sebagian")))))</f>
        <v>Sebagian</v>
      </c>
      <c r="M316" s="79" t="str">
        <f aca="false">IF(L316="Tidak dibuka","–",IF(F316="","(tanpa age group)",F316)&amp;"  "&amp;IF(H316="","?",H316)&amp;"/"&amp;IF(G316="","?",G316)&amp;CHAR(10)&amp;IF(K316="","coach: –","coach: "&amp;K316))</f>
        <v>Kids  3/4
coach: Dian</v>
      </c>
    </row>
    <row r="317" customFormat="false" ht="22.35" hidden="false" customHeight="false" outlineLevel="0" collapsed="false">
      <c r="A317" s="76" t="str">
        <f aca="false">B317&amp;"|"&amp;C317&amp;"|"&amp;D317&amp;"|"&amp;E317</f>
        <v>KLM|4|Sabtu|10:15</v>
      </c>
      <c r="B317" s="76" t="s">
        <v>61</v>
      </c>
      <c r="C317" s="76" t="n">
        <v>4</v>
      </c>
      <c r="D317" s="76" t="s">
        <v>95</v>
      </c>
      <c r="E317" s="76" t="s">
        <v>113</v>
      </c>
      <c r="F317" s="77" t="s">
        <v>210</v>
      </c>
      <c r="G317" s="77" t="n">
        <v>4</v>
      </c>
      <c r="H317" s="77" t="n">
        <v>4</v>
      </c>
      <c r="I317" s="76" t="n">
        <f aca="false">IF(AND(ISNUMBER(G317),ISNUMBER(H317)),MAX(G317-H317,0),"")</f>
        <v>0</v>
      </c>
      <c r="J317" s="78" t="n">
        <f aca="false">IF(AND(ISNUMBER(G317),ISNUMBER(H317)),IF(G317&gt;0,H317/G317,""),"")</f>
        <v>1</v>
      </c>
      <c r="K317" s="77" t="s">
        <v>44</v>
      </c>
      <c r="L317" s="76" t="str">
        <f aca="false">IF(OR(G317="",H317=""),"Data tidak lengkap",IF(AND(G317=0,H317=0),IF(AND(F317="",K317=""),"Tidak dibuka","Tutup"),IF(H317&gt;G317,"Lebih kapasitas",IF(H317=G317,"Penuh",IF(H317=0,IF(F317="","Slot kosong","Belum terisi"),"Sebagian")))))</f>
        <v>Penuh</v>
      </c>
      <c r="M317" s="79" t="str">
        <f aca="false">IF(L317="Tidak dibuka","–",IF(F317="","(tanpa age group)",F317)&amp;"  "&amp;IF(H317="","?",H317)&amp;"/"&amp;IF(G317="","?",G317)&amp;CHAR(10)&amp;IF(K317="","coach: –","coach: "&amp;K317))</f>
        <v>Kids  4/4
coach: Danti</v>
      </c>
    </row>
    <row r="318" customFormat="false" ht="22.35" hidden="false" customHeight="false" outlineLevel="0" collapsed="false">
      <c r="A318" s="76" t="str">
        <f aca="false">B318&amp;"|"&amp;C318&amp;"|"&amp;D318&amp;"|"&amp;E318</f>
        <v>KLM|4|Sabtu|11:00</v>
      </c>
      <c r="B318" s="76" t="s">
        <v>61</v>
      </c>
      <c r="C318" s="76" t="n">
        <v>4</v>
      </c>
      <c r="D318" s="76" t="s">
        <v>95</v>
      </c>
      <c r="E318" s="76" t="s">
        <v>114</v>
      </c>
      <c r="F318" s="77" t="s">
        <v>210</v>
      </c>
      <c r="G318" s="77" t="n">
        <v>4</v>
      </c>
      <c r="H318" s="77" t="n">
        <v>4</v>
      </c>
      <c r="I318" s="76" t="n">
        <f aca="false">IF(AND(ISNUMBER(G318),ISNUMBER(H318)),MAX(G318-H318,0),"")</f>
        <v>0</v>
      </c>
      <c r="J318" s="78" t="n">
        <f aca="false">IF(AND(ISNUMBER(G318),ISNUMBER(H318)),IF(G318&gt;0,H318/G318,""),"")</f>
        <v>1</v>
      </c>
      <c r="K318" s="77" t="s">
        <v>202</v>
      </c>
      <c r="L318" s="76" t="str">
        <f aca="false">IF(OR(G318="",H318=""),"Data tidak lengkap",IF(AND(G318=0,H318=0),IF(AND(F318="",K318=""),"Tidak dibuka","Tutup"),IF(H318&gt;G318,"Lebih kapasitas",IF(H318=G318,"Penuh",IF(H318=0,IF(F318="","Slot kosong","Belum terisi"),"Sebagian")))))</f>
        <v>Penuh</v>
      </c>
      <c r="M318" s="79" t="str">
        <f aca="false">IF(L318="Tidak dibuka","–",IF(F318="","(tanpa age group)",F318)&amp;"  "&amp;IF(H318="","?",H318)&amp;"/"&amp;IF(G318="","?",G318)&amp;CHAR(10)&amp;IF(K318="","coach: –","coach: "&amp;K318))</f>
        <v>Kids  4/4
coach: Daffa</v>
      </c>
    </row>
    <row r="319" customFormat="false" ht="22.35" hidden="false" customHeight="false" outlineLevel="0" collapsed="false">
      <c r="A319" s="76" t="str">
        <f aca="false">B319&amp;"|"&amp;C319&amp;"|"&amp;D319&amp;"|"&amp;E319</f>
        <v>KLM|4|Sabtu|11:45</v>
      </c>
      <c r="B319" s="76" t="s">
        <v>61</v>
      </c>
      <c r="C319" s="76" t="n">
        <v>4</v>
      </c>
      <c r="D319" s="76" t="s">
        <v>95</v>
      </c>
      <c r="E319" s="76" t="s">
        <v>115</v>
      </c>
      <c r="F319" s="77" t="s">
        <v>210</v>
      </c>
      <c r="G319" s="77" t="n">
        <v>4</v>
      </c>
      <c r="H319" s="77" t="n">
        <v>4</v>
      </c>
      <c r="I319" s="76" t="n">
        <f aca="false">IF(AND(ISNUMBER(G319),ISNUMBER(H319)),MAX(G319-H319,0),"")</f>
        <v>0</v>
      </c>
      <c r="J319" s="78" t="n">
        <f aca="false">IF(AND(ISNUMBER(G319),ISNUMBER(H319)),IF(G319&gt;0,H319/G319,""),"")</f>
        <v>1</v>
      </c>
      <c r="K319" s="77" t="s">
        <v>198</v>
      </c>
      <c r="L319" s="76" t="str">
        <f aca="false">IF(OR(G319="",H319=""),"Data tidak lengkap",IF(AND(G319=0,H319=0),IF(AND(F319="",K319=""),"Tidak dibuka","Tutup"),IF(H319&gt;G319,"Lebih kapasitas",IF(H319=G319,"Penuh",IF(H319=0,IF(F319="","Slot kosong","Belum terisi"),"Sebagian")))))</f>
        <v>Penuh</v>
      </c>
      <c r="M319" s="79" t="str">
        <f aca="false">IF(L319="Tidak dibuka","–",IF(F319="","(tanpa age group)",F319)&amp;"  "&amp;IF(H319="","?",H319)&amp;"/"&amp;IF(G319="","?",G319)&amp;CHAR(10)&amp;IF(K319="","coach: –","coach: "&amp;K319))</f>
        <v>Kids  4/4
coach: Surya</v>
      </c>
    </row>
    <row r="320" customFormat="false" ht="22.35" hidden="false" customHeight="false" outlineLevel="0" collapsed="false">
      <c r="A320" s="76" t="str">
        <f aca="false">B320&amp;"|"&amp;C320&amp;"|"&amp;D320&amp;"|"&amp;E320</f>
        <v>KLM|4|Sabtu|13:15</v>
      </c>
      <c r="B320" s="76" t="s">
        <v>61</v>
      </c>
      <c r="C320" s="76" t="n">
        <v>4</v>
      </c>
      <c r="D320" s="76" t="s">
        <v>95</v>
      </c>
      <c r="E320" s="76" t="s">
        <v>116</v>
      </c>
      <c r="F320" s="77" t="s">
        <v>210</v>
      </c>
      <c r="G320" s="77" t="n">
        <v>4</v>
      </c>
      <c r="H320" s="77" t="n">
        <v>3</v>
      </c>
      <c r="I320" s="76" t="n">
        <f aca="false">IF(AND(ISNUMBER(G320),ISNUMBER(H320)),MAX(G320-H320,0),"")</f>
        <v>1</v>
      </c>
      <c r="J320" s="78" t="n">
        <f aca="false">IF(AND(ISNUMBER(G320),ISNUMBER(H320)),IF(G320&gt;0,H320/G320,""),"")</f>
        <v>0.75</v>
      </c>
      <c r="K320" s="77" t="s">
        <v>198</v>
      </c>
      <c r="L320" s="76" t="str">
        <f aca="false">IF(OR(G320="",H320=""),"Data tidak lengkap",IF(AND(G320=0,H320=0),IF(AND(F320="",K320=""),"Tidak dibuka","Tutup"),IF(H320&gt;G320,"Lebih kapasitas",IF(H320=G320,"Penuh",IF(H320=0,IF(F320="","Slot kosong","Belum terisi"),"Sebagian")))))</f>
        <v>Sebagian</v>
      </c>
      <c r="M320" s="79" t="str">
        <f aca="false">IF(L320="Tidak dibuka","–",IF(F320="","(tanpa age group)",F320)&amp;"  "&amp;IF(H320="","?",H320)&amp;"/"&amp;IF(G320="","?",G320)&amp;CHAR(10)&amp;IF(K320="","coach: –","coach: "&amp;K320))</f>
        <v>Kids  3/4
coach: Surya</v>
      </c>
    </row>
    <row r="321" customFormat="false" ht="22.35" hidden="false" customHeight="false" outlineLevel="0" collapsed="false">
      <c r="A321" s="76" t="str">
        <f aca="false">B321&amp;"|"&amp;C321&amp;"|"&amp;D321&amp;"|"&amp;E321</f>
        <v>KLM|4|Sabtu|14:00</v>
      </c>
      <c r="B321" s="76" t="s">
        <v>61</v>
      </c>
      <c r="C321" s="76" t="n">
        <v>4</v>
      </c>
      <c r="D321" s="76" t="s">
        <v>95</v>
      </c>
      <c r="E321" s="76" t="s">
        <v>117</v>
      </c>
      <c r="F321" s="77" t="s">
        <v>210</v>
      </c>
      <c r="G321" s="77" t="n">
        <v>4</v>
      </c>
      <c r="H321" s="77" t="n">
        <v>4</v>
      </c>
      <c r="I321" s="76" t="n">
        <f aca="false">IF(AND(ISNUMBER(G321),ISNUMBER(H321)),MAX(G321-H321,0),"")</f>
        <v>0</v>
      </c>
      <c r="J321" s="78" t="n">
        <f aca="false">IF(AND(ISNUMBER(G321),ISNUMBER(H321)),IF(G321&gt;0,H321/G321,""),"")</f>
        <v>1</v>
      </c>
      <c r="K321" s="77" t="s">
        <v>201</v>
      </c>
      <c r="L321" s="76" t="str">
        <f aca="false">IF(OR(G321="",H321=""),"Data tidak lengkap",IF(AND(G321=0,H321=0),IF(AND(F321="",K321=""),"Tidak dibuka","Tutup"),IF(H321&gt;G321,"Lebih kapasitas",IF(H321=G321,"Penuh",IF(H321=0,IF(F321="","Slot kosong","Belum terisi"),"Sebagian")))))</f>
        <v>Penuh</v>
      </c>
      <c r="M321" s="79" t="str">
        <f aca="false">IF(L321="Tidak dibuka","–",IF(F321="","(tanpa age group)",F321)&amp;"  "&amp;IF(H321="","?",H321)&amp;"/"&amp;IF(G321="","?",G321)&amp;CHAR(10)&amp;IF(K321="","coach: –","coach: "&amp;K321))</f>
        <v>Kids  4/4
coach: Nuky</v>
      </c>
    </row>
    <row r="322" customFormat="false" ht="22.35" hidden="false" customHeight="false" outlineLevel="0" collapsed="false">
      <c r="A322" s="76" t="str">
        <f aca="false">B322&amp;"|"&amp;C322&amp;"|"&amp;D322&amp;"|"&amp;E322</f>
        <v>KLM|4|Sabtu|14:45</v>
      </c>
      <c r="B322" s="76" t="s">
        <v>61</v>
      </c>
      <c r="C322" s="76" t="n">
        <v>4</v>
      </c>
      <c r="D322" s="76" t="s">
        <v>95</v>
      </c>
      <c r="E322" s="76" t="s">
        <v>118</v>
      </c>
      <c r="F322" s="77" t="s">
        <v>210</v>
      </c>
      <c r="G322" s="77" t="n">
        <v>4</v>
      </c>
      <c r="H322" s="77" t="n">
        <v>4</v>
      </c>
      <c r="I322" s="76" t="n">
        <f aca="false">IF(AND(ISNUMBER(G322),ISNUMBER(H322)),MAX(G322-H322,0),"")</f>
        <v>0</v>
      </c>
      <c r="J322" s="78" t="n">
        <f aca="false">IF(AND(ISNUMBER(G322),ISNUMBER(H322)),IF(G322&gt;0,H322/G322,""),"")</f>
        <v>1</v>
      </c>
      <c r="K322" s="77" t="s">
        <v>198</v>
      </c>
      <c r="L322" s="76" t="str">
        <f aca="false">IF(OR(G322="",H322=""),"Data tidak lengkap",IF(AND(G322=0,H322=0),IF(AND(F322="",K322=""),"Tidak dibuka","Tutup"),IF(H322&gt;G322,"Lebih kapasitas",IF(H322=G322,"Penuh",IF(H322=0,IF(F322="","Slot kosong","Belum terisi"),"Sebagian")))))</f>
        <v>Penuh</v>
      </c>
      <c r="M322" s="79" t="str">
        <f aca="false">IF(L322="Tidak dibuka","–",IF(F322="","(tanpa age group)",F322)&amp;"  "&amp;IF(H322="","?",H322)&amp;"/"&amp;IF(G322="","?",G322)&amp;CHAR(10)&amp;IF(K322="","coach: –","coach: "&amp;K322))</f>
        <v>Kids  4/4
coach: Surya</v>
      </c>
    </row>
    <row r="323" customFormat="false" ht="22.35" hidden="false" customHeight="false" outlineLevel="0" collapsed="false">
      <c r="A323" s="76" t="str">
        <f aca="false">B323&amp;"|"&amp;C323&amp;"|"&amp;D323&amp;"|"&amp;E323</f>
        <v>KLM|4|Sabtu|15:30</v>
      </c>
      <c r="B323" s="76" t="s">
        <v>61</v>
      </c>
      <c r="C323" s="76" t="n">
        <v>4</v>
      </c>
      <c r="D323" s="76" t="s">
        <v>95</v>
      </c>
      <c r="E323" s="76" t="s">
        <v>119</v>
      </c>
      <c r="F323" s="77" t="s">
        <v>210</v>
      </c>
      <c r="G323" s="77" t="n">
        <v>4</v>
      </c>
      <c r="H323" s="77" t="n">
        <v>3</v>
      </c>
      <c r="I323" s="76" t="n">
        <f aca="false">IF(AND(ISNUMBER(G323),ISNUMBER(H323)),MAX(G323-H323,0),"")</f>
        <v>1</v>
      </c>
      <c r="J323" s="78" t="n">
        <f aca="false">IF(AND(ISNUMBER(G323),ISNUMBER(H323)),IF(G323&gt;0,H323/G323,""),"")</f>
        <v>0.75</v>
      </c>
      <c r="K323" s="77" t="s">
        <v>204</v>
      </c>
      <c r="L323" s="76" t="str">
        <f aca="false">IF(OR(G323="",H323=""),"Data tidak lengkap",IF(AND(G323=0,H323=0),IF(AND(F323="",K323=""),"Tidak dibuka","Tutup"),IF(H323&gt;G323,"Lebih kapasitas",IF(H323=G323,"Penuh",IF(H323=0,IF(F323="","Slot kosong","Belum terisi"),"Sebagian")))))</f>
        <v>Sebagian</v>
      </c>
      <c r="M323" s="79" t="str">
        <f aca="false">IF(L323="Tidak dibuka","–",IF(F323="","(tanpa age group)",F323)&amp;"  "&amp;IF(H323="","?",H323)&amp;"/"&amp;IF(G323="","?",G323)&amp;CHAR(10)&amp;IF(K323="","coach: –","coach: "&amp;K323))</f>
        <v>Kids  3/4
coach: Dian</v>
      </c>
    </row>
    <row r="324" customFormat="false" ht="22.35" hidden="false" customHeight="false" outlineLevel="0" collapsed="false">
      <c r="A324" s="76" t="str">
        <f aca="false">B324&amp;"|"&amp;C324&amp;"|"&amp;D324&amp;"|"&amp;E324</f>
        <v>KLM|4|Sabtu|16:15</v>
      </c>
      <c r="B324" s="76" t="s">
        <v>61</v>
      </c>
      <c r="C324" s="76" t="n">
        <v>4</v>
      </c>
      <c r="D324" s="76" t="s">
        <v>95</v>
      </c>
      <c r="E324" s="76" t="s">
        <v>120</v>
      </c>
      <c r="F324" s="77" t="s">
        <v>210</v>
      </c>
      <c r="G324" s="77" t="n">
        <v>4</v>
      </c>
      <c r="H324" s="77" t="n">
        <v>3</v>
      </c>
      <c r="I324" s="76" t="n">
        <f aca="false">IF(AND(ISNUMBER(G324),ISNUMBER(H324)),MAX(G324-H324,0),"")</f>
        <v>1</v>
      </c>
      <c r="J324" s="78" t="n">
        <f aca="false">IF(AND(ISNUMBER(G324),ISNUMBER(H324)),IF(G324&gt;0,H324/G324,""),"")</f>
        <v>0.75</v>
      </c>
      <c r="K324" s="77" t="s">
        <v>200</v>
      </c>
      <c r="L324" s="76" t="str">
        <f aca="false">IF(OR(G324="",H324=""),"Data tidak lengkap",IF(AND(G324=0,H324=0),IF(AND(F324="",K324=""),"Tidak dibuka","Tutup"),IF(H324&gt;G324,"Lebih kapasitas",IF(H324=G324,"Penuh",IF(H324=0,IF(F324="","Slot kosong","Belum terisi"),"Sebagian")))))</f>
        <v>Sebagian</v>
      </c>
      <c r="M324" s="79" t="str">
        <f aca="false">IF(L324="Tidak dibuka","–",IF(F324="","(tanpa age group)",F324)&amp;"  "&amp;IF(H324="","?",H324)&amp;"/"&amp;IF(G324="","?",G324)&amp;CHAR(10)&amp;IF(K324="","coach: –","coach: "&amp;K324))</f>
        <v>Kids  3/4
coach: Zidane</v>
      </c>
    </row>
    <row r="325" customFormat="false" ht="22.35" hidden="false" customHeight="false" outlineLevel="0" collapsed="false">
      <c r="A325" s="76" t="str">
        <f aca="false">B325&amp;"|"&amp;C325&amp;"|"&amp;D325&amp;"|"&amp;E325</f>
        <v>KLM|4|Sabtu|17:00</v>
      </c>
      <c r="B325" s="76" t="s">
        <v>61</v>
      </c>
      <c r="C325" s="76" t="n">
        <v>4</v>
      </c>
      <c r="D325" s="76" t="s">
        <v>95</v>
      </c>
      <c r="E325" s="76" t="s">
        <v>121</v>
      </c>
      <c r="F325" s="77" t="s">
        <v>210</v>
      </c>
      <c r="G325" s="77" t="n">
        <v>4</v>
      </c>
      <c r="H325" s="77" t="n">
        <v>4</v>
      </c>
      <c r="I325" s="76" t="n">
        <f aca="false">IF(AND(ISNUMBER(G325),ISNUMBER(H325)),MAX(G325-H325,0),"")</f>
        <v>0</v>
      </c>
      <c r="J325" s="78" t="n">
        <f aca="false">IF(AND(ISNUMBER(G325),ISNUMBER(H325)),IF(G325&gt;0,H325/G325,""),"")</f>
        <v>1</v>
      </c>
      <c r="K325" s="77" t="s">
        <v>202</v>
      </c>
      <c r="L325" s="76" t="str">
        <f aca="false">IF(OR(G325="",H325=""),"Data tidak lengkap",IF(AND(G325=0,H325=0),IF(AND(F325="",K325=""),"Tidak dibuka","Tutup"),IF(H325&gt;G325,"Lebih kapasitas",IF(H325=G325,"Penuh",IF(H325=0,IF(F325="","Slot kosong","Belum terisi"),"Sebagian")))))</f>
        <v>Penuh</v>
      </c>
      <c r="M325" s="79" t="str">
        <f aca="false">IF(L325="Tidak dibuka","–",IF(F325="","(tanpa age group)",F325)&amp;"  "&amp;IF(H325="","?",H325)&amp;"/"&amp;IF(G325="","?",G325)&amp;CHAR(10)&amp;IF(K325="","coach: –","coach: "&amp;K325))</f>
        <v>Kids  4/4
coach: Daffa</v>
      </c>
    </row>
    <row r="326" customFormat="false" ht="22.35" hidden="false" customHeight="false" outlineLevel="0" collapsed="false">
      <c r="A326" s="76" t="str">
        <f aca="false">B326&amp;"|"&amp;C326&amp;"|"&amp;D326&amp;"|"&amp;E326</f>
        <v>KLM|4|Minggu|08:00</v>
      </c>
      <c r="B326" s="76" t="s">
        <v>61</v>
      </c>
      <c r="C326" s="76" t="n">
        <v>4</v>
      </c>
      <c r="D326" s="76" t="s">
        <v>78</v>
      </c>
      <c r="E326" s="76" t="s">
        <v>110</v>
      </c>
      <c r="F326" s="77" t="s">
        <v>210</v>
      </c>
      <c r="G326" s="77" t="n">
        <v>0</v>
      </c>
      <c r="H326" s="77" t="n">
        <v>0</v>
      </c>
      <c r="I326" s="76" t="n">
        <f aca="false">IF(AND(ISNUMBER(G326),ISNUMBER(H326)),MAX(G326-H326,0),"")</f>
        <v>0</v>
      </c>
      <c r="J326" s="78" t="str">
        <f aca="false">IF(AND(ISNUMBER(G326),ISNUMBER(H326)),IF(G326&gt;0,H326/G326,""),"")</f>
        <v/>
      </c>
      <c r="K326" s="77"/>
      <c r="L326" s="76" t="str">
        <f aca="false">IF(OR(G326="",H326=""),"Data tidak lengkap",IF(AND(G326=0,H326=0),IF(AND(F326="",K326=""),"Tidak dibuka","Tutup"),IF(H326&gt;G326,"Lebih kapasitas",IF(H326=G326,"Penuh",IF(H326=0,IF(F326="","Slot kosong","Belum terisi"),"Sebagian")))))</f>
        <v>Tutup</v>
      </c>
      <c r="M326" s="79" t="str">
        <f aca="false">IF(L326="Tidak dibuka","–",IF(F326="","(tanpa age group)",F326)&amp;"  "&amp;IF(H326="","?",H326)&amp;"/"&amp;IF(G326="","?",G326)&amp;CHAR(10)&amp;IF(K326="","coach: –","coach: "&amp;K326))</f>
        <v>Kids  0/0
coach: –</v>
      </c>
    </row>
    <row r="327" customFormat="false" ht="22.35" hidden="false" customHeight="false" outlineLevel="0" collapsed="false">
      <c r="A327" s="76" t="str">
        <f aca="false">B327&amp;"|"&amp;C327&amp;"|"&amp;D327&amp;"|"&amp;E327</f>
        <v>KLM|4|Minggu|08:45</v>
      </c>
      <c r="B327" s="76" t="s">
        <v>61</v>
      </c>
      <c r="C327" s="76" t="n">
        <v>4</v>
      </c>
      <c r="D327" s="76" t="s">
        <v>78</v>
      </c>
      <c r="E327" s="76" t="s">
        <v>111</v>
      </c>
      <c r="F327" s="77" t="s">
        <v>210</v>
      </c>
      <c r="G327" s="77" t="n">
        <v>4</v>
      </c>
      <c r="H327" s="77" t="n">
        <v>4</v>
      </c>
      <c r="I327" s="76" t="n">
        <f aca="false">IF(AND(ISNUMBER(G327),ISNUMBER(H327)),MAX(G327-H327,0),"")</f>
        <v>0</v>
      </c>
      <c r="J327" s="78" t="n">
        <f aca="false">IF(AND(ISNUMBER(G327),ISNUMBER(H327)),IF(G327&gt;0,H327/G327,""),"")</f>
        <v>1</v>
      </c>
      <c r="K327" s="77" t="s">
        <v>204</v>
      </c>
      <c r="L327" s="76" t="str">
        <f aca="false">IF(OR(G327="",H327=""),"Data tidak lengkap",IF(AND(G327=0,H327=0),IF(AND(F327="",K327=""),"Tidak dibuka","Tutup"),IF(H327&gt;G327,"Lebih kapasitas",IF(H327=G327,"Penuh",IF(H327=0,IF(F327="","Slot kosong","Belum terisi"),"Sebagian")))))</f>
        <v>Penuh</v>
      </c>
      <c r="M327" s="79" t="str">
        <f aca="false">IF(L327="Tidak dibuka","–",IF(F327="","(tanpa age group)",F327)&amp;"  "&amp;IF(H327="","?",H327)&amp;"/"&amp;IF(G327="","?",G327)&amp;CHAR(10)&amp;IF(K327="","coach: –","coach: "&amp;K327))</f>
        <v>Kids  4/4
coach: Dian</v>
      </c>
    </row>
    <row r="328" customFormat="false" ht="22.35" hidden="false" customHeight="false" outlineLevel="0" collapsed="false">
      <c r="A328" s="76" t="str">
        <f aca="false">B328&amp;"|"&amp;C328&amp;"|"&amp;D328&amp;"|"&amp;E328</f>
        <v>KLM|4|Minggu|09:30</v>
      </c>
      <c r="B328" s="76" t="s">
        <v>61</v>
      </c>
      <c r="C328" s="76" t="n">
        <v>4</v>
      </c>
      <c r="D328" s="76" t="s">
        <v>78</v>
      </c>
      <c r="E328" s="76" t="s">
        <v>112</v>
      </c>
      <c r="F328" s="77" t="s">
        <v>210</v>
      </c>
      <c r="G328" s="77" t="n">
        <v>4</v>
      </c>
      <c r="H328" s="77" t="n">
        <v>3</v>
      </c>
      <c r="I328" s="76" t="n">
        <f aca="false">IF(AND(ISNUMBER(G328),ISNUMBER(H328)),MAX(G328-H328,0),"")</f>
        <v>1</v>
      </c>
      <c r="J328" s="78" t="n">
        <f aca="false">IF(AND(ISNUMBER(G328),ISNUMBER(H328)),IF(G328&gt;0,H328/G328,""),"")</f>
        <v>0.75</v>
      </c>
      <c r="K328" s="77" t="s">
        <v>195</v>
      </c>
      <c r="L328" s="76" t="str">
        <f aca="false">IF(OR(G328="",H328=""),"Data tidak lengkap",IF(AND(G328=0,H328=0),IF(AND(F328="",K328=""),"Tidak dibuka","Tutup"),IF(H328&gt;G328,"Lebih kapasitas",IF(H328=G328,"Penuh",IF(H328=0,IF(F328="","Slot kosong","Belum terisi"),"Sebagian")))))</f>
        <v>Sebagian</v>
      </c>
      <c r="M328" s="79" t="str">
        <f aca="false">IF(L328="Tidak dibuka","–",IF(F328="","(tanpa age group)",F328)&amp;"  "&amp;IF(H328="","?",H328)&amp;"/"&amp;IF(G328="","?",G328)&amp;CHAR(10)&amp;IF(K328="","coach: –","coach: "&amp;K328))</f>
        <v>Kids  3/4
coach: Eka</v>
      </c>
    </row>
    <row r="329" customFormat="false" ht="22.35" hidden="false" customHeight="false" outlineLevel="0" collapsed="false">
      <c r="A329" s="76" t="str">
        <f aca="false">B329&amp;"|"&amp;C329&amp;"|"&amp;D329&amp;"|"&amp;E329</f>
        <v>KLM|4|Minggu|10:15</v>
      </c>
      <c r="B329" s="76" t="s">
        <v>61</v>
      </c>
      <c r="C329" s="76" t="n">
        <v>4</v>
      </c>
      <c r="D329" s="76" t="s">
        <v>78</v>
      </c>
      <c r="E329" s="76" t="s">
        <v>113</v>
      </c>
      <c r="F329" s="77" t="s">
        <v>210</v>
      </c>
      <c r="G329" s="77" t="n">
        <v>4</v>
      </c>
      <c r="H329" s="77" t="n">
        <v>4</v>
      </c>
      <c r="I329" s="76" t="n">
        <f aca="false">IF(AND(ISNUMBER(G329),ISNUMBER(H329)),MAX(G329-H329,0),"")</f>
        <v>0</v>
      </c>
      <c r="J329" s="78" t="n">
        <f aca="false">IF(AND(ISNUMBER(G329),ISNUMBER(H329)),IF(G329&gt;0,H329/G329,""),"")</f>
        <v>1</v>
      </c>
      <c r="K329" s="77" t="s">
        <v>202</v>
      </c>
      <c r="L329" s="76" t="str">
        <f aca="false">IF(OR(G329="",H329=""),"Data tidak lengkap",IF(AND(G329=0,H329=0),IF(AND(F329="",K329=""),"Tidak dibuka","Tutup"),IF(H329&gt;G329,"Lebih kapasitas",IF(H329=G329,"Penuh",IF(H329=0,IF(F329="","Slot kosong","Belum terisi"),"Sebagian")))))</f>
        <v>Penuh</v>
      </c>
      <c r="M329" s="79" t="str">
        <f aca="false">IF(L329="Tidak dibuka","–",IF(F329="","(tanpa age group)",F329)&amp;"  "&amp;IF(H329="","?",H329)&amp;"/"&amp;IF(G329="","?",G329)&amp;CHAR(10)&amp;IF(K329="","coach: –","coach: "&amp;K329))</f>
        <v>Kids  4/4
coach: Daffa</v>
      </c>
    </row>
    <row r="330" customFormat="false" ht="22.35" hidden="false" customHeight="false" outlineLevel="0" collapsed="false">
      <c r="A330" s="76" t="str">
        <f aca="false">B330&amp;"|"&amp;C330&amp;"|"&amp;D330&amp;"|"&amp;E330</f>
        <v>KLM|4|Minggu|11:00</v>
      </c>
      <c r="B330" s="76" t="s">
        <v>61</v>
      </c>
      <c r="C330" s="76" t="n">
        <v>4</v>
      </c>
      <c r="D330" s="76" t="s">
        <v>78</v>
      </c>
      <c r="E330" s="76" t="s">
        <v>114</v>
      </c>
      <c r="F330" s="77" t="s">
        <v>210</v>
      </c>
      <c r="G330" s="77" t="n">
        <v>4</v>
      </c>
      <c r="H330" s="77" t="n">
        <v>4</v>
      </c>
      <c r="I330" s="76" t="n">
        <f aca="false">IF(AND(ISNUMBER(G330),ISNUMBER(H330)),MAX(G330-H330,0),"")</f>
        <v>0</v>
      </c>
      <c r="J330" s="78" t="n">
        <f aca="false">IF(AND(ISNUMBER(G330),ISNUMBER(H330)),IF(G330&gt;0,H330/G330,""),"")</f>
        <v>1</v>
      </c>
      <c r="K330" s="77" t="s">
        <v>201</v>
      </c>
      <c r="L330" s="76" t="str">
        <f aca="false">IF(OR(G330="",H330=""),"Data tidak lengkap",IF(AND(G330=0,H330=0),IF(AND(F330="",K330=""),"Tidak dibuka","Tutup"),IF(H330&gt;G330,"Lebih kapasitas",IF(H330=G330,"Penuh",IF(H330=0,IF(F330="","Slot kosong","Belum terisi"),"Sebagian")))))</f>
        <v>Penuh</v>
      </c>
      <c r="M330" s="79" t="str">
        <f aca="false">IF(L330="Tidak dibuka","–",IF(F330="","(tanpa age group)",F330)&amp;"  "&amp;IF(H330="","?",H330)&amp;"/"&amp;IF(G330="","?",G330)&amp;CHAR(10)&amp;IF(K330="","coach: –","coach: "&amp;K330))</f>
        <v>Kids  4/4
coach: Nuky</v>
      </c>
    </row>
    <row r="331" customFormat="false" ht="22.35" hidden="false" customHeight="false" outlineLevel="0" collapsed="false">
      <c r="A331" s="76" t="str">
        <f aca="false">B331&amp;"|"&amp;C331&amp;"|"&amp;D331&amp;"|"&amp;E331</f>
        <v>KLM|4|Minggu|11:45</v>
      </c>
      <c r="B331" s="76" t="s">
        <v>61</v>
      </c>
      <c r="C331" s="76" t="n">
        <v>4</v>
      </c>
      <c r="D331" s="76" t="s">
        <v>78</v>
      </c>
      <c r="E331" s="76" t="s">
        <v>115</v>
      </c>
      <c r="F331" s="77" t="s">
        <v>210</v>
      </c>
      <c r="G331" s="77" t="n">
        <v>4</v>
      </c>
      <c r="H331" s="77" t="n">
        <v>4</v>
      </c>
      <c r="I331" s="76" t="n">
        <f aca="false">IF(AND(ISNUMBER(G331),ISNUMBER(H331)),MAX(G331-H331,0),"")</f>
        <v>0</v>
      </c>
      <c r="J331" s="78" t="n">
        <f aca="false">IF(AND(ISNUMBER(G331),ISNUMBER(H331)),IF(G331&gt;0,H331/G331,""),"")</f>
        <v>1</v>
      </c>
      <c r="K331" s="77" t="s">
        <v>200</v>
      </c>
      <c r="L331" s="76" t="str">
        <f aca="false">IF(OR(G331="",H331=""),"Data tidak lengkap",IF(AND(G331=0,H331=0),IF(AND(F331="",K331=""),"Tidak dibuka","Tutup"),IF(H331&gt;G331,"Lebih kapasitas",IF(H331=G331,"Penuh",IF(H331=0,IF(F331="","Slot kosong","Belum terisi"),"Sebagian")))))</f>
        <v>Penuh</v>
      </c>
      <c r="M331" s="79" t="str">
        <f aca="false">IF(L331="Tidak dibuka","–",IF(F331="","(tanpa age group)",F331)&amp;"  "&amp;IF(H331="","?",H331)&amp;"/"&amp;IF(G331="","?",G331)&amp;CHAR(10)&amp;IF(K331="","coach: –","coach: "&amp;K331))</f>
        <v>Kids  4/4
coach: Zidane</v>
      </c>
    </row>
    <row r="332" customFormat="false" ht="22.35" hidden="false" customHeight="false" outlineLevel="0" collapsed="false">
      <c r="A332" s="76" t="str">
        <f aca="false">B332&amp;"|"&amp;C332&amp;"|"&amp;D332&amp;"|"&amp;E332</f>
        <v>KLM|4|Minggu|13:15</v>
      </c>
      <c r="B332" s="76" t="s">
        <v>61</v>
      </c>
      <c r="C332" s="76" t="n">
        <v>4</v>
      </c>
      <c r="D332" s="76" t="s">
        <v>78</v>
      </c>
      <c r="E332" s="76" t="s">
        <v>116</v>
      </c>
      <c r="F332" s="77" t="s">
        <v>210</v>
      </c>
      <c r="G332" s="77" t="n">
        <v>4</v>
      </c>
      <c r="H332" s="77" t="n">
        <v>4</v>
      </c>
      <c r="I332" s="76" t="n">
        <f aca="false">IF(AND(ISNUMBER(G332),ISNUMBER(H332)),MAX(G332-H332,0),"")</f>
        <v>0</v>
      </c>
      <c r="J332" s="78" t="n">
        <f aca="false">IF(AND(ISNUMBER(G332),ISNUMBER(H332)),IF(G332&gt;0,H332/G332,""),"")</f>
        <v>1</v>
      </c>
      <c r="K332" s="77" t="s">
        <v>197</v>
      </c>
      <c r="L332" s="76" t="str">
        <f aca="false">IF(OR(G332="",H332=""),"Data tidak lengkap",IF(AND(G332=0,H332=0),IF(AND(F332="",K332=""),"Tidak dibuka","Tutup"),IF(H332&gt;G332,"Lebih kapasitas",IF(H332=G332,"Penuh",IF(H332=0,IF(F332="","Slot kosong","Belum terisi"),"Sebagian")))))</f>
        <v>Penuh</v>
      </c>
      <c r="M332" s="79" t="str">
        <f aca="false">IF(L332="Tidak dibuka","–",IF(F332="","(tanpa age group)",F332)&amp;"  "&amp;IF(H332="","?",H332)&amp;"/"&amp;IF(G332="","?",G332)&amp;CHAR(10)&amp;IF(K332="","coach: –","coach: "&amp;K332))</f>
        <v>Kids  4/4
coach: Rischa</v>
      </c>
    </row>
    <row r="333" customFormat="false" ht="22.35" hidden="false" customHeight="false" outlineLevel="0" collapsed="false">
      <c r="A333" s="76" t="str">
        <f aca="false">B333&amp;"|"&amp;C333&amp;"|"&amp;D333&amp;"|"&amp;E333</f>
        <v>KLM|4|Minggu|14:00</v>
      </c>
      <c r="B333" s="76" t="s">
        <v>61</v>
      </c>
      <c r="C333" s="76" t="n">
        <v>4</v>
      </c>
      <c r="D333" s="76" t="s">
        <v>78</v>
      </c>
      <c r="E333" s="76" t="s">
        <v>117</v>
      </c>
      <c r="F333" s="77" t="s">
        <v>210</v>
      </c>
      <c r="G333" s="77" t="n">
        <v>4</v>
      </c>
      <c r="H333" s="77" t="n">
        <v>4</v>
      </c>
      <c r="I333" s="76" t="n">
        <f aca="false">IF(AND(ISNUMBER(G333),ISNUMBER(H333)),MAX(G333-H333,0),"")</f>
        <v>0</v>
      </c>
      <c r="J333" s="78" t="n">
        <f aca="false">IF(AND(ISNUMBER(G333),ISNUMBER(H333)),IF(G333&gt;0,H333/G333,""),"")</f>
        <v>1</v>
      </c>
      <c r="K333" s="77" t="s">
        <v>202</v>
      </c>
      <c r="L333" s="76" t="str">
        <f aca="false">IF(OR(G333="",H333=""),"Data tidak lengkap",IF(AND(G333=0,H333=0),IF(AND(F333="",K333=""),"Tidak dibuka","Tutup"),IF(H333&gt;G333,"Lebih kapasitas",IF(H333=G333,"Penuh",IF(H333=0,IF(F333="","Slot kosong","Belum terisi"),"Sebagian")))))</f>
        <v>Penuh</v>
      </c>
      <c r="M333" s="79" t="str">
        <f aca="false">IF(L333="Tidak dibuka","–",IF(F333="","(tanpa age group)",F333)&amp;"  "&amp;IF(H333="","?",H333)&amp;"/"&amp;IF(G333="","?",G333)&amp;CHAR(10)&amp;IF(K333="","coach: –","coach: "&amp;K333))</f>
        <v>Kids  4/4
coach: Daffa</v>
      </c>
    </row>
    <row r="334" customFormat="false" ht="22.35" hidden="false" customHeight="false" outlineLevel="0" collapsed="false">
      <c r="A334" s="76" t="str">
        <f aca="false">B334&amp;"|"&amp;C334&amp;"|"&amp;D334&amp;"|"&amp;E334</f>
        <v>KLM|4|Minggu|14:45</v>
      </c>
      <c r="B334" s="76" t="s">
        <v>61</v>
      </c>
      <c r="C334" s="76" t="n">
        <v>4</v>
      </c>
      <c r="D334" s="76" t="s">
        <v>78</v>
      </c>
      <c r="E334" s="76" t="s">
        <v>118</v>
      </c>
      <c r="F334" s="77" t="s">
        <v>210</v>
      </c>
      <c r="G334" s="77" t="n">
        <v>4</v>
      </c>
      <c r="H334" s="77" t="n">
        <v>4</v>
      </c>
      <c r="I334" s="76" t="n">
        <f aca="false">IF(AND(ISNUMBER(G334),ISNUMBER(H334)),MAX(G334-H334,0),"")</f>
        <v>0</v>
      </c>
      <c r="J334" s="78" t="n">
        <f aca="false">IF(AND(ISNUMBER(G334),ISNUMBER(H334)),IF(G334&gt;0,H334/G334,""),"")</f>
        <v>1</v>
      </c>
      <c r="K334" s="77" t="s">
        <v>204</v>
      </c>
      <c r="L334" s="76" t="str">
        <f aca="false">IF(OR(G334="",H334=""),"Data tidak lengkap",IF(AND(G334=0,H334=0),IF(AND(F334="",K334=""),"Tidak dibuka","Tutup"),IF(H334&gt;G334,"Lebih kapasitas",IF(H334=G334,"Penuh",IF(H334=0,IF(F334="","Slot kosong","Belum terisi"),"Sebagian")))))</f>
        <v>Penuh</v>
      </c>
      <c r="M334" s="79" t="str">
        <f aca="false">IF(L334="Tidak dibuka","–",IF(F334="","(tanpa age group)",F334)&amp;"  "&amp;IF(H334="","?",H334)&amp;"/"&amp;IF(G334="","?",G334)&amp;CHAR(10)&amp;IF(K334="","coach: –","coach: "&amp;K334))</f>
        <v>Kids  4/4
coach: Dian</v>
      </c>
    </row>
    <row r="335" customFormat="false" ht="22.35" hidden="false" customHeight="false" outlineLevel="0" collapsed="false">
      <c r="A335" s="76" t="str">
        <f aca="false">B335&amp;"|"&amp;C335&amp;"|"&amp;D335&amp;"|"&amp;E335</f>
        <v>KLM|4|Minggu|15:30</v>
      </c>
      <c r="B335" s="76" t="s">
        <v>61</v>
      </c>
      <c r="C335" s="76" t="n">
        <v>4</v>
      </c>
      <c r="D335" s="76" t="s">
        <v>78</v>
      </c>
      <c r="E335" s="76" t="s">
        <v>119</v>
      </c>
      <c r="F335" s="77" t="s">
        <v>210</v>
      </c>
      <c r="G335" s="77" t="n">
        <v>4</v>
      </c>
      <c r="H335" s="77" t="n">
        <v>4</v>
      </c>
      <c r="I335" s="76" t="n">
        <f aca="false">IF(AND(ISNUMBER(G335),ISNUMBER(H335)),MAX(G335-H335,0),"")</f>
        <v>0</v>
      </c>
      <c r="J335" s="78" t="n">
        <f aca="false">IF(AND(ISNUMBER(G335),ISNUMBER(H335)),IF(G335&gt;0,H335/G335,""),"")</f>
        <v>1</v>
      </c>
      <c r="K335" s="77" t="s">
        <v>198</v>
      </c>
      <c r="L335" s="76" t="str">
        <f aca="false">IF(OR(G335="",H335=""),"Data tidak lengkap",IF(AND(G335=0,H335=0),IF(AND(F335="",K335=""),"Tidak dibuka","Tutup"),IF(H335&gt;G335,"Lebih kapasitas",IF(H335=G335,"Penuh",IF(H335=0,IF(F335="","Slot kosong","Belum terisi"),"Sebagian")))))</f>
        <v>Penuh</v>
      </c>
      <c r="M335" s="79" t="str">
        <f aca="false">IF(L335="Tidak dibuka","–",IF(F335="","(tanpa age group)",F335)&amp;"  "&amp;IF(H335="","?",H335)&amp;"/"&amp;IF(G335="","?",G335)&amp;CHAR(10)&amp;IF(K335="","coach: –","coach: "&amp;K335))</f>
        <v>Kids  4/4
coach: Surya</v>
      </c>
    </row>
    <row r="336" customFormat="false" ht="22.35" hidden="false" customHeight="false" outlineLevel="0" collapsed="false">
      <c r="A336" s="76" t="str">
        <f aca="false">B336&amp;"|"&amp;C336&amp;"|"&amp;D336&amp;"|"&amp;E336</f>
        <v>KLM|4|Minggu|16:15</v>
      </c>
      <c r="B336" s="76" t="s">
        <v>61</v>
      </c>
      <c r="C336" s="76" t="n">
        <v>4</v>
      </c>
      <c r="D336" s="76" t="s">
        <v>78</v>
      </c>
      <c r="E336" s="76" t="s">
        <v>120</v>
      </c>
      <c r="F336" s="77" t="s">
        <v>210</v>
      </c>
      <c r="G336" s="77" t="n">
        <v>4</v>
      </c>
      <c r="H336" s="77" t="n">
        <v>4</v>
      </c>
      <c r="I336" s="76" t="n">
        <f aca="false">IF(AND(ISNUMBER(G336),ISNUMBER(H336)),MAX(G336-H336,0),"")</f>
        <v>0</v>
      </c>
      <c r="J336" s="78" t="n">
        <f aca="false">IF(AND(ISNUMBER(G336),ISNUMBER(H336)),IF(G336&gt;0,H336/G336,""),"")</f>
        <v>1</v>
      </c>
      <c r="K336" s="77" t="s">
        <v>195</v>
      </c>
      <c r="L336" s="76" t="str">
        <f aca="false">IF(OR(G336="",H336=""),"Data tidak lengkap",IF(AND(G336=0,H336=0),IF(AND(F336="",K336=""),"Tidak dibuka","Tutup"),IF(H336&gt;G336,"Lebih kapasitas",IF(H336=G336,"Penuh",IF(H336=0,IF(F336="","Slot kosong","Belum terisi"),"Sebagian")))))</f>
        <v>Penuh</v>
      </c>
      <c r="M336" s="79" t="str">
        <f aca="false">IF(L336="Tidak dibuka","–",IF(F336="","(tanpa age group)",F336)&amp;"  "&amp;IF(H336="","?",H336)&amp;"/"&amp;IF(G336="","?",G336)&amp;CHAR(10)&amp;IF(K336="","coach: –","coach: "&amp;K336))</f>
        <v>Kids  4/4
coach: Eka</v>
      </c>
    </row>
    <row r="337" customFormat="false" ht="22.35" hidden="false" customHeight="false" outlineLevel="0" collapsed="false">
      <c r="A337" s="76" t="str">
        <f aca="false">B337&amp;"|"&amp;C337&amp;"|"&amp;D337&amp;"|"&amp;E337</f>
        <v>KLM|4|Minggu|17:00</v>
      </c>
      <c r="B337" s="76" t="s">
        <v>61</v>
      </c>
      <c r="C337" s="76" t="n">
        <v>4</v>
      </c>
      <c r="D337" s="76" t="s">
        <v>78</v>
      </c>
      <c r="E337" s="76" t="s">
        <v>121</v>
      </c>
      <c r="F337" s="77" t="s">
        <v>210</v>
      </c>
      <c r="G337" s="77" t="n">
        <v>4</v>
      </c>
      <c r="H337" s="77" t="n">
        <v>2</v>
      </c>
      <c r="I337" s="76" t="n">
        <f aca="false">IF(AND(ISNUMBER(G337),ISNUMBER(H337)),MAX(G337-H337,0),"")</f>
        <v>2</v>
      </c>
      <c r="J337" s="78" t="n">
        <f aca="false">IF(AND(ISNUMBER(G337),ISNUMBER(H337)),IF(G337&gt;0,H337/G337,""),"")</f>
        <v>0.5</v>
      </c>
      <c r="K337" s="77" t="s">
        <v>209</v>
      </c>
      <c r="L337" s="76" t="str">
        <f aca="false">IF(OR(G337="",H337=""),"Data tidak lengkap",IF(AND(G337=0,H337=0),IF(AND(F337="",K337=""),"Tidak dibuka","Tutup"),IF(H337&gt;G337,"Lebih kapasitas",IF(H337=G337,"Penuh",IF(H337=0,IF(F337="","Slot kosong","Belum terisi"),"Sebagian")))))</f>
        <v>Sebagian</v>
      </c>
      <c r="M337" s="79" t="str">
        <f aca="false">IF(L337="Tidak dibuka","–",IF(F337="","(tanpa age group)",F337)&amp;"  "&amp;IF(H337="","?",H337)&amp;"/"&amp;IF(G337="","?",G337)&amp;CHAR(10)&amp;IF(K337="","coach: –","coach: "&amp;K337))</f>
        <v>Kids  2/4
coach: Alan</v>
      </c>
    </row>
    <row r="338" customFormat="false" ht="15" hidden="false" customHeight="false" outlineLevel="0" collapsed="false">
      <c r="A338" s="76" t="str">
        <f aca="false">B338&amp;"|"&amp;C338&amp;"|"&amp;D338&amp;"|"&amp;E338</f>
        <v>KLM|5|Senin|08:00</v>
      </c>
      <c r="B338" s="76" t="s">
        <v>61</v>
      </c>
      <c r="C338" s="76" t="n">
        <v>5</v>
      </c>
      <c r="D338" s="76" t="s">
        <v>90</v>
      </c>
      <c r="E338" s="76" t="s">
        <v>110</v>
      </c>
      <c r="F338" s="77"/>
      <c r="G338" s="77" t="n">
        <v>0</v>
      </c>
      <c r="H338" s="77" t="n">
        <v>0</v>
      </c>
      <c r="I338" s="76" t="n">
        <f aca="false">IF(AND(ISNUMBER(G338),ISNUMBER(H338)),MAX(G338-H338,0),"")</f>
        <v>0</v>
      </c>
      <c r="J338" s="78" t="str">
        <f aca="false">IF(AND(ISNUMBER(G338),ISNUMBER(H338)),IF(G338&gt;0,H338/G338,""),"")</f>
        <v/>
      </c>
      <c r="K338" s="77"/>
      <c r="L338" s="76" t="str">
        <f aca="false">IF(OR(G338="",H338=""),"Data tidak lengkap",IF(AND(G338=0,H338=0),IF(AND(F338="",K338=""),"Tidak dibuka","Tutup"),IF(H338&gt;G338,"Lebih kapasitas",IF(H338=G338,"Penuh",IF(H338=0,IF(F338="","Slot kosong","Belum terisi"),"Sebagian")))))</f>
        <v>Tidak dibuka</v>
      </c>
      <c r="M338" s="76" t="str">
        <f aca="false">IF(L338="Tidak dibuka","–",IF(F338="","(tanpa age group)",F338)&amp;"  "&amp;IF(H338="","?",H338)&amp;"/"&amp;IF(G338="","?",G338)&amp;CHAR(10)&amp;IF(K338="","coach: –","coach: "&amp;K338))</f>
        <v>–</v>
      </c>
    </row>
    <row r="339" customFormat="false" ht="22.35" hidden="false" customHeight="false" outlineLevel="0" collapsed="false">
      <c r="A339" s="76" t="str">
        <f aca="false">B339&amp;"|"&amp;C339&amp;"|"&amp;D339&amp;"|"&amp;E339</f>
        <v>KLM|5|Senin|08:45</v>
      </c>
      <c r="B339" s="76" t="s">
        <v>61</v>
      </c>
      <c r="C339" s="76" t="n">
        <v>5</v>
      </c>
      <c r="D339" s="76" t="s">
        <v>90</v>
      </c>
      <c r="E339" s="76" t="s">
        <v>111</v>
      </c>
      <c r="F339" s="77"/>
      <c r="G339" s="77" t="n">
        <v>4</v>
      </c>
      <c r="H339" s="77" t="n">
        <v>0</v>
      </c>
      <c r="I339" s="76" t="n">
        <f aca="false">IF(AND(ISNUMBER(G339),ISNUMBER(H339)),MAX(G339-H339,0),"")</f>
        <v>4</v>
      </c>
      <c r="J339" s="78" t="n">
        <f aca="false">IF(AND(ISNUMBER(G339),ISNUMBER(H339)),IF(G339&gt;0,H339/G339,""),"")</f>
        <v>0</v>
      </c>
      <c r="K339" s="77"/>
      <c r="L339" s="76" t="str">
        <f aca="false">IF(OR(G339="",H339=""),"Data tidak lengkap",IF(AND(G339=0,H339=0),IF(AND(F339="",K339=""),"Tidak dibuka","Tutup"),IF(H339&gt;G339,"Lebih kapasitas",IF(H339=G339,"Penuh",IF(H339=0,IF(F339="","Slot kosong","Belum terisi"),"Sebagian")))))</f>
        <v>Slot kosong</v>
      </c>
      <c r="M339" s="79" t="str">
        <f aca="false">IF(L339="Tidak dibuka","–",IF(F339="","(tanpa age group)",F339)&amp;"  "&amp;IF(H339="","?",H339)&amp;"/"&amp;IF(G339="","?",G339)&amp;CHAR(10)&amp;IF(K339="","coach: –","coach: "&amp;K339))</f>
        <v>(tanpa age group)  0/4
coach: –</v>
      </c>
    </row>
    <row r="340" customFormat="false" ht="22.35" hidden="false" customHeight="false" outlineLevel="0" collapsed="false">
      <c r="A340" s="76" t="str">
        <f aca="false">B340&amp;"|"&amp;C340&amp;"|"&amp;D340&amp;"|"&amp;E340</f>
        <v>KLM|5|Senin|09:30</v>
      </c>
      <c r="B340" s="76" t="s">
        <v>61</v>
      </c>
      <c r="C340" s="76" t="n">
        <v>5</v>
      </c>
      <c r="D340" s="76" t="s">
        <v>90</v>
      </c>
      <c r="E340" s="76" t="s">
        <v>112</v>
      </c>
      <c r="F340" s="77"/>
      <c r="G340" s="77" t="n">
        <v>4</v>
      </c>
      <c r="H340" s="77" t="n">
        <v>0</v>
      </c>
      <c r="I340" s="76" t="n">
        <f aca="false">IF(AND(ISNUMBER(G340),ISNUMBER(H340)),MAX(G340-H340,0),"")</f>
        <v>4</v>
      </c>
      <c r="J340" s="78" t="n">
        <f aca="false">IF(AND(ISNUMBER(G340),ISNUMBER(H340)),IF(G340&gt;0,H340/G340,""),"")</f>
        <v>0</v>
      </c>
      <c r="K340" s="77"/>
      <c r="L340" s="76" t="str">
        <f aca="false">IF(OR(G340="",H340=""),"Data tidak lengkap",IF(AND(G340=0,H340=0),IF(AND(F340="",K340=""),"Tidak dibuka","Tutup"),IF(H340&gt;G340,"Lebih kapasitas",IF(H340=G340,"Penuh",IF(H340=0,IF(F340="","Slot kosong","Belum terisi"),"Sebagian")))))</f>
        <v>Slot kosong</v>
      </c>
      <c r="M340" s="79" t="str">
        <f aca="false">IF(L340="Tidak dibuka","–",IF(F340="","(tanpa age group)",F340)&amp;"  "&amp;IF(H340="","?",H340)&amp;"/"&amp;IF(G340="","?",G340)&amp;CHAR(10)&amp;IF(K340="","coach: –","coach: "&amp;K340))</f>
        <v>(tanpa age group)  0/4
coach: –</v>
      </c>
    </row>
    <row r="341" customFormat="false" ht="22.35" hidden="false" customHeight="false" outlineLevel="0" collapsed="false">
      <c r="A341" s="76" t="str">
        <f aca="false">B341&amp;"|"&amp;C341&amp;"|"&amp;D341&amp;"|"&amp;E341</f>
        <v>KLM|5|Senin|10:15</v>
      </c>
      <c r="B341" s="76" t="s">
        <v>61</v>
      </c>
      <c r="C341" s="76" t="n">
        <v>5</v>
      </c>
      <c r="D341" s="76" t="s">
        <v>90</v>
      </c>
      <c r="E341" s="76" t="s">
        <v>113</v>
      </c>
      <c r="F341" s="77"/>
      <c r="G341" s="77" t="n">
        <v>4</v>
      </c>
      <c r="H341" s="77" t="n">
        <v>0</v>
      </c>
      <c r="I341" s="76" t="n">
        <f aca="false">IF(AND(ISNUMBER(G341),ISNUMBER(H341)),MAX(G341-H341,0),"")</f>
        <v>4</v>
      </c>
      <c r="J341" s="78" t="n">
        <f aca="false">IF(AND(ISNUMBER(G341),ISNUMBER(H341)),IF(G341&gt;0,H341/G341,""),"")</f>
        <v>0</v>
      </c>
      <c r="K341" s="77"/>
      <c r="L341" s="76" t="str">
        <f aca="false">IF(OR(G341="",H341=""),"Data tidak lengkap",IF(AND(G341=0,H341=0),IF(AND(F341="",K341=""),"Tidak dibuka","Tutup"),IF(H341&gt;G341,"Lebih kapasitas",IF(H341=G341,"Penuh",IF(H341=0,IF(F341="","Slot kosong","Belum terisi"),"Sebagian")))))</f>
        <v>Slot kosong</v>
      </c>
      <c r="M341" s="79" t="str">
        <f aca="false">IF(L341="Tidak dibuka","–",IF(F341="","(tanpa age group)",F341)&amp;"  "&amp;IF(H341="","?",H341)&amp;"/"&amp;IF(G341="","?",G341)&amp;CHAR(10)&amp;IF(K341="","coach: –","coach: "&amp;K341))</f>
        <v>(tanpa age group)  0/4
coach: –</v>
      </c>
    </row>
    <row r="342" customFormat="false" ht="22.35" hidden="false" customHeight="false" outlineLevel="0" collapsed="false">
      <c r="A342" s="76" t="str">
        <f aca="false">B342&amp;"|"&amp;C342&amp;"|"&amp;D342&amp;"|"&amp;E342</f>
        <v>KLM|5|Senin|11:00</v>
      </c>
      <c r="B342" s="76" t="s">
        <v>61</v>
      </c>
      <c r="C342" s="76" t="n">
        <v>5</v>
      </c>
      <c r="D342" s="76" t="s">
        <v>90</v>
      </c>
      <c r="E342" s="76" t="s">
        <v>114</v>
      </c>
      <c r="F342" s="77"/>
      <c r="G342" s="77" t="n">
        <v>4</v>
      </c>
      <c r="H342" s="77" t="n">
        <v>0</v>
      </c>
      <c r="I342" s="76" t="n">
        <f aca="false">IF(AND(ISNUMBER(G342),ISNUMBER(H342)),MAX(G342-H342,0),"")</f>
        <v>4</v>
      </c>
      <c r="J342" s="78" t="n">
        <f aca="false">IF(AND(ISNUMBER(G342),ISNUMBER(H342)),IF(G342&gt;0,H342/G342,""),"")</f>
        <v>0</v>
      </c>
      <c r="K342" s="77"/>
      <c r="L342" s="76" t="str">
        <f aca="false">IF(OR(G342="",H342=""),"Data tidak lengkap",IF(AND(G342=0,H342=0),IF(AND(F342="",K342=""),"Tidak dibuka","Tutup"),IF(H342&gt;G342,"Lebih kapasitas",IF(H342=G342,"Penuh",IF(H342=0,IF(F342="","Slot kosong","Belum terisi"),"Sebagian")))))</f>
        <v>Slot kosong</v>
      </c>
      <c r="M342" s="79" t="str">
        <f aca="false">IF(L342="Tidak dibuka","–",IF(F342="","(tanpa age group)",F342)&amp;"  "&amp;IF(H342="","?",H342)&amp;"/"&amp;IF(G342="","?",G342)&amp;CHAR(10)&amp;IF(K342="","coach: –","coach: "&amp;K342))</f>
        <v>(tanpa age group)  0/4
coach: –</v>
      </c>
    </row>
    <row r="343" customFormat="false" ht="15" hidden="false" customHeight="false" outlineLevel="0" collapsed="false">
      <c r="A343" s="76" t="str">
        <f aca="false">B343&amp;"|"&amp;C343&amp;"|"&amp;D343&amp;"|"&amp;E343</f>
        <v>KLM|5|Senin|11:45</v>
      </c>
      <c r="B343" s="76" t="s">
        <v>61</v>
      </c>
      <c r="C343" s="76" t="n">
        <v>5</v>
      </c>
      <c r="D343" s="76" t="s">
        <v>90</v>
      </c>
      <c r="E343" s="76" t="s">
        <v>115</v>
      </c>
      <c r="F343" s="77"/>
      <c r="G343" s="77" t="n">
        <v>0</v>
      </c>
      <c r="H343" s="77" t="n">
        <v>0</v>
      </c>
      <c r="I343" s="76" t="n">
        <f aca="false">IF(AND(ISNUMBER(G343),ISNUMBER(H343)),MAX(G343-H343,0),"")</f>
        <v>0</v>
      </c>
      <c r="J343" s="78" t="str">
        <f aca="false">IF(AND(ISNUMBER(G343),ISNUMBER(H343)),IF(G343&gt;0,H343/G343,""),"")</f>
        <v/>
      </c>
      <c r="K343" s="77"/>
      <c r="L343" s="76" t="str">
        <f aca="false">IF(OR(G343="",H343=""),"Data tidak lengkap",IF(AND(G343=0,H343=0),IF(AND(F343="",K343=""),"Tidak dibuka","Tutup"),IF(H343&gt;G343,"Lebih kapasitas",IF(H343=G343,"Penuh",IF(H343=0,IF(F343="","Slot kosong","Belum terisi"),"Sebagian")))))</f>
        <v>Tidak dibuka</v>
      </c>
      <c r="M343" s="76" t="str">
        <f aca="false">IF(L343="Tidak dibuka","–",IF(F343="","(tanpa age group)",F343)&amp;"  "&amp;IF(H343="","?",H343)&amp;"/"&amp;IF(G343="","?",G343)&amp;CHAR(10)&amp;IF(K343="","coach: –","coach: "&amp;K343))</f>
        <v>–</v>
      </c>
    </row>
    <row r="344" customFormat="false" ht="22.35" hidden="false" customHeight="false" outlineLevel="0" collapsed="false">
      <c r="A344" s="76" t="str">
        <f aca="false">B344&amp;"|"&amp;C344&amp;"|"&amp;D344&amp;"|"&amp;E344</f>
        <v>KLM|5|Senin|13:15</v>
      </c>
      <c r="B344" s="76" t="s">
        <v>61</v>
      </c>
      <c r="C344" s="76" t="n">
        <v>5</v>
      </c>
      <c r="D344" s="76" t="s">
        <v>90</v>
      </c>
      <c r="E344" s="76" t="s">
        <v>116</v>
      </c>
      <c r="F344" s="77"/>
      <c r="G344" s="77" t="n">
        <v>4</v>
      </c>
      <c r="H344" s="77" t="n">
        <v>0</v>
      </c>
      <c r="I344" s="76" t="n">
        <f aca="false">IF(AND(ISNUMBER(G344),ISNUMBER(H344)),MAX(G344-H344,0),"")</f>
        <v>4</v>
      </c>
      <c r="J344" s="78" t="n">
        <f aca="false">IF(AND(ISNUMBER(G344),ISNUMBER(H344)),IF(G344&gt;0,H344/G344,""),"")</f>
        <v>0</v>
      </c>
      <c r="K344" s="77"/>
      <c r="L344" s="76" t="str">
        <f aca="false">IF(OR(G344="",H344=""),"Data tidak lengkap",IF(AND(G344=0,H344=0),IF(AND(F344="",K344=""),"Tidak dibuka","Tutup"),IF(H344&gt;G344,"Lebih kapasitas",IF(H344=G344,"Penuh",IF(H344=0,IF(F344="","Slot kosong","Belum terisi"),"Sebagian")))))</f>
        <v>Slot kosong</v>
      </c>
      <c r="M344" s="79" t="str">
        <f aca="false">IF(L344="Tidak dibuka","–",IF(F344="","(tanpa age group)",F344)&amp;"  "&amp;IF(H344="","?",H344)&amp;"/"&amp;IF(G344="","?",G344)&amp;CHAR(10)&amp;IF(K344="","coach: –","coach: "&amp;K344))</f>
        <v>(tanpa age group)  0/4
coach: –</v>
      </c>
    </row>
    <row r="345" customFormat="false" ht="22.35" hidden="false" customHeight="false" outlineLevel="0" collapsed="false">
      <c r="A345" s="76" t="str">
        <f aca="false">B345&amp;"|"&amp;C345&amp;"|"&amp;D345&amp;"|"&amp;E345</f>
        <v>KLM|5|Senin|14:00</v>
      </c>
      <c r="B345" s="76" t="s">
        <v>61</v>
      </c>
      <c r="C345" s="76" t="n">
        <v>5</v>
      </c>
      <c r="D345" s="76" t="s">
        <v>90</v>
      </c>
      <c r="E345" s="76" t="s">
        <v>117</v>
      </c>
      <c r="F345" s="77" t="s">
        <v>277</v>
      </c>
      <c r="G345" s="77" t="n">
        <v>4</v>
      </c>
      <c r="H345" s="77" t="n">
        <v>3</v>
      </c>
      <c r="I345" s="76" t="n">
        <f aca="false">IF(AND(ISNUMBER(G345),ISNUMBER(H345)),MAX(G345-H345,0),"")</f>
        <v>1</v>
      </c>
      <c r="J345" s="78" t="n">
        <f aca="false">IF(AND(ISNUMBER(G345),ISNUMBER(H345)),IF(G345&gt;0,H345/G345,""),"")</f>
        <v>0.75</v>
      </c>
      <c r="K345" s="77" t="s">
        <v>202</v>
      </c>
      <c r="L345" s="76" t="str">
        <f aca="false">IF(OR(G345="",H345=""),"Data tidak lengkap",IF(AND(G345=0,H345=0),IF(AND(F345="",K345=""),"Tidak dibuka","Tutup"),IF(H345&gt;G345,"Lebih kapasitas",IF(H345=G345,"Penuh",IF(H345=0,IF(F345="","Slot kosong","Belum terisi"),"Sebagian")))))</f>
        <v>Sebagian</v>
      </c>
      <c r="M345" s="79" t="str">
        <f aca="false">IF(L345="Tidak dibuka","–",IF(F345="","(tanpa age group)",F345)&amp;"  "&amp;IF(H345="","?",H345)&amp;"/"&amp;IF(G345="","?",G345)&amp;CHAR(10)&amp;IF(K345="","coach: –","coach: "&amp;K345))</f>
        <v>Little  3/4
coach: Daffa</v>
      </c>
    </row>
    <row r="346" customFormat="false" ht="22.35" hidden="false" customHeight="false" outlineLevel="0" collapsed="false">
      <c r="A346" s="76" t="str">
        <f aca="false">B346&amp;"|"&amp;C346&amp;"|"&amp;D346&amp;"|"&amp;E346</f>
        <v>KLM|5|Senin|14:45</v>
      </c>
      <c r="B346" s="76" t="s">
        <v>61</v>
      </c>
      <c r="C346" s="76" t="n">
        <v>5</v>
      </c>
      <c r="D346" s="76" t="s">
        <v>90</v>
      </c>
      <c r="E346" s="76" t="s">
        <v>118</v>
      </c>
      <c r="F346" s="77" t="s">
        <v>210</v>
      </c>
      <c r="G346" s="77" t="n">
        <v>4</v>
      </c>
      <c r="H346" s="77" t="n">
        <v>4</v>
      </c>
      <c r="I346" s="76" t="n">
        <f aca="false">IF(AND(ISNUMBER(G346),ISNUMBER(H346)),MAX(G346-H346,0),"")</f>
        <v>0</v>
      </c>
      <c r="J346" s="78" t="n">
        <f aca="false">IF(AND(ISNUMBER(G346),ISNUMBER(H346)),IF(G346&gt;0,H346/G346,""),"")</f>
        <v>1</v>
      </c>
      <c r="K346" s="77" t="s">
        <v>204</v>
      </c>
      <c r="L346" s="76" t="str">
        <f aca="false">IF(OR(G346="",H346=""),"Data tidak lengkap",IF(AND(G346=0,H346=0),IF(AND(F346="",K346=""),"Tidak dibuka","Tutup"),IF(H346&gt;G346,"Lebih kapasitas",IF(H346=G346,"Penuh",IF(H346=0,IF(F346="","Slot kosong","Belum terisi"),"Sebagian")))))</f>
        <v>Penuh</v>
      </c>
      <c r="M346" s="79" t="str">
        <f aca="false">IF(L346="Tidak dibuka","–",IF(F346="","(tanpa age group)",F346)&amp;"  "&amp;IF(H346="","?",H346)&amp;"/"&amp;IF(G346="","?",G346)&amp;CHAR(10)&amp;IF(K346="","coach: –","coach: "&amp;K346))</f>
        <v>Kids  4/4
coach: Dian</v>
      </c>
    </row>
    <row r="347" customFormat="false" ht="22.35" hidden="false" customHeight="false" outlineLevel="0" collapsed="false">
      <c r="A347" s="76" t="str">
        <f aca="false">B347&amp;"|"&amp;C347&amp;"|"&amp;D347&amp;"|"&amp;E347</f>
        <v>KLM|5|Senin|15:30</v>
      </c>
      <c r="B347" s="76" t="s">
        <v>61</v>
      </c>
      <c r="C347" s="76" t="n">
        <v>5</v>
      </c>
      <c r="D347" s="76" t="s">
        <v>90</v>
      </c>
      <c r="E347" s="76" t="s">
        <v>119</v>
      </c>
      <c r="F347" s="77" t="s">
        <v>210</v>
      </c>
      <c r="G347" s="77" t="n">
        <v>4</v>
      </c>
      <c r="H347" s="77" t="n">
        <v>4</v>
      </c>
      <c r="I347" s="76" t="n">
        <f aca="false">IF(AND(ISNUMBER(G347),ISNUMBER(H347)),MAX(G347-H347,0),"")</f>
        <v>0</v>
      </c>
      <c r="J347" s="78" t="n">
        <f aca="false">IF(AND(ISNUMBER(G347),ISNUMBER(H347)),IF(G347&gt;0,H347/G347,""),"")</f>
        <v>1</v>
      </c>
      <c r="K347" s="77" t="s">
        <v>197</v>
      </c>
      <c r="L347" s="76" t="str">
        <f aca="false">IF(OR(G347="",H347=""),"Data tidak lengkap",IF(AND(G347=0,H347=0),IF(AND(F347="",K347=""),"Tidak dibuka","Tutup"),IF(H347&gt;G347,"Lebih kapasitas",IF(H347=G347,"Penuh",IF(H347=0,IF(F347="","Slot kosong","Belum terisi"),"Sebagian")))))</f>
        <v>Penuh</v>
      </c>
      <c r="M347" s="79" t="str">
        <f aca="false">IF(L347="Tidak dibuka","–",IF(F347="","(tanpa age group)",F347)&amp;"  "&amp;IF(H347="","?",H347)&amp;"/"&amp;IF(G347="","?",G347)&amp;CHAR(10)&amp;IF(K347="","coach: –","coach: "&amp;K347))</f>
        <v>Kids  4/4
coach: Rischa</v>
      </c>
    </row>
    <row r="348" customFormat="false" ht="22.35" hidden="false" customHeight="false" outlineLevel="0" collapsed="false">
      <c r="A348" s="76" t="str">
        <f aca="false">B348&amp;"|"&amp;C348&amp;"|"&amp;D348&amp;"|"&amp;E348</f>
        <v>KLM|5|Senin|16:15</v>
      </c>
      <c r="B348" s="76" t="s">
        <v>61</v>
      </c>
      <c r="C348" s="76" t="n">
        <v>5</v>
      </c>
      <c r="D348" s="76" t="s">
        <v>90</v>
      </c>
      <c r="E348" s="76" t="s">
        <v>120</v>
      </c>
      <c r="F348" s="77" t="s">
        <v>210</v>
      </c>
      <c r="G348" s="77" t="n">
        <v>4</v>
      </c>
      <c r="H348" s="77" t="n">
        <v>2</v>
      </c>
      <c r="I348" s="76" t="n">
        <f aca="false">IF(AND(ISNUMBER(G348),ISNUMBER(H348)),MAX(G348-H348,0),"")</f>
        <v>2</v>
      </c>
      <c r="J348" s="78" t="n">
        <f aca="false">IF(AND(ISNUMBER(G348),ISNUMBER(H348)),IF(G348&gt;0,H348/G348,""),"")</f>
        <v>0.5</v>
      </c>
      <c r="K348" s="77" t="s">
        <v>202</v>
      </c>
      <c r="L348" s="76" t="str">
        <f aca="false">IF(OR(G348="",H348=""),"Data tidak lengkap",IF(AND(G348=0,H348=0),IF(AND(F348="",K348=""),"Tidak dibuka","Tutup"),IF(H348&gt;G348,"Lebih kapasitas",IF(H348=G348,"Penuh",IF(H348=0,IF(F348="","Slot kosong","Belum terisi"),"Sebagian")))))</f>
        <v>Sebagian</v>
      </c>
      <c r="M348" s="79" t="str">
        <f aca="false">IF(L348="Tidak dibuka","–",IF(F348="","(tanpa age group)",F348)&amp;"  "&amp;IF(H348="","?",H348)&amp;"/"&amp;IF(G348="","?",G348)&amp;CHAR(10)&amp;IF(K348="","coach: –","coach: "&amp;K348))</f>
        <v>Kids  2/4
coach: Daffa</v>
      </c>
    </row>
    <row r="349" customFormat="false" ht="22.35" hidden="false" customHeight="false" outlineLevel="0" collapsed="false">
      <c r="A349" s="76" t="str">
        <f aca="false">B349&amp;"|"&amp;C349&amp;"|"&amp;D349&amp;"|"&amp;E349</f>
        <v>KLM|5|Senin|17:00</v>
      </c>
      <c r="B349" s="76" t="s">
        <v>61</v>
      </c>
      <c r="C349" s="76" t="n">
        <v>5</v>
      </c>
      <c r="D349" s="76" t="s">
        <v>90</v>
      </c>
      <c r="E349" s="76" t="s">
        <v>121</v>
      </c>
      <c r="F349" s="77" t="s">
        <v>210</v>
      </c>
      <c r="G349" s="77" t="n">
        <v>4</v>
      </c>
      <c r="H349" s="77" t="n">
        <v>4</v>
      </c>
      <c r="I349" s="76" t="n">
        <f aca="false">IF(AND(ISNUMBER(G349),ISNUMBER(H349)),MAX(G349-H349,0),"")</f>
        <v>0</v>
      </c>
      <c r="J349" s="78" t="n">
        <f aca="false">IF(AND(ISNUMBER(G349),ISNUMBER(H349)),IF(G349&gt;0,H349/G349,""),"")</f>
        <v>1</v>
      </c>
      <c r="K349" s="77" t="s">
        <v>44</v>
      </c>
      <c r="L349" s="76" t="str">
        <f aca="false">IF(OR(G349="",H349=""),"Data tidak lengkap",IF(AND(G349=0,H349=0),IF(AND(F349="",K349=""),"Tidak dibuka","Tutup"),IF(H349&gt;G349,"Lebih kapasitas",IF(H349=G349,"Penuh",IF(H349=0,IF(F349="","Slot kosong","Belum terisi"),"Sebagian")))))</f>
        <v>Penuh</v>
      </c>
      <c r="M349" s="79" t="str">
        <f aca="false">IF(L349="Tidak dibuka","–",IF(F349="","(tanpa age group)",F349)&amp;"  "&amp;IF(H349="","?",H349)&amp;"/"&amp;IF(G349="","?",G349)&amp;CHAR(10)&amp;IF(K349="","coach: –","coach: "&amp;K349))</f>
        <v>Kids  4/4
coach: Danti</v>
      </c>
    </row>
    <row r="350" customFormat="false" ht="15" hidden="false" customHeight="false" outlineLevel="0" collapsed="false">
      <c r="A350" s="76" t="str">
        <f aca="false">B350&amp;"|"&amp;C350&amp;"|"&amp;D350&amp;"|"&amp;E350</f>
        <v>KLM|5|Selasa|08:00</v>
      </c>
      <c r="B350" s="76" t="s">
        <v>61</v>
      </c>
      <c r="C350" s="76" t="n">
        <v>5</v>
      </c>
      <c r="D350" s="76" t="s">
        <v>91</v>
      </c>
      <c r="E350" s="76" t="s">
        <v>110</v>
      </c>
      <c r="F350" s="77"/>
      <c r="G350" s="77" t="n">
        <v>0</v>
      </c>
      <c r="H350" s="77" t="n">
        <v>0</v>
      </c>
      <c r="I350" s="76" t="n">
        <f aca="false">IF(AND(ISNUMBER(G350),ISNUMBER(H350)),MAX(G350-H350,0),"")</f>
        <v>0</v>
      </c>
      <c r="J350" s="78" t="str">
        <f aca="false">IF(AND(ISNUMBER(G350),ISNUMBER(H350)),IF(G350&gt;0,H350/G350,""),"")</f>
        <v/>
      </c>
      <c r="K350" s="77"/>
      <c r="L350" s="76" t="str">
        <f aca="false">IF(OR(G350="",H350=""),"Data tidak lengkap",IF(AND(G350=0,H350=0),IF(AND(F350="",K350=""),"Tidak dibuka","Tutup"),IF(H350&gt;G350,"Lebih kapasitas",IF(H350=G350,"Penuh",IF(H350=0,IF(F350="","Slot kosong","Belum terisi"),"Sebagian")))))</f>
        <v>Tidak dibuka</v>
      </c>
      <c r="M350" s="76" t="str">
        <f aca="false">IF(L350="Tidak dibuka","–",IF(F350="","(tanpa age group)",F350)&amp;"  "&amp;IF(H350="","?",H350)&amp;"/"&amp;IF(G350="","?",G350)&amp;CHAR(10)&amp;IF(K350="","coach: –","coach: "&amp;K350))</f>
        <v>–</v>
      </c>
    </row>
    <row r="351" customFormat="false" ht="22.35" hidden="false" customHeight="false" outlineLevel="0" collapsed="false">
      <c r="A351" s="76" t="str">
        <f aca="false">B351&amp;"|"&amp;C351&amp;"|"&amp;D351&amp;"|"&amp;E351</f>
        <v>KLM|5|Selasa|08:45</v>
      </c>
      <c r="B351" s="76" t="s">
        <v>61</v>
      </c>
      <c r="C351" s="76" t="n">
        <v>5</v>
      </c>
      <c r="D351" s="76" t="s">
        <v>91</v>
      </c>
      <c r="E351" s="76" t="s">
        <v>111</v>
      </c>
      <c r="F351" s="77"/>
      <c r="G351" s="77" t="n">
        <v>4</v>
      </c>
      <c r="H351" s="77" t="n">
        <v>0</v>
      </c>
      <c r="I351" s="76" t="n">
        <f aca="false">IF(AND(ISNUMBER(G351),ISNUMBER(H351)),MAX(G351-H351,0),"")</f>
        <v>4</v>
      </c>
      <c r="J351" s="78" t="n">
        <f aca="false">IF(AND(ISNUMBER(G351),ISNUMBER(H351)),IF(G351&gt;0,H351/G351,""),"")</f>
        <v>0</v>
      </c>
      <c r="K351" s="77"/>
      <c r="L351" s="76" t="str">
        <f aca="false">IF(OR(G351="",H351=""),"Data tidak lengkap",IF(AND(G351=0,H351=0),IF(AND(F351="",K351=""),"Tidak dibuka","Tutup"),IF(H351&gt;G351,"Lebih kapasitas",IF(H351=G351,"Penuh",IF(H351=0,IF(F351="","Slot kosong","Belum terisi"),"Sebagian")))))</f>
        <v>Slot kosong</v>
      </c>
      <c r="M351" s="79" t="str">
        <f aca="false">IF(L351="Tidak dibuka","–",IF(F351="","(tanpa age group)",F351)&amp;"  "&amp;IF(H351="","?",H351)&amp;"/"&amp;IF(G351="","?",G351)&amp;CHAR(10)&amp;IF(K351="","coach: –","coach: "&amp;K351))</f>
        <v>(tanpa age group)  0/4
coach: –</v>
      </c>
    </row>
    <row r="352" customFormat="false" ht="22.35" hidden="false" customHeight="false" outlineLevel="0" collapsed="false">
      <c r="A352" s="76" t="str">
        <f aca="false">B352&amp;"|"&amp;C352&amp;"|"&amp;D352&amp;"|"&amp;E352</f>
        <v>KLM|5|Selasa|09:30</v>
      </c>
      <c r="B352" s="76" t="s">
        <v>61</v>
      </c>
      <c r="C352" s="76" t="n">
        <v>5</v>
      </c>
      <c r="D352" s="76" t="s">
        <v>91</v>
      </c>
      <c r="E352" s="76" t="s">
        <v>112</v>
      </c>
      <c r="F352" s="77"/>
      <c r="G352" s="77" t="n">
        <v>4</v>
      </c>
      <c r="H352" s="77" t="n">
        <v>0</v>
      </c>
      <c r="I352" s="76" t="n">
        <f aca="false">IF(AND(ISNUMBER(G352),ISNUMBER(H352)),MAX(G352-H352,0),"")</f>
        <v>4</v>
      </c>
      <c r="J352" s="78" t="n">
        <f aca="false">IF(AND(ISNUMBER(G352),ISNUMBER(H352)),IF(G352&gt;0,H352/G352,""),"")</f>
        <v>0</v>
      </c>
      <c r="K352" s="77"/>
      <c r="L352" s="76" t="str">
        <f aca="false">IF(OR(G352="",H352=""),"Data tidak lengkap",IF(AND(G352=0,H352=0),IF(AND(F352="",K352=""),"Tidak dibuka","Tutup"),IF(H352&gt;G352,"Lebih kapasitas",IF(H352=G352,"Penuh",IF(H352=0,IF(F352="","Slot kosong","Belum terisi"),"Sebagian")))))</f>
        <v>Slot kosong</v>
      </c>
      <c r="M352" s="79" t="str">
        <f aca="false">IF(L352="Tidak dibuka","–",IF(F352="","(tanpa age group)",F352)&amp;"  "&amp;IF(H352="","?",H352)&amp;"/"&amp;IF(G352="","?",G352)&amp;CHAR(10)&amp;IF(K352="","coach: –","coach: "&amp;K352))</f>
        <v>(tanpa age group)  0/4
coach: –</v>
      </c>
    </row>
    <row r="353" customFormat="false" ht="22.35" hidden="false" customHeight="false" outlineLevel="0" collapsed="false">
      <c r="A353" s="76" t="str">
        <f aca="false">B353&amp;"|"&amp;C353&amp;"|"&amp;D353&amp;"|"&amp;E353</f>
        <v>KLM|5|Selasa|10:15</v>
      </c>
      <c r="B353" s="76" t="s">
        <v>61</v>
      </c>
      <c r="C353" s="76" t="n">
        <v>5</v>
      </c>
      <c r="D353" s="76" t="s">
        <v>91</v>
      </c>
      <c r="E353" s="76" t="s">
        <v>113</v>
      </c>
      <c r="F353" s="77"/>
      <c r="G353" s="77" t="n">
        <v>4</v>
      </c>
      <c r="H353" s="77" t="n">
        <v>0</v>
      </c>
      <c r="I353" s="76" t="n">
        <f aca="false">IF(AND(ISNUMBER(G353),ISNUMBER(H353)),MAX(G353-H353,0),"")</f>
        <v>4</v>
      </c>
      <c r="J353" s="78" t="n">
        <f aca="false">IF(AND(ISNUMBER(G353),ISNUMBER(H353)),IF(G353&gt;0,H353/G353,""),"")</f>
        <v>0</v>
      </c>
      <c r="K353" s="77"/>
      <c r="L353" s="76" t="str">
        <f aca="false">IF(OR(G353="",H353=""),"Data tidak lengkap",IF(AND(G353=0,H353=0),IF(AND(F353="",K353=""),"Tidak dibuka","Tutup"),IF(H353&gt;G353,"Lebih kapasitas",IF(H353=G353,"Penuh",IF(H353=0,IF(F353="","Slot kosong","Belum terisi"),"Sebagian")))))</f>
        <v>Slot kosong</v>
      </c>
      <c r="M353" s="79" t="str">
        <f aca="false">IF(L353="Tidak dibuka","–",IF(F353="","(tanpa age group)",F353)&amp;"  "&amp;IF(H353="","?",H353)&amp;"/"&amp;IF(G353="","?",G353)&amp;CHAR(10)&amp;IF(K353="","coach: –","coach: "&amp;K353))</f>
        <v>(tanpa age group)  0/4
coach: –</v>
      </c>
    </row>
    <row r="354" customFormat="false" ht="22.35" hidden="false" customHeight="false" outlineLevel="0" collapsed="false">
      <c r="A354" s="76" t="str">
        <f aca="false">B354&amp;"|"&amp;C354&amp;"|"&amp;D354&amp;"|"&amp;E354</f>
        <v>KLM|5|Selasa|11:00</v>
      </c>
      <c r="B354" s="76" t="s">
        <v>61</v>
      </c>
      <c r="C354" s="76" t="n">
        <v>5</v>
      </c>
      <c r="D354" s="76" t="s">
        <v>91</v>
      </c>
      <c r="E354" s="76" t="s">
        <v>114</v>
      </c>
      <c r="F354" s="77"/>
      <c r="G354" s="77" t="n">
        <v>4</v>
      </c>
      <c r="H354" s="77" t="n">
        <v>0</v>
      </c>
      <c r="I354" s="76" t="n">
        <f aca="false">IF(AND(ISNUMBER(G354),ISNUMBER(H354)),MAX(G354-H354,0),"")</f>
        <v>4</v>
      </c>
      <c r="J354" s="78" t="n">
        <f aca="false">IF(AND(ISNUMBER(G354),ISNUMBER(H354)),IF(G354&gt;0,H354/G354,""),"")</f>
        <v>0</v>
      </c>
      <c r="K354" s="77"/>
      <c r="L354" s="76" t="str">
        <f aca="false">IF(OR(G354="",H354=""),"Data tidak lengkap",IF(AND(G354=0,H354=0),IF(AND(F354="",K354=""),"Tidak dibuka","Tutup"),IF(H354&gt;G354,"Lebih kapasitas",IF(H354=G354,"Penuh",IF(H354=0,IF(F354="","Slot kosong","Belum terisi"),"Sebagian")))))</f>
        <v>Slot kosong</v>
      </c>
      <c r="M354" s="79" t="str">
        <f aca="false">IF(L354="Tidak dibuka","–",IF(F354="","(tanpa age group)",F354)&amp;"  "&amp;IF(H354="","?",H354)&amp;"/"&amp;IF(G354="","?",G354)&amp;CHAR(10)&amp;IF(K354="","coach: –","coach: "&amp;K354))</f>
        <v>(tanpa age group)  0/4
coach: –</v>
      </c>
    </row>
    <row r="355" customFormat="false" ht="15" hidden="false" customHeight="false" outlineLevel="0" collapsed="false">
      <c r="A355" s="76" t="str">
        <f aca="false">B355&amp;"|"&amp;C355&amp;"|"&amp;D355&amp;"|"&amp;E355</f>
        <v>KLM|5|Selasa|11:45</v>
      </c>
      <c r="B355" s="76" t="s">
        <v>61</v>
      </c>
      <c r="C355" s="76" t="n">
        <v>5</v>
      </c>
      <c r="D355" s="76" t="s">
        <v>91</v>
      </c>
      <c r="E355" s="76" t="s">
        <v>115</v>
      </c>
      <c r="F355" s="77"/>
      <c r="G355" s="77" t="n">
        <v>0</v>
      </c>
      <c r="H355" s="77" t="n">
        <v>0</v>
      </c>
      <c r="I355" s="76" t="n">
        <f aca="false">IF(AND(ISNUMBER(G355),ISNUMBER(H355)),MAX(G355-H355,0),"")</f>
        <v>0</v>
      </c>
      <c r="J355" s="78" t="str">
        <f aca="false">IF(AND(ISNUMBER(G355),ISNUMBER(H355)),IF(G355&gt;0,H355/G355,""),"")</f>
        <v/>
      </c>
      <c r="K355" s="77"/>
      <c r="L355" s="76" t="str">
        <f aca="false">IF(OR(G355="",H355=""),"Data tidak lengkap",IF(AND(G355=0,H355=0),IF(AND(F355="",K355=""),"Tidak dibuka","Tutup"),IF(H355&gt;G355,"Lebih kapasitas",IF(H355=G355,"Penuh",IF(H355=0,IF(F355="","Slot kosong","Belum terisi"),"Sebagian")))))</f>
        <v>Tidak dibuka</v>
      </c>
      <c r="M355" s="76" t="str">
        <f aca="false">IF(L355="Tidak dibuka","–",IF(F355="","(tanpa age group)",F355)&amp;"  "&amp;IF(H355="","?",H355)&amp;"/"&amp;IF(G355="","?",G355)&amp;CHAR(10)&amp;IF(K355="","coach: –","coach: "&amp;K355))</f>
        <v>–</v>
      </c>
    </row>
    <row r="356" customFormat="false" ht="22.35" hidden="false" customHeight="false" outlineLevel="0" collapsed="false">
      <c r="A356" s="76" t="str">
        <f aca="false">B356&amp;"|"&amp;C356&amp;"|"&amp;D356&amp;"|"&amp;E356</f>
        <v>KLM|5|Selasa|13:15</v>
      </c>
      <c r="B356" s="76" t="s">
        <v>61</v>
      </c>
      <c r="C356" s="76" t="n">
        <v>5</v>
      </c>
      <c r="D356" s="76" t="s">
        <v>91</v>
      </c>
      <c r="E356" s="76" t="s">
        <v>116</v>
      </c>
      <c r="F356" s="77"/>
      <c r="G356" s="77" t="n">
        <v>4</v>
      </c>
      <c r="H356" s="77" t="n">
        <v>0</v>
      </c>
      <c r="I356" s="76" t="n">
        <f aca="false">IF(AND(ISNUMBER(G356),ISNUMBER(H356)),MAX(G356-H356,0),"")</f>
        <v>4</v>
      </c>
      <c r="J356" s="78" t="n">
        <f aca="false">IF(AND(ISNUMBER(G356),ISNUMBER(H356)),IF(G356&gt;0,H356/G356,""),"")</f>
        <v>0</v>
      </c>
      <c r="K356" s="77"/>
      <c r="L356" s="76" t="str">
        <f aca="false">IF(OR(G356="",H356=""),"Data tidak lengkap",IF(AND(G356=0,H356=0),IF(AND(F356="",K356=""),"Tidak dibuka","Tutup"),IF(H356&gt;G356,"Lebih kapasitas",IF(H356=G356,"Penuh",IF(H356=0,IF(F356="","Slot kosong","Belum terisi"),"Sebagian")))))</f>
        <v>Slot kosong</v>
      </c>
      <c r="M356" s="79" t="str">
        <f aca="false">IF(L356="Tidak dibuka","–",IF(F356="","(tanpa age group)",F356)&amp;"  "&amp;IF(H356="","?",H356)&amp;"/"&amp;IF(G356="","?",G356)&amp;CHAR(10)&amp;IF(K356="","coach: –","coach: "&amp;K356))</f>
        <v>(tanpa age group)  0/4
coach: –</v>
      </c>
    </row>
    <row r="357" customFormat="false" ht="22.35" hidden="false" customHeight="false" outlineLevel="0" collapsed="false">
      <c r="A357" s="76" t="str">
        <f aca="false">B357&amp;"|"&amp;C357&amp;"|"&amp;D357&amp;"|"&amp;E357</f>
        <v>KLM|5|Selasa|14:00</v>
      </c>
      <c r="B357" s="76" t="s">
        <v>61</v>
      </c>
      <c r="C357" s="76" t="n">
        <v>5</v>
      </c>
      <c r="D357" s="76" t="s">
        <v>91</v>
      </c>
      <c r="E357" s="76" t="s">
        <v>117</v>
      </c>
      <c r="F357" s="77" t="s">
        <v>277</v>
      </c>
      <c r="G357" s="77" t="n">
        <v>4</v>
      </c>
      <c r="H357" s="77" t="n">
        <v>3</v>
      </c>
      <c r="I357" s="76" t="n">
        <f aca="false">IF(AND(ISNUMBER(G357),ISNUMBER(H357)),MAX(G357-H357,0),"")</f>
        <v>1</v>
      </c>
      <c r="J357" s="78" t="n">
        <f aca="false">IF(AND(ISNUMBER(G357),ISNUMBER(H357)),IF(G357&gt;0,H357/G357,""),"")</f>
        <v>0.75</v>
      </c>
      <c r="K357" s="77" t="s">
        <v>205</v>
      </c>
      <c r="L357" s="76" t="str">
        <f aca="false">IF(OR(G357="",H357=""),"Data tidak lengkap",IF(AND(G357=0,H357=0),IF(AND(F357="",K357=""),"Tidak dibuka","Tutup"),IF(H357&gt;G357,"Lebih kapasitas",IF(H357=G357,"Penuh",IF(H357=0,IF(F357="","Slot kosong","Belum terisi"),"Sebagian")))))</f>
        <v>Sebagian</v>
      </c>
      <c r="M357" s="79" t="str">
        <f aca="false">IF(L357="Tidak dibuka","–",IF(F357="","(tanpa age group)",F357)&amp;"  "&amp;IF(H357="","?",H357)&amp;"/"&amp;IF(G357="","?",G357)&amp;CHAR(10)&amp;IF(K357="","coach: –","coach: "&amp;K357))</f>
        <v>Little  3/4
coach: Tessa</v>
      </c>
    </row>
    <row r="358" customFormat="false" ht="22.35" hidden="false" customHeight="false" outlineLevel="0" collapsed="false">
      <c r="A358" s="76" t="str">
        <f aca="false">B358&amp;"|"&amp;C358&amp;"|"&amp;D358&amp;"|"&amp;E358</f>
        <v>KLM|5|Selasa|14:45</v>
      </c>
      <c r="B358" s="76" t="s">
        <v>61</v>
      </c>
      <c r="C358" s="76" t="n">
        <v>5</v>
      </c>
      <c r="D358" s="76" t="s">
        <v>91</v>
      </c>
      <c r="E358" s="76" t="s">
        <v>118</v>
      </c>
      <c r="F358" s="77"/>
      <c r="G358" s="77" t="n">
        <v>4</v>
      </c>
      <c r="H358" s="77" t="n">
        <v>0</v>
      </c>
      <c r="I358" s="76" t="n">
        <f aca="false">IF(AND(ISNUMBER(G358),ISNUMBER(H358)),MAX(G358-H358,0),"")</f>
        <v>4</v>
      </c>
      <c r="J358" s="78" t="n">
        <f aca="false">IF(AND(ISNUMBER(G358),ISNUMBER(H358)),IF(G358&gt;0,H358/G358,""),"")</f>
        <v>0</v>
      </c>
      <c r="K358" s="77"/>
      <c r="L358" s="76" t="str">
        <f aca="false">IF(OR(G358="",H358=""),"Data tidak lengkap",IF(AND(G358=0,H358=0),IF(AND(F358="",K358=""),"Tidak dibuka","Tutup"),IF(H358&gt;G358,"Lebih kapasitas",IF(H358=G358,"Penuh",IF(H358=0,IF(F358="","Slot kosong","Belum terisi"),"Sebagian")))))</f>
        <v>Slot kosong</v>
      </c>
      <c r="M358" s="79" t="str">
        <f aca="false">IF(L358="Tidak dibuka","–",IF(F358="","(tanpa age group)",F358)&amp;"  "&amp;IF(H358="","?",H358)&amp;"/"&amp;IF(G358="","?",G358)&amp;CHAR(10)&amp;IF(K358="","coach: –","coach: "&amp;K358))</f>
        <v>(tanpa age group)  0/4
coach: –</v>
      </c>
    </row>
    <row r="359" customFormat="false" ht="22.35" hidden="false" customHeight="false" outlineLevel="0" collapsed="false">
      <c r="A359" s="76" t="str">
        <f aca="false">B359&amp;"|"&amp;C359&amp;"|"&amp;D359&amp;"|"&amp;E359</f>
        <v>KLM|5|Selasa|15:30</v>
      </c>
      <c r="B359" s="76" t="s">
        <v>61</v>
      </c>
      <c r="C359" s="76" t="n">
        <v>5</v>
      </c>
      <c r="D359" s="76" t="s">
        <v>91</v>
      </c>
      <c r="E359" s="76" t="s">
        <v>119</v>
      </c>
      <c r="F359" s="77" t="s">
        <v>277</v>
      </c>
      <c r="G359" s="77" t="n">
        <v>4</v>
      </c>
      <c r="H359" s="77" t="n">
        <v>2</v>
      </c>
      <c r="I359" s="76" t="n">
        <f aca="false">IF(AND(ISNUMBER(G359),ISNUMBER(H359)),MAX(G359-H359,0),"")</f>
        <v>2</v>
      </c>
      <c r="J359" s="78" t="n">
        <f aca="false">IF(AND(ISNUMBER(G359),ISNUMBER(H359)),IF(G359&gt;0,H359/G359,""),"")</f>
        <v>0.5</v>
      </c>
      <c r="K359" s="77" t="s">
        <v>44</v>
      </c>
      <c r="L359" s="76" t="str">
        <f aca="false">IF(OR(G359="",H359=""),"Data tidak lengkap",IF(AND(G359=0,H359=0),IF(AND(F359="",K359=""),"Tidak dibuka","Tutup"),IF(H359&gt;G359,"Lebih kapasitas",IF(H359=G359,"Penuh",IF(H359=0,IF(F359="","Slot kosong","Belum terisi"),"Sebagian")))))</f>
        <v>Sebagian</v>
      </c>
      <c r="M359" s="79" t="str">
        <f aca="false">IF(L359="Tidak dibuka","–",IF(F359="","(tanpa age group)",F359)&amp;"  "&amp;IF(H359="","?",H359)&amp;"/"&amp;IF(G359="","?",G359)&amp;CHAR(10)&amp;IF(K359="","coach: –","coach: "&amp;K359))</f>
        <v>Little  2/4
coach: Danti</v>
      </c>
    </row>
    <row r="360" customFormat="false" ht="22.35" hidden="false" customHeight="false" outlineLevel="0" collapsed="false">
      <c r="A360" s="76" t="str">
        <f aca="false">B360&amp;"|"&amp;C360&amp;"|"&amp;D360&amp;"|"&amp;E360</f>
        <v>KLM|5|Selasa|16:15</v>
      </c>
      <c r="B360" s="76" t="s">
        <v>61</v>
      </c>
      <c r="C360" s="76" t="n">
        <v>5</v>
      </c>
      <c r="D360" s="76" t="s">
        <v>91</v>
      </c>
      <c r="E360" s="76" t="s">
        <v>120</v>
      </c>
      <c r="F360" s="77" t="s">
        <v>210</v>
      </c>
      <c r="G360" s="77" t="n">
        <v>4</v>
      </c>
      <c r="H360" s="77" t="n">
        <v>4</v>
      </c>
      <c r="I360" s="76" t="n">
        <f aca="false">IF(AND(ISNUMBER(G360),ISNUMBER(H360)),MAX(G360-H360,0),"")</f>
        <v>0</v>
      </c>
      <c r="J360" s="78" t="n">
        <f aca="false">IF(AND(ISNUMBER(G360),ISNUMBER(H360)),IF(G360&gt;0,H360/G360,""),"")</f>
        <v>1</v>
      </c>
      <c r="K360" s="77" t="s">
        <v>205</v>
      </c>
      <c r="L360" s="76" t="str">
        <f aca="false">IF(OR(G360="",H360=""),"Data tidak lengkap",IF(AND(G360=0,H360=0),IF(AND(F360="",K360=""),"Tidak dibuka","Tutup"),IF(H360&gt;G360,"Lebih kapasitas",IF(H360=G360,"Penuh",IF(H360=0,IF(F360="","Slot kosong","Belum terisi"),"Sebagian")))))</f>
        <v>Penuh</v>
      </c>
      <c r="M360" s="79" t="str">
        <f aca="false">IF(L360="Tidak dibuka","–",IF(F360="","(tanpa age group)",F360)&amp;"  "&amp;IF(H360="","?",H360)&amp;"/"&amp;IF(G360="","?",G360)&amp;CHAR(10)&amp;IF(K360="","coach: –","coach: "&amp;K360))</f>
        <v>Kids  4/4
coach: Tessa</v>
      </c>
    </row>
    <row r="361" customFormat="false" ht="22.35" hidden="false" customHeight="false" outlineLevel="0" collapsed="false">
      <c r="A361" s="76" t="str">
        <f aca="false">B361&amp;"|"&amp;C361&amp;"|"&amp;D361&amp;"|"&amp;E361</f>
        <v>KLM|5|Selasa|17:00</v>
      </c>
      <c r="B361" s="76" t="s">
        <v>61</v>
      </c>
      <c r="C361" s="76" t="n">
        <v>5</v>
      </c>
      <c r="D361" s="76" t="s">
        <v>91</v>
      </c>
      <c r="E361" s="76" t="s">
        <v>121</v>
      </c>
      <c r="F361" s="77" t="s">
        <v>277</v>
      </c>
      <c r="G361" s="77" t="n">
        <v>4</v>
      </c>
      <c r="H361" s="77" t="n">
        <v>4</v>
      </c>
      <c r="I361" s="76" t="n">
        <f aca="false">IF(AND(ISNUMBER(G361),ISNUMBER(H361)),MAX(G361-H361,0),"")</f>
        <v>0</v>
      </c>
      <c r="J361" s="78" t="n">
        <f aca="false">IF(AND(ISNUMBER(G361),ISNUMBER(H361)),IF(G361&gt;0,H361/G361,""),"")</f>
        <v>1</v>
      </c>
      <c r="K361" s="77" t="s">
        <v>204</v>
      </c>
      <c r="L361" s="76" t="str">
        <f aca="false">IF(OR(G361="",H361=""),"Data tidak lengkap",IF(AND(G361=0,H361=0),IF(AND(F361="",K361=""),"Tidak dibuka","Tutup"),IF(H361&gt;G361,"Lebih kapasitas",IF(H361=G361,"Penuh",IF(H361=0,IF(F361="","Slot kosong","Belum terisi"),"Sebagian")))))</f>
        <v>Penuh</v>
      </c>
      <c r="M361" s="79" t="str">
        <f aca="false">IF(L361="Tidak dibuka","–",IF(F361="","(tanpa age group)",F361)&amp;"  "&amp;IF(H361="","?",H361)&amp;"/"&amp;IF(G361="","?",G361)&amp;CHAR(10)&amp;IF(K361="","coach: –","coach: "&amp;K361))</f>
        <v>Little  4/4
coach: Dian</v>
      </c>
    </row>
    <row r="362" customFormat="false" ht="15" hidden="false" customHeight="false" outlineLevel="0" collapsed="false">
      <c r="A362" s="76" t="str">
        <f aca="false">B362&amp;"|"&amp;C362&amp;"|"&amp;D362&amp;"|"&amp;E362</f>
        <v>KLM|5|Rabu|08:00</v>
      </c>
      <c r="B362" s="76" t="s">
        <v>61</v>
      </c>
      <c r="C362" s="76" t="n">
        <v>5</v>
      </c>
      <c r="D362" s="76" t="s">
        <v>92</v>
      </c>
      <c r="E362" s="76" t="s">
        <v>110</v>
      </c>
      <c r="F362" s="77"/>
      <c r="G362" s="77" t="n">
        <v>0</v>
      </c>
      <c r="H362" s="77" t="n">
        <v>0</v>
      </c>
      <c r="I362" s="76" t="n">
        <f aca="false">IF(AND(ISNUMBER(G362),ISNUMBER(H362)),MAX(G362-H362,0),"")</f>
        <v>0</v>
      </c>
      <c r="J362" s="78" t="str">
        <f aca="false">IF(AND(ISNUMBER(G362),ISNUMBER(H362)),IF(G362&gt;0,H362/G362,""),"")</f>
        <v/>
      </c>
      <c r="K362" s="77"/>
      <c r="L362" s="76" t="str">
        <f aca="false">IF(OR(G362="",H362=""),"Data tidak lengkap",IF(AND(G362=0,H362=0),IF(AND(F362="",K362=""),"Tidak dibuka","Tutup"),IF(H362&gt;G362,"Lebih kapasitas",IF(H362=G362,"Penuh",IF(H362=0,IF(F362="","Slot kosong","Belum terisi"),"Sebagian")))))</f>
        <v>Tidak dibuka</v>
      </c>
      <c r="M362" s="76" t="str">
        <f aca="false">IF(L362="Tidak dibuka","–",IF(F362="","(tanpa age group)",F362)&amp;"  "&amp;IF(H362="","?",H362)&amp;"/"&amp;IF(G362="","?",G362)&amp;CHAR(10)&amp;IF(K362="","coach: –","coach: "&amp;K362))</f>
        <v>–</v>
      </c>
    </row>
    <row r="363" customFormat="false" ht="22.35" hidden="false" customHeight="false" outlineLevel="0" collapsed="false">
      <c r="A363" s="76" t="str">
        <f aca="false">B363&amp;"|"&amp;C363&amp;"|"&amp;D363&amp;"|"&amp;E363</f>
        <v>KLM|5|Rabu|08:45</v>
      </c>
      <c r="B363" s="76" t="s">
        <v>61</v>
      </c>
      <c r="C363" s="76" t="n">
        <v>5</v>
      </c>
      <c r="D363" s="76" t="s">
        <v>92</v>
      </c>
      <c r="E363" s="76" t="s">
        <v>111</v>
      </c>
      <c r="F363" s="77"/>
      <c r="G363" s="77" t="n">
        <v>4</v>
      </c>
      <c r="H363" s="77" t="n">
        <v>0</v>
      </c>
      <c r="I363" s="76" t="n">
        <f aca="false">IF(AND(ISNUMBER(G363),ISNUMBER(H363)),MAX(G363-H363,0),"")</f>
        <v>4</v>
      </c>
      <c r="J363" s="78" t="n">
        <f aca="false">IF(AND(ISNUMBER(G363),ISNUMBER(H363)),IF(G363&gt;0,H363/G363,""),"")</f>
        <v>0</v>
      </c>
      <c r="K363" s="77"/>
      <c r="L363" s="76" t="str">
        <f aca="false">IF(OR(G363="",H363=""),"Data tidak lengkap",IF(AND(G363=0,H363=0),IF(AND(F363="",K363=""),"Tidak dibuka","Tutup"),IF(H363&gt;G363,"Lebih kapasitas",IF(H363=G363,"Penuh",IF(H363=0,IF(F363="","Slot kosong","Belum terisi"),"Sebagian")))))</f>
        <v>Slot kosong</v>
      </c>
      <c r="M363" s="79" t="str">
        <f aca="false">IF(L363="Tidak dibuka","–",IF(F363="","(tanpa age group)",F363)&amp;"  "&amp;IF(H363="","?",H363)&amp;"/"&amp;IF(G363="","?",G363)&amp;CHAR(10)&amp;IF(K363="","coach: –","coach: "&amp;K363))</f>
        <v>(tanpa age group)  0/4
coach: –</v>
      </c>
    </row>
    <row r="364" customFormat="false" ht="22.35" hidden="false" customHeight="false" outlineLevel="0" collapsed="false">
      <c r="A364" s="76" t="str">
        <f aca="false">B364&amp;"|"&amp;C364&amp;"|"&amp;D364&amp;"|"&amp;E364</f>
        <v>KLM|5|Rabu|09:30</v>
      </c>
      <c r="B364" s="76" t="s">
        <v>61</v>
      </c>
      <c r="C364" s="76" t="n">
        <v>5</v>
      </c>
      <c r="D364" s="76" t="s">
        <v>92</v>
      </c>
      <c r="E364" s="76" t="s">
        <v>112</v>
      </c>
      <c r="F364" s="77"/>
      <c r="G364" s="77" t="n">
        <v>4</v>
      </c>
      <c r="H364" s="77" t="n">
        <v>0</v>
      </c>
      <c r="I364" s="76" t="n">
        <f aca="false">IF(AND(ISNUMBER(G364),ISNUMBER(H364)),MAX(G364-H364,0),"")</f>
        <v>4</v>
      </c>
      <c r="J364" s="78" t="n">
        <f aca="false">IF(AND(ISNUMBER(G364),ISNUMBER(H364)),IF(G364&gt;0,H364/G364,""),"")</f>
        <v>0</v>
      </c>
      <c r="K364" s="77"/>
      <c r="L364" s="76" t="str">
        <f aca="false">IF(OR(G364="",H364=""),"Data tidak lengkap",IF(AND(G364=0,H364=0),IF(AND(F364="",K364=""),"Tidak dibuka","Tutup"),IF(H364&gt;G364,"Lebih kapasitas",IF(H364=G364,"Penuh",IF(H364=0,IF(F364="","Slot kosong","Belum terisi"),"Sebagian")))))</f>
        <v>Slot kosong</v>
      </c>
      <c r="M364" s="79" t="str">
        <f aca="false">IF(L364="Tidak dibuka","–",IF(F364="","(tanpa age group)",F364)&amp;"  "&amp;IF(H364="","?",H364)&amp;"/"&amp;IF(G364="","?",G364)&amp;CHAR(10)&amp;IF(K364="","coach: –","coach: "&amp;K364))</f>
        <v>(tanpa age group)  0/4
coach: –</v>
      </c>
    </row>
    <row r="365" customFormat="false" ht="22.35" hidden="false" customHeight="false" outlineLevel="0" collapsed="false">
      <c r="A365" s="76" t="str">
        <f aca="false">B365&amp;"|"&amp;C365&amp;"|"&amp;D365&amp;"|"&amp;E365</f>
        <v>KLM|5|Rabu|10:15</v>
      </c>
      <c r="B365" s="76" t="s">
        <v>61</v>
      </c>
      <c r="C365" s="76" t="n">
        <v>5</v>
      </c>
      <c r="D365" s="76" t="s">
        <v>92</v>
      </c>
      <c r="E365" s="76" t="s">
        <v>113</v>
      </c>
      <c r="F365" s="77"/>
      <c r="G365" s="77" t="n">
        <v>4</v>
      </c>
      <c r="H365" s="77" t="n">
        <v>0</v>
      </c>
      <c r="I365" s="76" t="n">
        <f aca="false">IF(AND(ISNUMBER(G365),ISNUMBER(H365)),MAX(G365-H365,0),"")</f>
        <v>4</v>
      </c>
      <c r="J365" s="78" t="n">
        <f aca="false">IF(AND(ISNUMBER(G365),ISNUMBER(H365)),IF(G365&gt;0,H365/G365,""),"")</f>
        <v>0</v>
      </c>
      <c r="K365" s="77"/>
      <c r="L365" s="76" t="str">
        <f aca="false">IF(OR(G365="",H365=""),"Data tidak lengkap",IF(AND(G365=0,H365=0),IF(AND(F365="",K365=""),"Tidak dibuka","Tutup"),IF(H365&gt;G365,"Lebih kapasitas",IF(H365=G365,"Penuh",IF(H365=0,IF(F365="","Slot kosong","Belum terisi"),"Sebagian")))))</f>
        <v>Slot kosong</v>
      </c>
      <c r="M365" s="79" t="str">
        <f aca="false">IF(L365="Tidak dibuka","–",IF(F365="","(tanpa age group)",F365)&amp;"  "&amp;IF(H365="","?",H365)&amp;"/"&amp;IF(G365="","?",G365)&amp;CHAR(10)&amp;IF(K365="","coach: –","coach: "&amp;K365))</f>
        <v>(tanpa age group)  0/4
coach: –</v>
      </c>
    </row>
    <row r="366" customFormat="false" ht="22.35" hidden="false" customHeight="false" outlineLevel="0" collapsed="false">
      <c r="A366" s="76" t="str">
        <f aca="false">B366&amp;"|"&amp;C366&amp;"|"&amp;D366&amp;"|"&amp;E366</f>
        <v>KLM|5|Rabu|11:00</v>
      </c>
      <c r="B366" s="76" t="s">
        <v>61</v>
      </c>
      <c r="C366" s="76" t="n">
        <v>5</v>
      </c>
      <c r="D366" s="76" t="s">
        <v>92</v>
      </c>
      <c r="E366" s="76" t="s">
        <v>114</v>
      </c>
      <c r="F366" s="77"/>
      <c r="G366" s="77" t="n">
        <v>4</v>
      </c>
      <c r="H366" s="77" t="n">
        <v>0</v>
      </c>
      <c r="I366" s="76" t="n">
        <f aca="false">IF(AND(ISNUMBER(G366),ISNUMBER(H366)),MAX(G366-H366,0),"")</f>
        <v>4</v>
      </c>
      <c r="J366" s="78" t="n">
        <f aca="false">IF(AND(ISNUMBER(G366),ISNUMBER(H366)),IF(G366&gt;0,H366/G366,""),"")</f>
        <v>0</v>
      </c>
      <c r="K366" s="77"/>
      <c r="L366" s="76" t="str">
        <f aca="false">IF(OR(G366="",H366=""),"Data tidak lengkap",IF(AND(G366=0,H366=0),IF(AND(F366="",K366=""),"Tidak dibuka","Tutup"),IF(H366&gt;G366,"Lebih kapasitas",IF(H366=G366,"Penuh",IF(H366=0,IF(F366="","Slot kosong","Belum terisi"),"Sebagian")))))</f>
        <v>Slot kosong</v>
      </c>
      <c r="M366" s="79" t="str">
        <f aca="false">IF(L366="Tidak dibuka","–",IF(F366="","(tanpa age group)",F366)&amp;"  "&amp;IF(H366="","?",H366)&amp;"/"&amp;IF(G366="","?",G366)&amp;CHAR(10)&amp;IF(K366="","coach: –","coach: "&amp;K366))</f>
        <v>(tanpa age group)  0/4
coach: –</v>
      </c>
    </row>
    <row r="367" customFormat="false" ht="22.35" hidden="false" customHeight="false" outlineLevel="0" collapsed="false">
      <c r="A367" s="76" t="str">
        <f aca="false">B367&amp;"|"&amp;C367&amp;"|"&amp;D367&amp;"|"&amp;E367</f>
        <v>KLM|5|Rabu|11:45</v>
      </c>
      <c r="B367" s="76" t="s">
        <v>61</v>
      </c>
      <c r="C367" s="76" t="n">
        <v>5</v>
      </c>
      <c r="D367" s="76" t="s">
        <v>92</v>
      </c>
      <c r="E367" s="76" t="s">
        <v>115</v>
      </c>
      <c r="F367" s="77"/>
      <c r="G367" s="77" t="n">
        <v>4</v>
      </c>
      <c r="H367" s="77" t="n">
        <v>0</v>
      </c>
      <c r="I367" s="76" t="n">
        <f aca="false">IF(AND(ISNUMBER(G367),ISNUMBER(H367)),MAX(G367-H367,0),"")</f>
        <v>4</v>
      </c>
      <c r="J367" s="78" t="n">
        <f aca="false">IF(AND(ISNUMBER(G367),ISNUMBER(H367)),IF(G367&gt;0,H367/G367,""),"")</f>
        <v>0</v>
      </c>
      <c r="K367" s="77"/>
      <c r="L367" s="76" t="str">
        <f aca="false">IF(OR(G367="",H367=""),"Data tidak lengkap",IF(AND(G367=0,H367=0),IF(AND(F367="",K367=""),"Tidak dibuka","Tutup"),IF(H367&gt;G367,"Lebih kapasitas",IF(H367=G367,"Penuh",IF(H367=0,IF(F367="","Slot kosong","Belum terisi"),"Sebagian")))))</f>
        <v>Slot kosong</v>
      </c>
      <c r="M367" s="79" t="str">
        <f aca="false">IF(L367="Tidak dibuka","–",IF(F367="","(tanpa age group)",F367)&amp;"  "&amp;IF(H367="","?",H367)&amp;"/"&amp;IF(G367="","?",G367)&amp;CHAR(10)&amp;IF(K367="","coach: –","coach: "&amp;K367))</f>
        <v>(tanpa age group)  0/4
coach: –</v>
      </c>
    </row>
    <row r="368" customFormat="false" ht="22.35" hidden="false" customHeight="false" outlineLevel="0" collapsed="false">
      <c r="A368" s="76" t="str">
        <f aca="false">B368&amp;"|"&amp;C368&amp;"|"&amp;D368&amp;"|"&amp;E368</f>
        <v>KLM|5|Rabu|13:15</v>
      </c>
      <c r="B368" s="76" t="s">
        <v>61</v>
      </c>
      <c r="C368" s="76" t="n">
        <v>5</v>
      </c>
      <c r="D368" s="76" t="s">
        <v>92</v>
      </c>
      <c r="E368" s="76" t="s">
        <v>116</v>
      </c>
      <c r="F368" s="77" t="s">
        <v>277</v>
      </c>
      <c r="G368" s="77" t="n">
        <v>4</v>
      </c>
      <c r="H368" s="77" t="n">
        <v>3</v>
      </c>
      <c r="I368" s="76" t="n">
        <f aca="false">IF(AND(ISNUMBER(G368),ISNUMBER(H368)),MAX(G368-H368,0),"")</f>
        <v>1</v>
      </c>
      <c r="J368" s="78" t="n">
        <f aca="false">IF(AND(ISNUMBER(G368),ISNUMBER(H368)),IF(G368&gt;0,H368/G368,""),"")</f>
        <v>0.75</v>
      </c>
      <c r="K368" s="77" t="s">
        <v>195</v>
      </c>
      <c r="L368" s="76" t="str">
        <f aca="false">IF(OR(G368="",H368=""),"Data tidak lengkap",IF(AND(G368=0,H368=0),IF(AND(F368="",K368=""),"Tidak dibuka","Tutup"),IF(H368&gt;G368,"Lebih kapasitas",IF(H368=G368,"Penuh",IF(H368=0,IF(F368="","Slot kosong","Belum terisi"),"Sebagian")))))</f>
        <v>Sebagian</v>
      </c>
      <c r="M368" s="79" t="str">
        <f aca="false">IF(L368="Tidak dibuka","–",IF(F368="","(tanpa age group)",F368)&amp;"  "&amp;IF(H368="","?",H368)&amp;"/"&amp;IF(G368="","?",G368)&amp;CHAR(10)&amp;IF(K368="","coach: –","coach: "&amp;K368))</f>
        <v>Little  3/4
coach: Eka</v>
      </c>
    </row>
    <row r="369" customFormat="false" ht="22.35" hidden="false" customHeight="false" outlineLevel="0" collapsed="false">
      <c r="A369" s="76" t="str">
        <f aca="false">B369&amp;"|"&amp;C369&amp;"|"&amp;D369&amp;"|"&amp;E369</f>
        <v>KLM|5|Rabu|14:00</v>
      </c>
      <c r="B369" s="76" t="s">
        <v>61</v>
      </c>
      <c r="C369" s="76" t="n">
        <v>5</v>
      </c>
      <c r="D369" s="76" t="s">
        <v>92</v>
      </c>
      <c r="E369" s="76" t="s">
        <v>117</v>
      </c>
      <c r="F369" s="77"/>
      <c r="G369" s="77" t="n">
        <v>4</v>
      </c>
      <c r="H369" s="77" t="n">
        <v>0</v>
      </c>
      <c r="I369" s="76" t="n">
        <f aca="false">IF(AND(ISNUMBER(G369),ISNUMBER(H369)),MAX(G369-H369,0),"")</f>
        <v>4</v>
      </c>
      <c r="J369" s="78" t="n">
        <f aca="false">IF(AND(ISNUMBER(G369),ISNUMBER(H369)),IF(G369&gt;0,H369/G369,""),"")</f>
        <v>0</v>
      </c>
      <c r="K369" s="77"/>
      <c r="L369" s="76" t="str">
        <f aca="false">IF(OR(G369="",H369=""),"Data tidak lengkap",IF(AND(G369=0,H369=0),IF(AND(F369="",K369=""),"Tidak dibuka","Tutup"),IF(H369&gt;G369,"Lebih kapasitas",IF(H369=G369,"Penuh",IF(H369=0,IF(F369="","Slot kosong","Belum terisi"),"Sebagian")))))</f>
        <v>Slot kosong</v>
      </c>
      <c r="M369" s="79" t="str">
        <f aca="false">IF(L369="Tidak dibuka","–",IF(F369="","(tanpa age group)",F369)&amp;"  "&amp;IF(H369="","?",H369)&amp;"/"&amp;IF(G369="","?",G369)&amp;CHAR(10)&amp;IF(K369="","coach: –","coach: "&amp;K369))</f>
        <v>(tanpa age group)  0/4
coach: –</v>
      </c>
    </row>
    <row r="370" customFormat="false" ht="22.35" hidden="false" customHeight="false" outlineLevel="0" collapsed="false">
      <c r="A370" s="76" t="str">
        <f aca="false">B370&amp;"|"&amp;C370&amp;"|"&amp;D370&amp;"|"&amp;E370</f>
        <v>KLM|5|Rabu|14:45</v>
      </c>
      <c r="B370" s="76" t="s">
        <v>61</v>
      </c>
      <c r="C370" s="76" t="n">
        <v>5</v>
      </c>
      <c r="D370" s="76" t="s">
        <v>92</v>
      </c>
      <c r="E370" s="76" t="s">
        <v>118</v>
      </c>
      <c r="F370" s="77"/>
      <c r="G370" s="77" t="n">
        <v>4</v>
      </c>
      <c r="H370" s="77" t="n">
        <v>0</v>
      </c>
      <c r="I370" s="76" t="n">
        <f aca="false">IF(AND(ISNUMBER(G370),ISNUMBER(H370)),MAX(G370-H370,0),"")</f>
        <v>4</v>
      </c>
      <c r="J370" s="78" t="n">
        <f aca="false">IF(AND(ISNUMBER(G370),ISNUMBER(H370)),IF(G370&gt;0,H370/G370,""),"")</f>
        <v>0</v>
      </c>
      <c r="K370" s="77"/>
      <c r="L370" s="76" t="str">
        <f aca="false">IF(OR(G370="",H370=""),"Data tidak lengkap",IF(AND(G370=0,H370=0),IF(AND(F370="",K370=""),"Tidak dibuka","Tutup"),IF(H370&gt;G370,"Lebih kapasitas",IF(H370=G370,"Penuh",IF(H370=0,IF(F370="","Slot kosong","Belum terisi"),"Sebagian")))))</f>
        <v>Slot kosong</v>
      </c>
      <c r="M370" s="79" t="str">
        <f aca="false">IF(L370="Tidak dibuka","–",IF(F370="","(tanpa age group)",F370)&amp;"  "&amp;IF(H370="","?",H370)&amp;"/"&amp;IF(G370="","?",G370)&amp;CHAR(10)&amp;IF(K370="","coach: –","coach: "&amp;K370))</f>
        <v>(tanpa age group)  0/4
coach: –</v>
      </c>
    </row>
    <row r="371" customFormat="false" ht="22.35" hidden="false" customHeight="false" outlineLevel="0" collapsed="false">
      <c r="A371" s="76" t="str">
        <f aca="false">B371&amp;"|"&amp;C371&amp;"|"&amp;D371&amp;"|"&amp;E371</f>
        <v>KLM|5|Rabu|15:30</v>
      </c>
      <c r="B371" s="76" t="s">
        <v>61</v>
      </c>
      <c r="C371" s="76" t="n">
        <v>5</v>
      </c>
      <c r="D371" s="76" t="s">
        <v>92</v>
      </c>
      <c r="E371" s="76" t="s">
        <v>119</v>
      </c>
      <c r="F371" s="77" t="s">
        <v>210</v>
      </c>
      <c r="G371" s="77" t="n">
        <v>4</v>
      </c>
      <c r="H371" s="77" t="n">
        <v>4</v>
      </c>
      <c r="I371" s="76" t="n">
        <f aca="false">IF(AND(ISNUMBER(G371),ISNUMBER(H371)),MAX(G371-H371,0),"")</f>
        <v>0</v>
      </c>
      <c r="J371" s="78" t="n">
        <f aca="false">IF(AND(ISNUMBER(G371),ISNUMBER(H371)),IF(G371&gt;0,H371/G371,""),"")</f>
        <v>1</v>
      </c>
      <c r="K371" s="77" t="s">
        <v>201</v>
      </c>
      <c r="L371" s="76" t="str">
        <f aca="false">IF(OR(G371="",H371=""),"Data tidak lengkap",IF(AND(G371=0,H371=0),IF(AND(F371="",K371=""),"Tidak dibuka","Tutup"),IF(H371&gt;G371,"Lebih kapasitas",IF(H371=G371,"Penuh",IF(H371=0,IF(F371="","Slot kosong","Belum terisi"),"Sebagian")))))</f>
        <v>Penuh</v>
      </c>
      <c r="M371" s="79" t="str">
        <f aca="false">IF(L371="Tidak dibuka","–",IF(F371="","(tanpa age group)",F371)&amp;"  "&amp;IF(H371="","?",H371)&amp;"/"&amp;IF(G371="","?",G371)&amp;CHAR(10)&amp;IF(K371="","coach: –","coach: "&amp;K371))</f>
        <v>Kids  4/4
coach: Nuky</v>
      </c>
    </row>
    <row r="372" customFormat="false" ht="22.35" hidden="false" customHeight="false" outlineLevel="0" collapsed="false">
      <c r="A372" s="76" t="str">
        <f aca="false">B372&amp;"|"&amp;C372&amp;"|"&amp;D372&amp;"|"&amp;E372</f>
        <v>KLM|5|Rabu|16:15</v>
      </c>
      <c r="B372" s="76" t="s">
        <v>61</v>
      </c>
      <c r="C372" s="76" t="n">
        <v>5</v>
      </c>
      <c r="D372" s="76" t="s">
        <v>92</v>
      </c>
      <c r="E372" s="76" t="s">
        <v>120</v>
      </c>
      <c r="F372" s="77" t="s">
        <v>210</v>
      </c>
      <c r="G372" s="77" t="n">
        <v>4</v>
      </c>
      <c r="H372" s="77" t="n">
        <v>4</v>
      </c>
      <c r="I372" s="76" t="n">
        <f aca="false">IF(AND(ISNUMBER(G372),ISNUMBER(H372)),MAX(G372-H372,0),"")</f>
        <v>0</v>
      </c>
      <c r="J372" s="78" t="n">
        <f aca="false">IF(AND(ISNUMBER(G372),ISNUMBER(H372)),IF(G372&gt;0,H372/G372,""),"")</f>
        <v>1</v>
      </c>
      <c r="K372" s="77" t="s">
        <v>44</v>
      </c>
      <c r="L372" s="76" t="str">
        <f aca="false">IF(OR(G372="",H372=""),"Data tidak lengkap",IF(AND(G372=0,H372=0),IF(AND(F372="",K372=""),"Tidak dibuka","Tutup"),IF(H372&gt;G372,"Lebih kapasitas",IF(H372=G372,"Penuh",IF(H372=0,IF(F372="","Slot kosong","Belum terisi"),"Sebagian")))))</f>
        <v>Penuh</v>
      </c>
      <c r="M372" s="79" t="str">
        <f aca="false">IF(L372="Tidak dibuka","–",IF(F372="","(tanpa age group)",F372)&amp;"  "&amp;IF(H372="","?",H372)&amp;"/"&amp;IF(G372="","?",G372)&amp;CHAR(10)&amp;IF(K372="","coach: –","coach: "&amp;K372))</f>
        <v>Kids  4/4
coach: Danti</v>
      </c>
    </row>
    <row r="373" customFormat="false" ht="22.35" hidden="false" customHeight="false" outlineLevel="0" collapsed="false">
      <c r="A373" s="76" t="str">
        <f aca="false">B373&amp;"|"&amp;C373&amp;"|"&amp;D373&amp;"|"&amp;E373</f>
        <v>KLM|5|Rabu|17:00</v>
      </c>
      <c r="B373" s="76" t="s">
        <v>61</v>
      </c>
      <c r="C373" s="76" t="n">
        <v>5</v>
      </c>
      <c r="D373" s="76" t="s">
        <v>92</v>
      </c>
      <c r="E373" s="76" t="s">
        <v>121</v>
      </c>
      <c r="F373" s="77" t="s">
        <v>210</v>
      </c>
      <c r="G373" s="77" t="n">
        <v>4</v>
      </c>
      <c r="H373" s="77" t="n">
        <v>4</v>
      </c>
      <c r="I373" s="76" t="n">
        <f aca="false">IF(AND(ISNUMBER(G373),ISNUMBER(H373)),MAX(G373-H373,0),"")</f>
        <v>0</v>
      </c>
      <c r="J373" s="78" t="n">
        <f aca="false">IF(AND(ISNUMBER(G373),ISNUMBER(H373)),IF(G373&gt;0,H373/G373,""),"")</f>
        <v>1</v>
      </c>
      <c r="K373" s="77" t="s">
        <v>201</v>
      </c>
      <c r="L373" s="76" t="str">
        <f aca="false">IF(OR(G373="",H373=""),"Data tidak lengkap",IF(AND(G373=0,H373=0),IF(AND(F373="",K373=""),"Tidak dibuka","Tutup"),IF(H373&gt;G373,"Lebih kapasitas",IF(H373=G373,"Penuh",IF(H373=0,IF(F373="","Slot kosong","Belum terisi"),"Sebagian")))))</f>
        <v>Penuh</v>
      </c>
      <c r="M373" s="79" t="str">
        <f aca="false">IF(L373="Tidak dibuka","–",IF(F373="","(tanpa age group)",F373)&amp;"  "&amp;IF(H373="","?",H373)&amp;"/"&amp;IF(G373="","?",G373)&amp;CHAR(10)&amp;IF(K373="","coach: –","coach: "&amp;K373))</f>
        <v>Kids  4/4
coach: Nuky</v>
      </c>
    </row>
    <row r="374" customFormat="false" ht="15" hidden="false" customHeight="false" outlineLevel="0" collapsed="false">
      <c r="A374" s="76" t="str">
        <f aca="false">B374&amp;"|"&amp;C374&amp;"|"&amp;D374&amp;"|"&amp;E374</f>
        <v>KLM|5|Kamis|08:00</v>
      </c>
      <c r="B374" s="76" t="s">
        <v>61</v>
      </c>
      <c r="C374" s="76" t="n">
        <v>5</v>
      </c>
      <c r="D374" s="76" t="s">
        <v>93</v>
      </c>
      <c r="E374" s="76" t="s">
        <v>110</v>
      </c>
      <c r="F374" s="77"/>
      <c r="G374" s="77" t="n">
        <v>0</v>
      </c>
      <c r="H374" s="77" t="n">
        <v>0</v>
      </c>
      <c r="I374" s="76" t="n">
        <f aca="false">IF(AND(ISNUMBER(G374),ISNUMBER(H374)),MAX(G374-H374,0),"")</f>
        <v>0</v>
      </c>
      <c r="J374" s="78" t="str">
        <f aca="false">IF(AND(ISNUMBER(G374),ISNUMBER(H374)),IF(G374&gt;0,H374/G374,""),"")</f>
        <v/>
      </c>
      <c r="K374" s="77"/>
      <c r="L374" s="76" t="str">
        <f aca="false">IF(OR(G374="",H374=""),"Data tidak lengkap",IF(AND(G374=0,H374=0),IF(AND(F374="",K374=""),"Tidak dibuka","Tutup"),IF(H374&gt;G374,"Lebih kapasitas",IF(H374=G374,"Penuh",IF(H374=0,IF(F374="","Slot kosong","Belum terisi"),"Sebagian")))))</f>
        <v>Tidak dibuka</v>
      </c>
      <c r="M374" s="76" t="str">
        <f aca="false">IF(L374="Tidak dibuka","–",IF(F374="","(tanpa age group)",F374)&amp;"  "&amp;IF(H374="","?",H374)&amp;"/"&amp;IF(G374="","?",G374)&amp;CHAR(10)&amp;IF(K374="","coach: –","coach: "&amp;K374))</f>
        <v>–</v>
      </c>
    </row>
    <row r="375" customFormat="false" ht="22.35" hidden="false" customHeight="false" outlineLevel="0" collapsed="false">
      <c r="A375" s="76" t="str">
        <f aca="false">B375&amp;"|"&amp;C375&amp;"|"&amp;D375&amp;"|"&amp;E375</f>
        <v>KLM|5|Kamis|08:45</v>
      </c>
      <c r="B375" s="76" t="s">
        <v>61</v>
      </c>
      <c r="C375" s="76" t="n">
        <v>5</v>
      </c>
      <c r="D375" s="76" t="s">
        <v>93</v>
      </c>
      <c r="E375" s="76" t="s">
        <v>111</v>
      </c>
      <c r="F375" s="77"/>
      <c r="G375" s="77" t="n">
        <v>4</v>
      </c>
      <c r="H375" s="77" t="n">
        <v>0</v>
      </c>
      <c r="I375" s="76" t="n">
        <f aca="false">IF(AND(ISNUMBER(G375),ISNUMBER(H375)),MAX(G375-H375,0),"")</f>
        <v>4</v>
      </c>
      <c r="J375" s="78" t="n">
        <f aca="false">IF(AND(ISNUMBER(G375),ISNUMBER(H375)),IF(G375&gt;0,H375/G375,""),"")</f>
        <v>0</v>
      </c>
      <c r="K375" s="77"/>
      <c r="L375" s="76" t="str">
        <f aca="false">IF(OR(G375="",H375=""),"Data tidak lengkap",IF(AND(G375=0,H375=0),IF(AND(F375="",K375=""),"Tidak dibuka","Tutup"),IF(H375&gt;G375,"Lebih kapasitas",IF(H375=G375,"Penuh",IF(H375=0,IF(F375="","Slot kosong","Belum terisi"),"Sebagian")))))</f>
        <v>Slot kosong</v>
      </c>
      <c r="M375" s="79" t="str">
        <f aca="false">IF(L375="Tidak dibuka","–",IF(F375="","(tanpa age group)",F375)&amp;"  "&amp;IF(H375="","?",H375)&amp;"/"&amp;IF(G375="","?",G375)&amp;CHAR(10)&amp;IF(K375="","coach: –","coach: "&amp;K375))</f>
        <v>(tanpa age group)  0/4
coach: –</v>
      </c>
    </row>
    <row r="376" customFormat="false" ht="22.35" hidden="false" customHeight="false" outlineLevel="0" collapsed="false">
      <c r="A376" s="76" t="str">
        <f aca="false">B376&amp;"|"&amp;C376&amp;"|"&amp;D376&amp;"|"&amp;E376</f>
        <v>KLM|5|Kamis|09:30</v>
      </c>
      <c r="B376" s="76" t="s">
        <v>61</v>
      </c>
      <c r="C376" s="76" t="n">
        <v>5</v>
      </c>
      <c r="D376" s="76" t="s">
        <v>93</v>
      </c>
      <c r="E376" s="76" t="s">
        <v>112</v>
      </c>
      <c r="F376" s="77"/>
      <c r="G376" s="77" t="n">
        <v>4</v>
      </c>
      <c r="H376" s="77" t="n">
        <v>0</v>
      </c>
      <c r="I376" s="76" t="n">
        <f aca="false">IF(AND(ISNUMBER(G376),ISNUMBER(H376)),MAX(G376-H376,0),"")</f>
        <v>4</v>
      </c>
      <c r="J376" s="78" t="n">
        <f aca="false">IF(AND(ISNUMBER(G376),ISNUMBER(H376)),IF(G376&gt;0,H376/G376,""),"")</f>
        <v>0</v>
      </c>
      <c r="K376" s="77"/>
      <c r="L376" s="76" t="str">
        <f aca="false">IF(OR(G376="",H376=""),"Data tidak lengkap",IF(AND(G376=0,H376=0),IF(AND(F376="",K376=""),"Tidak dibuka","Tutup"),IF(H376&gt;G376,"Lebih kapasitas",IF(H376=G376,"Penuh",IF(H376=0,IF(F376="","Slot kosong","Belum terisi"),"Sebagian")))))</f>
        <v>Slot kosong</v>
      </c>
      <c r="M376" s="79" t="str">
        <f aca="false">IF(L376="Tidak dibuka","–",IF(F376="","(tanpa age group)",F376)&amp;"  "&amp;IF(H376="","?",H376)&amp;"/"&amp;IF(G376="","?",G376)&amp;CHAR(10)&amp;IF(K376="","coach: –","coach: "&amp;K376))</f>
        <v>(tanpa age group)  0/4
coach: –</v>
      </c>
    </row>
    <row r="377" customFormat="false" ht="22.35" hidden="false" customHeight="false" outlineLevel="0" collapsed="false">
      <c r="A377" s="76" t="str">
        <f aca="false">B377&amp;"|"&amp;C377&amp;"|"&amp;D377&amp;"|"&amp;E377</f>
        <v>KLM|5|Kamis|10:15</v>
      </c>
      <c r="B377" s="76" t="s">
        <v>61</v>
      </c>
      <c r="C377" s="76" t="n">
        <v>5</v>
      </c>
      <c r="D377" s="76" t="s">
        <v>93</v>
      </c>
      <c r="E377" s="76" t="s">
        <v>113</v>
      </c>
      <c r="F377" s="77"/>
      <c r="G377" s="77" t="n">
        <v>4</v>
      </c>
      <c r="H377" s="77" t="n">
        <v>0</v>
      </c>
      <c r="I377" s="76" t="n">
        <f aca="false">IF(AND(ISNUMBER(G377),ISNUMBER(H377)),MAX(G377-H377,0),"")</f>
        <v>4</v>
      </c>
      <c r="J377" s="78" t="n">
        <f aca="false">IF(AND(ISNUMBER(G377),ISNUMBER(H377)),IF(G377&gt;0,H377/G377,""),"")</f>
        <v>0</v>
      </c>
      <c r="K377" s="77"/>
      <c r="L377" s="76" t="str">
        <f aca="false">IF(OR(G377="",H377=""),"Data tidak lengkap",IF(AND(G377=0,H377=0),IF(AND(F377="",K377=""),"Tidak dibuka","Tutup"),IF(H377&gt;G377,"Lebih kapasitas",IF(H377=G377,"Penuh",IF(H377=0,IF(F377="","Slot kosong","Belum terisi"),"Sebagian")))))</f>
        <v>Slot kosong</v>
      </c>
      <c r="M377" s="79" t="str">
        <f aca="false">IF(L377="Tidak dibuka","–",IF(F377="","(tanpa age group)",F377)&amp;"  "&amp;IF(H377="","?",H377)&amp;"/"&amp;IF(G377="","?",G377)&amp;CHAR(10)&amp;IF(K377="","coach: –","coach: "&amp;K377))</f>
        <v>(tanpa age group)  0/4
coach: –</v>
      </c>
    </row>
    <row r="378" customFormat="false" ht="22.35" hidden="false" customHeight="false" outlineLevel="0" collapsed="false">
      <c r="A378" s="76" t="str">
        <f aca="false">B378&amp;"|"&amp;C378&amp;"|"&amp;D378&amp;"|"&amp;E378</f>
        <v>KLM|5|Kamis|11:00</v>
      </c>
      <c r="B378" s="76" t="s">
        <v>61</v>
      </c>
      <c r="C378" s="76" t="n">
        <v>5</v>
      </c>
      <c r="D378" s="76" t="s">
        <v>93</v>
      </c>
      <c r="E378" s="76" t="s">
        <v>114</v>
      </c>
      <c r="F378" s="77"/>
      <c r="G378" s="77" t="n">
        <v>4</v>
      </c>
      <c r="H378" s="77" t="n">
        <v>0</v>
      </c>
      <c r="I378" s="76" t="n">
        <f aca="false">IF(AND(ISNUMBER(G378),ISNUMBER(H378)),MAX(G378-H378,0),"")</f>
        <v>4</v>
      </c>
      <c r="J378" s="78" t="n">
        <f aca="false">IF(AND(ISNUMBER(G378),ISNUMBER(H378)),IF(G378&gt;0,H378/G378,""),"")</f>
        <v>0</v>
      </c>
      <c r="K378" s="77"/>
      <c r="L378" s="76" t="str">
        <f aca="false">IF(OR(G378="",H378=""),"Data tidak lengkap",IF(AND(G378=0,H378=0),IF(AND(F378="",K378=""),"Tidak dibuka","Tutup"),IF(H378&gt;G378,"Lebih kapasitas",IF(H378=G378,"Penuh",IF(H378=0,IF(F378="","Slot kosong","Belum terisi"),"Sebagian")))))</f>
        <v>Slot kosong</v>
      </c>
      <c r="M378" s="79" t="str">
        <f aca="false">IF(L378="Tidak dibuka","–",IF(F378="","(tanpa age group)",F378)&amp;"  "&amp;IF(H378="","?",H378)&amp;"/"&amp;IF(G378="","?",G378)&amp;CHAR(10)&amp;IF(K378="","coach: –","coach: "&amp;K378))</f>
        <v>(tanpa age group)  0/4
coach: –</v>
      </c>
    </row>
    <row r="379" customFormat="false" ht="22.35" hidden="false" customHeight="false" outlineLevel="0" collapsed="false">
      <c r="A379" s="76" t="str">
        <f aca="false">B379&amp;"|"&amp;C379&amp;"|"&amp;D379&amp;"|"&amp;E379</f>
        <v>KLM|5|Kamis|11:45</v>
      </c>
      <c r="B379" s="76" t="s">
        <v>61</v>
      </c>
      <c r="C379" s="76" t="n">
        <v>5</v>
      </c>
      <c r="D379" s="76" t="s">
        <v>93</v>
      </c>
      <c r="E379" s="76" t="s">
        <v>115</v>
      </c>
      <c r="F379" s="77"/>
      <c r="G379" s="77" t="n">
        <v>4</v>
      </c>
      <c r="H379" s="77" t="n">
        <v>0</v>
      </c>
      <c r="I379" s="76" t="n">
        <f aca="false">IF(AND(ISNUMBER(G379),ISNUMBER(H379)),MAX(G379-H379,0),"")</f>
        <v>4</v>
      </c>
      <c r="J379" s="78" t="n">
        <f aca="false">IF(AND(ISNUMBER(G379),ISNUMBER(H379)),IF(G379&gt;0,H379/G379,""),"")</f>
        <v>0</v>
      </c>
      <c r="K379" s="77"/>
      <c r="L379" s="76" t="str">
        <f aca="false">IF(OR(G379="",H379=""),"Data tidak lengkap",IF(AND(G379=0,H379=0),IF(AND(F379="",K379=""),"Tidak dibuka","Tutup"),IF(H379&gt;G379,"Lebih kapasitas",IF(H379=G379,"Penuh",IF(H379=0,IF(F379="","Slot kosong","Belum terisi"),"Sebagian")))))</f>
        <v>Slot kosong</v>
      </c>
      <c r="M379" s="79" t="str">
        <f aca="false">IF(L379="Tidak dibuka","–",IF(F379="","(tanpa age group)",F379)&amp;"  "&amp;IF(H379="","?",H379)&amp;"/"&amp;IF(G379="","?",G379)&amp;CHAR(10)&amp;IF(K379="","coach: –","coach: "&amp;K379))</f>
        <v>(tanpa age group)  0/4
coach: –</v>
      </c>
    </row>
    <row r="380" customFormat="false" ht="22.35" hidden="false" customHeight="false" outlineLevel="0" collapsed="false">
      <c r="A380" s="76" t="str">
        <f aca="false">B380&amp;"|"&amp;C380&amp;"|"&amp;D380&amp;"|"&amp;E380</f>
        <v>KLM|5|Kamis|13:15</v>
      </c>
      <c r="B380" s="76" t="s">
        <v>61</v>
      </c>
      <c r="C380" s="76" t="n">
        <v>5</v>
      </c>
      <c r="D380" s="76" t="s">
        <v>93</v>
      </c>
      <c r="E380" s="76" t="s">
        <v>116</v>
      </c>
      <c r="F380" s="77" t="s">
        <v>277</v>
      </c>
      <c r="G380" s="77" t="n">
        <v>4</v>
      </c>
      <c r="H380" s="77" t="n">
        <v>2</v>
      </c>
      <c r="I380" s="76" t="n">
        <f aca="false">IF(AND(ISNUMBER(G380),ISNUMBER(H380)),MAX(G380-H380,0),"")</f>
        <v>2</v>
      </c>
      <c r="J380" s="78" t="n">
        <f aca="false">IF(AND(ISNUMBER(G380),ISNUMBER(H380)),IF(G380&gt;0,H380/G380,""),"")</f>
        <v>0.5</v>
      </c>
      <c r="K380" s="77" t="s">
        <v>201</v>
      </c>
      <c r="L380" s="76" t="str">
        <f aca="false">IF(OR(G380="",H380=""),"Data tidak lengkap",IF(AND(G380=0,H380=0),IF(AND(F380="",K380=""),"Tidak dibuka","Tutup"),IF(H380&gt;G380,"Lebih kapasitas",IF(H380=G380,"Penuh",IF(H380=0,IF(F380="","Slot kosong","Belum terisi"),"Sebagian")))))</f>
        <v>Sebagian</v>
      </c>
      <c r="M380" s="79" t="str">
        <f aca="false">IF(L380="Tidak dibuka","–",IF(F380="","(tanpa age group)",F380)&amp;"  "&amp;IF(H380="","?",H380)&amp;"/"&amp;IF(G380="","?",G380)&amp;CHAR(10)&amp;IF(K380="","coach: –","coach: "&amp;K380))</f>
        <v>Little  2/4
coach: Nuky</v>
      </c>
    </row>
    <row r="381" customFormat="false" ht="22.35" hidden="false" customHeight="false" outlineLevel="0" collapsed="false">
      <c r="A381" s="76" t="str">
        <f aca="false">B381&amp;"|"&amp;C381&amp;"|"&amp;D381&amp;"|"&amp;E381</f>
        <v>KLM|5|Kamis|14:00</v>
      </c>
      <c r="B381" s="76" t="s">
        <v>61</v>
      </c>
      <c r="C381" s="76" t="n">
        <v>5</v>
      </c>
      <c r="D381" s="76" t="s">
        <v>93</v>
      </c>
      <c r="E381" s="76" t="s">
        <v>117</v>
      </c>
      <c r="F381" s="77" t="s">
        <v>210</v>
      </c>
      <c r="G381" s="77" t="n">
        <v>4</v>
      </c>
      <c r="H381" s="77" t="n">
        <v>4</v>
      </c>
      <c r="I381" s="76" t="n">
        <f aca="false">IF(AND(ISNUMBER(G381),ISNUMBER(H381)),MAX(G381-H381,0),"")</f>
        <v>0</v>
      </c>
      <c r="J381" s="78" t="n">
        <f aca="false">IF(AND(ISNUMBER(G381),ISNUMBER(H381)),IF(G381&gt;0,H381/G381,""),"")</f>
        <v>1</v>
      </c>
      <c r="K381" s="77" t="s">
        <v>195</v>
      </c>
      <c r="L381" s="76" t="str">
        <f aca="false">IF(OR(G381="",H381=""),"Data tidak lengkap",IF(AND(G381=0,H381=0),IF(AND(F381="",K381=""),"Tidak dibuka","Tutup"),IF(H381&gt;G381,"Lebih kapasitas",IF(H381=G381,"Penuh",IF(H381=0,IF(F381="","Slot kosong","Belum terisi"),"Sebagian")))))</f>
        <v>Penuh</v>
      </c>
      <c r="M381" s="79" t="str">
        <f aca="false">IF(L381="Tidak dibuka","–",IF(F381="","(tanpa age group)",F381)&amp;"  "&amp;IF(H381="","?",H381)&amp;"/"&amp;IF(G381="","?",G381)&amp;CHAR(10)&amp;IF(K381="","coach: –","coach: "&amp;K381))</f>
        <v>Kids  4/4
coach: Eka</v>
      </c>
    </row>
    <row r="382" customFormat="false" ht="15" hidden="false" customHeight="false" outlineLevel="0" collapsed="false">
      <c r="A382" s="76" t="str">
        <f aca="false">B382&amp;"|"&amp;C382&amp;"|"&amp;D382&amp;"|"&amp;E382</f>
        <v>KLM|5|Kamis|14:45</v>
      </c>
      <c r="B382" s="76" t="s">
        <v>61</v>
      </c>
      <c r="C382" s="76" t="n">
        <v>5</v>
      </c>
      <c r="D382" s="76" t="s">
        <v>93</v>
      </c>
      <c r="E382" s="76" t="s">
        <v>118</v>
      </c>
      <c r="F382" s="77"/>
      <c r="G382" s="77" t="n">
        <v>0</v>
      </c>
      <c r="H382" s="77" t="n">
        <v>0</v>
      </c>
      <c r="I382" s="76" t="n">
        <f aca="false">IF(AND(ISNUMBER(G382),ISNUMBER(H382)),MAX(G382-H382,0),"")</f>
        <v>0</v>
      </c>
      <c r="J382" s="78" t="str">
        <f aca="false">IF(AND(ISNUMBER(G382),ISNUMBER(H382)),IF(G382&gt;0,H382/G382,""),"")</f>
        <v/>
      </c>
      <c r="K382" s="77"/>
      <c r="L382" s="76" t="str">
        <f aca="false">IF(OR(G382="",H382=""),"Data tidak lengkap",IF(AND(G382=0,H382=0),IF(AND(F382="",K382=""),"Tidak dibuka","Tutup"),IF(H382&gt;G382,"Lebih kapasitas",IF(H382=G382,"Penuh",IF(H382=0,IF(F382="","Slot kosong","Belum terisi"),"Sebagian")))))</f>
        <v>Tidak dibuka</v>
      </c>
      <c r="M382" s="76" t="str">
        <f aca="false">IF(L382="Tidak dibuka","–",IF(F382="","(tanpa age group)",F382)&amp;"  "&amp;IF(H382="","?",H382)&amp;"/"&amp;IF(G382="","?",G382)&amp;CHAR(10)&amp;IF(K382="","coach: –","coach: "&amp;K382))</f>
        <v>–</v>
      </c>
    </row>
    <row r="383" customFormat="false" ht="22.35" hidden="false" customHeight="false" outlineLevel="0" collapsed="false">
      <c r="A383" s="76" t="str">
        <f aca="false">B383&amp;"|"&amp;C383&amp;"|"&amp;D383&amp;"|"&amp;E383</f>
        <v>KLM|5|Kamis|15:30</v>
      </c>
      <c r="B383" s="76" t="s">
        <v>61</v>
      </c>
      <c r="C383" s="76" t="n">
        <v>5</v>
      </c>
      <c r="D383" s="76" t="s">
        <v>93</v>
      </c>
      <c r="E383" s="76" t="s">
        <v>119</v>
      </c>
      <c r="F383" s="77" t="s">
        <v>210</v>
      </c>
      <c r="G383" s="77" t="n">
        <v>0</v>
      </c>
      <c r="H383" s="77" t="n">
        <v>4</v>
      </c>
      <c r="I383" s="76" t="n">
        <f aca="false">IF(AND(ISNUMBER(G383),ISNUMBER(H383)),MAX(G383-H383,0),"")</f>
        <v>0</v>
      </c>
      <c r="J383" s="78" t="str">
        <f aca="false">IF(AND(ISNUMBER(G383),ISNUMBER(H383)),IF(G383&gt;0,H383/G383,""),"")</f>
        <v/>
      </c>
      <c r="K383" s="77" t="s">
        <v>201</v>
      </c>
      <c r="L383" s="76" t="str">
        <f aca="false">IF(OR(G383="",H383=""),"Data tidak lengkap",IF(AND(G383=0,H383=0),IF(AND(F383="",K383=""),"Tidak dibuka","Tutup"),IF(H383&gt;G383,"Lebih kapasitas",IF(H383=G383,"Penuh",IF(H383=0,IF(F383="","Slot kosong","Belum terisi"),"Sebagian")))))</f>
        <v>Lebih kapasitas</v>
      </c>
      <c r="M383" s="79" t="str">
        <f aca="false">IF(L383="Tidak dibuka","–",IF(F383="","(tanpa age group)",F383)&amp;"  "&amp;IF(H383="","?",H383)&amp;"/"&amp;IF(G383="","?",G383)&amp;CHAR(10)&amp;IF(K383="","coach: –","coach: "&amp;K383))</f>
        <v>Kids  4/0
coach: Nuky</v>
      </c>
    </row>
    <row r="384" customFormat="false" ht="22.35" hidden="false" customHeight="false" outlineLevel="0" collapsed="false">
      <c r="A384" s="76" t="str">
        <f aca="false">B384&amp;"|"&amp;C384&amp;"|"&amp;D384&amp;"|"&amp;E384</f>
        <v>KLM|5|Kamis|16:15</v>
      </c>
      <c r="B384" s="76" t="s">
        <v>61</v>
      </c>
      <c r="C384" s="76" t="n">
        <v>5</v>
      </c>
      <c r="D384" s="76" t="s">
        <v>93</v>
      </c>
      <c r="E384" s="76" t="s">
        <v>120</v>
      </c>
      <c r="F384" s="77" t="s">
        <v>210</v>
      </c>
      <c r="G384" s="77" t="n">
        <v>0</v>
      </c>
      <c r="H384" s="77" t="n">
        <v>4</v>
      </c>
      <c r="I384" s="76" t="n">
        <f aca="false">IF(AND(ISNUMBER(G384),ISNUMBER(H384)),MAX(G384-H384,0),"")</f>
        <v>0</v>
      </c>
      <c r="J384" s="78" t="str">
        <f aca="false">IF(AND(ISNUMBER(G384),ISNUMBER(H384)),IF(G384&gt;0,H384/G384,""),"")</f>
        <v/>
      </c>
      <c r="K384" s="77" t="s">
        <v>201</v>
      </c>
      <c r="L384" s="76" t="str">
        <f aca="false">IF(OR(G384="",H384=""),"Data tidak lengkap",IF(AND(G384=0,H384=0),IF(AND(F384="",K384=""),"Tidak dibuka","Tutup"),IF(H384&gt;G384,"Lebih kapasitas",IF(H384=G384,"Penuh",IF(H384=0,IF(F384="","Slot kosong","Belum terisi"),"Sebagian")))))</f>
        <v>Lebih kapasitas</v>
      </c>
      <c r="M384" s="79" t="str">
        <f aca="false">IF(L384="Tidak dibuka","–",IF(F384="","(tanpa age group)",F384)&amp;"  "&amp;IF(H384="","?",H384)&amp;"/"&amp;IF(G384="","?",G384)&amp;CHAR(10)&amp;IF(K384="","coach: –","coach: "&amp;K384))</f>
        <v>Kids  4/0
coach: Nuky</v>
      </c>
    </row>
    <row r="385" customFormat="false" ht="22.35" hidden="false" customHeight="false" outlineLevel="0" collapsed="false">
      <c r="A385" s="76" t="str">
        <f aca="false">B385&amp;"|"&amp;C385&amp;"|"&amp;D385&amp;"|"&amp;E385</f>
        <v>KLM|5|Kamis|17:00</v>
      </c>
      <c r="B385" s="76" t="s">
        <v>61</v>
      </c>
      <c r="C385" s="76" t="n">
        <v>5</v>
      </c>
      <c r="D385" s="76" t="s">
        <v>93</v>
      </c>
      <c r="E385" s="76" t="s">
        <v>121</v>
      </c>
      <c r="F385" s="77" t="s">
        <v>210</v>
      </c>
      <c r="G385" s="77" t="n">
        <v>0</v>
      </c>
      <c r="H385" s="77" t="n">
        <v>4</v>
      </c>
      <c r="I385" s="76" t="n">
        <f aca="false">IF(AND(ISNUMBER(G385),ISNUMBER(H385)),MAX(G385-H385,0),"")</f>
        <v>0</v>
      </c>
      <c r="J385" s="78" t="str">
        <f aca="false">IF(AND(ISNUMBER(G385),ISNUMBER(H385)),IF(G385&gt;0,H385/G385,""),"")</f>
        <v/>
      </c>
      <c r="K385" s="77" t="s">
        <v>195</v>
      </c>
      <c r="L385" s="76" t="str">
        <f aca="false">IF(OR(G385="",H385=""),"Data tidak lengkap",IF(AND(G385=0,H385=0),IF(AND(F385="",K385=""),"Tidak dibuka","Tutup"),IF(H385&gt;G385,"Lebih kapasitas",IF(H385=G385,"Penuh",IF(H385=0,IF(F385="","Slot kosong","Belum terisi"),"Sebagian")))))</f>
        <v>Lebih kapasitas</v>
      </c>
      <c r="M385" s="79" t="str">
        <f aca="false">IF(L385="Tidak dibuka","–",IF(F385="","(tanpa age group)",F385)&amp;"  "&amp;IF(H385="","?",H385)&amp;"/"&amp;IF(G385="","?",G385)&amp;CHAR(10)&amp;IF(K385="","coach: –","coach: "&amp;K385))</f>
        <v>Kids  4/0
coach: Eka</v>
      </c>
    </row>
    <row r="386" customFormat="false" ht="15" hidden="false" customHeight="false" outlineLevel="0" collapsed="false">
      <c r="A386" s="76" t="str">
        <f aca="false">B386&amp;"|"&amp;C386&amp;"|"&amp;D386&amp;"|"&amp;E386</f>
        <v>KLM|5|Jumat|08:00</v>
      </c>
      <c r="B386" s="76" t="s">
        <v>61</v>
      </c>
      <c r="C386" s="76" t="n">
        <v>5</v>
      </c>
      <c r="D386" s="76" t="s">
        <v>94</v>
      </c>
      <c r="E386" s="76" t="s">
        <v>110</v>
      </c>
      <c r="F386" s="77"/>
      <c r="G386" s="77" t="n">
        <v>0</v>
      </c>
      <c r="H386" s="77" t="n">
        <v>0</v>
      </c>
      <c r="I386" s="76" t="n">
        <f aca="false">IF(AND(ISNUMBER(G386),ISNUMBER(H386)),MAX(G386-H386,0),"")</f>
        <v>0</v>
      </c>
      <c r="J386" s="78" t="str">
        <f aca="false">IF(AND(ISNUMBER(G386),ISNUMBER(H386)),IF(G386&gt;0,H386/G386,""),"")</f>
        <v/>
      </c>
      <c r="K386" s="77"/>
      <c r="L386" s="76" t="str">
        <f aca="false">IF(OR(G386="",H386=""),"Data tidak lengkap",IF(AND(G386=0,H386=0),IF(AND(F386="",K386=""),"Tidak dibuka","Tutup"),IF(H386&gt;G386,"Lebih kapasitas",IF(H386=G386,"Penuh",IF(H386=0,IF(F386="","Slot kosong","Belum terisi"),"Sebagian")))))</f>
        <v>Tidak dibuka</v>
      </c>
      <c r="M386" s="76" t="str">
        <f aca="false">IF(L386="Tidak dibuka","–",IF(F386="","(tanpa age group)",F386)&amp;"  "&amp;IF(H386="","?",H386)&amp;"/"&amp;IF(G386="","?",G386)&amp;CHAR(10)&amp;IF(K386="","coach: –","coach: "&amp;K386))</f>
        <v>–</v>
      </c>
    </row>
    <row r="387" customFormat="false" ht="22.35" hidden="false" customHeight="false" outlineLevel="0" collapsed="false">
      <c r="A387" s="76" t="str">
        <f aca="false">B387&amp;"|"&amp;C387&amp;"|"&amp;D387&amp;"|"&amp;E387</f>
        <v>KLM|5|Jumat|08:45</v>
      </c>
      <c r="B387" s="76" t="s">
        <v>61</v>
      </c>
      <c r="C387" s="76" t="n">
        <v>5</v>
      </c>
      <c r="D387" s="76" t="s">
        <v>94</v>
      </c>
      <c r="E387" s="76" t="s">
        <v>111</v>
      </c>
      <c r="F387" s="77"/>
      <c r="G387" s="77" t="n">
        <v>4</v>
      </c>
      <c r="H387" s="77" t="n">
        <v>0</v>
      </c>
      <c r="I387" s="76" t="n">
        <f aca="false">IF(AND(ISNUMBER(G387),ISNUMBER(H387)),MAX(G387-H387,0),"")</f>
        <v>4</v>
      </c>
      <c r="J387" s="78" t="n">
        <f aca="false">IF(AND(ISNUMBER(G387),ISNUMBER(H387)),IF(G387&gt;0,H387/G387,""),"")</f>
        <v>0</v>
      </c>
      <c r="K387" s="77"/>
      <c r="L387" s="76" t="str">
        <f aca="false">IF(OR(G387="",H387=""),"Data tidak lengkap",IF(AND(G387=0,H387=0),IF(AND(F387="",K387=""),"Tidak dibuka","Tutup"),IF(H387&gt;G387,"Lebih kapasitas",IF(H387=G387,"Penuh",IF(H387=0,IF(F387="","Slot kosong","Belum terisi"),"Sebagian")))))</f>
        <v>Slot kosong</v>
      </c>
      <c r="M387" s="79" t="str">
        <f aca="false">IF(L387="Tidak dibuka","–",IF(F387="","(tanpa age group)",F387)&amp;"  "&amp;IF(H387="","?",H387)&amp;"/"&amp;IF(G387="","?",G387)&amp;CHAR(10)&amp;IF(K387="","coach: –","coach: "&amp;K387))</f>
        <v>(tanpa age group)  0/4
coach: –</v>
      </c>
    </row>
    <row r="388" customFormat="false" ht="22.35" hidden="false" customHeight="false" outlineLevel="0" collapsed="false">
      <c r="A388" s="76" t="str">
        <f aca="false">B388&amp;"|"&amp;C388&amp;"|"&amp;D388&amp;"|"&amp;E388</f>
        <v>KLM|5|Jumat|09:30</v>
      </c>
      <c r="B388" s="76" t="s">
        <v>61</v>
      </c>
      <c r="C388" s="76" t="n">
        <v>5</v>
      </c>
      <c r="D388" s="76" t="s">
        <v>94</v>
      </c>
      <c r="E388" s="76" t="s">
        <v>112</v>
      </c>
      <c r="F388" s="77"/>
      <c r="G388" s="77" t="n">
        <v>4</v>
      </c>
      <c r="H388" s="77" t="n">
        <v>0</v>
      </c>
      <c r="I388" s="76" t="n">
        <f aca="false">IF(AND(ISNUMBER(G388),ISNUMBER(H388)),MAX(G388-H388,0),"")</f>
        <v>4</v>
      </c>
      <c r="J388" s="78" t="n">
        <f aca="false">IF(AND(ISNUMBER(G388),ISNUMBER(H388)),IF(G388&gt;0,H388/G388,""),"")</f>
        <v>0</v>
      </c>
      <c r="K388" s="77"/>
      <c r="L388" s="76" t="str">
        <f aca="false">IF(OR(G388="",H388=""),"Data tidak lengkap",IF(AND(G388=0,H388=0),IF(AND(F388="",K388=""),"Tidak dibuka","Tutup"),IF(H388&gt;G388,"Lebih kapasitas",IF(H388=G388,"Penuh",IF(H388=0,IF(F388="","Slot kosong","Belum terisi"),"Sebagian")))))</f>
        <v>Slot kosong</v>
      </c>
      <c r="M388" s="79" t="str">
        <f aca="false">IF(L388="Tidak dibuka","–",IF(F388="","(tanpa age group)",F388)&amp;"  "&amp;IF(H388="","?",H388)&amp;"/"&amp;IF(G388="","?",G388)&amp;CHAR(10)&amp;IF(K388="","coach: –","coach: "&amp;K388))</f>
        <v>(tanpa age group)  0/4
coach: –</v>
      </c>
    </row>
    <row r="389" customFormat="false" ht="22.35" hidden="false" customHeight="false" outlineLevel="0" collapsed="false">
      <c r="A389" s="76" t="str">
        <f aca="false">B389&amp;"|"&amp;C389&amp;"|"&amp;D389&amp;"|"&amp;E389</f>
        <v>KLM|5|Jumat|10:15</v>
      </c>
      <c r="B389" s="76" t="s">
        <v>61</v>
      </c>
      <c r="C389" s="76" t="n">
        <v>5</v>
      </c>
      <c r="D389" s="76" t="s">
        <v>94</v>
      </c>
      <c r="E389" s="76" t="s">
        <v>113</v>
      </c>
      <c r="F389" s="77"/>
      <c r="G389" s="77" t="n">
        <v>4</v>
      </c>
      <c r="H389" s="77" t="n">
        <v>0</v>
      </c>
      <c r="I389" s="76" t="n">
        <f aca="false">IF(AND(ISNUMBER(G389),ISNUMBER(H389)),MAX(G389-H389,0),"")</f>
        <v>4</v>
      </c>
      <c r="J389" s="78" t="n">
        <f aca="false">IF(AND(ISNUMBER(G389),ISNUMBER(H389)),IF(G389&gt;0,H389/G389,""),"")</f>
        <v>0</v>
      </c>
      <c r="K389" s="77"/>
      <c r="L389" s="76" t="str">
        <f aca="false">IF(OR(G389="",H389=""),"Data tidak lengkap",IF(AND(G389=0,H389=0),IF(AND(F389="",K389=""),"Tidak dibuka","Tutup"),IF(H389&gt;G389,"Lebih kapasitas",IF(H389=G389,"Penuh",IF(H389=0,IF(F389="","Slot kosong","Belum terisi"),"Sebagian")))))</f>
        <v>Slot kosong</v>
      </c>
      <c r="M389" s="79" t="str">
        <f aca="false">IF(L389="Tidak dibuka","–",IF(F389="","(tanpa age group)",F389)&amp;"  "&amp;IF(H389="","?",H389)&amp;"/"&amp;IF(G389="","?",G389)&amp;CHAR(10)&amp;IF(K389="","coach: –","coach: "&amp;K389))</f>
        <v>(tanpa age group)  0/4
coach: –</v>
      </c>
    </row>
    <row r="390" customFormat="false" ht="22.35" hidden="false" customHeight="false" outlineLevel="0" collapsed="false">
      <c r="A390" s="76" t="str">
        <f aca="false">B390&amp;"|"&amp;C390&amp;"|"&amp;D390&amp;"|"&amp;E390</f>
        <v>KLM|5|Jumat|11:00</v>
      </c>
      <c r="B390" s="76" t="s">
        <v>61</v>
      </c>
      <c r="C390" s="76" t="n">
        <v>5</v>
      </c>
      <c r="D390" s="76" t="s">
        <v>94</v>
      </c>
      <c r="E390" s="76" t="s">
        <v>114</v>
      </c>
      <c r="F390" s="77" t="s">
        <v>210</v>
      </c>
      <c r="G390" s="77" t="n">
        <v>4</v>
      </c>
      <c r="H390" s="77" t="n">
        <v>4</v>
      </c>
      <c r="I390" s="76" t="n">
        <f aca="false">IF(AND(ISNUMBER(G390),ISNUMBER(H390)),MAX(G390-H390,0),"")</f>
        <v>0</v>
      </c>
      <c r="J390" s="78" t="n">
        <f aca="false">IF(AND(ISNUMBER(G390),ISNUMBER(H390)),IF(G390&gt;0,H390/G390,""),"")</f>
        <v>1</v>
      </c>
      <c r="K390" s="77" t="s">
        <v>207</v>
      </c>
      <c r="L390" s="76" t="str">
        <f aca="false">IF(OR(G390="",H390=""),"Data tidak lengkap",IF(AND(G390=0,H390=0),IF(AND(F390="",K390=""),"Tidak dibuka","Tutup"),IF(H390&gt;G390,"Lebih kapasitas",IF(H390=G390,"Penuh",IF(H390=0,IF(F390="","Slot kosong","Belum terisi"),"Sebagian")))))</f>
        <v>Penuh</v>
      </c>
      <c r="M390" s="79" t="str">
        <f aca="false">IF(L390="Tidak dibuka","–",IF(F390="","(tanpa age group)",F390)&amp;"  "&amp;IF(H390="","?",H390)&amp;"/"&amp;IF(G390="","?",G390)&amp;CHAR(10)&amp;IF(K390="","coach: –","coach: "&amp;K390))</f>
        <v>Kids  4/4
coach: Gita</v>
      </c>
    </row>
    <row r="391" customFormat="false" ht="22.35" hidden="false" customHeight="false" outlineLevel="0" collapsed="false">
      <c r="A391" s="76" t="str">
        <f aca="false">B391&amp;"|"&amp;C391&amp;"|"&amp;D391&amp;"|"&amp;E391</f>
        <v>KLM|5|Jumat|11:45</v>
      </c>
      <c r="B391" s="76" t="s">
        <v>61</v>
      </c>
      <c r="C391" s="76" t="n">
        <v>5</v>
      </c>
      <c r="D391" s="76" t="s">
        <v>94</v>
      </c>
      <c r="E391" s="76" t="s">
        <v>115</v>
      </c>
      <c r="F391" s="77"/>
      <c r="G391" s="77" t="n">
        <v>4</v>
      </c>
      <c r="H391" s="77" t="n">
        <v>0</v>
      </c>
      <c r="I391" s="76" t="n">
        <f aca="false">IF(AND(ISNUMBER(G391),ISNUMBER(H391)),MAX(G391-H391,0),"")</f>
        <v>4</v>
      </c>
      <c r="J391" s="78" t="n">
        <f aca="false">IF(AND(ISNUMBER(G391),ISNUMBER(H391)),IF(G391&gt;0,H391/G391,""),"")</f>
        <v>0</v>
      </c>
      <c r="K391" s="77"/>
      <c r="L391" s="76" t="str">
        <f aca="false">IF(OR(G391="",H391=""),"Data tidak lengkap",IF(AND(G391=0,H391=0),IF(AND(F391="",K391=""),"Tidak dibuka","Tutup"),IF(H391&gt;G391,"Lebih kapasitas",IF(H391=G391,"Penuh",IF(H391=0,IF(F391="","Slot kosong","Belum terisi"),"Sebagian")))))</f>
        <v>Slot kosong</v>
      </c>
      <c r="M391" s="79" t="str">
        <f aca="false">IF(L391="Tidak dibuka","–",IF(F391="","(tanpa age group)",F391)&amp;"  "&amp;IF(H391="","?",H391)&amp;"/"&amp;IF(G391="","?",G391)&amp;CHAR(10)&amp;IF(K391="","coach: –","coach: "&amp;K391))</f>
        <v>(tanpa age group)  0/4
coach: –</v>
      </c>
    </row>
    <row r="392" customFormat="false" ht="22.35" hidden="false" customHeight="false" outlineLevel="0" collapsed="false">
      <c r="A392" s="76" t="str">
        <f aca="false">B392&amp;"|"&amp;C392&amp;"|"&amp;D392&amp;"|"&amp;E392</f>
        <v>KLM|5|Jumat|13:15</v>
      </c>
      <c r="B392" s="76" t="s">
        <v>61</v>
      </c>
      <c r="C392" s="76" t="n">
        <v>5</v>
      </c>
      <c r="D392" s="76" t="s">
        <v>94</v>
      </c>
      <c r="E392" s="76" t="s">
        <v>116</v>
      </c>
      <c r="F392" s="77" t="s">
        <v>210</v>
      </c>
      <c r="G392" s="77" t="n">
        <v>4</v>
      </c>
      <c r="H392" s="77" t="n">
        <v>4</v>
      </c>
      <c r="I392" s="76" t="n">
        <f aca="false">IF(AND(ISNUMBER(G392),ISNUMBER(H392)),MAX(G392-H392,0),"")</f>
        <v>0</v>
      </c>
      <c r="J392" s="78" t="n">
        <f aca="false">IF(AND(ISNUMBER(G392),ISNUMBER(H392)),IF(G392&gt;0,H392/G392,""),"")</f>
        <v>1</v>
      </c>
      <c r="K392" s="77" t="s">
        <v>202</v>
      </c>
      <c r="L392" s="76" t="str">
        <f aca="false">IF(OR(G392="",H392=""),"Data tidak lengkap",IF(AND(G392=0,H392=0),IF(AND(F392="",K392=""),"Tidak dibuka","Tutup"),IF(H392&gt;G392,"Lebih kapasitas",IF(H392=G392,"Penuh",IF(H392=0,IF(F392="","Slot kosong","Belum terisi"),"Sebagian")))))</f>
        <v>Penuh</v>
      </c>
      <c r="M392" s="79" t="str">
        <f aca="false">IF(L392="Tidak dibuka","–",IF(F392="","(tanpa age group)",F392)&amp;"  "&amp;IF(H392="","?",H392)&amp;"/"&amp;IF(G392="","?",G392)&amp;CHAR(10)&amp;IF(K392="","coach: –","coach: "&amp;K392))</f>
        <v>Kids  4/4
coach: Daffa</v>
      </c>
    </row>
    <row r="393" customFormat="false" ht="22.35" hidden="false" customHeight="false" outlineLevel="0" collapsed="false">
      <c r="A393" s="76" t="str">
        <f aca="false">B393&amp;"|"&amp;C393&amp;"|"&amp;D393&amp;"|"&amp;E393</f>
        <v>KLM|5|Jumat|14:00</v>
      </c>
      <c r="B393" s="76" t="s">
        <v>61</v>
      </c>
      <c r="C393" s="76" t="n">
        <v>5</v>
      </c>
      <c r="D393" s="76" t="s">
        <v>94</v>
      </c>
      <c r="E393" s="76" t="s">
        <v>117</v>
      </c>
      <c r="F393" s="77" t="s">
        <v>210</v>
      </c>
      <c r="G393" s="77" t="n">
        <v>4</v>
      </c>
      <c r="H393" s="77" t="n">
        <v>3</v>
      </c>
      <c r="I393" s="76" t="n">
        <f aca="false">IF(AND(ISNUMBER(G393),ISNUMBER(H393)),MAX(G393-H393,0),"")</f>
        <v>1</v>
      </c>
      <c r="J393" s="78" t="n">
        <f aca="false">IF(AND(ISNUMBER(G393),ISNUMBER(H393)),IF(G393&gt;0,H393/G393,""),"")</f>
        <v>0.75</v>
      </c>
      <c r="K393" s="77" t="s">
        <v>195</v>
      </c>
      <c r="L393" s="76" t="str">
        <f aca="false">IF(OR(G393="",H393=""),"Data tidak lengkap",IF(AND(G393=0,H393=0),IF(AND(F393="",K393=""),"Tidak dibuka","Tutup"),IF(H393&gt;G393,"Lebih kapasitas",IF(H393=G393,"Penuh",IF(H393=0,IF(F393="","Slot kosong","Belum terisi"),"Sebagian")))))</f>
        <v>Sebagian</v>
      </c>
      <c r="M393" s="79" t="str">
        <f aca="false">IF(L393="Tidak dibuka","–",IF(F393="","(tanpa age group)",F393)&amp;"  "&amp;IF(H393="","?",H393)&amp;"/"&amp;IF(G393="","?",G393)&amp;CHAR(10)&amp;IF(K393="","coach: –","coach: "&amp;K393))</f>
        <v>Kids  3/4
coach: Eka</v>
      </c>
    </row>
    <row r="394" customFormat="false" ht="22.35" hidden="false" customHeight="false" outlineLevel="0" collapsed="false">
      <c r="A394" s="76" t="str">
        <f aca="false">B394&amp;"|"&amp;C394&amp;"|"&amp;D394&amp;"|"&amp;E394</f>
        <v>KLM|5|Jumat|14:45</v>
      </c>
      <c r="B394" s="76" t="s">
        <v>61</v>
      </c>
      <c r="C394" s="76" t="n">
        <v>5</v>
      </c>
      <c r="D394" s="76" t="s">
        <v>94</v>
      </c>
      <c r="E394" s="76" t="s">
        <v>118</v>
      </c>
      <c r="F394" s="77" t="s">
        <v>277</v>
      </c>
      <c r="G394" s="77" t="n">
        <v>4</v>
      </c>
      <c r="H394" s="77" t="n">
        <v>4</v>
      </c>
      <c r="I394" s="76" t="n">
        <f aca="false">IF(AND(ISNUMBER(G394),ISNUMBER(H394)),MAX(G394-H394,0),"")</f>
        <v>0</v>
      </c>
      <c r="J394" s="78" t="n">
        <f aca="false">IF(AND(ISNUMBER(G394),ISNUMBER(H394)),IF(G394&gt;0,H394/G394,""),"")</f>
        <v>1</v>
      </c>
      <c r="K394" s="77" t="s">
        <v>201</v>
      </c>
      <c r="L394" s="76" t="str">
        <f aca="false">IF(OR(G394="",H394=""),"Data tidak lengkap",IF(AND(G394=0,H394=0),IF(AND(F394="",K394=""),"Tidak dibuka","Tutup"),IF(H394&gt;G394,"Lebih kapasitas",IF(H394=G394,"Penuh",IF(H394=0,IF(F394="","Slot kosong","Belum terisi"),"Sebagian")))))</f>
        <v>Penuh</v>
      </c>
      <c r="M394" s="79" t="str">
        <f aca="false">IF(L394="Tidak dibuka","–",IF(F394="","(tanpa age group)",F394)&amp;"  "&amp;IF(H394="","?",H394)&amp;"/"&amp;IF(G394="","?",G394)&amp;CHAR(10)&amp;IF(K394="","coach: –","coach: "&amp;K394))</f>
        <v>Little  4/4
coach: Nuky</v>
      </c>
    </row>
    <row r="395" customFormat="false" ht="22.35" hidden="false" customHeight="false" outlineLevel="0" collapsed="false">
      <c r="A395" s="76" t="str">
        <f aca="false">B395&amp;"|"&amp;C395&amp;"|"&amp;D395&amp;"|"&amp;E395</f>
        <v>KLM|5|Jumat|15:30</v>
      </c>
      <c r="B395" s="76" t="s">
        <v>61</v>
      </c>
      <c r="C395" s="76" t="n">
        <v>5</v>
      </c>
      <c r="D395" s="76" t="s">
        <v>94</v>
      </c>
      <c r="E395" s="76" t="s">
        <v>119</v>
      </c>
      <c r="F395" s="77" t="s">
        <v>210</v>
      </c>
      <c r="G395" s="77" t="n">
        <v>4</v>
      </c>
      <c r="H395" s="77" t="n">
        <v>4</v>
      </c>
      <c r="I395" s="76" t="n">
        <f aca="false">IF(AND(ISNUMBER(G395),ISNUMBER(H395)),MAX(G395-H395,0),"")</f>
        <v>0</v>
      </c>
      <c r="J395" s="78" t="n">
        <f aca="false">IF(AND(ISNUMBER(G395),ISNUMBER(H395)),IF(G395&gt;0,H395/G395,""),"")</f>
        <v>1</v>
      </c>
      <c r="K395" s="77" t="s">
        <v>197</v>
      </c>
      <c r="L395" s="76" t="str">
        <f aca="false">IF(OR(G395="",H395=""),"Data tidak lengkap",IF(AND(G395=0,H395=0),IF(AND(F395="",K395=""),"Tidak dibuka","Tutup"),IF(H395&gt;G395,"Lebih kapasitas",IF(H395=G395,"Penuh",IF(H395=0,IF(F395="","Slot kosong","Belum terisi"),"Sebagian")))))</f>
        <v>Penuh</v>
      </c>
      <c r="M395" s="79" t="str">
        <f aca="false">IF(L395="Tidak dibuka","–",IF(F395="","(tanpa age group)",F395)&amp;"  "&amp;IF(H395="","?",H395)&amp;"/"&amp;IF(G395="","?",G395)&amp;CHAR(10)&amp;IF(K395="","coach: –","coach: "&amp;K395))</f>
        <v>Kids  4/4
coach: Rischa</v>
      </c>
    </row>
    <row r="396" customFormat="false" ht="22.35" hidden="false" customHeight="false" outlineLevel="0" collapsed="false">
      <c r="A396" s="76" t="str">
        <f aca="false">B396&amp;"|"&amp;C396&amp;"|"&amp;D396&amp;"|"&amp;E396</f>
        <v>KLM|5|Jumat|16:15</v>
      </c>
      <c r="B396" s="76" t="s">
        <v>61</v>
      </c>
      <c r="C396" s="76" t="n">
        <v>5</v>
      </c>
      <c r="D396" s="76" t="s">
        <v>94</v>
      </c>
      <c r="E396" s="76" t="s">
        <v>120</v>
      </c>
      <c r="F396" s="77" t="s">
        <v>210</v>
      </c>
      <c r="G396" s="77" t="n">
        <v>4</v>
      </c>
      <c r="H396" s="77" t="n">
        <v>4</v>
      </c>
      <c r="I396" s="76" t="n">
        <f aca="false">IF(AND(ISNUMBER(G396),ISNUMBER(H396)),MAX(G396-H396,0),"")</f>
        <v>0</v>
      </c>
      <c r="J396" s="78" t="n">
        <f aca="false">IF(AND(ISNUMBER(G396),ISNUMBER(H396)),IF(G396&gt;0,H396/G396,""),"")</f>
        <v>1</v>
      </c>
      <c r="K396" s="77" t="s">
        <v>201</v>
      </c>
      <c r="L396" s="76" t="str">
        <f aca="false">IF(OR(G396="",H396=""),"Data tidak lengkap",IF(AND(G396=0,H396=0),IF(AND(F396="",K396=""),"Tidak dibuka","Tutup"),IF(H396&gt;G396,"Lebih kapasitas",IF(H396=G396,"Penuh",IF(H396=0,IF(F396="","Slot kosong","Belum terisi"),"Sebagian")))))</f>
        <v>Penuh</v>
      </c>
      <c r="M396" s="79" t="str">
        <f aca="false">IF(L396="Tidak dibuka","–",IF(F396="","(tanpa age group)",F396)&amp;"  "&amp;IF(H396="","?",H396)&amp;"/"&amp;IF(G396="","?",G396)&amp;CHAR(10)&amp;IF(K396="","coach: –","coach: "&amp;K396))</f>
        <v>Kids  4/4
coach: Nuky</v>
      </c>
    </row>
    <row r="397" customFormat="false" ht="22.35" hidden="false" customHeight="false" outlineLevel="0" collapsed="false">
      <c r="A397" s="76" t="str">
        <f aca="false">B397&amp;"|"&amp;C397&amp;"|"&amp;D397&amp;"|"&amp;E397</f>
        <v>KLM|5|Jumat|17:00</v>
      </c>
      <c r="B397" s="76" t="s">
        <v>61</v>
      </c>
      <c r="C397" s="76" t="n">
        <v>5</v>
      </c>
      <c r="D397" s="76" t="s">
        <v>94</v>
      </c>
      <c r="E397" s="76" t="s">
        <v>121</v>
      </c>
      <c r="F397" s="77" t="s">
        <v>277</v>
      </c>
      <c r="G397" s="77" t="n">
        <v>4</v>
      </c>
      <c r="H397" s="77" t="n">
        <v>4</v>
      </c>
      <c r="I397" s="76" t="n">
        <f aca="false">IF(AND(ISNUMBER(G397),ISNUMBER(H397)),MAX(G397-H397,0),"")</f>
        <v>0</v>
      </c>
      <c r="J397" s="78" t="n">
        <f aca="false">IF(AND(ISNUMBER(G397),ISNUMBER(H397)),IF(G397&gt;0,H397/G397,""),"")</f>
        <v>1</v>
      </c>
      <c r="K397" s="77" t="s">
        <v>202</v>
      </c>
      <c r="L397" s="76" t="str">
        <f aca="false">IF(OR(G397="",H397=""),"Data tidak lengkap",IF(AND(G397=0,H397=0),IF(AND(F397="",K397=""),"Tidak dibuka","Tutup"),IF(H397&gt;G397,"Lebih kapasitas",IF(H397=G397,"Penuh",IF(H397=0,IF(F397="","Slot kosong","Belum terisi"),"Sebagian")))))</f>
        <v>Penuh</v>
      </c>
      <c r="M397" s="79" t="str">
        <f aca="false">IF(L397="Tidak dibuka","–",IF(F397="","(tanpa age group)",F397)&amp;"  "&amp;IF(H397="","?",H397)&amp;"/"&amp;IF(G397="","?",G397)&amp;CHAR(10)&amp;IF(K397="","coach: –","coach: "&amp;K397))</f>
        <v>Little  4/4
coach: Daffa</v>
      </c>
    </row>
    <row r="398" customFormat="false" ht="15" hidden="false" customHeight="false" outlineLevel="0" collapsed="false">
      <c r="A398" s="76" t="str">
        <f aca="false">B398&amp;"|"&amp;C398&amp;"|"&amp;D398&amp;"|"&amp;E398</f>
        <v>KLM|5|Sabtu|08:00</v>
      </c>
      <c r="B398" s="76" t="s">
        <v>61</v>
      </c>
      <c r="C398" s="76" t="n">
        <v>5</v>
      </c>
      <c r="D398" s="76" t="s">
        <v>95</v>
      </c>
      <c r="E398" s="76" t="s">
        <v>110</v>
      </c>
      <c r="F398" s="77"/>
      <c r="G398" s="77" t="n">
        <v>0</v>
      </c>
      <c r="H398" s="77" t="n">
        <v>0</v>
      </c>
      <c r="I398" s="76" t="n">
        <f aca="false">IF(AND(ISNUMBER(G398),ISNUMBER(H398)),MAX(G398-H398,0),"")</f>
        <v>0</v>
      </c>
      <c r="J398" s="78" t="str">
        <f aca="false">IF(AND(ISNUMBER(G398),ISNUMBER(H398)),IF(G398&gt;0,H398/G398,""),"")</f>
        <v/>
      </c>
      <c r="K398" s="77"/>
      <c r="L398" s="76" t="str">
        <f aca="false">IF(OR(G398="",H398=""),"Data tidak lengkap",IF(AND(G398=0,H398=0),IF(AND(F398="",K398=""),"Tidak dibuka","Tutup"),IF(H398&gt;G398,"Lebih kapasitas",IF(H398=G398,"Penuh",IF(H398=0,IF(F398="","Slot kosong","Belum terisi"),"Sebagian")))))</f>
        <v>Tidak dibuka</v>
      </c>
      <c r="M398" s="76" t="str">
        <f aca="false">IF(L398="Tidak dibuka","–",IF(F398="","(tanpa age group)",F398)&amp;"  "&amp;IF(H398="","?",H398)&amp;"/"&amp;IF(G398="","?",G398)&amp;CHAR(10)&amp;IF(K398="","coach: –","coach: "&amp;K398))</f>
        <v>–</v>
      </c>
    </row>
    <row r="399" customFormat="false" ht="22.35" hidden="false" customHeight="false" outlineLevel="0" collapsed="false">
      <c r="A399" s="76" t="str">
        <f aca="false">B399&amp;"|"&amp;C399&amp;"|"&amp;D399&amp;"|"&amp;E399</f>
        <v>KLM|5|Sabtu|08:45</v>
      </c>
      <c r="B399" s="76" t="s">
        <v>61</v>
      </c>
      <c r="C399" s="76" t="n">
        <v>5</v>
      </c>
      <c r="D399" s="76" t="s">
        <v>95</v>
      </c>
      <c r="E399" s="76" t="s">
        <v>111</v>
      </c>
      <c r="F399" s="77" t="s">
        <v>277</v>
      </c>
      <c r="G399" s="77" t="n">
        <v>4</v>
      </c>
      <c r="H399" s="77" t="n">
        <v>4</v>
      </c>
      <c r="I399" s="76" t="n">
        <f aca="false">IF(AND(ISNUMBER(G399),ISNUMBER(H399)),MAX(G399-H399,0),"")</f>
        <v>0</v>
      </c>
      <c r="J399" s="78" t="n">
        <f aca="false">IF(AND(ISNUMBER(G399),ISNUMBER(H399)),IF(G399&gt;0,H399/G399,""),"")</f>
        <v>1</v>
      </c>
      <c r="K399" s="77" t="s">
        <v>201</v>
      </c>
      <c r="L399" s="76" t="str">
        <f aca="false">IF(OR(G399="",H399=""),"Data tidak lengkap",IF(AND(G399=0,H399=0),IF(AND(F399="",K399=""),"Tidak dibuka","Tutup"),IF(H399&gt;G399,"Lebih kapasitas",IF(H399=G399,"Penuh",IF(H399=0,IF(F399="","Slot kosong","Belum terisi"),"Sebagian")))))</f>
        <v>Penuh</v>
      </c>
      <c r="M399" s="79" t="str">
        <f aca="false">IF(L399="Tidak dibuka","–",IF(F399="","(tanpa age group)",F399)&amp;"  "&amp;IF(H399="","?",H399)&amp;"/"&amp;IF(G399="","?",G399)&amp;CHAR(10)&amp;IF(K399="","coach: –","coach: "&amp;K399))</f>
        <v>Little  4/4
coach: Nuky</v>
      </c>
    </row>
    <row r="400" customFormat="false" ht="22.35" hidden="false" customHeight="false" outlineLevel="0" collapsed="false">
      <c r="A400" s="76" t="str">
        <f aca="false">B400&amp;"|"&amp;C400&amp;"|"&amp;D400&amp;"|"&amp;E400</f>
        <v>KLM|5|Sabtu|09:30</v>
      </c>
      <c r="B400" s="76" t="s">
        <v>61</v>
      </c>
      <c r="C400" s="76" t="n">
        <v>5</v>
      </c>
      <c r="D400" s="76" t="s">
        <v>95</v>
      </c>
      <c r="E400" s="76" t="s">
        <v>112</v>
      </c>
      <c r="F400" s="77" t="s">
        <v>277</v>
      </c>
      <c r="G400" s="77" t="n">
        <v>4</v>
      </c>
      <c r="H400" s="77" t="n">
        <v>4</v>
      </c>
      <c r="I400" s="76" t="n">
        <f aca="false">IF(AND(ISNUMBER(G400),ISNUMBER(H400)),MAX(G400-H400,0),"")</f>
        <v>0</v>
      </c>
      <c r="J400" s="78" t="n">
        <f aca="false">IF(AND(ISNUMBER(G400),ISNUMBER(H400)),IF(G400&gt;0,H400/G400,""),"")</f>
        <v>1</v>
      </c>
      <c r="K400" s="77" t="s">
        <v>44</v>
      </c>
      <c r="L400" s="76" t="str">
        <f aca="false">IF(OR(G400="",H400=""),"Data tidak lengkap",IF(AND(G400=0,H400=0),IF(AND(F400="",K400=""),"Tidak dibuka","Tutup"),IF(H400&gt;G400,"Lebih kapasitas",IF(H400=G400,"Penuh",IF(H400=0,IF(F400="","Slot kosong","Belum terisi"),"Sebagian")))))</f>
        <v>Penuh</v>
      </c>
      <c r="M400" s="79" t="str">
        <f aca="false">IF(L400="Tidak dibuka","–",IF(F400="","(tanpa age group)",F400)&amp;"  "&amp;IF(H400="","?",H400)&amp;"/"&amp;IF(G400="","?",G400)&amp;CHAR(10)&amp;IF(K400="","coach: –","coach: "&amp;K400))</f>
        <v>Little  4/4
coach: Danti</v>
      </c>
    </row>
    <row r="401" customFormat="false" ht="22.35" hidden="false" customHeight="false" outlineLevel="0" collapsed="false">
      <c r="A401" s="76" t="str">
        <f aca="false">B401&amp;"|"&amp;C401&amp;"|"&amp;D401&amp;"|"&amp;E401</f>
        <v>KLM|5|Sabtu|10:15</v>
      </c>
      <c r="B401" s="76" t="s">
        <v>61</v>
      </c>
      <c r="C401" s="76" t="n">
        <v>5</v>
      </c>
      <c r="D401" s="76" t="s">
        <v>95</v>
      </c>
      <c r="E401" s="76" t="s">
        <v>113</v>
      </c>
      <c r="F401" s="77" t="s">
        <v>210</v>
      </c>
      <c r="G401" s="77" t="n">
        <v>4</v>
      </c>
      <c r="H401" s="77" t="n">
        <v>4</v>
      </c>
      <c r="I401" s="76" t="n">
        <f aca="false">IF(AND(ISNUMBER(G401),ISNUMBER(H401)),MAX(G401-H401,0),"")</f>
        <v>0</v>
      </c>
      <c r="J401" s="78" t="n">
        <f aca="false">IF(AND(ISNUMBER(G401),ISNUMBER(H401)),IF(G401&gt;0,H401/G401,""),"")</f>
        <v>1</v>
      </c>
      <c r="K401" s="77" t="s">
        <v>201</v>
      </c>
      <c r="L401" s="76" t="str">
        <f aca="false">IF(OR(G401="",H401=""),"Data tidak lengkap",IF(AND(G401=0,H401=0),IF(AND(F401="",K401=""),"Tidak dibuka","Tutup"),IF(H401&gt;G401,"Lebih kapasitas",IF(H401=G401,"Penuh",IF(H401=0,IF(F401="","Slot kosong","Belum terisi"),"Sebagian")))))</f>
        <v>Penuh</v>
      </c>
      <c r="M401" s="79" t="str">
        <f aca="false">IF(L401="Tidak dibuka","–",IF(F401="","(tanpa age group)",F401)&amp;"  "&amp;IF(H401="","?",H401)&amp;"/"&amp;IF(G401="","?",G401)&amp;CHAR(10)&amp;IF(K401="","coach: –","coach: "&amp;K401))</f>
        <v>Kids  4/4
coach: Nuky</v>
      </c>
    </row>
    <row r="402" customFormat="false" ht="22.35" hidden="false" customHeight="false" outlineLevel="0" collapsed="false">
      <c r="A402" s="76" t="str">
        <f aca="false">B402&amp;"|"&amp;C402&amp;"|"&amp;D402&amp;"|"&amp;E402</f>
        <v>KLM|5|Sabtu|11:00</v>
      </c>
      <c r="B402" s="76" t="s">
        <v>61</v>
      </c>
      <c r="C402" s="76" t="n">
        <v>5</v>
      </c>
      <c r="D402" s="76" t="s">
        <v>95</v>
      </c>
      <c r="E402" s="76" t="s">
        <v>114</v>
      </c>
      <c r="F402" s="77" t="s">
        <v>210</v>
      </c>
      <c r="G402" s="77" t="n">
        <v>4</v>
      </c>
      <c r="H402" s="77" t="n">
        <v>4</v>
      </c>
      <c r="I402" s="76" t="n">
        <f aca="false">IF(AND(ISNUMBER(G402),ISNUMBER(H402)),MAX(G402-H402,0),"")</f>
        <v>0</v>
      </c>
      <c r="J402" s="78" t="n">
        <f aca="false">IF(AND(ISNUMBER(G402),ISNUMBER(H402)),IF(G402&gt;0,H402/G402,""),"")</f>
        <v>1</v>
      </c>
      <c r="K402" s="77" t="s">
        <v>197</v>
      </c>
      <c r="L402" s="76" t="str">
        <f aca="false">IF(OR(G402="",H402=""),"Data tidak lengkap",IF(AND(G402=0,H402=0),IF(AND(F402="",K402=""),"Tidak dibuka","Tutup"),IF(H402&gt;G402,"Lebih kapasitas",IF(H402=G402,"Penuh",IF(H402=0,IF(F402="","Slot kosong","Belum terisi"),"Sebagian")))))</f>
        <v>Penuh</v>
      </c>
      <c r="M402" s="79" t="str">
        <f aca="false">IF(L402="Tidak dibuka","–",IF(F402="","(tanpa age group)",F402)&amp;"  "&amp;IF(H402="","?",H402)&amp;"/"&amp;IF(G402="","?",G402)&amp;CHAR(10)&amp;IF(K402="","coach: –","coach: "&amp;K402))</f>
        <v>Kids  4/4
coach: Rischa</v>
      </c>
    </row>
    <row r="403" customFormat="false" ht="22.35" hidden="false" customHeight="false" outlineLevel="0" collapsed="false">
      <c r="A403" s="76" t="str">
        <f aca="false">B403&amp;"|"&amp;C403&amp;"|"&amp;D403&amp;"|"&amp;E403</f>
        <v>KLM|5|Sabtu|11:45</v>
      </c>
      <c r="B403" s="76" t="s">
        <v>61</v>
      </c>
      <c r="C403" s="76" t="n">
        <v>5</v>
      </c>
      <c r="D403" s="76" t="s">
        <v>95</v>
      </c>
      <c r="E403" s="76" t="s">
        <v>115</v>
      </c>
      <c r="F403" s="77" t="s">
        <v>210</v>
      </c>
      <c r="G403" s="77" t="n">
        <v>4</v>
      </c>
      <c r="H403" s="77" t="n">
        <v>4</v>
      </c>
      <c r="I403" s="76" t="n">
        <f aca="false">IF(AND(ISNUMBER(G403),ISNUMBER(H403)),MAX(G403-H403,0),"")</f>
        <v>0</v>
      </c>
      <c r="J403" s="78" t="n">
        <f aca="false">IF(AND(ISNUMBER(G403),ISNUMBER(H403)),IF(G403&gt;0,H403/G403,""),"")</f>
        <v>1</v>
      </c>
      <c r="K403" s="77" t="s">
        <v>201</v>
      </c>
      <c r="L403" s="76" t="str">
        <f aca="false">IF(OR(G403="",H403=""),"Data tidak lengkap",IF(AND(G403=0,H403=0),IF(AND(F403="",K403=""),"Tidak dibuka","Tutup"),IF(H403&gt;G403,"Lebih kapasitas",IF(H403=G403,"Penuh",IF(H403=0,IF(F403="","Slot kosong","Belum terisi"),"Sebagian")))))</f>
        <v>Penuh</v>
      </c>
      <c r="M403" s="79" t="str">
        <f aca="false">IF(L403="Tidak dibuka","–",IF(F403="","(tanpa age group)",F403)&amp;"  "&amp;IF(H403="","?",H403)&amp;"/"&amp;IF(G403="","?",G403)&amp;CHAR(10)&amp;IF(K403="","coach: –","coach: "&amp;K403))</f>
        <v>Kids  4/4
coach: Nuky</v>
      </c>
    </row>
    <row r="404" customFormat="false" ht="22.35" hidden="false" customHeight="false" outlineLevel="0" collapsed="false">
      <c r="A404" s="76" t="str">
        <f aca="false">B404&amp;"|"&amp;C404&amp;"|"&amp;D404&amp;"|"&amp;E404</f>
        <v>KLM|5|Sabtu|13:15</v>
      </c>
      <c r="B404" s="76" t="s">
        <v>61</v>
      </c>
      <c r="C404" s="76" t="n">
        <v>5</v>
      </c>
      <c r="D404" s="76" t="s">
        <v>95</v>
      </c>
      <c r="E404" s="76" t="s">
        <v>116</v>
      </c>
      <c r="F404" s="77" t="s">
        <v>277</v>
      </c>
      <c r="G404" s="77" t="n">
        <v>4</v>
      </c>
      <c r="H404" s="77" t="n">
        <v>3</v>
      </c>
      <c r="I404" s="76" t="n">
        <f aca="false">IF(AND(ISNUMBER(G404),ISNUMBER(H404)),MAX(G404-H404,0),"")</f>
        <v>1</v>
      </c>
      <c r="J404" s="78" t="n">
        <f aca="false">IF(AND(ISNUMBER(G404),ISNUMBER(H404)),IF(G404&gt;0,H404/G404,""),"")</f>
        <v>0.75</v>
      </c>
      <c r="K404" s="77" t="s">
        <v>195</v>
      </c>
      <c r="L404" s="76" t="str">
        <f aca="false">IF(OR(G404="",H404=""),"Data tidak lengkap",IF(AND(G404=0,H404=0),IF(AND(F404="",K404=""),"Tidak dibuka","Tutup"),IF(H404&gt;G404,"Lebih kapasitas",IF(H404=G404,"Penuh",IF(H404=0,IF(F404="","Slot kosong","Belum terisi"),"Sebagian")))))</f>
        <v>Sebagian</v>
      </c>
      <c r="M404" s="79" t="str">
        <f aca="false">IF(L404="Tidak dibuka","–",IF(F404="","(tanpa age group)",F404)&amp;"  "&amp;IF(H404="","?",H404)&amp;"/"&amp;IF(G404="","?",G404)&amp;CHAR(10)&amp;IF(K404="","coach: –","coach: "&amp;K404))</f>
        <v>Little  3/4
coach: Eka</v>
      </c>
    </row>
    <row r="405" customFormat="false" ht="22.35" hidden="false" customHeight="false" outlineLevel="0" collapsed="false">
      <c r="A405" s="76" t="str">
        <f aca="false">B405&amp;"|"&amp;C405&amp;"|"&amp;D405&amp;"|"&amp;E405</f>
        <v>KLM|5|Sabtu|14:00</v>
      </c>
      <c r="B405" s="76" t="s">
        <v>61</v>
      </c>
      <c r="C405" s="76" t="n">
        <v>5</v>
      </c>
      <c r="D405" s="76" t="s">
        <v>95</v>
      </c>
      <c r="E405" s="76" t="s">
        <v>117</v>
      </c>
      <c r="F405" s="77" t="s">
        <v>277</v>
      </c>
      <c r="G405" s="77" t="n">
        <v>4</v>
      </c>
      <c r="H405" s="77" t="n">
        <v>4</v>
      </c>
      <c r="I405" s="76" t="n">
        <f aca="false">IF(AND(ISNUMBER(G405),ISNUMBER(H405)),MAX(G405-H405,0),"")</f>
        <v>0</v>
      </c>
      <c r="J405" s="78" t="n">
        <f aca="false">IF(AND(ISNUMBER(G405),ISNUMBER(H405)),IF(G405&gt;0,H405/G405,""),"")</f>
        <v>1</v>
      </c>
      <c r="K405" s="77" t="s">
        <v>198</v>
      </c>
      <c r="L405" s="76" t="str">
        <f aca="false">IF(OR(G405="",H405=""),"Data tidak lengkap",IF(AND(G405=0,H405=0),IF(AND(F405="",K405=""),"Tidak dibuka","Tutup"),IF(H405&gt;G405,"Lebih kapasitas",IF(H405=G405,"Penuh",IF(H405=0,IF(F405="","Slot kosong","Belum terisi"),"Sebagian")))))</f>
        <v>Penuh</v>
      </c>
      <c r="M405" s="79" t="str">
        <f aca="false">IF(L405="Tidak dibuka","–",IF(F405="","(tanpa age group)",F405)&amp;"  "&amp;IF(H405="","?",H405)&amp;"/"&amp;IF(G405="","?",G405)&amp;CHAR(10)&amp;IF(K405="","coach: –","coach: "&amp;K405))</f>
        <v>Little  4/4
coach: Surya</v>
      </c>
    </row>
    <row r="406" customFormat="false" ht="22.35" hidden="false" customHeight="false" outlineLevel="0" collapsed="false">
      <c r="A406" s="76" t="str">
        <f aca="false">B406&amp;"|"&amp;C406&amp;"|"&amp;D406&amp;"|"&amp;E406</f>
        <v>KLM|5|Sabtu|14:45</v>
      </c>
      <c r="B406" s="76" t="s">
        <v>61</v>
      </c>
      <c r="C406" s="76" t="n">
        <v>5</v>
      </c>
      <c r="D406" s="76" t="s">
        <v>95</v>
      </c>
      <c r="E406" s="76" t="s">
        <v>118</v>
      </c>
      <c r="F406" s="77" t="s">
        <v>210</v>
      </c>
      <c r="G406" s="77" t="n">
        <v>4</v>
      </c>
      <c r="H406" s="77" t="n">
        <v>3</v>
      </c>
      <c r="I406" s="76" t="n">
        <f aca="false">IF(AND(ISNUMBER(G406),ISNUMBER(H406)),MAX(G406-H406,0),"")</f>
        <v>1</v>
      </c>
      <c r="J406" s="78" t="n">
        <f aca="false">IF(AND(ISNUMBER(G406),ISNUMBER(H406)),IF(G406&gt;0,H406/G406,""),"")</f>
        <v>0.75</v>
      </c>
      <c r="K406" s="77" t="s">
        <v>197</v>
      </c>
      <c r="L406" s="76" t="str">
        <f aca="false">IF(OR(G406="",H406=""),"Data tidak lengkap",IF(AND(G406=0,H406=0),IF(AND(F406="",K406=""),"Tidak dibuka","Tutup"),IF(H406&gt;G406,"Lebih kapasitas",IF(H406=G406,"Penuh",IF(H406=0,IF(F406="","Slot kosong","Belum terisi"),"Sebagian")))))</f>
        <v>Sebagian</v>
      </c>
      <c r="M406" s="79" t="str">
        <f aca="false">IF(L406="Tidak dibuka","–",IF(F406="","(tanpa age group)",F406)&amp;"  "&amp;IF(H406="","?",H406)&amp;"/"&amp;IF(G406="","?",G406)&amp;CHAR(10)&amp;IF(K406="","coach: –","coach: "&amp;K406))</f>
        <v>Kids  3/4
coach: Rischa</v>
      </c>
    </row>
    <row r="407" customFormat="false" ht="22.35" hidden="false" customHeight="false" outlineLevel="0" collapsed="false">
      <c r="A407" s="76" t="str">
        <f aca="false">B407&amp;"|"&amp;C407&amp;"|"&amp;D407&amp;"|"&amp;E407</f>
        <v>KLM|5|Sabtu|15:30</v>
      </c>
      <c r="B407" s="76" t="s">
        <v>61</v>
      </c>
      <c r="C407" s="76" t="n">
        <v>5</v>
      </c>
      <c r="D407" s="76" t="s">
        <v>95</v>
      </c>
      <c r="E407" s="76" t="s">
        <v>119</v>
      </c>
      <c r="F407" s="77" t="s">
        <v>210</v>
      </c>
      <c r="G407" s="77" t="n">
        <v>4</v>
      </c>
      <c r="H407" s="77" t="n">
        <v>4</v>
      </c>
      <c r="I407" s="76" t="n">
        <f aca="false">IF(AND(ISNUMBER(G407),ISNUMBER(H407)),MAX(G407-H407,0),"")</f>
        <v>0</v>
      </c>
      <c r="J407" s="78" t="n">
        <f aca="false">IF(AND(ISNUMBER(G407),ISNUMBER(H407)),IF(G407&gt;0,H407/G407,""),"")</f>
        <v>1</v>
      </c>
      <c r="K407" s="77" t="s">
        <v>44</v>
      </c>
      <c r="L407" s="76" t="str">
        <f aca="false">IF(OR(G407="",H407=""),"Data tidak lengkap",IF(AND(G407=0,H407=0),IF(AND(F407="",K407=""),"Tidak dibuka","Tutup"),IF(H407&gt;G407,"Lebih kapasitas",IF(H407=G407,"Penuh",IF(H407=0,IF(F407="","Slot kosong","Belum terisi"),"Sebagian")))))</f>
        <v>Penuh</v>
      </c>
      <c r="M407" s="79" t="str">
        <f aca="false">IF(L407="Tidak dibuka","–",IF(F407="","(tanpa age group)",F407)&amp;"  "&amp;IF(H407="","?",H407)&amp;"/"&amp;IF(G407="","?",G407)&amp;CHAR(10)&amp;IF(K407="","coach: –","coach: "&amp;K407))</f>
        <v>Kids  4/4
coach: Danti</v>
      </c>
    </row>
    <row r="408" customFormat="false" ht="22.35" hidden="false" customHeight="false" outlineLevel="0" collapsed="false">
      <c r="A408" s="76" t="str">
        <f aca="false">B408&amp;"|"&amp;C408&amp;"|"&amp;D408&amp;"|"&amp;E408</f>
        <v>KLM|5|Sabtu|16:15</v>
      </c>
      <c r="B408" s="76" t="s">
        <v>61</v>
      </c>
      <c r="C408" s="76" t="n">
        <v>5</v>
      </c>
      <c r="D408" s="76" t="s">
        <v>95</v>
      </c>
      <c r="E408" s="76" t="s">
        <v>120</v>
      </c>
      <c r="F408" s="77" t="s">
        <v>210</v>
      </c>
      <c r="G408" s="77" t="n">
        <v>4</v>
      </c>
      <c r="H408" s="77" t="n">
        <v>4</v>
      </c>
      <c r="I408" s="76" t="n">
        <f aca="false">IF(AND(ISNUMBER(G408),ISNUMBER(H408)),MAX(G408-H408,0),"")</f>
        <v>0</v>
      </c>
      <c r="J408" s="78" t="n">
        <f aca="false">IF(AND(ISNUMBER(G408),ISNUMBER(H408)),IF(G408&gt;0,H408/G408,""),"")</f>
        <v>1</v>
      </c>
      <c r="K408" s="77" t="s">
        <v>195</v>
      </c>
      <c r="L408" s="76" t="str">
        <f aca="false">IF(OR(G408="",H408=""),"Data tidak lengkap",IF(AND(G408=0,H408=0),IF(AND(F408="",K408=""),"Tidak dibuka","Tutup"),IF(H408&gt;G408,"Lebih kapasitas",IF(H408=G408,"Penuh",IF(H408=0,IF(F408="","Slot kosong","Belum terisi"),"Sebagian")))))</f>
        <v>Penuh</v>
      </c>
      <c r="M408" s="79" t="str">
        <f aca="false">IF(L408="Tidak dibuka","–",IF(F408="","(tanpa age group)",F408)&amp;"  "&amp;IF(H408="","?",H408)&amp;"/"&amp;IF(G408="","?",G408)&amp;CHAR(10)&amp;IF(K408="","coach: –","coach: "&amp;K408))</f>
        <v>Kids  4/4
coach: Eka</v>
      </c>
    </row>
    <row r="409" customFormat="false" ht="22.35" hidden="false" customHeight="false" outlineLevel="0" collapsed="false">
      <c r="A409" s="76" t="str">
        <f aca="false">B409&amp;"|"&amp;C409&amp;"|"&amp;D409&amp;"|"&amp;E409</f>
        <v>KLM|5|Sabtu|17:00</v>
      </c>
      <c r="B409" s="76" t="s">
        <v>61</v>
      </c>
      <c r="C409" s="76" t="n">
        <v>5</v>
      </c>
      <c r="D409" s="76" t="s">
        <v>95</v>
      </c>
      <c r="E409" s="76" t="s">
        <v>121</v>
      </c>
      <c r="F409" s="77" t="s">
        <v>277</v>
      </c>
      <c r="G409" s="77" t="n">
        <v>4</v>
      </c>
      <c r="H409" s="77" t="n">
        <v>3</v>
      </c>
      <c r="I409" s="76" t="n">
        <f aca="false">IF(AND(ISNUMBER(G409),ISNUMBER(H409)),MAX(G409-H409,0),"")</f>
        <v>1</v>
      </c>
      <c r="J409" s="78" t="n">
        <f aca="false">IF(AND(ISNUMBER(G409),ISNUMBER(H409)),IF(G409&gt;0,H409/G409,""),"")</f>
        <v>0.75</v>
      </c>
      <c r="K409" s="77" t="s">
        <v>198</v>
      </c>
      <c r="L409" s="76" t="str">
        <f aca="false">IF(OR(G409="",H409=""),"Data tidak lengkap",IF(AND(G409=0,H409=0),IF(AND(F409="",K409=""),"Tidak dibuka","Tutup"),IF(H409&gt;G409,"Lebih kapasitas",IF(H409=G409,"Penuh",IF(H409=0,IF(F409="","Slot kosong","Belum terisi"),"Sebagian")))))</f>
        <v>Sebagian</v>
      </c>
      <c r="M409" s="79" t="str">
        <f aca="false">IF(L409="Tidak dibuka","–",IF(F409="","(tanpa age group)",F409)&amp;"  "&amp;IF(H409="","?",H409)&amp;"/"&amp;IF(G409="","?",G409)&amp;CHAR(10)&amp;IF(K409="","coach: –","coach: "&amp;K409))</f>
        <v>Little  3/4
coach: Surya</v>
      </c>
    </row>
    <row r="410" customFormat="false" ht="15" hidden="false" customHeight="false" outlineLevel="0" collapsed="false">
      <c r="A410" s="76" t="str">
        <f aca="false">B410&amp;"|"&amp;C410&amp;"|"&amp;D410&amp;"|"&amp;E410</f>
        <v>KLM|5|Minggu|08:00</v>
      </c>
      <c r="B410" s="76" t="s">
        <v>61</v>
      </c>
      <c r="C410" s="76" t="n">
        <v>5</v>
      </c>
      <c r="D410" s="76" t="s">
        <v>78</v>
      </c>
      <c r="E410" s="76" t="s">
        <v>110</v>
      </c>
      <c r="F410" s="77"/>
      <c r="G410" s="77" t="n">
        <v>0</v>
      </c>
      <c r="H410" s="77" t="n">
        <v>0</v>
      </c>
      <c r="I410" s="76" t="n">
        <f aca="false">IF(AND(ISNUMBER(G410),ISNUMBER(H410)),MAX(G410-H410,0),"")</f>
        <v>0</v>
      </c>
      <c r="J410" s="78" t="str">
        <f aca="false">IF(AND(ISNUMBER(G410),ISNUMBER(H410)),IF(G410&gt;0,H410/G410,""),"")</f>
        <v/>
      </c>
      <c r="K410" s="77"/>
      <c r="L410" s="76" t="str">
        <f aca="false">IF(OR(G410="",H410=""),"Data tidak lengkap",IF(AND(G410=0,H410=0),IF(AND(F410="",K410=""),"Tidak dibuka","Tutup"),IF(H410&gt;G410,"Lebih kapasitas",IF(H410=G410,"Penuh",IF(H410=0,IF(F410="","Slot kosong","Belum terisi"),"Sebagian")))))</f>
        <v>Tidak dibuka</v>
      </c>
      <c r="M410" s="76" t="str">
        <f aca="false">IF(L410="Tidak dibuka","–",IF(F410="","(tanpa age group)",F410)&amp;"  "&amp;IF(H410="","?",H410)&amp;"/"&amp;IF(G410="","?",G410)&amp;CHAR(10)&amp;IF(K410="","coach: –","coach: "&amp;K410))</f>
        <v>–</v>
      </c>
    </row>
    <row r="411" customFormat="false" ht="22.35" hidden="false" customHeight="false" outlineLevel="0" collapsed="false">
      <c r="A411" s="76" t="str">
        <f aca="false">B411&amp;"|"&amp;C411&amp;"|"&amp;D411&amp;"|"&amp;E411</f>
        <v>KLM|5|Minggu|08:45</v>
      </c>
      <c r="B411" s="76" t="s">
        <v>61</v>
      </c>
      <c r="C411" s="76" t="n">
        <v>5</v>
      </c>
      <c r="D411" s="76" t="s">
        <v>78</v>
      </c>
      <c r="E411" s="76" t="s">
        <v>111</v>
      </c>
      <c r="F411" s="77" t="s">
        <v>277</v>
      </c>
      <c r="G411" s="77" t="n">
        <v>4</v>
      </c>
      <c r="H411" s="77" t="n">
        <v>4</v>
      </c>
      <c r="I411" s="76" t="n">
        <f aca="false">IF(AND(ISNUMBER(G411),ISNUMBER(H411)),MAX(G411-H411,0),"")</f>
        <v>0</v>
      </c>
      <c r="J411" s="78" t="n">
        <f aca="false">IF(AND(ISNUMBER(G411),ISNUMBER(H411)),IF(G411&gt;0,H411/G411,""),"")</f>
        <v>1</v>
      </c>
      <c r="K411" s="77" t="s">
        <v>202</v>
      </c>
      <c r="L411" s="76" t="str">
        <f aca="false">IF(OR(G411="",H411=""),"Data tidak lengkap",IF(AND(G411=0,H411=0),IF(AND(F411="",K411=""),"Tidak dibuka","Tutup"),IF(H411&gt;G411,"Lebih kapasitas",IF(H411=G411,"Penuh",IF(H411=0,IF(F411="","Slot kosong","Belum terisi"),"Sebagian")))))</f>
        <v>Penuh</v>
      </c>
      <c r="M411" s="79" t="str">
        <f aca="false">IF(L411="Tidak dibuka","–",IF(F411="","(tanpa age group)",F411)&amp;"  "&amp;IF(H411="","?",H411)&amp;"/"&amp;IF(G411="","?",G411)&amp;CHAR(10)&amp;IF(K411="","coach: –","coach: "&amp;K411))</f>
        <v>Little  4/4
coach: Daffa</v>
      </c>
    </row>
    <row r="412" customFormat="false" ht="22.35" hidden="false" customHeight="false" outlineLevel="0" collapsed="false">
      <c r="A412" s="76" t="str">
        <f aca="false">B412&amp;"|"&amp;C412&amp;"|"&amp;D412&amp;"|"&amp;E412</f>
        <v>KLM|5|Minggu|09:30</v>
      </c>
      <c r="B412" s="76" t="s">
        <v>61</v>
      </c>
      <c r="C412" s="76" t="n">
        <v>5</v>
      </c>
      <c r="D412" s="76" t="s">
        <v>78</v>
      </c>
      <c r="E412" s="76" t="s">
        <v>112</v>
      </c>
      <c r="F412" s="77" t="s">
        <v>277</v>
      </c>
      <c r="G412" s="77" t="n">
        <v>4</v>
      </c>
      <c r="H412" s="77" t="n">
        <v>4</v>
      </c>
      <c r="I412" s="76" t="n">
        <f aca="false">IF(AND(ISNUMBER(G412),ISNUMBER(H412)),MAX(G412-H412,0),"")</f>
        <v>0</v>
      </c>
      <c r="J412" s="78" t="n">
        <f aca="false">IF(AND(ISNUMBER(G412),ISNUMBER(H412)),IF(G412&gt;0,H412/G412,""),"")</f>
        <v>1</v>
      </c>
      <c r="K412" s="77" t="s">
        <v>44</v>
      </c>
      <c r="L412" s="76" t="str">
        <f aca="false">IF(OR(G412="",H412=""),"Data tidak lengkap",IF(AND(G412=0,H412=0),IF(AND(F412="",K412=""),"Tidak dibuka","Tutup"),IF(H412&gt;G412,"Lebih kapasitas",IF(H412=G412,"Penuh",IF(H412=0,IF(F412="","Slot kosong","Belum terisi"),"Sebagian")))))</f>
        <v>Penuh</v>
      </c>
      <c r="M412" s="79" t="str">
        <f aca="false">IF(L412="Tidak dibuka","–",IF(F412="","(tanpa age group)",F412)&amp;"  "&amp;IF(H412="","?",H412)&amp;"/"&amp;IF(G412="","?",G412)&amp;CHAR(10)&amp;IF(K412="","coach: –","coach: "&amp;K412))</f>
        <v>Little  4/4
coach: Danti</v>
      </c>
    </row>
    <row r="413" customFormat="false" ht="22.35" hidden="false" customHeight="false" outlineLevel="0" collapsed="false">
      <c r="A413" s="76" t="str">
        <f aca="false">B413&amp;"|"&amp;C413&amp;"|"&amp;D413&amp;"|"&amp;E413</f>
        <v>KLM|5|Minggu|10:15</v>
      </c>
      <c r="B413" s="76" t="s">
        <v>61</v>
      </c>
      <c r="C413" s="76" t="n">
        <v>5</v>
      </c>
      <c r="D413" s="76" t="s">
        <v>78</v>
      </c>
      <c r="E413" s="76" t="s">
        <v>113</v>
      </c>
      <c r="F413" s="77" t="s">
        <v>210</v>
      </c>
      <c r="G413" s="77" t="n">
        <v>4</v>
      </c>
      <c r="H413" s="77" t="n">
        <v>4</v>
      </c>
      <c r="I413" s="76" t="n">
        <f aca="false">IF(AND(ISNUMBER(G413),ISNUMBER(H413)),MAX(G413-H413,0),"")</f>
        <v>0</v>
      </c>
      <c r="J413" s="78" t="n">
        <f aca="false">IF(AND(ISNUMBER(G413),ISNUMBER(H413)),IF(G413&gt;0,H413/G413,""),"")</f>
        <v>1</v>
      </c>
      <c r="K413" s="77" t="s">
        <v>197</v>
      </c>
      <c r="L413" s="76" t="str">
        <f aca="false">IF(OR(G413="",H413=""),"Data tidak lengkap",IF(AND(G413=0,H413=0),IF(AND(F413="",K413=""),"Tidak dibuka","Tutup"),IF(H413&gt;G413,"Lebih kapasitas",IF(H413=G413,"Penuh",IF(H413=0,IF(F413="","Slot kosong","Belum terisi"),"Sebagian")))))</f>
        <v>Penuh</v>
      </c>
      <c r="M413" s="79" t="str">
        <f aca="false">IF(L413="Tidak dibuka","–",IF(F413="","(tanpa age group)",F413)&amp;"  "&amp;IF(H413="","?",H413)&amp;"/"&amp;IF(G413="","?",G413)&amp;CHAR(10)&amp;IF(K413="","coach: –","coach: "&amp;K413))</f>
        <v>Kids  4/4
coach: Rischa</v>
      </c>
    </row>
    <row r="414" customFormat="false" ht="22.35" hidden="false" customHeight="false" outlineLevel="0" collapsed="false">
      <c r="A414" s="76" t="str">
        <f aca="false">B414&amp;"|"&amp;C414&amp;"|"&amp;D414&amp;"|"&amp;E414</f>
        <v>KLM|5|Minggu|11:00</v>
      </c>
      <c r="B414" s="76" t="s">
        <v>61</v>
      </c>
      <c r="C414" s="76" t="n">
        <v>5</v>
      </c>
      <c r="D414" s="76" t="s">
        <v>78</v>
      </c>
      <c r="E414" s="76" t="s">
        <v>114</v>
      </c>
      <c r="F414" s="77" t="s">
        <v>277</v>
      </c>
      <c r="G414" s="77" t="n">
        <v>4</v>
      </c>
      <c r="H414" s="77" t="n">
        <v>3</v>
      </c>
      <c r="I414" s="76" t="n">
        <f aca="false">IF(AND(ISNUMBER(G414),ISNUMBER(H414)),MAX(G414-H414,0),"")</f>
        <v>1</v>
      </c>
      <c r="J414" s="78" t="n">
        <f aca="false">IF(AND(ISNUMBER(G414),ISNUMBER(H414)),IF(G414&gt;0,H414/G414,""),"")</f>
        <v>0.75</v>
      </c>
      <c r="K414" s="77" t="s">
        <v>204</v>
      </c>
      <c r="L414" s="76" t="str">
        <f aca="false">IF(OR(G414="",H414=""),"Data tidak lengkap",IF(AND(G414=0,H414=0),IF(AND(F414="",K414=""),"Tidak dibuka","Tutup"),IF(H414&gt;G414,"Lebih kapasitas",IF(H414=G414,"Penuh",IF(H414=0,IF(F414="","Slot kosong","Belum terisi"),"Sebagian")))))</f>
        <v>Sebagian</v>
      </c>
      <c r="M414" s="79" t="str">
        <f aca="false">IF(L414="Tidak dibuka","–",IF(F414="","(tanpa age group)",F414)&amp;"  "&amp;IF(H414="","?",H414)&amp;"/"&amp;IF(G414="","?",G414)&amp;CHAR(10)&amp;IF(K414="","coach: –","coach: "&amp;K414))</f>
        <v>Little  3/4
coach: Dian</v>
      </c>
    </row>
    <row r="415" customFormat="false" ht="22.35" hidden="false" customHeight="false" outlineLevel="0" collapsed="false">
      <c r="A415" s="76" t="str">
        <f aca="false">B415&amp;"|"&amp;C415&amp;"|"&amp;D415&amp;"|"&amp;E415</f>
        <v>KLM|5|Minggu|11:45</v>
      </c>
      <c r="B415" s="76" t="s">
        <v>61</v>
      </c>
      <c r="C415" s="76" t="n">
        <v>5</v>
      </c>
      <c r="D415" s="76" t="s">
        <v>78</v>
      </c>
      <c r="E415" s="76" t="s">
        <v>115</v>
      </c>
      <c r="F415" s="77"/>
      <c r="G415" s="77" t="n">
        <v>4</v>
      </c>
      <c r="H415" s="77" t="n">
        <v>0</v>
      </c>
      <c r="I415" s="76" t="n">
        <f aca="false">IF(AND(ISNUMBER(G415),ISNUMBER(H415)),MAX(G415-H415,0),"")</f>
        <v>4</v>
      </c>
      <c r="J415" s="78" t="n">
        <f aca="false">IF(AND(ISNUMBER(G415),ISNUMBER(H415)),IF(G415&gt;0,H415/G415,""),"")</f>
        <v>0</v>
      </c>
      <c r="K415" s="77"/>
      <c r="L415" s="76" t="str">
        <f aca="false">IF(OR(G415="",H415=""),"Data tidak lengkap",IF(AND(G415=0,H415=0),IF(AND(F415="",K415=""),"Tidak dibuka","Tutup"),IF(H415&gt;G415,"Lebih kapasitas",IF(H415=G415,"Penuh",IF(H415=0,IF(F415="","Slot kosong","Belum terisi"),"Sebagian")))))</f>
        <v>Slot kosong</v>
      </c>
      <c r="M415" s="79" t="str">
        <f aca="false">IF(L415="Tidak dibuka","–",IF(F415="","(tanpa age group)",F415)&amp;"  "&amp;IF(H415="","?",H415)&amp;"/"&amp;IF(G415="","?",G415)&amp;CHAR(10)&amp;IF(K415="","coach: –","coach: "&amp;K415))</f>
        <v>(tanpa age group)  0/4
coach: –</v>
      </c>
    </row>
    <row r="416" customFormat="false" ht="22.35" hidden="false" customHeight="false" outlineLevel="0" collapsed="false">
      <c r="A416" s="76" t="str">
        <f aca="false">B416&amp;"|"&amp;C416&amp;"|"&amp;D416&amp;"|"&amp;E416</f>
        <v>KLM|5|Minggu|13:15</v>
      </c>
      <c r="B416" s="76" t="s">
        <v>61</v>
      </c>
      <c r="C416" s="76" t="n">
        <v>5</v>
      </c>
      <c r="D416" s="76" t="s">
        <v>78</v>
      </c>
      <c r="E416" s="76" t="s">
        <v>116</v>
      </c>
      <c r="F416" s="77" t="s">
        <v>210</v>
      </c>
      <c r="G416" s="77" t="n">
        <v>4</v>
      </c>
      <c r="H416" s="77" t="n">
        <v>4</v>
      </c>
      <c r="I416" s="76" t="n">
        <f aca="false">IF(AND(ISNUMBER(G416),ISNUMBER(H416)),MAX(G416-H416,0),"")</f>
        <v>0</v>
      </c>
      <c r="J416" s="78" t="n">
        <f aca="false">IF(AND(ISNUMBER(G416),ISNUMBER(H416)),IF(G416&gt;0,H416/G416,""),"")</f>
        <v>1</v>
      </c>
      <c r="K416" s="77" t="s">
        <v>44</v>
      </c>
      <c r="L416" s="76" t="str">
        <f aca="false">IF(OR(G416="",H416=""),"Data tidak lengkap",IF(AND(G416=0,H416=0),IF(AND(F416="",K416=""),"Tidak dibuka","Tutup"),IF(H416&gt;G416,"Lebih kapasitas",IF(H416=G416,"Penuh",IF(H416=0,IF(F416="","Slot kosong","Belum terisi"),"Sebagian")))))</f>
        <v>Penuh</v>
      </c>
      <c r="M416" s="79" t="str">
        <f aca="false">IF(L416="Tidak dibuka","–",IF(F416="","(tanpa age group)",F416)&amp;"  "&amp;IF(H416="","?",H416)&amp;"/"&amp;IF(G416="","?",G416)&amp;CHAR(10)&amp;IF(K416="","coach: –","coach: "&amp;K416))</f>
        <v>Kids  4/4
coach: Danti</v>
      </c>
    </row>
    <row r="417" customFormat="false" ht="22.35" hidden="false" customHeight="false" outlineLevel="0" collapsed="false">
      <c r="A417" s="76" t="str">
        <f aca="false">B417&amp;"|"&amp;C417&amp;"|"&amp;D417&amp;"|"&amp;E417</f>
        <v>KLM|5|Minggu|14:00</v>
      </c>
      <c r="B417" s="76" t="s">
        <v>61</v>
      </c>
      <c r="C417" s="76" t="n">
        <v>5</v>
      </c>
      <c r="D417" s="76" t="s">
        <v>78</v>
      </c>
      <c r="E417" s="76" t="s">
        <v>117</v>
      </c>
      <c r="F417" s="77" t="s">
        <v>210</v>
      </c>
      <c r="G417" s="77" t="n">
        <v>4</v>
      </c>
      <c r="H417" s="77" t="n">
        <v>4</v>
      </c>
      <c r="I417" s="76" t="n">
        <f aca="false">IF(AND(ISNUMBER(G417),ISNUMBER(H417)),MAX(G417-H417,0),"")</f>
        <v>0</v>
      </c>
      <c r="J417" s="78" t="n">
        <f aca="false">IF(AND(ISNUMBER(G417),ISNUMBER(H417)),IF(G417&gt;0,H417/G417,""),"")</f>
        <v>1</v>
      </c>
      <c r="K417" s="77" t="s">
        <v>201</v>
      </c>
      <c r="L417" s="76" t="str">
        <f aca="false">IF(OR(G417="",H417=""),"Data tidak lengkap",IF(AND(G417=0,H417=0),IF(AND(F417="",K417=""),"Tidak dibuka","Tutup"),IF(H417&gt;G417,"Lebih kapasitas",IF(H417=G417,"Penuh",IF(H417=0,IF(F417="","Slot kosong","Belum terisi"),"Sebagian")))))</f>
        <v>Penuh</v>
      </c>
      <c r="M417" s="79" t="str">
        <f aca="false">IF(L417="Tidak dibuka","–",IF(F417="","(tanpa age group)",F417)&amp;"  "&amp;IF(H417="","?",H417)&amp;"/"&amp;IF(G417="","?",G417)&amp;CHAR(10)&amp;IF(K417="","coach: –","coach: "&amp;K417))</f>
        <v>Kids  4/4
coach: Nuky</v>
      </c>
    </row>
    <row r="418" customFormat="false" ht="22.35" hidden="false" customHeight="false" outlineLevel="0" collapsed="false">
      <c r="A418" s="76" t="str">
        <f aca="false">B418&amp;"|"&amp;C418&amp;"|"&amp;D418&amp;"|"&amp;E418</f>
        <v>KLM|5|Minggu|14:45</v>
      </c>
      <c r="B418" s="76" t="s">
        <v>61</v>
      </c>
      <c r="C418" s="76" t="n">
        <v>5</v>
      </c>
      <c r="D418" s="76" t="s">
        <v>78</v>
      </c>
      <c r="E418" s="76" t="s">
        <v>118</v>
      </c>
      <c r="F418" s="77" t="s">
        <v>277</v>
      </c>
      <c r="G418" s="77" t="n">
        <v>4</v>
      </c>
      <c r="H418" s="77" t="n">
        <v>4</v>
      </c>
      <c r="I418" s="76" t="n">
        <f aca="false">IF(AND(ISNUMBER(G418),ISNUMBER(H418)),MAX(G418-H418,0),"")</f>
        <v>0</v>
      </c>
      <c r="J418" s="78" t="n">
        <f aca="false">IF(AND(ISNUMBER(G418),ISNUMBER(H418)),IF(G418&gt;0,H418/G418,""),"")</f>
        <v>1</v>
      </c>
      <c r="K418" s="77" t="s">
        <v>202</v>
      </c>
      <c r="L418" s="76" t="str">
        <f aca="false">IF(OR(G418="",H418=""),"Data tidak lengkap",IF(AND(G418=0,H418=0),IF(AND(F418="",K418=""),"Tidak dibuka","Tutup"),IF(H418&gt;G418,"Lebih kapasitas",IF(H418=G418,"Penuh",IF(H418=0,IF(F418="","Slot kosong","Belum terisi"),"Sebagian")))))</f>
        <v>Penuh</v>
      </c>
      <c r="M418" s="79" t="str">
        <f aca="false">IF(L418="Tidak dibuka","–",IF(F418="","(tanpa age group)",F418)&amp;"  "&amp;IF(H418="","?",H418)&amp;"/"&amp;IF(G418="","?",G418)&amp;CHAR(10)&amp;IF(K418="","coach: –","coach: "&amp;K418))</f>
        <v>Little  4/4
coach: Daffa</v>
      </c>
    </row>
    <row r="419" customFormat="false" ht="22.35" hidden="false" customHeight="false" outlineLevel="0" collapsed="false">
      <c r="A419" s="76" t="str">
        <f aca="false">B419&amp;"|"&amp;C419&amp;"|"&amp;D419&amp;"|"&amp;E419</f>
        <v>KLM|5|Minggu|15:30</v>
      </c>
      <c r="B419" s="76" t="s">
        <v>61</v>
      </c>
      <c r="C419" s="76" t="n">
        <v>5</v>
      </c>
      <c r="D419" s="76" t="s">
        <v>78</v>
      </c>
      <c r="E419" s="76" t="s">
        <v>119</v>
      </c>
      <c r="F419" s="77" t="s">
        <v>210</v>
      </c>
      <c r="G419" s="77" t="n">
        <v>4</v>
      </c>
      <c r="H419" s="77" t="n">
        <v>4</v>
      </c>
      <c r="I419" s="76" t="n">
        <f aca="false">IF(AND(ISNUMBER(G419),ISNUMBER(H419)),MAX(G419-H419,0),"")</f>
        <v>0</v>
      </c>
      <c r="J419" s="78" t="n">
        <f aca="false">IF(AND(ISNUMBER(G419),ISNUMBER(H419)),IF(G419&gt;0,H419/G419,""),"")</f>
        <v>1</v>
      </c>
      <c r="K419" s="77" t="s">
        <v>195</v>
      </c>
      <c r="L419" s="76" t="str">
        <f aca="false">IF(OR(G419="",H419=""),"Data tidak lengkap",IF(AND(G419=0,H419=0),IF(AND(F419="",K419=""),"Tidak dibuka","Tutup"),IF(H419&gt;G419,"Lebih kapasitas",IF(H419=G419,"Penuh",IF(H419=0,IF(F419="","Slot kosong","Belum terisi"),"Sebagian")))))</f>
        <v>Penuh</v>
      </c>
      <c r="M419" s="79" t="str">
        <f aca="false">IF(L419="Tidak dibuka","–",IF(F419="","(tanpa age group)",F419)&amp;"  "&amp;IF(H419="","?",H419)&amp;"/"&amp;IF(G419="","?",G419)&amp;CHAR(10)&amp;IF(K419="","coach: –","coach: "&amp;K419))</f>
        <v>Kids  4/4
coach: Eka</v>
      </c>
    </row>
    <row r="420" customFormat="false" ht="22.35" hidden="false" customHeight="false" outlineLevel="0" collapsed="false">
      <c r="A420" s="76" t="str">
        <f aca="false">B420&amp;"|"&amp;C420&amp;"|"&amp;D420&amp;"|"&amp;E420</f>
        <v>KLM|5|Minggu|16:15</v>
      </c>
      <c r="B420" s="76" t="s">
        <v>61</v>
      </c>
      <c r="C420" s="76" t="n">
        <v>5</v>
      </c>
      <c r="D420" s="76" t="s">
        <v>78</v>
      </c>
      <c r="E420" s="76" t="s">
        <v>120</v>
      </c>
      <c r="F420" s="77" t="s">
        <v>210</v>
      </c>
      <c r="G420" s="77" t="n">
        <v>4</v>
      </c>
      <c r="H420" s="77" t="n">
        <v>4</v>
      </c>
      <c r="I420" s="76" t="n">
        <f aca="false">IF(AND(ISNUMBER(G420),ISNUMBER(H420)),MAX(G420-H420,0),"")</f>
        <v>0</v>
      </c>
      <c r="J420" s="78" t="n">
        <f aca="false">IF(AND(ISNUMBER(G420),ISNUMBER(H420)),IF(G420&gt;0,H420/G420,""),"")</f>
        <v>1</v>
      </c>
      <c r="K420" s="77" t="s">
        <v>198</v>
      </c>
      <c r="L420" s="76" t="str">
        <f aca="false">IF(OR(G420="",H420=""),"Data tidak lengkap",IF(AND(G420=0,H420=0),IF(AND(F420="",K420=""),"Tidak dibuka","Tutup"),IF(H420&gt;G420,"Lebih kapasitas",IF(H420=G420,"Penuh",IF(H420=0,IF(F420="","Slot kosong","Belum terisi"),"Sebagian")))))</f>
        <v>Penuh</v>
      </c>
      <c r="M420" s="79" t="str">
        <f aca="false">IF(L420="Tidak dibuka","–",IF(F420="","(tanpa age group)",F420)&amp;"  "&amp;IF(H420="","?",H420)&amp;"/"&amp;IF(G420="","?",G420)&amp;CHAR(10)&amp;IF(K420="","coach: –","coach: "&amp;K420))</f>
        <v>Kids  4/4
coach: Surya</v>
      </c>
    </row>
    <row r="421" customFormat="false" ht="22.35" hidden="false" customHeight="false" outlineLevel="0" collapsed="false">
      <c r="A421" s="76" t="str">
        <f aca="false">B421&amp;"|"&amp;C421&amp;"|"&amp;D421&amp;"|"&amp;E421</f>
        <v>KLM|5|Minggu|17:00</v>
      </c>
      <c r="B421" s="76" t="s">
        <v>61</v>
      </c>
      <c r="C421" s="76" t="n">
        <v>5</v>
      </c>
      <c r="D421" s="76" t="s">
        <v>78</v>
      </c>
      <c r="E421" s="76" t="s">
        <v>121</v>
      </c>
      <c r="F421" s="77"/>
      <c r="G421" s="77" t="n">
        <v>4</v>
      </c>
      <c r="H421" s="77" t="n">
        <v>0</v>
      </c>
      <c r="I421" s="76" t="n">
        <f aca="false">IF(AND(ISNUMBER(G421),ISNUMBER(H421)),MAX(G421-H421,0),"")</f>
        <v>4</v>
      </c>
      <c r="J421" s="78" t="n">
        <f aca="false">IF(AND(ISNUMBER(G421),ISNUMBER(H421)),IF(G421&gt;0,H421/G421,""),"")</f>
        <v>0</v>
      </c>
      <c r="K421" s="77"/>
      <c r="L421" s="76" t="str">
        <f aca="false">IF(OR(G421="",H421=""),"Data tidak lengkap",IF(AND(G421=0,H421=0),IF(AND(F421="",K421=""),"Tidak dibuka","Tutup"),IF(H421&gt;G421,"Lebih kapasitas",IF(H421=G421,"Penuh",IF(H421=0,IF(F421="","Slot kosong","Belum terisi"),"Sebagian")))))</f>
        <v>Slot kosong</v>
      </c>
      <c r="M421" s="79" t="str">
        <f aca="false">IF(L421="Tidak dibuka","–",IF(F421="","(tanpa age group)",F421)&amp;"  "&amp;IF(H421="","?",H421)&amp;"/"&amp;IF(G421="","?",G421)&amp;CHAR(10)&amp;IF(K421="","coach: –","coach: "&amp;K421))</f>
        <v>(tanpa age group)  0/4
coach: –</v>
      </c>
    </row>
    <row r="422" customFormat="false" ht="22.35" hidden="false" customHeight="false" outlineLevel="0" collapsed="false">
      <c r="A422" s="76" t="str">
        <f aca="false">B422&amp;"|"&amp;C422&amp;"|"&amp;D422&amp;"|"&amp;E422</f>
        <v>KWC|1|Senin|08:00</v>
      </c>
      <c r="B422" s="76" t="s">
        <v>63</v>
      </c>
      <c r="C422" s="76" t="n">
        <v>1</v>
      </c>
      <c r="D422" s="76" t="s">
        <v>90</v>
      </c>
      <c r="E422" s="76" t="s">
        <v>110</v>
      </c>
      <c r="F422" s="77" t="s">
        <v>242</v>
      </c>
      <c r="G422" s="77" t="n">
        <v>0</v>
      </c>
      <c r="H422" s="77" t="n">
        <v>0</v>
      </c>
      <c r="I422" s="76" t="n">
        <f aca="false">IF(AND(ISNUMBER(G422),ISNUMBER(H422)),MAX(G422-H422,0),"")</f>
        <v>0</v>
      </c>
      <c r="J422" s="78" t="str">
        <f aca="false">IF(AND(ISNUMBER(G422),ISNUMBER(H422)),IF(G422&gt;0,H422/G422,""),"")</f>
        <v/>
      </c>
      <c r="K422" s="77"/>
      <c r="L422" s="76" t="str">
        <f aca="false">IF(OR(G422="",H422=""),"Data tidak lengkap",IF(AND(G422=0,H422=0),IF(AND(F422="",K422=""),"Tidak dibuka","Tutup"),IF(H422&gt;G422,"Lebih kapasitas",IF(H422=G422,"Penuh",IF(H422=0,IF(F422="","Slot kosong","Belum terisi"),"Sebagian")))))</f>
        <v>Tutup</v>
      </c>
      <c r="M422" s="79" t="str">
        <f aca="false">IF(L422="Tidak dibuka","–",IF(F422="","(tanpa age group)",F422)&amp;"  "&amp;IF(H422="","?",H422)&amp;"/"&amp;IF(G422="","?",G422)&amp;CHAR(10)&amp;IF(K422="","coach: –","coach: "&amp;K422))</f>
        <v>Baby  0/0
coach: –</v>
      </c>
    </row>
    <row r="423" customFormat="false" ht="22.35" hidden="false" customHeight="false" outlineLevel="0" collapsed="false">
      <c r="A423" s="76" t="str">
        <f aca="false">B423&amp;"|"&amp;C423&amp;"|"&amp;D423&amp;"|"&amp;E423</f>
        <v>KWC|1|Senin|08:45</v>
      </c>
      <c r="B423" s="76" t="s">
        <v>63</v>
      </c>
      <c r="C423" s="76" t="n">
        <v>1</v>
      </c>
      <c r="D423" s="76" t="s">
        <v>90</v>
      </c>
      <c r="E423" s="76" t="s">
        <v>111</v>
      </c>
      <c r="F423" s="77" t="s">
        <v>242</v>
      </c>
      <c r="G423" s="77" t="n">
        <v>5</v>
      </c>
      <c r="H423" s="77" t="n">
        <v>3</v>
      </c>
      <c r="I423" s="76" t="n">
        <f aca="false">IF(AND(ISNUMBER(G423),ISNUMBER(H423)),MAX(G423-H423,0),"")</f>
        <v>2</v>
      </c>
      <c r="J423" s="78" t="n">
        <f aca="false">IF(AND(ISNUMBER(G423),ISNUMBER(H423)),IF(G423&gt;0,H423/G423,""),"")</f>
        <v>0.6</v>
      </c>
      <c r="K423" s="77" t="s">
        <v>270</v>
      </c>
      <c r="L423" s="76" t="str">
        <f aca="false">IF(OR(G423="",H423=""),"Data tidak lengkap",IF(AND(G423=0,H423=0),IF(AND(F423="",K423=""),"Tidak dibuka","Tutup"),IF(H423&gt;G423,"Lebih kapasitas",IF(H423=G423,"Penuh",IF(H423=0,IF(F423="","Slot kosong","Belum terisi"),"Sebagian")))))</f>
        <v>Sebagian</v>
      </c>
      <c r="M423" s="79" t="str">
        <f aca="false">IF(L423="Tidak dibuka","–",IF(F423="","(tanpa age group)",F423)&amp;"  "&amp;IF(H423="","?",H423)&amp;"/"&amp;IF(G423="","?",G423)&amp;CHAR(10)&amp;IF(K423="","coach: –","coach: "&amp;K423))</f>
        <v>Baby  3/5
coach: Sri</v>
      </c>
    </row>
    <row r="424" customFormat="false" ht="22.35" hidden="false" customHeight="false" outlineLevel="0" collapsed="false">
      <c r="A424" s="76" t="str">
        <f aca="false">B424&amp;"|"&amp;C424&amp;"|"&amp;D424&amp;"|"&amp;E424</f>
        <v>KWC|1|Senin|09:30</v>
      </c>
      <c r="B424" s="76" t="s">
        <v>63</v>
      </c>
      <c r="C424" s="76" t="n">
        <v>1</v>
      </c>
      <c r="D424" s="76" t="s">
        <v>90</v>
      </c>
      <c r="E424" s="76" t="s">
        <v>112</v>
      </c>
      <c r="F424" s="77" t="s">
        <v>242</v>
      </c>
      <c r="G424" s="77" t="n">
        <v>5</v>
      </c>
      <c r="H424" s="77" t="n">
        <v>0</v>
      </c>
      <c r="I424" s="76" t="n">
        <f aca="false">IF(AND(ISNUMBER(G424),ISNUMBER(H424)),MAX(G424-H424,0),"")</f>
        <v>5</v>
      </c>
      <c r="J424" s="78" t="n">
        <f aca="false">IF(AND(ISNUMBER(G424),ISNUMBER(H424)),IF(G424&gt;0,H424/G424,""),"")</f>
        <v>0</v>
      </c>
      <c r="K424" s="77"/>
      <c r="L424" s="76" t="str">
        <f aca="false">IF(OR(G424="",H424=""),"Data tidak lengkap",IF(AND(G424=0,H424=0),IF(AND(F424="",K424=""),"Tidak dibuka","Tutup"),IF(H424&gt;G424,"Lebih kapasitas",IF(H424=G424,"Penuh",IF(H424=0,IF(F424="","Slot kosong","Belum terisi"),"Sebagian")))))</f>
        <v>Belum terisi</v>
      </c>
      <c r="M424" s="79" t="str">
        <f aca="false">IF(L424="Tidak dibuka","–",IF(F424="","(tanpa age group)",F424)&amp;"  "&amp;IF(H424="","?",H424)&amp;"/"&amp;IF(G424="","?",G424)&amp;CHAR(10)&amp;IF(K424="","coach: –","coach: "&amp;K424))</f>
        <v>Baby  0/5
coach: –</v>
      </c>
    </row>
    <row r="425" customFormat="false" ht="22.35" hidden="false" customHeight="false" outlineLevel="0" collapsed="false">
      <c r="A425" s="76" t="str">
        <f aca="false">B425&amp;"|"&amp;C425&amp;"|"&amp;D425&amp;"|"&amp;E425</f>
        <v>KWC|1|Senin|10:15</v>
      </c>
      <c r="B425" s="76" t="s">
        <v>63</v>
      </c>
      <c r="C425" s="76" t="n">
        <v>1</v>
      </c>
      <c r="D425" s="76" t="s">
        <v>90</v>
      </c>
      <c r="E425" s="76" t="s">
        <v>113</v>
      </c>
      <c r="F425" s="77" t="s">
        <v>242</v>
      </c>
      <c r="G425" s="77" t="n">
        <v>5</v>
      </c>
      <c r="H425" s="77" t="n">
        <v>0</v>
      </c>
      <c r="I425" s="76" t="n">
        <f aca="false">IF(AND(ISNUMBER(G425),ISNUMBER(H425)),MAX(G425-H425,0),"")</f>
        <v>5</v>
      </c>
      <c r="J425" s="78" t="n">
        <f aca="false">IF(AND(ISNUMBER(G425),ISNUMBER(H425)),IF(G425&gt;0,H425/G425,""),"")</f>
        <v>0</v>
      </c>
      <c r="K425" s="77"/>
      <c r="L425" s="76" t="str">
        <f aca="false">IF(OR(G425="",H425=""),"Data tidak lengkap",IF(AND(G425=0,H425=0),IF(AND(F425="",K425=""),"Tidak dibuka","Tutup"),IF(H425&gt;G425,"Lebih kapasitas",IF(H425=G425,"Penuh",IF(H425=0,IF(F425="","Slot kosong","Belum terisi"),"Sebagian")))))</f>
        <v>Belum terisi</v>
      </c>
      <c r="M425" s="79" t="str">
        <f aca="false">IF(L425="Tidak dibuka","–",IF(F425="","(tanpa age group)",F425)&amp;"  "&amp;IF(H425="","?",H425)&amp;"/"&amp;IF(G425="","?",G425)&amp;CHAR(10)&amp;IF(K425="","coach: –","coach: "&amp;K425))</f>
        <v>Baby  0/5
coach: –</v>
      </c>
    </row>
    <row r="426" customFormat="false" ht="22.35" hidden="false" customHeight="false" outlineLevel="0" collapsed="false">
      <c r="A426" s="76" t="str">
        <f aca="false">B426&amp;"|"&amp;C426&amp;"|"&amp;D426&amp;"|"&amp;E426</f>
        <v>KWC|1|Senin|11:00</v>
      </c>
      <c r="B426" s="76" t="s">
        <v>63</v>
      </c>
      <c r="C426" s="76" t="n">
        <v>1</v>
      </c>
      <c r="D426" s="76" t="s">
        <v>90</v>
      </c>
      <c r="E426" s="76" t="s">
        <v>114</v>
      </c>
      <c r="F426" s="77" t="s">
        <v>242</v>
      </c>
      <c r="G426" s="77" t="n">
        <v>5</v>
      </c>
      <c r="H426" s="77" t="n">
        <v>0</v>
      </c>
      <c r="I426" s="76" t="n">
        <f aca="false">IF(AND(ISNUMBER(G426),ISNUMBER(H426)),MAX(G426-H426,0),"")</f>
        <v>5</v>
      </c>
      <c r="J426" s="78" t="n">
        <f aca="false">IF(AND(ISNUMBER(G426),ISNUMBER(H426)),IF(G426&gt;0,H426/G426,""),"")</f>
        <v>0</v>
      </c>
      <c r="K426" s="77"/>
      <c r="L426" s="76" t="str">
        <f aca="false">IF(OR(G426="",H426=""),"Data tidak lengkap",IF(AND(G426=0,H426=0),IF(AND(F426="",K426=""),"Tidak dibuka","Tutup"),IF(H426&gt;G426,"Lebih kapasitas",IF(H426=G426,"Penuh",IF(H426=0,IF(F426="","Slot kosong","Belum terisi"),"Sebagian")))))</f>
        <v>Belum terisi</v>
      </c>
      <c r="M426" s="79" t="str">
        <f aca="false">IF(L426="Tidak dibuka","–",IF(F426="","(tanpa age group)",F426)&amp;"  "&amp;IF(H426="","?",H426)&amp;"/"&amp;IF(G426="","?",G426)&amp;CHAR(10)&amp;IF(K426="","coach: –","coach: "&amp;K426))</f>
        <v>Baby  0/5
coach: –</v>
      </c>
    </row>
    <row r="427" customFormat="false" ht="22.35" hidden="false" customHeight="false" outlineLevel="0" collapsed="false">
      <c r="A427" s="76" t="str">
        <f aca="false">B427&amp;"|"&amp;C427&amp;"|"&amp;D427&amp;"|"&amp;E427</f>
        <v>KWC|1|Senin|11:45</v>
      </c>
      <c r="B427" s="76" t="s">
        <v>63</v>
      </c>
      <c r="C427" s="76" t="n">
        <v>1</v>
      </c>
      <c r="D427" s="76" t="s">
        <v>90</v>
      </c>
      <c r="E427" s="76" t="s">
        <v>115</v>
      </c>
      <c r="F427" s="77" t="s">
        <v>242</v>
      </c>
      <c r="G427" s="77" t="n">
        <v>5</v>
      </c>
      <c r="H427" s="77" t="n">
        <v>0</v>
      </c>
      <c r="I427" s="76" t="n">
        <f aca="false">IF(AND(ISNUMBER(G427),ISNUMBER(H427)),MAX(G427-H427,0),"")</f>
        <v>5</v>
      </c>
      <c r="J427" s="78" t="n">
        <f aca="false">IF(AND(ISNUMBER(G427),ISNUMBER(H427)),IF(G427&gt;0,H427/G427,""),"")</f>
        <v>0</v>
      </c>
      <c r="K427" s="77"/>
      <c r="L427" s="76" t="str">
        <f aca="false">IF(OR(G427="",H427=""),"Data tidak lengkap",IF(AND(G427=0,H427=0),IF(AND(F427="",K427=""),"Tidak dibuka","Tutup"),IF(H427&gt;G427,"Lebih kapasitas",IF(H427=G427,"Penuh",IF(H427=0,IF(F427="","Slot kosong","Belum terisi"),"Sebagian")))))</f>
        <v>Belum terisi</v>
      </c>
      <c r="M427" s="79" t="str">
        <f aca="false">IF(L427="Tidak dibuka","–",IF(F427="","(tanpa age group)",F427)&amp;"  "&amp;IF(H427="","?",H427)&amp;"/"&amp;IF(G427="","?",G427)&amp;CHAR(10)&amp;IF(K427="","coach: –","coach: "&amp;K427))</f>
        <v>Baby  0/5
coach: –</v>
      </c>
    </row>
    <row r="428" customFormat="false" ht="22.35" hidden="false" customHeight="false" outlineLevel="0" collapsed="false">
      <c r="A428" s="76" t="str">
        <f aca="false">B428&amp;"|"&amp;C428&amp;"|"&amp;D428&amp;"|"&amp;E428</f>
        <v>KWC|1|Senin|13:15</v>
      </c>
      <c r="B428" s="76" t="s">
        <v>63</v>
      </c>
      <c r="C428" s="76" t="n">
        <v>1</v>
      </c>
      <c r="D428" s="76" t="s">
        <v>90</v>
      </c>
      <c r="E428" s="76" t="s">
        <v>116</v>
      </c>
      <c r="F428" s="77" t="s">
        <v>242</v>
      </c>
      <c r="G428" s="77" t="n">
        <v>5</v>
      </c>
      <c r="H428" s="77" t="n">
        <v>0</v>
      </c>
      <c r="I428" s="76" t="n">
        <f aca="false">IF(AND(ISNUMBER(G428),ISNUMBER(H428)),MAX(G428-H428,0),"")</f>
        <v>5</v>
      </c>
      <c r="J428" s="78" t="n">
        <f aca="false">IF(AND(ISNUMBER(G428),ISNUMBER(H428)),IF(G428&gt;0,H428/G428,""),"")</f>
        <v>0</v>
      </c>
      <c r="K428" s="77"/>
      <c r="L428" s="76" t="str">
        <f aca="false">IF(OR(G428="",H428=""),"Data tidak lengkap",IF(AND(G428=0,H428=0),IF(AND(F428="",K428=""),"Tidak dibuka","Tutup"),IF(H428&gt;G428,"Lebih kapasitas",IF(H428=G428,"Penuh",IF(H428=0,IF(F428="","Slot kosong","Belum terisi"),"Sebagian")))))</f>
        <v>Belum terisi</v>
      </c>
      <c r="M428" s="79" t="str">
        <f aca="false">IF(L428="Tidak dibuka","–",IF(F428="","(tanpa age group)",F428)&amp;"  "&amp;IF(H428="","?",H428)&amp;"/"&amp;IF(G428="","?",G428)&amp;CHAR(10)&amp;IF(K428="","coach: –","coach: "&amp;K428))</f>
        <v>Baby  0/5
coach: –</v>
      </c>
    </row>
    <row r="429" customFormat="false" ht="22.35" hidden="false" customHeight="false" outlineLevel="0" collapsed="false">
      <c r="A429" s="76" t="str">
        <f aca="false">B429&amp;"|"&amp;C429&amp;"|"&amp;D429&amp;"|"&amp;E429</f>
        <v>KWC|1|Senin|14:00</v>
      </c>
      <c r="B429" s="76" t="s">
        <v>63</v>
      </c>
      <c r="C429" s="76" t="n">
        <v>1</v>
      </c>
      <c r="D429" s="76" t="s">
        <v>90</v>
      </c>
      <c r="E429" s="76" t="s">
        <v>117</v>
      </c>
      <c r="F429" s="77" t="s">
        <v>242</v>
      </c>
      <c r="G429" s="77" t="n">
        <v>5</v>
      </c>
      <c r="H429" s="77" t="n">
        <v>0</v>
      </c>
      <c r="I429" s="76" t="n">
        <f aca="false">IF(AND(ISNUMBER(G429),ISNUMBER(H429)),MAX(G429-H429,0),"")</f>
        <v>5</v>
      </c>
      <c r="J429" s="78" t="n">
        <f aca="false">IF(AND(ISNUMBER(G429),ISNUMBER(H429)),IF(G429&gt;0,H429/G429,""),"")</f>
        <v>0</v>
      </c>
      <c r="K429" s="77"/>
      <c r="L429" s="76" t="str">
        <f aca="false">IF(OR(G429="",H429=""),"Data tidak lengkap",IF(AND(G429=0,H429=0),IF(AND(F429="",K429=""),"Tidak dibuka","Tutup"),IF(H429&gt;G429,"Lebih kapasitas",IF(H429=G429,"Penuh",IF(H429=0,IF(F429="","Slot kosong","Belum terisi"),"Sebagian")))))</f>
        <v>Belum terisi</v>
      </c>
      <c r="M429" s="79" t="str">
        <f aca="false">IF(L429="Tidak dibuka","–",IF(F429="","(tanpa age group)",F429)&amp;"  "&amp;IF(H429="","?",H429)&amp;"/"&amp;IF(G429="","?",G429)&amp;CHAR(10)&amp;IF(K429="","coach: –","coach: "&amp;K429))</f>
        <v>Baby  0/5
coach: –</v>
      </c>
    </row>
    <row r="430" customFormat="false" ht="22.35" hidden="false" customHeight="false" outlineLevel="0" collapsed="false">
      <c r="A430" s="76" t="str">
        <f aca="false">B430&amp;"|"&amp;C430&amp;"|"&amp;D430&amp;"|"&amp;E430</f>
        <v>KWC|1|Senin|14:45</v>
      </c>
      <c r="B430" s="76" t="s">
        <v>63</v>
      </c>
      <c r="C430" s="76" t="n">
        <v>1</v>
      </c>
      <c r="D430" s="76" t="s">
        <v>90</v>
      </c>
      <c r="E430" s="76" t="s">
        <v>118</v>
      </c>
      <c r="F430" s="77" t="s">
        <v>242</v>
      </c>
      <c r="G430" s="77" t="n">
        <v>0</v>
      </c>
      <c r="H430" s="77" t="n">
        <v>0</v>
      </c>
      <c r="I430" s="76" t="n">
        <f aca="false">IF(AND(ISNUMBER(G430),ISNUMBER(H430)),MAX(G430-H430,0),"")</f>
        <v>0</v>
      </c>
      <c r="J430" s="78" t="str">
        <f aca="false">IF(AND(ISNUMBER(G430),ISNUMBER(H430)),IF(G430&gt;0,H430/G430,""),"")</f>
        <v/>
      </c>
      <c r="K430" s="77"/>
      <c r="L430" s="76" t="str">
        <f aca="false">IF(OR(G430="",H430=""),"Data tidak lengkap",IF(AND(G430=0,H430=0),IF(AND(F430="",K430=""),"Tidak dibuka","Tutup"),IF(H430&gt;G430,"Lebih kapasitas",IF(H430=G430,"Penuh",IF(H430=0,IF(F430="","Slot kosong","Belum terisi"),"Sebagian")))))</f>
        <v>Tutup</v>
      </c>
      <c r="M430" s="79" t="str">
        <f aca="false">IF(L430="Tidak dibuka","–",IF(F430="","(tanpa age group)",F430)&amp;"  "&amp;IF(H430="","?",H430)&amp;"/"&amp;IF(G430="","?",G430)&amp;CHAR(10)&amp;IF(K430="","coach: –","coach: "&amp;K430))</f>
        <v>Baby  0/0
coach: –</v>
      </c>
    </row>
    <row r="431" customFormat="false" ht="22.35" hidden="false" customHeight="false" outlineLevel="0" collapsed="false">
      <c r="A431" s="76" t="str">
        <f aca="false">B431&amp;"|"&amp;C431&amp;"|"&amp;D431&amp;"|"&amp;E431</f>
        <v>KWC|1|Senin|15:30</v>
      </c>
      <c r="B431" s="76" t="s">
        <v>63</v>
      </c>
      <c r="C431" s="76" t="n">
        <v>1</v>
      </c>
      <c r="D431" s="76" t="s">
        <v>90</v>
      </c>
      <c r="E431" s="76" t="s">
        <v>119</v>
      </c>
      <c r="F431" s="77" t="s">
        <v>242</v>
      </c>
      <c r="G431" s="77" t="n">
        <v>0</v>
      </c>
      <c r="H431" s="77" t="n">
        <v>0</v>
      </c>
      <c r="I431" s="76" t="n">
        <f aca="false">IF(AND(ISNUMBER(G431),ISNUMBER(H431)),MAX(G431-H431,0),"")</f>
        <v>0</v>
      </c>
      <c r="J431" s="78" t="str">
        <f aca="false">IF(AND(ISNUMBER(G431),ISNUMBER(H431)),IF(G431&gt;0,H431/G431,""),"")</f>
        <v/>
      </c>
      <c r="K431" s="77"/>
      <c r="L431" s="76" t="str">
        <f aca="false">IF(OR(G431="",H431=""),"Data tidak lengkap",IF(AND(G431=0,H431=0),IF(AND(F431="",K431=""),"Tidak dibuka","Tutup"),IF(H431&gt;G431,"Lebih kapasitas",IF(H431=G431,"Penuh",IF(H431=0,IF(F431="","Slot kosong","Belum terisi"),"Sebagian")))))</f>
        <v>Tutup</v>
      </c>
      <c r="M431" s="79" t="str">
        <f aca="false">IF(L431="Tidak dibuka","–",IF(F431="","(tanpa age group)",F431)&amp;"  "&amp;IF(H431="","?",H431)&amp;"/"&amp;IF(G431="","?",G431)&amp;CHAR(10)&amp;IF(K431="","coach: –","coach: "&amp;K431))</f>
        <v>Baby  0/0
coach: –</v>
      </c>
    </row>
    <row r="432" customFormat="false" ht="22.35" hidden="false" customHeight="false" outlineLevel="0" collapsed="false">
      <c r="A432" s="76" t="str">
        <f aca="false">B432&amp;"|"&amp;C432&amp;"|"&amp;D432&amp;"|"&amp;E432</f>
        <v>KWC|1|Senin|16:15</v>
      </c>
      <c r="B432" s="76" t="s">
        <v>63</v>
      </c>
      <c r="C432" s="76" t="n">
        <v>1</v>
      </c>
      <c r="D432" s="76" t="s">
        <v>90</v>
      </c>
      <c r="E432" s="76" t="s">
        <v>120</v>
      </c>
      <c r="F432" s="77" t="s">
        <v>242</v>
      </c>
      <c r="G432" s="77" t="n">
        <v>5</v>
      </c>
      <c r="H432" s="77" t="n">
        <v>0</v>
      </c>
      <c r="I432" s="76" t="n">
        <f aca="false">IF(AND(ISNUMBER(G432),ISNUMBER(H432)),MAX(G432-H432,0),"")</f>
        <v>5</v>
      </c>
      <c r="J432" s="78" t="n">
        <f aca="false">IF(AND(ISNUMBER(G432),ISNUMBER(H432)),IF(G432&gt;0,H432/G432,""),"")</f>
        <v>0</v>
      </c>
      <c r="K432" s="77"/>
      <c r="L432" s="76" t="str">
        <f aca="false">IF(OR(G432="",H432=""),"Data tidak lengkap",IF(AND(G432=0,H432=0),IF(AND(F432="",K432=""),"Tidak dibuka","Tutup"),IF(H432&gt;G432,"Lebih kapasitas",IF(H432=G432,"Penuh",IF(H432=0,IF(F432="","Slot kosong","Belum terisi"),"Sebagian")))))</f>
        <v>Belum terisi</v>
      </c>
      <c r="M432" s="79" t="str">
        <f aca="false">IF(L432="Tidak dibuka","–",IF(F432="","(tanpa age group)",F432)&amp;"  "&amp;IF(H432="","?",H432)&amp;"/"&amp;IF(G432="","?",G432)&amp;CHAR(10)&amp;IF(K432="","coach: –","coach: "&amp;K432))</f>
        <v>Baby  0/5
coach: –</v>
      </c>
    </row>
    <row r="433" customFormat="false" ht="22.35" hidden="false" customHeight="false" outlineLevel="0" collapsed="false">
      <c r="A433" s="76" t="str">
        <f aca="false">B433&amp;"|"&amp;C433&amp;"|"&amp;D433&amp;"|"&amp;E433</f>
        <v>KWC|1|Senin|17:00</v>
      </c>
      <c r="B433" s="76" t="s">
        <v>63</v>
      </c>
      <c r="C433" s="76" t="n">
        <v>1</v>
      </c>
      <c r="D433" s="76" t="s">
        <v>90</v>
      </c>
      <c r="E433" s="76" t="s">
        <v>121</v>
      </c>
      <c r="F433" s="77" t="s">
        <v>242</v>
      </c>
      <c r="G433" s="77" t="n">
        <v>5</v>
      </c>
      <c r="H433" s="77" t="n">
        <v>0</v>
      </c>
      <c r="I433" s="76" t="n">
        <f aca="false">IF(AND(ISNUMBER(G433),ISNUMBER(H433)),MAX(G433-H433,0),"")</f>
        <v>5</v>
      </c>
      <c r="J433" s="78" t="n">
        <f aca="false">IF(AND(ISNUMBER(G433),ISNUMBER(H433)),IF(G433&gt;0,H433/G433,""),"")</f>
        <v>0</v>
      </c>
      <c r="K433" s="77"/>
      <c r="L433" s="76" t="str">
        <f aca="false">IF(OR(G433="",H433=""),"Data tidak lengkap",IF(AND(G433=0,H433=0),IF(AND(F433="",K433=""),"Tidak dibuka","Tutup"),IF(H433&gt;G433,"Lebih kapasitas",IF(H433=G433,"Penuh",IF(H433=0,IF(F433="","Slot kosong","Belum terisi"),"Sebagian")))))</f>
        <v>Belum terisi</v>
      </c>
      <c r="M433" s="79" t="str">
        <f aca="false">IF(L433="Tidak dibuka","–",IF(F433="","(tanpa age group)",F433)&amp;"  "&amp;IF(H433="","?",H433)&amp;"/"&amp;IF(G433="","?",G433)&amp;CHAR(10)&amp;IF(K433="","coach: –","coach: "&amp;K433))</f>
        <v>Baby  0/5
coach: –</v>
      </c>
    </row>
    <row r="434" customFormat="false" ht="22.35" hidden="false" customHeight="false" outlineLevel="0" collapsed="false">
      <c r="A434" s="76" t="str">
        <f aca="false">B434&amp;"|"&amp;C434&amp;"|"&amp;D434&amp;"|"&amp;E434</f>
        <v>KWC|1|Selasa|08:00</v>
      </c>
      <c r="B434" s="76" t="s">
        <v>63</v>
      </c>
      <c r="C434" s="76" t="n">
        <v>1</v>
      </c>
      <c r="D434" s="76" t="s">
        <v>91</v>
      </c>
      <c r="E434" s="76" t="s">
        <v>110</v>
      </c>
      <c r="F434" s="77" t="s">
        <v>242</v>
      </c>
      <c r="G434" s="77" t="n">
        <v>0</v>
      </c>
      <c r="H434" s="77" t="n">
        <v>0</v>
      </c>
      <c r="I434" s="76" t="n">
        <f aca="false">IF(AND(ISNUMBER(G434),ISNUMBER(H434)),MAX(G434-H434,0),"")</f>
        <v>0</v>
      </c>
      <c r="J434" s="78" t="str">
        <f aca="false">IF(AND(ISNUMBER(G434),ISNUMBER(H434)),IF(G434&gt;0,H434/G434,""),"")</f>
        <v/>
      </c>
      <c r="K434" s="77"/>
      <c r="L434" s="76" t="str">
        <f aca="false">IF(OR(G434="",H434=""),"Data tidak lengkap",IF(AND(G434=0,H434=0),IF(AND(F434="",K434=""),"Tidak dibuka","Tutup"),IF(H434&gt;G434,"Lebih kapasitas",IF(H434=G434,"Penuh",IF(H434=0,IF(F434="","Slot kosong","Belum terisi"),"Sebagian")))))</f>
        <v>Tutup</v>
      </c>
      <c r="M434" s="79" t="str">
        <f aca="false">IF(L434="Tidak dibuka","–",IF(F434="","(tanpa age group)",F434)&amp;"  "&amp;IF(H434="","?",H434)&amp;"/"&amp;IF(G434="","?",G434)&amp;CHAR(10)&amp;IF(K434="","coach: –","coach: "&amp;K434))</f>
        <v>Baby  0/0
coach: –</v>
      </c>
    </row>
    <row r="435" customFormat="false" ht="22.35" hidden="false" customHeight="false" outlineLevel="0" collapsed="false">
      <c r="A435" s="76" t="str">
        <f aca="false">B435&amp;"|"&amp;C435&amp;"|"&amp;D435&amp;"|"&amp;E435</f>
        <v>KWC|1|Selasa|08:45</v>
      </c>
      <c r="B435" s="76" t="s">
        <v>63</v>
      </c>
      <c r="C435" s="76" t="n">
        <v>1</v>
      </c>
      <c r="D435" s="76" t="s">
        <v>91</v>
      </c>
      <c r="E435" s="76" t="s">
        <v>111</v>
      </c>
      <c r="F435" s="77" t="s">
        <v>242</v>
      </c>
      <c r="G435" s="77" t="n">
        <v>5</v>
      </c>
      <c r="H435" s="77" t="n">
        <v>0</v>
      </c>
      <c r="I435" s="76" t="n">
        <f aca="false">IF(AND(ISNUMBER(G435),ISNUMBER(H435)),MAX(G435-H435,0),"")</f>
        <v>5</v>
      </c>
      <c r="J435" s="78" t="n">
        <f aca="false">IF(AND(ISNUMBER(G435),ISNUMBER(H435)),IF(G435&gt;0,H435/G435,""),"")</f>
        <v>0</v>
      </c>
      <c r="K435" s="77"/>
      <c r="L435" s="76" t="str">
        <f aca="false">IF(OR(G435="",H435=""),"Data tidak lengkap",IF(AND(G435=0,H435=0),IF(AND(F435="",K435=""),"Tidak dibuka","Tutup"),IF(H435&gt;G435,"Lebih kapasitas",IF(H435=G435,"Penuh",IF(H435=0,IF(F435="","Slot kosong","Belum terisi"),"Sebagian")))))</f>
        <v>Belum terisi</v>
      </c>
      <c r="M435" s="79" t="str">
        <f aca="false">IF(L435="Tidak dibuka","–",IF(F435="","(tanpa age group)",F435)&amp;"  "&amp;IF(H435="","?",H435)&amp;"/"&amp;IF(G435="","?",G435)&amp;CHAR(10)&amp;IF(K435="","coach: –","coach: "&amp;K435))</f>
        <v>Baby  0/5
coach: –</v>
      </c>
    </row>
    <row r="436" customFormat="false" ht="22.35" hidden="false" customHeight="false" outlineLevel="0" collapsed="false">
      <c r="A436" s="76" t="str">
        <f aca="false">B436&amp;"|"&amp;C436&amp;"|"&amp;D436&amp;"|"&amp;E436</f>
        <v>KWC|1|Selasa|09:30</v>
      </c>
      <c r="B436" s="76" t="s">
        <v>63</v>
      </c>
      <c r="C436" s="76" t="n">
        <v>1</v>
      </c>
      <c r="D436" s="76" t="s">
        <v>91</v>
      </c>
      <c r="E436" s="76" t="s">
        <v>112</v>
      </c>
      <c r="F436" s="77" t="s">
        <v>242</v>
      </c>
      <c r="G436" s="77" t="n">
        <v>5</v>
      </c>
      <c r="H436" s="77" t="n">
        <v>2</v>
      </c>
      <c r="I436" s="76" t="n">
        <f aca="false">IF(AND(ISNUMBER(G436),ISNUMBER(H436)),MAX(G436-H436,0),"")</f>
        <v>3</v>
      </c>
      <c r="J436" s="78" t="n">
        <f aca="false">IF(AND(ISNUMBER(G436),ISNUMBER(H436)),IF(G436&gt;0,H436/G436,""),"")</f>
        <v>0.4</v>
      </c>
      <c r="K436" s="77" t="s">
        <v>274</v>
      </c>
      <c r="L436" s="76" t="str">
        <f aca="false">IF(OR(G436="",H436=""),"Data tidak lengkap",IF(AND(G436=0,H436=0),IF(AND(F436="",K436=""),"Tidak dibuka","Tutup"),IF(H436&gt;G436,"Lebih kapasitas",IF(H436=G436,"Penuh",IF(H436=0,IF(F436="","Slot kosong","Belum terisi"),"Sebagian")))))</f>
        <v>Sebagian</v>
      </c>
      <c r="M436" s="79" t="str">
        <f aca="false">IF(L436="Tidak dibuka","–",IF(F436="","(tanpa age group)",F436)&amp;"  "&amp;IF(H436="","?",H436)&amp;"/"&amp;IF(G436="","?",G436)&amp;CHAR(10)&amp;IF(K436="","coach: –","coach: "&amp;K436))</f>
        <v>Baby  2/5
coach: Eve</v>
      </c>
    </row>
    <row r="437" customFormat="false" ht="22.35" hidden="false" customHeight="false" outlineLevel="0" collapsed="false">
      <c r="A437" s="76" t="str">
        <f aca="false">B437&amp;"|"&amp;C437&amp;"|"&amp;D437&amp;"|"&amp;E437</f>
        <v>KWC|1|Selasa|10:15</v>
      </c>
      <c r="B437" s="76" t="s">
        <v>63</v>
      </c>
      <c r="C437" s="76" t="n">
        <v>1</v>
      </c>
      <c r="D437" s="76" t="s">
        <v>91</v>
      </c>
      <c r="E437" s="76" t="s">
        <v>113</v>
      </c>
      <c r="F437" s="77" t="s">
        <v>242</v>
      </c>
      <c r="G437" s="77" t="n">
        <v>5</v>
      </c>
      <c r="H437" s="77" t="n">
        <v>0</v>
      </c>
      <c r="I437" s="76" t="n">
        <f aca="false">IF(AND(ISNUMBER(G437),ISNUMBER(H437)),MAX(G437-H437,0),"")</f>
        <v>5</v>
      </c>
      <c r="J437" s="78" t="n">
        <f aca="false">IF(AND(ISNUMBER(G437),ISNUMBER(H437)),IF(G437&gt;0,H437/G437,""),"")</f>
        <v>0</v>
      </c>
      <c r="K437" s="77"/>
      <c r="L437" s="76" t="str">
        <f aca="false">IF(OR(G437="",H437=""),"Data tidak lengkap",IF(AND(G437=0,H437=0),IF(AND(F437="",K437=""),"Tidak dibuka","Tutup"),IF(H437&gt;G437,"Lebih kapasitas",IF(H437=G437,"Penuh",IF(H437=0,IF(F437="","Slot kosong","Belum terisi"),"Sebagian")))))</f>
        <v>Belum terisi</v>
      </c>
      <c r="M437" s="79" t="str">
        <f aca="false">IF(L437="Tidak dibuka","–",IF(F437="","(tanpa age group)",F437)&amp;"  "&amp;IF(H437="","?",H437)&amp;"/"&amp;IF(G437="","?",G437)&amp;CHAR(10)&amp;IF(K437="","coach: –","coach: "&amp;K437))</f>
        <v>Baby  0/5
coach: –</v>
      </c>
    </row>
    <row r="438" customFormat="false" ht="22.35" hidden="false" customHeight="false" outlineLevel="0" collapsed="false">
      <c r="A438" s="76" t="str">
        <f aca="false">B438&amp;"|"&amp;C438&amp;"|"&amp;D438&amp;"|"&amp;E438</f>
        <v>KWC|1|Selasa|11:00</v>
      </c>
      <c r="B438" s="76" t="s">
        <v>63</v>
      </c>
      <c r="C438" s="76" t="n">
        <v>1</v>
      </c>
      <c r="D438" s="76" t="s">
        <v>91</v>
      </c>
      <c r="E438" s="76" t="s">
        <v>114</v>
      </c>
      <c r="F438" s="77" t="s">
        <v>242</v>
      </c>
      <c r="G438" s="77" t="n">
        <v>5</v>
      </c>
      <c r="H438" s="77" t="n">
        <v>0</v>
      </c>
      <c r="I438" s="76" t="n">
        <f aca="false">IF(AND(ISNUMBER(G438),ISNUMBER(H438)),MAX(G438-H438,0),"")</f>
        <v>5</v>
      </c>
      <c r="J438" s="78" t="n">
        <f aca="false">IF(AND(ISNUMBER(G438),ISNUMBER(H438)),IF(G438&gt;0,H438/G438,""),"")</f>
        <v>0</v>
      </c>
      <c r="K438" s="77"/>
      <c r="L438" s="76" t="str">
        <f aca="false">IF(OR(G438="",H438=""),"Data tidak lengkap",IF(AND(G438=0,H438=0),IF(AND(F438="",K438=""),"Tidak dibuka","Tutup"),IF(H438&gt;G438,"Lebih kapasitas",IF(H438=G438,"Penuh",IF(H438=0,IF(F438="","Slot kosong","Belum terisi"),"Sebagian")))))</f>
        <v>Belum terisi</v>
      </c>
      <c r="M438" s="79" t="str">
        <f aca="false">IF(L438="Tidak dibuka","–",IF(F438="","(tanpa age group)",F438)&amp;"  "&amp;IF(H438="","?",H438)&amp;"/"&amp;IF(G438="","?",G438)&amp;CHAR(10)&amp;IF(K438="","coach: –","coach: "&amp;K438))</f>
        <v>Baby  0/5
coach: –</v>
      </c>
    </row>
    <row r="439" customFormat="false" ht="22.35" hidden="false" customHeight="false" outlineLevel="0" collapsed="false">
      <c r="A439" s="76" t="str">
        <f aca="false">B439&amp;"|"&amp;C439&amp;"|"&amp;D439&amp;"|"&amp;E439</f>
        <v>KWC|1|Selasa|11:45</v>
      </c>
      <c r="B439" s="76" t="s">
        <v>63</v>
      </c>
      <c r="C439" s="76" t="n">
        <v>1</v>
      </c>
      <c r="D439" s="76" t="s">
        <v>91</v>
      </c>
      <c r="E439" s="76" t="s">
        <v>115</v>
      </c>
      <c r="F439" s="77" t="s">
        <v>242</v>
      </c>
      <c r="G439" s="77" t="n">
        <v>0</v>
      </c>
      <c r="H439" s="77" t="n">
        <v>0</v>
      </c>
      <c r="I439" s="76" t="n">
        <f aca="false">IF(AND(ISNUMBER(G439),ISNUMBER(H439)),MAX(G439-H439,0),"")</f>
        <v>0</v>
      </c>
      <c r="J439" s="78" t="str">
        <f aca="false">IF(AND(ISNUMBER(G439),ISNUMBER(H439)),IF(G439&gt;0,H439/G439,""),"")</f>
        <v/>
      </c>
      <c r="K439" s="77"/>
      <c r="L439" s="76" t="str">
        <f aca="false">IF(OR(G439="",H439=""),"Data tidak lengkap",IF(AND(G439=0,H439=0),IF(AND(F439="",K439=""),"Tidak dibuka","Tutup"),IF(H439&gt;G439,"Lebih kapasitas",IF(H439=G439,"Penuh",IF(H439=0,IF(F439="","Slot kosong","Belum terisi"),"Sebagian")))))</f>
        <v>Tutup</v>
      </c>
      <c r="M439" s="79" t="str">
        <f aca="false">IF(L439="Tidak dibuka","–",IF(F439="","(tanpa age group)",F439)&amp;"  "&amp;IF(H439="","?",H439)&amp;"/"&amp;IF(G439="","?",G439)&amp;CHAR(10)&amp;IF(K439="","coach: –","coach: "&amp;K439))</f>
        <v>Baby  0/0
coach: –</v>
      </c>
    </row>
    <row r="440" customFormat="false" ht="22.35" hidden="false" customHeight="false" outlineLevel="0" collapsed="false">
      <c r="A440" s="76" t="str">
        <f aca="false">B440&amp;"|"&amp;C440&amp;"|"&amp;D440&amp;"|"&amp;E440</f>
        <v>KWC|1|Selasa|13:15</v>
      </c>
      <c r="B440" s="76" t="s">
        <v>63</v>
      </c>
      <c r="C440" s="76" t="n">
        <v>1</v>
      </c>
      <c r="D440" s="76" t="s">
        <v>91</v>
      </c>
      <c r="E440" s="76" t="s">
        <v>116</v>
      </c>
      <c r="F440" s="77" t="s">
        <v>242</v>
      </c>
      <c r="G440" s="77" t="n">
        <v>5</v>
      </c>
      <c r="H440" s="77" t="n">
        <v>0</v>
      </c>
      <c r="I440" s="76" t="n">
        <f aca="false">IF(AND(ISNUMBER(G440),ISNUMBER(H440)),MAX(G440-H440,0),"")</f>
        <v>5</v>
      </c>
      <c r="J440" s="78" t="n">
        <f aca="false">IF(AND(ISNUMBER(G440),ISNUMBER(H440)),IF(G440&gt;0,H440/G440,""),"")</f>
        <v>0</v>
      </c>
      <c r="K440" s="77"/>
      <c r="L440" s="76" t="str">
        <f aca="false">IF(OR(G440="",H440=""),"Data tidak lengkap",IF(AND(G440=0,H440=0),IF(AND(F440="",K440=""),"Tidak dibuka","Tutup"),IF(H440&gt;G440,"Lebih kapasitas",IF(H440=G440,"Penuh",IF(H440=0,IF(F440="","Slot kosong","Belum terisi"),"Sebagian")))))</f>
        <v>Belum terisi</v>
      </c>
      <c r="M440" s="79" t="str">
        <f aca="false">IF(L440="Tidak dibuka","–",IF(F440="","(tanpa age group)",F440)&amp;"  "&amp;IF(H440="","?",H440)&amp;"/"&amp;IF(G440="","?",G440)&amp;CHAR(10)&amp;IF(K440="","coach: –","coach: "&amp;K440))</f>
        <v>Baby  0/5
coach: –</v>
      </c>
    </row>
    <row r="441" customFormat="false" ht="22.35" hidden="false" customHeight="false" outlineLevel="0" collapsed="false">
      <c r="A441" s="76" t="str">
        <f aca="false">B441&amp;"|"&amp;C441&amp;"|"&amp;D441&amp;"|"&amp;E441</f>
        <v>KWC|1|Selasa|14:00</v>
      </c>
      <c r="B441" s="76" t="s">
        <v>63</v>
      </c>
      <c r="C441" s="76" t="n">
        <v>1</v>
      </c>
      <c r="D441" s="76" t="s">
        <v>91</v>
      </c>
      <c r="E441" s="76" t="s">
        <v>117</v>
      </c>
      <c r="F441" s="77" t="s">
        <v>242</v>
      </c>
      <c r="G441" s="77" t="n">
        <v>5</v>
      </c>
      <c r="H441" s="77" t="n">
        <v>0</v>
      </c>
      <c r="I441" s="76" t="n">
        <f aca="false">IF(AND(ISNUMBER(G441),ISNUMBER(H441)),MAX(G441-H441,0),"")</f>
        <v>5</v>
      </c>
      <c r="J441" s="78" t="n">
        <f aca="false">IF(AND(ISNUMBER(G441),ISNUMBER(H441)),IF(G441&gt;0,H441/G441,""),"")</f>
        <v>0</v>
      </c>
      <c r="K441" s="77"/>
      <c r="L441" s="76" t="str">
        <f aca="false">IF(OR(G441="",H441=""),"Data tidak lengkap",IF(AND(G441=0,H441=0),IF(AND(F441="",K441=""),"Tidak dibuka","Tutup"),IF(H441&gt;G441,"Lebih kapasitas",IF(H441=G441,"Penuh",IF(H441=0,IF(F441="","Slot kosong","Belum terisi"),"Sebagian")))))</f>
        <v>Belum terisi</v>
      </c>
      <c r="M441" s="79" t="str">
        <f aca="false">IF(L441="Tidak dibuka","–",IF(F441="","(tanpa age group)",F441)&amp;"  "&amp;IF(H441="","?",H441)&amp;"/"&amp;IF(G441="","?",G441)&amp;CHAR(10)&amp;IF(K441="","coach: –","coach: "&amp;K441))</f>
        <v>Baby  0/5
coach: –</v>
      </c>
    </row>
    <row r="442" customFormat="false" ht="22.35" hidden="false" customHeight="false" outlineLevel="0" collapsed="false">
      <c r="A442" s="76" t="str">
        <f aca="false">B442&amp;"|"&amp;C442&amp;"|"&amp;D442&amp;"|"&amp;E442</f>
        <v>KWC|1|Selasa|14:45</v>
      </c>
      <c r="B442" s="76" t="s">
        <v>63</v>
      </c>
      <c r="C442" s="76" t="n">
        <v>1</v>
      </c>
      <c r="D442" s="76" t="s">
        <v>91</v>
      </c>
      <c r="E442" s="76" t="s">
        <v>118</v>
      </c>
      <c r="F442" s="77" t="s">
        <v>242</v>
      </c>
      <c r="G442" s="77" t="n">
        <v>5</v>
      </c>
      <c r="H442" s="77" t="n">
        <v>1</v>
      </c>
      <c r="I442" s="76" t="n">
        <f aca="false">IF(AND(ISNUMBER(G442),ISNUMBER(H442)),MAX(G442-H442,0),"")</f>
        <v>4</v>
      </c>
      <c r="J442" s="78" t="n">
        <f aca="false">IF(AND(ISNUMBER(G442),ISNUMBER(H442)),IF(G442&gt;0,H442/G442,""),"")</f>
        <v>0.2</v>
      </c>
      <c r="K442" s="77" t="s">
        <v>274</v>
      </c>
      <c r="L442" s="76" t="str">
        <f aca="false">IF(OR(G442="",H442=""),"Data tidak lengkap",IF(AND(G442=0,H442=0),IF(AND(F442="",K442=""),"Tidak dibuka","Tutup"),IF(H442&gt;G442,"Lebih kapasitas",IF(H442=G442,"Penuh",IF(H442=0,IF(F442="","Slot kosong","Belum terisi"),"Sebagian")))))</f>
        <v>Sebagian</v>
      </c>
      <c r="M442" s="79" t="str">
        <f aca="false">IF(L442="Tidak dibuka","–",IF(F442="","(tanpa age group)",F442)&amp;"  "&amp;IF(H442="","?",H442)&amp;"/"&amp;IF(G442="","?",G442)&amp;CHAR(10)&amp;IF(K442="","coach: –","coach: "&amp;K442))</f>
        <v>Baby  1/5
coach: Eve</v>
      </c>
    </row>
    <row r="443" customFormat="false" ht="22.35" hidden="false" customHeight="false" outlineLevel="0" collapsed="false">
      <c r="A443" s="76" t="str">
        <f aca="false">B443&amp;"|"&amp;C443&amp;"|"&amp;D443&amp;"|"&amp;E443</f>
        <v>KWC|1|Selasa|15:30</v>
      </c>
      <c r="B443" s="76" t="s">
        <v>63</v>
      </c>
      <c r="C443" s="76" t="n">
        <v>1</v>
      </c>
      <c r="D443" s="76" t="s">
        <v>91</v>
      </c>
      <c r="E443" s="76" t="s">
        <v>119</v>
      </c>
      <c r="F443" s="77" t="s">
        <v>242</v>
      </c>
      <c r="G443" s="77" t="n">
        <v>0</v>
      </c>
      <c r="H443" s="77" t="n">
        <v>0</v>
      </c>
      <c r="I443" s="76" t="n">
        <f aca="false">IF(AND(ISNUMBER(G443),ISNUMBER(H443)),MAX(G443-H443,0),"")</f>
        <v>0</v>
      </c>
      <c r="J443" s="78" t="str">
        <f aca="false">IF(AND(ISNUMBER(G443),ISNUMBER(H443)),IF(G443&gt;0,H443/G443,""),"")</f>
        <v/>
      </c>
      <c r="K443" s="77"/>
      <c r="L443" s="76" t="str">
        <f aca="false">IF(OR(G443="",H443=""),"Data tidak lengkap",IF(AND(G443=0,H443=0),IF(AND(F443="",K443=""),"Tidak dibuka","Tutup"),IF(H443&gt;G443,"Lebih kapasitas",IF(H443=G443,"Penuh",IF(H443=0,IF(F443="","Slot kosong","Belum terisi"),"Sebagian")))))</f>
        <v>Tutup</v>
      </c>
      <c r="M443" s="79" t="str">
        <f aca="false">IF(L443="Tidak dibuka","–",IF(F443="","(tanpa age group)",F443)&amp;"  "&amp;IF(H443="","?",H443)&amp;"/"&amp;IF(G443="","?",G443)&amp;CHAR(10)&amp;IF(K443="","coach: –","coach: "&amp;K443))</f>
        <v>Baby  0/0
coach: –</v>
      </c>
    </row>
    <row r="444" customFormat="false" ht="22.35" hidden="false" customHeight="false" outlineLevel="0" collapsed="false">
      <c r="A444" s="76" t="str">
        <f aca="false">B444&amp;"|"&amp;C444&amp;"|"&amp;D444&amp;"|"&amp;E444</f>
        <v>KWC|1|Selasa|16:15</v>
      </c>
      <c r="B444" s="76" t="s">
        <v>63</v>
      </c>
      <c r="C444" s="76" t="n">
        <v>1</v>
      </c>
      <c r="D444" s="76" t="s">
        <v>91</v>
      </c>
      <c r="E444" s="76" t="s">
        <v>120</v>
      </c>
      <c r="F444" s="77" t="s">
        <v>242</v>
      </c>
      <c r="G444" s="77" t="n">
        <v>5</v>
      </c>
      <c r="H444" s="77" t="n">
        <v>0</v>
      </c>
      <c r="I444" s="76" t="n">
        <f aca="false">IF(AND(ISNUMBER(G444),ISNUMBER(H444)),MAX(G444-H444,0),"")</f>
        <v>5</v>
      </c>
      <c r="J444" s="78" t="n">
        <f aca="false">IF(AND(ISNUMBER(G444),ISNUMBER(H444)),IF(G444&gt;0,H444/G444,""),"")</f>
        <v>0</v>
      </c>
      <c r="K444" s="77"/>
      <c r="L444" s="76" t="str">
        <f aca="false">IF(OR(G444="",H444=""),"Data tidak lengkap",IF(AND(G444=0,H444=0),IF(AND(F444="",K444=""),"Tidak dibuka","Tutup"),IF(H444&gt;G444,"Lebih kapasitas",IF(H444=G444,"Penuh",IF(H444=0,IF(F444="","Slot kosong","Belum terisi"),"Sebagian")))))</f>
        <v>Belum terisi</v>
      </c>
      <c r="M444" s="79" t="str">
        <f aca="false">IF(L444="Tidak dibuka","–",IF(F444="","(tanpa age group)",F444)&amp;"  "&amp;IF(H444="","?",H444)&amp;"/"&amp;IF(G444="","?",G444)&amp;CHAR(10)&amp;IF(K444="","coach: –","coach: "&amp;K444))</f>
        <v>Baby  0/5
coach: –</v>
      </c>
    </row>
    <row r="445" customFormat="false" ht="22.35" hidden="false" customHeight="false" outlineLevel="0" collapsed="false">
      <c r="A445" s="76" t="str">
        <f aca="false">B445&amp;"|"&amp;C445&amp;"|"&amp;D445&amp;"|"&amp;E445</f>
        <v>KWC|1|Selasa|17:00</v>
      </c>
      <c r="B445" s="76" t="s">
        <v>63</v>
      </c>
      <c r="C445" s="76" t="n">
        <v>1</v>
      </c>
      <c r="D445" s="76" t="s">
        <v>91</v>
      </c>
      <c r="E445" s="76" t="s">
        <v>121</v>
      </c>
      <c r="F445" s="77" t="s">
        <v>242</v>
      </c>
      <c r="G445" s="77" t="n">
        <v>5</v>
      </c>
      <c r="H445" s="77" t="n">
        <v>0</v>
      </c>
      <c r="I445" s="76" t="n">
        <f aca="false">IF(AND(ISNUMBER(G445),ISNUMBER(H445)),MAX(G445-H445,0),"")</f>
        <v>5</v>
      </c>
      <c r="J445" s="78" t="n">
        <f aca="false">IF(AND(ISNUMBER(G445),ISNUMBER(H445)),IF(G445&gt;0,H445/G445,""),"")</f>
        <v>0</v>
      </c>
      <c r="K445" s="77"/>
      <c r="L445" s="76" t="str">
        <f aca="false">IF(OR(G445="",H445=""),"Data tidak lengkap",IF(AND(G445=0,H445=0),IF(AND(F445="",K445=""),"Tidak dibuka","Tutup"),IF(H445&gt;G445,"Lebih kapasitas",IF(H445=G445,"Penuh",IF(H445=0,IF(F445="","Slot kosong","Belum terisi"),"Sebagian")))))</f>
        <v>Belum terisi</v>
      </c>
      <c r="M445" s="79" t="str">
        <f aca="false">IF(L445="Tidak dibuka","–",IF(F445="","(tanpa age group)",F445)&amp;"  "&amp;IF(H445="","?",H445)&amp;"/"&amp;IF(G445="","?",G445)&amp;CHAR(10)&amp;IF(K445="","coach: –","coach: "&amp;K445))</f>
        <v>Baby  0/5
coach: –</v>
      </c>
    </row>
    <row r="446" customFormat="false" ht="22.35" hidden="false" customHeight="false" outlineLevel="0" collapsed="false">
      <c r="A446" s="76" t="str">
        <f aca="false">B446&amp;"|"&amp;C446&amp;"|"&amp;D446&amp;"|"&amp;E446</f>
        <v>KWC|1|Rabu|08:00</v>
      </c>
      <c r="B446" s="76" t="s">
        <v>63</v>
      </c>
      <c r="C446" s="76" t="n">
        <v>1</v>
      </c>
      <c r="D446" s="76" t="s">
        <v>92</v>
      </c>
      <c r="E446" s="76" t="s">
        <v>110</v>
      </c>
      <c r="F446" s="77" t="s">
        <v>242</v>
      </c>
      <c r="G446" s="77" t="n">
        <v>0</v>
      </c>
      <c r="H446" s="77" t="n">
        <v>0</v>
      </c>
      <c r="I446" s="76" t="n">
        <f aca="false">IF(AND(ISNUMBER(G446),ISNUMBER(H446)),MAX(G446-H446,0),"")</f>
        <v>0</v>
      </c>
      <c r="J446" s="78" t="str">
        <f aca="false">IF(AND(ISNUMBER(G446),ISNUMBER(H446)),IF(G446&gt;0,H446/G446,""),"")</f>
        <v/>
      </c>
      <c r="K446" s="77"/>
      <c r="L446" s="76" t="str">
        <f aca="false">IF(OR(G446="",H446=""),"Data tidak lengkap",IF(AND(G446=0,H446=0),IF(AND(F446="",K446=""),"Tidak dibuka","Tutup"),IF(H446&gt;G446,"Lebih kapasitas",IF(H446=G446,"Penuh",IF(H446=0,IF(F446="","Slot kosong","Belum terisi"),"Sebagian")))))</f>
        <v>Tutup</v>
      </c>
      <c r="M446" s="79" t="str">
        <f aca="false">IF(L446="Tidak dibuka","–",IF(F446="","(tanpa age group)",F446)&amp;"  "&amp;IF(H446="","?",H446)&amp;"/"&amp;IF(G446="","?",G446)&amp;CHAR(10)&amp;IF(K446="","coach: –","coach: "&amp;K446))</f>
        <v>Baby  0/0
coach: –</v>
      </c>
    </row>
    <row r="447" customFormat="false" ht="22.35" hidden="false" customHeight="false" outlineLevel="0" collapsed="false">
      <c r="A447" s="76" t="str">
        <f aca="false">B447&amp;"|"&amp;C447&amp;"|"&amp;D447&amp;"|"&amp;E447</f>
        <v>KWC|1|Rabu|08:45</v>
      </c>
      <c r="B447" s="76" t="s">
        <v>63</v>
      </c>
      <c r="C447" s="76" t="n">
        <v>1</v>
      </c>
      <c r="D447" s="76" t="s">
        <v>92</v>
      </c>
      <c r="E447" s="76" t="s">
        <v>111</v>
      </c>
      <c r="F447" s="77" t="s">
        <v>242</v>
      </c>
      <c r="G447" s="77" t="n">
        <v>5</v>
      </c>
      <c r="H447" s="77" t="n">
        <v>0</v>
      </c>
      <c r="I447" s="76" t="n">
        <f aca="false">IF(AND(ISNUMBER(G447),ISNUMBER(H447)),MAX(G447-H447,0),"")</f>
        <v>5</v>
      </c>
      <c r="J447" s="78" t="n">
        <f aca="false">IF(AND(ISNUMBER(G447),ISNUMBER(H447)),IF(G447&gt;0,H447/G447,""),"")</f>
        <v>0</v>
      </c>
      <c r="K447" s="77"/>
      <c r="L447" s="76" t="str">
        <f aca="false">IF(OR(G447="",H447=""),"Data tidak lengkap",IF(AND(G447=0,H447=0),IF(AND(F447="",K447=""),"Tidak dibuka","Tutup"),IF(H447&gt;G447,"Lebih kapasitas",IF(H447=G447,"Penuh",IF(H447=0,IF(F447="","Slot kosong","Belum terisi"),"Sebagian")))))</f>
        <v>Belum terisi</v>
      </c>
      <c r="M447" s="79" t="str">
        <f aca="false">IF(L447="Tidak dibuka","–",IF(F447="","(tanpa age group)",F447)&amp;"  "&amp;IF(H447="","?",H447)&amp;"/"&amp;IF(G447="","?",G447)&amp;CHAR(10)&amp;IF(K447="","coach: –","coach: "&amp;K447))</f>
        <v>Baby  0/5
coach: –</v>
      </c>
    </row>
    <row r="448" customFormat="false" ht="22.35" hidden="false" customHeight="false" outlineLevel="0" collapsed="false">
      <c r="A448" s="76" t="str">
        <f aca="false">B448&amp;"|"&amp;C448&amp;"|"&amp;D448&amp;"|"&amp;E448</f>
        <v>KWC|1|Rabu|09:30</v>
      </c>
      <c r="B448" s="76" t="s">
        <v>63</v>
      </c>
      <c r="C448" s="76" t="n">
        <v>1</v>
      </c>
      <c r="D448" s="76" t="s">
        <v>92</v>
      </c>
      <c r="E448" s="76" t="s">
        <v>112</v>
      </c>
      <c r="F448" s="77" t="s">
        <v>242</v>
      </c>
      <c r="G448" s="77" t="n">
        <v>5</v>
      </c>
      <c r="H448" s="77" t="n">
        <v>1</v>
      </c>
      <c r="I448" s="76" t="n">
        <f aca="false">IF(AND(ISNUMBER(G448),ISNUMBER(H448)),MAX(G448-H448,0),"")</f>
        <v>4</v>
      </c>
      <c r="J448" s="78" t="n">
        <f aca="false">IF(AND(ISNUMBER(G448),ISNUMBER(H448)),IF(G448&gt;0,H448/G448,""),"")</f>
        <v>0.2</v>
      </c>
      <c r="K448" s="77" t="s">
        <v>269</v>
      </c>
      <c r="L448" s="76" t="str">
        <f aca="false">IF(OR(G448="",H448=""),"Data tidak lengkap",IF(AND(G448=0,H448=0),IF(AND(F448="",K448=""),"Tidak dibuka","Tutup"),IF(H448&gt;G448,"Lebih kapasitas",IF(H448=G448,"Penuh",IF(H448=0,IF(F448="","Slot kosong","Belum terisi"),"Sebagian")))))</f>
        <v>Sebagian</v>
      </c>
      <c r="M448" s="79" t="str">
        <f aca="false">IF(L448="Tidak dibuka","–",IF(F448="","(tanpa age group)",F448)&amp;"  "&amp;IF(H448="","?",H448)&amp;"/"&amp;IF(G448="","?",G448)&amp;CHAR(10)&amp;IF(K448="","coach: –","coach: "&amp;K448))</f>
        <v>Baby  1/5
coach: Nabila</v>
      </c>
    </row>
    <row r="449" customFormat="false" ht="22.35" hidden="false" customHeight="false" outlineLevel="0" collapsed="false">
      <c r="A449" s="76" t="str">
        <f aca="false">B449&amp;"|"&amp;C449&amp;"|"&amp;D449&amp;"|"&amp;E449</f>
        <v>KWC|1|Rabu|10:15</v>
      </c>
      <c r="B449" s="76" t="s">
        <v>63</v>
      </c>
      <c r="C449" s="76" t="n">
        <v>1</v>
      </c>
      <c r="D449" s="76" t="s">
        <v>92</v>
      </c>
      <c r="E449" s="76" t="s">
        <v>113</v>
      </c>
      <c r="F449" s="77" t="s">
        <v>242</v>
      </c>
      <c r="G449" s="77" t="n">
        <v>5</v>
      </c>
      <c r="H449" s="77" t="n">
        <v>0</v>
      </c>
      <c r="I449" s="76" t="n">
        <f aca="false">IF(AND(ISNUMBER(G449),ISNUMBER(H449)),MAX(G449-H449,0),"")</f>
        <v>5</v>
      </c>
      <c r="J449" s="78" t="n">
        <f aca="false">IF(AND(ISNUMBER(G449),ISNUMBER(H449)),IF(G449&gt;0,H449/G449,""),"")</f>
        <v>0</v>
      </c>
      <c r="K449" s="77"/>
      <c r="L449" s="76" t="str">
        <f aca="false">IF(OR(G449="",H449=""),"Data tidak lengkap",IF(AND(G449=0,H449=0),IF(AND(F449="",K449=""),"Tidak dibuka","Tutup"),IF(H449&gt;G449,"Lebih kapasitas",IF(H449=G449,"Penuh",IF(H449=0,IF(F449="","Slot kosong","Belum terisi"),"Sebagian")))))</f>
        <v>Belum terisi</v>
      </c>
      <c r="M449" s="79" t="str">
        <f aca="false">IF(L449="Tidak dibuka","–",IF(F449="","(tanpa age group)",F449)&amp;"  "&amp;IF(H449="","?",H449)&amp;"/"&amp;IF(G449="","?",G449)&amp;CHAR(10)&amp;IF(K449="","coach: –","coach: "&amp;K449))</f>
        <v>Baby  0/5
coach: –</v>
      </c>
    </row>
    <row r="450" customFormat="false" ht="22.35" hidden="false" customHeight="false" outlineLevel="0" collapsed="false">
      <c r="A450" s="76" t="str">
        <f aca="false">B450&amp;"|"&amp;C450&amp;"|"&amp;D450&amp;"|"&amp;E450</f>
        <v>KWC|1|Rabu|11:00</v>
      </c>
      <c r="B450" s="76" t="s">
        <v>63</v>
      </c>
      <c r="C450" s="76" t="n">
        <v>1</v>
      </c>
      <c r="D450" s="76" t="s">
        <v>92</v>
      </c>
      <c r="E450" s="76" t="s">
        <v>114</v>
      </c>
      <c r="F450" s="77" t="s">
        <v>242</v>
      </c>
      <c r="G450" s="77" t="n">
        <v>5</v>
      </c>
      <c r="H450" s="77" t="n">
        <v>2</v>
      </c>
      <c r="I450" s="76" t="n">
        <f aca="false">IF(AND(ISNUMBER(G450),ISNUMBER(H450)),MAX(G450-H450,0),"")</f>
        <v>3</v>
      </c>
      <c r="J450" s="78" t="n">
        <f aca="false">IF(AND(ISNUMBER(G450),ISNUMBER(H450)),IF(G450&gt;0,H450/G450,""),"")</f>
        <v>0.4</v>
      </c>
      <c r="K450" s="77" t="s">
        <v>268</v>
      </c>
      <c r="L450" s="76" t="str">
        <f aca="false">IF(OR(G450="",H450=""),"Data tidak lengkap",IF(AND(G450=0,H450=0),IF(AND(F450="",K450=""),"Tidak dibuka","Tutup"),IF(H450&gt;G450,"Lebih kapasitas",IF(H450=G450,"Penuh",IF(H450=0,IF(F450="","Slot kosong","Belum terisi"),"Sebagian")))))</f>
        <v>Sebagian</v>
      </c>
      <c r="M450" s="79" t="str">
        <f aca="false">IF(L450="Tidak dibuka","–",IF(F450="","(tanpa age group)",F450)&amp;"  "&amp;IF(H450="","?",H450)&amp;"/"&amp;IF(G450="","?",G450)&amp;CHAR(10)&amp;IF(K450="","coach: –","coach: "&amp;K450))</f>
        <v>Baby  2/5
coach: Andreas</v>
      </c>
    </row>
    <row r="451" customFormat="false" ht="22.35" hidden="false" customHeight="false" outlineLevel="0" collapsed="false">
      <c r="A451" s="76" t="str">
        <f aca="false">B451&amp;"|"&amp;C451&amp;"|"&amp;D451&amp;"|"&amp;E451</f>
        <v>KWC|1|Rabu|11:45</v>
      </c>
      <c r="B451" s="76" t="s">
        <v>63</v>
      </c>
      <c r="C451" s="76" t="n">
        <v>1</v>
      </c>
      <c r="D451" s="76" t="s">
        <v>92</v>
      </c>
      <c r="E451" s="76" t="s">
        <v>115</v>
      </c>
      <c r="F451" s="77" t="s">
        <v>242</v>
      </c>
      <c r="G451" s="77" t="n">
        <v>0</v>
      </c>
      <c r="H451" s="77" t="n">
        <v>0</v>
      </c>
      <c r="I451" s="76" t="n">
        <f aca="false">IF(AND(ISNUMBER(G451),ISNUMBER(H451)),MAX(G451-H451,0),"")</f>
        <v>0</v>
      </c>
      <c r="J451" s="78" t="str">
        <f aca="false">IF(AND(ISNUMBER(G451),ISNUMBER(H451)),IF(G451&gt;0,H451/G451,""),"")</f>
        <v/>
      </c>
      <c r="K451" s="77"/>
      <c r="L451" s="76" t="str">
        <f aca="false">IF(OR(G451="",H451=""),"Data tidak lengkap",IF(AND(G451=0,H451=0),IF(AND(F451="",K451=""),"Tidak dibuka","Tutup"),IF(H451&gt;G451,"Lebih kapasitas",IF(H451=G451,"Penuh",IF(H451=0,IF(F451="","Slot kosong","Belum terisi"),"Sebagian")))))</f>
        <v>Tutup</v>
      </c>
      <c r="M451" s="79" t="str">
        <f aca="false">IF(L451="Tidak dibuka","–",IF(F451="","(tanpa age group)",F451)&amp;"  "&amp;IF(H451="","?",H451)&amp;"/"&amp;IF(G451="","?",G451)&amp;CHAR(10)&amp;IF(K451="","coach: –","coach: "&amp;K451))</f>
        <v>Baby  0/0
coach: –</v>
      </c>
    </row>
    <row r="452" customFormat="false" ht="22.35" hidden="false" customHeight="false" outlineLevel="0" collapsed="false">
      <c r="A452" s="76" t="str">
        <f aca="false">B452&amp;"|"&amp;C452&amp;"|"&amp;D452&amp;"|"&amp;E452</f>
        <v>KWC|1|Rabu|13:15</v>
      </c>
      <c r="B452" s="76" t="s">
        <v>63</v>
      </c>
      <c r="C452" s="76" t="n">
        <v>1</v>
      </c>
      <c r="D452" s="76" t="s">
        <v>92</v>
      </c>
      <c r="E452" s="76" t="s">
        <v>116</v>
      </c>
      <c r="F452" s="77" t="s">
        <v>242</v>
      </c>
      <c r="G452" s="77" t="n">
        <v>5</v>
      </c>
      <c r="H452" s="77" t="n">
        <v>0</v>
      </c>
      <c r="I452" s="76" t="n">
        <f aca="false">IF(AND(ISNUMBER(G452),ISNUMBER(H452)),MAX(G452-H452,0),"")</f>
        <v>5</v>
      </c>
      <c r="J452" s="78" t="n">
        <f aca="false">IF(AND(ISNUMBER(G452),ISNUMBER(H452)),IF(G452&gt;0,H452/G452,""),"")</f>
        <v>0</v>
      </c>
      <c r="K452" s="77"/>
      <c r="L452" s="76" t="str">
        <f aca="false">IF(OR(G452="",H452=""),"Data tidak lengkap",IF(AND(G452=0,H452=0),IF(AND(F452="",K452=""),"Tidak dibuka","Tutup"),IF(H452&gt;G452,"Lebih kapasitas",IF(H452=G452,"Penuh",IF(H452=0,IF(F452="","Slot kosong","Belum terisi"),"Sebagian")))))</f>
        <v>Belum terisi</v>
      </c>
      <c r="M452" s="79" t="str">
        <f aca="false">IF(L452="Tidak dibuka","–",IF(F452="","(tanpa age group)",F452)&amp;"  "&amp;IF(H452="","?",H452)&amp;"/"&amp;IF(G452="","?",G452)&amp;CHAR(10)&amp;IF(K452="","coach: –","coach: "&amp;K452))</f>
        <v>Baby  0/5
coach: –</v>
      </c>
    </row>
    <row r="453" customFormat="false" ht="22.35" hidden="false" customHeight="false" outlineLevel="0" collapsed="false">
      <c r="A453" s="76" t="str">
        <f aca="false">B453&amp;"|"&amp;C453&amp;"|"&amp;D453&amp;"|"&amp;E453</f>
        <v>KWC|1|Rabu|14:00</v>
      </c>
      <c r="B453" s="76" t="s">
        <v>63</v>
      </c>
      <c r="C453" s="76" t="n">
        <v>1</v>
      </c>
      <c r="D453" s="76" t="s">
        <v>92</v>
      </c>
      <c r="E453" s="76" t="s">
        <v>117</v>
      </c>
      <c r="F453" s="77" t="s">
        <v>242</v>
      </c>
      <c r="G453" s="77" t="n">
        <v>5</v>
      </c>
      <c r="H453" s="77" t="n">
        <v>0</v>
      </c>
      <c r="I453" s="76" t="n">
        <f aca="false">IF(AND(ISNUMBER(G453),ISNUMBER(H453)),MAX(G453-H453,0),"")</f>
        <v>5</v>
      </c>
      <c r="J453" s="78" t="n">
        <f aca="false">IF(AND(ISNUMBER(G453),ISNUMBER(H453)),IF(G453&gt;0,H453/G453,""),"")</f>
        <v>0</v>
      </c>
      <c r="K453" s="77"/>
      <c r="L453" s="76" t="str">
        <f aca="false">IF(OR(G453="",H453=""),"Data tidak lengkap",IF(AND(G453=0,H453=0),IF(AND(F453="",K453=""),"Tidak dibuka","Tutup"),IF(H453&gt;G453,"Lebih kapasitas",IF(H453=G453,"Penuh",IF(H453=0,IF(F453="","Slot kosong","Belum terisi"),"Sebagian")))))</f>
        <v>Belum terisi</v>
      </c>
      <c r="M453" s="79" t="str">
        <f aca="false">IF(L453="Tidak dibuka","–",IF(F453="","(tanpa age group)",F453)&amp;"  "&amp;IF(H453="","?",H453)&amp;"/"&amp;IF(G453="","?",G453)&amp;CHAR(10)&amp;IF(K453="","coach: –","coach: "&amp;K453))</f>
        <v>Baby  0/5
coach: –</v>
      </c>
    </row>
    <row r="454" customFormat="false" ht="22.35" hidden="false" customHeight="false" outlineLevel="0" collapsed="false">
      <c r="A454" s="76" t="str">
        <f aca="false">B454&amp;"|"&amp;C454&amp;"|"&amp;D454&amp;"|"&amp;E454</f>
        <v>KWC|1|Rabu|14:45</v>
      </c>
      <c r="B454" s="76" t="s">
        <v>63</v>
      </c>
      <c r="C454" s="76" t="n">
        <v>1</v>
      </c>
      <c r="D454" s="76" t="s">
        <v>92</v>
      </c>
      <c r="E454" s="76" t="s">
        <v>118</v>
      </c>
      <c r="F454" s="77" t="s">
        <v>242</v>
      </c>
      <c r="G454" s="77" t="n">
        <v>5</v>
      </c>
      <c r="H454" s="77" t="n">
        <v>0</v>
      </c>
      <c r="I454" s="76" t="n">
        <f aca="false">IF(AND(ISNUMBER(G454),ISNUMBER(H454)),MAX(G454-H454,0),"")</f>
        <v>5</v>
      </c>
      <c r="J454" s="78" t="n">
        <f aca="false">IF(AND(ISNUMBER(G454),ISNUMBER(H454)),IF(G454&gt;0,H454/G454,""),"")</f>
        <v>0</v>
      </c>
      <c r="K454" s="77"/>
      <c r="L454" s="76" t="str">
        <f aca="false">IF(OR(G454="",H454=""),"Data tidak lengkap",IF(AND(G454=0,H454=0),IF(AND(F454="",K454=""),"Tidak dibuka","Tutup"),IF(H454&gt;G454,"Lebih kapasitas",IF(H454=G454,"Penuh",IF(H454=0,IF(F454="","Slot kosong","Belum terisi"),"Sebagian")))))</f>
        <v>Belum terisi</v>
      </c>
      <c r="M454" s="79" t="str">
        <f aca="false">IF(L454="Tidak dibuka","–",IF(F454="","(tanpa age group)",F454)&amp;"  "&amp;IF(H454="","?",H454)&amp;"/"&amp;IF(G454="","?",G454)&amp;CHAR(10)&amp;IF(K454="","coach: –","coach: "&amp;K454))</f>
        <v>Baby  0/5
coach: –</v>
      </c>
    </row>
    <row r="455" customFormat="false" ht="22.35" hidden="false" customHeight="false" outlineLevel="0" collapsed="false">
      <c r="A455" s="76" t="str">
        <f aca="false">B455&amp;"|"&amp;C455&amp;"|"&amp;D455&amp;"|"&amp;E455</f>
        <v>KWC|1|Rabu|15:30</v>
      </c>
      <c r="B455" s="76" t="s">
        <v>63</v>
      </c>
      <c r="C455" s="76" t="n">
        <v>1</v>
      </c>
      <c r="D455" s="76" t="s">
        <v>92</v>
      </c>
      <c r="E455" s="76" t="s">
        <v>119</v>
      </c>
      <c r="F455" s="77" t="s">
        <v>242</v>
      </c>
      <c r="G455" s="77" t="n">
        <v>5</v>
      </c>
      <c r="H455" s="77" t="n">
        <v>0</v>
      </c>
      <c r="I455" s="76" t="n">
        <f aca="false">IF(AND(ISNUMBER(G455),ISNUMBER(H455)),MAX(G455-H455,0),"")</f>
        <v>5</v>
      </c>
      <c r="J455" s="78" t="n">
        <f aca="false">IF(AND(ISNUMBER(G455),ISNUMBER(H455)),IF(G455&gt;0,H455/G455,""),"")</f>
        <v>0</v>
      </c>
      <c r="K455" s="77"/>
      <c r="L455" s="76" t="str">
        <f aca="false">IF(OR(G455="",H455=""),"Data tidak lengkap",IF(AND(G455=0,H455=0),IF(AND(F455="",K455=""),"Tidak dibuka","Tutup"),IF(H455&gt;G455,"Lebih kapasitas",IF(H455=G455,"Penuh",IF(H455=0,IF(F455="","Slot kosong","Belum terisi"),"Sebagian")))))</f>
        <v>Belum terisi</v>
      </c>
      <c r="M455" s="79" t="str">
        <f aca="false">IF(L455="Tidak dibuka","–",IF(F455="","(tanpa age group)",F455)&amp;"  "&amp;IF(H455="","?",H455)&amp;"/"&amp;IF(G455="","?",G455)&amp;CHAR(10)&amp;IF(K455="","coach: –","coach: "&amp;K455))</f>
        <v>Baby  0/5
coach: –</v>
      </c>
    </row>
    <row r="456" customFormat="false" ht="22.35" hidden="false" customHeight="false" outlineLevel="0" collapsed="false">
      <c r="A456" s="76" t="str">
        <f aca="false">B456&amp;"|"&amp;C456&amp;"|"&amp;D456&amp;"|"&amp;E456</f>
        <v>KWC|1|Rabu|16:15</v>
      </c>
      <c r="B456" s="76" t="s">
        <v>63</v>
      </c>
      <c r="C456" s="76" t="n">
        <v>1</v>
      </c>
      <c r="D456" s="76" t="s">
        <v>92</v>
      </c>
      <c r="E456" s="76" t="s">
        <v>120</v>
      </c>
      <c r="F456" s="77" t="s">
        <v>242</v>
      </c>
      <c r="G456" s="77" t="n">
        <v>5</v>
      </c>
      <c r="H456" s="77" t="n">
        <v>2</v>
      </c>
      <c r="I456" s="76" t="n">
        <f aca="false">IF(AND(ISNUMBER(G456),ISNUMBER(H456)),MAX(G456-H456,0),"")</f>
        <v>3</v>
      </c>
      <c r="J456" s="78" t="n">
        <f aca="false">IF(AND(ISNUMBER(G456),ISNUMBER(H456)),IF(G456&gt;0,H456/G456,""),"")</f>
        <v>0.4</v>
      </c>
      <c r="K456" s="77" t="s">
        <v>270</v>
      </c>
      <c r="L456" s="76" t="str">
        <f aca="false">IF(OR(G456="",H456=""),"Data tidak lengkap",IF(AND(G456=0,H456=0),IF(AND(F456="",K456=""),"Tidak dibuka","Tutup"),IF(H456&gt;G456,"Lebih kapasitas",IF(H456=G456,"Penuh",IF(H456=0,IF(F456="","Slot kosong","Belum terisi"),"Sebagian")))))</f>
        <v>Sebagian</v>
      </c>
      <c r="M456" s="79" t="str">
        <f aca="false">IF(L456="Tidak dibuka","–",IF(F456="","(tanpa age group)",F456)&amp;"  "&amp;IF(H456="","?",H456)&amp;"/"&amp;IF(G456="","?",G456)&amp;CHAR(10)&amp;IF(K456="","coach: –","coach: "&amp;K456))</f>
        <v>Baby  2/5
coach: Sri</v>
      </c>
    </row>
    <row r="457" customFormat="false" ht="22.35" hidden="false" customHeight="false" outlineLevel="0" collapsed="false">
      <c r="A457" s="76" t="str">
        <f aca="false">B457&amp;"|"&amp;C457&amp;"|"&amp;D457&amp;"|"&amp;E457</f>
        <v>KWC|1|Rabu|17:00</v>
      </c>
      <c r="B457" s="76" t="s">
        <v>63</v>
      </c>
      <c r="C457" s="76" t="n">
        <v>1</v>
      </c>
      <c r="D457" s="76" t="s">
        <v>92</v>
      </c>
      <c r="E457" s="76" t="s">
        <v>121</v>
      </c>
      <c r="F457" s="77" t="s">
        <v>242</v>
      </c>
      <c r="G457" s="77" t="n">
        <v>5</v>
      </c>
      <c r="H457" s="77" t="n">
        <v>0</v>
      </c>
      <c r="I457" s="76" t="n">
        <f aca="false">IF(AND(ISNUMBER(G457),ISNUMBER(H457)),MAX(G457-H457,0),"")</f>
        <v>5</v>
      </c>
      <c r="J457" s="78" t="n">
        <f aca="false">IF(AND(ISNUMBER(G457),ISNUMBER(H457)),IF(G457&gt;0,H457/G457,""),"")</f>
        <v>0</v>
      </c>
      <c r="K457" s="77"/>
      <c r="L457" s="76" t="str">
        <f aca="false">IF(OR(G457="",H457=""),"Data tidak lengkap",IF(AND(G457=0,H457=0),IF(AND(F457="",K457=""),"Tidak dibuka","Tutup"),IF(H457&gt;G457,"Lebih kapasitas",IF(H457=G457,"Penuh",IF(H457=0,IF(F457="","Slot kosong","Belum terisi"),"Sebagian")))))</f>
        <v>Belum terisi</v>
      </c>
      <c r="M457" s="79" t="str">
        <f aca="false">IF(L457="Tidak dibuka","–",IF(F457="","(tanpa age group)",F457)&amp;"  "&amp;IF(H457="","?",H457)&amp;"/"&amp;IF(G457="","?",G457)&amp;CHAR(10)&amp;IF(K457="","coach: –","coach: "&amp;K457))</f>
        <v>Baby  0/5
coach: –</v>
      </c>
    </row>
    <row r="458" customFormat="false" ht="22.35" hidden="false" customHeight="false" outlineLevel="0" collapsed="false">
      <c r="A458" s="76" t="str">
        <f aca="false">B458&amp;"|"&amp;C458&amp;"|"&amp;D458&amp;"|"&amp;E458</f>
        <v>KWC|1|Kamis|08:00</v>
      </c>
      <c r="B458" s="76" t="s">
        <v>63</v>
      </c>
      <c r="C458" s="76" t="n">
        <v>1</v>
      </c>
      <c r="D458" s="76" t="s">
        <v>93</v>
      </c>
      <c r="E458" s="76" t="s">
        <v>110</v>
      </c>
      <c r="F458" s="77" t="s">
        <v>242</v>
      </c>
      <c r="G458" s="77" t="n">
        <v>0</v>
      </c>
      <c r="H458" s="77" t="n">
        <v>0</v>
      </c>
      <c r="I458" s="76" t="n">
        <f aca="false">IF(AND(ISNUMBER(G458),ISNUMBER(H458)),MAX(G458-H458,0),"")</f>
        <v>0</v>
      </c>
      <c r="J458" s="78" t="str">
        <f aca="false">IF(AND(ISNUMBER(G458),ISNUMBER(H458)),IF(G458&gt;0,H458/G458,""),"")</f>
        <v/>
      </c>
      <c r="K458" s="77"/>
      <c r="L458" s="76" t="str">
        <f aca="false">IF(OR(G458="",H458=""),"Data tidak lengkap",IF(AND(G458=0,H458=0),IF(AND(F458="",K458=""),"Tidak dibuka","Tutup"),IF(H458&gt;G458,"Lebih kapasitas",IF(H458=G458,"Penuh",IF(H458=0,IF(F458="","Slot kosong","Belum terisi"),"Sebagian")))))</f>
        <v>Tutup</v>
      </c>
      <c r="M458" s="79" t="str">
        <f aca="false">IF(L458="Tidak dibuka","–",IF(F458="","(tanpa age group)",F458)&amp;"  "&amp;IF(H458="","?",H458)&amp;"/"&amp;IF(G458="","?",G458)&amp;CHAR(10)&amp;IF(K458="","coach: –","coach: "&amp;K458))</f>
        <v>Baby  0/0
coach: –</v>
      </c>
    </row>
    <row r="459" customFormat="false" ht="22.35" hidden="false" customHeight="false" outlineLevel="0" collapsed="false">
      <c r="A459" s="76" t="str">
        <f aca="false">B459&amp;"|"&amp;C459&amp;"|"&amp;D459&amp;"|"&amp;E459</f>
        <v>KWC|1|Kamis|08:45</v>
      </c>
      <c r="B459" s="76" t="s">
        <v>63</v>
      </c>
      <c r="C459" s="76" t="n">
        <v>1</v>
      </c>
      <c r="D459" s="76" t="s">
        <v>93</v>
      </c>
      <c r="E459" s="76" t="s">
        <v>111</v>
      </c>
      <c r="F459" s="77" t="s">
        <v>242</v>
      </c>
      <c r="G459" s="77" t="n">
        <v>5</v>
      </c>
      <c r="H459" s="77" t="n">
        <v>0</v>
      </c>
      <c r="I459" s="76" t="n">
        <f aca="false">IF(AND(ISNUMBER(G459),ISNUMBER(H459)),MAX(G459-H459,0),"")</f>
        <v>5</v>
      </c>
      <c r="J459" s="78" t="n">
        <f aca="false">IF(AND(ISNUMBER(G459),ISNUMBER(H459)),IF(G459&gt;0,H459/G459,""),"")</f>
        <v>0</v>
      </c>
      <c r="K459" s="77"/>
      <c r="L459" s="76" t="str">
        <f aca="false">IF(OR(G459="",H459=""),"Data tidak lengkap",IF(AND(G459=0,H459=0),IF(AND(F459="",K459=""),"Tidak dibuka","Tutup"),IF(H459&gt;G459,"Lebih kapasitas",IF(H459=G459,"Penuh",IF(H459=0,IF(F459="","Slot kosong","Belum terisi"),"Sebagian")))))</f>
        <v>Belum terisi</v>
      </c>
      <c r="M459" s="79" t="str">
        <f aca="false">IF(L459="Tidak dibuka","–",IF(F459="","(tanpa age group)",F459)&amp;"  "&amp;IF(H459="","?",H459)&amp;"/"&amp;IF(G459="","?",G459)&amp;CHAR(10)&amp;IF(K459="","coach: –","coach: "&amp;K459))</f>
        <v>Baby  0/5
coach: –</v>
      </c>
    </row>
    <row r="460" customFormat="false" ht="22.35" hidden="false" customHeight="false" outlineLevel="0" collapsed="false">
      <c r="A460" s="76" t="str">
        <f aca="false">B460&amp;"|"&amp;C460&amp;"|"&amp;D460&amp;"|"&amp;E460</f>
        <v>KWC|1|Kamis|09:30</v>
      </c>
      <c r="B460" s="76" t="s">
        <v>63</v>
      </c>
      <c r="C460" s="76" t="n">
        <v>1</v>
      </c>
      <c r="D460" s="76" t="s">
        <v>93</v>
      </c>
      <c r="E460" s="76" t="s">
        <v>112</v>
      </c>
      <c r="F460" s="77" t="s">
        <v>242</v>
      </c>
      <c r="G460" s="77" t="n">
        <v>5</v>
      </c>
      <c r="H460" s="77" t="n">
        <v>0</v>
      </c>
      <c r="I460" s="76" t="n">
        <f aca="false">IF(AND(ISNUMBER(G460),ISNUMBER(H460)),MAX(G460-H460,0),"")</f>
        <v>5</v>
      </c>
      <c r="J460" s="78" t="n">
        <f aca="false">IF(AND(ISNUMBER(G460),ISNUMBER(H460)),IF(G460&gt;0,H460/G460,""),"")</f>
        <v>0</v>
      </c>
      <c r="K460" s="77"/>
      <c r="L460" s="76" t="str">
        <f aca="false">IF(OR(G460="",H460=""),"Data tidak lengkap",IF(AND(G460=0,H460=0),IF(AND(F460="",K460=""),"Tidak dibuka","Tutup"),IF(H460&gt;G460,"Lebih kapasitas",IF(H460=G460,"Penuh",IF(H460=0,IF(F460="","Slot kosong","Belum terisi"),"Sebagian")))))</f>
        <v>Belum terisi</v>
      </c>
      <c r="M460" s="79" t="str">
        <f aca="false">IF(L460="Tidak dibuka","–",IF(F460="","(tanpa age group)",F460)&amp;"  "&amp;IF(H460="","?",H460)&amp;"/"&amp;IF(G460="","?",G460)&amp;CHAR(10)&amp;IF(K460="","coach: –","coach: "&amp;K460))</f>
        <v>Baby  0/5
coach: –</v>
      </c>
    </row>
    <row r="461" customFormat="false" ht="22.35" hidden="false" customHeight="false" outlineLevel="0" collapsed="false">
      <c r="A461" s="76" t="str">
        <f aca="false">B461&amp;"|"&amp;C461&amp;"|"&amp;D461&amp;"|"&amp;E461</f>
        <v>KWC|1|Kamis|10:15</v>
      </c>
      <c r="B461" s="76" t="s">
        <v>63</v>
      </c>
      <c r="C461" s="76" t="n">
        <v>1</v>
      </c>
      <c r="D461" s="76" t="s">
        <v>93</v>
      </c>
      <c r="E461" s="76" t="s">
        <v>113</v>
      </c>
      <c r="F461" s="77" t="s">
        <v>242</v>
      </c>
      <c r="G461" s="77" t="n">
        <v>5</v>
      </c>
      <c r="H461" s="77" t="n">
        <v>3</v>
      </c>
      <c r="I461" s="76" t="n">
        <f aca="false">IF(AND(ISNUMBER(G461),ISNUMBER(H461)),MAX(G461-H461,0),"")</f>
        <v>2</v>
      </c>
      <c r="J461" s="78" t="n">
        <f aca="false">IF(AND(ISNUMBER(G461),ISNUMBER(H461)),IF(G461&gt;0,H461/G461,""),"")</f>
        <v>0.6</v>
      </c>
      <c r="K461" s="77" t="s">
        <v>268</v>
      </c>
      <c r="L461" s="76" t="str">
        <f aca="false">IF(OR(G461="",H461=""),"Data tidak lengkap",IF(AND(G461=0,H461=0),IF(AND(F461="",K461=""),"Tidak dibuka","Tutup"),IF(H461&gt;G461,"Lebih kapasitas",IF(H461=G461,"Penuh",IF(H461=0,IF(F461="","Slot kosong","Belum terisi"),"Sebagian")))))</f>
        <v>Sebagian</v>
      </c>
      <c r="M461" s="79" t="str">
        <f aca="false">IF(L461="Tidak dibuka","–",IF(F461="","(tanpa age group)",F461)&amp;"  "&amp;IF(H461="","?",H461)&amp;"/"&amp;IF(G461="","?",G461)&amp;CHAR(10)&amp;IF(K461="","coach: –","coach: "&amp;K461))</f>
        <v>Baby  3/5
coach: Andreas</v>
      </c>
    </row>
    <row r="462" customFormat="false" ht="22.35" hidden="false" customHeight="false" outlineLevel="0" collapsed="false">
      <c r="A462" s="76" t="str">
        <f aca="false">B462&amp;"|"&amp;C462&amp;"|"&amp;D462&amp;"|"&amp;E462</f>
        <v>KWC|1|Kamis|11:00</v>
      </c>
      <c r="B462" s="76" t="s">
        <v>63</v>
      </c>
      <c r="C462" s="76" t="n">
        <v>1</v>
      </c>
      <c r="D462" s="76" t="s">
        <v>93</v>
      </c>
      <c r="E462" s="76" t="s">
        <v>114</v>
      </c>
      <c r="F462" s="77" t="s">
        <v>242</v>
      </c>
      <c r="G462" s="77" t="n">
        <v>5</v>
      </c>
      <c r="H462" s="77" t="n">
        <v>0</v>
      </c>
      <c r="I462" s="76" t="n">
        <f aca="false">IF(AND(ISNUMBER(G462),ISNUMBER(H462)),MAX(G462-H462,0),"")</f>
        <v>5</v>
      </c>
      <c r="J462" s="78" t="n">
        <f aca="false">IF(AND(ISNUMBER(G462),ISNUMBER(H462)),IF(G462&gt;0,H462/G462,""),"")</f>
        <v>0</v>
      </c>
      <c r="K462" s="77"/>
      <c r="L462" s="76" t="str">
        <f aca="false">IF(OR(G462="",H462=""),"Data tidak lengkap",IF(AND(G462=0,H462=0),IF(AND(F462="",K462=""),"Tidak dibuka","Tutup"),IF(H462&gt;G462,"Lebih kapasitas",IF(H462=G462,"Penuh",IF(H462=0,IF(F462="","Slot kosong","Belum terisi"),"Sebagian")))))</f>
        <v>Belum terisi</v>
      </c>
      <c r="M462" s="79" t="str">
        <f aca="false">IF(L462="Tidak dibuka","–",IF(F462="","(tanpa age group)",F462)&amp;"  "&amp;IF(H462="","?",H462)&amp;"/"&amp;IF(G462="","?",G462)&amp;CHAR(10)&amp;IF(K462="","coach: –","coach: "&amp;K462))</f>
        <v>Baby  0/5
coach: –</v>
      </c>
    </row>
    <row r="463" customFormat="false" ht="22.35" hidden="false" customHeight="false" outlineLevel="0" collapsed="false">
      <c r="A463" s="76" t="str">
        <f aca="false">B463&amp;"|"&amp;C463&amp;"|"&amp;D463&amp;"|"&amp;E463</f>
        <v>KWC|1|Kamis|11:45</v>
      </c>
      <c r="B463" s="76" t="s">
        <v>63</v>
      </c>
      <c r="C463" s="76" t="n">
        <v>1</v>
      </c>
      <c r="D463" s="76" t="s">
        <v>93</v>
      </c>
      <c r="E463" s="76" t="s">
        <v>115</v>
      </c>
      <c r="F463" s="77" t="s">
        <v>242</v>
      </c>
      <c r="G463" s="77" t="n">
        <v>0</v>
      </c>
      <c r="H463" s="77" t="n">
        <v>0</v>
      </c>
      <c r="I463" s="76" t="n">
        <f aca="false">IF(AND(ISNUMBER(G463),ISNUMBER(H463)),MAX(G463-H463,0),"")</f>
        <v>0</v>
      </c>
      <c r="J463" s="78" t="str">
        <f aca="false">IF(AND(ISNUMBER(G463),ISNUMBER(H463)),IF(G463&gt;0,H463/G463,""),"")</f>
        <v/>
      </c>
      <c r="K463" s="77"/>
      <c r="L463" s="76" t="str">
        <f aca="false">IF(OR(G463="",H463=""),"Data tidak lengkap",IF(AND(G463=0,H463=0),IF(AND(F463="",K463=""),"Tidak dibuka","Tutup"),IF(H463&gt;G463,"Lebih kapasitas",IF(H463=G463,"Penuh",IF(H463=0,IF(F463="","Slot kosong","Belum terisi"),"Sebagian")))))</f>
        <v>Tutup</v>
      </c>
      <c r="M463" s="79" t="str">
        <f aca="false">IF(L463="Tidak dibuka","–",IF(F463="","(tanpa age group)",F463)&amp;"  "&amp;IF(H463="","?",H463)&amp;"/"&amp;IF(G463="","?",G463)&amp;CHAR(10)&amp;IF(K463="","coach: –","coach: "&amp;K463))</f>
        <v>Baby  0/0
coach: –</v>
      </c>
    </row>
    <row r="464" customFormat="false" ht="22.35" hidden="false" customHeight="false" outlineLevel="0" collapsed="false">
      <c r="A464" s="76" t="str">
        <f aca="false">B464&amp;"|"&amp;C464&amp;"|"&amp;D464&amp;"|"&amp;E464</f>
        <v>KWC|1|Kamis|13:15</v>
      </c>
      <c r="B464" s="76" t="s">
        <v>63</v>
      </c>
      <c r="C464" s="76" t="n">
        <v>1</v>
      </c>
      <c r="D464" s="76" t="s">
        <v>93</v>
      </c>
      <c r="E464" s="76" t="s">
        <v>116</v>
      </c>
      <c r="F464" s="77" t="s">
        <v>242</v>
      </c>
      <c r="G464" s="77" t="n">
        <v>5</v>
      </c>
      <c r="H464" s="77" t="n">
        <v>0</v>
      </c>
      <c r="I464" s="76" t="n">
        <f aca="false">IF(AND(ISNUMBER(G464),ISNUMBER(H464)),MAX(G464-H464,0),"")</f>
        <v>5</v>
      </c>
      <c r="J464" s="78" t="n">
        <f aca="false">IF(AND(ISNUMBER(G464),ISNUMBER(H464)),IF(G464&gt;0,H464/G464,""),"")</f>
        <v>0</v>
      </c>
      <c r="K464" s="77"/>
      <c r="L464" s="76" t="str">
        <f aca="false">IF(OR(G464="",H464=""),"Data tidak lengkap",IF(AND(G464=0,H464=0),IF(AND(F464="",K464=""),"Tidak dibuka","Tutup"),IF(H464&gt;G464,"Lebih kapasitas",IF(H464=G464,"Penuh",IF(H464=0,IF(F464="","Slot kosong","Belum terisi"),"Sebagian")))))</f>
        <v>Belum terisi</v>
      </c>
      <c r="M464" s="79" t="str">
        <f aca="false">IF(L464="Tidak dibuka","–",IF(F464="","(tanpa age group)",F464)&amp;"  "&amp;IF(H464="","?",H464)&amp;"/"&amp;IF(G464="","?",G464)&amp;CHAR(10)&amp;IF(K464="","coach: –","coach: "&amp;K464))</f>
        <v>Baby  0/5
coach: –</v>
      </c>
    </row>
    <row r="465" customFormat="false" ht="22.35" hidden="false" customHeight="false" outlineLevel="0" collapsed="false">
      <c r="A465" s="76" t="str">
        <f aca="false">B465&amp;"|"&amp;C465&amp;"|"&amp;D465&amp;"|"&amp;E465</f>
        <v>KWC|1|Kamis|14:00</v>
      </c>
      <c r="B465" s="76" t="s">
        <v>63</v>
      </c>
      <c r="C465" s="76" t="n">
        <v>1</v>
      </c>
      <c r="D465" s="76" t="s">
        <v>93</v>
      </c>
      <c r="E465" s="76" t="s">
        <v>117</v>
      </c>
      <c r="F465" s="77" t="s">
        <v>242</v>
      </c>
      <c r="G465" s="77" t="n">
        <v>5</v>
      </c>
      <c r="H465" s="77" t="n">
        <v>0</v>
      </c>
      <c r="I465" s="76" t="n">
        <f aca="false">IF(AND(ISNUMBER(G465),ISNUMBER(H465)),MAX(G465-H465,0),"")</f>
        <v>5</v>
      </c>
      <c r="J465" s="78" t="n">
        <f aca="false">IF(AND(ISNUMBER(G465),ISNUMBER(H465)),IF(G465&gt;0,H465/G465,""),"")</f>
        <v>0</v>
      </c>
      <c r="K465" s="77"/>
      <c r="L465" s="76" t="str">
        <f aca="false">IF(OR(G465="",H465=""),"Data tidak lengkap",IF(AND(G465=0,H465=0),IF(AND(F465="",K465=""),"Tidak dibuka","Tutup"),IF(H465&gt;G465,"Lebih kapasitas",IF(H465=G465,"Penuh",IF(H465=0,IF(F465="","Slot kosong","Belum terisi"),"Sebagian")))))</f>
        <v>Belum terisi</v>
      </c>
      <c r="M465" s="79" t="str">
        <f aca="false">IF(L465="Tidak dibuka","–",IF(F465="","(tanpa age group)",F465)&amp;"  "&amp;IF(H465="","?",H465)&amp;"/"&amp;IF(G465="","?",G465)&amp;CHAR(10)&amp;IF(K465="","coach: –","coach: "&amp;K465))</f>
        <v>Baby  0/5
coach: –</v>
      </c>
    </row>
    <row r="466" customFormat="false" ht="22.35" hidden="false" customHeight="false" outlineLevel="0" collapsed="false">
      <c r="A466" s="76" t="str">
        <f aca="false">B466&amp;"|"&amp;C466&amp;"|"&amp;D466&amp;"|"&amp;E466</f>
        <v>KWC|1|Kamis|14:45</v>
      </c>
      <c r="B466" s="76" t="s">
        <v>63</v>
      </c>
      <c r="C466" s="76" t="n">
        <v>1</v>
      </c>
      <c r="D466" s="76" t="s">
        <v>93</v>
      </c>
      <c r="E466" s="76" t="s">
        <v>118</v>
      </c>
      <c r="F466" s="77" t="s">
        <v>242</v>
      </c>
      <c r="G466" s="77" t="n">
        <v>5</v>
      </c>
      <c r="H466" s="77" t="n">
        <v>0</v>
      </c>
      <c r="I466" s="76" t="n">
        <f aca="false">IF(AND(ISNUMBER(G466),ISNUMBER(H466)),MAX(G466-H466,0),"")</f>
        <v>5</v>
      </c>
      <c r="J466" s="78" t="n">
        <f aca="false">IF(AND(ISNUMBER(G466),ISNUMBER(H466)),IF(G466&gt;0,H466/G466,""),"")</f>
        <v>0</v>
      </c>
      <c r="K466" s="77"/>
      <c r="L466" s="76" t="str">
        <f aca="false">IF(OR(G466="",H466=""),"Data tidak lengkap",IF(AND(G466=0,H466=0),IF(AND(F466="",K466=""),"Tidak dibuka","Tutup"),IF(H466&gt;G466,"Lebih kapasitas",IF(H466=G466,"Penuh",IF(H466=0,IF(F466="","Slot kosong","Belum terisi"),"Sebagian")))))</f>
        <v>Belum terisi</v>
      </c>
      <c r="M466" s="79" t="str">
        <f aca="false">IF(L466="Tidak dibuka","–",IF(F466="","(tanpa age group)",F466)&amp;"  "&amp;IF(H466="","?",H466)&amp;"/"&amp;IF(G466="","?",G466)&amp;CHAR(10)&amp;IF(K466="","coach: –","coach: "&amp;K466))</f>
        <v>Baby  0/5
coach: –</v>
      </c>
    </row>
    <row r="467" customFormat="false" ht="22.35" hidden="false" customHeight="false" outlineLevel="0" collapsed="false">
      <c r="A467" s="76" t="str">
        <f aca="false">B467&amp;"|"&amp;C467&amp;"|"&amp;D467&amp;"|"&amp;E467</f>
        <v>KWC|1|Kamis|15:30</v>
      </c>
      <c r="B467" s="76" t="s">
        <v>63</v>
      </c>
      <c r="C467" s="76" t="n">
        <v>1</v>
      </c>
      <c r="D467" s="76" t="s">
        <v>93</v>
      </c>
      <c r="E467" s="76" t="s">
        <v>119</v>
      </c>
      <c r="F467" s="77" t="s">
        <v>242</v>
      </c>
      <c r="G467" s="77" t="n">
        <v>5</v>
      </c>
      <c r="H467" s="77" t="n">
        <v>0</v>
      </c>
      <c r="I467" s="76" t="n">
        <f aca="false">IF(AND(ISNUMBER(G467),ISNUMBER(H467)),MAX(G467-H467,0),"")</f>
        <v>5</v>
      </c>
      <c r="J467" s="78" t="n">
        <f aca="false">IF(AND(ISNUMBER(G467),ISNUMBER(H467)),IF(G467&gt;0,H467/G467,""),"")</f>
        <v>0</v>
      </c>
      <c r="K467" s="77"/>
      <c r="L467" s="76" t="str">
        <f aca="false">IF(OR(G467="",H467=""),"Data tidak lengkap",IF(AND(G467=0,H467=0),IF(AND(F467="",K467=""),"Tidak dibuka","Tutup"),IF(H467&gt;G467,"Lebih kapasitas",IF(H467=G467,"Penuh",IF(H467=0,IF(F467="","Slot kosong","Belum terisi"),"Sebagian")))))</f>
        <v>Belum terisi</v>
      </c>
      <c r="M467" s="79" t="str">
        <f aca="false">IF(L467="Tidak dibuka","–",IF(F467="","(tanpa age group)",F467)&amp;"  "&amp;IF(H467="","?",H467)&amp;"/"&amp;IF(G467="","?",G467)&amp;CHAR(10)&amp;IF(K467="","coach: –","coach: "&amp;K467))</f>
        <v>Baby  0/5
coach: –</v>
      </c>
    </row>
    <row r="468" customFormat="false" ht="22.35" hidden="false" customHeight="false" outlineLevel="0" collapsed="false">
      <c r="A468" s="76" t="str">
        <f aca="false">B468&amp;"|"&amp;C468&amp;"|"&amp;D468&amp;"|"&amp;E468</f>
        <v>KWC|1|Kamis|16:15</v>
      </c>
      <c r="B468" s="76" t="s">
        <v>63</v>
      </c>
      <c r="C468" s="76" t="n">
        <v>1</v>
      </c>
      <c r="D468" s="76" t="s">
        <v>93</v>
      </c>
      <c r="E468" s="76" t="s">
        <v>120</v>
      </c>
      <c r="F468" s="77" t="s">
        <v>242</v>
      </c>
      <c r="G468" s="77" t="n">
        <v>5</v>
      </c>
      <c r="H468" s="77" t="n">
        <v>1</v>
      </c>
      <c r="I468" s="76" t="n">
        <f aca="false">IF(AND(ISNUMBER(G468),ISNUMBER(H468)),MAX(G468-H468,0),"")</f>
        <v>4</v>
      </c>
      <c r="J468" s="78" t="n">
        <f aca="false">IF(AND(ISNUMBER(G468),ISNUMBER(H468)),IF(G468&gt;0,H468/G468,""),"")</f>
        <v>0.2</v>
      </c>
      <c r="K468" s="77" t="s">
        <v>271</v>
      </c>
      <c r="L468" s="76" t="str">
        <f aca="false">IF(OR(G468="",H468=""),"Data tidak lengkap",IF(AND(G468=0,H468=0),IF(AND(F468="",K468=""),"Tidak dibuka","Tutup"),IF(H468&gt;G468,"Lebih kapasitas",IF(H468=G468,"Penuh",IF(H468=0,IF(F468="","Slot kosong","Belum terisi"),"Sebagian")))))</f>
        <v>Sebagian</v>
      </c>
      <c r="M468" s="79" t="str">
        <f aca="false">IF(L468="Tidak dibuka","–",IF(F468="","(tanpa age group)",F468)&amp;"  "&amp;IF(H468="","?",H468)&amp;"/"&amp;IF(G468="","?",G468)&amp;CHAR(10)&amp;IF(K468="","coach: –","coach: "&amp;K468))</f>
        <v>Baby  1/5
coach: Icis</v>
      </c>
    </row>
    <row r="469" customFormat="false" ht="22.35" hidden="false" customHeight="false" outlineLevel="0" collapsed="false">
      <c r="A469" s="76" t="str">
        <f aca="false">B469&amp;"|"&amp;C469&amp;"|"&amp;D469&amp;"|"&amp;E469</f>
        <v>KWC|1|Kamis|17:00</v>
      </c>
      <c r="B469" s="76" t="s">
        <v>63</v>
      </c>
      <c r="C469" s="76" t="n">
        <v>1</v>
      </c>
      <c r="D469" s="76" t="s">
        <v>93</v>
      </c>
      <c r="E469" s="76" t="s">
        <v>121</v>
      </c>
      <c r="F469" s="77" t="s">
        <v>242</v>
      </c>
      <c r="G469" s="77" t="n">
        <v>5</v>
      </c>
      <c r="H469" s="77" t="n">
        <v>0</v>
      </c>
      <c r="I469" s="76" t="n">
        <f aca="false">IF(AND(ISNUMBER(G469),ISNUMBER(H469)),MAX(G469-H469,0),"")</f>
        <v>5</v>
      </c>
      <c r="J469" s="78" t="n">
        <f aca="false">IF(AND(ISNUMBER(G469),ISNUMBER(H469)),IF(G469&gt;0,H469/G469,""),"")</f>
        <v>0</v>
      </c>
      <c r="K469" s="77"/>
      <c r="L469" s="76" t="str">
        <f aca="false">IF(OR(G469="",H469=""),"Data tidak lengkap",IF(AND(G469=0,H469=0),IF(AND(F469="",K469=""),"Tidak dibuka","Tutup"),IF(H469&gt;G469,"Lebih kapasitas",IF(H469=G469,"Penuh",IF(H469=0,IF(F469="","Slot kosong","Belum terisi"),"Sebagian")))))</f>
        <v>Belum terisi</v>
      </c>
      <c r="M469" s="79" t="str">
        <f aca="false">IF(L469="Tidak dibuka","–",IF(F469="","(tanpa age group)",F469)&amp;"  "&amp;IF(H469="","?",H469)&amp;"/"&amp;IF(G469="","?",G469)&amp;CHAR(10)&amp;IF(K469="","coach: –","coach: "&amp;K469))</f>
        <v>Baby  0/5
coach: –</v>
      </c>
    </row>
    <row r="470" customFormat="false" ht="22.35" hidden="false" customHeight="false" outlineLevel="0" collapsed="false">
      <c r="A470" s="76" t="str">
        <f aca="false">B470&amp;"|"&amp;C470&amp;"|"&amp;D470&amp;"|"&amp;E470</f>
        <v>KWC|1|Jumat|08:00</v>
      </c>
      <c r="B470" s="76" t="s">
        <v>63</v>
      </c>
      <c r="C470" s="76" t="n">
        <v>1</v>
      </c>
      <c r="D470" s="76" t="s">
        <v>94</v>
      </c>
      <c r="E470" s="76" t="s">
        <v>110</v>
      </c>
      <c r="F470" s="77" t="s">
        <v>242</v>
      </c>
      <c r="G470" s="77" t="n">
        <v>0</v>
      </c>
      <c r="H470" s="77" t="n">
        <v>0</v>
      </c>
      <c r="I470" s="76" t="n">
        <f aca="false">IF(AND(ISNUMBER(G470),ISNUMBER(H470)),MAX(G470-H470,0),"")</f>
        <v>0</v>
      </c>
      <c r="J470" s="78" t="str">
        <f aca="false">IF(AND(ISNUMBER(G470),ISNUMBER(H470)),IF(G470&gt;0,H470/G470,""),"")</f>
        <v/>
      </c>
      <c r="K470" s="77"/>
      <c r="L470" s="76" t="str">
        <f aca="false">IF(OR(G470="",H470=""),"Data tidak lengkap",IF(AND(G470=0,H470=0),IF(AND(F470="",K470=""),"Tidak dibuka","Tutup"),IF(H470&gt;G470,"Lebih kapasitas",IF(H470=G470,"Penuh",IF(H470=0,IF(F470="","Slot kosong","Belum terisi"),"Sebagian")))))</f>
        <v>Tutup</v>
      </c>
      <c r="M470" s="79" t="str">
        <f aca="false">IF(L470="Tidak dibuka","–",IF(F470="","(tanpa age group)",F470)&amp;"  "&amp;IF(H470="","?",H470)&amp;"/"&amp;IF(G470="","?",G470)&amp;CHAR(10)&amp;IF(K470="","coach: –","coach: "&amp;K470))</f>
        <v>Baby  0/0
coach: –</v>
      </c>
    </row>
    <row r="471" customFormat="false" ht="22.35" hidden="false" customHeight="false" outlineLevel="0" collapsed="false">
      <c r="A471" s="76" t="str">
        <f aca="false">B471&amp;"|"&amp;C471&amp;"|"&amp;D471&amp;"|"&amp;E471</f>
        <v>KWC|1|Jumat|08:45</v>
      </c>
      <c r="B471" s="76" t="s">
        <v>63</v>
      </c>
      <c r="C471" s="76" t="n">
        <v>1</v>
      </c>
      <c r="D471" s="76" t="s">
        <v>94</v>
      </c>
      <c r="E471" s="76" t="s">
        <v>111</v>
      </c>
      <c r="F471" s="77" t="s">
        <v>242</v>
      </c>
      <c r="G471" s="77" t="n">
        <v>5</v>
      </c>
      <c r="H471" s="77" t="n">
        <v>4</v>
      </c>
      <c r="I471" s="76" t="n">
        <f aca="false">IF(AND(ISNUMBER(G471),ISNUMBER(H471)),MAX(G471-H471,0),"")</f>
        <v>1</v>
      </c>
      <c r="J471" s="78" t="n">
        <f aca="false">IF(AND(ISNUMBER(G471),ISNUMBER(H471)),IF(G471&gt;0,H471/G471,""),"")</f>
        <v>0.8</v>
      </c>
      <c r="K471" s="77" t="s">
        <v>268</v>
      </c>
      <c r="L471" s="76" t="str">
        <f aca="false">IF(OR(G471="",H471=""),"Data tidak lengkap",IF(AND(G471=0,H471=0),IF(AND(F471="",K471=""),"Tidak dibuka","Tutup"),IF(H471&gt;G471,"Lebih kapasitas",IF(H471=G471,"Penuh",IF(H471=0,IF(F471="","Slot kosong","Belum terisi"),"Sebagian")))))</f>
        <v>Sebagian</v>
      </c>
      <c r="M471" s="79" t="str">
        <f aca="false">IF(L471="Tidak dibuka","–",IF(F471="","(tanpa age group)",F471)&amp;"  "&amp;IF(H471="","?",H471)&amp;"/"&amp;IF(G471="","?",G471)&amp;CHAR(10)&amp;IF(K471="","coach: –","coach: "&amp;K471))</f>
        <v>Baby  4/5
coach: Andreas</v>
      </c>
    </row>
    <row r="472" customFormat="false" ht="22.35" hidden="false" customHeight="false" outlineLevel="0" collapsed="false">
      <c r="A472" s="76" t="str">
        <f aca="false">B472&amp;"|"&amp;C472&amp;"|"&amp;D472&amp;"|"&amp;E472</f>
        <v>KWC|1|Jumat|09:30</v>
      </c>
      <c r="B472" s="76" t="s">
        <v>63</v>
      </c>
      <c r="C472" s="76" t="n">
        <v>1</v>
      </c>
      <c r="D472" s="76" t="s">
        <v>94</v>
      </c>
      <c r="E472" s="76" t="s">
        <v>112</v>
      </c>
      <c r="F472" s="77" t="s">
        <v>242</v>
      </c>
      <c r="G472" s="77" t="n">
        <v>5</v>
      </c>
      <c r="H472" s="77" t="n">
        <v>0</v>
      </c>
      <c r="I472" s="76" t="n">
        <f aca="false">IF(AND(ISNUMBER(G472),ISNUMBER(H472)),MAX(G472-H472,0),"")</f>
        <v>5</v>
      </c>
      <c r="J472" s="78" t="n">
        <f aca="false">IF(AND(ISNUMBER(G472),ISNUMBER(H472)),IF(G472&gt;0,H472/G472,""),"")</f>
        <v>0</v>
      </c>
      <c r="K472" s="77"/>
      <c r="L472" s="76" t="str">
        <f aca="false">IF(OR(G472="",H472=""),"Data tidak lengkap",IF(AND(G472=0,H472=0),IF(AND(F472="",K472=""),"Tidak dibuka","Tutup"),IF(H472&gt;G472,"Lebih kapasitas",IF(H472=G472,"Penuh",IF(H472=0,IF(F472="","Slot kosong","Belum terisi"),"Sebagian")))))</f>
        <v>Belum terisi</v>
      </c>
      <c r="M472" s="79" t="str">
        <f aca="false">IF(L472="Tidak dibuka","–",IF(F472="","(tanpa age group)",F472)&amp;"  "&amp;IF(H472="","?",H472)&amp;"/"&amp;IF(G472="","?",G472)&amp;CHAR(10)&amp;IF(K472="","coach: –","coach: "&amp;K472))</f>
        <v>Baby  0/5
coach: –</v>
      </c>
    </row>
    <row r="473" customFormat="false" ht="22.35" hidden="false" customHeight="false" outlineLevel="0" collapsed="false">
      <c r="A473" s="76" t="str">
        <f aca="false">B473&amp;"|"&amp;C473&amp;"|"&amp;D473&amp;"|"&amp;E473</f>
        <v>KWC|1|Jumat|10:15</v>
      </c>
      <c r="B473" s="76" t="s">
        <v>63</v>
      </c>
      <c r="C473" s="76" t="n">
        <v>1</v>
      </c>
      <c r="D473" s="76" t="s">
        <v>94</v>
      </c>
      <c r="E473" s="76" t="s">
        <v>113</v>
      </c>
      <c r="F473" s="77" t="s">
        <v>242</v>
      </c>
      <c r="G473" s="77" t="n">
        <v>5</v>
      </c>
      <c r="H473" s="77" t="n">
        <v>0</v>
      </c>
      <c r="I473" s="76" t="n">
        <f aca="false">IF(AND(ISNUMBER(G473),ISNUMBER(H473)),MAX(G473-H473,0),"")</f>
        <v>5</v>
      </c>
      <c r="J473" s="78" t="n">
        <f aca="false">IF(AND(ISNUMBER(G473),ISNUMBER(H473)),IF(G473&gt;0,H473/G473,""),"")</f>
        <v>0</v>
      </c>
      <c r="K473" s="77"/>
      <c r="L473" s="76" t="str">
        <f aca="false">IF(OR(G473="",H473=""),"Data tidak lengkap",IF(AND(G473=0,H473=0),IF(AND(F473="",K473=""),"Tidak dibuka","Tutup"),IF(H473&gt;G473,"Lebih kapasitas",IF(H473=G473,"Penuh",IF(H473=0,IF(F473="","Slot kosong","Belum terisi"),"Sebagian")))))</f>
        <v>Belum terisi</v>
      </c>
      <c r="M473" s="79" t="str">
        <f aca="false">IF(L473="Tidak dibuka","–",IF(F473="","(tanpa age group)",F473)&amp;"  "&amp;IF(H473="","?",H473)&amp;"/"&amp;IF(G473="","?",G473)&amp;CHAR(10)&amp;IF(K473="","coach: –","coach: "&amp;K473))</f>
        <v>Baby  0/5
coach: –</v>
      </c>
    </row>
    <row r="474" customFormat="false" ht="22.35" hidden="false" customHeight="false" outlineLevel="0" collapsed="false">
      <c r="A474" s="76" t="str">
        <f aca="false">B474&amp;"|"&amp;C474&amp;"|"&amp;D474&amp;"|"&amp;E474</f>
        <v>KWC|1|Jumat|11:00</v>
      </c>
      <c r="B474" s="76" t="s">
        <v>63</v>
      </c>
      <c r="C474" s="76" t="n">
        <v>1</v>
      </c>
      <c r="D474" s="76" t="s">
        <v>94</v>
      </c>
      <c r="E474" s="76" t="s">
        <v>114</v>
      </c>
      <c r="F474" s="77" t="s">
        <v>242</v>
      </c>
      <c r="G474" s="77" t="n">
        <v>5</v>
      </c>
      <c r="H474" s="77" t="n">
        <v>0</v>
      </c>
      <c r="I474" s="76" t="n">
        <f aca="false">IF(AND(ISNUMBER(G474),ISNUMBER(H474)),MAX(G474-H474,0),"")</f>
        <v>5</v>
      </c>
      <c r="J474" s="78" t="n">
        <f aca="false">IF(AND(ISNUMBER(G474),ISNUMBER(H474)),IF(G474&gt;0,H474/G474,""),"")</f>
        <v>0</v>
      </c>
      <c r="K474" s="77"/>
      <c r="L474" s="76" t="str">
        <f aca="false">IF(OR(G474="",H474=""),"Data tidak lengkap",IF(AND(G474=0,H474=0),IF(AND(F474="",K474=""),"Tidak dibuka","Tutup"),IF(H474&gt;G474,"Lebih kapasitas",IF(H474=G474,"Penuh",IF(H474=0,IF(F474="","Slot kosong","Belum terisi"),"Sebagian")))))</f>
        <v>Belum terisi</v>
      </c>
      <c r="M474" s="79" t="str">
        <f aca="false">IF(L474="Tidak dibuka","–",IF(F474="","(tanpa age group)",F474)&amp;"  "&amp;IF(H474="","?",H474)&amp;"/"&amp;IF(G474="","?",G474)&amp;CHAR(10)&amp;IF(K474="","coach: –","coach: "&amp;K474))</f>
        <v>Baby  0/5
coach: –</v>
      </c>
    </row>
    <row r="475" customFormat="false" ht="22.35" hidden="false" customHeight="false" outlineLevel="0" collapsed="false">
      <c r="A475" s="76" t="str">
        <f aca="false">B475&amp;"|"&amp;C475&amp;"|"&amp;D475&amp;"|"&amp;E475</f>
        <v>KWC|1|Jumat|11:45</v>
      </c>
      <c r="B475" s="76" t="s">
        <v>63</v>
      </c>
      <c r="C475" s="76" t="n">
        <v>1</v>
      </c>
      <c r="D475" s="76" t="s">
        <v>94</v>
      </c>
      <c r="E475" s="76" t="s">
        <v>115</v>
      </c>
      <c r="F475" s="77" t="s">
        <v>242</v>
      </c>
      <c r="G475" s="77" t="n">
        <v>0</v>
      </c>
      <c r="H475" s="77" t="n">
        <v>0</v>
      </c>
      <c r="I475" s="76" t="n">
        <f aca="false">IF(AND(ISNUMBER(G475),ISNUMBER(H475)),MAX(G475-H475,0),"")</f>
        <v>0</v>
      </c>
      <c r="J475" s="78" t="str">
        <f aca="false">IF(AND(ISNUMBER(G475),ISNUMBER(H475)),IF(G475&gt;0,H475/G475,""),"")</f>
        <v/>
      </c>
      <c r="K475" s="77"/>
      <c r="L475" s="76" t="str">
        <f aca="false">IF(OR(G475="",H475=""),"Data tidak lengkap",IF(AND(G475=0,H475=0),IF(AND(F475="",K475=""),"Tidak dibuka","Tutup"),IF(H475&gt;G475,"Lebih kapasitas",IF(H475=G475,"Penuh",IF(H475=0,IF(F475="","Slot kosong","Belum terisi"),"Sebagian")))))</f>
        <v>Tutup</v>
      </c>
      <c r="M475" s="79" t="str">
        <f aca="false">IF(L475="Tidak dibuka","–",IF(F475="","(tanpa age group)",F475)&amp;"  "&amp;IF(H475="","?",H475)&amp;"/"&amp;IF(G475="","?",G475)&amp;CHAR(10)&amp;IF(K475="","coach: –","coach: "&amp;K475))</f>
        <v>Baby  0/0
coach: –</v>
      </c>
    </row>
    <row r="476" customFormat="false" ht="22.35" hidden="false" customHeight="false" outlineLevel="0" collapsed="false">
      <c r="A476" s="76" t="str">
        <f aca="false">B476&amp;"|"&amp;C476&amp;"|"&amp;D476&amp;"|"&amp;E476</f>
        <v>KWC|1|Jumat|13:15</v>
      </c>
      <c r="B476" s="76" t="s">
        <v>63</v>
      </c>
      <c r="C476" s="76" t="n">
        <v>1</v>
      </c>
      <c r="D476" s="76" t="s">
        <v>94</v>
      </c>
      <c r="E476" s="76" t="s">
        <v>116</v>
      </c>
      <c r="F476" s="77" t="s">
        <v>242</v>
      </c>
      <c r="G476" s="77" t="n">
        <v>5</v>
      </c>
      <c r="H476" s="77" t="n">
        <v>0</v>
      </c>
      <c r="I476" s="76" t="n">
        <f aca="false">IF(AND(ISNUMBER(G476),ISNUMBER(H476)),MAX(G476-H476,0),"")</f>
        <v>5</v>
      </c>
      <c r="J476" s="78" t="n">
        <f aca="false">IF(AND(ISNUMBER(G476),ISNUMBER(H476)),IF(G476&gt;0,H476/G476,""),"")</f>
        <v>0</v>
      </c>
      <c r="K476" s="77"/>
      <c r="L476" s="76" t="str">
        <f aca="false">IF(OR(G476="",H476=""),"Data tidak lengkap",IF(AND(G476=0,H476=0),IF(AND(F476="",K476=""),"Tidak dibuka","Tutup"),IF(H476&gt;G476,"Lebih kapasitas",IF(H476=G476,"Penuh",IF(H476=0,IF(F476="","Slot kosong","Belum terisi"),"Sebagian")))))</f>
        <v>Belum terisi</v>
      </c>
      <c r="M476" s="79" t="str">
        <f aca="false">IF(L476="Tidak dibuka","–",IF(F476="","(tanpa age group)",F476)&amp;"  "&amp;IF(H476="","?",H476)&amp;"/"&amp;IF(G476="","?",G476)&amp;CHAR(10)&amp;IF(K476="","coach: –","coach: "&amp;K476))</f>
        <v>Baby  0/5
coach: –</v>
      </c>
    </row>
    <row r="477" customFormat="false" ht="22.35" hidden="false" customHeight="false" outlineLevel="0" collapsed="false">
      <c r="A477" s="76" t="str">
        <f aca="false">B477&amp;"|"&amp;C477&amp;"|"&amp;D477&amp;"|"&amp;E477</f>
        <v>KWC|1|Jumat|14:00</v>
      </c>
      <c r="B477" s="76" t="s">
        <v>63</v>
      </c>
      <c r="C477" s="76" t="n">
        <v>1</v>
      </c>
      <c r="D477" s="76" t="s">
        <v>94</v>
      </c>
      <c r="E477" s="76" t="s">
        <v>117</v>
      </c>
      <c r="F477" s="77" t="s">
        <v>242</v>
      </c>
      <c r="G477" s="77" t="n">
        <v>5</v>
      </c>
      <c r="H477" s="77" t="n">
        <v>0</v>
      </c>
      <c r="I477" s="76" t="n">
        <f aca="false">IF(AND(ISNUMBER(G477),ISNUMBER(H477)),MAX(G477-H477,0),"")</f>
        <v>5</v>
      </c>
      <c r="J477" s="78" t="n">
        <f aca="false">IF(AND(ISNUMBER(G477),ISNUMBER(H477)),IF(G477&gt;0,H477/G477,""),"")</f>
        <v>0</v>
      </c>
      <c r="K477" s="77"/>
      <c r="L477" s="76" t="str">
        <f aca="false">IF(OR(G477="",H477=""),"Data tidak lengkap",IF(AND(G477=0,H477=0),IF(AND(F477="",K477=""),"Tidak dibuka","Tutup"),IF(H477&gt;G477,"Lebih kapasitas",IF(H477=G477,"Penuh",IF(H477=0,IF(F477="","Slot kosong","Belum terisi"),"Sebagian")))))</f>
        <v>Belum terisi</v>
      </c>
      <c r="M477" s="79" t="str">
        <f aca="false">IF(L477="Tidak dibuka","–",IF(F477="","(tanpa age group)",F477)&amp;"  "&amp;IF(H477="","?",H477)&amp;"/"&amp;IF(G477="","?",G477)&amp;CHAR(10)&amp;IF(K477="","coach: –","coach: "&amp;K477))</f>
        <v>Baby  0/5
coach: –</v>
      </c>
    </row>
    <row r="478" customFormat="false" ht="22.35" hidden="false" customHeight="false" outlineLevel="0" collapsed="false">
      <c r="A478" s="76" t="str">
        <f aca="false">B478&amp;"|"&amp;C478&amp;"|"&amp;D478&amp;"|"&amp;E478</f>
        <v>KWC|1|Jumat|14:45</v>
      </c>
      <c r="B478" s="76" t="s">
        <v>63</v>
      </c>
      <c r="C478" s="76" t="n">
        <v>1</v>
      </c>
      <c r="D478" s="76" t="s">
        <v>94</v>
      </c>
      <c r="E478" s="76" t="s">
        <v>118</v>
      </c>
      <c r="F478" s="77" t="s">
        <v>242</v>
      </c>
      <c r="G478" s="77" t="n">
        <v>0</v>
      </c>
      <c r="H478" s="77" t="n">
        <v>0</v>
      </c>
      <c r="I478" s="76" t="n">
        <f aca="false">IF(AND(ISNUMBER(G478),ISNUMBER(H478)),MAX(G478-H478,0),"")</f>
        <v>0</v>
      </c>
      <c r="J478" s="78" t="str">
        <f aca="false">IF(AND(ISNUMBER(G478),ISNUMBER(H478)),IF(G478&gt;0,H478/G478,""),"")</f>
        <v/>
      </c>
      <c r="K478" s="77"/>
      <c r="L478" s="76" t="str">
        <f aca="false">IF(OR(G478="",H478=""),"Data tidak lengkap",IF(AND(G478=0,H478=0),IF(AND(F478="",K478=""),"Tidak dibuka","Tutup"),IF(H478&gt;G478,"Lebih kapasitas",IF(H478=G478,"Penuh",IF(H478=0,IF(F478="","Slot kosong","Belum terisi"),"Sebagian")))))</f>
        <v>Tutup</v>
      </c>
      <c r="M478" s="79" t="str">
        <f aca="false">IF(L478="Tidak dibuka","–",IF(F478="","(tanpa age group)",F478)&amp;"  "&amp;IF(H478="","?",H478)&amp;"/"&amp;IF(G478="","?",G478)&amp;CHAR(10)&amp;IF(K478="","coach: –","coach: "&amp;K478))</f>
        <v>Baby  0/0
coach: –</v>
      </c>
    </row>
    <row r="479" customFormat="false" ht="22.35" hidden="false" customHeight="false" outlineLevel="0" collapsed="false">
      <c r="A479" s="76" t="str">
        <f aca="false">B479&amp;"|"&amp;C479&amp;"|"&amp;D479&amp;"|"&amp;E479</f>
        <v>KWC|1|Jumat|15:30</v>
      </c>
      <c r="B479" s="76" t="s">
        <v>63</v>
      </c>
      <c r="C479" s="76" t="n">
        <v>1</v>
      </c>
      <c r="D479" s="76" t="s">
        <v>94</v>
      </c>
      <c r="E479" s="76" t="s">
        <v>119</v>
      </c>
      <c r="F479" s="77" t="s">
        <v>242</v>
      </c>
      <c r="G479" s="77" t="n">
        <v>0</v>
      </c>
      <c r="H479" s="77" t="n">
        <v>0</v>
      </c>
      <c r="I479" s="76" t="n">
        <f aca="false">IF(AND(ISNUMBER(G479),ISNUMBER(H479)),MAX(G479-H479,0),"")</f>
        <v>0</v>
      </c>
      <c r="J479" s="78" t="str">
        <f aca="false">IF(AND(ISNUMBER(G479),ISNUMBER(H479)),IF(G479&gt;0,H479/G479,""),"")</f>
        <v/>
      </c>
      <c r="K479" s="77"/>
      <c r="L479" s="76" t="str">
        <f aca="false">IF(OR(G479="",H479=""),"Data tidak lengkap",IF(AND(G479=0,H479=0),IF(AND(F479="",K479=""),"Tidak dibuka","Tutup"),IF(H479&gt;G479,"Lebih kapasitas",IF(H479=G479,"Penuh",IF(H479=0,IF(F479="","Slot kosong","Belum terisi"),"Sebagian")))))</f>
        <v>Tutup</v>
      </c>
      <c r="M479" s="79" t="str">
        <f aca="false">IF(L479="Tidak dibuka","–",IF(F479="","(tanpa age group)",F479)&amp;"  "&amp;IF(H479="","?",H479)&amp;"/"&amp;IF(G479="","?",G479)&amp;CHAR(10)&amp;IF(K479="","coach: –","coach: "&amp;K479))</f>
        <v>Baby  0/0
coach: –</v>
      </c>
    </row>
    <row r="480" customFormat="false" ht="22.35" hidden="false" customHeight="false" outlineLevel="0" collapsed="false">
      <c r="A480" s="76" t="str">
        <f aca="false">B480&amp;"|"&amp;C480&amp;"|"&amp;D480&amp;"|"&amp;E480</f>
        <v>KWC|1|Jumat|16:15</v>
      </c>
      <c r="B480" s="76" t="s">
        <v>63</v>
      </c>
      <c r="C480" s="76" t="n">
        <v>1</v>
      </c>
      <c r="D480" s="76" t="s">
        <v>94</v>
      </c>
      <c r="E480" s="76" t="s">
        <v>120</v>
      </c>
      <c r="F480" s="77" t="s">
        <v>242</v>
      </c>
      <c r="G480" s="77" t="n">
        <v>5</v>
      </c>
      <c r="H480" s="77" t="n">
        <v>2</v>
      </c>
      <c r="I480" s="76" t="n">
        <f aca="false">IF(AND(ISNUMBER(G480),ISNUMBER(H480)),MAX(G480-H480,0),"")</f>
        <v>3</v>
      </c>
      <c r="J480" s="78" t="n">
        <f aca="false">IF(AND(ISNUMBER(G480),ISNUMBER(H480)),IF(G480&gt;0,H480/G480,""),"")</f>
        <v>0.4</v>
      </c>
      <c r="K480" s="77" t="s">
        <v>267</v>
      </c>
      <c r="L480" s="76" t="str">
        <f aca="false">IF(OR(G480="",H480=""),"Data tidak lengkap",IF(AND(G480=0,H480=0),IF(AND(F480="",K480=""),"Tidak dibuka","Tutup"),IF(H480&gt;G480,"Lebih kapasitas",IF(H480=G480,"Penuh",IF(H480=0,IF(F480="","Slot kosong","Belum terisi"),"Sebagian")))))</f>
        <v>Sebagian</v>
      </c>
      <c r="M480" s="79" t="str">
        <f aca="false">IF(L480="Tidak dibuka","–",IF(F480="","(tanpa age group)",F480)&amp;"  "&amp;IF(H480="","?",H480)&amp;"/"&amp;IF(G480="","?",G480)&amp;CHAR(10)&amp;IF(K480="","coach: –","coach: "&amp;K480))</f>
        <v>Baby  2/5
coach: Deyon</v>
      </c>
    </row>
    <row r="481" customFormat="false" ht="22.35" hidden="false" customHeight="false" outlineLevel="0" collapsed="false">
      <c r="A481" s="76" t="str">
        <f aca="false">B481&amp;"|"&amp;C481&amp;"|"&amp;D481&amp;"|"&amp;E481</f>
        <v>KWC|1|Jumat|17:00</v>
      </c>
      <c r="B481" s="76" t="s">
        <v>63</v>
      </c>
      <c r="C481" s="76" t="n">
        <v>1</v>
      </c>
      <c r="D481" s="76" t="s">
        <v>94</v>
      </c>
      <c r="E481" s="76" t="s">
        <v>121</v>
      </c>
      <c r="F481" s="77" t="s">
        <v>242</v>
      </c>
      <c r="G481" s="77" t="n">
        <v>5</v>
      </c>
      <c r="H481" s="77" t="n">
        <v>0</v>
      </c>
      <c r="I481" s="76" t="n">
        <f aca="false">IF(AND(ISNUMBER(G481),ISNUMBER(H481)),MAX(G481-H481,0),"")</f>
        <v>5</v>
      </c>
      <c r="J481" s="78" t="n">
        <f aca="false">IF(AND(ISNUMBER(G481),ISNUMBER(H481)),IF(G481&gt;0,H481/G481,""),"")</f>
        <v>0</v>
      </c>
      <c r="K481" s="77"/>
      <c r="L481" s="76" t="str">
        <f aca="false">IF(OR(G481="",H481=""),"Data tidak lengkap",IF(AND(G481=0,H481=0),IF(AND(F481="",K481=""),"Tidak dibuka","Tutup"),IF(H481&gt;G481,"Lebih kapasitas",IF(H481=G481,"Penuh",IF(H481=0,IF(F481="","Slot kosong","Belum terisi"),"Sebagian")))))</f>
        <v>Belum terisi</v>
      </c>
      <c r="M481" s="79" t="str">
        <f aca="false">IF(L481="Tidak dibuka","–",IF(F481="","(tanpa age group)",F481)&amp;"  "&amp;IF(H481="","?",H481)&amp;"/"&amp;IF(G481="","?",G481)&amp;CHAR(10)&amp;IF(K481="","coach: –","coach: "&amp;K481))</f>
        <v>Baby  0/5
coach: –</v>
      </c>
    </row>
    <row r="482" customFormat="false" ht="22.35" hidden="false" customHeight="false" outlineLevel="0" collapsed="false">
      <c r="A482" s="76" t="str">
        <f aca="false">B482&amp;"|"&amp;C482&amp;"|"&amp;D482&amp;"|"&amp;E482</f>
        <v>KWC|1|Sabtu|08:00</v>
      </c>
      <c r="B482" s="76" t="s">
        <v>63</v>
      </c>
      <c r="C482" s="76" t="n">
        <v>1</v>
      </c>
      <c r="D482" s="76" t="s">
        <v>95</v>
      </c>
      <c r="E482" s="76" t="s">
        <v>110</v>
      </c>
      <c r="F482" s="77" t="s">
        <v>242</v>
      </c>
      <c r="G482" s="77" t="n">
        <v>0</v>
      </c>
      <c r="H482" s="77" t="n">
        <v>0</v>
      </c>
      <c r="I482" s="76" t="n">
        <f aca="false">IF(AND(ISNUMBER(G482),ISNUMBER(H482)),MAX(G482-H482,0),"")</f>
        <v>0</v>
      </c>
      <c r="J482" s="78" t="str">
        <f aca="false">IF(AND(ISNUMBER(G482),ISNUMBER(H482)),IF(G482&gt;0,H482/G482,""),"")</f>
        <v/>
      </c>
      <c r="K482" s="77"/>
      <c r="L482" s="76" t="str">
        <f aca="false">IF(OR(G482="",H482=""),"Data tidak lengkap",IF(AND(G482=0,H482=0),IF(AND(F482="",K482=""),"Tidak dibuka","Tutup"),IF(H482&gt;G482,"Lebih kapasitas",IF(H482=G482,"Penuh",IF(H482=0,IF(F482="","Slot kosong","Belum terisi"),"Sebagian")))))</f>
        <v>Tutup</v>
      </c>
      <c r="M482" s="79" t="str">
        <f aca="false">IF(L482="Tidak dibuka","–",IF(F482="","(tanpa age group)",F482)&amp;"  "&amp;IF(H482="","?",H482)&amp;"/"&amp;IF(G482="","?",G482)&amp;CHAR(10)&amp;IF(K482="","coach: –","coach: "&amp;K482))</f>
        <v>Baby  0/0
coach: –</v>
      </c>
    </row>
    <row r="483" customFormat="false" ht="22.35" hidden="false" customHeight="false" outlineLevel="0" collapsed="false">
      <c r="A483" s="76" t="str">
        <f aca="false">B483&amp;"|"&amp;C483&amp;"|"&amp;D483&amp;"|"&amp;E483</f>
        <v>KWC|1|Sabtu|08:45</v>
      </c>
      <c r="B483" s="76" t="s">
        <v>63</v>
      </c>
      <c r="C483" s="76" t="n">
        <v>1</v>
      </c>
      <c r="D483" s="76" t="s">
        <v>95</v>
      </c>
      <c r="E483" s="76" t="s">
        <v>111</v>
      </c>
      <c r="F483" s="77" t="s">
        <v>242</v>
      </c>
      <c r="G483" s="77" t="n">
        <v>5</v>
      </c>
      <c r="H483" s="77" t="n">
        <v>5</v>
      </c>
      <c r="I483" s="76" t="n">
        <f aca="false">IF(AND(ISNUMBER(G483),ISNUMBER(H483)),MAX(G483-H483,0),"")</f>
        <v>0</v>
      </c>
      <c r="J483" s="78" t="n">
        <f aca="false">IF(AND(ISNUMBER(G483),ISNUMBER(H483)),IF(G483&gt;0,H483/G483,""),"")</f>
        <v>1</v>
      </c>
      <c r="K483" s="77" t="s">
        <v>270</v>
      </c>
      <c r="L483" s="76" t="str">
        <f aca="false">IF(OR(G483="",H483=""),"Data tidak lengkap",IF(AND(G483=0,H483=0),IF(AND(F483="",K483=""),"Tidak dibuka","Tutup"),IF(H483&gt;G483,"Lebih kapasitas",IF(H483=G483,"Penuh",IF(H483=0,IF(F483="","Slot kosong","Belum terisi"),"Sebagian")))))</f>
        <v>Penuh</v>
      </c>
      <c r="M483" s="79" t="str">
        <f aca="false">IF(L483="Tidak dibuka","–",IF(F483="","(tanpa age group)",F483)&amp;"  "&amp;IF(H483="","?",H483)&amp;"/"&amp;IF(G483="","?",G483)&amp;CHAR(10)&amp;IF(K483="","coach: –","coach: "&amp;K483))</f>
        <v>Baby  5/5
coach: Sri</v>
      </c>
    </row>
    <row r="484" customFormat="false" ht="22.35" hidden="false" customHeight="false" outlineLevel="0" collapsed="false">
      <c r="A484" s="76" t="str">
        <f aca="false">B484&amp;"|"&amp;C484&amp;"|"&amp;D484&amp;"|"&amp;E484</f>
        <v>KWC|1|Sabtu|09:30</v>
      </c>
      <c r="B484" s="76" t="s">
        <v>63</v>
      </c>
      <c r="C484" s="76" t="n">
        <v>1</v>
      </c>
      <c r="D484" s="76" t="s">
        <v>95</v>
      </c>
      <c r="E484" s="76" t="s">
        <v>112</v>
      </c>
      <c r="F484" s="77" t="s">
        <v>242</v>
      </c>
      <c r="G484" s="77" t="n">
        <v>5</v>
      </c>
      <c r="H484" s="77" t="n">
        <v>5</v>
      </c>
      <c r="I484" s="76" t="n">
        <f aca="false">IF(AND(ISNUMBER(G484),ISNUMBER(H484)),MAX(G484-H484,0),"")</f>
        <v>0</v>
      </c>
      <c r="J484" s="78" t="n">
        <f aca="false">IF(AND(ISNUMBER(G484),ISNUMBER(H484)),IF(G484&gt;0,H484/G484,""),"")</f>
        <v>1</v>
      </c>
      <c r="K484" s="77" t="s">
        <v>270</v>
      </c>
      <c r="L484" s="76" t="str">
        <f aca="false">IF(OR(G484="",H484=""),"Data tidak lengkap",IF(AND(G484=0,H484=0),IF(AND(F484="",K484=""),"Tidak dibuka","Tutup"),IF(H484&gt;G484,"Lebih kapasitas",IF(H484=G484,"Penuh",IF(H484=0,IF(F484="","Slot kosong","Belum terisi"),"Sebagian")))))</f>
        <v>Penuh</v>
      </c>
      <c r="M484" s="79" t="str">
        <f aca="false">IF(L484="Tidak dibuka","–",IF(F484="","(tanpa age group)",F484)&amp;"  "&amp;IF(H484="","?",H484)&amp;"/"&amp;IF(G484="","?",G484)&amp;CHAR(10)&amp;IF(K484="","coach: –","coach: "&amp;K484))</f>
        <v>Baby  5/5
coach: Sri</v>
      </c>
    </row>
    <row r="485" customFormat="false" ht="22.35" hidden="false" customHeight="false" outlineLevel="0" collapsed="false">
      <c r="A485" s="76" t="str">
        <f aca="false">B485&amp;"|"&amp;C485&amp;"|"&amp;D485&amp;"|"&amp;E485</f>
        <v>KWC|1|Sabtu|10:15</v>
      </c>
      <c r="B485" s="76" t="s">
        <v>63</v>
      </c>
      <c r="C485" s="76" t="n">
        <v>1</v>
      </c>
      <c r="D485" s="76" t="s">
        <v>95</v>
      </c>
      <c r="E485" s="76" t="s">
        <v>113</v>
      </c>
      <c r="F485" s="77" t="s">
        <v>242</v>
      </c>
      <c r="G485" s="77" t="n">
        <v>5</v>
      </c>
      <c r="H485" s="77" t="n">
        <v>5</v>
      </c>
      <c r="I485" s="76" t="n">
        <f aca="false">IF(AND(ISNUMBER(G485),ISNUMBER(H485)),MAX(G485-H485,0),"")</f>
        <v>0</v>
      </c>
      <c r="J485" s="78" t="n">
        <f aca="false">IF(AND(ISNUMBER(G485),ISNUMBER(H485)),IF(G485&gt;0,H485/G485,""),"")</f>
        <v>1</v>
      </c>
      <c r="K485" s="77" t="s">
        <v>269</v>
      </c>
      <c r="L485" s="76" t="str">
        <f aca="false">IF(OR(G485="",H485=""),"Data tidak lengkap",IF(AND(G485=0,H485=0),IF(AND(F485="",K485=""),"Tidak dibuka","Tutup"),IF(H485&gt;G485,"Lebih kapasitas",IF(H485=G485,"Penuh",IF(H485=0,IF(F485="","Slot kosong","Belum terisi"),"Sebagian")))))</f>
        <v>Penuh</v>
      </c>
      <c r="M485" s="79" t="str">
        <f aca="false">IF(L485="Tidak dibuka","–",IF(F485="","(tanpa age group)",F485)&amp;"  "&amp;IF(H485="","?",H485)&amp;"/"&amp;IF(G485="","?",G485)&amp;CHAR(10)&amp;IF(K485="","coach: –","coach: "&amp;K485))</f>
        <v>Baby  5/5
coach: Nabila</v>
      </c>
    </row>
    <row r="486" customFormat="false" ht="22.35" hidden="false" customHeight="false" outlineLevel="0" collapsed="false">
      <c r="A486" s="76" t="str">
        <f aca="false">B486&amp;"|"&amp;C486&amp;"|"&amp;D486&amp;"|"&amp;E486</f>
        <v>KWC|1|Sabtu|11:00</v>
      </c>
      <c r="B486" s="76" t="s">
        <v>63</v>
      </c>
      <c r="C486" s="76" t="n">
        <v>1</v>
      </c>
      <c r="D486" s="76" t="s">
        <v>95</v>
      </c>
      <c r="E486" s="76" t="s">
        <v>114</v>
      </c>
      <c r="F486" s="77" t="s">
        <v>242</v>
      </c>
      <c r="G486" s="77" t="n">
        <v>5</v>
      </c>
      <c r="H486" s="77" t="n">
        <v>2</v>
      </c>
      <c r="I486" s="76" t="n">
        <f aca="false">IF(AND(ISNUMBER(G486),ISNUMBER(H486)),MAX(G486-H486,0),"")</f>
        <v>3</v>
      </c>
      <c r="J486" s="78" t="n">
        <f aca="false">IF(AND(ISNUMBER(G486),ISNUMBER(H486)),IF(G486&gt;0,H486/G486,""),"")</f>
        <v>0.4</v>
      </c>
      <c r="K486" s="77" t="s">
        <v>268</v>
      </c>
      <c r="L486" s="76" t="str">
        <f aca="false">IF(OR(G486="",H486=""),"Data tidak lengkap",IF(AND(G486=0,H486=0),IF(AND(F486="",K486=""),"Tidak dibuka","Tutup"),IF(H486&gt;G486,"Lebih kapasitas",IF(H486=G486,"Penuh",IF(H486=0,IF(F486="","Slot kosong","Belum terisi"),"Sebagian")))))</f>
        <v>Sebagian</v>
      </c>
      <c r="M486" s="79" t="str">
        <f aca="false">IF(L486="Tidak dibuka","–",IF(F486="","(tanpa age group)",F486)&amp;"  "&amp;IF(H486="","?",H486)&amp;"/"&amp;IF(G486="","?",G486)&amp;CHAR(10)&amp;IF(K486="","coach: –","coach: "&amp;K486))</f>
        <v>Baby  2/5
coach: Andreas</v>
      </c>
    </row>
    <row r="487" customFormat="false" ht="22.35" hidden="false" customHeight="false" outlineLevel="0" collapsed="false">
      <c r="A487" s="76" t="str">
        <f aca="false">B487&amp;"|"&amp;C487&amp;"|"&amp;D487&amp;"|"&amp;E487</f>
        <v>KWC|1|Sabtu|11:45</v>
      </c>
      <c r="B487" s="76" t="s">
        <v>63</v>
      </c>
      <c r="C487" s="76" t="n">
        <v>1</v>
      </c>
      <c r="D487" s="76" t="s">
        <v>95</v>
      </c>
      <c r="E487" s="76" t="s">
        <v>115</v>
      </c>
      <c r="F487" s="77" t="s">
        <v>242</v>
      </c>
      <c r="G487" s="77" t="n">
        <v>5</v>
      </c>
      <c r="H487" s="77" t="n">
        <v>0</v>
      </c>
      <c r="I487" s="76" t="n">
        <f aca="false">IF(AND(ISNUMBER(G487),ISNUMBER(H487)),MAX(G487-H487,0),"")</f>
        <v>5</v>
      </c>
      <c r="J487" s="78" t="n">
        <f aca="false">IF(AND(ISNUMBER(G487),ISNUMBER(H487)),IF(G487&gt;0,H487/G487,""),"")</f>
        <v>0</v>
      </c>
      <c r="K487" s="77"/>
      <c r="L487" s="76" t="str">
        <f aca="false">IF(OR(G487="",H487=""),"Data tidak lengkap",IF(AND(G487=0,H487=0),IF(AND(F487="",K487=""),"Tidak dibuka","Tutup"),IF(H487&gt;G487,"Lebih kapasitas",IF(H487=G487,"Penuh",IF(H487=0,IF(F487="","Slot kosong","Belum terisi"),"Sebagian")))))</f>
        <v>Belum terisi</v>
      </c>
      <c r="M487" s="79" t="str">
        <f aca="false">IF(L487="Tidak dibuka","–",IF(F487="","(tanpa age group)",F487)&amp;"  "&amp;IF(H487="","?",H487)&amp;"/"&amp;IF(G487="","?",G487)&amp;CHAR(10)&amp;IF(K487="","coach: –","coach: "&amp;K487))</f>
        <v>Baby  0/5
coach: –</v>
      </c>
    </row>
    <row r="488" customFormat="false" ht="22.35" hidden="false" customHeight="false" outlineLevel="0" collapsed="false">
      <c r="A488" s="76" t="str">
        <f aca="false">B488&amp;"|"&amp;C488&amp;"|"&amp;D488&amp;"|"&amp;E488</f>
        <v>KWC|1|Sabtu|13:15</v>
      </c>
      <c r="B488" s="76" t="s">
        <v>63</v>
      </c>
      <c r="C488" s="76" t="n">
        <v>1</v>
      </c>
      <c r="D488" s="76" t="s">
        <v>95</v>
      </c>
      <c r="E488" s="76" t="s">
        <v>116</v>
      </c>
      <c r="F488" s="77" t="s">
        <v>242</v>
      </c>
      <c r="G488" s="77" t="n">
        <v>5</v>
      </c>
      <c r="H488" s="77" t="n">
        <v>0</v>
      </c>
      <c r="I488" s="76" t="n">
        <f aca="false">IF(AND(ISNUMBER(G488),ISNUMBER(H488)),MAX(G488-H488,0),"")</f>
        <v>5</v>
      </c>
      <c r="J488" s="78" t="n">
        <f aca="false">IF(AND(ISNUMBER(G488),ISNUMBER(H488)),IF(G488&gt;0,H488/G488,""),"")</f>
        <v>0</v>
      </c>
      <c r="K488" s="77"/>
      <c r="L488" s="76" t="str">
        <f aca="false">IF(OR(G488="",H488=""),"Data tidak lengkap",IF(AND(G488=0,H488=0),IF(AND(F488="",K488=""),"Tidak dibuka","Tutup"),IF(H488&gt;G488,"Lebih kapasitas",IF(H488=G488,"Penuh",IF(H488=0,IF(F488="","Slot kosong","Belum terisi"),"Sebagian")))))</f>
        <v>Belum terisi</v>
      </c>
      <c r="M488" s="79" t="str">
        <f aca="false">IF(L488="Tidak dibuka","–",IF(F488="","(tanpa age group)",F488)&amp;"  "&amp;IF(H488="","?",H488)&amp;"/"&amp;IF(G488="","?",G488)&amp;CHAR(10)&amp;IF(K488="","coach: –","coach: "&amp;K488))</f>
        <v>Baby  0/5
coach: –</v>
      </c>
    </row>
    <row r="489" customFormat="false" ht="22.35" hidden="false" customHeight="false" outlineLevel="0" collapsed="false">
      <c r="A489" s="76" t="str">
        <f aca="false">B489&amp;"|"&amp;C489&amp;"|"&amp;D489&amp;"|"&amp;E489</f>
        <v>KWC|1|Sabtu|14:00</v>
      </c>
      <c r="B489" s="76" t="s">
        <v>63</v>
      </c>
      <c r="C489" s="76" t="n">
        <v>1</v>
      </c>
      <c r="D489" s="76" t="s">
        <v>95</v>
      </c>
      <c r="E489" s="76" t="s">
        <v>117</v>
      </c>
      <c r="F489" s="77" t="s">
        <v>242</v>
      </c>
      <c r="G489" s="77" t="n">
        <v>5</v>
      </c>
      <c r="H489" s="77" t="n">
        <v>0</v>
      </c>
      <c r="I489" s="76" t="n">
        <f aca="false">IF(AND(ISNUMBER(G489),ISNUMBER(H489)),MAX(G489-H489,0),"")</f>
        <v>5</v>
      </c>
      <c r="J489" s="78" t="n">
        <f aca="false">IF(AND(ISNUMBER(G489),ISNUMBER(H489)),IF(G489&gt;0,H489/G489,""),"")</f>
        <v>0</v>
      </c>
      <c r="K489" s="77"/>
      <c r="L489" s="76" t="str">
        <f aca="false">IF(OR(G489="",H489=""),"Data tidak lengkap",IF(AND(G489=0,H489=0),IF(AND(F489="",K489=""),"Tidak dibuka","Tutup"),IF(H489&gt;G489,"Lebih kapasitas",IF(H489=G489,"Penuh",IF(H489=0,IF(F489="","Slot kosong","Belum terisi"),"Sebagian")))))</f>
        <v>Belum terisi</v>
      </c>
      <c r="M489" s="79" t="str">
        <f aca="false">IF(L489="Tidak dibuka","–",IF(F489="","(tanpa age group)",F489)&amp;"  "&amp;IF(H489="","?",H489)&amp;"/"&amp;IF(G489="","?",G489)&amp;CHAR(10)&amp;IF(K489="","coach: –","coach: "&amp;K489))</f>
        <v>Baby  0/5
coach: –</v>
      </c>
    </row>
    <row r="490" customFormat="false" ht="22.35" hidden="false" customHeight="false" outlineLevel="0" collapsed="false">
      <c r="A490" s="76" t="str">
        <f aca="false">B490&amp;"|"&amp;C490&amp;"|"&amp;D490&amp;"|"&amp;E490</f>
        <v>KWC|1|Sabtu|14:45</v>
      </c>
      <c r="B490" s="76" t="s">
        <v>63</v>
      </c>
      <c r="C490" s="76" t="n">
        <v>1</v>
      </c>
      <c r="D490" s="76" t="s">
        <v>95</v>
      </c>
      <c r="E490" s="76" t="s">
        <v>118</v>
      </c>
      <c r="F490" s="77" t="s">
        <v>242</v>
      </c>
      <c r="G490" s="77" t="n">
        <v>5</v>
      </c>
      <c r="H490" s="77" t="n">
        <v>0</v>
      </c>
      <c r="I490" s="76" t="n">
        <f aca="false">IF(AND(ISNUMBER(G490),ISNUMBER(H490)),MAX(G490-H490,0),"")</f>
        <v>5</v>
      </c>
      <c r="J490" s="78" t="n">
        <f aca="false">IF(AND(ISNUMBER(G490),ISNUMBER(H490)),IF(G490&gt;0,H490/G490,""),"")</f>
        <v>0</v>
      </c>
      <c r="K490" s="77"/>
      <c r="L490" s="76" t="str">
        <f aca="false">IF(OR(G490="",H490=""),"Data tidak lengkap",IF(AND(G490=0,H490=0),IF(AND(F490="",K490=""),"Tidak dibuka","Tutup"),IF(H490&gt;G490,"Lebih kapasitas",IF(H490=G490,"Penuh",IF(H490=0,IF(F490="","Slot kosong","Belum terisi"),"Sebagian")))))</f>
        <v>Belum terisi</v>
      </c>
      <c r="M490" s="79" t="str">
        <f aca="false">IF(L490="Tidak dibuka","–",IF(F490="","(tanpa age group)",F490)&amp;"  "&amp;IF(H490="","?",H490)&amp;"/"&amp;IF(G490="","?",G490)&amp;CHAR(10)&amp;IF(K490="","coach: –","coach: "&amp;K490))</f>
        <v>Baby  0/5
coach: –</v>
      </c>
    </row>
    <row r="491" customFormat="false" ht="22.35" hidden="false" customHeight="false" outlineLevel="0" collapsed="false">
      <c r="A491" s="76" t="str">
        <f aca="false">B491&amp;"|"&amp;C491&amp;"|"&amp;D491&amp;"|"&amp;E491</f>
        <v>KWC|1|Sabtu|15:30</v>
      </c>
      <c r="B491" s="76" t="s">
        <v>63</v>
      </c>
      <c r="C491" s="76" t="n">
        <v>1</v>
      </c>
      <c r="D491" s="76" t="s">
        <v>95</v>
      </c>
      <c r="E491" s="76" t="s">
        <v>119</v>
      </c>
      <c r="F491" s="77" t="s">
        <v>242</v>
      </c>
      <c r="G491" s="77" t="n">
        <v>5</v>
      </c>
      <c r="H491" s="77" t="n">
        <v>4</v>
      </c>
      <c r="I491" s="76" t="n">
        <f aca="false">IF(AND(ISNUMBER(G491),ISNUMBER(H491)),MAX(G491-H491,0),"")</f>
        <v>1</v>
      </c>
      <c r="J491" s="78" t="n">
        <f aca="false">IF(AND(ISNUMBER(G491),ISNUMBER(H491)),IF(G491&gt;0,H491/G491,""),"")</f>
        <v>0.8</v>
      </c>
      <c r="K491" s="77" t="s">
        <v>269</v>
      </c>
      <c r="L491" s="76" t="str">
        <f aca="false">IF(OR(G491="",H491=""),"Data tidak lengkap",IF(AND(G491=0,H491=0),IF(AND(F491="",K491=""),"Tidak dibuka","Tutup"),IF(H491&gt;G491,"Lebih kapasitas",IF(H491=G491,"Penuh",IF(H491=0,IF(F491="","Slot kosong","Belum terisi"),"Sebagian")))))</f>
        <v>Sebagian</v>
      </c>
      <c r="M491" s="79" t="str">
        <f aca="false">IF(L491="Tidak dibuka","–",IF(F491="","(tanpa age group)",F491)&amp;"  "&amp;IF(H491="","?",H491)&amp;"/"&amp;IF(G491="","?",G491)&amp;CHAR(10)&amp;IF(K491="","coach: –","coach: "&amp;K491))</f>
        <v>Baby  4/5
coach: Nabila</v>
      </c>
    </row>
    <row r="492" customFormat="false" ht="22.35" hidden="false" customHeight="false" outlineLevel="0" collapsed="false">
      <c r="A492" s="76" t="str">
        <f aca="false">B492&amp;"|"&amp;C492&amp;"|"&amp;D492&amp;"|"&amp;E492</f>
        <v>KWC|1|Sabtu|16:15</v>
      </c>
      <c r="B492" s="76" t="s">
        <v>63</v>
      </c>
      <c r="C492" s="76" t="n">
        <v>1</v>
      </c>
      <c r="D492" s="76" t="s">
        <v>95</v>
      </c>
      <c r="E492" s="76" t="s">
        <v>120</v>
      </c>
      <c r="F492" s="77" t="s">
        <v>242</v>
      </c>
      <c r="G492" s="77" t="n">
        <v>5</v>
      </c>
      <c r="H492" s="77" t="n">
        <v>4</v>
      </c>
      <c r="I492" s="76" t="n">
        <f aca="false">IF(AND(ISNUMBER(G492),ISNUMBER(H492)),MAX(G492-H492,0),"")</f>
        <v>1</v>
      </c>
      <c r="J492" s="78" t="n">
        <f aca="false">IF(AND(ISNUMBER(G492),ISNUMBER(H492)),IF(G492&gt;0,H492/G492,""),"")</f>
        <v>0.8</v>
      </c>
      <c r="K492" s="77" t="s">
        <v>268</v>
      </c>
      <c r="L492" s="76" t="str">
        <f aca="false">IF(OR(G492="",H492=""),"Data tidak lengkap",IF(AND(G492=0,H492=0),IF(AND(F492="",K492=""),"Tidak dibuka","Tutup"),IF(H492&gt;G492,"Lebih kapasitas",IF(H492=G492,"Penuh",IF(H492=0,IF(F492="","Slot kosong","Belum terisi"),"Sebagian")))))</f>
        <v>Sebagian</v>
      </c>
      <c r="M492" s="79" t="str">
        <f aca="false">IF(L492="Tidak dibuka","–",IF(F492="","(tanpa age group)",F492)&amp;"  "&amp;IF(H492="","?",H492)&amp;"/"&amp;IF(G492="","?",G492)&amp;CHAR(10)&amp;IF(K492="","coach: –","coach: "&amp;K492))</f>
        <v>Baby  4/5
coach: Andreas</v>
      </c>
    </row>
    <row r="493" customFormat="false" ht="22.35" hidden="false" customHeight="false" outlineLevel="0" collapsed="false">
      <c r="A493" s="76" t="str">
        <f aca="false">B493&amp;"|"&amp;C493&amp;"|"&amp;D493&amp;"|"&amp;E493</f>
        <v>KWC|1|Sabtu|17:00</v>
      </c>
      <c r="B493" s="76" t="s">
        <v>63</v>
      </c>
      <c r="C493" s="76" t="n">
        <v>1</v>
      </c>
      <c r="D493" s="76" t="s">
        <v>95</v>
      </c>
      <c r="E493" s="76" t="s">
        <v>121</v>
      </c>
      <c r="F493" s="77" t="s">
        <v>242</v>
      </c>
      <c r="G493" s="77" t="n">
        <v>5</v>
      </c>
      <c r="H493" s="77" t="n">
        <v>0</v>
      </c>
      <c r="I493" s="76" t="n">
        <f aca="false">IF(AND(ISNUMBER(G493),ISNUMBER(H493)),MAX(G493-H493,0),"")</f>
        <v>5</v>
      </c>
      <c r="J493" s="78" t="n">
        <f aca="false">IF(AND(ISNUMBER(G493),ISNUMBER(H493)),IF(G493&gt;0,H493/G493,""),"")</f>
        <v>0</v>
      </c>
      <c r="K493" s="77"/>
      <c r="L493" s="76" t="str">
        <f aca="false">IF(OR(G493="",H493=""),"Data tidak lengkap",IF(AND(G493=0,H493=0),IF(AND(F493="",K493=""),"Tidak dibuka","Tutup"),IF(H493&gt;G493,"Lebih kapasitas",IF(H493=G493,"Penuh",IF(H493=0,IF(F493="","Slot kosong","Belum terisi"),"Sebagian")))))</f>
        <v>Belum terisi</v>
      </c>
      <c r="M493" s="79" t="str">
        <f aca="false">IF(L493="Tidak dibuka","–",IF(F493="","(tanpa age group)",F493)&amp;"  "&amp;IF(H493="","?",H493)&amp;"/"&amp;IF(G493="","?",G493)&amp;CHAR(10)&amp;IF(K493="","coach: –","coach: "&amp;K493))</f>
        <v>Baby  0/5
coach: –</v>
      </c>
    </row>
    <row r="494" customFormat="false" ht="22.35" hidden="false" customHeight="false" outlineLevel="0" collapsed="false">
      <c r="A494" s="76" t="str">
        <f aca="false">B494&amp;"|"&amp;C494&amp;"|"&amp;D494&amp;"|"&amp;E494</f>
        <v>KWC|1|Minggu|08:00</v>
      </c>
      <c r="B494" s="76" t="s">
        <v>63</v>
      </c>
      <c r="C494" s="76" t="n">
        <v>1</v>
      </c>
      <c r="D494" s="76" t="s">
        <v>78</v>
      </c>
      <c r="E494" s="76" t="s">
        <v>110</v>
      </c>
      <c r="F494" s="77" t="s">
        <v>242</v>
      </c>
      <c r="G494" s="77" t="n">
        <v>0</v>
      </c>
      <c r="H494" s="77" t="n">
        <v>0</v>
      </c>
      <c r="I494" s="76" t="n">
        <f aca="false">IF(AND(ISNUMBER(G494),ISNUMBER(H494)),MAX(G494-H494,0),"")</f>
        <v>0</v>
      </c>
      <c r="J494" s="78" t="str">
        <f aca="false">IF(AND(ISNUMBER(G494),ISNUMBER(H494)),IF(G494&gt;0,H494/G494,""),"")</f>
        <v/>
      </c>
      <c r="K494" s="77"/>
      <c r="L494" s="76" t="str">
        <f aca="false">IF(OR(G494="",H494=""),"Data tidak lengkap",IF(AND(G494=0,H494=0),IF(AND(F494="",K494=""),"Tidak dibuka","Tutup"),IF(H494&gt;G494,"Lebih kapasitas",IF(H494=G494,"Penuh",IF(H494=0,IF(F494="","Slot kosong","Belum terisi"),"Sebagian")))))</f>
        <v>Tutup</v>
      </c>
      <c r="M494" s="79" t="str">
        <f aca="false">IF(L494="Tidak dibuka","–",IF(F494="","(tanpa age group)",F494)&amp;"  "&amp;IF(H494="","?",H494)&amp;"/"&amp;IF(G494="","?",G494)&amp;CHAR(10)&amp;IF(K494="","coach: –","coach: "&amp;K494))</f>
        <v>Baby  0/0
coach: –</v>
      </c>
    </row>
    <row r="495" customFormat="false" ht="22.35" hidden="false" customHeight="false" outlineLevel="0" collapsed="false">
      <c r="A495" s="76" t="str">
        <f aca="false">B495&amp;"|"&amp;C495&amp;"|"&amp;D495&amp;"|"&amp;E495</f>
        <v>KWC|1|Minggu|08:45</v>
      </c>
      <c r="B495" s="76" t="s">
        <v>63</v>
      </c>
      <c r="C495" s="76" t="n">
        <v>1</v>
      </c>
      <c r="D495" s="76" t="s">
        <v>78</v>
      </c>
      <c r="E495" s="76" t="s">
        <v>111</v>
      </c>
      <c r="F495" s="77" t="s">
        <v>242</v>
      </c>
      <c r="G495" s="77" t="n">
        <v>5</v>
      </c>
      <c r="H495" s="77" t="n">
        <v>5</v>
      </c>
      <c r="I495" s="76" t="n">
        <f aca="false">IF(AND(ISNUMBER(G495),ISNUMBER(H495)),MAX(G495-H495,0),"")</f>
        <v>0</v>
      </c>
      <c r="J495" s="78" t="n">
        <f aca="false">IF(AND(ISNUMBER(G495),ISNUMBER(H495)),IF(G495&gt;0,H495/G495,""),"")</f>
        <v>1</v>
      </c>
      <c r="K495" s="77" t="s">
        <v>269</v>
      </c>
      <c r="L495" s="76" t="str">
        <f aca="false">IF(OR(G495="",H495=""),"Data tidak lengkap",IF(AND(G495=0,H495=0),IF(AND(F495="",K495=""),"Tidak dibuka","Tutup"),IF(H495&gt;G495,"Lebih kapasitas",IF(H495=G495,"Penuh",IF(H495=0,IF(F495="","Slot kosong","Belum terisi"),"Sebagian")))))</f>
        <v>Penuh</v>
      </c>
      <c r="M495" s="79" t="str">
        <f aca="false">IF(L495="Tidak dibuka","–",IF(F495="","(tanpa age group)",F495)&amp;"  "&amp;IF(H495="","?",H495)&amp;"/"&amp;IF(G495="","?",G495)&amp;CHAR(10)&amp;IF(K495="","coach: –","coach: "&amp;K495))</f>
        <v>Baby  5/5
coach: Nabila</v>
      </c>
    </row>
    <row r="496" customFormat="false" ht="22.35" hidden="false" customHeight="false" outlineLevel="0" collapsed="false">
      <c r="A496" s="76" t="str">
        <f aca="false">B496&amp;"|"&amp;C496&amp;"|"&amp;D496&amp;"|"&amp;E496</f>
        <v>KWC|1|Minggu|09:30</v>
      </c>
      <c r="B496" s="76" t="s">
        <v>63</v>
      </c>
      <c r="C496" s="76" t="n">
        <v>1</v>
      </c>
      <c r="D496" s="76" t="s">
        <v>78</v>
      </c>
      <c r="E496" s="76" t="s">
        <v>112</v>
      </c>
      <c r="F496" s="77" t="s">
        <v>242</v>
      </c>
      <c r="G496" s="77" t="n">
        <v>5</v>
      </c>
      <c r="H496" s="77" t="n">
        <v>5</v>
      </c>
      <c r="I496" s="76" t="n">
        <f aca="false">IF(AND(ISNUMBER(G496),ISNUMBER(H496)),MAX(G496-H496,0),"")</f>
        <v>0</v>
      </c>
      <c r="J496" s="78" t="n">
        <f aca="false">IF(AND(ISNUMBER(G496),ISNUMBER(H496)),IF(G496&gt;0,H496/G496,""),"")</f>
        <v>1</v>
      </c>
      <c r="K496" s="77" t="s">
        <v>268</v>
      </c>
      <c r="L496" s="76" t="str">
        <f aca="false">IF(OR(G496="",H496=""),"Data tidak lengkap",IF(AND(G496=0,H496=0),IF(AND(F496="",K496=""),"Tidak dibuka","Tutup"),IF(H496&gt;G496,"Lebih kapasitas",IF(H496=G496,"Penuh",IF(H496=0,IF(F496="","Slot kosong","Belum terisi"),"Sebagian")))))</f>
        <v>Penuh</v>
      </c>
      <c r="M496" s="79" t="str">
        <f aca="false">IF(L496="Tidak dibuka","–",IF(F496="","(tanpa age group)",F496)&amp;"  "&amp;IF(H496="","?",H496)&amp;"/"&amp;IF(G496="","?",G496)&amp;CHAR(10)&amp;IF(K496="","coach: –","coach: "&amp;K496))</f>
        <v>Baby  5/5
coach: Andreas</v>
      </c>
    </row>
    <row r="497" customFormat="false" ht="22.35" hidden="false" customHeight="false" outlineLevel="0" collapsed="false">
      <c r="A497" s="76" t="str">
        <f aca="false">B497&amp;"|"&amp;C497&amp;"|"&amp;D497&amp;"|"&amp;E497</f>
        <v>KWC|1|Minggu|10:15</v>
      </c>
      <c r="B497" s="76" t="s">
        <v>63</v>
      </c>
      <c r="C497" s="76" t="n">
        <v>1</v>
      </c>
      <c r="D497" s="76" t="s">
        <v>78</v>
      </c>
      <c r="E497" s="76" t="s">
        <v>113</v>
      </c>
      <c r="F497" s="77" t="s">
        <v>242</v>
      </c>
      <c r="G497" s="77" t="n">
        <v>5</v>
      </c>
      <c r="H497" s="77" t="n">
        <v>5</v>
      </c>
      <c r="I497" s="76" t="n">
        <f aca="false">IF(AND(ISNUMBER(G497),ISNUMBER(H497)),MAX(G497-H497,0),"")</f>
        <v>0</v>
      </c>
      <c r="J497" s="78" t="n">
        <f aca="false">IF(AND(ISNUMBER(G497),ISNUMBER(H497)),IF(G497&gt;0,H497/G497,""),"")</f>
        <v>1</v>
      </c>
      <c r="K497" s="77" t="s">
        <v>271</v>
      </c>
      <c r="L497" s="76" t="str">
        <f aca="false">IF(OR(G497="",H497=""),"Data tidak lengkap",IF(AND(G497=0,H497=0),IF(AND(F497="",K497=""),"Tidak dibuka","Tutup"),IF(H497&gt;G497,"Lebih kapasitas",IF(H497=G497,"Penuh",IF(H497=0,IF(F497="","Slot kosong","Belum terisi"),"Sebagian")))))</f>
        <v>Penuh</v>
      </c>
      <c r="M497" s="79" t="str">
        <f aca="false">IF(L497="Tidak dibuka","–",IF(F497="","(tanpa age group)",F497)&amp;"  "&amp;IF(H497="","?",H497)&amp;"/"&amp;IF(G497="","?",G497)&amp;CHAR(10)&amp;IF(K497="","coach: –","coach: "&amp;K497))</f>
        <v>Baby  5/5
coach: Icis</v>
      </c>
    </row>
    <row r="498" customFormat="false" ht="22.35" hidden="false" customHeight="false" outlineLevel="0" collapsed="false">
      <c r="A498" s="76" t="str">
        <f aca="false">B498&amp;"|"&amp;C498&amp;"|"&amp;D498&amp;"|"&amp;E498</f>
        <v>KWC|1|Minggu|11:00</v>
      </c>
      <c r="B498" s="76" t="s">
        <v>63</v>
      </c>
      <c r="C498" s="76" t="n">
        <v>1</v>
      </c>
      <c r="D498" s="76" t="s">
        <v>78</v>
      </c>
      <c r="E498" s="76" t="s">
        <v>114</v>
      </c>
      <c r="F498" s="77" t="s">
        <v>242</v>
      </c>
      <c r="G498" s="77" t="n">
        <v>5</v>
      </c>
      <c r="H498" s="77" t="n">
        <v>3</v>
      </c>
      <c r="I498" s="76" t="n">
        <f aca="false">IF(AND(ISNUMBER(G498),ISNUMBER(H498)),MAX(G498-H498,0),"")</f>
        <v>2</v>
      </c>
      <c r="J498" s="78" t="n">
        <f aca="false">IF(AND(ISNUMBER(G498),ISNUMBER(H498)),IF(G498&gt;0,H498/G498,""),"")</f>
        <v>0.6</v>
      </c>
      <c r="K498" s="77" t="s">
        <v>269</v>
      </c>
      <c r="L498" s="76" t="str">
        <f aca="false">IF(OR(G498="",H498=""),"Data tidak lengkap",IF(AND(G498=0,H498=0),IF(AND(F498="",K498=""),"Tidak dibuka","Tutup"),IF(H498&gt;G498,"Lebih kapasitas",IF(H498=G498,"Penuh",IF(H498=0,IF(F498="","Slot kosong","Belum terisi"),"Sebagian")))))</f>
        <v>Sebagian</v>
      </c>
      <c r="M498" s="79" t="str">
        <f aca="false">IF(L498="Tidak dibuka","–",IF(F498="","(tanpa age group)",F498)&amp;"  "&amp;IF(H498="","?",H498)&amp;"/"&amp;IF(G498="","?",G498)&amp;CHAR(10)&amp;IF(K498="","coach: –","coach: "&amp;K498))</f>
        <v>Baby  3/5
coach: Nabila</v>
      </c>
    </row>
    <row r="499" customFormat="false" ht="22.35" hidden="false" customHeight="false" outlineLevel="0" collapsed="false">
      <c r="A499" s="76" t="str">
        <f aca="false">B499&amp;"|"&amp;C499&amp;"|"&amp;D499&amp;"|"&amp;E499</f>
        <v>KWC|1|Minggu|11:45</v>
      </c>
      <c r="B499" s="76" t="s">
        <v>63</v>
      </c>
      <c r="C499" s="76" t="n">
        <v>1</v>
      </c>
      <c r="D499" s="76" t="s">
        <v>78</v>
      </c>
      <c r="E499" s="76" t="s">
        <v>115</v>
      </c>
      <c r="F499" s="77" t="s">
        <v>242</v>
      </c>
      <c r="G499" s="77" t="n">
        <v>5</v>
      </c>
      <c r="H499" s="77" t="n">
        <v>0</v>
      </c>
      <c r="I499" s="76" t="n">
        <f aca="false">IF(AND(ISNUMBER(G499),ISNUMBER(H499)),MAX(G499-H499,0),"")</f>
        <v>5</v>
      </c>
      <c r="J499" s="78" t="n">
        <f aca="false">IF(AND(ISNUMBER(G499),ISNUMBER(H499)),IF(G499&gt;0,H499/G499,""),"")</f>
        <v>0</v>
      </c>
      <c r="K499" s="77"/>
      <c r="L499" s="76" t="str">
        <f aca="false">IF(OR(G499="",H499=""),"Data tidak lengkap",IF(AND(G499=0,H499=0),IF(AND(F499="",K499=""),"Tidak dibuka","Tutup"),IF(H499&gt;G499,"Lebih kapasitas",IF(H499=G499,"Penuh",IF(H499=0,IF(F499="","Slot kosong","Belum terisi"),"Sebagian")))))</f>
        <v>Belum terisi</v>
      </c>
      <c r="M499" s="79" t="str">
        <f aca="false">IF(L499="Tidak dibuka","–",IF(F499="","(tanpa age group)",F499)&amp;"  "&amp;IF(H499="","?",H499)&amp;"/"&amp;IF(G499="","?",G499)&amp;CHAR(10)&amp;IF(K499="","coach: –","coach: "&amp;K499))</f>
        <v>Baby  0/5
coach: –</v>
      </c>
    </row>
    <row r="500" customFormat="false" ht="22.35" hidden="false" customHeight="false" outlineLevel="0" collapsed="false">
      <c r="A500" s="76" t="str">
        <f aca="false">B500&amp;"|"&amp;C500&amp;"|"&amp;D500&amp;"|"&amp;E500</f>
        <v>KWC|1|Minggu|13:15</v>
      </c>
      <c r="B500" s="76" t="s">
        <v>63</v>
      </c>
      <c r="C500" s="76" t="n">
        <v>1</v>
      </c>
      <c r="D500" s="76" t="s">
        <v>78</v>
      </c>
      <c r="E500" s="76" t="s">
        <v>116</v>
      </c>
      <c r="F500" s="77" t="s">
        <v>242</v>
      </c>
      <c r="G500" s="77" t="n">
        <v>5</v>
      </c>
      <c r="H500" s="77" t="n">
        <v>1</v>
      </c>
      <c r="I500" s="76" t="n">
        <f aca="false">IF(AND(ISNUMBER(G500),ISNUMBER(H500)),MAX(G500-H500,0),"")</f>
        <v>4</v>
      </c>
      <c r="J500" s="78" t="n">
        <f aca="false">IF(AND(ISNUMBER(G500),ISNUMBER(H500)),IF(G500&gt;0,H500/G500,""),"")</f>
        <v>0.2</v>
      </c>
      <c r="K500" s="77" t="s">
        <v>268</v>
      </c>
      <c r="L500" s="76" t="str">
        <f aca="false">IF(OR(G500="",H500=""),"Data tidak lengkap",IF(AND(G500=0,H500=0),IF(AND(F500="",K500=""),"Tidak dibuka","Tutup"),IF(H500&gt;G500,"Lebih kapasitas",IF(H500=G500,"Penuh",IF(H500=0,IF(F500="","Slot kosong","Belum terisi"),"Sebagian")))))</f>
        <v>Sebagian</v>
      </c>
      <c r="M500" s="79" t="str">
        <f aca="false">IF(L500="Tidak dibuka","–",IF(F500="","(tanpa age group)",F500)&amp;"  "&amp;IF(H500="","?",H500)&amp;"/"&amp;IF(G500="","?",G500)&amp;CHAR(10)&amp;IF(K500="","coach: –","coach: "&amp;K500))</f>
        <v>Baby  1/5
coach: Andreas</v>
      </c>
    </row>
    <row r="501" customFormat="false" ht="22.35" hidden="false" customHeight="false" outlineLevel="0" collapsed="false">
      <c r="A501" s="76" t="str">
        <f aca="false">B501&amp;"|"&amp;C501&amp;"|"&amp;D501&amp;"|"&amp;E501</f>
        <v>KWC|1|Minggu|14:00</v>
      </c>
      <c r="B501" s="76" t="s">
        <v>63</v>
      </c>
      <c r="C501" s="76" t="n">
        <v>1</v>
      </c>
      <c r="D501" s="76" t="s">
        <v>78</v>
      </c>
      <c r="E501" s="76" t="s">
        <v>117</v>
      </c>
      <c r="F501" s="77" t="s">
        <v>242</v>
      </c>
      <c r="G501" s="77" t="n">
        <v>5</v>
      </c>
      <c r="H501" s="77" t="n">
        <v>0</v>
      </c>
      <c r="I501" s="76" t="n">
        <f aca="false">IF(AND(ISNUMBER(G501),ISNUMBER(H501)),MAX(G501-H501,0),"")</f>
        <v>5</v>
      </c>
      <c r="J501" s="78" t="n">
        <f aca="false">IF(AND(ISNUMBER(G501),ISNUMBER(H501)),IF(G501&gt;0,H501/G501,""),"")</f>
        <v>0</v>
      </c>
      <c r="K501" s="77"/>
      <c r="L501" s="76" t="str">
        <f aca="false">IF(OR(G501="",H501=""),"Data tidak lengkap",IF(AND(G501=0,H501=0),IF(AND(F501="",K501=""),"Tidak dibuka","Tutup"),IF(H501&gt;G501,"Lebih kapasitas",IF(H501=G501,"Penuh",IF(H501=0,IF(F501="","Slot kosong","Belum terisi"),"Sebagian")))))</f>
        <v>Belum terisi</v>
      </c>
      <c r="M501" s="79" t="str">
        <f aca="false">IF(L501="Tidak dibuka","–",IF(F501="","(tanpa age group)",F501)&amp;"  "&amp;IF(H501="","?",H501)&amp;"/"&amp;IF(G501="","?",G501)&amp;CHAR(10)&amp;IF(K501="","coach: –","coach: "&amp;K501))</f>
        <v>Baby  0/5
coach: –</v>
      </c>
    </row>
    <row r="502" customFormat="false" ht="22.35" hidden="false" customHeight="false" outlineLevel="0" collapsed="false">
      <c r="A502" s="76" t="str">
        <f aca="false">B502&amp;"|"&amp;C502&amp;"|"&amp;D502&amp;"|"&amp;E502</f>
        <v>KWC|1|Minggu|14:45</v>
      </c>
      <c r="B502" s="76" t="s">
        <v>63</v>
      </c>
      <c r="C502" s="76" t="n">
        <v>1</v>
      </c>
      <c r="D502" s="76" t="s">
        <v>78</v>
      </c>
      <c r="E502" s="76" t="s">
        <v>118</v>
      </c>
      <c r="F502" s="77" t="s">
        <v>242</v>
      </c>
      <c r="G502" s="77" t="n">
        <v>5</v>
      </c>
      <c r="H502" s="77" t="n">
        <v>2</v>
      </c>
      <c r="I502" s="76" t="n">
        <f aca="false">IF(AND(ISNUMBER(G502),ISNUMBER(H502)),MAX(G502-H502,0),"")</f>
        <v>3</v>
      </c>
      <c r="J502" s="78" t="n">
        <f aca="false">IF(AND(ISNUMBER(G502),ISNUMBER(H502)),IF(G502&gt;0,H502/G502,""),"")</f>
        <v>0.4</v>
      </c>
      <c r="K502" s="77" t="s">
        <v>268</v>
      </c>
      <c r="L502" s="76" t="str">
        <f aca="false">IF(OR(G502="",H502=""),"Data tidak lengkap",IF(AND(G502=0,H502=0),IF(AND(F502="",K502=""),"Tidak dibuka","Tutup"),IF(H502&gt;G502,"Lebih kapasitas",IF(H502=G502,"Penuh",IF(H502=0,IF(F502="","Slot kosong","Belum terisi"),"Sebagian")))))</f>
        <v>Sebagian</v>
      </c>
      <c r="M502" s="79" t="str">
        <f aca="false">IF(L502="Tidak dibuka","–",IF(F502="","(tanpa age group)",F502)&amp;"  "&amp;IF(H502="","?",H502)&amp;"/"&amp;IF(G502="","?",G502)&amp;CHAR(10)&amp;IF(K502="","coach: –","coach: "&amp;K502))</f>
        <v>Baby  2/5
coach: Andreas</v>
      </c>
    </row>
    <row r="503" customFormat="false" ht="22.35" hidden="false" customHeight="false" outlineLevel="0" collapsed="false">
      <c r="A503" s="76" t="str">
        <f aca="false">B503&amp;"|"&amp;C503&amp;"|"&amp;D503&amp;"|"&amp;E503</f>
        <v>KWC|1|Minggu|15:30</v>
      </c>
      <c r="B503" s="76" t="s">
        <v>63</v>
      </c>
      <c r="C503" s="76" t="n">
        <v>1</v>
      </c>
      <c r="D503" s="76" t="s">
        <v>78</v>
      </c>
      <c r="E503" s="76" t="s">
        <v>119</v>
      </c>
      <c r="F503" s="77" t="s">
        <v>242</v>
      </c>
      <c r="G503" s="77" t="n">
        <v>5</v>
      </c>
      <c r="H503" s="77" t="n">
        <v>2</v>
      </c>
      <c r="I503" s="76" t="n">
        <f aca="false">IF(AND(ISNUMBER(G503),ISNUMBER(H503)),MAX(G503-H503,0),"")</f>
        <v>3</v>
      </c>
      <c r="J503" s="78" t="n">
        <f aca="false">IF(AND(ISNUMBER(G503),ISNUMBER(H503)),IF(G503&gt;0,H503/G503,""),"")</f>
        <v>0.4</v>
      </c>
      <c r="K503" s="77" t="s">
        <v>267</v>
      </c>
      <c r="L503" s="76" t="str">
        <f aca="false">IF(OR(G503="",H503=""),"Data tidak lengkap",IF(AND(G503=0,H503=0),IF(AND(F503="",K503=""),"Tidak dibuka","Tutup"),IF(H503&gt;G503,"Lebih kapasitas",IF(H503=G503,"Penuh",IF(H503=0,IF(F503="","Slot kosong","Belum terisi"),"Sebagian")))))</f>
        <v>Sebagian</v>
      </c>
      <c r="M503" s="79" t="str">
        <f aca="false">IF(L503="Tidak dibuka","–",IF(F503="","(tanpa age group)",F503)&amp;"  "&amp;IF(H503="","?",H503)&amp;"/"&amp;IF(G503="","?",G503)&amp;CHAR(10)&amp;IF(K503="","coach: –","coach: "&amp;K503))</f>
        <v>Baby  2/5
coach: Deyon</v>
      </c>
    </row>
    <row r="504" customFormat="false" ht="22.35" hidden="false" customHeight="false" outlineLevel="0" collapsed="false">
      <c r="A504" s="76" t="str">
        <f aca="false">B504&amp;"|"&amp;C504&amp;"|"&amp;D504&amp;"|"&amp;E504</f>
        <v>KWC|1|Minggu|16:15</v>
      </c>
      <c r="B504" s="76" t="s">
        <v>63</v>
      </c>
      <c r="C504" s="76" t="n">
        <v>1</v>
      </c>
      <c r="D504" s="76" t="s">
        <v>78</v>
      </c>
      <c r="E504" s="76" t="s">
        <v>120</v>
      </c>
      <c r="F504" s="77" t="s">
        <v>242</v>
      </c>
      <c r="G504" s="77" t="n">
        <v>5</v>
      </c>
      <c r="H504" s="77" t="n">
        <v>3</v>
      </c>
      <c r="I504" s="76" t="n">
        <f aca="false">IF(AND(ISNUMBER(G504),ISNUMBER(H504)),MAX(G504-H504,0),"")</f>
        <v>2</v>
      </c>
      <c r="J504" s="78" t="n">
        <f aca="false">IF(AND(ISNUMBER(G504),ISNUMBER(H504)),IF(G504&gt;0,H504/G504,""),"")</f>
        <v>0.6</v>
      </c>
      <c r="K504" s="77" t="s">
        <v>274</v>
      </c>
      <c r="L504" s="76" t="str">
        <f aca="false">IF(OR(G504="",H504=""),"Data tidak lengkap",IF(AND(G504=0,H504=0),IF(AND(F504="",K504=""),"Tidak dibuka","Tutup"),IF(H504&gt;G504,"Lebih kapasitas",IF(H504=G504,"Penuh",IF(H504=0,IF(F504="","Slot kosong","Belum terisi"),"Sebagian")))))</f>
        <v>Sebagian</v>
      </c>
      <c r="M504" s="79" t="str">
        <f aca="false">IF(L504="Tidak dibuka","–",IF(F504="","(tanpa age group)",F504)&amp;"  "&amp;IF(H504="","?",H504)&amp;"/"&amp;IF(G504="","?",G504)&amp;CHAR(10)&amp;IF(K504="","coach: –","coach: "&amp;K504))</f>
        <v>Baby  3/5
coach: Eve</v>
      </c>
    </row>
    <row r="505" customFormat="false" ht="22.35" hidden="false" customHeight="false" outlineLevel="0" collapsed="false">
      <c r="A505" s="76" t="str">
        <f aca="false">B505&amp;"|"&amp;C505&amp;"|"&amp;D505&amp;"|"&amp;E505</f>
        <v>KWC|1|Minggu|17:00</v>
      </c>
      <c r="B505" s="76" t="s">
        <v>63</v>
      </c>
      <c r="C505" s="76" t="n">
        <v>1</v>
      </c>
      <c r="D505" s="76" t="s">
        <v>78</v>
      </c>
      <c r="E505" s="76" t="s">
        <v>121</v>
      </c>
      <c r="F505" s="77" t="s">
        <v>242</v>
      </c>
      <c r="G505" s="77" t="n">
        <v>5</v>
      </c>
      <c r="H505" s="77" t="n">
        <v>0</v>
      </c>
      <c r="I505" s="76" t="n">
        <f aca="false">IF(AND(ISNUMBER(G505),ISNUMBER(H505)),MAX(G505-H505,0),"")</f>
        <v>5</v>
      </c>
      <c r="J505" s="78" t="n">
        <f aca="false">IF(AND(ISNUMBER(G505),ISNUMBER(H505)),IF(G505&gt;0,H505/G505,""),"")</f>
        <v>0</v>
      </c>
      <c r="K505" s="77"/>
      <c r="L505" s="76" t="str">
        <f aca="false">IF(OR(G505="",H505=""),"Data tidak lengkap",IF(AND(G505=0,H505=0),IF(AND(F505="",K505=""),"Tidak dibuka","Tutup"),IF(H505&gt;G505,"Lebih kapasitas",IF(H505=G505,"Penuh",IF(H505=0,IF(F505="","Slot kosong","Belum terisi"),"Sebagian")))))</f>
        <v>Belum terisi</v>
      </c>
      <c r="M505" s="79" t="str">
        <f aca="false">IF(L505="Tidak dibuka","–",IF(F505="","(tanpa age group)",F505)&amp;"  "&amp;IF(H505="","?",H505)&amp;"/"&amp;IF(G505="","?",G505)&amp;CHAR(10)&amp;IF(K505="","coach: –","coach: "&amp;K505))</f>
        <v>Baby  0/5
coach: –</v>
      </c>
    </row>
    <row r="506" customFormat="false" ht="22.35" hidden="false" customHeight="false" outlineLevel="0" collapsed="false">
      <c r="A506" s="76" t="str">
        <f aca="false">B506&amp;"|"&amp;C506&amp;"|"&amp;D506&amp;"|"&amp;E506</f>
        <v>KWC|2|Senin|08:00</v>
      </c>
      <c r="B506" s="76" t="s">
        <v>63</v>
      </c>
      <c r="C506" s="76" t="n">
        <v>2</v>
      </c>
      <c r="D506" s="76" t="s">
        <v>90</v>
      </c>
      <c r="E506" s="76" t="s">
        <v>110</v>
      </c>
      <c r="F506" s="77" t="s">
        <v>42</v>
      </c>
      <c r="G506" s="77" t="n">
        <v>0</v>
      </c>
      <c r="H506" s="77" t="n">
        <v>0</v>
      </c>
      <c r="I506" s="76" t="n">
        <f aca="false">IF(AND(ISNUMBER(G506),ISNUMBER(H506)),MAX(G506-H506,0),"")</f>
        <v>0</v>
      </c>
      <c r="J506" s="78" t="str">
        <f aca="false">IF(AND(ISNUMBER(G506),ISNUMBER(H506)),IF(G506&gt;0,H506/G506,""),"")</f>
        <v/>
      </c>
      <c r="K506" s="77"/>
      <c r="L506" s="76" t="str">
        <f aca="false">IF(OR(G506="",H506=""),"Data tidak lengkap",IF(AND(G506=0,H506=0),IF(AND(F506="",K506=""),"Tidak dibuka","Tutup"),IF(H506&gt;G506,"Lebih kapasitas",IF(H506=G506,"Penuh",IF(H506=0,IF(F506="","Slot kosong","Belum terisi"),"Sebagian")))))</f>
        <v>Tutup</v>
      </c>
      <c r="M506" s="79" t="str">
        <f aca="false">IF(L506="Tidak dibuka","–",IF(F506="","(tanpa age group)",F506)&amp;"  "&amp;IF(H506="","?",H506)&amp;"/"&amp;IF(G506="","?",G506)&amp;CHAR(10)&amp;IF(K506="","coach: –","coach: "&amp;K506))</f>
        <v>Tiny  0/0
coach: –</v>
      </c>
    </row>
    <row r="507" customFormat="false" ht="22.35" hidden="false" customHeight="false" outlineLevel="0" collapsed="false">
      <c r="A507" s="76" t="str">
        <f aca="false">B507&amp;"|"&amp;C507&amp;"|"&amp;D507&amp;"|"&amp;E507</f>
        <v>KWC|2|Senin|08:45</v>
      </c>
      <c r="B507" s="76" t="s">
        <v>63</v>
      </c>
      <c r="C507" s="76" t="n">
        <v>2</v>
      </c>
      <c r="D507" s="76" t="s">
        <v>90</v>
      </c>
      <c r="E507" s="76" t="s">
        <v>111</v>
      </c>
      <c r="F507" s="77" t="s">
        <v>42</v>
      </c>
      <c r="G507" s="77" t="n">
        <v>5</v>
      </c>
      <c r="H507" s="77" t="n">
        <v>2</v>
      </c>
      <c r="I507" s="76" t="n">
        <f aca="false">IF(AND(ISNUMBER(G507),ISNUMBER(H507)),MAX(G507-H507,0),"")</f>
        <v>3</v>
      </c>
      <c r="J507" s="78" t="n">
        <f aca="false">IF(AND(ISNUMBER(G507),ISNUMBER(H507)),IF(G507&gt;0,H507/G507,""),"")</f>
        <v>0.4</v>
      </c>
      <c r="K507" s="77" t="s">
        <v>274</v>
      </c>
      <c r="L507" s="76" t="str">
        <f aca="false">IF(OR(G507="",H507=""),"Data tidak lengkap",IF(AND(G507=0,H507=0),IF(AND(F507="",K507=""),"Tidak dibuka","Tutup"),IF(H507&gt;G507,"Lebih kapasitas",IF(H507=G507,"Penuh",IF(H507=0,IF(F507="","Slot kosong","Belum terisi"),"Sebagian")))))</f>
        <v>Sebagian</v>
      </c>
      <c r="M507" s="79" t="str">
        <f aca="false">IF(L507="Tidak dibuka","–",IF(F507="","(tanpa age group)",F507)&amp;"  "&amp;IF(H507="","?",H507)&amp;"/"&amp;IF(G507="","?",G507)&amp;CHAR(10)&amp;IF(K507="","coach: –","coach: "&amp;K507))</f>
        <v>Tiny  2/5
coach: Eve</v>
      </c>
    </row>
    <row r="508" customFormat="false" ht="22.35" hidden="false" customHeight="false" outlineLevel="0" collapsed="false">
      <c r="A508" s="76" t="str">
        <f aca="false">B508&amp;"|"&amp;C508&amp;"|"&amp;D508&amp;"|"&amp;E508</f>
        <v>KWC|2|Senin|09:30</v>
      </c>
      <c r="B508" s="76" t="s">
        <v>63</v>
      </c>
      <c r="C508" s="76" t="n">
        <v>2</v>
      </c>
      <c r="D508" s="76" t="s">
        <v>90</v>
      </c>
      <c r="E508" s="76" t="s">
        <v>112</v>
      </c>
      <c r="F508" s="77" t="s">
        <v>42</v>
      </c>
      <c r="G508" s="77" t="n">
        <v>5</v>
      </c>
      <c r="H508" s="77" t="n">
        <v>0</v>
      </c>
      <c r="I508" s="76" t="n">
        <f aca="false">IF(AND(ISNUMBER(G508),ISNUMBER(H508)),MAX(G508-H508,0),"")</f>
        <v>5</v>
      </c>
      <c r="J508" s="78" t="n">
        <f aca="false">IF(AND(ISNUMBER(G508),ISNUMBER(H508)),IF(G508&gt;0,H508/G508,""),"")</f>
        <v>0</v>
      </c>
      <c r="K508" s="77"/>
      <c r="L508" s="76" t="str">
        <f aca="false">IF(OR(G508="",H508=""),"Data tidak lengkap",IF(AND(G508=0,H508=0),IF(AND(F508="",K508=""),"Tidak dibuka","Tutup"),IF(H508&gt;G508,"Lebih kapasitas",IF(H508=G508,"Penuh",IF(H508=0,IF(F508="","Slot kosong","Belum terisi"),"Sebagian")))))</f>
        <v>Belum terisi</v>
      </c>
      <c r="M508" s="79" t="str">
        <f aca="false">IF(L508="Tidak dibuka","–",IF(F508="","(tanpa age group)",F508)&amp;"  "&amp;IF(H508="","?",H508)&amp;"/"&amp;IF(G508="","?",G508)&amp;CHAR(10)&amp;IF(K508="","coach: –","coach: "&amp;K508))</f>
        <v>Tiny  0/5
coach: –</v>
      </c>
    </row>
    <row r="509" customFormat="false" ht="22.35" hidden="false" customHeight="false" outlineLevel="0" collapsed="false">
      <c r="A509" s="76" t="str">
        <f aca="false">B509&amp;"|"&amp;C509&amp;"|"&amp;D509&amp;"|"&amp;E509</f>
        <v>KWC|2|Senin|10:15</v>
      </c>
      <c r="B509" s="76" t="s">
        <v>63</v>
      </c>
      <c r="C509" s="76" t="n">
        <v>2</v>
      </c>
      <c r="D509" s="76" t="s">
        <v>90</v>
      </c>
      <c r="E509" s="76" t="s">
        <v>113</v>
      </c>
      <c r="F509" s="77" t="s">
        <v>42</v>
      </c>
      <c r="G509" s="77" t="n">
        <v>5</v>
      </c>
      <c r="H509" s="77" t="n">
        <v>0</v>
      </c>
      <c r="I509" s="76" t="n">
        <f aca="false">IF(AND(ISNUMBER(G509),ISNUMBER(H509)),MAX(G509-H509,0),"")</f>
        <v>5</v>
      </c>
      <c r="J509" s="78" t="n">
        <f aca="false">IF(AND(ISNUMBER(G509),ISNUMBER(H509)),IF(G509&gt;0,H509/G509,""),"")</f>
        <v>0</v>
      </c>
      <c r="K509" s="77"/>
      <c r="L509" s="76" t="str">
        <f aca="false">IF(OR(G509="",H509=""),"Data tidak lengkap",IF(AND(G509=0,H509=0),IF(AND(F509="",K509=""),"Tidak dibuka","Tutup"),IF(H509&gt;G509,"Lebih kapasitas",IF(H509=G509,"Penuh",IF(H509=0,IF(F509="","Slot kosong","Belum terisi"),"Sebagian")))))</f>
        <v>Belum terisi</v>
      </c>
      <c r="M509" s="79" t="str">
        <f aca="false">IF(L509="Tidak dibuka","–",IF(F509="","(tanpa age group)",F509)&amp;"  "&amp;IF(H509="","?",H509)&amp;"/"&amp;IF(G509="","?",G509)&amp;CHAR(10)&amp;IF(K509="","coach: –","coach: "&amp;K509))</f>
        <v>Tiny  0/5
coach: –</v>
      </c>
    </row>
    <row r="510" customFormat="false" ht="22.35" hidden="false" customHeight="false" outlineLevel="0" collapsed="false">
      <c r="A510" s="76" t="str">
        <f aca="false">B510&amp;"|"&amp;C510&amp;"|"&amp;D510&amp;"|"&amp;E510</f>
        <v>KWC|2|Senin|11:00</v>
      </c>
      <c r="B510" s="76" t="s">
        <v>63</v>
      </c>
      <c r="C510" s="76" t="n">
        <v>2</v>
      </c>
      <c r="D510" s="76" t="s">
        <v>90</v>
      </c>
      <c r="E510" s="76" t="s">
        <v>114</v>
      </c>
      <c r="F510" s="77" t="s">
        <v>42</v>
      </c>
      <c r="G510" s="77" t="n">
        <v>5</v>
      </c>
      <c r="H510" s="77" t="n">
        <v>1</v>
      </c>
      <c r="I510" s="76" t="n">
        <f aca="false">IF(AND(ISNUMBER(G510),ISNUMBER(H510)),MAX(G510-H510,0),"")</f>
        <v>4</v>
      </c>
      <c r="J510" s="78" t="n">
        <f aca="false">IF(AND(ISNUMBER(G510),ISNUMBER(H510)),IF(G510&gt;0,H510/G510,""),"")</f>
        <v>0.2</v>
      </c>
      <c r="K510" s="77" t="s">
        <v>267</v>
      </c>
      <c r="L510" s="76" t="str">
        <f aca="false">IF(OR(G510="",H510=""),"Data tidak lengkap",IF(AND(G510=0,H510=0),IF(AND(F510="",K510=""),"Tidak dibuka","Tutup"),IF(H510&gt;G510,"Lebih kapasitas",IF(H510=G510,"Penuh",IF(H510=0,IF(F510="","Slot kosong","Belum terisi"),"Sebagian")))))</f>
        <v>Sebagian</v>
      </c>
      <c r="M510" s="79" t="str">
        <f aca="false">IF(L510="Tidak dibuka","–",IF(F510="","(tanpa age group)",F510)&amp;"  "&amp;IF(H510="","?",H510)&amp;"/"&amp;IF(G510="","?",G510)&amp;CHAR(10)&amp;IF(K510="","coach: –","coach: "&amp;K510))</f>
        <v>Tiny  1/5
coach: Deyon</v>
      </c>
    </row>
    <row r="511" customFormat="false" ht="22.35" hidden="false" customHeight="false" outlineLevel="0" collapsed="false">
      <c r="A511" s="76" t="str">
        <f aca="false">B511&amp;"|"&amp;C511&amp;"|"&amp;D511&amp;"|"&amp;E511</f>
        <v>KWC|2|Senin|11:45</v>
      </c>
      <c r="B511" s="76" t="s">
        <v>63</v>
      </c>
      <c r="C511" s="76" t="n">
        <v>2</v>
      </c>
      <c r="D511" s="76" t="s">
        <v>90</v>
      </c>
      <c r="E511" s="76" t="s">
        <v>115</v>
      </c>
      <c r="F511" s="77" t="s">
        <v>42</v>
      </c>
      <c r="G511" s="77" t="n">
        <v>0</v>
      </c>
      <c r="H511" s="77" t="n">
        <v>0</v>
      </c>
      <c r="I511" s="76" t="n">
        <f aca="false">IF(AND(ISNUMBER(G511),ISNUMBER(H511)),MAX(G511-H511,0),"")</f>
        <v>0</v>
      </c>
      <c r="J511" s="78" t="str">
        <f aca="false">IF(AND(ISNUMBER(G511),ISNUMBER(H511)),IF(G511&gt;0,H511/G511,""),"")</f>
        <v/>
      </c>
      <c r="K511" s="77"/>
      <c r="L511" s="76" t="str">
        <f aca="false">IF(OR(G511="",H511=""),"Data tidak lengkap",IF(AND(G511=0,H511=0),IF(AND(F511="",K511=""),"Tidak dibuka","Tutup"),IF(H511&gt;G511,"Lebih kapasitas",IF(H511=G511,"Penuh",IF(H511=0,IF(F511="","Slot kosong","Belum terisi"),"Sebagian")))))</f>
        <v>Tutup</v>
      </c>
      <c r="M511" s="79" t="str">
        <f aca="false">IF(L511="Tidak dibuka","–",IF(F511="","(tanpa age group)",F511)&amp;"  "&amp;IF(H511="","?",H511)&amp;"/"&amp;IF(G511="","?",G511)&amp;CHAR(10)&amp;IF(K511="","coach: –","coach: "&amp;K511))</f>
        <v>Tiny  0/0
coach: –</v>
      </c>
    </row>
    <row r="512" customFormat="false" ht="22.35" hidden="false" customHeight="false" outlineLevel="0" collapsed="false">
      <c r="A512" s="76" t="str">
        <f aca="false">B512&amp;"|"&amp;C512&amp;"|"&amp;D512&amp;"|"&amp;E512</f>
        <v>KWC|2|Senin|13:15</v>
      </c>
      <c r="B512" s="76" t="s">
        <v>63</v>
      </c>
      <c r="C512" s="76" t="n">
        <v>2</v>
      </c>
      <c r="D512" s="76" t="s">
        <v>90</v>
      </c>
      <c r="E512" s="76" t="s">
        <v>116</v>
      </c>
      <c r="F512" s="77" t="s">
        <v>42</v>
      </c>
      <c r="G512" s="77" t="n">
        <v>5</v>
      </c>
      <c r="H512" s="77" t="n">
        <v>0</v>
      </c>
      <c r="I512" s="76" t="n">
        <f aca="false">IF(AND(ISNUMBER(G512),ISNUMBER(H512)),MAX(G512-H512,0),"")</f>
        <v>5</v>
      </c>
      <c r="J512" s="78" t="n">
        <f aca="false">IF(AND(ISNUMBER(G512),ISNUMBER(H512)),IF(G512&gt;0,H512/G512,""),"")</f>
        <v>0</v>
      </c>
      <c r="K512" s="77"/>
      <c r="L512" s="76" t="str">
        <f aca="false">IF(OR(G512="",H512=""),"Data tidak lengkap",IF(AND(G512=0,H512=0),IF(AND(F512="",K512=""),"Tidak dibuka","Tutup"),IF(H512&gt;G512,"Lebih kapasitas",IF(H512=G512,"Penuh",IF(H512=0,IF(F512="","Slot kosong","Belum terisi"),"Sebagian")))))</f>
        <v>Belum terisi</v>
      </c>
      <c r="M512" s="79" t="str">
        <f aca="false">IF(L512="Tidak dibuka","–",IF(F512="","(tanpa age group)",F512)&amp;"  "&amp;IF(H512="","?",H512)&amp;"/"&amp;IF(G512="","?",G512)&amp;CHAR(10)&amp;IF(K512="","coach: –","coach: "&amp;K512))</f>
        <v>Tiny  0/5
coach: –</v>
      </c>
    </row>
    <row r="513" customFormat="false" ht="22.35" hidden="false" customHeight="false" outlineLevel="0" collapsed="false">
      <c r="A513" s="76" t="str">
        <f aca="false">B513&amp;"|"&amp;C513&amp;"|"&amp;D513&amp;"|"&amp;E513</f>
        <v>KWC|2|Senin|14:00</v>
      </c>
      <c r="B513" s="76" t="s">
        <v>63</v>
      </c>
      <c r="C513" s="76" t="n">
        <v>2</v>
      </c>
      <c r="D513" s="76" t="s">
        <v>90</v>
      </c>
      <c r="E513" s="76" t="s">
        <v>117</v>
      </c>
      <c r="F513" s="77" t="s">
        <v>42</v>
      </c>
      <c r="G513" s="77" t="n">
        <v>5</v>
      </c>
      <c r="H513" s="77" t="n">
        <v>0</v>
      </c>
      <c r="I513" s="76" t="n">
        <f aca="false">IF(AND(ISNUMBER(G513),ISNUMBER(H513)),MAX(G513-H513,0),"")</f>
        <v>5</v>
      </c>
      <c r="J513" s="78" t="n">
        <f aca="false">IF(AND(ISNUMBER(G513),ISNUMBER(H513)),IF(G513&gt;0,H513/G513,""),"")</f>
        <v>0</v>
      </c>
      <c r="K513" s="77"/>
      <c r="L513" s="76" t="str">
        <f aca="false">IF(OR(G513="",H513=""),"Data tidak lengkap",IF(AND(G513=0,H513=0),IF(AND(F513="",K513=""),"Tidak dibuka","Tutup"),IF(H513&gt;G513,"Lebih kapasitas",IF(H513=G513,"Penuh",IF(H513=0,IF(F513="","Slot kosong","Belum terisi"),"Sebagian")))))</f>
        <v>Belum terisi</v>
      </c>
      <c r="M513" s="79" t="str">
        <f aca="false">IF(L513="Tidak dibuka","–",IF(F513="","(tanpa age group)",F513)&amp;"  "&amp;IF(H513="","?",H513)&amp;"/"&amp;IF(G513="","?",G513)&amp;CHAR(10)&amp;IF(K513="","coach: –","coach: "&amp;K513))</f>
        <v>Tiny  0/5
coach: –</v>
      </c>
    </row>
    <row r="514" customFormat="false" ht="22.35" hidden="false" customHeight="false" outlineLevel="0" collapsed="false">
      <c r="A514" s="76" t="str">
        <f aca="false">B514&amp;"|"&amp;C514&amp;"|"&amp;D514&amp;"|"&amp;E514</f>
        <v>KWC|2|Senin|14:45</v>
      </c>
      <c r="B514" s="76" t="s">
        <v>63</v>
      </c>
      <c r="C514" s="76" t="n">
        <v>2</v>
      </c>
      <c r="D514" s="76" t="s">
        <v>90</v>
      </c>
      <c r="E514" s="76" t="s">
        <v>118</v>
      </c>
      <c r="F514" s="77" t="s">
        <v>42</v>
      </c>
      <c r="G514" s="77" t="n">
        <v>5</v>
      </c>
      <c r="H514" s="77" t="n">
        <v>1</v>
      </c>
      <c r="I514" s="76" t="n">
        <f aca="false">IF(AND(ISNUMBER(G514),ISNUMBER(H514)),MAX(G514-H514,0),"")</f>
        <v>4</v>
      </c>
      <c r="J514" s="78" t="n">
        <f aca="false">IF(AND(ISNUMBER(G514),ISNUMBER(H514)),IF(G514&gt;0,H514/G514,""),"")</f>
        <v>0.2</v>
      </c>
      <c r="K514" s="77" t="s">
        <v>274</v>
      </c>
      <c r="L514" s="76" t="str">
        <f aca="false">IF(OR(G514="",H514=""),"Data tidak lengkap",IF(AND(G514=0,H514=0),IF(AND(F514="",K514=""),"Tidak dibuka","Tutup"),IF(H514&gt;G514,"Lebih kapasitas",IF(H514=G514,"Penuh",IF(H514=0,IF(F514="","Slot kosong","Belum terisi"),"Sebagian")))))</f>
        <v>Sebagian</v>
      </c>
      <c r="M514" s="79" t="str">
        <f aca="false">IF(L514="Tidak dibuka","–",IF(F514="","(tanpa age group)",F514)&amp;"  "&amp;IF(H514="","?",H514)&amp;"/"&amp;IF(G514="","?",G514)&amp;CHAR(10)&amp;IF(K514="","coach: –","coach: "&amp;K514))</f>
        <v>Tiny  1/5
coach: Eve</v>
      </c>
    </row>
    <row r="515" customFormat="false" ht="22.35" hidden="false" customHeight="false" outlineLevel="0" collapsed="false">
      <c r="A515" s="76" t="str">
        <f aca="false">B515&amp;"|"&amp;C515&amp;"|"&amp;D515&amp;"|"&amp;E515</f>
        <v>KWC|2|Senin|15:30</v>
      </c>
      <c r="B515" s="76" t="s">
        <v>63</v>
      </c>
      <c r="C515" s="76" t="n">
        <v>2</v>
      </c>
      <c r="D515" s="76" t="s">
        <v>90</v>
      </c>
      <c r="E515" s="76" t="s">
        <v>119</v>
      </c>
      <c r="F515" s="77" t="s">
        <v>42</v>
      </c>
      <c r="G515" s="77" t="n">
        <v>0</v>
      </c>
      <c r="H515" s="77" t="n">
        <v>0</v>
      </c>
      <c r="I515" s="76" t="n">
        <f aca="false">IF(AND(ISNUMBER(G515),ISNUMBER(H515)),MAX(G515-H515,0),"")</f>
        <v>0</v>
      </c>
      <c r="J515" s="78" t="str">
        <f aca="false">IF(AND(ISNUMBER(G515),ISNUMBER(H515)),IF(G515&gt;0,H515/G515,""),"")</f>
        <v/>
      </c>
      <c r="K515" s="77"/>
      <c r="L515" s="76" t="str">
        <f aca="false">IF(OR(G515="",H515=""),"Data tidak lengkap",IF(AND(G515=0,H515=0),IF(AND(F515="",K515=""),"Tidak dibuka","Tutup"),IF(H515&gt;G515,"Lebih kapasitas",IF(H515=G515,"Penuh",IF(H515=0,IF(F515="","Slot kosong","Belum terisi"),"Sebagian")))))</f>
        <v>Tutup</v>
      </c>
      <c r="M515" s="79" t="str">
        <f aca="false">IF(L515="Tidak dibuka","–",IF(F515="","(tanpa age group)",F515)&amp;"  "&amp;IF(H515="","?",H515)&amp;"/"&amp;IF(G515="","?",G515)&amp;CHAR(10)&amp;IF(K515="","coach: –","coach: "&amp;K515))</f>
        <v>Tiny  0/0
coach: –</v>
      </c>
    </row>
    <row r="516" customFormat="false" ht="22.35" hidden="false" customHeight="false" outlineLevel="0" collapsed="false">
      <c r="A516" s="76" t="str">
        <f aca="false">B516&amp;"|"&amp;C516&amp;"|"&amp;D516&amp;"|"&amp;E516</f>
        <v>KWC|2|Senin|16:15</v>
      </c>
      <c r="B516" s="76" t="s">
        <v>63</v>
      </c>
      <c r="C516" s="76" t="n">
        <v>2</v>
      </c>
      <c r="D516" s="76" t="s">
        <v>90</v>
      </c>
      <c r="E516" s="76" t="s">
        <v>120</v>
      </c>
      <c r="F516" s="77" t="s">
        <v>42</v>
      </c>
      <c r="G516" s="77" t="n">
        <v>5</v>
      </c>
      <c r="H516" s="77" t="n">
        <v>0</v>
      </c>
      <c r="I516" s="76" t="n">
        <f aca="false">IF(AND(ISNUMBER(G516),ISNUMBER(H516)),MAX(G516-H516,0),"")</f>
        <v>5</v>
      </c>
      <c r="J516" s="78" t="n">
        <f aca="false">IF(AND(ISNUMBER(G516),ISNUMBER(H516)),IF(G516&gt;0,H516/G516,""),"")</f>
        <v>0</v>
      </c>
      <c r="K516" s="77"/>
      <c r="L516" s="76" t="str">
        <f aca="false">IF(OR(G516="",H516=""),"Data tidak lengkap",IF(AND(G516=0,H516=0),IF(AND(F516="",K516=""),"Tidak dibuka","Tutup"),IF(H516&gt;G516,"Lebih kapasitas",IF(H516=G516,"Penuh",IF(H516=0,IF(F516="","Slot kosong","Belum terisi"),"Sebagian")))))</f>
        <v>Belum terisi</v>
      </c>
      <c r="M516" s="79" t="str">
        <f aca="false">IF(L516="Tidak dibuka","–",IF(F516="","(tanpa age group)",F516)&amp;"  "&amp;IF(H516="","?",H516)&amp;"/"&amp;IF(G516="","?",G516)&amp;CHAR(10)&amp;IF(K516="","coach: –","coach: "&amp;K516))</f>
        <v>Tiny  0/5
coach: –</v>
      </c>
    </row>
    <row r="517" customFormat="false" ht="22.35" hidden="false" customHeight="false" outlineLevel="0" collapsed="false">
      <c r="A517" s="76" t="str">
        <f aca="false">B517&amp;"|"&amp;C517&amp;"|"&amp;D517&amp;"|"&amp;E517</f>
        <v>KWC|2|Senin|17:00</v>
      </c>
      <c r="B517" s="76" t="s">
        <v>63</v>
      </c>
      <c r="C517" s="76" t="n">
        <v>2</v>
      </c>
      <c r="D517" s="76" t="s">
        <v>90</v>
      </c>
      <c r="E517" s="76" t="s">
        <v>121</v>
      </c>
      <c r="F517" s="77" t="s">
        <v>42</v>
      </c>
      <c r="G517" s="77" t="n">
        <v>5</v>
      </c>
      <c r="H517" s="77" t="n">
        <v>0</v>
      </c>
      <c r="I517" s="76" t="n">
        <f aca="false">IF(AND(ISNUMBER(G517),ISNUMBER(H517)),MAX(G517-H517,0),"")</f>
        <v>5</v>
      </c>
      <c r="J517" s="78" t="n">
        <f aca="false">IF(AND(ISNUMBER(G517),ISNUMBER(H517)),IF(G517&gt;0,H517/G517,""),"")</f>
        <v>0</v>
      </c>
      <c r="K517" s="77"/>
      <c r="L517" s="76" t="str">
        <f aca="false">IF(OR(G517="",H517=""),"Data tidak lengkap",IF(AND(G517=0,H517=0),IF(AND(F517="",K517=""),"Tidak dibuka","Tutup"),IF(H517&gt;G517,"Lebih kapasitas",IF(H517=G517,"Penuh",IF(H517=0,IF(F517="","Slot kosong","Belum terisi"),"Sebagian")))))</f>
        <v>Belum terisi</v>
      </c>
      <c r="M517" s="79" t="str">
        <f aca="false">IF(L517="Tidak dibuka","–",IF(F517="","(tanpa age group)",F517)&amp;"  "&amp;IF(H517="","?",H517)&amp;"/"&amp;IF(G517="","?",G517)&amp;CHAR(10)&amp;IF(K517="","coach: –","coach: "&amp;K517))</f>
        <v>Tiny  0/5
coach: –</v>
      </c>
    </row>
    <row r="518" customFormat="false" ht="22.35" hidden="false" customHeight="false" outlineLevel="0" collapsed="false">
      <c r="A518" s="76" t="str">
        <f aca="false">B518&amp;"|"&amp;C518&amp;"|"&amp;D518&amp;"|"&amp;E518</f>
        <v>KWC|2|Selasa|08:00</v>
      </c>
      <c r="B518" s="76" t="s">
        <v>63</v>
      </c>
      <c r="C518" s="76" t="n">
        <v>2</v>
      </c>
      <c r="D518" s="76" t="s">
        <v>91</v>
      </c>
      <c r="E518" s="76" t="s">
        <v>110</v>
      </c>
      <c r="F518" s="77" t="s">
        <v>42</v>
      </c>
      <c r="G518" s="77" t="n">
        <v>0</v>
      </c>
      <c r="H518" s="77" t="n">
        <v>0</v>
      </c>
      <c r="I518" s="76" t="n">
        <f aca="false">IF(AND(ISNUMBER(G518),ISNUMBER(H518)),MAX(G518-H518,0),"")</f>
        <v>0</v>
      </c>
      <c r="J518" s="78" t="str">
        <f aca="false">IF(AND(ISNUMBER(G518),ISNUMBER(H518)),IF(G518&gt;0,H518/G518,""),"")</f>
        <v/>
      </c>
      <c r="K518" s="77"/>
      <c r="L518" s="76" t="str">
        <f aca="false">IF(OR(G518="",H518=""),"Data tidak lengkap",IF(AND(G518=0,H518=0),IF(AND(F518="",K518=""),"Tidak dibuka","Tutup"),IF(H518&gt;G518,"Lebih kapasitas",IF(H518=G518,"Penuh",IF(H518=0,IF(F518="","Slot kosong","Belum terisi"),"Sebagian")))))</f>
        <v>Tutup</v>
      </c>
      <c r="M518" s="79" t="str">
        <f aca="false">IF(L518="Tidak dibuka","–",IF(F518="","(tanpa age group)",F518)&amp;"  "&amp;IF(H518="","?",H518)&amp;"/"&amp;IF(G518="","?",G518)&amp;CHAR(10)&amp;IF(K518="","coach: –","coach: "&amp;K518))</f>
        <v>Tiny  0/0
coach: –</v>
      </c>
    </row>
    <row r="519" customFormat="false" ht="22.35" hidden="false" customHeight="false" outlineLevel="0" collapsed="false">
      <c r="A519" s="76" t="str">
        <f aca="false">B519&amp;"|"&amp;C519&amp;"|"&amp;D519&amp;"|"&amp;E519</f>
        <v>KWC|2|Selasa|08:45</v>
      </c>
      <c r="B519" s="76" t="s">
        <v>63</v>
      </c>
      <c r="C519" s="76" t="n">
        <v>2</v>
      </c>
      <c r="D519" s="76" t="s">
        <v>91</v>
      </c>
      <c r="E519" s="76" t="s">
        <v>111</v>
      </c>
      <c r="F519" s="77" t="s">
        <v>42</v>
      </c>
      <c r="G519" s="77" t="n">
        <v>5</v>
      </c>
      <c r="H519" s="77" t="n">
        <v>0</v>
      </c>
      <c r="I519" s="76" t="n">
        <f aca="false">IF(AND(ISNUMBER(G519),ISNUMBER(H519)),MAX(G519-H519,0),"")</f>
        <v>5</v>
      </c>
      <c r="J519" s="78" t="n">
        <f aca="false">IF(AND(ISNUMBER(G519),ISNUMBER(H519)),IF(G519&gt;0,H519/G519,""),"")</f>
        <v>0</v>
      </c>
      <c r="K519" s="77"/>
      <c r="L519" s="76" t="str">
        <f aca="false">IF(OR(G519="",H519=""),"Data tidak lengkap",IF(AND(G519=0,H519=0),IF(AND(F519="",K519=""),"Tidak dibuka","Tutup"),IF(H519&gt;G519,"Lebih kapasitas",IF(H519=G519,"Penuh",IF(H519=0,IF(F519="","Slot kosong","Belum terisi"),"Sebagian")))))</f>
        <v>Belum terisi</v>
      </c>
      <c r="M519" s="79" t="str">
        <f aca="false">IF(L519="Tidak dibuka","–",IF(F519="","(tanpa age group)",F519)&amp;"  "&amp;IF(H519="","?",H519)&amp;"/"&amp;IF(G519="","?",G519)&amp;CHAR(10)&amp;IF(K519="","coach: –","coach: "&amp;K519))</f>
        <v>Tiny  0/5
coach: –</v>
      </c>
    </row>
    <row r="520" customFormat="false" ht="22.35" hidden="false" customHeight="false" outlineLevel="0" collapsed="false">
      <c r="A520" s="76" t="str">
        <f aca="false">B520&amp;"|"&amp;C520&amp;"|"&amp;D520&amp;"|"&amp;E520</f>
        <v>KWC|2|Selasa|09:30</v>
      </c>
      <c r="B520" s="76" t="s">
        <v>63</v>
      </c>
      <c r="C520" s="76" t="n">
        <v>2</v>
      </c>
      <c r="D520" s="76" t="s">
        <v>91</v>
      </c>
      <c r="E520" s="76" t="s">
        <v>112</v>
      </c>
      <c r="F520" s="77" t="s">
        <v>42</v>
      </c>
      <c r="G520" s="77" t="n">
        <v>5</v>
      </c>
      <c r="H520" s="77" t="n">
        <v>3</v>
      </c>
      <c r="I520" s="76" t="n">
        <f aca="false">IF(AND(ISNUMBER(G520),ISNUMBER(H520)),MAX(G520-H520,0),"")</f>
        <v>2</v>
      </c>
      <c r="J520" s="78" t="n">
        <f aca="false">IF(AND(ISNUMBER(G520),ISNUMBER(H520)),IF(G520&gt;0,H520/G520,""),"")</f>
        <v>0.6</v>
      </c>
      <c r="K520" s="77" t="s">
        <v>267</v>
      </c>
      <c r="L520" s="76" t="str">
        <f aca="false">IF(OR(G520="",H520=""),"Data tidak lengkap",IF(AND(G520=0,H520=0),IF(AND(F520="",K520=""),"Tidak dibuka","Tutup"),IF(H520&gt;G520,"Lebih kapasitas",IF(H520=G520,"Penuh",IF(H520=0,IF(F520="","Slot kosong","Belum terisi"),"Sebagian")))))</f>
        <v>Sebagian</v>
      </c>
      <c r="M520" s="79" t="str">
        <f aca="false">IF(L520="Tidak dibuka","–",IF(F520="","(tanpa age group)",F520)&amp;"  "&amp;IF(H520="","?",H520)&amp;"/"&amp;IF(G520="","?",G520)&amp;CHAR(10)&amp;IF(K520="","coach: –","coach: "&amp;K520))</f>
        <v>Tiny  3/5
coach: Deyon</v>
      </c>
    </row>
    <row r="521" customFormat="false" ht="22.35" hidden="false" customHeight="false" outlineLevel="0" collapsed="false">
      <c r="A521" s="76" t="str">
        <f aca="false">B521&amp;"|"&amp;C521&amp;"|"&amp;D521&amp;"|"&amp;E521</f>
        <v>KWC|2|Selasa|10:15</v>
      </c>
      <c r="B521" s="76" t="s">
        <v>63</v>
      </c>
      <c r="C521" s="76" t="n">
        <v>2</v>
      </c>
      <c r="D521" s="76" t="s">
        <v>91</v>
      </c>
      <c r="E521" s="76" t="s">
        <v>113</v>
      </c>
      <c r="F521" s="77" t="s">
        <v>42</v>
      </c>
      <c r="G521" s="77" t="n">
        <v>5</v>
      </c>
      <c r="H521" s="77" t="n">
        <v>0</v>
      </c>
      <c r="I521" s="76" t="n">
        <f aca="false">IF(AND(ISNUMBER(G521),ISNUMBER(H521)),MAX(G521-H521,0),"")</f>
        <v>5</v>
      </c>
      <c r="J521" s="78" t="n">
        <f aca="false">IF(AND(ISNUMBER(G521),ISNUMBER(H521)),IF(G521&gt;0,H521/G521,""),"")</f>
        <v>0</v>
      </c>
      <c r="K521" s="77"/>
      <c r="L521" s="76" t="str">
        <f aca="false">IF(OR(G521="",H521=""),"Data tidak lengkap",IF(AND(G521=0,H521=0),IF(AND(F521="",K521=""),"Tidak dibuka","Tutup"),IF(H521&gt;G521,"Lebih kapasitas",IF(H521=G521,"Penuh",IF(H521=0,IF(F521="","Slot kosong","Belum terisi"),"Sebagian")))))</f>
        <v>Belum terisi</v>
      </c>
      <c r="M521" s="79" t="str">
        <f aca="false">IF(L521="Tidak dibuka","–",IF(F521="","(tanpa age group)",F521)&amp;"  "&amp;IF(H521="","?",H521)&amp;"/"&amp;IF(G521="","?",G521)&amp;CHAR(10)&amp;IF(K521="","coach: –","coach: "&amp;K521))</f>
        <v>Tiny  0/5
coach: –</v>
      </c>
    </row>
    <row r="522" customFormat="false" ht="22.35" hidden="false" customHeight="false" outlineLevel="0" collapsed="false">
      <c r="A522" s="76" t="str">
        <f aca="false">B522&amp;"|"&amp;C522&amp;"|"&amp;D522&amp;"|"&amp;E522</f>
        <v>KWC|2|Selasa|11:00</v>
      </c>
      <c r="B522" s="76" t="s">
        <v>63</v>
      </c>
      <c r="C522" s="76" t="n">
        <v>2</v>
      </c>
      <c r="D522" s="76" t="s">
        <v>91</v>
      </c>
      <c r="E522" s="76" t="s">
        <v>114</v>
      </c>
      <c r="F522" s="77" t="s">
        <v>42</v>
      </c>
      <c r="G522" s="77" t="n">
        <v>5</v>
      </c>
      <c r="H522" s="77" t="n">
        <v>2</v>
      </c>
      <c r="I522" s="76" t="n">
        <f aca="false">IF(AND(ISNUMBER(G522),ISNUMBER(H522)),MAX(G522-H522,0),"")</f>
        <v>3</v>
      </c>
      <c r="J522" s="78" t="n">
        <f aca="false">IF(AND(ISNUMBER(G522),ISNUMBER(H522)),IF(G522&gt;0,H522/G522,""),"")</f>
        <v>0.4</v>
      </c>
      <c r="K522" s="77" t="s">
        <v>274</v>
      </c>
      <c r="L522" s="76" t="str">
        <f aca="false">IF(OR(G522="",H522=""),"Data tidak lengkap",IF(AND(G522=0,H522=0),IF(AND(F522="",K522=""),"Tidak dibuka","Tutup"),IF(H522&gt;G522,"Lebih kapasitas",IF(H522=G522,"Penuh",IF(H522=0,IF(F522="","Slot kosong","Belum terisi"),"Sebagian")))))</f>
        <v>Sebagian</v>
      </c>
      <c r="M522" s="79" t="str">
        <f aca="false">IF(L522="Tidak dibuka","–",IF(F522="","(tanpa age group)",F522)&amp;"  "&amp;IF(H522="","?",H522)&amp;"/"&amp;IF(G522="","?",G522)&amp;CHAR(10)&amp;IF(K522="","coach: –","coach: "&amp;K522))</f>
        <v>Tiny  2/5
coach: Eve</v>
      </c>
    </row>
    <row r="523" customFormat="false" ht="22.35" hidden="false" customHeight="false" outlineLevel="0" collapsed="false">
      <c r="A523" s="76" t="str">
        <f aca="false">B523&amp;"|"&amp;C523&amp;"|"&amp;D523&amp;"|"&amp;E523</f>
        <v>KWC|2|Selasa|11:45</v>
      </c>
      <c r="B523" s="76" t="s">
        <v>63</v>
      </c>
      <c r="C523" s="76" t="n">
        <v>2</v>
      </c>
      <c r="D523" s="76" t="s">
        <v>91</v>
      </c>
      <c r="E523" s="76" t="s">
        <v>115</v>
      </c>
      <c r="F523" s="77" t="s">
        <v>42</v>
      </c>
      <c r="G523" s="77" t="n">
        <v>0</v>
      </c>
      <c r="H523" s="77" t="n">
        <v>0</v>
      </c>
      <c r="I523" s="76" t="n">
        <f aca="false">IF(AND(ISNUMBER(G523),ISNUMBER(H523)),MAX(G523-H523,0),"")</f>
        <v>0</v>
      </c>
      <c r="J523" s="78" t="str">
        <f aca="false">IF(AND(ISNUMBER(G523),ISNUMBER(H523)),IF(G523&gt;0,H523/G523,""),"")</f>
        <v/>
      </c>
      <c r="K523" s="77"/>
      <c r="L523" s="76" t="str">
        <f aca="false">IF(OR(G523="",H523=""),"Data tidak lengkap",IF(AND(G523=0,H523=0),IF(AND(F523="",K523=""),"Tidak dibuka","Tutup"),IF(H523&gt;G523,"Lebih kapasitas",IF(H523=G523,"Penuh",IF(H523=0,IF(F523="","Slot kosong","Belum terisi"),"Sebagian")))))</f>
        <v>Tutup</v>
      </c>
      <c r="M523" s="79" t="str">
        <f aca="false">IF(L523="Tidak dibuka","–",IF(F523="","(tanpa age group)",F523)&amp;"  "&amp;IF(H523="","?",H523)&amp;"/"&amp;IF(G523="","?",G523)&amp;CHAR(10)&amp;IF(K523="","coach: –","coach: "&amp;K523))</f>
        <v>Tiny  0/0
coach: –</v>
      </c>
    </row>
    <row r="524" customFormat="false" ht="22.35" hidden="false" customHeight="false" outlineLevel="0" collapsed="false">
      <c r="A524" s="76" t="str">
        <f aca="false">B524&amp;"|"&amp;C524&amp;"|"&amp;D524&amp;"|"&amp;E524</f>
        <v>KWC|2|Selasa|13:15</v>
      </c>
      <c r="B524" s="76" t="s">
        <v>63</v>
      </c>
      <c r="C524" s="76" t="n">
        <v>2</v>
      </c>
      <c r="D524" s="76" t="s">
        <v>91</v>
      </c>
      <c r="E524" s="76" t="s">
        <v>116</v>
      </c>
      <c r="F524" s="77" t="s">
        <v>42</v>
      </c>
      <c r="G524" s="77" t="n">
        <v>5</v>
      </c>
      <c r="H524" s="77" t="n">
        <v>0</v>
      </c>
      <c r="I524" s="76" t="n">
        <f aca="false">IF(AND(ISNUMBER(G524),ISNUMBER(H524)),MAX(G524-H524,0),"")</f>
        <v>5</v>
      </c>
      <c r="J524" s="78" t="n">
        <f aca="false">IF(AND(ISNUMBER(G524),ISNUMBER(H524)),IF(G524&gt;0,H524/G524,""),"")</f>
        <v>0</v>
      </c>
      <c r="K524" s="77"/>
      <c r="L524" s="76" t="str">
        <f aca="false">IF(OR(G524="",H524=""),"Data tidak lengkap",IF(AND(G524=0,H524=0),IF(AND(F524="",K524=""),"Tidak dibuka","Tutup"),IF(H524&gt;G524,"Lebih kapasitas",IF(H524=G524,"Penuh",IF(H524=0,IF(F524="","Slot kosong","Belum terisi"),"Sebagian")))))</f>
        <v>Belum terisi</v>
      </c>
      <c r="M524" s="79" t="str">
        <f aca="false">IF(L524="Tidak dibuka","–",IF(F524="","(tanpa age group)",F524)&amp;"  "&amp;IF(H524="","?",H524)&amp;"/"&amp;IF(G524="","?",G524)&amp;CHAR(10)&amp;IF(K524="","coach: –","coach: "&amp;K524))</f>
        <v>Tiny  0/5
coach: –</v>
      </c>
    </row>
    <row r="525" customFormat="false" ht="22.35" hidden="false" customHeight="false" outlineLevel="0" collapsed="false">
      <c r="A525" s="76" t="str">
        <f aca="false">B525&amp;"|"&amp;C525&amp;"|"&amp;D525&amp;"|"&amp;E525</f>
        <v>KWC|2|Selasa|14:00</v>
      </c>
      <c r="B525" s="76" t="s">
        <v>63</v>
      </c>
      <c r="C525" s="76" t="n">
        <v>2</v>
      </c>
      <c r="D525" s="76" t="s">
        <v>91</v>
      </c>
      <c r="E525" s="76" t="s">
        <v>117</v>
      </c>
      <c r="F525" s="77" t="s">
        <v>42</v>
      </c>
      <c r="G525" s="77" t="n">
        <v>5</v>
      </c>
      <c r="H525" s="77" t="n">
        <v>0</v>
      </c>
      <c r="I525" s="76" t="n">
        <f aca="false">IF(AND(ISNUMBER(G525),ISNUMBER(H525)),MAX(G525-H525,0),"")</f>
        <v>5</v>
      </c>
      <c r="J525" s="78" t="n">
        <f aca="false">IF(AND(ISNUMBER(G525),ISNUMBER(H525)),IF(G525&gt;0,H525/G525,""),"")</f>
        <v>0</v>
      </c>
      <c r="K525" s="77"/>
      <c r="L525" s="76" t="str">
        <f aca="false">IF(OR(G525="",H525=""),"Data tidak lengkap",IF(AND(G525=0,H525=0),IF(AND(F525="",K525=""),"Tidak dibuka","Tutup"),IF(H525&gt;G525,"Lebih kapasitas",IF(H525=G525,"Penuh",IF(H525=0,IF(F525="","Slot kosong","Belum terisi"),"Sebagian")))))</f>
        <v>Belum terisi</v>
      </c>
      <c r="M525" s="79" t="str">
        <f aca="false">IF(L525="Tidak dibuka","–",IF(F525="","(tanpa age group)",F525)&amp;"  "&amp;IF(H525="","?",H525)&amp;"/"&amp;IF(G525="","?",G525)&amp;CHAR(10)&amp;IF(K525="","coach: –","coach: "&amp;K525))</f>
        <v>Tiny  0/5
coach: –</v>
      </c>
    </row>
    <row r="526" customFormat="false" ht="22.35" hidden="false" customHeight="false" outlineLevel="0" collapsed="false">
      <c r="A526" s="76" t="str">
        <f aca="false">B526&amp;"|"&amp;C526&amp;"|"&amp;D526&amp;"|"&amp;E526</f>
        <v>KWC|2|Selasa|14:45</v>
      </c>
      <c r="B526" s="76" t="s">
        <v>63</v>
      </c>
      <c r="C526" s="76" t="n">
        <v>2</v>
      </c>
      <c r="D526" s="76" t="s">
        <v>91</v>
      </c>
      <c r="E526" s="76" t="s">
        <v>118</v>
      </c>
      <c r="F526" s="77" t="s">
        <v>42</v>
      </c>
      <c r="G526" s="77" t="n">
        <v>0</v>
      </c>
      <c r="H526" s="77" t="n">
        <v>0</v>
      </c>
      <c r="I526" s="76" t="n">
        <f aca="false">IF(AND(ISNUMBER(G526),ISNUMBER(H526)),MAX(G526-H526,0),"")</f>
        <v>0</v>
      </c>
      <c r="J526" s="78" t="str">
        <f aca="false">IF(AND(ISNUMBER(G526),ISNUMBER(H526)),IF(G526&gt;0,H526/G526,""),"")</f>
        <v/>
      </c>
      <c r="K526" s="77"/>
      <c r="L526" s="76" t="str">
        <f aca="false">IF(OR(G526="",H526=""),"Data tidak lengkap",IF(AND(G526=0,H526=0),IF(AND(F526="",K526=""),"Tidak dibuka","Tutup"),IF(H526&gt;G526,"Lebih kapasitas",IF(H526=G526,"Penuh",IF(H526=0,IF(F526="","Slot kosong","Belum terisi"),"Sebagian")))))</f>
        <v>Tutup</v>
      </c>
      <c r="M526" s="79" t="str">
        <f aca="false">IF(L526="Tidak dibuka","–",IF(F526="","(tanpa age group)",F526)&amp;"  "&amp;IF(H526="","?",H526)&amp;"/"&amp;IF(G526="","?",G526)&amp;CHAR(10)&amp;IF(K526="","coach: –","coach: "&amp;K526))</f>
        <v>Tiny  0/0
coach: –</v>
      </c>
    </row>
    <row r="527" customFormat="false" ht="22.35" hidden="false" customHeight="false" outlineLevel="0" collapsed="false">
      <c r="A527" s="76" t="str">
        <f aca="false">B527&amp;"|"&amp;C527&amp;"|"&amp;D527&amp;"|"&amp;E527</f>
        <v>KWC|2|Selasa|15:30</v>
      </c>
      <c r="B527" s="76" t="s">
        <v>63</v>
      </c>
      <c r="C527" s="76" t="n">
        <v>2</v>
      </c>
      <c r="D527" s="76" t="s">
        <v>91</v>
      </c>
      <c r="E527" s="76" t="s">
        <v>119</v>
      </c>
      <c r="F527" s="77" t="s">
        <v>42</v>
      </c>
      <c r="G527" s="77" t="n">
        <v>0</v>
      </c>
      <c r="H527" s="77" t="n">
        <v>0</v>
      </c>
      <c r="I527" s="76" t="n">
        <f aca="false">IF(AND(ISNUMBER(G527),ISNUMBER(H527)),MAX(G527-H527,0),"")</f>
        <v>0</v>
      </c>
      <c r="J527" s="78" t="str">
        <f aca="false">IF(AND(ISNUMBER(G527),ISNUMBER(H527)),IF(G527&gt;0,H527/G527,""),"")</f>
        <v/>
      </c>
      <c r="K527" s="77"/>
      <c r="L527" s="76" t="str">
        <f aca="false">IF(OR(G527="",H527=""),"Data tidak lengkap",IF(AND(G527=0,H527=0),IF(AND(F527="",K527=""),"Tidak dibuka","Tutup"),IF(H527&gt;G527,"Lebih kapasitas",IF(H527=G527,"Penuh",IF(H527=0,IF(F527="","Slot kosong","Belum terisi"),"Sebagian")))))</f>
        <v>Tutup</v>
      </c>
      <c r="M527" s="79" t="str">
        <f aca="false">IF(L527="Tidak dibuka","–",IF(F527="","(tanpa age group)",F527)&amp;"  "&amp;IF(H527="","?",H527)&amp;"/"&amp;IF(G527="","?",G527)&amp;CHAR(10)&amp;IF(K527="","coach: –","coach: "&amp;K527))</f>
        <v>Tiny  0/0
coach: –</v>
      </c>
    </row>
    <row r="528" customFormat="false" ht="22.35" hidden="false" customHeight="false" outlineLevel="0" collapsed="false">
      <c r="A528" s="76" t="str">
        <f aca="false">B528&amp;"|"&amp;C528&amp;"|"&amp;D528&amp;"|"&amp;E528</f>
        <v>KWC|2|Selasa|16:15</v>
      </c>
      <c r="B528" s="76" t="s">
        <v>63</v>
      </c>
      <c r="C528" s="76" t="n">
        <v>2</v>
      </c>
      <c r="D528" s="76" t="s">
        <v>91</v>
      </c>
      <c r="E528" s="76" t="s">
        <v>120</v>
      </c>
      <c r="F528" s="77" t="s">
        <v>42</v>
      </c>
      <c r="G528" s="77" t="n">
        <v>5</v>
      </c>
      <c r="H528" s="77" t="n">
        <v>0</v>
      </c>
      <c r="I528" s="76" t="n">
        <f aca="false">IF(AND(ISNUMBER(G528),ISNUMBER(H528)),MAX(G528-H528,0),"")</f>
        <v>5</v>
      </c>
      <c r="J528" s="78" t="n">
        <f aca="false">IF(AND(ISNUMBER(G528),ISNUMBER(H528)),IF(G528&gt;0,H528/G528,""),"")</f>
        <v>0</v>
      </c>
      <c r="K528" s="77"/>
      <c r="L528" s="76" t="str">
        <f aca="false">IF(OR(G528="",H528=""),"Data tidak lengkap",IF(AND(G528=0,H528=0),IF(AND(F528="",K528=""),"Tidak dibuka","Tutup"),IF(H528&gt;G528,"Lebih kapasitas",IF(H528=G528,"Penuh",IF(H528=0,IF(F528="","Slot kosong","Belum terisi"),"Sebagian")))))</f>
        <v>Belum terisi</v>
      </c>
      <c r="M528" s="79" t="str">
        <f aca="false">IF(L528="Tidak dibuka","–",IF(F528="","(tanpa age group)",F528)&amp;"  "&amp;IF(H528="","?",H528)&amp;"/"&amp;IF(G528="","?",G528)&amp;CHAR(10)&amp;IF(K528="","coach: –","coach: "&amp;K528))</f>
        <v>Tiny  0/5
coach: –</v>
      </c>
    </row>
    <row r="529" customFormat="false" ht="22.35" hidden="false" customHeight="false" outlineLevel="0" collapsed="false">
      <c r="A529" s="76" t="str">
        <f aca="false">B529&amp;"|"&amp;C529&amp;"|"&amp;D529&amp;"|"&amp;E529</f>
        <v>KWC|2|Selasa|17:00</v>
      </c>
      <c r="B529" s="76" t="s">
        <v>63</v>
      </c>
      <c r="C529" s="76" t="n">
        <v>2</v>
      </c>
      <c r="D529" s="76" t="s">
        <v>91</v>
      </c>
      <c r="E529" s="76" t="s">
        <v>121</v>
      </c>
      <c r="F529" s="77" t="s">
        <v>42</v>
      </c>
      <c r="G529" s="77" t="n">
        <v>5</v>
      </c>
      <c r="H529" s="77" t="n">
        <v>0</v>
      </c>
      <c r="I529" s="76" t="n">
        <f aca="false">IF(AND(ISNUMBER(G529),ISNUMBER(H529)),MAX(G529-H529,0),"")</f>
        <v>5</v>
      </c>
      <c r="J529" s="78" t="n">
        <f aca="false">IF(AND(ISNUMBER(G529),ISNUMBER(H529)),IF(G529&gt;0,H529/G529,""),"")</f>
        <v>0</v>
      </c>
      <c r="K529" s="77"/>
      <c r="L529" s="76" t="str">
        <f aca="false">IF(OR(G529="",H529=""),"Data tidak lengkap",IF(AND(G529=0,H529=0),IF(AND(F529="",K529=""),"Tidak dibuka","Tutup"),IF(H529&gt;G529,"Lebih kapasitas",IF(H529=G529,"Penuh",IF(H529=0,IF(F529="","Slot kosong","Belum terisi"),"Sebagian")))))</f>
        <v>Belum terisi</v>
      </c>
      <c r="M529" s="79" t="str">
        <f aca="false">IF(L529="Tidak dibuka","–",IF(F529="","(tanpa age group)",F529)&amp;"  "&amp;IF(H529="","?",H529)&amp;"/"&amp;IF(G529="","?",G529)&amp;CHAR(10)&amp;IF(K529="","coach: –","coach: "&amp;K529))</f>
        <v>Tiny  0/5
coach: –</v>
      </c>
    </row>
    <row r="530" customFormat="false" ht="22.35" hidden="false" customHeight="false" outlineLevel="0" collapsed="false">
      <c r="A530" s="76" t="str">
        <f aca="false">B530&amp;"|"&amp;C530&amp;"|"&amp;D530&amp;"|"&amp;E530</f>
        <v>KWC|2|Rabu|08:00</v>
      </c>
      <c r="B530" s="76" t="s">
        <v>63</v>
      </c>
      <c r="C530" s="76" t="n">
        <v>2</v>
      </c>
      <c r="D530" s="76" t="s">
        <v>92</v>
      </c>
      <c r="E530" s="76" t="s">
        <v>110</v>
      </c>
      <c r="F530" s="77" t="s">
        <v>42</v>
      </c>
      <c r="G530" s="77" t="n">
        <v>0</v>
      </c>
      <c r="H530" s="77" t="n">
        <v>0</v>
      </c>
      <c r="I530" s="76" t="n">
        <f aca="false">IF(AND(ISNUMBER(G530),ISNUMBER(H530)),MAX(G530-H530,0),"")</f>
        <v>0</v>
      </c>
      <c r="J530" s="78" t="str">
        <f aca="false">IF(AND(ISNUMBER(G530),ISNUMBER(H530)),IF(G530&gt;0,H530/G530,""),"")</f>
        <v/>
      </c>
      <c r="K530" s="77"/>
      <c r="L530" s="76" t="str">
        <f aca="false">IF(OR(G530="",H530=""),"Data tidak lengkap",IF(AND(G530=0,H530=0),IF(AND(F530="",K530=""),"Tidak dibuka","Tutup"),IF(H530&gt;G530,"Lebih kapasitas",IF(H530=G530,"Penuh",IF(H530=0,IF(F530="","Slot kosong","Belum terisi"),"Sebagian")))))</f>
        <v>Tutup</v>
      </c>
      <c r="M530" s="79" t="str">
        <f aca="false">IF(L530="Tidak dibuka","–",IF(F530="","(tanpa age group)",F530)&amp;"  "&amp;IF(H530="","?",H530)&amp;"/"&amp;IF(G530="","?",G530)&amp;CHAR(10)&amp;IF(K530="","coach: –","coach: "&amp;K530))</f>
        <v>Tiny  0/0
coach: –</v>
      </c>
    </row>
    <row r="531" customFormat="false" ht="22.35" hidden="false" customHeight="false" outlineLevel="0" collapsed="false">
      <c r="A531" s="76" t="str">
        <f aca="false">B531&amp;"|"&amp;C531&amp;"|"&amp;D531&amp;"|"&amp;E531</f>
        <v>KWC|2|Rabu|08:45</v>
      </c>
      <c r="B531" s="76" t="s">
        <v>63</v>
      </c>
      <c r="C531" s="76" t="n">
        <v>2</v>
      </c>
      <c r="D531" s="76" t="s">
        <v>92</v>
      </c>
      <c r="E531" s="76" t="s">
        <v>111</v>
      </c>
      <c r="F531" s="77" t="s">
        <v>42</v>
      </c>
      <c r="G531" s="77" t="n">
        <v>5</v>
      </c>
      <c r="H531" s="77" t="n">
        <v>0</v>
      </c>
      <c r="I531" s="76" t="n">
        <f aca="false">IF(AND(ISNUMBER(G531),ISNUMBER(H531)),MAX(G531-H531,0),"")</f>
        <v>5</v>
      </c>
      <c r="J531" s="78" t="n">
        <f aca="false">IF(AND(ISNUMBER(G531),ISNUMBER(H531)),IF(G531&gt;0,H531/G531,""),"")</f>
        <v>0</v>
      </c>
      <c r="K531" s="77"/>
      <c r="L531" s="76" t="str">
        <f aca="false">IF(OR(G531="",H531=""),"Data tidak lengkap",IF(AND(G531=0,H531=0),IF(AND(F531="",K531=""),"Tidak dibuka","Tutup"),IF(H531&gt;G531,"Lebih kapasitas",IF(H531=G531,"Penuh",IF(H531=0,IF(F531="","Slot kosong","Belum terisi"),"Sebagian")))))</f>
        <v>Belum terisi</v>
      </c>
      <c r="M531" s="79" t="str">
        <f aca="false">IF(L531="Tidak dibuka","–",IF(F531="","(tanpa age group)",F531)&amp;"  "&amp;IF(H531="","?",H531)&amp;"/"&amp;IF(G531="","?",G531)&amp;CHAR(10)&amp;IF(K531="","coach: –","coach: "&amp;K531))</f>
        <v>Tiny  0/5
coach: –</v>
      </c>
    </row>
    <row r="532" customFormat="false" ht="22.35" hidden="false" customHeight="false" outlineLevel="0" collapsed="false">
      <c r="A532" s="76" t="str">
        <f aca="false">B532&amp;"|"&amp;C532&amp;"|"&amp;D532&amp;"|"&amp;E532</f>
        <v>KWC|2|Rabu|09:30</v>
      </c>
      <c r="B532" s="76" t="s">
        <v>63</v>
      </c>
      <c r="C532" s="76" t="n">
        <v>2</v>
      </c>
      <c r="D532" s="76" t="s">
        <v>92</v>
      </c>
      <c r="E532" s="76" t="s">
        <v>112</v>
      </c>
      <c r="F532" s="77" t="s">
        <v>42</v>
      </c>
      <c r="G532" s="77" t="n">
        <v>5</v>
      </c>
      <c r="H532" s="77" t="n">
        <v>2</v>
      </c>
      <c r="I532" s="76" t="n">
        <f aca="false">IF(AND(ISNUMBER(G532),ISNUMBER(H532)),MAX(G532-H532,0),"")</f>
        <v>3</v>
      </c>
      <c r="J532" s="78" t="n">
        <f aca="false">IF(AND(ISNUMBER(G532),ISNUMBER(H532)),IF(G532&gt;0,H532/G532,""),"")</f>
        <v>0.4</v>
      </c>
      <c r="K532" s="77" t="s">
        <v>270</v>
      </c>
      <c r="L532" s="76" t="str">
        <f aca="false">IF(OR(G532="",H532=""),"Data tidak lengkap",IF(AND(G532=0,H532=0),IF(AND(F532="",K532=""),"Tidak dibuka","Tutup"),IF(H532&gt;G532,"Lebih kapasitas",IF(H532=G532,"Penuh",IF(H532=0,IF(F532="","Slot kosong","Belum terisi"),"Sebagian")))))</f>
        <v>Sebagian</v>
      </c>
      <c r="M532" s="79" t="str">
        <f aca="false">IF(L532="Tidak dibuka","–",IF(F532="","(tanpa age group)",F532)&amp;"  "&amp;IF(H532="","?",H532)&amp;"/"&amp;IF(G532="","?",G532)&amp;CHAR(10)&amp;IF(K532="","coach: –","coach: "&amp;K532))</f>
        <v>Tiny  2/5
coach: Sri</v>
      </c>
    </row>
    <row r="533" customFormat="false" ht="22.35" hidden="false" customHeight="false" outlineLevel="0" collapsed="false">
      <c r="A533" s="76" t="str">
        <f aca="false">B533&amp;"|"&amp;C533&amp;"|"&amp;D533&amp;"|"&amp;E533</f>
        <v>KWC|2|Rabu|10:15</v>
      </c>
      <c r="B533" s="76" t="s">
        <v>63</v>
      </c>
      <c r="C533" s="76" t="n">
        <v>2</v>
      </c>
      <c r="D533" s="76" t="s">
        <v>92</v>
      </c>
      <c r="E533" s="76" t="s">
        <v>113</v>
      </c>
      <c r="F533" s="77" t="s">
        <v>42</v>
      </c>
      <c r="G533" s="77" t="n">
        <v>5</v>
      </c>
      <c r="H533" s="77" t="n">
        <v>4</v>
      </c>
      <c r="I533" s="76" t="n">
        <f aca="false">IF(AND(ISNUMBER(G533),ISNUMBER(H533)),MAX(G533-H533,0),"")</f>
        <v>1</v>
      </c>
      <c r="J533" s="78" t="n">
        <f aca="false">IF(AND(ISNUMBER(G533),ISNUMBER(H533)),IF(G533&gt;0,H533/G533,""),"")</f>
        <v>0.8</v>
      </c>
      <c r="K533" s="77" t="s">
        <v>271</v>
      </c>
      <c r="L533" s="76" t="str">
        <f aca="false">IF(OR(G533="",H533=""),"Data tidak lengkap",IF(AND(G533=0,H533=0),IF(AND(F533="",K533=""),"Tidak dibuka","Tutup"),IF(H533&gt;G533,"Lebih kapasitas",IF(H533=G533,"Penuh",IF(H533=0,IF(F533="","Slot kosong","Belum terisi"),"Sebagian")))))</f>
        <v>Sebagian</v>
      </c>
      <c r="M533" s="79" t="str">
        <f aca="false">IF(L533="Tidak dibuka","–",IF(F533="","(tanpa age group)",F533)&amp;"  "&amp;IF(H533="","?",H533)&amp;"/"&amp;IF(G533="","?",G533)&amp;CHAR(10)&amp;IF(K533="","coach: –","coach: "&amp;K533))</f>
        <v>Tiny  4/5
coach: Icis</v>
      </c>
    </row>
    <row r="534" customFormat="false" ht="22.35" hidden="false" customHeight="false" outlineLevel="0" collapsed="false">
      <c r="A534" s="76" t="str">
        <f aca="false">B534&amp;"|"&amp;C534&amp;"|"&amp;D534&amp;"|"&amp;E534</f>
        <v>KWC|2|Rabu|11:00</v>
      </c>
      <c r="B534" s="76" t="s">
        <v>63</v>
      </c>
      <c r="C534" s="76" t="n">
        <v>2</v>
      </c>
      <c r="D534" s="76" t="s">
        <v>92</v>
      </c>
      <c r="E534" s="76" t="s">
        <v>114</v>
      </c>
      <c r="F534" s="77" t="s">
        <v>42</v>
      </c>
      <c r="G534" s="77" t="n">
        <v>5</v>
      </c>
      <c r="H534" s="77" t="n">
        <v>0</v>
      </c>
      <c r="I534" s="76" t="n">
        <f aca="false">IF(AND(ISNUMBER(G534),ISNUMBER(H534)),MAX(G534-H534,0),"")</f>
        <v>5</v>
      </c>
      <c r="J534" s="78" t="n">
        <f aca="false">IF(AND(ISNUMBER(G534),ISNUMBER(H534)),IF(G534&gt;0,H534/G534,""),"")</f>
        <v>0</v>
      </c>
      <c r="K534" s="77"/>
      <c r="L534" s="76" t="str">
        <f aca="false">IF(OR(G534="",H534=""),"Data tidak lengkap",IF(AND(G534=0,H534=0),IF(AND(F534="",K534=""),"Tidak dibuka","Tutup"),IF(H534&gt;G534,"Lebih kapasitas",IF(H534=G534,"Penuh",IF(H534=0,IF(F534="","Slot kosong","Belum terisi"),"Sebagian")))))</f>
        <v>Belum terisi</v>
      </c>
      <c r="M534" s="79" t="str">
        <f aca="false">IF(L534="Tidak dibuka","–",IF(F534="","(tanpa age group)",F534)&amp;"  "&amp;IF(H534="","?",H534)&amp;"/"&amp;IF(G534="","?",G534)&amp;CHAR(10)&amp;IF(K534="","coach: –","coach: "&amp;K534))</f>
        <v>Tiny  0/5
coach: –</v>
      </c>
    </row>
    <row r="535" customFormat="false" ht="22.35" hidden="false" customHeight="false" outlineLevel="0" collapsed="false">
      <c r="A535" s="76" t="str">
        <f aca="false">B535&amp;"|"&amp;C535&amp;"|"&amp;D535&amp;"|"&amp;E535</f>
        <v>KWC|2|Rabu|11:45</v>
      </c>
      <c r="B535" s="76" t="s">
        <v>63</v>
      </c>
      <c r="C535" s="76" t="n">
        <v>2</v>
      </c>
      <c r="D535" s="76" t="s">
        <v>92</v>
      </c>
      <c r="E535" s="76" t="s">
        <v>115</v>
      </c>
      <c r="F535" s="77" t="s">
        <v>42</v>
      </c>
      <c r="G535" s="77" t="n">
        <v>0</v>
      </c>
      <c r="H535" s="77" t="n">
        <v>0</v>
      </c>
      <c r="I535" s="76" t="n">
        <f aca="false">IF(AND(ISNUMBER(G535),ISNUMBER(H535)),MAX(G535-H535,0),"")</f>
        <v>0</v>
      </c>
      <c r="J535" s="78" t="str">
        <f aca="false">IF(AND(ISNUMBER(G535),ISNUMBER(H535)),IF(G535&gt;0,H535/G535,""),"")</f>
        <v/>
      </c>
      <c r="K535" s="77"/>
      <c r="L535" s="76" t="str">
        <f aca="false">IF(OR(G535="",H535=""),"Data tidak lengkap",IF(AND(G535=0,H535=0),IF(AND(F535="",K535=""),"Tidak dibuka","Tutup"),IF(H535&gt;G535,"Lebih kapasitas",IF(H535=G535,"Penuh",IF(H535=0,IF(F535="","Slot kosong","Belum terisi"),"Sebagian")))))</f>
        <v>Tutup</v>
      </c>
      <c r="M535" s="79" t="str">
        <f aca="false">IF(L535="Tidak dibuka","–",IF(F535="","(tanpa age group)",F535)&amp;"  "&amp;IF(H535="","?",H535)&amp;"/"&amp;IF(G535="","?",G535)&amp;CHAR(10)&amp;IF(K535="","coach: –","coach: "&amp;K535))</f>
        <v>Tiny  0/0
coach: –</v>
      </c>
    </row>
    <row r="536" customFormat="false" ht="22.35" hidden="false" customHeight="false" outlineLevel="0" collapsed="false">
      <c r="A536" s="76" t="str">
        <f aca="false">B536&amp;"|"&amp;C536&amp;"|"&amp;D536&amp;"|"&amp;E536</f>
        <v>KWC|2|Rabu|13:15</v>
      </c>
      <c r="B536" s="76" t="s">
        <v>63</v>
      </c>
      <c r="C536" s="76" t="n">
        <v>2</v>
      </c>
      <c r="D536" s="76" t="s">
        <v>92</v>
      </c>
      <c r="E536" s="76" t="s">
        <v>116</v>
      </c>
      <c r="F536" s="77" t="s">
        <v>42</v>
      </c>
      <c r="G536" s="77" t="n">
        <v>5</v>
      </c>
      <c r="H536" s="77" t="n">
        <v>0</v>
      </c>
      <c r="I536" s="76" t="n">
        <f aca="false">IF(AND(ISNUMBER(G536),ISNUMBER(H536)),MAX(G536-H536,0),"")</f>
        <v>5</v>
      </c>
      <c r="J536" s="78" t="n">
        <f aca="false">IF(AND(ISNUMBER(G536),ISNUMBER(H536)),IF(G536&gt;0,H536/G536,""),"")</f>
        <v>0</v>
      </c>
      <c r="K536" s="77"/>
      <c r="L536" s="76" t="str">
        <f aca="false">IF(OR(G536="",H536=""),"Data tidak lengkap",IF(AND(G536=0,H536=0),IF(AND(F536="",K536=""),"Tidak dibuka","Tutup"),IF(H536&gt;G536,"Lebih kapasitas",IF(H536=G536,"Penuh",IF(H536=0,IF(F536="","Slot kosong","Belum terisi"),"Sebagian")))))</f>
        <v>Belum terisi</v>
      </c>
      <c r="M536" s="79" t="str">
        <f aca="false">IF(L536="Tidak dibuka","–",IF(F536="","(tanpa age group)",F536)&amp;"  "&amp;IF(H536="","?",H536)&amp;"/"&amp;IF(G536="","?",G536)&amp;CHAR(10)&amp;IF(K536="","coach: –","coach: "&amp;K536))</f>
        <v>Tiny  0/5
coach: –</v>
      </c>
    </row>
    <row r="537" customFormat="false" ht="22.35" hidden="false" customHeight="false" outlineLevel="0" collapsed="false">
      <c r="A537" s="76" t="str">
        <f aca="false">B537&amp;"|"&amp;C537&amp;"|"&amp;D537&amp;"|"&amp;E537</f>
        <v>KWC|2|Rabu|14:00</v>
      </c>
      <c r="B537" s="76" t="s">
        <v>63</v>
      </c>
      <c r="C537" s="76" t="n">
        <v>2</v>
      </c>
      <c r="D537" s="76" t="s">
        <v>92</v>
      </c>
      <c r="E537" s="76" t="s">
        <v>117</v>
      </c>
      <c r="F537" s="77" t="s">
        <v>42</v>
      </c>
      <c r="G537" s="77" t="n">
        <v>5</v>
      </c>
      <c r="H537" s="77" t="n">
        <v>0</v>
      </c>
      <c r="I537" s="76" t="n">
        <f aca="false">IF(AND(ISNUMBER(G537),ISNUMBER(H537)),MAX(G537-H537,0),"")</f>
        <v>5</v>
      </c>
      <c r="J537" s="78" t="n">
        <f aca="false">IF(AND(ISNUMBER(G537),ISNUMBER(H537)),IF(G537&gt;0,H537/G537,""),"")</f>
        <v>0</v>
      </c>
      <c r="K537" s="77"/>
      <c r="L537" s="76" t="str">
        <f aca="false">IF(OR(G537="",H537=""),"Data tidak lengkap",IF(AND(G537=0,H537=0),IF(AND(F537="",K537=""),"Tidak dibuka","Tutup"),IF(H537&gt;G537,"Lebih kapasitas",IF(H537=G537,"Penuh",IF(H537=0,IF(F537="","Slot kosong","Belum terisi"),"Sebagian")))))</f>
        <v>Belum terisi</v>
      </c>
      <c r="M537" s="79" t="str">
        <f aca="false">IF(L537="Tidak dibuka","–",IF(F537="","(tanpa age group)",F537)&amp;"  "&amp;IF(H537="","?",H537)&amp;"/"&amp;IF(G537="","?",G537)&amp;CHAR(10)&amp;IF(K537="","coach: –","coach: "&amp;K537))</f>
        <v>Tiny  0/5
coach: –</v>
      </c>
    </row>
    <row r="538" customFormat="false" ht="22.35" hidden="false" customHeight="false" outlineLevel="0" collapsed="false">
      <c r="A538" s="76" t="str">
        <f aca="false">B538&amp;"|"&amp;C538&amp;"|"&amp;D538&amp;"|"&amp;E538</f>
        <v>KWC|2|Rabu|14:45</v>
      </c>
      <c r="B538" s="76" t="s">
        <v>63</v>
      </c>
      <c r="C538" s="76" t="n">
        <v>2</v>
      </c>
      <c r="D538" s="76" t="s">
        <v>92</v>
      </c>
      <c r="E538" s="76" t="s">
        <v>118</v>
      </c>
      <c r="F538" s="77" t="s">
        <v>42</v>
      </c>
      <c r="G538" s="77" t="n">
        <v>0</v>
      </c>
      <c r="H538" s="77" t="n">
        <v>0</v>
      </c>
      <c r="I538" s="76" t="n">
        <f aca="false">IF(AND(ISNUMBER(G538),ISNUMBER(H538)),MAX(G538-H538,0),"")</f>
        <v>0</v>
      </c>
      <c r="J538" s="78" t="str">
        <f aca="false">IF(AND(ISNUMBER(G538),ISNUMBER(H538)),IF(G538&gt;0,H538/G538,""),"")</f>
        <v/>
      </c>
      <c r="K538" s="77"/>
      <c r="L538" s="76" t="str">
        <f aca="false">IF(OR(G538="",H538=""),"Data tidak lengkap",IF(AND(G538=0,H538=0),IF(AND(F538="",K538=""),"Tidak dibuka","Tutup"),IF(H538&gt;G538,"Lebih kapasitas",IF(H538=G538,"Penuh",IF(H538=0,IF(F538="","Slot kosong","Belum terisi"),"Sebagian")))))</f>
        <v>Tutup</v>
      </c>
      <c r="M538" s="79" t="str">
        <f aca="false">IF(L538="Tidak dibuka","–",IF(F538="","(tanpa age group)",F538)&amp;"  "&amp;IF(H538="","?",H538)&amp;"/"&amp;IF(G538="","?",G538)&amp;CHAR(10)&amp;IF(K538="","coach: –","coach: "&amp;K538))</f>
        <v>Tiny  0/0
coach: –</v>
      </c>
    </row>
    <row r="539" customFormat="false" ht="22.35" hidden="false" customHeight="false" outlineLevel="0" collapsed="false">
      <c r="A539" s="76" t="str">
        <f aca="false">B539&amp;"|"&amp;C539&amp;"|"&amp;D539&amp;"|"&amp;E539</f>
        <v>KWC|2|Rabu|15:30</v>
      </c>
      <c r="B539" s="76" t="s">
        <v>63</v>
      </c>
      <c r="C539" s="76" t="n">
        <v>2</v>
      </c>
      <c r="D539" s="76" t="s">
        <v>92</v>
      </c>
      <c r="E539" s="76" t="s">
        <v>119</v>
      </c>
      <c r="F539" s="77" t="s">
        <v>42</v>
      </c>
      <c r="G539" s="77" t="n">
        <v>5</v>
      </c>
      <c r="H539" s="77" t="n">
        <v>4</v>
      </c>
      <c r="I539" s="76" t="n">
        <f aca="false">IF(AND(ISNUMBER(G539),ISNUMBER(H539)),MAX(G539-H539,0),"")</f>
        <v>1</v>
      </c>
      <c r="J539" s="78" t="n">
        <f aca="false">IF(AND(ISNUMBER(G539),ISNUMBER(H539)),IF(G539&gt;0,H539/G539,""),"")</f>
        <v>0.8</v>
      </c>
      <c r="K539" s="77" t="s">
        <v>269</v>
      </c>
      <c r="L539" s="76" t="str">
        <f aca="false">IF(OR(G539="",H539=""),"Data tidak lengkap",IF(AND(G539=0,H539=0),IF(AND(F539="",K539=""),"Tidak dibuka","Tutup"),IF(H539&gt;G539,"Lebih kapasitas",IF(H539=G539,"Penuh",IF(H539=0,IF(F539="","Slot kosong","Belum terisi"),"Sebagian")))))</f>
        <v>Sebagian</v>
      </c>
      <c r="M539" s="79" t="str">
        <f aca="false">IF(L539="Tidak dibuka","–",IF(F539="","(tanpa age group)",F539)&amp;"  "&amp;IF(H539="","?",H539)&amp;"/"&amp;IF(G539="","?",G539)&amp;CHAR(10)&amp;IF(K539="","coach: –","coach: "&amp;K539))</f>
        <v>Tiny  4/5
coach: Nabila</v>
      </c>
    </row>
    <row r="540" customFormat="false" ht="22.35" hidden="false" customHeight="false" outlineLevel="0" collapsed="false">
      <c r="A540" s="76" t="str">
        <f aca="false">B540&amp;"|"&amp;C540&amp;"|"&amp;D540&amp;"|"&amp;E540</f>
        <v>KWC|2|Rabu|16:15</v>
      </c>
      <c r="B540" s="76" t="s">
        <v>63</v>
      </c>
      <c r="C540" s="76" t="n">
        <v>2</v>
      </c>
      <c r="D540" s="76" t="s">
        <v>92</v>
      </c>
      <c r="E540" s="76" t="s">
        <v>120</v>
      </c>
      <c r="F540" s="77" t="s">
        <v>42</v>
      </c>
      <c r="G540" s="77" t="n">
        <v>5</v>
      </c>
      <c r="H540" s="77" t="n">
        <v>0</v>
      </c>
      <c r="I540" s="76" t="n">
        <f aca="false">IF(AND(ISNUMBER(G540),ISNUMBER(H540)),MAX(G540-H540,0),"")</f>
        <v>5</v>
      </c>
      <c r="J540" s="78" t="n">
        <f aca="false">IF(AND(ISNUMBER(G540),ISNUMBER(H540)),IF(G540&gt;0,H540/G540,""),"")</f>
        <v>0</v>
      </c>
      <c r="K540" s="77"/>
      <c r="L540" s="76" t="str">
        <f aca="false">IF(OR(G540="",H540=""),"Data tidak lengkap",IF(AND(G540=0,H540=0),IF(AND(F540="",K540=""),"Tidak dibuka","Tutup"),IF(H540&gt;G540,"Lebih kapasitas",IF(H540=G540,"Penuh",IF(H540=0,IF(F540="","Slot kosong","Belum terisi"),"Sebagian")))))</f>
        <v>Belum terisi</v>
      </c>
      <c r="M540" s="79" t="str">
        <f aca="false">IF(L540="Tidak dibuka","–",IF(F540="","(tanpa age group)",F540)&amp;"  "&amp;IF(H540="","?",H540)&amp;"/"&amp;IF(G540="","?",G540)&amp;CHAR(10)&amp;IF(K540="","coach: –","coach: "&amp;K540))</f>
        <v>Tiny  0/5
coach: –</v>
      </c>
    </row>
    <row r="541" customFormat="false" ht="22.35" hidden="false" customHeight="false" outlineLevel="0" collapsed="false">
      <c r="A541" s="76" t="str">
        <f aca="false">B541&amp;"|"&amp;C541&amp;"|"&amp;D541&amp;"|"&amp;E541</f>
        <v>KWC|2|Rabu|17:00</v>
      </c>
      <c r="B541" s="76" t="s">
        <v>63</v>
      </c>
      <c r="C541" s="76" t="n">
        <v>2</v>
      </c>
      <c r="D541" s="76" t="s">
        <v>92</v>
      </c>
      <c r="E541" s="76" t="s">
        <v>121</v>
      </c>
      <c r="F541" s="77" t="s">
        <v>42</v>
      </c>
      <c r="G541" s="77" t="n">
        <v>5</v>
      </c>
      <c r="H541" s="77" t="n">
        <v>3</v>
      </c>
      <c r="I541" s="76" t="n">
        <f aca="false">IF(AND(ISNUMBER(G541),ISNUMBER(H541)),MAX(G541-H541,0),"")</f>
        <v>2</v>
      </c>
      <c r="J541" s="78" t="n">
        <f aca="false">IF(AND(ISNUMBER(G541),ISNUMBER(H541)),IF(G541&gt;0,H541/G541,""),"")</f>
        <v>0.6</v>
      </c>
      <c r="K541" s="77" t="s">
        <v>270</v>
      </c>
      <c r="L541" s="76" t="str">
        <f aca="false">IF(OR(G541="",H541=""),"Data tidak lengkap",IF(AND(G541=0,H541=0),IF(AND(F541="",K541=""),"Tidak dibuka","Tutup"),IF(H541&gt;G541,"Lebih kapasitas",IF(H541=G541,"Penuh",IF(H541=0,IF(F541="","Slot kosong","Belum terisi"),"Sebagian")))))</f>
        <v>Sebagian</v>
      </c>
      <c r="M541" s="79" t="str">
        <f aca="false">IF(L541="Tidak dibuka","–",IF(F541="","(tanpa age group)",F541)&amp;"  "&amp;IF(H541="","?",H541)&amp;"/"&amp;IF(G541="","?",G541)&amp;CHAR(10)&amp;IF(K541="","coach: –","coach: "&amp;K541))</f>
        <v>Tiny  3/5
coach: Sri</v>
      </c>
    </row>
    <row r="542" customFormat="false" ht="22.35" hidden="false" customHeight="false" outlineLevel="0" collapsed="false">
      <c r="A542" s="76" t="str">
        <f aca="false">B542&amp;"|"&amp;C542&amp;"|"&amp;D542&amp;"|"&amp;E542</f>
        <v>KWC|2|Kamis|08:00</v>
      </c>
      <c r="B542" s="76" t="s">
        <v>63</v>
      </c>
      <c r="C542" s="76" t="n">
        <v>2</v>
      </c>
      <c r="D542" s="76" t="s">
        <v>93</v>
      </c>
      <c r="E542" s="76" t="s">
        <v>110</v>
      </c>
      <c r="F542" s="77" t="s">
        <v>42</v>
      </c>
      <c r="G542" s="77" t="n">
        <v>0</v>
      </c>
      <c r="H542" s="77" t="n">
        <v>0</v>
      </c>
      <c r="I542" s="76" t="n">
        <f aca="false">IF(AND(ISNUMBER(G542),ISNUMBER(H542)),MAX(G542-H542,0),"")</f>
        <v>0</v>
      </c>
      <c r="J542" s="78" t="str">
        <f aca="false">IF(AND(ISNUMBER(G542),ISNUMBER(H542)),IF(G542&gt;0,H542/G542,""),"")</f>
        <v/>
      </c>
      <c r="K542" s="77"/>
      <c r="L542" s="76" t="str">
        <f aca="false">IF(OR(G542="",H542=""),"Data tidak lengkap",IF(AND(G542=0,H542=0),IF(AND(F542="",K542=""),"Tidak dibuka","Tutup"),IF(H542&gt;G542,"Lebih kapasitas",IF(H542=G542,"Penuh",IF(H542=0,IF(F542="","Slot kosong","Belum terisi"),"Sebagian")))))</f>
        <v>Tutup</v>
      </c>
      <c r="M542" s="79" t="str">
        <f aca="false">IF(L542="Tidak dibuka","–",IF(F542="","(tanpa age group)",F542)&amp;"  "&amp;IF(H542="","?",H542)&amp;"/"&amp;IF(G542="","?",G542)&amp;CHAR(10)&amp;IF(K542="","coach: –","coach: "&amp;K542))</f>
        <v>Tiny  0/0
coach: –</v>
      </c>
    </row>
    <row r="543" customFormat="false" ht="22.35" hidden="false" customHeight="false" outlineLevel="0" collapsed="false">
      <c r="A543" s="76" t="str">
        <f aca="false">B543&amp;"|"&amp;C543&amp;"|"&amp;D543&amp;"|"&amp;E543</f>
        <v>KWC|2|Kamis|08:45</v>
      </c>
      <c r="B543" s="76" t="s">
        <v>63</v>
      </c>
      <c r="C543" s="76" t="n">
        <v>2</v>
      </c>
      <c r="D543" s="76" t="s">
        <v>93</v>
      </c>
      <c r="E543" s="76" t="s">
        <v>111</v>
      </c>
      <c r="F543" s="77" t="s">
        <v>42</v>
      </c>
      <c r="G543" s="77" t="n">
        <v>5</v>
      </c>
      <c r="H543" s="77" t="n">
        <v>0</v>
      </c>
      <c r="I543" s="76" t="n">
        <f aca="false">IF(AND(ISNUMBER(G543),ISNUMBER(H543)),MAX(G543-H543,0),"")</f>
        <v>5</v>
      </c>
      <c r="J543" s="78" t="n">
        <f aca="false">IF(AND(ISNUMBER(G543),ISNUMBER(H543)),IF(G543&gt;0,H543/G543,""),"")</f>
        <v>0</v>
      </c>
      <c r="K543" s="77"/>
      <c r="L543" s="76" t="str">
        <f aca="false">IF(OR(G543="",H543=""),"Data tidak lengkap",IF(AND(G543=0,H543=0),IF(AND(F543="",K543=""),"Tidak dibuka","Tutup"),IF(H543&gt;G543,"Lebih kapasitas",IF(H543=G543,"Penuh",IF(H543=0,IF(F543="","Slot kosong","Belum terisi"),"Sebagian")))))</f>
        <v>Belum terisi</v>
      </c>
      <c r="M543" s="79" t="str">
        <f aca="false">IF(L543="Tidak dibuka","–",IF(F543="","(tanpa age group)",F543)&amp;"  "&amp;IF(H543="","?",H543)&amp;"/"&amp;IF(G543="","?",G543)&amp;CHAR(10)&amp;IF(K543="","coach: –","coach: "&amp;K543))</f>
        <v>Tiny  0/5
coach: –</v>
      </c>
    </row>
    <row r="544" customFormat="false" ht="22.35" hidden="false" customHeight="false" outlineLevel="0" collapsed="false">
      <c r="A544" s="76" t="str">
        <f aca="false">B544&amp;"|"&amp;C544&amp;"|"&amp;D544&amp;"|"&amp;E544</f>
        <v>KWC|2|Kamis|09:30</v>
      </c>
      <c r="B544" s="76" t="s">
        <v>63</v>
      </c>
      <c r="C544" s="76" t="n">
        <v>2</v>
      </c>
      <c r="D544" s="76" t="s">
        <v>93</v>
      </c>
      <c r="E544" s="76" t="s">
        <v>112</v>
      </c>
      <c r="F544" s="77" t="s">
        <v>42</v>
      </c>
      <c r="G544" s="77" t="n">
        <v>5</v>
      </c>
      <c r="H544" s="77" t="n">
        <v>4</v>
      </c>
      <c r="I544" s="76" t="n">
        <f aca="false">IF(AND(ISNUMBER(G544),ISNUMBER(H544)),MAX(G544-H544,0),"")</f>
        <v>1</v>
      </c>
      <c r="J544" s="78" t="n">
        <f aca="false">IF(AND(ISNUMBER(G544),ISNUMBER(H544)),IF(G544&gt;0,H544/G544,""),"")</f>
        <v>0.8</v>
      </c>
      <c r="K544" s="77" t="s">
        <v>268</v>
      </c>
      <c r="L544" s="76" t="str">
        <f aca="false">IF(OR(G544="",H544=""),"Data tidak lengkap",IF(AND(G544=0,H544=0),IF(AND(F544="",K544=""),"Tidak dibuka","Tutup"),IF(H544&gt;G544,"Lebih kapasitas",IF(H544=G544,"Penuh",IF(H544=0,IF(F544="","Slot kosong","Belum terisi"),"Sebagian")))))</f>
        <v>Sebagian</v>
      </c>
      <c r="M544" s="79" t="str">
        <f aca="false">IF(L544="Tidak dibuka","–",IF(F544="","(tanpa age group)",F544)&amp;"  "&amp;IF(H544="","?",H544)&amp;"/"&amp;IF(G544="","?",G544)&amp;CHAR(10)&amp;IF(K544="","coach: –","coach: "&amp;K544))</f>
        <v>Tiny  4/5
coach: Andreas</v>
      </c>
    </row>
    <row r="545" customFormat="false" ht="22.35" hidden="false" customHeight="false" outlineLevel="0" collapsed="false">
      <c r="A545" s="76" t="str">
        <f aca="false">B545&amp;"|"&amp;C545&amp;"|"&amp;D545&amp;"|"&amp;E545</f>
        <v>KWC|2|Kamis|10:15</v>
      </c>
      <c r="B545" s="76" t="s">
        <v>63</v>
      </c>
      <c r="C545" s="76" t="n">
        <v>2</v>
      </c>
      <c r="D545" s="76" t="s">
        <v>93</v>
      </c>
      <c r="E545" s="76" t="s">
        <v>113</v>
      </c>
      <c r="F545" s="77" t="s">
        <v>42</v>
      </c>
      <c r="G545" s="77" t="n">
        <v>5</v>
      </c>
      <c r="H545" s="77" t="n">
        <v>0</v>
      </c>
      <c r="I545" s="76" t="n">
        <f aca="false">IF(AND(ISNUMBER(G545),ISNUMBER(H545)),MAX(G545-H545,0),"")</f>
        <v>5</v>
      </c>
      <c r="J545" s="78" t="n">
        <f aca="false">IF(AND(ISNUMBER(G545),ISNUMBER(H545)),IF(G545&gt;0,H545/G545,""),"")</f>
        <v>0</v>
      </c>
      <c r="K545" s="77"/>
      <c r="L545" s="76" t="str">
        <f aca="false">IF(OR(G545="",H545=""),"Data tidak lengkap",IF(AND(G545=0,H545=0),IF(AND(F545="",K545=""),"Tidak dibuka","Tutup"),IF(H545&gt;G545,"Lebih kapasitas",IF(H545=G545,"Penuh",IF(H545=0,IF(F545="","Slot kosong","Belum terisi"),"Sebagian")))))</f>
        <v>Belum terisi</v>
      </c>
      <c r="M545" s="79" t="str">
        <f aca="false">IF(L545="Tidak dibuka","–",IF(F545="","(tanpa age group)",F545)&amp;"  "&amp;IF(H545="","?",H545)&amp;"/"&amp;IF(G545="","?",G545)&amp;CHAR(10)&amp;IF(K545="","coach: –","coach: "&amp;K545))</f>
        <v>Tiny  0/5
coach: –</v>
      </c>
    </row>
    <row r="546" customFormat="false" ht="22.35" hidden="false" customHeight="false" outlineLevel="0" collapsed="false">
      <c r="A546" s="76" t="str">
        <f aca="false">B546&amp;"|"&amp;C546&amp;"|"&amp;D546&amp;"|"&amp;E546</f>
        <v>KWC|2|Kamis|11:00</v>
      </c>
      <c r="B546" s="76" t="s">
        <v>63</v>
      </c>
      <c r="C546" s="76" t="n">
        <v>2</v>
      </c>
      <c r="D546" s="76" t="s">
        <v>93</v>
      </c>
      <c r="E546" s="76" t="s">
        <v>114</v>
      </c>
      <c r="F546" s="77" t="s">
        <v>42</v>
      </c>
      <c r="G546" s="77" t="n">
        <v>5</v>
      </c>
      <c r="H546" s="77" t="n">
        <v>4</v>
      </c>
      <c r="I546" s="76" t="n">
        <f aca="false">IF(AND(ISNUMBER(G546),ISNUMBER(H546)),MAX(G546-H546,0),"")</f>
        <v>1</v>
      </c>
      <c r="J546" s="78" t="n">
        <f aca="false">IF(AND(ISNUMBER(G546),ISNUMBER(H546)),IF(G546&gt;0,H546/G546,""),"")</f>
        <v>0.8</v>
      </c>
      <c r="K546" s="77" t="s">
        <v>269</v>
      </c>
      <c r="L546" s="76" t="str">
        <f aca="false">IF(OR(G546="",H546=""),"Data tidak lengkap",IF(AND(G546=0,H546=0),IF(AND(F546="",K546=""),"Tidak dibuka","Tutup"),IF(H546&gt;G546,"Lebih kapasitas",IF(H546=G546,"Penuh",IF(H546=0,IF(F546="","Slot kosong","Belum terisi"),"Sebagian")))))</f>
        <v>Sebagian</v>
      </c>
      <c r="M546" s="79" t="str">
        <f aca="false">IF(L546="Tidak dibuka","–",IF(F546="","(tanpa age group)",F546)&amp;"  "&amp;IF(H546="","?",H546)&amp;"/"&amp;IF(G546="","?",G546)&amp;CHAR(10)&amp;IF(K546="","coach: –","coach: "&amp;K546))</f>
        <v>Tiny  4/5
coach: Nabila</v>
      </c>
    </row>
    <row r="547" customFormat="false" ht="22.35" hidden="false" customHeight="false" outlineLevel="0" collapsed="false">
      <c r="A547" s="76" t="str">
        <f aca="false">B547&amp;"|"&amp;C547&amp;"|"&amp;D547&amp;"|"&amp;E547</f>
        <v>KWC|2|Kamis|11:45</v>
      </c>
      <c r="B547" s="76" t="s">
        <v>63</v>
      </c>
      <c r="C547" s="76" t="n">
        <v>2</v>
      </c>
      <c r="D547" s="76" t="s">
        <v>93</v>
      </c>
      <c r="E547" s="76" t="s">
        <v>115</v>
      </c>
      <c r="F547" s="77" t="s">
        <v>42</v>
      </c>
      <c r="G547" s="77" t="n">
        <v>0</v>
      </c>
      <c r="H547" s="77" t="n">
        <v>0</v>
      </c>
      <c r="I547" s="76" t="n">
        <f aca="false">IF(AND(ISNUMBER(G547),ISNUMBER(H547)),MAX(G547-H547,0),"")</f>
        <v>0</v>
      </c>
      <c r="J547" s="78" t="str">
        <f aca="false">IF(AND(ISNUMBER(G547),ISNUMBER(H547)),IF(G547&gt;0,H547/G547,""),"")</f>
        <v/>
      </c>
      <c r="K547" s="77"/>
      <c r="L547" s="76" t="str">
        <f aca="false">IF(OR(G547="",H547=""),"Data tidak lengkap",IF(AND(G547=0,H547=0),IF(AND(F547="",K547=""),"Tidak dibuka","Tutup"),IF(H547&gt;G547,"Lebih kapasitas",IF(H547=G547,"Penuh",IF(H547=0,IF(F547="","Slot kosong","Belum terisi"),"Sebagian")))))</f>
        <v>Tutup</v>
      </c>
      <c r="M547" s="79" t="str">
        <f aca="false">IF(L547="Tidak dibuka","–",IF(F547="","(tanpa age group)",F547)&amp;"  "&amp;IF(H547="","?",H547)&amp;"/"&amp;IF(G547="","?",G547)&amp;CHAR(10)&amp;IF(K547="","coach: –","coach: "&amp;K547))</f>
        <v>Tiny  0/0
coach: –</v>
      </c>
    </row>
    <row r="548" customFormat="false" ht="22.35" hidden="false" customHeight="false" outlineLevel="0" collapsed="false">
      <c r="A548" s="76" t="str">
        <f aca="false">B548&amp;"|"&amp;C548&amp;"|"&amp;D548&amp;"|"&amp;E548</f>
        <v>KWC|2|Kamis|13:15</v>
      </c>
      <c r="B548" s="76" t="s">
        <v>63</v>
      </c>
      <c r="C548" s="76" t="n">
        <v>2</v>
      </c>
      <c r="D548" s="76" t="s">
        <v>93</v>
      </c>
      <c r="E548" s="76" t="s">
        <v>116</v>
      </c>
      <c r="F548" s="77" t="s">
        <v>42</v>
      </c>
      <c r="G548" s="77" t="n">
        <v>5</v>
      </c>
      <c r="H548" s="77" t="n">
        <v>0</v>
      </c>
      <c r="I548" s="76" t="n">
        <f aca="false">IF(AND(ISNUMBER(G548),ISNUMBER(H548)),MAX(G548-H548,0),"")</f>
        <v>5</v>
      </c>
      <c r="J548" s="78" t="n">
        <f aca="false">IF(AND(ISNUMBER(G548),ISNUMBER(H548)),IF(G548&gt;0,H548/G548,""),"")</f>
        <v>0</v>
      </c>
      <c r="K548" s="77"/>
      <c r="L548" s="76" t="str">
        <f aca="false">IF(OR(G548="",H548=""),"Data tidak lengkap",IF(AND(G548=0,H548=0),IF(AND(F548="",K548=""),"Tidak dibuka","Tutup"),IF(H548&gt;G548,"Lebih kapasitas",IF(H548=G548,"Penuh",IF(H548=0,IF(F548="","Slot kosong","Belum terisi"),"Sebagian")))))</f>
        <v>Belum terisi</v>
      </c>
      <c r="M548" s="79" t="str">
        <f aca="false">IF(L548="Tidak dibuka","–",IF(F548="","(tanpa age group)",F548)&amp;"  "&amp;IF(H548="","?",H548)&amp;"/"&amp;IF(G548="","?",G548)&amp;CHAR(10)&amp;IF(K548="","coach: –","coach: "&amp;K548))</f>
        <v>Tiny  0/5
coach: –</v>
      </c>
    </row>
    <row r="549" customFormat="false" ht="22.35" hidden="false" customHeight="false" outlineLevel="0" collapsed="false">
      <c r="A549" s="76" t="str">
        <f aca="false">B549&amp;"|"&amp;C549&amp;"|"&amp;D549&amp;"|"&amp;E549</f>
        <v>KWC|2|Kamis|14:00</v>
      </c>
      <c r="B549" s="76" t="s">
        <v>63</v>
      </c>
      <c r="C549" s="76" t="n">
        <v>2</v>
      </c>
      <c r="D549" s="76" t="s">
        <v>93</v>
      </c>
      <c r="E549" s="76" t="s">
        <v>117</v>
      </c>
      <c r="F549" s="77" t="s">
        <v>42</v>
      </c>
      <c r="G549" s="77" t="n">
        <v>5</v>
      </c>
      <c r="H549" s="77" t="n">
        <v>1</v>
      </c>
      <c r="I549" s="76" t="n">
        <f aca="false">IF(AND(ISNUMBER(G549),ISNUMBER(H549)),MAX(G549-H549,0),"")</f>
        <v>4</v>
      </c>
      <c r="J549" s="78" t="n">
        <f aca="false">IF(AND(ISNUMBER(G549),ISNUMBER(H549)),IF(G549&gt;0,H549/G549,""),"")</f>
        <v>0.2</v>
      </c>
      <c r="K549" s="77" t="s">
        <v>268</v>
      </c>
      <c r="L549" s="76" t="str">
        <f aca="false">IF(OR(G549="",H549=""),"Data tidak lengkap",IF(AND(G549=0,H549=0),IF(AND(F549="",K549=""),"Tidak dibuka","Tutup"),IF(H549&gt;G549,"Lebih kapasitas",IF(H549=G549,"Penuh",IF(H549=0,IF(F549="","Slot kosong","Belum terisi"),"Sebagian")))))</f>
        <v>Sebagian</v>
      </c>
      <c r="M549" s="79" t="str">
        <f aca="false">IF(L549="Tidak dibuka","–",IF(F549="","(tanpa age group)",F549)&amp;"  "&amp;IF(H549="","?",H549)&amp;"/"&amp;IF(G549="","?",G549)&amp;CHAR(10)&amp;IF(K549="","coach: –","coach: "&amp;K549))</f>
        <v>Tiny  1/5
coach: Andreas</v>
      </c>
    </row>
    <row r="550" customFormat="false" ht="22.35" hidden="false" customHeight="false" outlineLevel="0" collapsed="false">
      <c r="A550" s="76" t="str">
        <f aca="false">B550&amp;"|"&amp;C550&amp;"|"&amp;D550&amp;"|"&amp;E550</f>
        <v>KWC|2|Kamis|14:45</v>
      </c>
      <c r="B550" s="76" t="s">
        <v>63</v>
      </c>
      <c r="C550" s="76" t="n">
        <v>2</v>
      </c>
      <c r="D550" s="76" t="s">
        <v>93</v>
      </c>
      <c r="E550" s="76" t="s">
        <v>118</v>
      </c>
      <c r="F550" s="77" t="s">
        <v>42</v>
      </c>
      <c r="G550" s="77" t="n">
        <v>5</v>
      </c>
      <c r="H550" s="77" t="n">
        <v>0</v>
      </c>
      <c r="I550" s="76" t="n">
        <f aca="false">IF(AND(ISNUMBER(G550),ISNUMBER(H550)),MAX(G550-H550,0),"")</f>
        <v>5</v>
      </c>
      <c r="J550" s="78" t="n">
        <f aca="false">IF(AND(ISNUMBER(G550),ISNUMBER(H550)),IF(G550&gt;0,H550/G550,""),"")</f>
        <v>0</v>
      </c>
      <c r="K550" s="77"/>
      <c r="L550" s="76" t="str">
        <f aca="false">IF(OR(G550="",H550=""),"Data tidak lengkap",IF(AND(G550=0,H550=0),IF(AND(F550="",K550=""),"Tidak dibuka","Tutup"),IF(H550&gt;G550,"Lebih kapasitas",IF(H550=G550,"Penuh",IF(H550=0,IF(F550="","Slot kosong","Belum terisi"),"Sebagian")))))</f>
        <v>Belum terisi</v>
      </c>
      <c r="M550" s="79" t="str">
        <f aca="false">IF(L550="Tidak dibuka","–",IF(F550="","(tanpa age group)",F550)&amp;"  "&amp;IF(H550="","?",H550)&amp;"/"&amp;IF(G550="","?",G550)&amp;CHAR(10)&amp;IF(K550="","coach: –","coach: "&amp;K550))</f>
        <v>Tiny  0/5
coach: –</v>
      </c>
    </row>
    <row r="551" customFormat="false" ht="22.35" hidden="false" customHeight="false" outlineLevel="0" collapsed="false">
      <c r="A551" s="76" t="str">
        <f aca="false">B551&amp;"|"&amp;C551&amp;"|"&amp;D551&amp;"|"&amp;E551</f>
        <v>KWC|2|Kamis|15:30</v>
      </c>
      <c r="B551" s="76" t="s">
        <v>63</v>
      </c>
      <c r="C551" s="76" t="n">
        <v>2</v>
      </c>
      <c r="D551" s="76" t="s">
        <v>93</v>
      </c>
      <c r="E551" s="76" t="s">
        <v>119</v>
      </c>
      <c r="F551" s="77" t="s">
        <v>42</v>
      </c>
      <c r="G551" s="77" t="n">
        <v>5</v>
      </c>
      <c r="H551" s="77" t="n">
        <v>0</v>
      </c>
      <c r="I551" s="76" t="n">
        <f aca="false">IF(AND(ISNUMBER(G551),ISNUMBER(H551)),MAX(G551-H551,0),"")</f>
        <v>5</v>
      </c>
      <c r="J551" s="78" t="n">
        <f aca="false">IF(AND(ISNUMBER(G551),ISNUMBER(H551)),IF(G551&gt;0,H551/G551,""),"")</f>
        <v>0</v>
      </c>
      <c r="K551" s="77"/>
      <c r="L551" s="76" t="str">
        <f aca="false">IF(OR(G551="",H551=""),"Data tidak lengkap",IF(AND(G551=0,H551=0),IF(AND(F551="",K551=""),"Tidak dibuka","Tutup"),IF(H551&gt;G551,"Lebih kapasitas",IF(H551=G551,"Penuh",IF(H551=0,IF(F551="","Slot kosong","Belum terisi"),"Sebagian")))))</f>
        <v>Belum terisi</v>
      </c>
      <c r="M551" s="79" t="str">
        <f aca="false">IF(L551="Tidak dibuka","–",IF(F551="","(tanpa age group)",F551)&amp;"  "&amp;IF(H551="","?",H551)&amp;"/"&amp;IF(G551="","?",G551)&amp;CHAR(10)&amp;IF(K551="","coach: –","coach: "&amp;K551))</f>
        <v>Tiny  0/5
coach: –</v>
      </c>
    </row>
    <row r="552" customFormat="false" ht="22.35" hidden="false" customHeight="false" outlineLevel="0" collapsed="false">
      <c r="A552" s="76" t="str">
        <f aca="false">B552&amp;"|"&amp;C552&amp;"|"&amp;D552&amp;"|"&amp;E552</f>
        <v>KWC|2|Kamis|16:15</v>
      </c>
      <c r="B552" s="76" t="s">
        <v>63</v>
      </c>
      <c r="C552" s="76" t="n">
        <v>2</v>
      </c>
      <c r="D552" s="76" t="s">
        <v>93</v>
      </c>
      <c r="E552" s="76" t="s">
        <v>120</v>
      </c>
      <c r="F552" s="77" t="s">
        <v>42</v>
      </c>
      <c r="G552" s="77" t="n">
        <v>5</v>
      </c>
      <c r="H552" s="77" t="n">
        <v>0</v>
      </c>
      <c r="I552" s="76" t="n">
        <f aca="false">IF(AND(ISNUMBER(G552),ISNUMBER(H552)),MAX(G552-H552,0),"")</f>
        <v>5</v>
      </c>
      <c r="J552" s="78" t="n">
        <f aca="false">IF(AND(ISNUMBER(G552),ISNUMBER(H552)),IF(G552&gt;0,H552/G552,""),"")</f>
        <v>0</v>
      </c>
      <c r="K552" s="77"/>
      <c r="L552" s="76" t="str">
        <f aca="false">IF(OR(G552="",H552=""),"Data tidak lengkap",IF(AND(G552=0,H552=0),IF(AND(F552="",K552=""),"Tidak dibuka","Tutup"),IF(H552&gt;G552,"Lebih kapasitas",IF(H552=G552,"Penuh",IF(H552=0,IF(F552="","Slot kosong","Belum terisi"),"Sebagian")))))</f>
        <v>Belum terisi</v>
      </c>
      <c r="M552" s="79" t="str">
        <f aca="false">IF(L552="Tidak dibuka","–",IF(F552="","(tanpa age group)",F552)&amp;"  "&amp;IF(H552="","?",H552)&amp;"/"&amp;IF(G552="","?",G552)&amp;CHAR(10)&amp;IF(K552="","coach: –","coach: "&amp;K552))</f>
        <v>Tiny  0/5
coach: –</v>
      </c>
    </row>
    <row r="553" customFormat="false" ht="22.35" hidden="false" customHeight="false" outlineLevel="0" collapsed="false">
      <c r="A553" s="76" t="str">
        <f aca="false">B553&amp;"|"&amp;C553&amp;"|"&amp;D553&amp;"|"&amp;E553</f>
        <v>KWC|2|Kamis|17:00</v>
      </c>
      <c r="B553" s="76" t="s">
        <v>63</v>
      </c>
      <c r="C553" s="76" t="n">
        <v>2</v>
      </c>
      <c r="D553" s="76" t="s">
        <v>93</v>
      </c>
      <c r="E553" s="76" t="s">
        <v>121</v>
      </c>
      <c r="F553" s="77" t="s">
        <v>42</v>
      </c>
      <c r="G553" s="77" t="n">
        <v>5</v>
      </c>
      <c r="H553" s="77" t="n">
        <v>2</v>
      </c>
      <c r="I553" s="76" t="n">
        <f aca="false">IF(AND(ISNUMBER(G553),ISNUMBER(H553)),MAX(G553-H553,0),"")</f>
        <v>3</v>
      </c>
      <c r="J553" s="78" t="n">
        <f aca="false">IF(AND(ISNUMBER(G553),ISNUMBER(H553)),IF(G553&gt;0,H553/G553,""),"")</f>
        <v>0.4</v>
      </c>
      <c r="K553" s="77" t="s">
        <v>268</v>
      </c>
      <c r="L553" s="76" t="str">
        <f aca="false">IF(OR(G553="",H553=""),"Data tidak lengkap",IF(AND(G553=0,H553=0),IF(AND(F553="",K553=""),"Tidak dibuka","Tutup"),IF(H553&gt;G553,"Lebih kapasitas",IF(H553=G553,"Penuh",IF(H553=0,IF(F553="","Slot kosong","Belum terisi"),"Sebagian")))))</f>
        <v>Sebagian</v>
      </c>
      <c r="M553" s="79" t="str">
        <f aca="false">IF(L553="Tidak dibuka","–",IF(F553="","(tanpa age group)",F553)&amp;"  "&amp;IF(H553="","?",H553)&amp;"/"&amp;IF(G553="","?",G553)&amp;CHAR(10)&amp;IF(K553="","coach: –","coach: "&amp;K553))</f>
        <v>Tiny  2/5
coach: Andreas</v>
      </c>
    </row>
    <row r="554" customFormat="false" ht="22.35" hidden="false" customHeight="false" outlineLevel="0" collapsed="false">
      <c r="A554" s="76" t="str">
        <f aca="false">B554&amp;"|"&amp;C554&amp;"|"&amp;D554&amp;"|"&amp;E554</f>
        <v>KWC|2|Jumat|08:00</v>
      </c>
      <c r="B554" s="76" t="s">
        <v>63</v>
      </c>
      <c r="C554" s="76" t="n">
        <v>2</v>
      </c>
      <c r="D554" s="76" t="s">
        <v>94</v>
      </c>
      <c r="E554" s="76" t="s">
        <v>110</v>
      </c>
      <c r="F554" s="77" t="s">
        <v>42</v>
      </c>
      <c r="G554" s="77" t="n">
        <v>0</v>
      </c>
      <c r="H554" s="77" t="n">
        <v>0</v>
      </c>
      <c r="I554" s="76" t="n">
        <f aca="false">IF(AND(ISNUMBER(G554),ISNUMBER(H554)),MAX(G554-H554,0),"")</f>
        <v>0</v>
      </c>
      <c r="J554" s="78" t="str">
        <f aca="false">IF(AND(ISNUMBER(G554),ISNUMBER(H554)),IF(G554&gt;0,H554/G554,""),"")</f>
        <v/>
      </c>
      <c r="K554" s="77"/>
      <c r="L554" s="76" t="str">
        <f aca="false">IF(OR(G554="",H554=""),"Data tidak lengkap",IF(AND(G554=0,H554=0),IF(AND(F554="",K554=""),"Tidak dibuka","Tutup"),IF(H554&gt;G554,"Lebih kapasitas",IF(H554=G554,"Penuh",IF(H554=0,IF(F554="","Slot kosong","Belum terisi"),"Sebagian")))))</f>
        <v>Tutup</v>
      </c>
      <c r="M554" s="79" t="str">
        <f aca="false">IF(L554="Tidak dibuka","–",IF(F554="","(tanpa age group)",F554)&amp;"  "&amp;IF(H554="","?",H554)&amp;"/"&amp;IF(G554="","?",G554)&amp;CHAR(10)&amp;IF(K554="","coach: –","coach: "&amp;K554))</f>
        <v>Tiny  0/0
coach: –</v>
      </c>
    </row>
    <row r="555" customFormat="false" ht="22.35" hidden="false" customHeight="false" outlineLevel="0" collapsed="false">
      <c r="A555" s="76" t="str">
        <f aca="false">B555&amp;"|"&amp;C555&amp;"|"&amp;D555&amp;"|"&amp;E555</f>
        <v>KWC|2|Jumat|08:45</v>
      </c>
      <c r="B555" s="76" t="s">
        <v>63</v>
      </c>
      <c r="C555" s="76" t="n">
        <v>2</v>
      </c>
      <c r="D555" s="76" t="s">
        <v>94</v>
      </c>
      <c r="E555" s="76" t="s">
        <v>111</v>
      </c>
      <c r="F555" s="77" t="s">
        <v>42</v>
      </c>
      <c r="G555" s="77" t="n">
        <v>5</v>
      </c>
      <c r="H555" s="77" t="n">
        <v>0</v>
      </c>
      <c r="I555" s="76" t="n">
        <f aca="false">IF(AND(ISNUMBER(G555),ISNUMBER(H555)),MAX(G555-H555,0),"")</f>
        <v>5</v>
      </c>
      <c r="J555" s="78" t="n">
        <f aca="false">IF(AND(ISNUMBER(G555),ISNUMBER(H555)),IF(G555&gt;0,H555/G555,""),"")</f>
        <v>0</v>
      </c>
      <c r="K555" s="77"/>
      <c r="L555" s="76" t="str">
        <f aca="false">IF(OR(G555="",H555=""),"Data tidak lengkap",IF(AND(G555=0,H555=0),IF(AND(F555="",K555=""),"Tidak dibuka","Tutup"),IF(H555&gt;G555,"Lebih kapasitas",IF(H555=G555,"Penuh",IF(H555=0,IF(F555="","Slot kosong","Belum terisi"),"Sebagian")))))</f>
        <v>Belum terisi</v>
      </c>
      <c r="M555" s="79" t="str">
        <f aca="false">IF(L555="Tidak dibuka","–",IF(F555="","(tanpa age group)",F555)&amp;"  "&amp;IF(H555="","?",H555)&amp;"/"&amp;IF(G555="","?",G555)&amp;CHAR(10)&amp;IF(K555="","coach: –","coach: "&amp;K555))</f>
        <v>Tiny  0/5
coach: –</v>
      </c>
    </row>
    <row r="556" customFormat="false" ht="22.35" hidden="false" customHeight="false" outlineLevel="0" collapsed="false">
      <c r="A556" s="76" t="str">
        <f aca="false">B556&amp;"|"&amp;C556&amp;"|"&amp;D556&amp;"|"&amp;E556</f>
        <v>KWC|2|Jumat|09:30</v>
      </c>
      <c r="B556" s="76" t="s">
        <v>63</v>
      </c>
      <c r="C556" s="76" t="n">
        <v>2</v>
      </c>
      <c r="D556" s="76" t="s">
        <v>94</v>
      </c>
      <c r="E556" s="76" t="s">
        <v>112</v>
      </c>
      <c r="F556" s="77" t="s">
        <v>42</v>
      </c>
      <c r="G556" s="77" t="n">
        <v>5</v>
      </c>
      <c r="H556" s="77" t="n">
        <v>1</v>
      </c>
      <c r="I556" s="76" t="n">
        <f aca="false">IF(AND(ISNUMBER(G556),ISNUMBER(H556)),MAX(G556-H556,0),"")</f>
        <v>4</v>
      </c>
      <c r="J556" s="78" t="n">
        <f aca="false">IF(AND(ISNUMBER(G556),ISNUMBER(H556)),IF(G556&gt;0,H556/G556,""),"")</f>
        <v>0.2</v>
      </c>
      <c r="K556" s="77" t="s">
        <v>269</v>
      </c>
      <c r="L556" s="76" t="str">
        <f aca="false">IF(OR(G556="",H556=""),"Data tidak lengkap",IF(AND(G556=0,H556=0),IF(AND(F556="",K556=""),"Tidak dibuka","Tutup"),IF(H556&gt;G556,"Lebih kapasitas",IF(H556=G556,"Penuh",IF(H556=0,IF(F556="","Slot kosong","Belum terisi"),"Sebagian")))))</f>
        <v>Sebagian</v>
      </c>
      <c r="M556" s="79" t="str">
        <f aca="false">IF(L556="Tidak dibuka","–",IF(F556="","(tanpa age group)",F556)&amp;"  "&amp;IF(H556="","?",H556)&amp;"/"&amp;IF(G556="","?",G556)&amp;CHAR(10)&amp;IF(K556="","coach: –","coach: "&amp;K556))</f>
        <v>Tiny  1/5
coach: Nabila</v>
      </c>
    </row>
    <row r="557" customFormat="false" ht="22.35" hidden="false" customHeight="false" outlineLevel="0" collapsed="false">
      <c r="A557" s="76" t="str">
        <f aca="false">B557&amp;"|"&amp;C557&amp;"|"&amp;D557&amp;"|"&amp;E557</f>
        <v>KWC|2|Jumat|10:15</v>
      </c>
      <c r="B557" s="76" t="s">
        <v>63</v>
      </c>
      <c r="C557" s="76" t="n">
        <v>2</v>
      </c>
      <c r="D557" s="76" t="s">
        <v>94</v>
      </c>
      <c r="E557" s="76" t="s">
        <v>113</v>
      </c>
      <c r="F557" s="77" t="s">
        <v>42</v>
      </c>
      <c r="G557" s="77" t="n">
        <v>5</v>
      </c>
      <c r="H557" s="77" t="n">
        <v>3</v>
      </c>
      <c r="I557" s="76" t="n">
        <f aca="false">IF(AND(ISNUMBER(G557),ISNUMBER(H557)),MAX(G557-H557,0),"")</f>
        <v>2</v>
      </c>
      <c r="J557" s="78" t="n">
        <f aca="false">IF(AND(ISNUMBER(G557),ISNUMBER(H557)),IF(G557&gt;0,H557/G557,""),"")</f>
        <v>0.6</v>
      </c>
      <c r="K557" s="77" t="s">
        <v>269</v>
      </c>
      <c r="L557" s="76" t="str">
        <f aca="false">IF(OR(G557="",H557=""),"Data tidak lengkap",IF(AND(G557=0,H557=0),IF(AND(F557="",K557=""),"Tidak dibuka","Tutup"),IF(H557&gt;G557,"Lebih kapasitas",IF(H557=G557,"Penuh",IF(H557=0,IF(F557="","Slot kosong","Belum terisi"),"Sebagian")))))</f>
        <v>Sebagian</v>
      </c>
      <c r="M557" s="79" t="str">
        <f aca="false">IF(L557="Tidak dibuka","–",IF(F557="","(tanpa age group)",F557)&amp;"  "&amp;IF(H557="","?",H557)&amp;"/"&amp;IF(G557="","?",G557)&amp;CHAR(10)&amp;IF(K557="","coach: –","coach: "&amp;K557))</f>
        <v>Tiny  3/5
coach: Nabila</v>
      </c>
    </row>
    <row r="558" customFormat="false" ht="22.35" hidden="false" customHeight="false" outlineLevel="0" collapsed="false">
      <c r="A558" s="76" t="str">
        <f aca="false">B558&amp;"|"&amp;C558&amp;"|"&amp;D558&amp;"|"&amp;E558</f>
        <v>KWC|2|Jumat|11:00</v>
      </c>
      <c r="B558" s="76" t="s">
        <v>63</v>
      </c>
      <c r="C558" s="76" t="n">
        <v>2</v>
      </c>
      <c r="D558" s="76" t="s">
        <v>94</v>
      </c>
      <c r="E558" s="76" t="s">
        <v>114</v>
      </c>
      <c r="F558" s="77" t="s">
        <v>42</v>
      </c>
      <c r="G558" s="77" t="n">
        <v>5</v>
      </c>
      <c r="H558" s="77" t="n">
        <v>1</v>
      </c>
      <c r="I558" s="76" t="n">
        <f aca="false">IF(AND(ISNUMBER(G558),ISNUMBER(H558)),MAX(G558-H558,0),"")</f>
        <v>4</v>
      </c>
      <c r="J558" s="78" t="n">
        <f aca="false">IF(AND(ISNUMBER(G558),ISNUMBER(H558)),IF(G558&gt;0,H558/G558,""),"")</f>
        <v>0.2</v>
      </c>
      <c r="K558" s="77" t="s">
        <v>271</v>
      </c>
      <c r="L558" s="76" t="str">
        <f aca="false">IF(OR(G558="",H558=""),"Data tidak lengkap",IF(AND(G558=0,H558=0),IF(AND(F558="",K558=""),"Tidak dibuka","Tutup"),IF(H558&gt;G558,"Lebih kapasitas",IF(H558=G558,"Penuh",IF(H558=0,IF(F558="","Slot kosong","Belum terisi"),"Sebagian")))))</f>
        <v>Sebagian</v>
      </c>
      <c r="M558" s="79" t="str">
        <f aca="false">IF(L558="Tidak dibuka","–",IF(F558="","(tanpa age group)",F558)&amp;"  "&amp;IF(H558="","?",H558)&amp;"/"&amp;IF(G558="","?",G558)&amp;CHAR(10)&amp;IF(K558="","coach: –","coach: "&amp;K558))</f>
        <v>Tiny  1/5
coach: Icis</v>
      </c>
    </row>
    <row r="559" customFormat="false" ht="22.35" hidden="false" customHeight="false" outlineLevel="0" collapsed="false">
      <c r="A559" s="76" t="str">
        <f aca="false">B559&amp;"|"&amp;C559&amp;"|"&amp;D559&amp;"|"&amp;E559</f>
        <v>KWC|2|Jumat|11:45</v>
      </c>
      <c r="B559" s="76" t="s">
        <v>63</v>
      </c>
      <c r="C559" s="76" t="n">
        <v>2</v>
      </c>
      <c r="D559" s="76" t="s">
        <v>94</v>
      </c>
      <c r="E559" s="76" t="s">
        <v>115</v>
      </c>
      <c r="F559" s="77" t="s">
        <v>42</v>
      </c>
      <c r="G559" s="77" t="n">
        <v>0</v>
      </c>
      <c r="H559" s="77" t="n">
        <v>0</v>
      </c>
      <c r="I559" s="76" t="n">
        <f aca="false">IF(AND(ISNUMBER(G559),ISNUMBER(H559)),MAX(G559-H559,0),"")</f>
        <v>0</v>
      </c>
      <c r="J559" s="78" t="str">
        <f aca="false">IF(AND(ISNUMBER(G559),ISNUMBER(H559)),IF(G559&gt;0,H559/G559,""),"")</f>
        <v/>
      </c>
      <c r="K559" s="77"/>
      <c r="L559" s="76" t="str">
        <f aca="false">IF(OR(G559="",H559=""),"Data tidak lengkap",IF(AND(G559=0,H559=0),IF(AND(F559="",K559=""),"Tidak dibuka","Tutup"),IF(H559&gt;G559,"Lebih kapasitas",IF(H559=G559,"Penuh",IF(H559=0,IF(F559="","Slot kosong","Belum terisi"),"Sebagian")))))</f>
        <v>Tutup</v>
      </c>
      <c r="M559" s="79" t="str">
        <f aca="false">IF(L559="Tidak dibuka","–",IF(F559="","(tanpa age group)",F559)&amp;"  "&amp;IF(H559="","?",H559)&amp;"/"&amp;IF(G559="","?",G559)&amp;CHAR(10)&amp;IF(K559="","coach: –","coach: "&amp;K559))</f>
        <v>Tiny  0/0
coach: –</v>
      </c>
    </row>
    <row r="560" customFormat="false" ht="22.35" hidden="false" customHeight="false" outlineLevel="0" collapsed="false">
      <c r="A560" s="76" t="str">
        <f aca="false">B560&amp;"|"&amp;C560&amp;"|"&amp;D560&amp;"|"&amp;E560</f>
        <v>KWC|2|Jumat|13:15</v>
      </c>
      <c r="B560" s="76" t="s">
        <v>63</v>
      </c>
      <c r="C560" s="76" t="n">
        <v>2</v>
      </c>
      <c r="D560" s="76" t="s">
        <v>94</v>
      </c>
      <c r="E560" s="76" t="s">
        <v>116</v>
      </c>
      <c r="F560" s="77" t="s">
        <v>42</v>
      </c>
      <c r="G560" s="77" t="n">
        <v>5</v>
      </c>
      <c r="H560" s="77" t="n">
        <v>2</v>
      </c>
      <c r="I560" s="76" t="n">
        <f aca="false">IF(AND(ISNUMBER(G560),ISNUMBER(H560)),MAX(G560-H560,0),"")</f>
        <v>3</v>
      </c>
      <c r="J560" s="78" t="n">
        <f aca="false">IF(AND(ISNUMBER(G560),ISNUMBER(H560)),IF(G560&gt;0,H560/G560,""),"")</f>
        <v>0.4</v>
      </c>
      <c r="K560" s="77" t="s">
        <v>267</v>
      </c>
      <c r="L560" s="76" t="str">
        <f aca="false">IF(OR(G560="",H560=""),"Data tidak lengkap",IF(AND(G560=0,H560=0),IF(AND(F560="",K560=""),"Tidak dibuka","Tutup"),IF(H560&gt;G560,"Lebih kapasitas",IF(H560=G560,"Penuh",IF(H560=0,IF(F560="","Slot kosong","Belum terisi"),"Sebagian")))))</f>
        <v>Sebagian</v>
      </c>
      <c r="M560" s="79" t="str">
        <f aca="false">IF(L560="Tidak dibuka","–",IF(F560="","(tanpa age group)",F560)&amp;"  "&amp;IF(H560="","?",H560)&amp;"/"&amp;IF(G560="","?",G560)&amp;CHAR(10)&amp;IF(K560="","coach: –","coach: "&amp;K560))</f>
        <v>Tiny  2/5
coach: Deyon</v>
      </c>
    </row>
    <row r="561" customFormat="false" ht="22.35" hidden="false" customHeight="false" outlineLevel="0" collapsed="false">
      <c r="A561" s="76" t="str">
        <f aca="false">B561&amp;"|"&amp;C561&amp;"|"&amp;D561&amp;"|"&amp;E561</f>
        <v>KWC|2|Jumat|14:00</v>
      </c>
      <c r="B561" s="76" t="s">
        <v>63</v>
      </c>
      <c r="C561" s="76" t="n">
        <v>2</v>
      </c>
      <c r="D561" s="76" t="s">
        <v>94</v>
      </c>
      <c r="E561" s="76" t="s">
        <v>117</v>
      </c>
      <c r="F561" s="77" t="s">
        <v>42</v>
      </c>
      <c r="G561" s="77" t="n">
        <v>5</v>
      </c>
      <c r="H561" s="77" t="n">
        <v>0</v>
      </c>
      <c r="I561" s="76" t="n">
        <f aca="false">IF(AND(ISNUMBER(G561),ISNUMBER(H561)),MAX(G561-H561,0),"")</f>
        <v>5</v>
      </c>
      <c r="J561" s="78" t="n">
        <f aca="false">IF(AND(ISNUMBER(G561),ISNUMBER(H561)),IF(G561&gt;0,H561/G561,""),"")</f>
        <v>0</v>
      </c>
      <c r="K561" s="77"/>
      <c r="L561" s="76" t="str">
        <f aca="false">IF(OR(G561="",H561=""),"Data tidak lengkap",IF(AND(G561=0,H561=0),IF(AND(F561="",K561=""),"Tidak dibuka","Tutup"),IF(H561&gt;G561,"Lebih kapasitas",IF(H561=G561,"Penuh",IF(H561=0,IF(F561="","Slot kosong","Belum terisi"),"Sebagian")))))</f>
        <v>Belum terisi</v>
      </c>
      <c r="M561" s="79" t="str">
        <f aca="false">IF(L561="Tidak dibuka","–",IF(F561="","(tanpa age group)",F561)&amp;"  "&amp;IF(H561="","?",H561)&amp;"/"&amp;IF(G561="","?",G561)&amp;CHAR(10)&amp;IF(K561="","coach: –","coach: "&amp;K561))</f>
        <v>Tiny  0/5
coach: –</v>
      </c>
    </row>
    <row r="562" customFormat="false" ht="22.35" hidden="false" customHeight="false" outlineLevel="0" collapsed="false">
      <c r="A562" s="76" t="str">
        <f aca="false">B562&amp;"|"&amp;C562&amp;"|"&amp;D562&amp;"|"&amp;E562</f>
        <v>KWC|2|Jumat|14:45</v>
      </c>
      <c r="B562" s="76" t="s">
        <v>63</v>
      </c>
      <c r="C562" s="76" t="n">
        <v>2</v>
      </c>
      <c r="D562" s="76" t="s">
        <v>94</v>
      </c>
      <c r="E562" s="76" t="s">
        <v>118</v>
      </c>
      <c r="F562" s="77" t="s">
        <v>42</v>
      </c>
      <c r="G562" s="77" t="n">
        <v>0</v>
      </c>
      <c r="H562" s="77" t="n">
        <v>0</v>
      </c>
      <c r="I562" s="76" t="n">
        <f aca="false">IF(AND(ISNUMBER(G562),ISNUMBER(H562)),MAX(G562-H562,0),"")</f>
        <v>0</v>
      </c>
      <c r="J562" s="78" t="str">
        <f aca="false">IF(AND(ISNUMBER(G562),ISNUMBER(H562)),IF(G562&gt;0,H562/G562,""),"")</f>
        <v/>
      </c>
      <c r="K562" s="77"/>
      <c r="L562" s="76" t="str">
        <f aca="false">IF(OR(G562="",H562=""),"Data tidak lengkap",IF(AND(G562=0,H562=0),IF(AND(F562="",K562=""),"Tidak dibuka","Tutup"),IF(H562&gt;G562,"Lebih kapasitas",IF(H562=G562,"Penuh",IF(H562=0,IF(F562="","Slot kosong","Belum terisi"),"Sebagian")))))</f>
        <v>Tutup</v>
      </c>
      <c r="M562" s="79" t="str">
        <f aca="false">IF(L562="Tidak dibuka","–",IF(F562="","(tanpa age group)",F562)&amp;"  "&amp;IF(H562="","?",H562)&amp;"/"&amp;IF(G562="","?",G562)&amp;CHAR(10)&amp;IF(K562="","coach: –","coach: "&amp;K562))</f>
        <v>Tiny  0/0
coach: –</v>
      </c>
    </row>
    <row r="563" customFormat="false" ht="22.35" hidden="false" customHeight="false" outlineLevel="0" collapsed="false">
      <c r="A563" s="76" t="str">
        <f aca="false">B563&amp;"|"&amp;C563&amp;"|"&amp;D563&amp;"|"&amp;E563</f>
        <v>KWC|2|Jumat|15:30</v>
      </c>
      <c r="B563" s="76" t="s">
        <v>63</v>
      </c>
      <c r="C563" s="76" t="n">
        <v>2</v>
      </c>
      <c r="D563" s="76" t="s">
        <v>94</v>
      </c>
      <c r="E563" s="76" t="s">
        <v>119</v>
      </c>
      <c r="F563" s="77" t="s">
        <v>42</v>
      </c>
      <c r="G563" s="77" t="n">
        <v>0</v>
      </c>
      <c r="H563" s="77" t="n">
        <v>0</v>
      </c>
      <c r="I563" s="76" t="n">
        <f aca="false">IF(AND(ISNUMBER(G563),ISNUMBER(H563)),MAX(G563-H563,0),"")</f>
        <v>0</v>
      </c>
      <c r="J563" s="78" t="str">
        <f aca="false">IF(AND(ISNUMBER(G563),ISNUMBER(H563)),IF(G563&gt;0,H563/G563,""),"")</f>
        <v/>
      </c>
      <c r="K563" s="77"/>
      <c r="L563" s="76" t="str">
        <f aca="false">IF(OR(G563="",H563=""),"Data tidak lengkap",IF(AND(G563=0,H563=0),IF(AND(F563="",K563=""),"Tidak dibuka","Tutup"),IF(H563&gt;G563,"Lebih kapasitas",IF(H563=G563,"Penuh",IF(H563=0,IF(F563="","Slot kosong","Belum terisi"),"Sebagian")))))</f>
        <v>Tutup</v>
      </c>
      <c r="M563" s="79" t="str">
        <f aca="false">IF(L563="Tidak dibuka","–",IF(F563="","(tanpa age group)",F563)&amp;"  "&amp;IF(H563="","?",H563)&amp;"/"&amp;IF(G563="","?",G563)&amp;CHAR(10)&amp;IF(K563="","coach: –","coach: "&amp;K563))</f>
        <v>Tiny  0/0
coach: –</v>
      </c>
    </row>
    <row r="564" customFormat="false" ht="22.35" hidden="false" customHeight="false" outlineLevel="0" collapsed="false">
      <c r="A564" s="76" t="str">
        <f aca="false">B564&amp;"|"&amp;C564&amp;"|"&amp;D564&amp;"|"&amp;E564</f>
        <v>KWC|2|Jumat|16:15</v>
      </c>
      <c r="B564" s="76" t="s">
        <v>63</v>
      </c>
      <c r="C564" s="76" t="n">
        <v>2</v>
      </c>
      <c r="D564" s="76" t="s">
        <v>94</v>
      </c>
      <c r="E564" s="76" t="s">
        <v>120</v>
      </c>
      <c r="F564" s="77" t="s">
        <v>42</v>
      </c>
      <c r="G564" s="77" t="n">
        <v>5</v>
      </c>
      <c r="H564" s="77" t="n">
        <v>2</v>
      </c>
      <c r="I564" s="76" t="n">
        <f aca="false">IF(AND(ISNUMBER(G564),ISNUMBER(H564)),MAX(G564-H564,0),"")</f>
        <v>3</v>
      </c>
      <c r="J564" s="78" t="n">
        <f aca="false">IF(AND(ISNUMBER(G564),ISNUMBER(H564)),IF(G564&gt;0,H564/G564,""),"")</f>
        <v>0.4</v>
      </c>
      <c r="K564" s="77" t="s">
        <v>268</v>
      </c>
      <c r="L564" s="76" t="str">
        <f aca="false">IF(OR(G564="",H564=""),"Data tidak lengkap",IF(AND(G564=0,H564=0),IF(AND(F564="",K564=""),"Tidak dibuka","Tutup"),IF(H564&gt;G564,"Lebih kapasitas",IF(H564=G564,"Penuh",IF(H564=0,IF(F564="","Slot kosong","Belum terisi"),"Sebagian")))))</f>
        <v>Sebagian</v>
      </c>
      <c r="M564" s="79" t="str">
        <f aca="false">IF(L564="Tidak dibuka","–",IF(F564="","(tanpa age group)",F564)&amp;"  "&amp;IF(H564="","?",H564)&amp;"/"&amp;IF(G564="","?",G564)&amp;CHAR(10)&amp;IF(K564="","coach: –","coach: "&amp;K564))</f>
        <v>Tiny  2/5
coach: Andreas</v>
      </c>
    </row>
    <row r="565" customFormat="false" ht="22.35" hidden="false" customHeight="false" outlineLevel="0" collapsed="false">
      <c r="A565" s="76" t="str">
        <f aca="false">B565&amp;"|"&amp;C565&amp;"|"&amp;D565&amp;"|"&amp;E565</f>
        <v>KWC|2|Jumat|17:00</v>
      </c>
      <c r="B565" s="76" t="s">
        <v>63</v>
      </c>
      <c r="C565" s="76" t="n">
        <v>2</v>
      </c>
      <c r="D565" s="76" t="s">
        <v>94</v>
      </c>
      <c r="E565" s="76" t="s">
        <v>121</v>
      </c>
      <c r="F565" s="77" t="s">
        <v>42</v>
      </c>
      <c r="G565" s="77" t="n">
        <v>5</v>
      </c>
      <c r="H565" s="77" t="n">
        <v>4</v>
      </c>
      <c r="I565" s="76" t="n">
        <f aca="false">IF(AND(ISNUMBER(G565),ISNUMBER(H565)),MAX(G565-H565,0),"")</f>
        <v>1</v>
      </c>
      <c r="J565" s="78" t="n">
        <f aca="false">IF(AND(ISNUMBER(G565),ISNUMBER(H565)),IF(G565&gt;0,H565/G565,""),"")</f>
        <v>0.8</v>
      </c>
      <c r="K565" s="77" t="s">
        <v>268</v>
      </c>
      <c r="L565" s="76" t="str">
        <f aca="false">IF(OR(G565="",H565=""),"Data tidak lengkap",IF(AND(G565=0,H565=0),IF(AND(F565="",K565=""),"Tidak dibuka","Tutup"),IF(H565&gt;G565,"Lebih kapasitas",IF(H565=G565,"Penuh",IF(H565=0,IF(F565="","Slot kosong","Belum terisi"),"Sebagian")))))</f>
        <v>Sebagian</v>
      </c>
      <c r="M565" s="79" t="str">
        <f aca="false">IF(L565="Tidak dibuka","–",IF(F565="","(tanpa age group)",F565)&amp;"  "&amp;IF(H565="","?",H565)&amp;"/"&amp;IF(G565="","?",G565)&amp;CHAR(10)&amp;IF(K565="","coach: –","coach: "&amp;K565))</f>
        <v>Tiny  4/5
coach: Andreas</v>
      </c>
    </row>
    <row r="566" customFormat="false" ht="22.35" hidden="false" customHeight="false" outlineLevel="0" collapsed="false">
      <c r="A566" s="76" t="str">
        <f aca="false">B566&amp;"|"&amp;C566&amp;"|"&amp;D566&amp;"|"&amp;E566</f>
        <v>KWC|2|Sabtu|08:00</v>
      </c>
      <c r="B566" s="76" t="s">
        <v>63</v>
      </c>
      <c r="C566" s="76" t="n">
        <v>2</v>
      </c>
      <c r="D566" s="76" t="s">
        <v>95</v>
      </c>
      <c r="E566" s="76" t="s">
        <v>110</v>
      </c>
      <c r="F566" s="77" t="s">
        <v>42</v>
      </c>
      <c r="G566" s="77" t="n">
        <v>0</v>
      </c>
      <c r="H566" s="77" t="n">
        <v>0</v>
      </c>
      <c r="I566" s="76" t="n">
        <f aca="false">IF(AND(ISNUMBER(G566),ISNUMBER(H566)),MAX(G566-H566,0),"")</f>
        <v>0</v>
      </c>
      <c r="J566" s="78" t="str">
        <f aca="false">IF(AND(ISNUMBER(G566),ISNUMBER(H566)),IF(G566&gt;0,H566/G566,""),"")</f>
        <v/>
      </c>
      <c r="K566" s="77"/>
      <c r="L566" s="76" t="str">
        <f aca="false">IF(OR(G566="",H566=""),"Data tidak lengkap",IF(AND(G566=0,H566=0),IF(AND(F566="",K566=""),"Tidak dibuka","Tutup"),IF(H566&gt;G566,"Lebih kapasitas",IF(H566=G566,"Penuh",IF(H566=0,IF(F566="","Slot kosong","Belum terisi"),"Sebagian")))))</f>
        <v>Tutup</v>
      </c>
      <c r="M566" s="79" t="str">
        <f aca="false">IF(L566="Tidak dibuka","–",IF(F566="","(tanpa age group)",F566)&amp;"  "&amp;IF(H566="","?",H566)&amp;"/"&amp;IF(G566="","?",G566)&amp;CHAR(10)&amp;IF(K566="","coach: –","coach: "&amp;K566))</f>
        <v>Tiny  0/0
coach: –</v>
      </c>
    </row>
    <row r="567" customFormat="false" ht="22.35" hidden="false" customHeight="false" outlineLevel="0" collapsed="false">
      <c r="A567" s="76" t="str">
        <f aca="false">B567&amp;"|"&amp;C567&amp;"|"&amp;D567&amp;"|"&amp;E567</f>
        <v>KWC|2|Sabtu|08:45</v>
      </c>
      <c r="B567" s="76" t="s">
        <v>63</v>
      </c>
      <c r="C567" s="76" t="n">
        <v>2</v>
      </c>
      <c r="D567" s="76" t="s">
        <v>95</v>
      </c>
      <c r="E567" s="76" t="s">
        <v>111</v>
      </c>
      <c r="F567" s="77" t="s">
        <v>42</v>
      </c>
      <c r="G567" s="77" t="n">
        <v>5</v>
      </c>
      <c r="H567" s="77" t="n">
        <v>4</v>
      </c>
      <c r="I567" s="76" t="n">
        <f aca="false">IF(AND(ISNUMBER(G567),ISNUMBER(H567)),MAX(G567-H567,0),"")</f>
        <v>1</v>
      </c>
      <c r="J567" s="78" t="n">
        <f aca="false">IF(AND(ISNUMBER(G567),ISNUMBER(H567)),IF(G567&gt;0,H567/G567,""),"")</f>
        <v>0.8</v>
      </c>
      <c r="K567" s="77" t="s">
        <v>271</v>
      </c>
      <c r="L567" s="76" t="str">
        <f aca="false">IF(OR(G567="",H567=""),"Data tidak lengkap",IF(AND(G567=0,H567=0),IF(AND(F567="",K567=""),"Tidak dibuka","Tutup"),IF(H567&gt;G567,"Lebih kapasitas",IF(H567=G567,"Penuh",IF(H567=0,IF(F567="","Slot kosong","Belum terisi"),"Sebagian")))))</f>
        <v>Sebagian</v>
      </c>
      <c r="M567" s="79" t="str">
        <f aca="false">IF(L567="Tidak dibuka","–",IF(F567="","(tanpa age group)",F567)&amp;"  "&amp;IF(H567="","?",H567)&amp;"/"&amp;IF(G567="","?",G567)&amp;CHAR(10)&amp;IF(K567="","coach: –","coach: "&amp;K567))</f>
        <v>Tiny  4/5
coach: Icis</v>
      </c>
    </row>
    <row r="568" customFormat="false" ht="22.35" hidden="false" customHeight="false" outlineLevel="0" collapsed="false">
      <c r="A568" s="76" t="str">
        <f aca="false">B568&amp;"|"&amp;C568&amp;"|"&amp;D568&amp;"|"&amp;E568</f>
        <v>KWC|2|Sabtu|09:30</v>
      </c>
      <c r="B568" s="76" t="s">
        <v>63</v>
      </c>
      <c r="C568" s="76" t="n">
        <v>2</v>
      </c>
      <c r="D568" s="76" t="s">
        <v>95</v>
      </c>
      <c r="E568" s="76" t="s">
        <v>112</v>
      </c>
      <c r="F568" s="77" t="s">
        <v>42</v>
      </c>
      <c r="G568" s="77" t="n">
        <v>5</v>
      </c>
      <c r="H568" s="77" t="n">
        <v>3</v>
      </c>
      <c r="I568" s="76" t="n">
        <f aca="false">IF(AND(ISNUMBER(G568),ISNUMBER(H568)),MAX(G568-H568,0),"")</f>
        <v>2</v>
      </c>
      <c r="J568" s="78" t="n">
        <f aca="false">IF(AND(ISNUMBER(G568),ISNUMBER(H568)),IF(G568&gt;0,H568/G568,""),"")</f>
        <v>0.6</v>
      </c>
      <c r="K568" s="77" t="s">
        <v>269</v>
      </c>
      <c r="L568" s="76" t="str">
        <f aca="false">IF(OR(G568="",H568=""),"Data tidak lengkap",IF(AND(G568=0,H568=0),IF(AND(F568="",K568=""),"Tidak dibuka","Tutup"),IF(H568&gt;G568,"Lebih kapasitas",IF(H568=G568,"Penuh",IF(H568=0,IF(F568="","Slot kosong","Belum terisi"),"Sebagian")))))</f>
        <v>Sebagian</v>
      </c>
      <c r="M568" s="79" t="str">
        <f aca="false">IF(L568="Tidak dibuka","–",IF(F568="","(tanpa age group)",F568)&amp;"  "&amp;IF(H568="","?",H568)&amp;"/"&amp;IF(G568="","?",G568)&amp;CHAR(10)&amp;IF(K568="","coach: –","coach: "&amp;K568))</f>
        <v>Tiny  3/5
coach: Nabila</v>
      </c>
    </row>
    <row r="569" customFormat="false" ht="22.35" hidden="false" customHeight="false" outlineLevel="0" collapsed="false">
      <c r="A569" s="76" t="str">
        <f aca="false">B569&amp;"|"&amp;C569&amp;"|"&amp;D569&amp;"|"&amp;E569</f>
        <v>KWC|2|Sabtu|10:15</v>
      </c>
      <c r="B569" s="76" t="s">
        <v>63</v>
      </c>
      <c r="C569" s="76" t="n">
        <v>2</v>
      </c>
      <c r="D569" s="76" t="s">
        <v>95</v>
      </c>
      <c r="E569" s="76" t="s">
        <v>113</v>
      </c>
      <c r="F569" s="77" t="s">
        <v>42</v>
      </c>
      <c r="G569" s="77" t="n">
        <v>5</v>
      </c>
      <c r="H569" s="77" t="n">
        <v>3</v>
      </c>
      <c r="I569" s="76" t="n">
        <f aca="false">IF(AND(ISNUMBER(G569),ISNUMBER(H569)),MAX(G569-H569,0),"")</f>
        <v>2</v>
      </c>
      <c r="J569" s="78" t="n">
        <f aca="false">IF(AND(ISNUMBER(G569),ISNUMBER(H569)),IF(G569&gt;0,H569/G569,""),"")</f>
        <v>0.6</v>
      </c>
      <c r="K569" s="77" t="s">
        <v>274</v>
      </c>
      <c r="L569" s="76" t="str">
        <f aca="false">IF(OR(G569="",H569=""),"Data tidak lengkap",IF(AND(G569=0,H569=0),IF(AND(F569="",K569=""),"Tidak dibuka","Tutup"),IF(H569&gt;G569,"Lebih kapasitas",IF(H569=G569,"Penuh",IF(H569=0,IF(F569="","Slot kosong","Belum terisi"),"Sebagian")))))</f>
        <v>Sebagian</v>
      </c>
      <c r="M569" s="79" t="str">
        <f aca="false">IF(L569="Tidak dibuka","–",IF(F569="","(tanpa age group)",F569)&amp;"  "&amp;IF(H569="","?",H569)&amp;"/"&amp;IF(G569="","?",G569)&amp;CHAR(10)&amp;IF(K569="","coach: –","coach: "&amp;K569))</f>
        <v>Tiny  3/5
coach: Eve</v>
      </c>
    </row>
    <row r="570" customFormat="false" ht="22.35" hidden="false" customHeight="false" outlineLevel="0" collapsed="false">
      <c r="A570" s="76" t="str">
        <f aca="false">B570&amp;"|"&amp;C570&amp;"|"&amp;D570&amp;"|"&amp;E570</f>
        <v>KWC|2|Sabtu|11:00</v>
      </c>
      <c r="B570" s="76" t="s">
        <v>63</v>
      </c>
      <c r="C570" s="76" t="n">
        <v>2</v>
      </c>
      <c r="D570" s="76" t="s">
        <v>95</v>
      </c>
      <c r="E570" s="76" t="s">
        <v>114</v>
      </c>
      <c r="F570" s="77" t="s">
        <v>42</v>
      </c>
      <c r="G570" s="77" t="n">
        <v>5</v>
      </c>
      <c r="H570" s="77" t="n">
        <v>5</v>
      </c>
      <c r="I570" s="76" t="n">
        <f aca="false">IF(AND(ISNUMBER(G570),ISNUMBER(H570)),MAX(G570-H570,0),"")</f>
        <v>0</v>
      </c>
      <c r="J570" s="78" t="n">
        <f aca="false">IF(AND(ISNUMBER(G570),ISNUMBER(H570)),IF(G570&gt;0,H570/G570,""),"")</f>
        <v>1</v>
      </c>
      <c r="K570" s="77" t="s">
        <v>269</v>
      </c>
      <c r="L570" s="76" t="str">
        <f aca="false">IF(OR(G570="",H570=""),"Data tidak lengkap",IF(AND(G570=0,H570=0),IF(AND(F570="",K570=""),"Tidak dibuka","Tutup"),IF(H570&gt;G570,"Lebih kapasitas",IF(H570=G570,"Penuh",IF(H570=0,IF(F570="","Slot kosong","Belum terisi"),"Sebagian")))))</f>
        <v>Penuh</v>
      </c>
      <c r="M570" s="79" t="str">
        <f aca="false">IF(L570="Tidak dibuka","–",IF(F570="","(tanpa age group)",F570)&amp;"  "&amp;IF(H570="","?",H570)&amp;"/"&amp;IF(G570="","?",G570)&amp;CHAR(10)&amp;IF(K570="","coach: –","coach: "&amp;K570))</f>
        <v>Tiny  5/5
coach: Nabila</v>
      </c>
    </row>
    <row r="571" customFormat="false" ht="22.35" hidden="false" customHeight="false" outlineLevel="0" collapsed="false">
      <c r="A571" s="76" t="str">
        <f aca="false">B571&amp;"|"&amp;C571&amp;"|"&amp;D571&amp;"|"&amp;E571</f>
        <v>KWC|2|Sabtu|11:45</v>
      </c>
      <c r="B571" s="76" t="s">
        <v>63</v>
      </c>
      <c r="C571" s="76" t="n">
        <v>2</v>
      </c>
      <c r="D571" s="76" t="s">
        <v>95</v>
      </c>
      <c r="E571" s="76" t="s">
        <v>115</v>
      </c>
      <c r="F571" s="77" t="s">
        <v>42</v>
      </c>
      <c r="G571" s="77" t="n">
        <v>5</v>
      </c>
      <c r="H571" s="77" t="n">
        <v>2</v>
      </c>
      <c r="I571" s="76" t="n">
        <f aca="false">IF(AND(ISNUMBER(G571),ISNUMBER(H571)),MAX(G571-H571,0),"")</f>
        <v>3</v>
      </c>
      <c r="J571" s="78" t="n">
        <f aca="false">IF(AND(ISNUMBER(G571),ISNUMBER(H571)),IF(G571&gt;0,H571/G571,""),"")</f>
        <v>0.4</v>
      </c>
      <c r="K571" s="77" t="s">
        <v>270</v>
      </c>
      <c r="L571" s="76" t="str">
        <f aca="false">IF(OR(G571="",H571=""),"Data tidak lengkap",IF(AND(G571=0,H571=0),IF(AND(F571="",K571=""),"Tidak dibuka","Tutup"),IF(H571&gt;G571,"Lebih kapasitas",IF(H571=G571,"Penuh",IF(H571=0,IF(F571="","Slot kosong","Belum terisi"),"Sebagian")))))</f>
        <v>Sebagian</v>
      </c>
      <c r="M571" s="79" t="str">
        <f aca="false">IF(L571="Tidak dibuka","–",IF(F571="","(tanpa age group)",F571)&amp;"  "&amp;IF(H571="","?",H571)&amp;"/"&amp;IF(G571="","?",G571)&amp;CHAR(10)&amp;IF(K571="","coach: –","coach: "&amp;K571))</f>
        <v>Tiny  2/5
coach: Sri</v>
      </c>
    </row>
    <row r="572" customFormat="false" ht="22.35" hidden="false" customHeight="false" outlineLevel="0" collapsed="false">
      <c r="A572" s="76" t="str">
        <f aca="false">B572&amp;"|"&amp;C572&amp;"|"&amp;D572&amp;"|"&amp;E572</f>
        <v>KWC|2|Sabtu|13:15</v>
      </c>
      <c r="B572" s="76" t="s">
        <v>63</v>
      </c>
      <c r="C572" s="76" t="n">
        <v>2</v>
      </c>
      <c r="D572" s="76" t="s">
        <v>95</v>
      </c>
      <c r="E572" s="76" t="s">
        <v>116</v>
      </c>
      <c r="F572" s="77" t="s">
        <v>42</v>
      </c>
      <c r="G572" s="77" t="n">
        <v>5</v>
      </c>
      <c r="H572" s="77" t="n">
        <v>0</v>
      </c>
      <c r="I572" s="76" t="n">
        <f aca="false">IF(AND(ISNUMBER(G572),ISNUMBER(H572)),MAX(G572-H572,0),"")</f>
        <v>5</v>
      </c>
      <c r="J572" s="78" t="n">
        <f aca="false">IF(AND(ISNUMBER(G572),ISNUMBER(H572)),IF(G572&gt;0,H572/G572,""),"")</f>
        <v>0</v>
      </c>
      <c r="K572" s="77"/>
      <c r="L572" s="76" t="str">
        <f aca="false">IF(OR(G572="",H572=""),"Data tidak lengkap",IF(AND(G572=0,H572=0),IF(AND(F572="",K572=""),"Tidak dibuka","Tutup"),IF(H572&gt;G572,"Lebih kapasitas",IF(H572=G572,"Penuh",IF(H572=0,IF(F572="","Slot kosong","Belum terisi"),"Sebagian")))))</f>
        <v>Belum terisi</v>
      </c>
      <c r="M572" s="79" t="str">
        <f aca="false">IF(L572="Tidak dibuka","–",IF(F572="","(tanpa age group)",F572)&amp;"  "&amp;IF(H572="","?",H572)&amp;"/"&amp;IF(G572="","?",G572)&amp;CHAR(10)&amp;IF(K572="","coach: –","coach: "&amp;K572))</f>
        <v>Tiny  0/5
coach: –</v>
      </c>
    </row>
    <row r="573" customFormat="false" ht="22.35" hidden="false" customHeight="false" outlineLevel="0" collapsed="false">
      <c r="A573" s="76" t="str">
        <f aca="false">B573&amp;"|"&amp;C573&amp;"|"&amp;D573&amp;"|"&amp;E573</f>
        <v>KWC|2|Sabtu|14:00</v>
      </c>
      <c r="B573" s="76" t="s">
        <v>63</v>
      </c>
      <c r="C573" s="76" t="n">
        <v>2</v>
      </c>
      <c r="D573" s="76" t="s">
        <v>95</v>
      </c>
      <c r="E573" s="76" t="s">
        <v>117</v>
      </c>
      <c r="F573" s="77" t="s">
        <v>42</v>
      </c>
      <c r="G573" s="77" t="n">
        <v>5</v>
      </c>
      <c r="H573" s="77" t="n">
        <v>0</v>
      </c>
      <c r="I573" s="76" t="n">
        <f aca="false">IF(AND(ISNUMBER(G573),ISNUMBER(H573)),MAX(G573-H573,0),"")</f>
        <v>5</v>
      </c>
      <c r="J573" s="78" t="n">
        <f aca="false">IF(AND(ISNUMBER(G573),ISNUMBER(H573)),IF(G573&gt;0,H573/G573,""),"")</f>
        <v>0</v>
      </c>
      <c r="K573" s="77" t="s">
        <v>274</v>
      </c>
      <c r="L573" s="76" t="str">
        <f aca="false">IF(OR(G573="",H573=""),"Data tidak lengkap",IF(AND(G573=0,H573=0),IF(AND(F573="",K573=""),"Tidak dibuka","Tutup"),IF(H573&gt;G573,"Lebih kapasitas",IF(H573=G573,"Penuh",IF(H573=0,IF(F573="","Slot kosong","Belum terisi"),"Sebagian")))))</f>
        <v>Belum terisi</v>
      </c>
      <c r="M573" s="79" t="str">
        <f aca="false">IF(L573="Tidak dibuka","–",IF(F573="","(tanpa age group)",F573)&amp;"  "&amp;IF(H573="","?",H573)&amp;"/"&amp;IF(G573="","?",G573)&amp;CHAR(10)&amp;IF(K573="","coach: –","coach: "&amp;K573))</f>
        <v>Tiny  0/5
coach: Eve</v>
      </c>
    </row>
    <row r="574" customFormat="false" ht="22.35" hidden="false" customHeight="false" outlineLevel="0" collapsed="false">
      <c r="A574" s="76" t="str">
        <f aca="false">B574&amp;"|"&amp;C574&amp;"|"&amp;D574&amp;"|"&amp;E574</f>
        <v>KWC|2|Sabtu|14:45</v>
      </c>
      <c r="B574" s="76" t="s">
        <v>63</v>
      </c>
      <c r="C574" s="76" t="n">
        <v>2</v>
      </c>
      <c r="D574" s="76" t="s">
        <v>95</v>
      </c>
      <c r="E574" s="76" t="s">
        <v>118</v>
      </c>
      <c r="F574" s="77" t="s">
        <v>42</v>
      </c>
      <c r="G574" s="77" t="n">
        <v>5</v>
      </c>
      <c r="H574" s="77" t="n">
        <v>3</v>
      </c>
      <c r="I574" s="76" t="n">
        <f aca="false">IF(AND(ISNUMBER(G574),ISNUMBER(H574)),MAX(G574-H574,0),"")</f>
        <v>2</v>
      </c>
      <c r="J574" s="78" t="n">
        <f aca="false">IF(AND(ISNUMBER(G574),ISNUMBER(H574)),IF(G574&gt;0,H574/G574,""),"")</f>
        <v>0.6</v>
      </c>
      <c r="K574" s="77" t="s">
        <v>267</v>
      </c>
      <c r="L574" s="76" t="str">
        <f aca="false">IF(OR(G574="",H574=""),"Data tidak lengkap",IF(AND(G574=0,H574=0),IF(AND(F574="",K574=""),"Tidak dibuka","Tutup"),IF(H574&gt;G574,"Lebih kapasitas",IF(H574=G574,"Penuh",IF(H574=0,IF(F574="","Slot kosong","Belum terisi"),"Sebagian")))))</f>
        <v>Sebagian</v>
      </c>
      <c r="M574" s="79" t="str">
        <f aca="false">IF(L574="Tidak dibuka","–",IF(F574="","(tanpa age group)",F574)&amp;"  "&amp;IF(H574="","?",H574)&amp;"/"&amp;IF(G574="","?",G574)&amp;CHAR(10)&amp;IF(K574="","coach: –","coach: "&amp;K574))</f>
        <v>Tiny  3/5
coach: Deyon</v>
      </c>
    </row>
    <row r="575" customFormat="false" ht="22.35" hidden="false" customHeight="false" outlineLevel="0" collapsed="false">
      <c r="A575" s="76" t="str">
        <f aca="false">B575&amp;"|"&amp;C575&amp;"|"&amp;D575&amp;"|"&amp;E575</f>
        <v>KWC|2|Sabtu|15:30</v>
      </c>
      <c r="B575" s="76" t="s">
        <v>63</v>
      </c>
      <c r="C575" s="76" t="n">
        <v>2</v>
      </c>
      <c r="D575" s="76" t="s">
        <v>95</v>
      </c>
      <c r="E575" s="76" t="s">
        <v>119</v>
      </c>
      <c r="F575" s="77" t="s">
        <v>42</v>
      </c>
      <c r="G575" s="77" t="n">
        <v>5</v>
      </c>
      <c r="H575" s="77" t="n">
        <v>2</v>
      </c>
      <c r="I575" s="76" t="n">
        <f aca="false">IF(AND(ISNUMBER(G575),ISNUMBER(H575)),MAX(G575-H575,0),"")</f>
        <v>3</v>
      </c>
      <c r="J575" s="78" t="n">
        <f aca="false">IF(AND(ISNUMBER(G575),ISNUMBER(H575)),IF(G575&gt;0,H575/G575,""),"")</f>
        <v>0.4</v>
      </c>
      <c r="K575" s="77" t="s">
        <v>268</v>
      </c>
      <c r="L575" s="76" t="str">
        <f aca="false">IF(OR(G575="",H575=""),"Data tidak lengkap",IF(AND(G575=0,H575=0),IF(AND(F575="",K575=""),"Tidak dibuka","Tutup"),IF(H575&gt;G575,"Lebih kapasitas",IF(H575=G575,"Penuh",IF(H575=0,IF(F575="","Slot kosong","Belum terisi"),"Sebagian")))))</f>
        <v>Sebagian</v>
      </c>
      <c r="M575" s="79" t="str">
        <f aca="false">IF(L575="Tidak dibuka","–",IF(F575="","(tanpa age group)",F575)&amp;"  "&amp;IF(H575="","?",H575)&amp;"/"&amp;IF(G575="","?",G575)&amp;CHAR(10)&amp;IF(K575="","coach: –","coach: "&amp;K575))</f>
        <v>Tiny  2/5
coach: Andreas</v>
      </c>
    </row>
    <row r="576" customFormat="false" ht="22.35" hidden="false" customHeight="false" outlineLevel="0" collapsed="false">
      <c r="A576" s="76" t="str">
        <f aca="false">B576&amp;"|"&amp;C576&amp;"|"&amp;D576&amp;"|"&amp;E576</f>
        <v>KWC|2|Sabtu|16:15</v>
      </c>
      <c r="B576" s="76" t="s">
        <v>63</v>
      </c>
      <c r="C576" s="76" t="n">
        <v>2</v>
      </c>
      <c r="D576" s="76" t="s">
        <v>95</v>
      </c>
      <c r="E576" s="76" t="s">
        <v>120</v>
      </c>
      <c r="F576" s="77" t="s">
        <v>42</v>
      </c>
      <c r="G576" s="77" t="n">
        <v>5</v>
      </c>
      <c r="H576" s="77" t="n">
        <v>3</v>
      </c>
      <c r="I576" s="76" t="n">
        <f aca="false">IF(AND(ISNUMBER(G576),ISNUMBER(H576)),MAX(G576-H576,0),"")</f>
        <v>2</v>
      </c>
      <c r="J576" s="78" t="n">
        <f aca="false">IF(AND(ISNUMBER(G576),ISNUMBER(H576)),IF(G576&gt;0,H576/G576,""),"")</f>
        <v>0.6</v>
      </c>
      <c r="K576" s="77" t="s">
        <v>271</v>
      </c>
      <c r="L576" s="76" t="str">
        <f aca="false">IF(OR(G576="",H576=""),"Data tidak lengkap",IF(AND(G576=0,H576=0),IF(AND(F576="",K576=""),"Tidak dibuka","Tutup"),IF(H576&gt;G576,"Lebih kapasitas",IF(H576=G576,"Penuh",IF(H576=0,IF(F576="","Slot kosong","Belum terisi"),"Sebagian")))))</f>
        <v>Sebagian</v>
      </c>
      <c r="M576" s="79" t="str">
        <f aca="false">IF(L576="Tidak dibuka","–",IF(F576="","(tanpa age group)",F576)&amp;"  "&amp;IF(H576="","?",H576)&amp;"/"&amp;IF(G576="","?",G576)&amp;CHAR(10)&amp;IF(K576="","coach: –","coach: "&amp;K576))</f>
        <v>Tiny  3/5
coach: Icis</v>
      </c>
    </row>
    <row r="577" customFormat="false" ht="22.35" hidden="false" customHeight="false" outlineLevel="0" collapsed="false">
      <c r="A577" s="76" t="str">
        <f aca="false">B577&amp;"|"&amp;C577&amp;"|"&amp;D577&amp;"|"&amp;E577</f>
        <v>KWC|2|Sabtu|17:00</v>
      </c>
      <c r="B577" s="76" t="s">
        <v>63</v>
      </c>
      <c r="C577" s="76" t="n">
        <v>2</v>
      </c>
      <c r="D577" s="76" t="s">
        <v>95</v>
      </c>
      <c r="E577" s="76" t="s">
        <v>121</v>
      </c>
      <c r="F577" s="77" t="s">
        <v>42</v>
      </c>
      <c r="G577" s="77" t="n">
        <v>5</v>
      </c>
      <c r="H577" s="77" t="n">
        <v>2</v>
      </c>
      <c r="I577" s="76" t="n">
        <f aca="false">IF(AND(ISNUMBER(G577),ISNUMBER(H577)),MAX(G577-H577,0),"")</f>
        <v>3</v>
      </c>
      <c r="J577" s="78" t="n">
        <f aca="false">IF(AND(ISNUMBER(G577),ISNUMBER(H577)),IF(G577&gt;0,H577/G577,""),"")</f>
        <v>0.4</v>
      </c>
      <c r="K577" s="77" t="s">
        <v>269</v>
      </c>
      <c r="L577" s="76" t="str">
        <f aca="false">IF(OR(G577="",H577=""),"Data tidak lengkap",IF(AND(G577=0,H577=0),IF(AND(F577="",K577=""),"Tidak dibuka","Tutup"),IF(H577&gt;G577,"Lebih kapasitas",IF(H577=G577,"Penuh",IF(H577=0,IF(F577="","Slot kosong","Belum terisi"),"Sebagian")))))</f>
        <v>Sebagian</v>
      </c>
      <c r="M577" s="79" t="str">
        <f aca="false">IF(L577="Tidak dibuka","–",IF(F577="","(tanpa age group)",F577)&amp;"  "&amp;IF(H577="","?",H577)&amp;"/"&amp;IF(G577="","?",G577)&amp;CHAR(10)&amp;IF(K577="","coach: –","coach: "&amp;K577))</f>
        <v>Tiny  2/5
coach: Nabila</v>
      </c>
    </row>
    <row r="578" customFormat="false" ht="22.35" hidden="false" customHeight="false" outlineLevel="0" collapsed="false">
      <c r="A578" s="76" t="str">
        <f aca="false">B578&amp;"|"&amp;C578&amp;"|"&amp;D578&amp;"|"&amp;E578</f>
        <v>KWC|2|Minggu|08:00</v>
      </c>
      <c r="B578" s="76" t="s">
        <v>63</v>
      </c>
      <c r="C578" s="76" t="n">
        <v>2</v>
      </c>
      <c r="D578" s="76" t="s">
        <v>78</v>
      </c>
      <c r="E578" s="76" t="s">
        <v>110</v>
      </c>
      <c r="F578" s="77" t="s">
        <v>42</v>
      </c>
      <c r="G578" s="77" t="n">
        <v>0</v>
      </c>
      <c r="H578" s="77" t="n">
        <v>0</v>
      </c>
      <c r="I578" s="76" t="n">
        <f aca="false">IF(AND(ISNUMBER(G578),ISNUMBER(H578)),MAX(G578-H578,0),"")</f>
        <v>0</v>
      </c>
      <c r="J578" s="78" t="str">
        <f aca="false">IF(AND(ISNUMBER(G578),ISNUMBER(H578)),IF(G578&gt;0,H578/G578,""),"")</f>
        <v/>
      </c>
      <c r="K578" s="77"/>
      <c r="L578" s="76" t="str">
        <f aca="false">IF(OR(G578="",H578=""),"Data tidak lengkap",IF(AND(G578=0,H578=0),IF(AND(F578="",K578=""),"Tidak dibuka","Tutup"),IF(H578&gt;G578,"Lebih kapasitas",IF(H578=G578,"Penuh",IF(H578=0,IF(F578="","Slot kosong","Belum terisi"),"Sebagian")))))</f>
        <v>Tutup</v>
      </c>
      <c r="M578" s="79" t="str">
        <f aca="false">IF(L578="Tidak dibuka","–",IF(F578="","(tanpa age group)",F578)&amp;"  "&amp;IF(H578="","?",H578)&amp;"/"&amp;IF(G578="","?",G578)&amp;CHAR(10)&amp;IF(K578="","coach: –","coach: "&amp;K578))</f>
        <v>Tiny  0/0
coach: –</v>
      </c>
    </row>
    <row r="579" customFormat="false" ht="22.35" hidden="false" customHeight="false" outlineLevel="0" collapsed="false">
      <c r="A579" s="76" t="str">
        <f aca="false">B579&amp;"|"&amp;C579&amp;"|"&amp;D579&amp;"|"&amp;E579</f>
        <v>KWC|2|Minggu|08:45</v>
      </c>
      <c r="B579" s="76" t="s">
        <v>63</v>
      </c>
      <c r="C579" s="76" t="n">
        <v>2</v>
      </c>
      <c r="D579" s="76" t="s">
        <v>78</v>
      </c>
      <c r="E579" s="76" t="s">
        <v>111</v>
      </c>
      <c r="F579" s="77" t="s">
        <v>42</v>
      </c>
      <c r="G579" s="77" t="n">
        <v>5</v>
      </c>
      <c r="H579" s="77" t="n">
        <v>5</v>
      </c>
      <c r="I579" s="76" t="n">
        <f aca="false">IF(AND(ISNUMBER(G579),ISNUMBER(H579)),MAX(G579-H579,0),"")</f>
        <v>0</v>
      </c>
      <c r="J579" s="78" t="n">
        <f aca="false">IF(AND(ISNUMBER(G579),ISNUMBER(H579)),IF(G579&gt;0,H579/G579,""),"")</f>
        <v>1</v>
      </c>
      <c r="K579" s="77" t="s">
        <v>271</v>
      </c>
      <c r="L579" s="76" t="str">
        <f aca="false">IF(OR(G579="",H579=""),"Data tidak lengkap",IF(AND(G579=0,H579=0),IF(AND(F579="",K579=""),"Tidak dibuka","Tutup"),IF(H579&gt;G579,"Lebih kapasitas",IF(H579=G579,"Penuh",IF(H579=0,IF(F579="","Slot kosong","Belum terisi"),"Sebagian")))))</f>
        <v>Penuh</v>
      </c>
      <c r="M579" s="79" t="str">
        <f aca="false">IF(L579="Tidak dibuka","–",IF(F579="","(tanpa age group)",F579)&amp;"  "&amp;IF(H579="","?",H579)&amp;"/"&amp;IF(G579="","?",G579)&amp;CHAR(10)&amp;IF(K579="","coach: –","coach: "&amp;K579))</f>
        <v>Tiny  5/5
coach: Icis</v>
      </c>
    </row>
    <row r="580" customFormat="false" ht="22.35" hidden="false" customHeight="false" outlineLevel="0" collapsed="false">
      <c r="A580" s="76" t="str">
        <f aca="false">B580&amp;"|"&amp;C580&amp;"|"&amp;D580&amp;"|"&amp;E580</f>
        <v>KWC|2|Minggu|09:30</v>
      </c>
      <c r="B580" s="76" t="s">
        <v>63</v>
      </c>
      <c r="C580" s="76" t="n">
        <v>2</v>
      </c>
      <c r="D580" s="76" t="s">
        <v>78</v>
      </c>
      <c r="E580" s="76" t="s">
        <v>112</v>
      </c>
      <c r="F580" s="77" t="s">
        <v>42</v>
      </c>
      <c r="G580" s="77" t="n">
        <v>5</v>
      </c>
      <c r="H580" s="77" t="n">
        <v>3</v>
      </c>
      <c r="I580" s="76" t="n">
        <f aca="false">IF(AND(ISNUMBER(G580),ISNUMBER(H580)),MAX(G580-H580,0),"")</f>
        <v>2</v>
      </c>
      <c r="J580" s="78" t="n">
        <f aca="false">IF(AND(ISNUMBER(G580),ISNUMBER(H580)),IF(G580&gt;0,H580/G580,""),"")</f>
        <v>0.6</v>
      </c>
      <c r="K580" s="77" t="s">
        <v>271</v>
      </c>
      <c r="L580" s="76" t="str">
        <f aca="false">IF(OR(G580="",H580=""),"Data tidak lengkap",IF(AND(G580=0,H580=0),IF(AND(F580="",K580=""),"Tidak dibuka","Tutup"),IF(H580&gt;G580,"Lebih kapasitas",IF(H580=G580,"Penuh",IF(H580=0,IF(F580="","Slot kosong","Belum terisi"),"Sebagian")))))</f>
        <v>Sebagian</v>
      </c>
      <c r="M580" s="79" t="str">
        <f aca="false">IF(L580="Tidak dibuka","–",IF(F580="","(tanpa age group)",F580)&amp;"  "&amp;IF(H580="","?",H580)&amp;"/"&amp;IF(G580="","?",G580)&amp;CHAR(10)&amp;IF(K580="","coach: –","coach: "&amp;K580))</f>
        <v>Tiny  3/5
coach: Icis</v>
      </c>
    </row>
    <row r="581" customFormat="false" ht="22.35" hidden="false" customHeight="false" outlineLevel="0" collapsed="false">
      <c r="A581" s="76" t="str">
        <f aca="false">B581&amp;"|"&amp;C581&amp;"|"&amp;D581&amp;"|"&amp;E581</f>
        <v>KWC|2|Minggu|10:15</v>
      </c>
      <c r="B581" s="76" t="s">
        <v>63</v>
      </c>
      <c r="C581" s="76" t="n">
        <v>2</v>
      </c>
      <c r="D581" s="76" t="s">
        <v>78</v>
      </c>
      <c r="E581" s="76" t="s">
        <v>113</v>
      </c>
      <c r="F581" s="77" t="s">
        <v>42</v>
      </c>
      <c r="G581" s="77" t="n">
        <v>5</v>
      </c>
      <c r="H581" s="77" t="n">
        <v>2</v>
      </c>
      <c r="I581" s="76" t="n">
        <f aca="false">IF(AND(ISNUMBER(G581),ISNUMBER(H581)),MAX(G581-H581,0),"")</f>
        <v>3</v>
      </c>
      <c r="J581" s="78" t="n">
        <f aca="false">IF(AND(ISNUMBER(G581),ISNUMBER(H581)),IF(G581&gt;0,H581/G581,""),"")</f>
        <v>0.4</v>
      </c>
      <c r="K581" s="77" t="s">
        <v>274</v>
      </c>
      <c r="L581" s="76" t="str">
        <f aca="false">IF(OR(G581="",H581=""),"Data tidak lengkap",IF(AND(G581=0,H581=0),IF(AND(F581="",K581=""),"Tidak dibuka","Tutup"),IF(H581&gt;G581,"Lebih kapasitas",IF(H581=G581,"Penuh",IF(H581=0,IF(F581="","Slot kosong","Belum terisi"),"Sebagian")))))</f>
        <v>Sebagian</v>
      </c>
      <c r="M581" s="79" t="str">
        <f aca="false">IF(L581="Tidak dibuka","–",IF(F581="","(tanpa age group)",F581)&amp;"  "&amp;IF(H581="","?",H581)&amp;"/"&amp;IF(G581="","?",G581)&amp;CHAR(10)&amp;IF(K581="","coach: –","coach: "&amp;K581))</f>
        <v>Tiny  2/5
coach: Eve</v>
      </c>
    </row>
    <row r="582" customFormat="false" ht="22.35" hidden="false" customHeight="false" outlineLevel="0" collapsed="false">
      <c r="A582" s="76" t="str">
        <f aca="false">B582&amp;"|"&amp;C582&amp;"|"&amp;D582&amp;"|"&amp;E582</f>
        <v>KWC|2|Minggu|11:00</v>
      </c>
      <c r="B582" s="76" t="s">
        <v>63</v>
      </c>
      <c r="C582" s="76" t="n">
        <v>2</v>
      </c>
      <c r="D582" s="76" t="s">
        <v>78</v>
      </c>
      <c r="E582" s="76" t="s">
        <v>114</v>
      </c>
      <c r="F582" s="77" t="s">
        <v>42</v>
      </c>
      <c r="G582" s="77" t="n">
        <v>5</v>
      </c>
      <c r="H582" s="77" t="n">
        <v>3</v>
      </c>
      <c r="I582" s="76" t="n">
        <f aca="false">IF(AND(ISNUMBER(G582),ISNUMBER(H582)),MAX(G582-H582,0),"")</f>
        <v>2</v>
      </c>
      <c r="J582" s="78" t="n">
        <f aca="false">IF(AND(ISNUMBER(G582),ISNUMBER(H582)),IF(G582&gt;0,H582/G582,""),"")</f>
        <v>0.6</v>
      </c>
      <c r="K582" s="77" t="s">
        <v>274</v>
      </c>
      <c r="L582" s="76" t="str">
        <f aca="false">IF(OR(G582="",H582=""),"Data tidak lengkap",IF(AND(G582=0,H582=0),IF(AND(F582="",K582=""),"Tidak dibuka","Tutup"),IF(H582&gt;G582,"Lebih kapasitas",IF(H582=G582,"Penuh",IF(H582=0,IF(F582="","Slot kosong","Belum terisi"),"Sebagian")))))</f>
        <v>Sebagian</v>
      </c>
      <c r="M582" s="79" t="str">
        <f aca="false">IF(L582="Tidak dibuka","–",IF(F582="","(tanpa age group)",F582)&amp;"  "&amp;IF(H582="","?",H582)&amp;"/"&amp;IF(G582="","?",G582)&amp;CHAR(10)&amp;IF(K582="","coach: –","coach: "&amp;K582))</f>
        <v>Tiny  3/5
coach: Eve</v>
      </c>
    </row>
    <row r="583" customFormat="false" ht="22.35" hidden="false" customHeight="false" outlineLevel="0" collapsed="false">
      <c r="A583" s="76" t="str">
        <f aca="false">B583&amp;"|"&amp;C583&amp;"|"&amp;D583&amp;"|"&amp;E583</f>
        <v>KWC|2|Minggu|11:45</v>
      </c>
      <c r="B583" s="76" t="s">
        <v>63</v>
      </c>
      <c r="C583" s="76" t="n">
        <v>2</v>
      </c>
      <c r="D583" s="76" t="s">
        <v>78</v>
      </c>
      <c r="E583" s="76" t="s">
        <v>115</v>
      </c>
      <c r="F583" s="77" t="s">
        <v>42</v>
      </c>
      <c r="G583" s="77" t="n">
        <v>5</v>
      </c>
      <c r="H583" s="77" t="n">
        <v>0</v>
      </c>
      <c r="I583" s="76" t="n">
        <f aca="false">IF(AND(ISNUMBER(G583),ISNUMBER(H583)),MAX(G583-H583,0),"")</f>
        <v>5</v>
      </c>
      <c r="J583" s="78" t="n">
        <f aca="false">IF(AND(ISNUMBER(G583),ISNUMBER(H583)),IF(G583&gt;0,H583/G583,""),"")</f>
        <v>0</v>
      </c>
      <c r="K583" s="77"/>
      <c r="L583" s="76" t="str">
        <f aca="false">IF(OR(G583="",H583=""),"Data tidak lengkap",IF(AND(G583=0,H583=0),IF(AND(F583="",K583=""),"Tidak dibuka","Tutup"),IF(H583&gt;G583,"Lebih kapasitas",IF(H583=G583,"Penuh",IF(H583=0,IF(F583="","Slot kosong","Belum terisi"),"Sebagian")))))</f>
        <v>Belum terisi</v>
      </c>
      <c r="M583" s="79" t="str">
        <f aca="false">IF(L583="Tidak dibuka","–",IF(F583="","(tanpa age group)",F583)&amp;"  "&amp;IF(H583="","?",H583)&amp;"/"&amp;IF(G583="","?",G583)&amp;CHAR(10)&amp;IF(K583="","coach: –","coach: "&amp;K583))</f>
        <v>Tiny  0/5
coach: –</v>
      </c>
    </row>
    <row r="584" customFormat="false" ht="22.35" hidden="false" customHeight="false" outlineLevel="0" collapsed="false">
      <c r="A584" s="76" t="str">
        <f aca="false">B584&amp;"|"&amp;C584&amp;"|"&amp;D584&amp;"|"&amp;E584</f>
        <v>KWC|2|Minggu|13:15</v>
      </c>
      <c r="B584" s="76" t="s">
        <v>63</v>
      </c>
      <c r="C584" s="76" t="n">
        <v>2</v>
      </c>
      <c r="D584" s="76" t="s">
        <v>78</v>
      </c>
      <c r="E584" s="76" t="s">
        <v>116</v>
      </c>
      <c r="F584" s="77" t="s">
        <v>42</v>
      </c>
      <c r="G584" s="77" t="n">
        <v>5</v>
      </c>
      <c r="H584" s="77" t="n">
        <v>0</v>
      </c>
      <c r="I584" s="76" t="n">
        <f aca="false">IF(AND(ISNUMBER(G584),ISNUMBER(H584)),MAX(G584-H584,0),"")</f>
        <v>5</v>
      </c>
      <c r="J584" s="78" t="n">
        <f aca="false">IF(AND(ISNUMBER(G584),ISNUMBER(H584)),IF(G584&gt;0,H584/G584,""),"")</f>
        <v>0</v>
      </c>
      <c r="K584" s="77"/>
      <c r="L584" s="76" t="str">
        <f aca="false">IF(OR(G584="",H584=""),"Data tidak lengkap",IF(AND(G584=0,H584=0),IF(AND(F584="",K584=""),"Tidak dibuka","Tutup"),IF(H584&gt;G584,"Lebih kapasitas",IF(H584=G584,"Penuh",IF(H584=0,IF(F584="","Slot kosong","Belum terisi"),"Sebagian")))))</f>
        <v>Belum terisi</v>
      </c>
      <c r="M584" s="79" t="str">
        <f aca="false">IF(L584="Tidak dibuka","–",IF(F584="","(tanpa age group)",F584)&amp;"  "&amp;IF(H584="","?",H584)&amp;"/"&amp;IF(G584="","?",G584)&amp;CHAR(10)&amp;IF(K584="","coach: –","coach: "&amp;K584))</f>
        <v>Tiny  0/5
coach: –</v>
      </c>
    </row>
    <row r="585" customFormat="false" ht="22.35" hidden="false" customHeight="false" outlineLevel="0" collapsed="false">
      <c r="A585" s="76" t="str">
        <f aca="false">B585&amp;"|"&amp;C585&amp;"|"&amp;D585&amp;"|"&amp;E585</f>
        <v>KWC|2|Minggu|14:00</v>
      </c>
      <c r="B585" s="76" t="s">
        <v>63</v>
      </c>
      <c r="C585" s="76" t="n">
        <v>2</v>
      </c>
      <c r="D585" s="76" t="s">
        <v>78</v>
      </c>
      <c r="E585" s="76" t="s">
        <v>117</v>
      </c>
      <c r="F585" s="77" t="s">
        <v>42</v>
      </c>
      <c r="G585" s="77" t="n">
        <v>5</v>
      </c>
      <c r="H585" s="77" t="n">
        <v>0</v>
      </c>
      <c r="I585" s="76" t="n">
        <f aca="false">IF(AND(ISNUMBER(G585),ISNUMBER(H585)),MAX(G585-H585,0),"")</f>
        <v>5</v>
      </c>
      <c r="J585" s="78" t="n">
        <f aca="false">IF(AND(ISNUMBER(G585),ISNUMBER(H585)),IF(G585&gt;0,H585/G585,""),"")</f>
        <v>0</v>
      </c>
      <c r="K585" s="77"/>
      <c r="L585" s="76" t="str">
        <f aca="false">IF(OR(G585="",H585=""),"Data tidak lengkap",IF(AND(G585=0,H585=0),IF(AND(F585="",K585=""),"Tidak dibuka","Tutup"),IF(H585&gt;G585,"Lebih kapasitas",IF(H585=G585,"Penuh",IF(H585=0,IF(F585="","Slot kosong","Belum terisi"),"Sebagian")))))</f>
        <v>Belum terisi</v>
      </c>
      <c r="M585" s="79" t="str">
        <f aca="false">IF(L585="Tidak dibuka","–",IF(F585="","(tanpa age group)",F585)&amp;"  "&amp;IF(H585="","?",H585)&amp;"/"&amp;IF(G585="","?",G585)&amp;CHAR(10)&amp;IF(K585="","coach: –","coach: "&amp;K585))</f>
        <v>Tiny  0/5
coach: –</v>
      </c>
    </row>
    <row r="586" customFormat="false" ht="22.35" hidden="false" customHeight="false" outlineLevel="0" collapsed="false">
      <c r="A586" s="76" t="str">
        <f aca="false">B586&amp;"|"&amp;C586&amp;"|"&amp;D586&amp;"|"&amp;E586</f>
        <v>KWC|2|Minggu|14:45</v>
      </c>
      <c r="B586" s="76" t="s">
        <v>63</v>
      </c>
      <c r="C586" s="76" t="n">
        <v>2</v>
      </c>
      <c r="D586" s="76" t="s">
        <v>78</v>
      </c>
      <c r="E586" s="76" t="s">
        <v>118</v>
      </c>
      <c r="F586" s="77" t="s">
        <v>42</v>
      </c>
      <c r="G586" s="77" t="n">
        <v>5</v>
      </c>
      <c r="H586" s="77" t="n">
        <v>0</v>
      </c>
      <c r="I586" s="76" t="n">
        <f aca="false">IF(AND(ISNUMBER(G586),ISNUMBER(H586)),MAX(G586-H586,0),"")</f>
        <v>5</v>
      </c>
      <c r="J586" s="78" t="n">
        <f aca="false">IF(AND(ISNUMBER(G586),ISNUMBER(H586)),IF(G586&gt;0,H586/G586,""),"")</f>
        <v>0</v>
      </c>
      <c r="K586" s="77"/>
      <c r="L586" s="76" t="str">
        <f aca="false">IF(OR(G586="",H586=""),"Data tidak lengkap",IF(AND(G586=0,H586=0),IF(AND(F586="",K586=""),"Tidak dibuka","Tutup"),IF(H586&gt;G586,"Lebih kapasitas",IF(H586=G586,"Penuh",IF(H586=0,IF(F586="","Slot kosong","Belum terisi"),"Sebagian")))))</f>
        <v>Belum terisi</v>
      </c>
      <c r="M586" s="79" t="str">
        <f aca="false">IF(L586="Tidak dibuka","–",IF(F586="","(tanpa age group)",F586)&amp;"  "&amp;IF(H586="","?",H586)&amp;"/"&amp;IF(G586="","?",G586)&amp;CHAR(10)&amp;IF(K586="","coach: –","coach: "&amp;K586))</f>
        <v>Tiny  0/5
coach: –</v>
      </c>
    </row>
    <row r="587" customFormat="false" ht="22.35" hidden="false" customHeight="false" outlineLevel="0" collapsed="false">
      <c r="A587" s="76" t="str">
        <f aca="false">B587&amp;"|"&amp;C587&amp;"|"&amp;D587&amp;"|"&amp;E587</f>
        <v>KWC|2|Minggu|15:30</v>
      </c>
      <c r="B587" s="76" t="s">
        <v>63</v>
      </c>
      <c r="C587" s="76" t="n">
        <v>2</v>
      </c>
      <c r="D587" s="76" t="s">
        <v>78</v>
      </c>
      <c r="E587" s="76" t="s">
        <v>119</v>
      </c>
      <c r="F587" s="77" t="s">
        <v>42</v>
      </c>
      <c r="G587" s="77" t="n">
        <v>5</v>
      </c>
      <c r="H587" s="77" t="n">
        <v>4</v>
      </c>
      <c r="I587" s="76" t="n">
        <f aca="false">IF(AND(ISNUMBER(G587),ISNUMBER(H587)),MAX(G587-H587,0),"")</f>
        <v>1</v>
      </c>
      <c r="J587" s="78" t="n">
        <f aca="false">IF(AND(ISNUMBER(G587),ISNUMBER(H587)),IF(G587&gt;0,H587/G587,""),"")</f>
        <v>0.8</v>
      </c>
      <c r="K587" s="77" t="s">
        <v>270</v>
      </c>
      <c r="L587" s="76" t="str">
        <f aca="false">IF(OR(G587="",H587=""),"Data tidak lengkap",IF(AND(G587=0,H587=0),IF(AND(F587="",K587=""),"Tidak dibuka","Tutup"),IF(H587&gt;G587,"Lebih kapasitas",IF(H587=G587,"Penuh",IF(H587=0,IF(F587="","Slot kosong","Belum terisi"),"Sebagian")))))</f>
        <v>Sebagian</v>
      </c>
      <c r="M587" s="79" t="str">
        <f aca="false">IF(L587="Tidak dibuka","–",IF(F587="","(tanpa age group)",F587)&amp;"  "&amp;IF(H587="","?",H587)&amp;"/"&amp;IF(G587="","?",G587)&amp;CHAR(10)&amp;IF(K587="","coach: –","coach: "&amp;K587))</f>
        <v>Tiny  4/5
coach: Sri</v>
      </c>
    </row>
    <row r="588" customFormat="false" ht="22.35" hidden="false" customHeight="false" outlineLevel="0" collapsed="false">
      <c r="A588" s="76" t="str">
        <f aca="false">B588&amp;"|"&amp;C588&amp;"|"&amp;D588&amp;"|"&amp;E588</f>
        <v>KWC|2|Minggu|16:15</v>
      </c>
      <c r="B588" s="76" t="s">
        <v>63</v>
      </c>
      <c r="C588" s="76" t="n">
        <v>2</v>
      </c>
      <c r="D588" s="76" t="s">
        <v>78</v>
      </c>
      <c r="E588" s="76" t="s">
        <v>120</v>
      </c>
      <c r="F588" s="77" t="s">
        <v>42</v>
      </c>
      <c r="G588" s="77" t="n">
        <v>5</v>
      </c>
      <c r="H588" s="77" t="n">
        <v>3</v>
      </c>
      <c r="I588" s="76" t="n">
        <f aca="false">IF(AND(ISNUMBER(G588),ISNUMBER(H588)),MAX(G588-H588,0),"")</f>
        <v>2</v>
      </c>
      <c r="J588" s="78" t="n">
        <f aca="false">IF(AND(ISNUMBER(G588),ISNUMBER(H588)),IF(G588&gt;0,H588/G588,""),"")</f>
        <v>0.6</v>
      </c>
      <c r="K588" s="77" t="s">
        <v>267</v>
      </c>
      <c r="L588" s="76" t="str">
        <f aca="false">IF(OR(G588="",H588=""),"Data tidak lengkap",IF(AND(G588=0,H588=0),IF(AND(F588="",K588=""),"Tidak dibuka","Tutup"),IF(H588&gt;G588,"Lebih kapasitas",IF(H588=G588,"Penuh",IF(H588=0,IF(F588="","Slot kosong","Belum terisi"),"Sebagian")))))</f>
        <v>Sebagian</v>
      </c>
      <c r="M588" s="79" t="str">
        <f aca="false">IF(L588="Tidak dibuka","–",IF(F588="","(tanpa age group)",F588)&amp;"  "&amp;IF(H588="","?",H588)&amp;"/"&amp;IF(G588="","?",G588)&amp;CHAR(10)&amp;IF(K588="","coach: –","coach: "&amp;K588))</f>
        <v>Tiny  3/5
coach: Deyon</v>
      </c>
    </row>
    <row r="589" customFormat="false" ht="22.35" hidden="false" customHeight="false" outlineLevel="0" collapsed="false">
      <c r="A589" s="76" t="str">
        <f aca="false">B589&amp;"|"&amp;C589&amp;"|"&amp;D589&amp;"|"&amp;E589</f>
        <v>KWC|2|Minggu|17:00</v>
      </c>
      <c r="B589" s="76" t="s">
        <v>63</v>
      </c>
      <c r="C589" s="76" t="n">
        <v>2</v>
      </c>
      <c r="D589" s="76" t="s">
        <v>78</v>
      </c>
      <c r="E589" s="76" t="s">
        <v>121</v>
      </c>
      <c r="F589" s="77" t="s">
        <v>42</v>
      </c>
      <c r="G589" s="77" t="n">
        <v>5</v>
      </c>
      <c r="H589" s="77" t="n">
        <v>0</v>
      </c>
      <c r="I589" s="76" t="n">
        <f aca="false">IF(AND(ISNUMBER(G589),ISNUMBER(H589)),MAX(G589-H589,0),"")</f>
        <v>5</v>
      </c>
      <c r="J589" s="78" t="n">
        <f aca="false">IF(AND(ISNUMBER(G589),ISNUMBER(H589)),IF(G589&gt;0,H589/G589,""),"")</f>
        <v>0</v>
      </c>
      <c r="K589" s="77"/>
      <c r="L589" s="76" t="str">
        <f aca="false">IF(OR(G589="",H589=""),"Data tidak lengkap",IF(AND(G589=0,H589=0),IF(AND(F589="",K589=""),"Tidak dibuka","Tutup"),IF(H589&gt;G589,"Lebih kapasitas",IF(H589=G589,"Penuh",IF(H589=0,IF(F589="","Slot kosong","Belum terisi"),"Sebagian")))))</f>
        <v>Belum terisi</v>
      </c>
      <c r="M589" s="79" t="str">
        <f aca="false">IF(L589="Tidak dibuka","–",IF(F589="","(tanpa age group)",F589)&amp;"  "&amp;IF(H589="","?",H589)&amp;"/"&amp;IF(G589="","?",G589)&amp;CHAR(10)&amp;IF(K589="","coach: –","coach: "&amp;K589))</f>
        <v>Tiny  0/5
coach: –</v>
      </c>
    </row>
    <row r="590" customFormat="false" ht="22.35" hidden="false" customHeight="false" outlineLevel="0" collapsed="false">
      <c r="A590" s="76" t="str">
        <f aca="false">B590&amp;"|"&amp;C590&amp;"|"&amp;D590&amp;"|"&amp;E590</f>
        <v>KWC|3|Senin|08:15</v>
      </c>
      <c r="B590" s="76" t="s">
        <v>63</v>
      </c>
      <c r="C590" s="76" t="n">
        <v>3</v>
      </c>
      <c r="D590" s="76" t="s">
        <v>90</v>
      </c>
      <c r="E590" s="76" t="s">
        <v>96</v>
      </c>
      <c r="F590" s="77" t="s">
        <v>277</v>
      </c>
      <c r="G590" s="77" t="n">
        <v>0</v>
      </c>
      <c r="H590" s="77" t="n">
        <v>0</v>
      </c>
      <c r="I590" s="76" t="n">
        <f aca="false">IF(AND(ISNUMBER(G590),ISNUMBER(H590)),MAX(G590-H590,0),"")</f>
        <v>0</v>
      </c>
      <c r="J590" s="78" t="str">
        <f aca="false">IF(AND(ISNUMBER(G590),ISNUMBER(H590)),IF(G590&gt;0,H590/G590,""),"")</f>
        <v/>
      </c>
      <c r="K590" s="77"/>
      <c r="L590" s="76" t="str">
        <f aca="false">IF(OR(G590="",H590=""),"Data tidak lengkap",IF(AND(G590=0,H590=0),IF(AND(F590="",K590=""),"Tidak dibuka","Tutup"),IF(H590&gt;G590,"Lebih kapasitas",IF(H590=G590,"Penuh",IF(H590=0,IF(F590="","Slot kosong","Belum terisi"),"Sebagian")))))</f>
        <v>Tutup</v>
      </c>
      <c r="M590" s="79" t="str">
        <f aca="false">IF(L590="Tidak dibuka","–",IF(F590="","(tanpa age group)",F590)&amp;"  "&amp;IF(H590="","?",H590)&amp;"/"&amp;IF(G590="","?",G590)&amp;CHAR(10)&amp;IF(K590="","coach: –","coach: "&amp;K590))</f>
        <v>Little  0/0
coach: –</v>
      </c>
    </row>
    <row r="591" customFormat="false" ht="22.35" hidden="false" customHeight="false" outlineLevel="0" collapsed="false">
      <c r="A591" s="76" t="str">
        <f aca="false">B591&amp;"|"&amp;C591&amp;"|"&amp;D591&amp;"|"&amp;E591</f>
        <v>KWC|3|Senin|09:00</v>
      </c>
      <c r="B591" s="76" t="s">
        <v>63</v>
      </c>
      <c r="C591" s="76" t="n">
        <v>3</v>
      </c>
      <c r="D591" s="76" t="s">
        <v>90</v>
      </c>
      <c r="E591" s="76" t="s">
        <v>97</v>
      </c>
      <c r="F591" s="77" t="s">
        <v>277</v>
      </c>
      <c r="G591" s="77" t="n">
        <v>4</v>
      </c>
      <c r="H591" s="77" t="n">
        <v>0</v>
      </c>
      <c r="I591" s="76" t="n">
        <f aca="false">IF(AND(ISNUMBER(G591),ISNUMBER(H591)),MAX(G591-H591,0),"")</f>
        <v>4</v>
      </c>
      <c r="J591" s="78" t="n">
        <f aca="false">IF(AND(ISNUMBER(G591),ISNUMBER(H591)),IF(G591&gt;0,H591/G591,""),"")</f>
        <v>0</v>
      </c>
      <c r="K591" s="77"/>
      <c r="L591" s="76" t="str">
        <f aca="false">IF(OR(G591="",H591=""),"Data tidak lengkap",IF(AND(G591=0,H591=0),IF(AND(F591="",K591=""),"Tidak dibuka","Tutup"),IF(H591&gt;G591,"Lebih kapasitas",IF(H591=G591,"Penuh",IF(H591=0,IF(F591="","Slot kosong","Belum terisi"),"Sebagian")))))</f>
        <v>Belum terisi</v>
      </c>
      <c r="M591" s="79" t="str">
        <f aca="false">IF(L591="Tidak dibuka","–",IF(F591="","(tanpa age group)",F591)&amp;"  "&amp;IF(H591="","?",H591)&amp;"/"&amp;IF(G591="","?",G591)&amp;CHAR(10)&amp;IF(K591="","coach: –","coach: "&amp;K591))</f>
        <v>Little  0/4
coach: –</v>
      </c>
    </row>
    <row r="592" customFormat="false" ht="22.35" hidden="false" customHeight="false" outlineLevel="0" collapsed="false">
      <c r="A592" s="76" t="str">
        <f aca="false">B592&amp;"|"&amp;C592&amp;"|"&amp;D592&amp;"|"&amp;E592</f>
        <v>KWC|3|Senin|09:45</v>
      </c>
      <c r="B592" s="76" t="s">
        <v>63</v>
      </c>
      <c r="C592" s="76" t="n">
        <v>3</v>
      </c>
      <c r="D592" s="76" t="s">
        <v>90</v>
      </c>
      <c r="E592" s="76" t="s">
        <v>98</v>
      </c>
      <c r="F592" s="77" t="s">
        <v>277</v>
      </c>
      <c r="G592" s="77" t="n">
        <v>4</v>
      </c>
      <c r="H592" s="77" t="n">
        <v>0</v>
      </c>
      <c r="I592" s="76" t="n">
        <f aca="false">IF(AND(ISNUMBER(G592),ISNUMBER(H592)),MAX(G592-H592,0),"")</f>
        <v>4</v>
      </c>
      <c r="J592" s="78" t="n">
        <f aca="false">IF(AND(ISNUMBER(G592),ISNUMBER(H592)),IF(G592&gt;0,H592/G592,""),"")</f>
        <v>0</v>
      </c>
      <c r="K592" s="77"/>
      <c r="L592" s="76" t="str">
        <f aca="false">IF(OR(G592="",H592=""),"Data tidak lengkap",IF(AND(G592=0,H592=0),IF(AND(F592="",K592=""),"Tidak dibuka","Tutup"),IF(H592&gt;G592,"Lebih kapasitas",IF(H592=G592,"Penuh",IF(H592=0,IF(F592="","Slot kosong","Belum terisi"),"Sebagian")))))</f>
        <v>Belum terisi</v>
      </c>
      <c r="M592" s="79" t="str">
        <f aca="false">IF(L592="Tidak dibuka","–",IF(F592="","(tanpa age group)",F592)&amp;"  "&amp;IF(H592="","?",H592)&amp;"/"&amp;IF(G592="","?",G592)&amp;CHAR(10)&amp;IF(K592="","coach: –","coach: "&amp;K592))</f>
        <v>Little  0/4
coach: –</v>
      </c>
    </row>
    <row r="593" customFormat="false" ht="22.35" hidden="false" customHeight="false" outlineLevel="0" collapsed="false">
      <c r="A593" s="76" t="str">
        <f aca="false">B593&amp;"|"&amp;C593&amp;"|"&amp;D593&amp;"|"&amp;E593</f>
        <v>KWC|3|Senin|10:30</v>
      </c>
      <c r="B593" s="76" t="s">
        <v>63</v>
      </c>
      <c r="C593" s="76" t="n">
        <v>3</v>
      </c>
      <c r="D593" s="76" t="s">
        <v>90</v>
      </c>
      <c r="E593" s="76" t="s">
        <v>99</v>
      </c>
      <c r="F593" s="77" t="s">
        <v>277</v>
      </c>
      <c r="G593" s="77" t="n">
        <v>4</v>
      </c>
      <c r="H593" s="77" t="n">
        <v>0</v>
      </c>
      <c r="I593" s="76" t="n">
        <f aca="false">IF(AND(ISNUMBER(G593),ISNUMBER(H593)),MAX(G593-H593,0),"")</f>
        <v>4</v>
      </c>
      <c r="J593" s="78" t="n">
        <f aca="false">IF(AND(ISNUMBER(G593),ISNUMBER(H593)),IF(G593&gt;0,H593/G593,""),"")</f>
        <v>0</v>
      </c>
      <c r="K593" s="77"/>
      <c r="L593" s="76" t="str">
        <f aca="false">IF(OR(G593="",H593=""),"Data tidak lengkap",IF(AND(G593=0,H593=0),IF(AND(F593="",K593=""),"Tidak dibuka","Tutup"),IF(H593&gt;G593,"Lebih kapasitas",IF(H593=G593,"Penuh",IF(H593=0,IF(F593="","Slot kosong","Belum terisi"),"Sebagian")))))</f>
        <v>Belum terisi</v>
      </c>
      <c r="M593" s="79" t="str">
        <f aca="false">IF(L593="Tidak dibuka","–",IF(F593="","(tanpa age group)",F593)&amp;"  "&amp;IF(H593="","?",H593)&amp;"/"&amp;IF(G593="","?",G593)&amp;CHAR(10)&amp;IF(K593="","coach: –","coach: "&amp;K593))</f>
        <v>Little  0/4
coach: –</v>
      </c>
    </row>
    <row r="594" customFormat="false" ht="22.35" hidden="false" customHeight="false" outlineLevel="0" collapsed="false">
      <c r="A594" s="76" t="str">
        <f aca="false">B594&amp;"|"&amp;C594&amp;"|"&amp;D594&amp;"|"&amp;E594</f>
        <v>KWC|3|Senin|11:15</v>
      </c>
      <c r="B594" s="76" t="s">
        <v>63</v>
      </c>
      <c r="C594" s="76" t="n">
        <v>3</v>
      </c>
      <c r="D594" s="76" t="s">
        <v>90</v>
      </c>
      <c r="E594" s="76" t="s">
        <v>100</v>
      </c>
      <c r="F594" s="77" t="s">
        <v>277</v>
      </c>
      <c r="G594" s="77" t="n">
        <v>4</v>
      </c>
      <c r="H594" s="77" t="n">
        <v>4</v>
      </c>
      <c r="I594" s="76" t="n">
        <f aca="false">IF(AND(ISNUMBER(G594),ISNUMBER(H594)),MAX(G594-H594,0),"")</f>
        <v>0</v>
      </c>
      <c r="J594" s="78" t="n">
        <f aca="false">IF(AND(ISNUMBER(G594),ISNUMBER(H594)),IF(G594&gt;0,H594/G594,""),"")</f>
        <v>1</v>
      </c>
      <c r="K594" s="77" t="s">
        <v>270</v>
      </c>
      <c r="L594" s="76" t="str">
        <f aca="false">IF(OR(G594="",H594=""),"Data tidak lengkap",IF(AND(G594=0,H594=0),IF(AND(F594="",K594=""),"Tidak dibuka","Tutup"),IF(H594&gt;G594,"Lebih kapasitas",IF(H594=G594,"Penuh",IF(H594=0,IF(F594="","Slot kosong","Belum terisi"),"Sebagian")))))</f>
        <v>Penuh</v>
      </c>
      <c r="M594" s="79" t="str">
        <f aca="false">IF(L594="Tidak dibuka","–",IF(F594="","(tanpa age group)",F594)&amp;"  "&amp;IF(H594="","?",H594)&amp;"/"&amp;IF(G594="","?",G594)&amp;CHAR(10)&amp;IF(K594="","coach: –","coach: "&amp;K594))</f>
        <v>Little  4/4
coach: Sri</v>
      </c>
    </row>
    <row r="595" customFormat="false" ht="22.35" hidden="false" customHeight="false" outlineLevel="0" collapsed="false">
      <c r="A595" s="76" t="str">
        <f aca="false">B595&amp;"|"&amp;C595&amp;"|"&amp;D595&amp;"|"&amp;E595</f>
        <v>KWC|3|Senin|12:00</v>
      </c>
      <c r="B595" s="76" t="s">
        <v>63</v>
      </c>
      <c r="C595" s="76" t="n">
        <v>3</v>
      </c>
      <c r="D595" s="76" t="s">
        <v>90</v>
      </c>
      <c r="E595" s="76" t="s">
        <v>101</v>
      </c>
      <c r="F595" s="77" t="s">
        <v>277</v>
      </c>
      <c r="G595" s="77" t="n">
        <v>0</v>
      </c>
      <c r="H595" s="77" t="n">
        <v>0</v>
      </c>
      <c r="I595" s="76" t="n">
        <f aca="false">IF(AND(ISNUMBER(G595),ISNUMBER(H595)),MAX(G595-H595,0),"")</f>
        <v>0</v>
      </c>
      <c r="J595" s="78" t="str">
        <f aca="false">IF(AND(ISNUMBER(G595),ISNUMBER(H595)),IF(G595&gt;0,H595/G595,""),"")</f>
        <v/>
      </c>
      <c r="K595" s="77"/>
      <c r="L595" s="76" t="str">
        <f aca="false">IF(OR(G595="",H595=""),"Data tidak lengkap",IF(AND(G595=0,H595=0),IF(AND(F595="",K595=""),"Tidak dibuka","Tutup"),IF(H595&gt;G595,"Lebih kapasitas",IF(H595=G595,"Penuh",IF(H595=0,IF(F595="","Slot kosong","Belum terisi"),"Sebagian")))))</f>
        <v>Tutup</v>
      </c>
      <c r="M595" s="79" t="str">
        <f aca="false">IF(L595="Tidak dibuka","–",IF(F595="","(tanpa age group)",F595)&amp;"  "&amp;IF(H595="","?",H595)&amp;"/"&amp;IF(G595="","?",G595)&amp;CHAR(10)&amp;IF(K595="","coach: –","coach: "&amp;K595))</f>
        <v>Little  0/0
coach: –</v>
      </c>
    </row>
    <row r="596" customFormat="false" ht="22.35" hidden="false" customHeight="false" outlineLevel="0" collapsed="false">
      <c r="A596" s="76" t="str">
        <f aca="false">B596&amp;"|"&amp;C596&amp;"|"&amp;D596&amp;"|"&amp;E596</f>
        <v>KWC|3|Senin|13:30</v>
      </c>
      <c r="B596" s="76" t="s">
        <v>63</v>
      </c>
      <c r="C596" s="76" t="n">
        <v>3</v>
      </c>
      <c r="D596" s="76" t="s">
        <v>90</v>
      </c>
      <c r="E596" s="76" t="s">
        <v>102</v>
      </c>
      <c r="F596" s="77" t="s">
        <v>277</v>
      </c>
      <c r="G596" s="77" t="n">
        <v>4</v>
      </c>
      <c r="H596" s="77" t="n">
        <v>0</v>
      </c>
      <c r="I596" s="76" t="n">
        <f aca="false">IF(AND(ISNUMBER(G596),ISNUMBER(H596)),MAX(G596-H596,0),"")</f>
        <v>4</v>
      </c>
      <c r="J596" s="78" t="n">
        <f aca="false">IF(AND(ISNUMBER(G596),ISNUMBER(H596)),IF(G596&gt;0,H596/G596,""),"")</f>
        <v>0</v>
      </c>
      <c r="K596" s="77"/>
      <c r="L596" s="76" t="str">
        <f aca="false">IF(OR(G596="",H596=""),"Data tidak lengkap",IF(AND(G596=0,H596=0),IF(AND(F596="",K596=""),"Tidak dibuka","Tutup"),IF(H596&gt;G596,"Lebih kapasitas",IF(H596=G596,"Penuh",IF(H596=0,IF(F596="","Slot kosong","Belum terisi"),"Sebagian")))))</f>
        <v>Belum terisi</v>
      </c>
      <c r="M596" s="79" t="str">
        <f aca="false">IF(L596="Tidak dibuka","–",IF(F596="","(tanpa age group)",F596)&amp;"  "&amp;IF(H596="","?",H596)&amp;"/"&amp;IF(G596="","?",G596)&amp;CHAR(10)&amp;IF(K596="","coach: –","coach: "&amp;K596))</f>
        <v>Little  0/4
coach: –</v>
      </c>
    </row>
    <row r="597" customFormat="false" ht="22.35" hidden="false" customHeight="false" outlineLevel="0" collapsed="false">
      <c r="A597" s="76" t="str">
        <f aca="false">B597&amp;"|"&amp;C597&amp;"|"&amp;D597&amp;"|"&amp;E597</f>
        <v>KWC|3|Senin|14:15</v>
      </c>
      <c r="B597" s="76" t="s">
        <v>63</v>
      </c>
      <c r="C597" s="76" t="n">
        <v>3</v>
      </c>
      <c r="D597" s="76" t="s">
        <v>90</v>
      </c>
      <c r="E597" s="76" t="s">
        <v>103</v>
      </c>
      <c r="F597" s="77" t="s">
        <v>277</v>
      </c>
      <c r="G597" s="77" t="n">
        <v>4</v>
      </c>
      <c r="H597" s="77" t="n">
        <v>4</v>
      </c>
      <c r="I597" s="76" t="n">
        <f aca="false">IF(AND(ISNUMBER(G597),ISNUMBER(H597)),MAX(G597-H597,0),"")</f>
        <v>0</v>
      </c>
      <c r="J597" s="78" t="n">
        <f aca="false">IF(AND(ISNUMBER(G597),ISNUMBER(H597)),IF(G597&gt;0,H597/G597,""),"")</f>
        <v>1</v>
      </c>
      <c r="K597" s="77" t="s">
        <v>273</v>
      </c>
      <c r="L597" s="76" t="str">
        <f aca="false">IF(OR(G597="",H597=""),"Data tidak lengkap",IF(AND(G597=0,H597=0),IF(AND(F597="",K597=""),"Tidak dibuka","Tutup"),IF(H597&gt;G597,"Lebih kapasitas",IF(H597=G597,"Penuh",IF(H597=0,IF(F597="","Slot kosong","Belum terisi"),"Sebagian")))))</f>
        <v>Penuh</v>
      </c>
      <c r="M597" s="79" t="str">
        <f aca="false">IF(L597="Tidak dibuka","–",IF(F597="","(tanpa age group)",F597)&amp;"  "&amp;IF(H597="","?",H597)&amp;"/"&amp;IF(G597="","?",G597)&amp;CHAR(10)&amp;IF(K597="","coach: –","coach: "&amp;K597))</f>
        <v>Little  4/4
coach: Frido</v>
      </c>
    </row>
    <row r="598" customFormat="false" ht="22.35" hidden="false" customHeight="false" outlineLevel="0" collapsed="false">
      <c r="A598" s="76" t="str">
        <f aca="false">B598&amp;"|"&amp;C598&amp;"|"&amp;D598&amp;"|"&amp;E598</f>
        <v>KWC|3|Senin|15:00</v>
      </c>
      <c r="B598" s="76" t="s">
        <v>63</v>
      </c>
      <c r="C598" s="76" t="n">
        <v>3</v>
      </c>
      <c r="D598" s="76" t="s">
        <v>90</v>
      </c>
      <c r="E598" s="76" t="s">
        <v>104</v>
      </c>
      <c r="F598" s="77" t="s">
        <v>277</v>
      </c>
      <c r="G598" s="77" t="n">
        <v>0</v>
      </c>
      <c r="H598" s="77" t="n">
        <v>0</v>
      </c>
      <c r="I598" s="76" t="n">
        <f aca="false">IF(AND(ISNUMBER(G598),ISNUMBER(H598)),MAX(G598-H598,0),"")</f>
        <v>0</v>
      </c>
      <c r="J598" s="78" t="str">
        <f aca="false">IF(AND(ISNUMBER(G598),ISNUMBER(H598)),IF(G598&gt;0,H598/G598,""),"")</f>
        <v/>
      </c>
      <c r="K598" s="77"/>
      <c r="L598" s="76" t="str">
        <f aca="false">IF(OR(G598="",H598=""),"Data tidak lengkap",IF(AND(G598=0,H598=0),IF(AND(F598="",K598=""),"Tidak dibuka","Tutup"),IF(H598&gt;G598,"Lebih kapasitas",IF(H598=G598,"Penuh",IF(H598=0,IF(F598="","Slot kosong","Belum terisi"),"Sebagian")))))</f>
        <v>Tutup</v>
      </c>
      <c r="M598" s="79" t="str">
        <f aca="false">IF(L598="Tidak dibuka","–",IF(F598="","(tanpa age group)",F598)&amp;"  "&amp;IF(H598="","?",H598)&amp;"/"&amp;IF(G598="","?",G598)&amp;CHAR(10)&amp;IF(K598="","coach: –","coach: "&amp;K598))</f>
        <v>Little  0/0
coach: –</v>
      </c>
    </row>
    <row r="599" customFormat="false" ht="22.35" hidden="false" customHeight="false" outlineLevel="0" collapsed="false">
      <c r="A599" s="76" t="str">
        <f aca="false">B599&amp;"|"&amp;C599&amp;"|"&amp;D599&amp;"|"&amp;E599</f>
        <v>KWC|3|Senin|15:45</v>
      </c>
      <c r="B599" s="76" t="s">
        <v>63</v>
      </c>
      <c r="C599" s="76" t="n">
        <v>3</v>
      </c>
      <c r="D599" s="76" t="s">
        <v>90</v>
      </c>
      <c r="E599" s="76" t="s">
        <v>105</v>
      </c>
      <c r="F599" s="77" t="s">
        <v>277</v>
      </c>
      <c r="G599" s="77" t="n">
        <v>4</v>
      </c>
      <c r="H599" s="77" t="n">
        <v>4</v>
      </c>
      <c r="I599" s="76" t="n">
        <f aca="false">IF(AND(ISNUMBER(G599),ISNUMBER(H599)),MAX(G599-H599,0),"")</f>
        <v>0</v>
      </c>
      <c r="J599" s="78" t="n">
        <f aca="false">IF(AND(ISNUMBER(G599),ISNUMBER(H599)),IF(G599&gt;0,H599/G599,""),"")</f>
        <v>1</v>
      </c>
      <c r="K599" s="77" t="s">
        <v>270</v>
      </c>
      <c r="L599" s="76" t="str">
        <f aca="false">IF(OR(G599="",H599=""),"Data tidak lengkap",IF(AND(G599=0,H599=0),IF(AND(F599="",K599=""),"Tidak dibuka","Tutup"),IF(H599&gt;G599,"Lebih kapasitas",IF(H599=G599,"Penuh",IF(H599=0,IF(F599="","Slot kosong","Belum terisi"),"Sebagian")))))</f>
        <v>Penuh</v>
      </c>
      <c r="M599" s="79" t="str">
        <f aca="false">IF(L599="Tidak dibuka","–",IF(F599="","(tanpa age group)",F599)&amp;"  "&amp;IF(H599="","?",H599)&amp;"/"&amp;IF(G599="","?",G599)&amp;CHAR(10)&amp;IF(K599="","coach: –","coach: "&amp;K599))</f>
        <v>Little  4/4
coach: Sri</v>
      </c>
    </row>
    <row r="600" customFormat="false" ht="22.35" hidden="false" customHeight="false" outlineLevel="0" collapsed="false">
      <c r="A600" s="76" t="str">
        <f aca="false">B600&amp;"|"&amp;C600&amp;"|"&amp;D600&amp;"|"&amp;E600</f>
        <v>KWC|3|Senin|16:30</v>
      </c>
      <c r="B600" s="76" t="s">
        <v>63</v>
      </c>
      <c r="C600" s="76" t="n">
        <v>3</v>
      </c>
      <c r="D600" s="76" t="s">
        <v>90</v>
      </c>
      <c r="E600" s="76" t="s">
        <v>106</v>
      </c>
      <c r="F600" s="77" t="s">
        <v>277</v>
      </c>
      <c r="G600" s="77" t="n">
        <v>4</v>
      </c>
      <c r="H600" s="77" t="n">
        <v>4</v>
      </c>
      <c r="I600" s="76" t="n">
        <f aca="false">IF(AND(ISNUMBER(G600),ISNUMBER(H600)),MAX(G600-H600,0),"")</f>
        <v>0</v>
      </c>
      <c r="J600" s="78" t="n">
        <f aca="false">IF(AND(ISNUMBER(G600),ISNUMBER(H600)),IF(G600&gt;0,H600/G600,""),"")</f>
        <v>1</v>
      </c>
      <c r="K600" s="77" t="s">
        <v>267</v>
      </c>
      <c r="L600" s="76" t="str">
        <f aca="false">IF(OR(G600="",H600=""),"Data tidak lengkap",IF(AND(G600=0,H600=0),IF(AND(F600="",K600=""),"Tidak dibuka","Tutup"),IF(H600&gt;G600,"Lebih kapasitas",IF(H600=G600,"Penuh",IF(H600=0,IF(F600="","Slot kosong","Belum terisi"),"Sebagian")))))</f>
        <v>Penuh</v>
      </c>
      <c r="M600" s="79" t="str">
        <f aca="false">IF(L600="Tidak dibuka","–",IF(F600="","(tanpa age group)",F600)&amp;"  "&amp;IF(H600="","?",H600)&amp;"/"&amp;IF(G600="","?",G600)&amp;CHAR(10)&amp;IF(K600="","coach: –","coach: "&amp;K600))</f>
        <v>Little  4/4
coach: Deyon</v>
      </c>
    </row>
    <row r="601" customFormat="false" ht="22.35" hidden="false" customHeight="false" outlineLevel="0" collapsed="false">
      <c r="A601" s="76" t="str">
        <f aca="false">B601&amp;"|"&amp;C601&amp;"|"&amp;D601&amp;"|"&amp;E601</f>
        <v>KWC|3|Senin|17:15</v>
      </c>
      <c r="B601" s="76" t="s">
        <v>63</v>
      </c>
      <c r="C601" s="76" t="n">
        <v>3</v>
      </c>
      <c r="D601" s="76" t="s">
        <v>90</v>
      </c>
      <c r="E601" s="76" t="s">
        <v>107</v>
      </c>
      <c r="F601" s="77" t="s">
        <v>277</v>
      </c>
      <c r="G601" s="77" t="n">
        <v>4</v>
      </c>
      <c r="H601" s="77" t="n">
        <v>3</v>
      </c>
      <c r="I601" s="76" t="n">
        <f aca="false">IF(AND(ISNUMBER(G601),ISNUMBER(H601)),MAX(G601-H601,0),"")</f>
        <v>1</v>
      </c>
      <c r="J601" s="78" t="n">
        <f aca="false">IF(AND(ISNUMBER(G601),ISNUMBER(H601)),IF(G601&gt;0,H601/G601,""),"")</f>
        <v>0.75</v>
      </c>
      <c r="K601" s="77" t="s">
        <v>267</v>
      </c>
      <c r="L601" s="76" t="str">
        <f aca="false">IF(OR(G601="",H601=""),"Data tidak lengkap",IF(AND(G601=0,H601=0),IF(AND(F601="",K601=""),"Tidak dibuka","Tutup"),IF(H601&gt;G601,"Lebih kapasitas",IF(H601=G601,"Penuh",IF(H601=0,IF(F601="","Slot kosong","Belum terisi"),"Sebagian")))))</f>
        <v>Sebagian</v>
      </c>
      <c r="M601" s="79" t="str">
        <f aca="false">IF(L601="Tidak dibuka","–",IF(F601="","(tanpa age group)",F601)&amp;"  "&amp;IF(H601="","?",H601)&amp;"/"&amp;IF(G601="","?",G601)&amp;CHAR(10)&amp;IF(K601="","coach: –","coach: "&amp;K601))</f>
        <v>Little  3/4
coach: Deyon</v>
      </c>
    </row>
    <row r="602" customFormat="false" ht="22.35" hidden="false" customHeight="false" outlineLevel="0" collapsed="false">
      <c r="A602" s="76" t="str">
        <f aca="false">B602&amp;"|"&amp;C602&amp;"|"&amp;D602&amp;"|"&amp;E602</f>
        <v>KWC|3|Selasa|08:15</v>
      </c>
      <c r="B602" s="76" t="s">
        <v>63</v>
      </c>
      <c r="C602" s="76" t="n">
        <v>3</v>
      </c>
      <c r="D602" s="76" t="s">
        <v>91</v>
      </c>
      <c r="E602" s="76" t="s">
        <v>96</v>
      </c>
      <c r="F602" s="77" t="s">
        <v>277</v>
      </c>
      <c r="G602" s="77" t="n">
        <v>0</v>
      </c>
      <c r="H602" s="77" t="n">
        <v>0</v>
      </c>
      <c r="I602" s="76" t="n">
        <f aca="false">IF(AND(ISNUMBER(G602),ISNUMBER(H602)),MAX(G602-H602,0),"")</f>
        <v>0</v>
      </c>
      <c r="J602" s="78" t="str">
        <f aca="false">IF(AND(ISNUMBER(G602),ISNUMBER(H602)),IF(G602&gt;0,H602/G602,""),"")</f>
        <v/>
      </c>
      <c r="K602" s="77"/>
      <c r="L602" s="76" t="str">
        <f aca="false">IF(OR(G602="",H602=""),"Data tidak lengkap",IF(AND(G602=0,H602=0),IF(AND(F602="",K602=""),"Tidak dibuka","Tutup"),IF(H602&gt;G602,"Lebih kapasitas",IF(H602=G602,"Penuh",IF(H602=0,IF(F602="","Slot kosong","Belum terisi"),"Sebagian")))))</f>
        <v>Tutup</v>
      </c>
      <c r="M602" s="79" t="str">
        <f aca="false">IF(L602="Tidak dibuka","–",IF(F602="","(tanpa age group)",F602)&amp;"  "&amp;IF(H602="","?",H602)&amp;"/"&amp;IF(G602="","?",G602)&amp;CHAR(10)&amp;IF(K602="","coach: –","coach: "&amp;K602))</f>
        <v>Little  0/0
coach: –</v>
      </c>
    </row>
    <row r="603" customFormat="false" ht="22.35" hidden="false" customHeight="false" outlineLevel="0" collapsed="false">
      <c r="A603" s="76" t="str">
        <f aca="false">B603&amp;"|"&amp;C603&amp;"|"&amp;D603&amp;"|"&amp;E603</f>
        <v>KWC|3|Selasa|09:00</v>
      </c>
      <c r="B603" s="76" t="s">
        <v>63</v>
      </c>
      <c r="C603" s="76" t="n">
        <v>3</v>
      </c>
      <c r="D603" s="76" t="s">
        <v>91</v>
      </c>
      <c r="E603" s="76" t="s">
        <v>97</v>
      </c>
      <c r="F603" s="77" t="s">
        <v>277</v>
      </c>
      <c r="G603" s="77" t="n">
        <v>4</v>
      </c>
      <c r="H603" s="77" t="n">
        <v>0</v>
      </c>
      <c r="I603" s="76" t="n">
        <f aca="false">IF(AND(ISNUMBER(G603),ISNUMBER(H603)),MAX(G603-H603,0),"")</f>
        <v>4</v>
      </c>
      <c r="J603" s="78" t="n">
        <f aca="false">IF(AND(ISNUMBER(G603),ISNUMBER(H603)),IF(G603&gt;0,H603/G603,""),"")</f>
        <v>0</v>
      </c>
      <c r="K603" s="77"/>
      <c r="L603" s="76" t="str">
        <f aca="false">IF(OR(G603="",H603=""),"Data tidak lengkap",IF(AND(G603=0,H603=0),IF(AND(F603="",K603=""),"Tidak dibuka","Tutup"),IF(H603&gt;G603,"Lebih kapasitas",IF(H603=G603,"Penuh",IF(H603=0,IF(F603="","Slot kosong","Belum terisi"),"Sebagian")))))</f>
        <v>Belum terisi</v>
      </c>
      <c r="M603" s="79" t="str">
        <f aca="false">IF(L603="Tidak dibuka","–",IF(F603="","(tanpa age group)",F603)&amp;"  "&amp;IF(H603="","?",H603)&amp;"/"&amp;IF(G603="","?",G603)&amp;CHAR(10)&amp;IF(K603="","coach: –","coach: "&amp;K603))</f>
        <v>Little  0/4
coach: –</v>
      </c>
    </row>
    <row r="604" customFormat="false" ht="22.35" hidden="false" customHeight="false" outlineLevel="0" collapsed="false">
      <c r="A604" s="76" t="str">
        <f aca="false">B604&amp;"|"&amp;C604&amp;"|"&amp;D604&amp;"|"&amp;E604</f>
        <v>KWC|3|Selasa|09:45</v>
      </c>
      <c r="B604" s="76" t="s">
        <v>63</v>
      </c>
      <c r="C604" s="76" t="n">
        <v>3</v>
      </c>
      <c r="D604" s="76" t="s">
        <v>91</v>
      </c>
      <c r="E604" s="76" t="s">
        <v>98</v>
      </c>
      <c r="F604" s="77" t="s">
        <v>277</v>
      </c>
      <c r="G604" s="77" t="n">
        <v>4</v>
      </c>
      <c r="H604" s="77" t="n">
        <v>2</v>
      </c>
      <c r="I604" s="76" t="n">
        <f aca="false">IF(AND(ISNUMBER(G604),ISNUMBER(H604)),MAX(G604-H604,0),"")</f>
        <v>2</v>
      </c>
      <c r="J604" s="78" t="n">
        <f aca="false">IF(AND(ISNUMBER(G604),ISNUMBER(H604)),IF(G604&gt;0,H604/G604,""),"")</f>
        <v>0.5</v>
      </c>
      <c r="K604" s="77" t="s">
        <v>270</v>
      </c>
      <c r="L604" s="76" t="str">
        <f aca="false">IF(OR(G604="",H604=""),"Data tidak lengkap",IF(AND(G604=0,H604=0),IF(AND(F604="",K604=""),"Tidak dibuka","Tutup"),IF(H604&gt;G604,"Lebih kapasitas",IF(H604=G604,"Penuh",IF(H604=0,IF(F604="","Slot kosong","Belum terisi"),"Sebagian")))))</f>
        <v>Sebagian</v>
      </c>
      <c r="M604" s="79" t="str">
        <f aca="false">IF(L604="Tidak dibuka","–",IF(F604="","(tanpa age group)",F604)&amp;"  "&amp;IF(H604="","?",H604)&amp;"/"&amp;IF(G604="","?",G604)&amp;CHAR(10)&amp;IF(K604="","coach: –","coach: "&amp;K604))</f>
        <v>Little  2/4
coach: Sri</v>
      </c>
    </row>
    <row r="605" customFormat="false" ht="22.35" hidden="false" customHeight="false" outlineLevel="0" collapsed="false">
      <c r="A605" s="76" t="str">
        <f aca="false">B605&amp;"|"&amp;C605&amp;"|"&amp;D605&amp;"|"&amp;E605</f>
        <v>KWC|3|Selasa|10:30</v>
      </c>
      <c r="B605" s="76" t="s">
        <v>63</v>
      </c>
      <c r="C605" s="76" t="n">
        <v>3</v>
      </c>
      <c r="D605" s="76" t="s">
        <v>91</v>
      </c>
      <c r="E605" s="76" t="s">
        <v>99</v>
      </c>
      <c r="F605" s="77" t="s">
        <v>277</v>
      </c>
      <c r="G605" s="77" t="n">
        <v>4</v>
      </c>
      <c r="H605" s="77" t="n">
        <v>3</v>
      </c>
      <c r="I605" s="76" t="n">
        <f aca="false">IF(AND(ISNUMBER(G605),ISNUMBER(H605)),MAX(G605-H605,0),"")</f>
        <v>1</v>
      </c>
      <c r="J605" s="78" t="n">
        <f aca="false">IF(AND(ISNUMBER(G605),ISNUMBER(H605)),IF(G605&gt;0,H605/G605,""),"")</f>
        <v>0.75</v>
      </c>
      <c r="K605" s="77" t="s">
        <v>270</v>
      </c>
      <c r="L605" s="76" t="str">
        <f aca="false">IF(OR(G605="",H605=""),"Data tidak lengkap",IF(AND(G605=0,H605=0),IF(AND(F605="",K605=""),"Tidak dibuka","Tutup"),IF(H605&gt;G605,"Lebih kapasitas",IF(H605=G605,"Penuh",IF(H605=0,IF(F605="","Slot kosong","Belum terisi"),"Sebagian")))))</f>
        <v>Sebagian</v>
      </c>
      <c r="M605" s="79" t="str">
        <f aca="false">IF(L605="Tidak dibuka","–",IF(F605="","(tanpa age group)",F605)&amp;"  "&amp;IF(H605="","?",H605)&amp;"/"&amp;IF(G605="","?",G605)&amp;CHAR(10)&amp;IF(K605="","coach: –","coach: "&amp;K605))</f>
        <v>Little  3/4
coach: Sri</v>
      </c>
    </row>
    <row r="606" customFormat="false" ht="22.35" hidden="false" customHeight="false" outlineLevel="0" collapsed="false">
      <c r="A606" s="76" t="str">
        <f aca="false">B606&amp;"|"&amp;C606&amp;"|"&amp;D606&amp;"|"&amp;E606</f>
        <v>KWC|3|Selasa|11:15</v>
      </c>
      <c r="B606" s="76" t="s">
        <v>63</v>
      </c>
      <c r="C606" s="76" t="n">
        <v>3</v>
      </c>
      <c r="D606" s="76" t="s">
        <v>91</v>
      </c>
      <c r="E606" s="76" t="s">
        <v>100</v>
      </c>
      <c r="F606" s="77" t="s">
        <v>277</v>
      </c>
      <c r="G606" s="77" t="n">
        <v>4</v>
      </c>
      <c r="H606" s="77" t="n">
        <v>3</v>
      </c>
      <c r="I606" s="76" t="n">
        <f aca="false">IF(AND(ISNUMBER(G606),ISNUMBER(H606)),MAX(G606-H606,0),"")</f>
        <v>1</v>
      </c>
      <c r="J606" s="78" t="n">
        <f aca="false">IF(AND(ISNUMBER(G606),ISNUMBER(H606)),IF(G606&gt;0,H606/G606,""),"")</f>
        <v>0.75</v>
      </c>
      <c r="K606" s="77" t="s">
        <v>273</v>
      </c>
      <c r="L606" s="76" t="str">
        <f aca="false">IF(OR(G606="",H606=""),"Data tidak lengkap",IF(AND(G606=0,H606=0),IF(AND(F606="",K606=""),"Tidak dibuka","Tutup"),IF(H606&gt;G606,"Lebih kapasitas",IF(H606=G606,"Penuh",IF(H606=0,IF(F606="","Slot kosong","Belum terisi"),"Sebagian")))))</f>
        <v>Sebagian</v>
      </c>
      <c r="M606" s="79" t="str">
        <f aca="false">IF(L606="Tidak dibuka","–",IF(F606="","(tanpa age group)",F606)&amp;"  "&amp;IF(H606="","?",H606)&amp;"/"&amp;IF(G606="","?",G606)&amp;CHAR(10)&amp;IF(K606="","coach: –","coach: "&amp;K606))</f>
        <v>Little  3/4
coach: Frido</v>
      </c>
    </row>
    <row r="607" customFormat="false" ht="22.35" hidden="false" customHeight="false" outlineLevel="0" collapsed="false">
      <c r="A607" s="76" t="str">
        <f aca="false">B607&amp;"|"&amp;C607&amp;"|"&amp;D607&amp;"|"&amp;E607</f>
        <v>KWC|3|Selasa|12:00</v>
      </c>
      <c r="B607" s="76" t="s">
        <v>63</v>
      </c>
      <c r="C607" s="76" t="n">
        <v>3</v>
      </c>
      <c r="D607" s="76" t="s">
        <v>91</v>
      </c>
      <c r="E607" s="76" t="s">
        <v>101</v>
      </c>
      <c r="F607" s="77" t="s">
        <v>277</v>
      </c>
      <c r="G607" s="77" t="n">
        <v>0</v>
      </c>
      <c r="H607" s="77" t="n">
        <v>0</v>
      </c>
      <c r="I607" s="76" t="n">
        <f aca="false">IF(AND(ISNUMBER(G607),ISNUMBER(H607)),MAX(G607-H607,0),"")</f>
        <v>0</v>
      </c>
      <c r="J607" s="78" t="str">
        <f aca="false">IF(AND(ISNUMBER(G607),ISNUMBER(H607)),IF(G607&gt;0,H607/G607,""),"")</f>
        <v/>
      </c>
      <c r="K607" s="77"/>
      <c r="L607" s="76" t="str">
        <f aca="false">IF(OR(G607="",H607=""),"Data tidak lengkap",IF(AND(G607=0,H607=0),IF(AND(F607="",K607=""),"Tidak dibuka","Tutup"),IF(H607&gt;G607,"Lebih kapasitas",IF(H607=G607,"Penuh",IF(H607=0,IF(F607="","Slot kosong","Belum terisi"),"Sebagian")))))</f>
        <v>Tutup</v>
      </c>
      <c r="M607" s="79" t="str">
        <f aca="false">IF(L607="Tidak dibuka","–",IF(F607="","(tanpa age group)",F607)&amp;"  "&amp;IF(H607="","?",H607)&amp;"/"&amp;IF(G607="","?",G607)&amp;CHAR(10)&amp;IF(K607="","coach: –","coach: "&amp;K607))</f>
        <v>Little  0/0
coach: –</v>
      </c>
    </row>
    <row r="608" customFormat="false" ht="22.35" hidden="false" customHeight="false" outlineLevel="0" collapsed="false">
      <c r="A608" s="76" t="str">
        <f aca="false">B608&amp;"|"&amp;C608&amp;"|"&amp;D608&amp;"|"&amp;E608</f>
        <v>KWC|3|Selasa|13:30</v>
      </c>
      <c r="B608" s="76" t="s">
        <v>63</v>
      </c>
      <c r="C608" s="76" t="n">
        <v>3</v>
      </c>
      <c r="D608" s="76" t="s">
        <v>91</v>
      </c>
      <c r="E608" s="76" t="s">
        <v>102</v>
      </c>
      <c r="F608" s="77" t="s">
        <v>277</v>
      </c>
      <c r="G608" s="77" t="n">
        <v>4</v>
      </c>
      <c r="H608" s="77" t="n">
        <v>4</v>
      </c>
      <c r="I608" s="76" t="n">
        <f aca="false">IF(AND(ISNUMBER(G608),ISNUMBER(H608)),MAX(G608-H608,0),"")</f>
        <v>0</v>
      </c>
      <c r="J608" s="78" t="n">
        <f aca="false">IF(AND(ISNUMBER(G608),ISNUMBER(H608)),IF(G608&gt;0,H608/G608,""),"")</f>
        <v>1</v>
      </c>
      <c r="K608" s="77" t="s">
        <v>270</v>
      </c>
      <c r="L608" s="76" t="str">
        <f aca="false">IF(OR(G608="",H608=""),"Data tidak lengkap",IF(AND(G608=0,H608=0),IF(AND(F608="",K608=""),"Tidak dibuka","Tutup"),IF(H608&gt;G608,"Lebih kapasitas",IF(H608=G608,"Penuh",IF(H608=0,IF(F608="","Slot kosong","Belum terisi"),"Sebagian")))))</f>
        <v>Penuh</v>
      </c>
      <c r="M608" s="79" t="str">
        <f aca="false">IF(L608="Tidak dibuka","–",IF(F608="","(tanpa age group)",F608)&amp;"  "&amp;IF(H608="","?",H608)&amp;"/"&amp;IF(G608="","?",G608)&amp;CHAR(10)&amp;IF(K608="","coach: –","coach: "&amp;K608))</f>
        <v>Little  4/4
coach: Sri</v>
      </c>
    </row>
    <row r="609" customFormat="false" ht="22.35" hidden="false" customHeight="false" outlineLevel="0" collapsed="false">
      <c r="A609" s="76" t="str">
        <f aca="false">B609&amp;"|"&amp;C609&amp;"|"&amp;D609&amp;"|"&amp;E609</f>
        <v>KWC|3|Selasa|14:15</v>
      </c>
      <c r="B609" s="76" t="s">
        <v>63</v>
      </c>
      <c r="C609" s="76" t="n">
        <v>3</v>
      </c>
      <c r="D609" s="76" t="s">
        <v>91</v>
      </c>
      <c r="E609" s="76" t="s">
        <v>103</v>
      </c>
      <c r="F609" s="77" t="s">
        <v>277</v>
      </c>
      <c r="G609" s="77" t="n">
        <v>4</v>
      </c>
      <c r="H609" s="77" t="n">
        <v>3</v>
      </c>
      <c r="I609" s="76" t="n">
        <f aca="false">IF(AND(ISNUMBER(G609),ISNUMBER(H609)),MAX(G609-H609,0),"")</f>
        <v>1</v>
      </c>
      <c r="J609" s="78" t="n">
        <f aca="false">IF(AND(ISNUMBER(G609),ISNUMBER(H609)),IF(G609&gt;0,H609/G609,""),"")</f>
        <v>0.75</v>
      </c>
      <c r="K609" s="77" t="s">
        <v>272</v>
      </c>
      <c r="L609" s="76" t="str">
        <f aca="false">IF(OR(G609="",H609=""),"Data tidak lengkap",IF(AND(G609=0,H609=0),IF(AND(F609="",K609=""),"Tidak dibuka","Tutup"),IF(H609&gt;G609,"Lebih kapasitas",IF(H609=G609,"Penuh",IF(H609=0,IF(F609="","Slot kosong","Belum terisi"),"Sebagian")))))</f>
        <v>Sebagian</v>
      </c>
      <c r="M609" s="79" t="str">
        <f aca="false">IF(L609="Tidak dibuka","–",IF(F609="","(tanpa age group)",F609)&amp;"  "&amp;IF(H609="","?",H609)&amp;"/"&amp;IF(G609="","?",G609)&amp;CHAR(10)&amp;IF(K609="","coach: –","coach: "&amp;K609))</f>
        <v>Little  3/4
coach: Eriek</v>
      </c>
    </row>
    <row r="610" customFormat="false" ht="22.35" hidden="false" customHeight="false" outlineLevel="0" collapsed="false">
      <c r="A610" s="76" t="str">
        <f aca="false">B610&amp;"|"&amp;C610&amp;"|"&amp;D610&amp;"|"&amp;E610</f>
        <v>KWC|3|Selasa|15:00</v>
      </c>
      <c r="B610" s="76" t="s">
        <v>63</v>
      </c>
      <c r="C610" s="76" t="n">
        <v>3</v>
      </c>
      <c r="D610" s="76" t="s">
        <v>91</v>
      </c>
      <c r="E610" s="76" t="s">
        <v>104</v>
      </c>
      <c r="F610" s="77" t="s">
        <v>277</v>
      </c>
      <c r="G610" s="77" t="n">
        <v>4</v>
      </c>
      <c r="H610" s="77" t="n">
        <v>3</v>
      </c>
      <c r="I610" s="76" t="n">
        <f aca="false">IF(AND(ISNUMBER(G610),ISNUMBER(H610)),MAX(G610-H610,0),"")</f>
        <v>1</v>
      </c>
      <c r="J610" s="78" t="n">
        <f aca="false">IF(AND(ISNUMBER(G610),ISNUMBER(H610)),IF(G610&gt;0,H610/G610,""),"")</f>
        <v>0.75</v>
      </c>
      <c r="K610" s="77" t="s">
        <v>267</v>
      </c>
      <c r="L610" s="76" t="str">
        <f aca="false">IF(OR(G610="",H610=""),"Data tidak lengkap",IF(AND(G610=0,H610=0),IF(AND(F610="",K610=""),"Tidak dibuka","Tutup"),IF(H610&gt;G610,"Lebih kapasitas",IF(H610=G610,"Penuh",IF(H610=0,IF(F610="","Slot kosong","Belum terisi"),"Sebagian")))))</f>
        <v>Sebagian</v>
      </c>
      <c r="M610" s="79" t="str">
        <f aca="false">IF(L610="Tidak dibuka","–",IF(F610="","(tanpa age group)",F610)&amp;"  "&amp;IF(H610="","?",H610)&amp;"/"&amp;IF(G610="","?",G610)&amp;CHAR(10)&amp;IF(K610="","coach: –","coach: "&amp;K610))</f>
        <v>Little  3/4
coach: Deyon</v>
      </c>
    </row>
    <row r="611" customFormat="false" ht="22.35" hidden="false" customHeight="false" outlineLevel="0" collapsed="false">
      <c r="A611" s="76" t="str">
        <f aca="false">B611&amp;"|"&amp;C611&amp;"|"&amp;D611&amp;"|"&amp;E611</f>
        <v>KWC|3|Selasa|15:45</v>
      </c>
      <c r="B611" s="76" t="s">
        <v>63</v>
      </c>
      <c r="C611" s="76" t="n">
        <v>3</v>
      </c>
      <c r="D611" s="76" t="s">
        <v>91</v>
      </c>
      <c r="E611" s="76" t="s">
        <v>105</v>
      </c>
      <c r="F611" s="77" t="s">
        <v>277</v>
      </c>
      <c r="G611" s="77" t="n">
        <v>0</v>
      </c>
      <c r="H611" s="77" t="n">
        <v>2</v>
      </c>
      <c r="I611" s="76" t="n">
        <f aca="false">IF(AND(ISNUMBER(G611),ISNUMBER(H611)),MAX(G611-H611,0),"")</f>
        <v>0</v>
      </c>
      <c r="J611" s="78" t="str">
        <f aca="false">IF(AND(ISNUMBER(G611),ISNUMBER(H611)),IF(G611&gt;0,H611/G611,""),"")</f>
        <v/>
      </c>
      <c r="K611" s="77" t="s">
        <v>267</v>
      </c>
      <c r="L611" s="76" t="str">
        <f aca="false">IF(OR(G611="",H611=""),"Data tidak lengkap",IF(AND(G611=0,H611=0),IF(AND(F611="",K611=""),"Tidak dibuka","Tutup"),IF(H611&gt;G611,"Lebih kapasitas",IF(H611=G611,"Penuh",IF(H611=0,IF(F611="","Slot kosong","Belum terisi"),"Sebagian")))))</f>
        <v>Lebih kapasitas</v>
      </c>
      <c r="M611" s="79" t="str">
        <f aca="false">IF(L611="Tidak dibuka","–",IF(F611="","(tanpa age group)",F611)&amp;"  "&amp;IF(H611="","?",H611)&amp;"/"&amp;IF(G611="","?",G611)&amp;CHAR(10)&amp;IF(K611="","coach: –","coach: "&amp;K611))</f>
        <v>Little  2/0
coach: Deyon</v>
      </c>
    </row>
    <row r="612" customFormat="false" ht="22.35" hidden="false" customHeight="false" outlineLevel="0" collapsed="false">
      <c r="A612" s="76" t="str">
        <f aca="false">B612&amp;"|"&amp;C612&amp;"|"&amp;D612&amp;"|"&amp;E612</f>
        <v>KWC|3|Selasa|16:30</v>
      </c>
      <c r="B612" s="76" t="s">
        <v>63</v>
      </c>
      <c r="C612" s="76" t="n">
        <v>3</v>
      </c>
      <c r="D612" s="76" t="s">
        <v>91</v>
      </c>
      <c r="E612" s="76" t="s">
        <v>106</v>
      </c>
      <c r="F612" s="77" t="s">
        <v>277</v>
      </c>
      <c r="G612" s="77" t="n">
        <v>4</v>
      </c>
      <c r="H612" s="77" t="n">
        <v>4</v>
      </c>
      <c r="I612" s="76" t="n">
        <f aca="false">IF(AND(ISNUMBER(G612),ISNUMBER(H612)),MAX(G612-H612,0),"")</f>
        <v>0</v>
      </c>
      <c r="J612" s="78" t="n">
        <f aca="false">IF(AND(ISNUMBER(G612),ISNUMBER(H612)),IF(G612&gt;0,H612/G612,""),"")</f>
        <v>1</v>
      </c>
      <c r="K612" s="77" t="s">
        <v>270</v>
      </c>
      <c r="L612" s="76" t="str">
        <f aca="false">IF(OR(G612="",H612=""),"Data tidak lengkap",IF(AND(G612=0,H612=0),IF(AND(F612="",K612=""),"Tidak dibuka","Tutup"),IF(H612&gt;G612,"Lebih kapasitas",IF(H612=G612,"Penuh",IF(H612=0,IF(F612="","Slot kosong","Belum terisi"),"Sebagian")))))</f>
        <v>Penuh</v>
      </c>
      <c r="M612" s="79" t="str">
        <f aca="false">IF(L612="Tidak dibuka","–",IF(F612="","(tanpa age group)",F612)&amp;"  "&amp;IF(H612="","?",H612)&amp;"/"&amp;IF(G612="","?",G612)&amp;CHAR(10)&amp;IF(K612="","coach: –","coach: "&amp;K612))</f>
        <v>Little  4/4
coach: Sri</v>
      </c>
    </row>
    <row r="613" customFormat="false" ht="22.35" hidden="false" customHeight="false" outlineLevel="0" collapsed="false">
      <c r="A613" s="76" t="str">
        <f aca="false">B613&amp;"|"&amp;C613&amp;"|"&amp;D613&amp;"|"&amp;E613</f>
        <v>KWC|3|Selasa|17:15</v>
      </c>
      <c r="B613" s="76" t="s">
        <v>63</v>
      </c>
      <c r="C613" s="76" t="n">
        <v>3</v>
      </c>
      <c r="D613" s="76" t="s">
        <v>91</v>
      </c>
      <c r="E613" s="76" t="s">
        <v>107</v>
      </c>
      <c r="F613" s="77" t="s">
        <v>277</v>
      </c>
      <c r="G613" s="77" t="n">
        <v>4</v>
      </c>
      <c r="H613" s="77" t="n">
        <v>0</v>
      </c>
      <c r="I613" s="76" t="n">
        <f aca="false">IF(AND(ISNUMBER(G613),ISNUMBER(H613)),MAX(G613-H613,0),"")</f>
        <v>4</v>
      </c>
      <c r="J613" s="78" t="n">
        <f aca="false">IF(AND(ISNUMBER(G613),ISNUMBER(H613)),IF(G613&gt;0,H613/G613,""),"")</f>
        <v>0</v>
      </c>
      <c r="K613" s="77"/>
      <c r="L613" s="76" t="str">
        <f aca="false">IF(OR(G613="",H613=""),"Data tidak lengkap",IF(AND(G613=0,H613=0),IF(AND(F613="",K613=""),"Tidak dibuka","Tutup"),IF(H613&gt;G613,"Lebih kapasitas",IF(H613=G613,"Penuh",IF(H613=0,IF(F613="","Slot kosong","Belum terisi"),"Sebagian")))))</f>
        <v>Belum terisi</v>
      </c>
      <c r="M613" s="79" t="str">
        <f aca="false">IF(L613="Tidak dibuka","–",IF(F613="","(tanpa age group)",F613)&amp;"  "&amp;IF(H613="","?",H613)&amp;"/"&amp;IF(G613="","?",G613)&amp;CHAR(10)&amp;IF(K613="","coach: –","coach: "&amp;K613))</f>
        <v>Little  0/4
coach: –</v>
      </c>
    </row>
    <row r="614" customFormat="false" ht="22.35" hidden="false" customHeight="false" outlineLevel="0" collapsed="false">
      <c r="A614" s="76" t="str">
        <f aca="false">B614&amp;"|"&amp;C614&amp;"|"&amp;D614&amp;"|"&amp;E614</f>
        <v>KWC|3|Rabu|08:15</v>
      </c>
      <c r="B614" s="76" t="s">
        <v>63</v>
      </c>
      <c r="C614" s="76" t="n">
        <v>3</v>
      </c>
      <c r="D614" s="76" t="s">
        <v>92</v>
      </c>
      <c r="E614" s="76" t="s">
        <v>96</v>
      </c>
      <c r="F614" s="77" t="s">
        <v>277</v>
      </c>
      <c r="G614" s="77" t="n">
        <v>0</v>
      </c>
      <c r="H614" s="77" t="n">
        <v>0</v>
      </c>
      <c r="I614" s="76" t="n">
        <f aca="false">IF(AND(ISNUMBER(G614),ISNUMBER(H614)),MAX(G614-H614,0),"")</f>
        <v>0</v>
      </c>
      <c r="J614" s="78" t="str">
        <f aca="false">IF(AND(ISNUMBER(G614),ISNUMBER(H614)),IF(G614&gt;0,H614/G614,""),"")</f>
        <v/>
      </c>
      <c r="K614" s="77"/>
      <c r="L614" s="76" t="str">
        <f aca="false">IF(OR(G614="",H614=""),"Data tidak lengkap",IF(AND(G614=0,H614=0),IF(AND(F614="",K614=""),"Tidak dibuka","Tutup"),IF(H614&gt;G614,"Lebih kapasitas",IF(H614=G614,"Penuh",IF(H614=0,IF(F614="","Slot kosong","Belum terisi"),"Sebagian")))))</f>
        <v>Tutup</v>
      </c>
      <c r="M614" s="79" t="str">
        <f aca="false">IF(L614="Tidak dibuka","–",IF(F614="","(tanpa age group)",F614)&amp;"  "&amp;IF(H614="","?",H614)&amp;"/"&amp;IF(G614="","?",G614)&amp;CHAR(10)&amp;IF(K614="","coach: –","coach: "&amp;K614))</f>
        <v>Little  0/0
coach: –</v>
      </c>
    </row>
    <row r="615" customFormat="false" ht="22.35" hidden="false" customHeight="false" outlineLevel="0" collapsed="false">
      <c r="A615" s="76" t="str">
        <f aca="false">B615&amp;"|"&amp;C615&amp;"|"&amp;D615&amp;"|"&amp;E615</f>
        <v>KWC|3|Rabu|09:00</v>
      </c>
      <c r="B615" s="76" t="s">
        <v>63</v>
      </c>
      <c r="C615" s="76" t="n">
        <v>3</v>
      </c>
      <c r="D615" s="76" t="s">
        <v>92</v>
      </c>
      <c r="E615" s="76" t="s">
        <v>97</v>
      </c>
      <c r="F615" s="77" t="s">
        <v>277</v>
      </c>
      <c r="G615" s="77" t="n">
        <v>4</v>
      </c>
      <c r="H615" s="77" t="n">
        <v>2</v>
      </c>
      <c r="I615" s="76" t="n">
        <f aca="false">IF(AND(ISNUMBER(G615),ISNUMBER(H615)),MAX(G615-H615,0),"")</f>
        <v>2</v>
      </c>
      <c r="J615" s="78" t="n">
        <f aca="false">IF(AND(ISNUMBER(G615),ISNUMBER(H615)),IF(G615&gt;0,H615/G615,""),"")</f>
        <v>0.5</v>
      </c>
      <c r="K615" s="77" t="s">
        <v>272</v>
      </c>
      <c r="L615" s="76" t="str">
        <f aca="false">IF(OR(G615="",H615=""),"Data tidak lengkap",IF(AND(G615=0,H615=0),IF(AND(F615="",K615=""),"Tidak dibuka","Tutup"),IF(H615&gt;G615,"Lebih kapasitas",IF(H615=G615,"Penuh",IF(H615=0,IF(F615="","Slot kosong","Belum terisi"),"Sebagian")))))</f>
        <v>Sebagian</v>
      </c>
      <c r="M615" s="79" t="str">
        <f aca="false">IF(L615="Tidak dibuka","–",IF(F615="","(tanpa age group)",F615)&amp;"  "&amp;IF(H615="","?",H615)&amp;"/"&amp;IF(G615="","?",G615)&amp;CHAR(10)&amp;IF(K615="","coach: –","coach: "&amp;K615))</f>
        <v>Little  2/4
coach: Eriek</v>
      </c>
    </row>
    <row r="616" customFormat="false" ht="22.35" hidden="false" customHeight="false" outlineLevel="0" collapsed="false">
      <c r="A616" s="76" t="str">
        <f aca="false">B616&amp;"|"&amp;C616&amp;"|"&amp;D616&amp;"|"&amp;E616</f>
        <v>KWC|3|Rabu|09:45</v>
      </c>
      <c r="B616" s="76" t="s">
        <v>63</v>
      </c>
      <c r="C616" s="76" t="n">
        <v>3</v>
      </c>
      <c r="D616" s="76" t="s">
        <v>92</v>
      </c>
      <c r="E616" s="76" t="s">
        <v>98</v>
      </c>
      <c r="F616" s="77" t="s">
        <v>277</v>
      </c>
      <c r="G616" s="77" t="n">
        <v>4</v>
      </c>
      <c r="H616" s="77" t="n">
        <v>0</v>
      </c>
      <c r="I616" s="76" t="n">
        <f aca="false">IF(AND(ISNUMBER(G616),ISNUMBER(H616)),MAX(G616-H616,0),"")</f>
        <v>4</v>
      </c>
      <c r="J616" s="78" t="n">
        <f aca="false">IF(AND(ISNUMBER(G616),ISNUMBER(H616)),IF(G616&gt;0,H616/G616,""),"")</f>
        <v>0</v>
      </c>
      <c r="K616" s="77"/>
      <c r="L616" s="76" t="str">
        <f aca="false">IF(OR(G616="",H616=""),"Data tidak lengkap",IF(AND(G616=0,H616=0),IF(AND(F616="",K616=""),"Tidak dibuka","Tutup"),IF(H616&gt;G616,"Lebih kapasitas",IF(H616=G616,"Penuh",IF(H616=0,IF(F616="","Slot kosong","Belum terisi"),"Sebagian")))))</f>
        <v>Belum terisi</v>
      </c>
      <c r="M616" s="79" t="str">
        <f aca="false">IF(L616="Tidak dibuka","–",IF(F616="","(tanpa age group)",F616)&amp;"  "&amp;IF(H616="","?",H616)&amp;"/"&amp;IF(G616="","?",G616)&amp;CHAR(10)&amp;IF(K616="","coach: –","coach: "&amp;K616))</f>
        <v>Little  0/4
coach: –</v>
      </c>
    </row>
    <row r="617" customFormat="false" ht="22.35" hidden="false" customHeight="false" outlineLevel="0" collapsed="false">
      <c r="A617" s="76" t="str">
        <f aca="false">B617&amp;"|"&amp;C617&amp;"|"&amp;D617&amp;"|"&amp;E617</f>
        <v>KWC|3|Rabu|10:30</v>
      </c>
      <c r="B617" s="76" t="s">
        <v>63</v>
      </c>
      <c r="C617" s="76" t="n">
        <v>3</v>
      </c>
      <c r="D617" s="76" t="s">
        <v>92</v>
      </c>
      <c r="E617" s="76" t="s">
        <v>99</v>
      </c>
      <c r="F617" s="77" t="s">
        <v>277</v>
      </c>
      <c r="G617" s="77" t="n">
        <v>4</v>
      </c>
      <c r="H617" s="77" t="n">
        <v>0</v>
      </c>
      <c r="I617" s="76" t="n">
        <f aca="false">IF(AND(ISNUMBER(G617),ISNUMBER(H617)),MAX(G617-H617,0),"")</f>
        <v>4</v>
      </c>
      <c r="J617" s="78" t="n">
        <f aca="false">IF(AND(ISNUMBER(G617),ISNUMBER(H617)),IF(G617&gt;0,H617/G617,""),"")</f>
        <v>0</v>
      </c>
      <c r="K617" s="77"/>
      <c r="L617" s="76" t="str">
        <f aca="false">IF(OR(G617="",H617=""),"Data tidak lengkap",IF(AND(G617=0,H617=0),IF(AND(F617="",K617=""),"Tidak dibuka","Tutup"),IF(H617&gt;G617,"Lebih kapasitas",IF(H617=G617,"Penuh",IF(H617=0,IF(F617="","Slot kosong","Belum terisi"),"Sebagian")))))</f>
        <v>Belum terisi</v>
      </c>
      <c r="M617" s="79" t="str">
        <f aca="false">IF(L617="Tidak dibuka","–",IF(F617="","(tanpa age group)",F617)&amp;"  "&amp;IF(H617="","?",H617)&amp;"/"&amp;IF(G617="","?",G617)&amp;CHAR(10)&amp;IF(K617="","coach: –","coach: "&amp;K617))</f>
        <v>Little  0/4
coach: –</v>
      </c>
    </row>
    <row r="618" customFormat="false" ht="22.35" hidden="false" customHeight="false" outlineLevel="0" collapsed="false">
      <c r="A618" s="76" t="str">
        <f aca="false">B618&amp;"|"&amp;C618&amp;"|"&amp;D618&amp;"|"&amp;E618</f>
        <v>KWC|3|Rabu|11:15</v>
      </c>
      <c r="B618" s="76" t="s">
        <v>63</v>
      </c>
      <c r="C618" s="76" t="n">
        <v>3</v>
      </c>
      <c r="D618" s="76" t="s">
        <v>92</v>
      </c>
      <c r="E618" s="76" t="s">
        <v>100</v>
      </c>
      <c r="F618" s="77" t="s">
        <v>277</v>
      </c>
      <c r="G618" s="77" t="n">
        <v>4</v>
      </c>
      <c r="H618" s="77" t="n">
        <v>4</v>
      </c>
      <c r="I618" s="76" t="n">
        <f aca="false">IF(AND(ISNUMBER(G618),ISNUMBER(H618)),MAX(G618-H618,0),"")</f>
        <v>0</v>
      </c>
      <c r="J618" s="78" t="n">
        <f aca="false">IF(AND(ISNUMBER(G618),ISNUMBER(H618)),IF(G618&gt;0,H618/G618,""),"")</f>
        <v>1</v>
      </c>
      <c r="K618" s="77" t="s">
        <v>271</v>
      </c>
      <c r="L618" s="76" t="str">
        <f aca="false">IF(OR(G618="",H618=""),"Data tidak lengkap",IF(AND(G618=0,H618=0),IF(AND(F618="",K618=""),"Tidak dibuka","Tutup"),IF(H618&gt;G618,"Lebih kapasitas",IF(H618=G618,"Penuh",IF(H618=0,IF(F618="","Slot kosong","Belum terisi"),"Sebagian")))))</f>
        <v>Penuh</v>
      </c>
      <c r="M618" s="79" t="str">
        <f aca="false">IF(L618="Tidak dibuka","–",IF(F618="","(tanpa age group)",F618)&amp;"  "&amp;IF(H618="","?",H618)&amp;"/"&amp;IF(G618="","?",G618)&amp;CHAR(10)&amp;IF(K618="","coach: –","coach: "&amp;K618))</f>
        <v>Little  4/4
coach: Icis</v>
      </c>
    </row>
    <row r="619" customFormat="false" ht="22.35" hidden="false" customHeight="false" outlineLevel="0" collapsed="false">
      <c r="A619" s="76" t="str">
        <f aca="false">B619&amp;"|"&amp;C619&amp;"|"&amp;D619&amp;"|"&amp;E619</f>
        <v>KWC|3|Rabu|12:00</v>
      </c>
      <c r="B619" s="76" t="s">
        <v>63</v>
      </c>
      <c r="C619" s="76" t="n">
        <v>3</v>
      </c>
      <c r="D619" s="76" t="s">
        <v>92</v>
      </c>
      <c r="E619" s="76" t="s">
        <v>101</v>
      </c>
      <c r="F619" s="77" t="s">
        <v>277</v>
      </c>
      <c r="G619" s="77" t="n">
        <v>0</v>
      </c>
      <c r="H619" s="77" t="n">
        <v>0</v>
      </c>
      <c r="I619" s="76" t="n">
        <f aca="false">IF(AND(ISNUMBER(G619),ISNUMBER(H619)),MAX(G619-H619,0),"")</f>
        <v>0</v>
      </c>
      <c r="J619" s="78" t="str">
        <f aca="false">IF(AND(ISNUMBER(G619),ISNUMBER(H619)),IF(G619&gt;0,H619/G619,""),"")</f>
        <v/>
      </c>
      <c r="K619" s="77"/>
      <c r="L619" s="76" t="str">
        <f aca="false">IF(OR(G619="",H619=""),"Data tidak lengkap",IF(AND(G619=0,H619=0),IF(AND(F619="",K619=""),"Tidak dibuka","Tutup"),IF(H619&gt;G619,"Lebih kapasitas",IF(H619=G619,"Penuh",IF(H619=0,IF(F619="","Slot kosong","Belum terisi"),"Sebagian")))))</f>
        <v>Tutup</v>
      </c>
      <c r="M619" s="79" t="str">
        <f aca="false">IF(L619="Tidak dibuka","–",IF(F619="","(tanpa age group)",F619)&amp;"  "&amp;IF(H619="","?",H619)&amp;"/"&amp;IF(G619="","?",G619)&amp;CHAR(10)&amp;IF(K619="","coach: –","coach: "&amp;K619))</f>
        <v>Little  0/0
coach: –</v>
      </c>
    </row>
    <row r="620" customFormat="false" ht="22.35" hidden="false" customHeight="false" outlineLevel="0" collapsed="false">
      <c r="A620" s="76" t="str">
        <f aca="false">B620&amp;"|"&amp;C620&amp;"|"&amp;D620&amp;"|"&amp;E620</f>
        <v>KWC|3|Rabu|13:30</v>
      </c>
      <c r="B620" s="76" t="s">
        <v>63</v>
      </c>
      <c r="C620" s="76" t="n">
        <v>3</v>
      </c>
      <c r="D620" s="76" t="s">
        <v>92</v>
      </c>
      <c r="E620" s="76" t="s">
        <v>102</v>
      </c>
      <c r="F620" s="77" t="s">
        <v>277</v>
      </c>
      <c r="G620" s="77" t="n">
        <v>4</v>
      </c>
      <c r="H620" s="77" t="n">
        <v>1</v>
      </c>
      <c r="I620" s="76" t="n">
        <f aca="false">IF(AND(ISNUMBER(G620),ISNUMBER(H620)),MAX(G620-H620,0),"")</f>
        <v>3</v>
      </c>
      <c r="J620" s="78" t="n">
        <f aca="false">IF(AND(ISNUMBER(G620),ISNUMBER(H620)),IF(G620&gt;0,H620/G620,""),"")</f>
        <v>0.25</v>
      </c>
      <c r="K620" s="77" t="s">
        <v>268</v>
      </c>
      <c r="L620" s="76" t="str">
        <f aca="false">IF(OR(G620="",H620=""),"Data tidak lengkap",IF(AND(G620=0,H620=0),IF(AND(F620="",K620=""),"Tidak dibuka","Tutup"),IF(H620&gt;G620,"Lebih kapasitas",IF(H620=G620,"Penuh",IF(H620=0,IF(F620="","Slot kosong","Belum terisi"),"Sebagian")))))</f>
        <v>Sebagian</v>
      </c>
      <c r="M620" s="79" t="str">
        <f aca="false">IF(L620="Tidak dibuka","–",IF(F620="","(tanpa age group)",F620)&amp;"  "&amp;IF(H620="","?",H620)&amp;"/"&amp;IF(G620="","?",G620)&amp;CHAR(10)&amp;IF(K620="","coach: –","coach: "&amp;K620))</f>
        <v>Little  1/4
coach: Andreas</v>
      </c>
    </row>
    <row r="621" customFormat="false" ht="22.35" hidden="false" customHeight="false" outlineLevel="0" collapsed="false">
      <c r="A621" s="76" t="str">
        <f aca="false">B621&amp;"|"&amp;C621&amp;"|"&amp;D621&amp;"|"&amp;E621</f>
        <v>KWC|3|Rabu|14:15</v>
      </c>
      <c r="B621" s="76" t="s">
        <v>63</v>
      </c>
      <c r="C621" s="76" t="n">
        <v>3</v>
      </c>
      <c r="D621" s="76" t="s">
        <v>92</v>
      </c>
      <c r="E621" s="76" t="s">
        <v>103</v>
      </c>
      <c r="F621" s="77" t="s">
        <v>277</v>
      </c>
      <c r="G621" s="77" t="n">
        <v>4</v>
      </c>
      <c r="H621" s="77" t="n">
        <v>3</v>
      </c>
      <c r="I621" s="76" t="n">
        <f aca="false">IF(AND(ISNUMBER(G621),ISNUMBER(H621)),MAX(G621-H621,0),"")</f>
        <v>1</v>
      </c>
      <c r="J621" s="78" t="n">
        <f aca="false">IF(AND(ISNUMBER(G621),ISNUMBER(H621)),IF(G621&gt;0,H621/G621,""),"")</f>
        <v>0.75</v>
      </c>
      <c r="K621" s="77" t="s">
        <v>268</v>
      </c>
      <c r="L621" s="76" t="str">
        <f aca="false">IF(OR(G621="",H621=""),"Data tidak lengkap",IF(AND(G621=0,H621=0),IF(AND(F621="",K621=""),"Tidak dibuka","Tutup"),IF(H621&gt;G621,"Lebih kapasitas",IF(H621=G621,"Penuh",IF(H621=0,IF(F621="","Slot kosong","Belum terisi"),"Sebagian")))))</f>
        <v>Sebagian</v>
      </c>
      <c r="M621" s="79" t="str">
        <f aca="false">IF(L621="Tidak dibuka","–",IF(F621="","(tanpa age group)",F621)&amp;"  "&amp;IF(H621="","?",H621)&amp;"/"&amp;IF(G621="","?",G621)&amp;CHAR(10)&amp;IF(K621="","coach: –","coach: "&amp;K621))</f>
        <v>Little  3/4
coach: Andreas</v>
      </c>
    </row>
    <row r="622" customFormat="false" ht="22.35" hidden="false" customHeight="false" outlineLevel="0" collapsed="false">
      <c r="A622" s="76" t="str">
        <f aca="false">B622&amp;"|"&amp;C622&amp;"|"&amp;D622&amp;"|"&amp;E622</f>
        <v>KWC|3|Rabu|15:00</v>
      </c>
      <c r="B622" s="76" t="s">
        <v>63</v>
      </c>
      <c r="C622" s="76" t="n">
        <v>3</v>
      </c>
      <c r="D622" s="76" t="s">
        <v>92</v>
      </c>
      <c r="E622" s="76" t="s">
        <v>104</v>
      </c>
      <c r="F622" s="77" t="s">
        <v>277</v>
      </c>
      <c r="G622" s="77" t="n">
        <v>4</v>
      </c>
      <c r="H622" s="77" t="n">
        <v>1</v>
      </c>
      <c r="I622" s="76" t="n">
        <f aca="false">IF(AND(ISNUMBER(G622),ISNUMBER(H622)),MAX(G622-H622,0),"")</f>
        <v>3</v>
      </c>
      <c r="J622" s="78" t="n">
        <f aca="false">IF(AND(ISNUMBER(G622),ISNUMBER(H622)),IF(G622&gt;0,H622/G622,""),"")</f>
        <v>0.25</v>
      </c>
      <c r="K622" s="77" t="s">
        <v>272</v>
      </c>
      <c r="L622" s="76" t="str">
        <f aca="false">IF(OR(G622="",H622=""),"Data tidak lengkap",IF(AND(G622=0,H622=0),IF(AND(F622="",K622=""),"Tidak dibuka","Tutup"),IF(H622&gt;G622,"Lebih kapasitas",IF(H622=G622,"Penuh",IF(H622=0,IF(F622="","Slot kosong","Belum terisi"),"Sebagian")))))</f>
        <v>Sebagian</v>
      </c>
      <c r="M622" s="79" t="str">
        <f aca="false">IF(L622="Tidak dibuka","–",IF(F622="","(tanpa age group)",F622)&amp;"  "&amp;IF(H622="","?",H622)&amp;"/"&amp;IF(G622="","?",G622)&amp;CHAR(10)&amp;IF(K622="","coach: –","coach: "&amp;K622))</f>
        <v>Little  1/4
coach: Eriek</v>
      </c>
    </row>
    <row r="623" customFormat="false" ht="22.35" hidden="false" customHeight="false" outlineLevel="0" collapsed="false">
      <c r="A623" s="76" t="str">
        <f aca="false">B623&amp;"|"&amp;C623&amp;"|"&amp;D623&amp;"|"&amp;E623</f>
        <v>KWC|3|Rabu|15:45</v>
      </c>
      <c r="B623" s="76" t="s">
        <v>63</v>
      </c>
      <c r="C623" s="76" t="n">
        <v>3</v>
      </c>
      <c r="D623" s="76" t="s">
        <v>92</v>
      </c>
      <c r="E623" s="76" t="s">
        <v>105</v>
      </c>
      <c r="F623" s="77" t="s">
        <v>277</v>
      </c>
      <c r="G623" s="77" t="n">
        <v>4</v>
      </c>
      <c r="H623" s="77" t="n">
        <v>4</v>
      </c>
      <c r="I623" s="76" t="n">
        <f aca="false">IF(AND(ISNUMBER(G623),ISNUMBER(H623)),MAX(G623-H623,0),"")</f>
        <v>0</v>
      </c>
      <c r="J623" s="78" t="n">
        <f aca="false">IF(AND(ISNUMBER(G623),ISNUMBER(H623)),IF(G623&gt;0,H623/G623,""),"")</f>
        <v>1</v>
      </c>
      <c r="K623" s="77" t="s">
        <v>271</v>
      </c>
      <c r="L623" s="76" t="str">
        <f aca="false">IF(OR(G623="",H623=""),"Data tidak lengkap",IF(AND(G623=0,H623=0),IF(AND(F623="",K623=""),"Tidak dibuka","Tutup"),IF(H623&gt;G623,"Lebih kapasitas",IF(H623=G623,"Penuh",IF(H623=0,IF(F623="","Slot kosong","Belum terisi"),"Sebagian")))))</f>
        <v>Penuh</v>
      </c>
      <c r="M623" s="79" t="str">
        <f aca="false">IF(L623="Tidak dibuka","–",IF(F623="","(tanpa age group)",F623)&amp;"  "&amp;IF(H623="","?",H623)&amp;"/"&amp;IF(G623="","?",G623)&amp;CHAR(10)&amp;IF(K623="","coach: –","coach: "&amp;K623))</f>
        <v>Little  4/4
coach: Icis</v>
      </c>
    </row>
    <row r="624" customFormat="false" ht="22.35" hidden="false" customHeight="false" outlineLevel="0" collapsed="false">
      <c r="A624" s="76" t="str">
        <f aca="false">B624&amp;"|"&amp;C624&amp;"|"&amp;D624&amp;"|"&amp;E624</f>
        <v>KWC|3|Rabu|16:30</v>
      </c>
      <c r="B624" s="76" t="s">
        <v>63</v>
      </c>
      <c r="C624" s="76" t="n">
        <v>3</v>
      </c>
      <c r="D624" s="76" t="s">
        <v>92</v>
      </c>
      <c r="E624" s="76" t="s">
        <v>106</v>
      </c>
      <c r="F624" s="77" t="s">
        <v>277</v>
      </c>
      <c r="G624" s="77" t="n">
        <v>4</v>
      </c>
      <c r="H624" s="77" t="n">
        <v>3</v>
      </c>
      <c r="I624" s="76" t="n">
        <f aca="false">IF(AND(ISNUMBER(G624),ISNUMBER(H624)),MAX(G624-H624,0),"")</f>
        <v>1</v>
      </c>
      <c r="J624" s="78" t="n">
        <f aca="false">IF(AND(ISNUMBER(G624),ISNUMBER(H624)),IF(G624&gt;0,H624/G624,""),"")</f>
        <v>0.75</v>
      </c>
      <c r="K624" s="77" t="s">
        <v>272</v>
      </c>
      <c r="L624" s="76" t="str">
        <f aca="false">IF(OR(G624="",H624=""),"Data tidak lengkap",IF(AND(G624=0,H624=0),IF(AND(F624="",K624=""),"Tidak dibuka","Tutup"),IF(H624&gt;G624,"Lebih kapasitas",IF(H624=G624,"Penuh",IF(H624=0,IF(F624="","Slot kosong","Belum terisi"),"Sebagian")))))</f>
        <v>Sebagian</v>
      </c>
      <c r="M624" s="79" t="str">
        <f aca="false">IF(L624="Tidak dibuka","–",IF(F624="","(tanpa age group)",F624)&amp;"  "&amp;IF(H624="","?",H624)&amp;"/"&amp;IF(G624="","?",G624)&amp;CHAR(10)&amp;IF(K624="","coach: –","coach: "&amp;K624))</f>
        <v>Little  3/4
coach: Eriek</v>
      </c>
    </row>
    <row r="625" customFormat="false" ht="22.35" hidden="false" customHeight="false" outlineLevel="0" collapsed="false">
      <c r="A625" s="76" t="str">
        <f aca="false">B625&amp;"|"&amp;C625&amp;"|"&amp;D625&amp;"|"&amp;E625</f>
        <v>KWC|3|Rabu|17:15</v>
      </c>
      <c r="B625" s="76" t="s">
        <v>63</v>
      </c>
      <c r="C625" s="76" t="n">
        <v>3</v>
      </c>
      <c r="D625" s="76" t="s">
        <v>92</v>
      </c>
      <c r="E625" s="76" t="s">
        <v>107</v>
      </c>
      <c r="F625" s="77" t="s">
        <v>277</v>
      </c>
      <c r="G625" s="77" t="n">
        <v>4</v>
      </c>
      <c r="H625" s="77" t="n">
        <v>4</v>
      </c>
      <c r="I625" s="76" t="n">
        <f aca="false">IF(AND(ISNUMBER(G625),ISNUMBER(H625)),MAX(G625-H625,0),"")</f>
        <v>0</v>
      </c>
      <c r="J625" s="78" t="n">
        <f aca="false">IF(AND(ISNUMBER(G625),ISNUMBER(H625)),IF(G625&gt;0,H625/G625,""),"")</f>
        <v>1</v>
      </c>
      <c r="K625" s="77" t="s">
        <v>269</v>
      </c>
      <c r="L625" s="76" t="str">
        <f aca="false">IF(OR(G625="",H625=""),"Data tidak lengkap",IF(AND(G625=0,H625=0),IF(AND(F625="",K625=""),"Tidak dibuka","Tutup"),IF(H625&gt;G625,"Lebih kapasitas",IF(H625=G625,"Penuh",IF(H625=0,IF(F625="","Slot kosong","Belum terisi"),"Sebagian")))))</f>
        <v>Penuh</v>
      </c>
      <c r="M625" s="79" t="str">
        <f aca="false">IF(L625="Tidak dibuka","–",IF(F625="","(tanpa age group)",F625)&amp;"  "&amp;IF(H625="","?",H625)&amp;"/"&amp;IF(G625="","?",G625)&amp;CHAR(10)&amp;IF(K625="","coach: –","coach: "&amp;K625))</f>
        <v>Little  4/4
coach: Nabila</v>
      </c>
    </row>
    <row r="626" customFormat="false" ht="22.35" hidden="false" customHeight="false" outlineLevel="0" collapsed="false">
      <c r="A626" s="76" t="str">
        <f aca="false">B626&amp;"|"&amp;C626&amp;"|"&amp;D626&amp;"|"&amp;E626</f>
        <v>KWC|3|Kamis|09:00</v>
      </c>
      <c r="B626" s="76" t="s">
        <v>63</v>
      </c>
      <c r="C626" s="76" t="n">
        <v>3</v>
      </c>
      <c r="D626" s="76" t="s">
        <v>93</v>
      </c>
      <c r="E626" s="76" t="s">
        <v>97</v>
      </c>
      <c r="F626" s="77" t="s">
        <v>277</v>
      </c>
      <c r="G626" s="77" t="n">
        <v>4</v>
      </c>
      <c r="H626" s="77" t="n">
        <v>0</v>
      </c>
      <c r="I626" s="76" t="n">
        <f aca="false">IF(AND(ISNUMBER(G626),ISNUMBER(H626)),MAX(G626-H626,0),"")</f>
        <v>4</v>
      </c>
      <c r="J626" s="78" t="n">
        <f aca="false">IF(AND(ISNUMBER(G626),ISNUMBER(H626)),IF(G626&gt;0,H626/G626,""),"")</f>
        <v>0</v>
      </c>
      <c r="K626" s="77"/>
      <c r="L626" s="76" t="str">
        <f aca="false">IF(OR(G626="",H626=""),"Data tidak lengkap",IF(AND(G626=0,H626=0),IF(AND(F626="",K626=""),"Tidak dibuka","Tutup"),IF(H626&gt;G626,"Lebih kapasitas",IF(H626=G626,"Penuh",IF(H626=0,IF(F626="","Slot kosong","Belum terisi"),"Sebagian")))))</f>
        <v>Belum terisi</v>
      </c>
      <c r="M626" s="79" t="str">
        <f aca="false">IF(L626="Tidak dibuka","–",IF(F626="","(tanpa age group)",F626)&amp;"  "&amp;IF(H626="","?",H626)&amp;"/"&amp;IF(G626="","?",G626)&amp;CHAR(10)&amp;IF(K626="","coach: –","coach: "&amp;K626))</f>
        <v>Little  0/4
coach: –</v>
      </c>
    </row>
    <row r="627" customFormat="false" ht="22.35" hidden="false" customHeight="false" outlineLevel="0" collapsed="false">
      <c r="A627" s="76" t="str">
        <f aca="false">B627&amp;"|"&amp;C627&amp;"|"&amp;D627&amp;"|"&amp;E627</f>
        <v>KWC|3|Kamis|09:45</v>
      </c>
      <c r="B627" s="76" t="s">
        <v>63</v>
      </c>
      <c r="C627" s="76" t="n">
        <v>3</v>
      </c>
      <c r="D627" s="76" t="s">
        <v>93</v>
      </c>
      <c r="E627" s="76" t="s">
        <v>98</v>
      </c>
      <c r="F627" s="77" t="s">
        <v>277</v>
      </c>
      <c r="G627" s="77" t="n">
        <v>4</v>
      </c>
      <c r="H627" s="77" t="n">
        <v>2</v>
      </c>
      <c r="I627" s="76" t="n">
        <f aca="false">IF(AND(ISNUMBER(G627),ISNUMBER(H627)),MAX(G627-H627,0),"")</f>
        <v>2</v>
      </c>
      <c r="J627" s="78" t="n">
        <f aca="false">IF(AND(ISNUMBER(G627),ISNUMBER(H627)),IF(G627&gt;0,H627/G627,""),"")</f>
        <v>0.5</v>
      </c>
      <c r="K627" s="77" t="s">
        <v>269</v>
      </c>
      <c r="L627" s="76" t="str">
        <f aca="false">IF(OR(G627="",H627=""),"Data tidak lengkap",IF(AND(G627=0,H627=0),IF(AND(F627="",K627=""),"Tidak dibuka","Tutup"),IF(H627&gt;G627,"Lebih kapasitas",IF(H627=G627,"Penuh",IF(H627=0,IF(F627="","Slot kosong","Belum terisi"),"Sebagian")))))</f>
        <v>Sebagian</v>
      </c>
      <c r="M627" s="79" t="str">
        <f aca="false">IF(L627="Tidak dibuka","–",IF(F627="","(tanpa age group)",F627)&amp;"  "&amp;IF(H627="","?",H627)&amp;"/"&amp;IF(G627="","?",G627)&amp;CHAR(10)&amp;IF(K627="","coach: –","coach: "&amp;K627))</f>
        <v>Little  2/4
coach: Nabila</v>
      </c>
    </row>
    <row r="628" customFormat="false" ht="22.35" hidden="false" customHeight="false" outlineLevel="0" collapsed="false">
      <c r="A628" s="76" t="str">
        <f aca="false">B628&amp;"|"&amp;C628&amp;"|"&amp;D628&amp;"|"&amp;E628</f>
        <v>KWC|3|Kamis|10:30</v>
      </c>
      <c r="B628" s="76" t="s">
        <v>63</v>
      </c>
      <c r="C628" s="76" t="n">
        <v>3</v>
      </c>
      <c r="D628" s="76" t="s">
        <v>93</v>
      </c>
      <c r="E628" s="76" t="s">
        <v>99</v>
      </c>
      <c r="F628" s="77" t="s">
        <v>277</v>
      </c>
      <c r="G628" s="77" t="n">
        <v>4</v>
      </c>
      <c r="H628" s="77" t="n">
        <v>0</v>
      </c>
      <c r="I628" s="76" t="n">
        <f aca="false">IF(AND(ISNUMBER(G628),ISNUMBER(H628)),MAX(G628-H628,0),"")</f>
        <v>4</v>
      </c>
      <c r="J628" s="78" t="n">
        <f aca="false">IF(AND(ISNUMBER(G628),ISNUMBER(H628)),IF(G628&gt;0,H628/G628,""),"")</f>
        <v>0</v>
      </c>
      <c r="K628" s="77"/>
      <c r="L628" s="76" t="str">
        <f aca="false">IF(OR(G628="",H628=""),"Data tidak lengkap",IF(AND(G628=0,H628=0),IF(AND(F628="",K628=""),"Tidak dibuka","Tutup"),IF(H628&gt;G628,"Lebih kapasitas",IF(H628=G628,"Penuh",IF(H628=0,IF(F628="","Slot kosong","Belum terisi"),"Sebagian")))))</f>
        <v>Belum terisi</v>
      </c>
      <c r="M628" s="79" t="str">
        <f aca="false">IF(L628="Tidak dibuka","–",IF(F628="","(tanpa age group)",F628)&amp;"  "&amp;IF(H628="","?",H628)&amp;"/"&amp;IF(G628="","?",G628)&amp;CHAR(10)&amp;IF(K628="","coach: –","coach: "&amp;K628))</f>
        <v>Little  0/4
coach: –</v>
      </c>
    </row>
    <row r="629" customFormat="false" ht="22.35" hidden="false" customHeight="false" outlineLevel="0" collapsed="false">
      <c r="A629" s="76" t="str">
        <f aca="false">B629&amp;"|"&amp;C629&amp;"|"&amp;D629&amp;"|"&amp;E629</f>
        <v>KWC|3|Kamis|11:15</v>
      </c>
      <c r="B629" s="76" t="s">
        <v>63</v>
      </c>
      <c r="C629" s="76" t="n">
        <v>3</v>
      </c>
      <c r="D629" s="76" t="s">
        <v>93</v>
      </c>
      <c r="E629" s="76" t="s">
        <v>100</v>
      </c>
      <c r="F629" s="77" t="s">
        <v>277</v>
      </c>
      <c r="G629" s="77" t="n">
        <v>4</v>
      </c>
      <c r="H629" s="77" t="n">
        <v>2</v>
      </c>
      <c r="I629" s="76" t="n">
        <f aca="false">IF(AND(ISNUMBER(G629),ISNUMBER(H629)),MAX(G629-H629,0),"")</f>
        <v>2</v>
      </c>
      <c r="J629" s="78" t="n">
        <f aca="false">IF(AND(ISNUMBER(G629),ISNUMBER(H629)),IF(G629&gt;0,H629/G629,""),"")</f>
        <v>0.5</v>
      </c>
      <c r="K629" s="77" t="s">
        <v>271</v>
      </c>
      <c r="L629" s="76" t="str">
        <f aca="false">IF(OR(G629="",H629=""),"Data tidak lengkap",IF(AND(G629=0,H629=0),IF(AND(F629="",K629=""),"Tidak dibuka","Tutup"),IF(H629&gt;G629,"Lebih kapasitas",IF(H629=G629,"Penuh",IF(H629=0,IF(F629="","Slot kosong","Belum terisi"),"Sebagian")))))</f>
        <v>Sebagian</v>
      </c>
      <c r="M629" s="79" t="str">
        <f aca="false">IF(L629="Tidak dibuka","–",IF(F629="","(tanpa age group)",F629)&amp;"  "&amp;IF(H629="","?",H629)&amp;"/"&amp;IF(G629="","?",G629)&amp;CHAR(10)&amp;IF(K629="","coach: –","coach: "&amp;K629))</f>
        <v>Little  2/4
coach: Icis</v>
      </c>
    </row>
    <row r="630" customFormat="false" ht="22.35" hidden="false" customHeight="false" outlineLevel="0" collapsed="false">
      <c r="A630" s="76" t="str">
        <f aca="false">B630&amp;"|"&amp;C630&amp;"|"&amp;D630&amp;"|"&amp;E630</f>
        <v>KWC|3|Kamis|12:00</v>
      </c>
      <c r="B630" s="76" t="s">
        <v>63</v>
      </c>
      <c r="C630" s="76" t="n">
        <v>3</v>
      </c>
      <c r="D630" s="76" t="s">
        <v>93</v>
      </c>
      <c r="E630" s="76" t="s">
        <v>101</v>
      </c>
      <c r="F630" s="77" t="s">
        <v>277</v>
      </c>
      <c r="G630" s="77" t="n">
        <v>0</v>
      </c>
      <c r="H630" s="77" t="n">
        <v>0</v>
      </c>
      <c r="I630" s="76" t="n">
        <f aca="false">IF(AND(ISNUMBER(G630),ISNUMBER(H630)),MAX(G630-H630,0),"")</f>
        <v>0</v>
      </c>
      <c r="J630" s="78" t="str">
        <f aca="false">IF(AND(ISNUMBER(G630),ISNUMBER(H630)),IF(G630&gt;0,H630/G630,""),"")</f>
        <v/>
      </c>
      <c r="K630" s="77"/>
      <c r="L630" s="76" t="str">
        <f aca="false">IF(OR(G630="",H630=""),"Data tidak lengkap",IF(AND(G630=0,H630=0),IF(AND(F630="",K630=""),"Tidak dibuka","Tutup"),IF(H630&gt;G630,"Lebih kapasitas",IF(H630=G630,"Penuh",IF(H630=0,IF(F630="","Slot kosong","Belum terisi"),"Sebagian")))))</f>
        <v>Tutup</v>
      </c>
      <c r="M630" s="79" t="str">
        <f aca="false">IF(L630="Tidak dibuka","–",IF(F630="","(tanpa age group)",F630)&amp;"  "&amp;IF(H630="","?",H630)&amp;"/"&amp;IF(G630="","?",G630)&amp;CHAR(10)&amp;IF(K630="","coach: –","coach: "&amp;K630))</f>
        <v>Little  0/0
coach: –</v>
      </c>
    </row>
    <row r="631" customFormat="false" ht="22.35" hidden="false" customHeight="false" outlineLevel="0" collapsed="false">
      <c r="A631" s="76" t="str">
        <f aca="false">B631&amp;"|"&amp;C631&amp;"|"&amp;D631&amp;"|"&amp;E631</f>
        <v>KWC|3|Kamis|13:30</v>
      </c>
      <c r="B631" s="76" t="s">
        <v>63</v>
      </c>
      <c r="C631" s="76" t="n">
        <v>3</v>
      </c>
      <c r="D631" s="76" t="s">
        <v>93</v>
      </c>
      <c r="E631" s="76" t="s">
        <v>102</v>
      </c>
      <c r="F631" s="77" t="s">
        <v>277</v>
      </c>
      <c r="G631" s="77" t="n">
        <v>4</v>
      </c>
      <c r="H631" s="77" t="n">
        <v>0</v>
      </c>
      <c r="I631" s="76" t="n">
        <f aca="false">IF(AND(ISNUMBER(G631),ISNUMBER(H631)),MAX(G631-H631,0),"")</f>
        <v>4</v>
      </c>
      <c r="J631" s="78" t="n">
        <f aca="false">IF(AND(ISNUMBER(G631),ISNUMBER(H631)),IF(G631&gt;0,H631/G631,""),"")</f>
        <v>0</v>
      </c>
      <c r="K631" s="77"/>
      <c r="L631" s="76" t="str">
        <f aca="false">IF(OR(G631="",H631=""),"Data tidak lengkap",IF(AND(G631=0,H631=0),IF(AND(F631="",K631=""),"Tidak dibuka","Tutup"),IF(H631&gt;G631,"Lebih kapasitas",IF(H631=G631,"Penuh",IF(H631=0,IF(F631="","Slot kosong","Belum terisi"),"Sebagian")))))</f>
        <v>Belum terisi</v>
      </c>
      <c r="M631" s="79" t="str">
        <f aca="false">IF(L631="Tidak dibuka","–",IF(F631="","(tanpa age group)",F631)&amp;"  "&amp;IF(H631="","?",H631)&amp;"/"&amp;IF(G631="","?",G631)&amp;CHAR(10)&amp;IF(K631="","coach: –","coach: "&amp;K631))</f>
        <v>Little  0/4
coach: –</v>
      </c>
    </row>
    <row r="632" customFormat="false" ht="22.35" hidden="false" customHeight="false" outlineLevel="0" collapsed="false">
      <c r="A632" s="76" t="str">
        <f aca="false">B632&amp;"|"&amp;C632&amp;"|"&amp;D632&amp;"|"&amp;E632</f>
        <v>KWC|3|Kamis|14:15</v>
      </c>
      <c r="B632" s="76" t="s">
        <v>63</v>
      </c>
      <c r="C632" s="76" t="n">
        <v>3</v>
      </c>
      <c r="D632" s="76" t="s">
        <v>93</v>
      </c>
      <c r="E632" s="76" t="s">
        <v>103</v>
      </c>
      <c r="F632" s="77" t="s">
        <v>277</v>
      </c>
      <c r="G632" s="77" t="n">
        <v>4</v>
      </c>
      <c r="H632" s="77" t="n">
        <v>3</v>
      </c>
      <c r="I632" s="76" t="n">
        <f aca="false">IF(AND(ISNUMBER(G632),ISNUMBER(H632)),MAX(G632-H632,0),"")</f>
        <v>1</v>
      </c>
      <c r="J632" s="78" t="n">
        <f aca="false">IF(AND(ISNUMBER(G632),ISNUMBER(H632)),IF(G632&gt;0,H632/G632,""),"")</f>
        <v>0.75</v>
      </c>
      <c r="K632" s="77" t="s">
        <v>271</v>
      </c>
      <c r="L632" s="76" t="str">
        <f aca="false">IF(OR(G632="",H632=""),"Data tidak lengkap",IF(AND(G632=0,H632=0),IF(AND(F632="",K632=""),"Tidak dibuka","Tutup"),IF(H632&gt;G632,"Lebih kapasitas",IF(H632=G632,"Penuh",IF(H632=0,IF(F632="","Slot kosong","Belum terisi"),"Sebagian")))))</f>
        <v>Sebagian</v>
      </c>
      <c r="M632" s="79" t="str">
        <f aca="false">IF(L632="Tidak dibuka","–",IF(F632="","(tanpa age group)",F632)&amp;"  "&amp;IF(H632="","?",H632)&amp;"/"&amp;IF(G632="","?",G632)&amp;CHAR(10)&amp;IF(K632="","coach: –","coach: "&amp;K632))</f>
        <v>Little  3/4
coach: Icis</v>
      </c>
    </row>
    <row r="633" customFormat="false" ht="22.35" hidden="false" customHeight="false" outlineLevel="0" collapsed="false">
      <c r="A633" s="76" t="str">
        <f aca="false">B633&amp;"|"&amp;C633&amp;"|"&amp;D633&amp;"|"&amp;E633</f>
        <v>KWC|3|Kamis|15:00</v>
      </c>
      <c r="B633" s="76" t="s">
        <v>63</v>
      </c>
      <c r="C633" s="76" t="n">
        <v>3</v>
      </c>
      <c r="D633" s="76" t="s">
        <v>93</v>
      </c>
      <c r="E633" s="76" t="s">
        <v>104</v>
      </c>
      <c r="F633" s="77" t="s">
        <v>277</v>
      </c>
      <c r="G633" s="77" t="n">
        <v>4</v>
      </c>
      <c r="H633" s="77" t="n">
        <v>3</v>
      </c>
      <c r="I633" s="76" t="n">
        <f aca="false">IF(AND(ISNUMBER(G633),ISNUMBER(H633)),MAX(G633-H633,0),"")</f>
        <v>1</v>
      </c>
      <c r="J633" s="78" t="n">
        <f aca="false">IF(AND(ISNUMBER(G633),ISNUMBER(H633)),IF(G633&gt;0,H633/G633,""),"")</f>
        <v>0.75</v>
      </c>
      <c r="K633" s="77" t="s">
        <v>275</v>
      </c>
      <c r="L633" s="76" t="str">
        <f aca="false">IF(OR(G633="",H633=""),"Data tidak lengkap",IF(AND(G633=0,H633=0),IF(AND(F633="",K633=""),"Tidak dibuka","Tutup"),IF(H633&gt;G633,"Lebih kapasitas",IF(H633=G633,"Penuh",IF(H633=0,IF(F633="","Slot kosong","Belum terisi"),"Sebagian")))))</f>
        <v>Sebagian</v>
      </c>
      <c r="M633" s="79" t="str">
        <f aca="false">IF(L633="Tidak dibuka","–",IF(F633="","(tanpa age group)",F633)&amp;"  "&amp;IF(H633="","?",H633)&amp;"/"&amp;IF(G633="","?",G633)&amp;CHAR(10)&amp;IF(K633="","coach: –","coach: "&amp;K633))</f>
        <v>Little  3/4
coach: Ziran</v>
      </c>
    </row>
    <row r="634" customFormat="false" ht="22.35" hidden="false" customHeight="false" outlineLevel="0" collapsed="false">
      <c r="A634" s="76" t="str">
        <f aca="false">B634&amp;"|"&amp;C634&amp;"|"&amp;D634&amp;"|"&amp;E634</f>
        <v>KWC|3|Kamis|15:45</v>
      </c>
      <c r="B634" s="76" t="s">
        <v>63</v>
      </c>
      <c r="C634" s="76" t="n">
        <v>3</v>
      </c>
      <c r="D634" s="76" t="s">
        <v>93</v>
      </c>
      <c r="E634" s="76" t="s">
        <v>105</v>
      </c>
      <c r="F634" s="77" t="s">
        <v>277</v>
      </c>
      <c r="G634" s="77" t="n">
        <v>4</v>
      </c>
      <c r="H634" s="77" t="n">
        <v>4</v>
      </c>
      <c r="I634" s="76" t="n">
        <f aca="false">IF(AND(ISNUMBER(G634),ISNUMBER(H634)),MAX(G634-H634,0),"")</f>
        <v>0</v>
      </c>
      <c r="J634" s="78" t="n">
        <f aca="false">IF(AND(ISNUMBER(G634),ISNUMBER(H634)),IF(G634&gt;0,H634/G634,""),"")</f>
        <v>1</v>
      </c>
      <c r="K634" s="77" t="s">
        <v>269</v>
      </c>
      <c r="L634" s="76" t="str">
        <f aca="false">IF(OR(G634="",H634=""),"Data tidak lengkap",IF(AND(G634=0,H634=0),IF(AND(F634="",K634=""),"Tidak dibuka","Tutup"),IF(H634&gt;G634,"Lebih kapasitas",IF(H634=G634,"Penuh",IF(H634=0,IF(F634="","Slot kosong","Belum terisi"),"Sebagian")))))</f>
        <v>Penuh</v>
      </c>
      <c r="M634" s="79" t="str">
        <f aca="false">IF(L634="Tidak dibuka","–",IF(F634="","(tanpa age group)",F634)&amp;"  "&amp;IF(H634="","?",H634)&amp;"/"&amp;IF(G634="","?",G634)&amp;CHAR(10)&amp;IF(K634="","coach: –","coach: "&amp;K634))</f>
        <v>Little  4/4
coach: Nabila</v>
      </c>
    </row>
    <row r="635" customFormat="false" ht="22.35" hidden="false" customHeight="false" outlineLevel="0" collapsed="false">
      <c r="A635" s="76" t="str">
        <f aca="false">B635&amp;"|"&amp;C635&amp;"|"&amp;D635&amp;"|"&amp;E635</f>
        <v>KWC|3|Kamis|16:30</v>
      </c>
      <c r="B635" s="76" t="s">
        <v>63</v>
      </c>
      <c r="C635" s="76" t="n">
        <v>3</v>
      </c>
      <c r="D635" s="76" t="s">
        <v>93</v>
      </c>
      <c r="E635" s="76" t="s">
        <v>106</v>
      </c>
      <c r="F635" s="77" t="s">
        <v>277</v>
      </c>
      <c r="G635" s="77" t="n">
        <v>4</v>
      </c>
      <c r="H635" s="77" t="n">
        <v>0</v>
      </c>
      <c r="I635" s="76" t="n">
        <f aca="false">IF(AND(ISNUMBER(G635),ISNUMBER(H635)),MAX(G635-H635,0),"")</f>
        <v>4</v>
      </c>
      <c r="J635" s="78" t="n">
        <f aca="false">IF(AND(ISNUMBER(G635),ISNUMBER(H635)),IF(G635&gt;0,H635/G635,""),"")</f>
        <v>0</v>
      </c>
      <c r="K635" s="77"/>
      <c r="L635" s="76" t="str">
        <f aca="false">IF(OR(G635="",H635=""),"Data tidak lengkap",IF(AND(G635=0,H635=0),IF(AND(F635="",K635=""),"Tidak dibuka","Tutup"),IF(H635&gt;G635,"Lebih kapasitas",IF(H635=G635,"Penuh",IF(H635=0,IF(F635="","Slot kosong","Belum terisi"),"Sebagian")))))</f>
        <v>Belum terisi</v>
      </c>
      <c r="M635" s="79" t="str">
        <f aca="false">IF(L635="Tidak dibuka","–",IF(F635="","(tanpa age group)",F635)&amp;"  "&amp;IF(H635="","?",H635)&amp;"/"&amp;IF(G635="","?",G635)&amp;CHAR(10)&amp;IF(K635="","coach: –","coach: "&amp;K635))</f>
        <v>Little  0/4
coach: –</v>
      </c>
    </row>
    <row r="636" customFormat="false" ht="22.35" hidden="false" customHeight="false" outlineLevel="0" collapsed="false">
      <c r="A636" s="76" t="str">
        <f aca="false">B636&amp;"|"&amp;C636&amp;"|"&amp;D636&amp;"|"&amp;E636</f>
        <v>KWC|3|Kamis|17:15</v>
      </c>
      <c r="B636" s="76" t="s">
        <v>63</v>
      </c>
      <c r="C636" s="76" t="n">
        <v>3</v>
      </c>
      <c r="D636" s="76" t="s">
        <v>93</v>
      </c>
      <c r="E636" s="76" t="s">
        <v>107</v>
      </c>
      <c r="F636" s="77" t="s">
        <v>277</v>
      </c>
      <c r="G636" s="77" t="n">
        <v>4</v>
      </c>
      <c r="H636" s="77" t="n">
        <v>2</v>
      </c>
      <c r="I636" s="76" t="n">
        <f aca="false">IF(AND(ISNUMBER(G636),ISNUMBER(H636)),MAX(G636-H636,0),"")</f>
        <v>2</v>
      </c>
      <c r="J636" s="78" t="n">
        <f aca="false">IF(AND(ISNUMBER(G636),ISNUMBER(H636)),IF(G636&gt;0,H636/G636,""),"")</f>
        <v>0.5</v>
      </c>
      <c r="K636" s="77" t="s">
        <v>269</v>
      </c>
      <c r="L636" s="76" t="str">
        <f aca="false">IF(OR(G636="",H636=""),"Data tidak lengkap",IF(AND(G636=0,H636=0),IF(AND(F636="",K636=""),"Tidak dibuka","Tutup"),IF(H636&gt;G636,"Lebih kapasitas",IF(H636=G636,"Penuh",IF(H636=0,IF(F636="","Slot kosong","Belum terisi"),"Sebagian")))))</f>
        <v>Sebagian</v>
      </c>
      <c r="M636" s="79" t="str">
        <f aca="false">IF(L636="Tidak dibuka","–",IF(F636="","(tanpa age group)",F636)&amp;"  "&amp;IF(H636="","?",H636)&amp;"/"&amp;IF(G636="","?",G636)&amp;CHAR(10)&amp;IF(K636="","coach: –","coach: "&amp;K636))</f>
        <v>Little  2/4
coach: Nabila</v>
      </c>
    </row>
    <row r="637" customFormat="false" ht="22.35" hidden="false" customHeight="false" outlineLevel="0" collapsed="false">
      <c r="A637" s="76" t="str">
        <f aca="false">B637&amp;"|"&amp;C637&amp;"|"&amp;D637&amp;"|"&amp;E637</f>
        <v>KWC|3|Jumat|08:15</v>
      </c>
      <c r="B637" s="76" t="s">
        <v>63</v>
      </c>
      <c r="C637" s="76" t="n">
        <v>3</v>
      </c>
      <c r="D637" s="76" t="s">
        <v>94</v>
      </c>
      <c r="E637" s="76" t="s">
        <v>96</v>
      </c>
      <c r="F637" s="77" t="s">
        <v>277</v>
      </c>
      <c r="G637" s="77" t="n">
        <v>0</v>
      </c>
      <c r="H637" s="77" t="n">
        <v>0</v>
      </c>
      <c r="I637" s="76" t="n">
        <f aca="false">IF(AND(ISNUMBER(G637),ISNUMBER(H637)),MAX(G637-H637,0),"")</f>
        <v>0</v>
      </c>
      <c r="J637" s="78" t="str">
        <f aca="false">IF(AND(ISNUMBER(G637),ISNUMBER(H637)),IF(G637&gt;0,H637/G637,""),"")</f>
        <v/>
      </c>
      <c r="K637" s="77"/>
      <c r="L637" s="76" t="str">
        <f aca="false">IF(OR(G637="",H637=""),"Data tidak lengkap",IF(AND(G637=0,H637=0),IF(AND(F637="",K637=""),"Tidak dibuka","Tutup"),IF(H637&gt;G637,"Lebih kapasitas",IF(H637=G637,"Penuh",IF(H637=0,IF(F637="","Slot kosong","Belum terisi"),"Sebagian")))))</f>
        <v>Tutup</v>
      </c>
      <c r="M637" s="79" t="str">
        <f aca="false">IF(L637="Tidak dibuka","–",IF(F637="","(tanpa age group)",F637)&amp;"  "&amp;IF(H637="","?",H637)&amp;"/"&amp;IF(G637="","?",G637)&amp;CHAR(10)&amp;IF(K637="","coach: –","coach: "&amp;K637))</f>
        <v>Little  0/0
coach: –</v>
      </c>
    </row>
    <row r="638" customFormat="false" ht="22.35" hidden="false" customHeight="false" outlineLevel="0" collapsed="false">
      <c r="A638" s="76" t="str">
        <f aca="false">B638&amp;"|"&amp;C638&amp;"|"&amp;D638&amp;"|"&amp;E638</f>
        <v>KWC|3|Jumat|09:00</v>
      </c>
      <c r="B638" s="76" t="s">
        <v>63</v>
      </c>
      <c r="C638" s="76" t="n">
        <v>3</v>
      </c>
      <c r="D638" s="76" t="s">
        <v>94</v>
      </c>
      <c r="E638" s="76" t="s">
        <v>97</v>
      </c>
      <c r="F638" s="77" t="s">
        <v>277</v>
      </c>
      <c r="G638" s="77" t="n">
        <v>4</v>
      </c>
      <c r="H638" s="77" t="n">
        <v>0</v>
      </c>
      <c r="I638" s="76" t="n">
        <f aca="false">IF(AND(ISNUMBER(G638),ISNUMBER(H638)),MAX(G638-H638,0),"")</f>
        <v>4</v>
      </c>
      <c r="J638" s="78" t="n">
        <f aca="false">IF(AND(ISNUMBER(G638),ISNUMBER(H638)),IF(G638&gt;0,H638/G638,""),"")</f>
        <v>0</v>
      </c>
      <c r="K638" s="77"/>
      <c r="L638" s="76" t="str">
        <f aca="false">IF(OR(G638="",H638=""),"Data tidak lengkap",IF(AND(G638=0,H638=0),IF(AND(F638="",K638=""),"Tidak dibuka","Tutup"),IF(H638&gt;G638,"Lebih kapasitas",IF(H638=G638,"Penuh",IF(H638=0,IF(F638="","Slot kosong","Belum terisi"),"Sebagian")))))</f>
        <v>Belum terisi</v>
      </c>
      <c r="M638" s="79" t="str">
        <f aca="false">IF(L638="Tidak dibuka","–",IF(F638="","(tanpa age group)",F638)&amp;"  "&amp;IF(H638="","?",H638)&amp;"/"&amp;IF(G638="","?",G638)&amp;CHAR(10)&amp;IF(K638="","coach: –","coach: "&amp;K638))</f>
        <v>Little  0/4
coach: –</v>
      </c>
    </row>
    <row r="639" customFormat="false" ht="22.35" hidden="false" customHeight="false" outlineLevel="0" collapsed="false">
      <c r="A639" s="76" t="str">
        <f aca="false">B639&amp;"|"&amp;C639&amp;"|"&amp;D639&amp;"|"&amp;E639</f>
        <v>KWC|3|Jumat|09:45</v>
      </c>
      <c r="B639" s="76" t="s">
        <v>63</v>
      </c>
      <c r="C639" s="76" t="n">
        <v>3</v>
      </c>
      <c r="D639" s="76" t="s">
        <v>94</v>
      </c>
      <c r="E639" s="76" t="s">
        <v>98</v>
      </c>
      <c r="F639" s="77" t="s">
        <v>277</v>
      </c>
      <c r="G639" s="77" t="n">
        <v>4</v>
      </c>
      <c r="H639" s="77" t="n">
        <v>3</v>
      </c>
      <c r="I639" s="76" t="n">
        <f aca="false">IF(AND(ISNUMBER(G639),ISNUMBER(H639)),MAX(G639-H639,0),"")</f>
        <v>1</v>
      </c>
      <c r="J639" s="78" t="n">
        <f aca="false">IF(AND(ISNUMBER(G639),ISNUMBER(H639)),IF(G639&gt;0,H639/G639,""),"")</f>
        <v>0.75</v>
      </c>
      <c r="K639" s="77" t="s">
        <v>267</v>
      </c>
      <c r="L639" s="76" t="str">
        <f aca="false">IF(OR(G639="",H639=""),"Data tidak lengkap",IF(AND(G639=0,H639=0),IF(AND(F639="",K639=""),"Tidak dibuka","Tutup"),IF(H639&gt;G639,"Lebih kapasitas",IF(H639=G639,"Penuh",IF(H639=0,IF(F639="","Slot kosong","Belum terisi"),"Sebagian")))))</f>
        <v>Sebagian</v>
      </c>
      <c r="M639" s="79" t="str">
        <f aca="false">IF(L639="Tidak dibuka","–",IF(F639="","(tanpa age group)",F639)&amp;"  "&amp;IF(H639="","?",H639)&amp;"/"&amp;IF(G639="","?",G639)&amp;CHAR(10)&amp;IF(K639="","coach: –","coach: "&amp;K639))</f>
        <v>Little  3/4
coach: Deyon</v>
      </c>
    </row>
    <row r="640" customFormat="false" ht="22.35" hidden="false" customHeight="false" outlineLevel="0" collapsed="false">
      <c r="A640" s="76" t="str">
        <f aca="false">B640&amp;"|"&amp;C640&amp;"|"&amp;D640&amp;"|"&amp;E640</f>
        <v>KWC|3|Jumat|10:30</v>
      </c>
      <c r="B640" s="76" t="s">
        <v>63</v>
      </c>
      <c r="C640" s="76" t="n">
        <v>3</v>
      </c>
      <c r="D640" s="76" t="s">
        <v>94</v>
      </c>
      <c r="E640" s="76" t="s">
        <v>99</v>
      </c>
      <c r="F640" s="77" t="s">
        <v>277</v>
      </c>
      <c r="G640" s="77" t="n">
        <v>4</v>
      </c>
      <c r="H640" s="77" t="n">
        <v>0</v>
      </c>
      <c r="I640" s="76" t="n">
        <f aca="false">IF(AND(ISNUMBER(G640),ISNUMBER(H640)),MAX(G640-H640,0),"")</f>
        <v>4</v>
      </c>
      <c r="J640" s="78" t="n">
        <f aca="false">IF(AND(ISNUMBER(G640),ISNUMBER(H640)),IF(G640&gt;0,H640/G640,""),"")</f>
        <v>0</v>
      </c>
      <c r="K640" s="77"/>
      <c r="L640" s="76" t="str">
        <f aca="false">IF(OR(G640="",H640=""),"Data tidak lengkap",IF(AND(G640=0,H640=0),IF(AND(F640="",K640=""),"Tidak dibuka","Tutup"),IF(H640&gt;G640,"Lebih kapasitas",IF(H640=G640,"Penuh",IF(H640=0,IF(F640="","Slot kosong","Belum terisi"),"Sebagian")))))</f>
        <v>Belum terisi</v>
      </c>
      <c r="M640" s="79" t="str">
        <f aca="false">IF(L640="Tidak dibuka","–",IF(F640="","(tanpa age group)",F640)&amp;"  "&amp;IF(H640="","?",H640)&amp;"/"&amp;IF(G640="","?",G640)&amp;CHAR(10)&amp;IF(K640="","coach: –","coach: "&amp;K640))</f>
        <v>Little  0/4
coach: –</v>
      </c>
    </row>
    <row r="641" customFormat="false" ht="22.35" hidden="false" customHeight="false" outlineLevel="0" collapsed="false">
      <c r="A641" s="76" t="str">
        <f aca="false">B641&amp;"|"&amp;C641&amp;"|"&amp;D641&amp;"|"&amp;E641</f>
        <v>KWC|3|Jumat|11:15</v>
      </c>
      <c r="B641" s="76" t="s">
        <v>63</v>
      </c>
      <c r="C641" s="76" t="n">
        <v>3</v>
      </c>
      <c r="D641" s="76" t="s">
        <v>94</v>
      </c>
      <c r="E641" s="76" t="s">
        <v>100</v>
      </c>
      <c r="F641" s="77" t="s">
        <v>277</v>
      </c>
      <c r="G641" s="77" t="n">
        <v>4</v>
      </c>
      <c r="H641" s="77" t="n">
        <v>0</v>
      </c>
      <c r="I641" s="76" t="n">
        <f aca="false">IF(AND(ISNUMBER(G641),ISNUMBER(H641)),MAX(G641-H641,0),"")</f>
        <v>4</v>
      </c>
      <c r="J641" s="78" t="n">
        <f aca="false">IF(AND(ISNUMBER(G641),ISNUMBER(H641)),IF(G641&gt;0,H641/G641,""),"")</f>
        <v>0</v>
      </c>
      <c r="K641" s="77"/>
      <c r="L641" s="76" t="str">
        <f aca="false">IF(OR(G641="",H641=""),"Data tidak lengkap",IF(AND(G641=0,H641=0),IF(AND(F641="",K641=""),"Tidak dibuka","Tutup"),IF(H641&gt;G641,"Lebih kapasitas",IF(H641=G641,"Penuh",IF(H641=0,IF(F641="","Slot kosong","Belum terisi"),"Sebagian")))))</f>
        <v>Belum terisi</v>
      </c>
      <c r="M641" s="79" t="str">
        <f aca="false">IF(L641="Tidak dibuka","–",IF(F641="","(tanpa age group)",F641)&amp;"  "&amp;IF(H641="","?",H641)&amp;"/"&amp;IF(G641="","?",G641)&amp;CHAR(10)&amp;IF(K641="","coach: –","coach: "&amp;K641))</f>
        <v>Little  0/4
coach: –</v>
      </c>
    </row>
    <row r="642" customFormat="false" ht="22.35" hidden="false" customHeight="false" outlineLevel="0" collapsed="false">
      <c r="A642" s="76" t="str">
        <f aca="false">B642&amp;"|"&amp;C642&amp;"|"&amp;D642&amp;"|"&amp;E642</f>
        <v>KWC|3|Jumat|12:00</v>
      </c>
      <c r="B642" s="76" t="s">
        <v>63</v>
      </c>
      <c r="C642" s="76" t="n">
        <v>3</v>
      </c>
      <c r="D642" s="76" t="s">
        <v>94</v>
      </c>
      <c r="E642" s="76" t="s">
        <v>101</v>
      </c>
      <c r="F642" s="77" t="s">
        <v>277</v>
      </c>
      <c r="G642" s="77" t="n">
        <v>0</v>
      </c>
      <c r="H642" s="77" t="n">
        <v>0</v>
      </c>
      <c r="I642" s="76" t="n">
        <f aca="false">IF(AND(ISNUMBER(G642),ISNUMBER(H642)),MAX(G642-H642,0),"")</f>
        <v>0</v>
      </c>
      <c r="J642" s="78" t="str">
        <f aca="false">IF(AND(ISNUMBER(G642),ISNUMBER(H642)),IF(G642&gt;0,H642/G642,""),"")</f>
        <v/>
      </c>
      <c r="K642" s="77"/>
      <c r="L642" s="76" t="str">
        <f aca="false">IF(OR(G642="",H642=""),"Data tidak lengkap",IF(AND(G642=0,H642=0),IF(AND(F642="",K642=""),"Tidak dibuka","Tutup"),IF(H642&gt;G642,"Lebih kapasitas",IF(H642=G642,"Penuh",IF(H642=0,IF(F642="","Slot kosong","Belum terisi"),"Sebagian")))))</f>
        <v>Tutup</v>
      </c>
      <c r="M642" s="79" t="str">
        <f aca="false">IF(L642="Tidak dibuka","–",IF(F642="","(tanpa age group)",F642)&amp;"  "&amp;IF(H642="","?",H642)&amp;"/"&amp;IF(G642="","?",G642)&amp;CHAR(10)&amp;IF(K642="","coach: –","coach: "&amp;K642))</f>
        <v>Little  0/0
coach: –</v>
      </c>
    </row>
    <row r="643" customFormat="false" ht="22.35" hidden="false" customHeight="false" outlineLevel="0" collapsed="false">
      <c r="A643" s="76" t="str">
        <f aca="false">B643&amp;"|"&amp;C643&amp;"|"&amp;D643&amp;"|"&amp;E643</f>
        <v>KWC|3|Jumat|13:30</v>
      </c>
      <c r="B643" s="76" t="s">
        <v>63</v>
      </c>
      <c r="C643" s="76" t="n">
        <v>3</v>
      </c>
      <c r="D643" s="76" t="s">
        <v>94</v>
      </c>
      <c r="E643" s="76" t="s">
        <v>102</v>
      </c>
      <c r="F643" s="77" t="s">
        <v>277</v>
      </c>
      <c r="G643" s="77" t="n">
        <v>4</v>
      </c>
      <c r="H643" s="77" t="n">
        <v>3</v>
      </c>
      <c r="I643" s="76" t="n">
        <f aca="false">IF(AND(ISNUMBER(G643),ISNUMBER(H643)),MAX(G643-H643,0),"")</f>
        <v>1</v>
      </c>
      <c r="J643" s="78" t="n">
        <f aca="false">IF(AND(ISNUMBER(G643),ISNUMBER(H643)),IF(G643&gt;0,H643/G643,""),"")</f>
        <v>0.75</v>
      </c>
      <c r="K643" s="77" t="s">
        <v>271</v>
      </c>
      <c r="L643" s="76" t="str">
        <f aca="false">IF(OR(G643="",H643=""),"Data tidak lengkap",IF(AND(G643=0,H643=0),IF(AND(F643="",K643=""),"Tidak dibuka","Tutup"),IF(H643&gt;G643,"Lebih kapasitas",IF(H643=G643,"Penuh",IF(H643=0,IF(F643="","Slot kosong","Belum terisi"),"Sebagian")))))</f>
        <v>Sebagian</v>
      </c>
      <c r="M643" s="79" t="str">
        <f aca="false">IF(L643="Tidak dibuka","–",IF(F643="","(tanpa age group)",F643)&amp;"  "&amp;IF(H643="","?",H643)&amp;"/"&amp;IF(G643="","?",G643)&amp;CHAR(10)&amp;IF(K643="","coach: –","coach: "&amp;K643))</f>
        <v>Little  3/4
coach: Icis</v>
      </c>
    </row>
    <row r="644" customFormat="false" ht="22.35" hidden="false" customHeight="false" outlineLevel="0" collapsed="false">
      <c r="A644" s="76" t="str">
        <f aca="false">B644&amp;"|"&amp;C644&amp;"|"&amp;D644&amp;"|"&amp;E644</f>
        <v>KWC|3|Jumat|14:15</v>
      </c>
      <c r="B644" s="76" t="s">
        <v>63</v>
      </c>
      <c r="C644" s="76" t="n">
        <v>3</v>
      </c>
      <c r="D644" s="76" t="s">
        <v>94</v>
      </c>
      <c r="E644" s="76" t="s">
        <v>103</v>
      </c>
      <c r="F644" s="77" t="s">
        <v>277</v>
      </c>
      <c r="G644" s="77" t="n">
        <v>4</v>
      </c>
      <c r="H644" s="77" t="n">
        <v>3</v>
      </c>
      <c r="I644" s="76" t="n">
        <f aca="false">IF(AND(ISNUMBER(G644),ISNUMBER(H644)),MAX(G644-H644,0),"")</f>
        <v>1</v>
      </c>
      <c r="J644" s="78" t="n">
        <f aca="false">IF(AND(ISNUMBER(G644),ISNUMBER(H644)),IF(G644&gt;0,H644/G644,""),"")</f>
        <v>0.75</v>
      </c>
      <c r="K644" s="77" t="s">
        <v>269</v>
      </c>
      <c r="L644" s="76" t="str">
        <f aca="false">IF(OR(G644="",H644=""),"Data tidak lengkap",IF(AND(G644=0,H644=0),IF(AND(F644="",K644=""),"Tidak dibuka","Tutup"),IF(H644&gt;G644,"Lebih kapasitas",IF(H644=G644,"Penuh",IF(H644=0,IF(F644="","Slot kosong","Belum terisi"),"Sebagian")))))</f>
        <v>Sebagian</v>
      </c>
      <c r="M644" s="79" t="str">
        <f aca="false">IF(L644="Tidak dibuka","–",IF(F644="","(tanpa age group)",F644)&amp;"  "&amp;IF(H644="","?",H644)&amp;"/"&amp;IF(G644="","?",G644)&amp;CHAR(10)&amp;IF(K644="","coach: –","coach: "&amp;K644))</f>
        <v>Little  3/4
coach: Nabila</v>
      </c>
    </row>
    <row r="645" customFormat="false" ht="22.35" hidden="false" customHeight="false" outlineLevel="0" collapsed="false">
      <c r="A645" s="76" t="str">
        <f aca="false">B645&amp;"|"&amp;C645&amp;"|"&amp;D645&amp;"|"&amp;E645</f>
        <v>KWC|3|Jumat|15:00</v>
      </c>
      <c r="B645" s="76" t="s">
        <v>63</v>
      </c>
      <c r="C645" s="76" t="n">
        <v>3</v>
      </c>
      <c r="D645" s="76" t="s">
        <v>94</v>
      </c>
      <c r="E645" s="76" t="s">
        <v>104</v>
      </c>
      <c r="F645" s="77" t="s">
        <v>277</v>
      </c>
      <c r="G645" s="77" t="n">
        <v>4</v>
      </c>
      <c r="H645" s="77" t="n">
        <v>3</v>
      </c>
      <c r="I645" s="76" t="n">
        <f aca="false">IF(AND(ISNUMBER(G645),ISNUMBER(H645)),MAX(G645-H645,0),"")</f>
        <v>1</v>
      </c>
      <c r="J645" s="78" t="n">
        <f aca="false">IF(AND(ISNUMBER(G645),ISNUMBER(H645)),IF(G645&gt;0,H645/G645,""),"")</f>
        <v>0.75</v>
      </c>
      <c r="K645" s="77" t="s">
        <v>273</v>
      </c>
      <c r="L645" s="76" t="str">
        <f aca="false">IF(OR(G645="",H645=""),"Data tidak lengkap",IF(AND(G645=0,H645=0),IF(AND(F645="",K645=""),"Tidak dibuka","Tutup"),IF(H645&gt;G645,"Lebih kapasitas",IF(H645=G645,"Penuh",IF(H645=0,IF(F645="","Slot kosong","Belum terisi"),"Sebagian")))))</f>
        <v>Sebagian</v>
      </c>
      <c r="M645" s="79" t="str">
        <f aca="false">IF(L645="Tidak dibuka","–",IF(F645="","(tanpa age group)",F645)&amp;"  "&amp;IF(H645="","?",H645)&amp;"/"&amp;IF(G645="","?",G645)&amp;CHAR(10)&amp;IF(K645="","coach: –","coach: "&amp;K645))</f>
        <v>Little  3/4
coach: Frido</v>
      </c>
    </row>
    <row r="646" customFormat="false" ht="22.35" hidden="false" customHeight="false" outlineLevel="0" collapsed="false">
      <c r="A646" s="76" t="str">
        <f aca="false">B646&amp;"|"&amp;C646&amp;"|"&amp;D646&amp;"|"&amp;E646</f>
        <v>KWC|3|Jumat|15:45</v>
      </c>
      <c r="B646" s="76" t="s">
        <v>63</v>
      </c>
      <c r="C646" s="76" t="n">
        <v>3</v>
      </c>
      <c r="D646" s="76" t="s">
        <v>94</v>
      </c>
      <c r="E646" s="76" t="s">
        <v>105</v>
      </c>
      <c r="F646" s="77" t="s">
        <v>277</v>
      </c>
      <c r="G646" s="77" t="n">
        <v>4</v>
      </c>
      <c r="H646" s="77" t="n">
        <v>4</v>
      </c>
      <c r="I646" s="76" t="n">
        <f aca="false">IF(AND(ISNUMBER(G646),ISNUMBER(H646)),MAX(G646-H646,0),"")</f>
        <v>0</v>
      </c>
      <c r="J646" s="78" t="n">
        <f aca="false">IF(AND(ISNUMBER(G646),ISNUMBER(H646)),IF(G646&gt;0,H646/G646,""),"")</f>
        <v>1</v>
      </c>
      <c r="K646" s="77" t="s">
        <v>271</v>
      </c>
      <c r="L646" s="76" t="str">
        <f aca="false">IF(OR(G646="",H646=""),"Data tidak lengkap",IF(AND(G646=0,H646=0),IF(AND(F646="",K646=""),"Tidak dibuka","Tutup"),IF(H646&gt;G646,"Lebih kapasitas",IF(H646=G646,"Penuh",IF(H646=0,IF(F646="","Slot kosong","Belum terisi"),"Sebagian")))))</f>
        <v>Penuh</v>
      </c>
      <c r="M646" s="79" t="str">
        <f aca="false">IF(L646="Tidak dibuka","–",IF(F646="","(tanpa age group)",F646)&amp;"  "&amp;IF(H646="","?",H646)&amp;"/"&amp;IF(G646="","?",G646)&amp;CHAR(10)&amp;IF(K646="","coach: –","coach: "&amp;K646))</f>
        <v>Little  4/4
coach: Icis</v>
      </c>
    </row>
    <row r="647" customFormat="false" ht="22.35" hidden="false" customHeight="false" outlineLevel="0" collapsed="false">
      <c r="A647" s="76" t="str">
        <f aca="false">B647&amp;"|"&amp;C647&amp;"|"&amp;D647&amp;"|"&amp;E647</f>
        <v>KWC|3|Jumat|16:30</v>
      </c>
      <c r="B647" s="76" t="s">
        <v>63</v>
      </c>
      <c r="C647" s="76" t="n">
        <v>3</v>
      </c>
      <c r="D647" s="76" t="s">
        <v>94</v>
      </c>
      <c r="E647" s="76" t="s">
        <v>106</v>
      </c>
      <c r="F647" s="77" t="s">
        <v>277</v>
      </c>
      <c r="G647" s="77" t="n">
        <v>4</v>
      </c>
      <c r="H647" s="77" t="n">
        <v>3</v>
      </c>
      <c r="I647" s="76" t="n">
        <f aca="false">IF(AND(ISNUMBER(G647),ISNUMBER(H647)),MAX(G647-H647,0),"")</f>
        <v>1</v>
      </c>
      <c r="J647" s="78" t="n">
        <f aca="false">IF(AND(ISNUMBER(G647),ISNUMBER(H647)),IF(G647&gt;0,H647/G647,""),"")</f>
        <v>0.75</v>
      </c>
      <c r="K647" s="77" t="s">
        <v>269</v>
      </c>
      <c r="L647" s="76" t="str">
        <f aca="false">IF(OR(G647="",H647=""),"Data tidak lengkap",IF(AND(G647=0,H647=0),IF(AND(F647="",K647=""),"Tidak dibuka","Tutup"),IF(H647&gt;G647,"Lebih kapasitas",IF(H647=G647,"Penuh",IF(H647=0,IF(F647="","Slot kosong","Belum terisi"),"Sebagian")))))</f>
        <v>Sebagian</v>
      </c>
      <c r="M647" s="79" t="str">
        <f aca="false">IF(L647="Tidak dibuka","–",IF(F647="","(tanpa age group)",F647)&amp;"  "&amp;IF(H647="","?",H647)&amp;"/"&amp;IF(G647="","?",G647)&amp;CHAR(10)&amp;IF(K647="","coach: –","coach: "&amp;K647))</f>
        <v>Little  3/4
coach: Nabila</v>
      </c>
    </row>
    <row r="648" customFormat="false" ht="22.35" hidden="false" customHeight="false" outlineLevel="0" collapsed="false">
      <c r="A648" s="76" t="str">
        <f aca="false">B648&amp;"|"&amp;C648&amp;"|"&amp;D648&amp;"|"&amp;E648</f>
        <v>KWC|3|Jumat|17:15</v>
      </c>
      <c r="B648" s="76" t="s">
        <v>63</v>
      </c>
      <c r="C648" s="76" t="n">
        <v>3</v>
      </c>
      <c r="D648" s="76" t="s">
        <v>94</v>
      </c>
      <c r="E648" s="76" t="s">
        <v>107</v>
      </c>
      <c r="F648" s="77" t="s">
        <v>277</v>
      </c>
      <c r="G648" s="77" t="n">
        <v>4</v>
      </c>
      <c r="H648" s="77" t="n">
        <v>4</v>
      </c>
      <c r="I648" s="76" t="n">
        <f aca="false">IF(AND(ISNUMBER(G648),ISNUMBER(H648)),MAX(G648-H648,0),"")</f>
        <v>0</v>
      </c>
      <c r="J648" s="78" t="n">
        <f aca="false">IF(AND(ISNUMBER(G648),ISNUMBER(H648)),IF(G648&gt;0,H648/G648,""),"")</f>
        <v>1</v>
      </c>
      <c r="K648" s="77" t="s">
        <v>271</v>
      </c>
      <c r="L648" s="76" t="str">
        <f aca="false">IF(OR(G648="",H648=""),"Data tidak lengkap",IF(AND(G648=0,H648=0),IF(AND(F648="",K648=""),"Tidak dibuka","Tutup"),IF(H648&gt;G648,"Lebih kapasitas",IF(H648=G648,"Penuh",IF(H648=0,IF(F648="","Slot kosong","Belum terisi"),"Sebagian")))))</f>
        <v>Penuh</v>
      </c>
      <c r="M648" s="79" t="str">
        <f aca="false">IF(L648="Tidak dibuka","–",IF(F648="","(tanpa age group)",F648)&amp;"  "&amp;IF(H648="","?",H648)&amp;"/"&amp;IF(G648="","?",G648)&amp;CHAR(10)&amp;IF(K648="","coach: –","coach: "&amp;K648))</f>
        <v>Little  4/4
coach: Icis</v>
      </c>
    </row>
    <row r="649" customFormat="false" ht="22.35" hidden="false" customHeight="false" outlineLevel="0" collapsed="false">
      <c r="A649" s="76" t="str">
        <f aca="false">B649&amp;"|"&amp;C649&amp;"|"&amp;D649&amp;"|"&amp;E649</f>
        <v>KWC|3|Sabtu|08:15</v>
      </c>
      <c r="B649" s="76" t="s">
        <v>63</v>
      </c>
      <c r="C649" s="76" t="n">
        <v>3</v>
      </c>
      <c r="D649" s="76" t="s">
        <v>95</v>
      </c>
      <c r="E649" s="76" t="s">
        <v>96</v>
      </c>
      <c r="F649" s="77" t="s">
        <v>277</v>
      </c>
      <c r="G649" s="77" t="n">
        <v>0</v>
      </c>
      <c r="H649" s="77" t="n">
        <v>0</v>
      </c>
      <c r="I649" s="76" t="n">
        <f aca="false">IF(AND(ISNUMBER(G649),ISNUMBER(H649)),MAX(G649-H649,0),"")</f>
        <v>0</v>
      </c>
      <c r="J649" s="78" t="str">
        <f aca="false">IF(AND(ISNUMBER(G649),ISNUMBER(H649)),IF(G649&gt;0,H649/G649,""),"")</f>
        <v/>
      </c>
      <c r="K649" s="77"/>
      <c r="L649" s="76" t="str">
        <f aca="false">IF(OR(G649="",H649=""),"Data tidak lengkap",IF(AND(G649=0,H649=0),IF(AND(F649="",K649=""),"Tidak dibuka","Tutup"),IF(H649&gt;G649,"Lebih kapasitas",IF(H649=G649,"Penuh",IF(H649=0,IF(F649="","Slot kosong","Belum terisi"),"Sebagian")))))</f>
        <v>Tutup</v>
      </c>
      <c r="M649" s="79" t="str">
        <f aca="false">IF(L649="Tidak dibuka","–",IF(F649="","(tanpa age group)",F649)&amp;"  "&amp;IF(H649="","?",H649)&amp;"/"&amp;IF(G649="","?",G649)&amp;CHAR(10)&amp;IF(K649="","coach: –","coach: "&amp;K649))</f>
        <v>Little  0/0
coach: –</v>
      </c>
    </row>
    <row r="650" customFormat="false" ht="22.35" hidden="false" customHeight="false" outlineLevel="0" collapsed="false">
      <c r="A650" s="76" t="str">
        <f aca="false">B650&amp;"|"&amp;C650&amp;"|"&amp;D650&amp;"|"&amp;E650</f>
        <v>KWC|3|Sabtu|09:00</v>
      </c>
      <c r="B650" s="76" t="s">
        <v>63</v>
      </c>
      <c r="C650" s="76" t="n">
        <v>3</v>
      </c>
      <c r="D650" s="76" t="s">
        <v>95</v>
      </c>
      <c r="E650" s="76" t="s">
        <v>97</v>
      </c>
      <c r="F650" s="77" t="s">
        <v>277</v>
      </c>
      <c r="G650" s="77" t="n">
        <v>4</v>
      </c>
      <c r="H650" s="77" t="n">
        <v>4</v>
      </c>
      <c r="I650" s="76" t="n">
        <f aca="false">IF(AND(ISNUMBER(G650),ISNUMBER(H650)),MAX(G650-H650,0),"")</f>
        <v>0</v>
      </c>
      <c r="J650" s="78" t="n">
        <f aca="false">IF(AND(ISNUMBER(G650),ISNUMBER(H650)),IF(G650&gt;0,H650/G650,""),"")</f>
        <v>1</v>
      </c>
      <c r="K650" s="77" t="s">
        <v>267</v>
      </c>
      <c r="L650" s="76" t="str">
        <f aca="false">IF(OR(G650="",H650=""),"Data tidak lengkap",IF(AND(G650=0,H650=0),IF(AND(F650="",K650=""),"Tidak dibuka","Tutup"),IF(H650&gt;G650,"Lebih kapasitas",IF(H650=G650,"Penuh",IF(H650=0,IF(F650="","Slot kosong","Belum terisi"),"Sebagian")))))</f>
        <v>Penuh</v>
      </c>
      <c r="M650" s="79" t="str">
        <f aca="false">IF(L650="Tidak dibuka","–",IF(F650="","(tanpa age group)",F650)&amp;"  "&amp;IF(H650="","?",H650)&amp;"/"&amp;IF(G650="","?",G650)&amp;CHAR(10)&amp;IF(K650="","coach: –","coach: "&amp;K650))</f>
        <v>Little  4/4
coach: Deyon</v>
      </c>
    </row>
    <row r="651" customFormat="false" ht="22.35" hidden="false" customHeight="false" outlineLevel="0" collapsed="false">
      <c r="A651" s="76" t="str">
        <f aca="false">B651&amp;"|"&amp;C651&amp;"|"&amp;D651&amp;"|"&amp;E651</f>
        <v>KWC|3|Sabtu|09:45</v>
      </c>
      <c r="B651" s="76" t="s">
        <v>63</v>
      </c>
      <c r="C651" s="76" t="n">
        <v>3</v>
      </c>
      <c r="D651" s="76" t="s">
        <v>95</v>
      </c>
      <c r="E651" s="76" t="s">
        <v>98</v>
      </c>
      <c r="F651" s="77" t="s">
        <v>277</v>
      </c>
      <c r="G651" s="77" t="n">
        <v>4</v>
      </c>
      <c r="H651" s="77" t="n">
        <v>4</v>
      </c>
      <c r="I651" s="76" t="n">
        <f aca="false">IF(AND(ISNUMBER(G651),ISNUMBER(H651)),MAX(G651-H651,0),"")</f>
        <v>0</v>
      </c>
      <c r="J651" s="78" t="n">
        <f aca="false">IF(AND(ISNUMBER(G651),ISNUMBER(H651)),IF(G651&gt;0,H651/G651,""),"")</f>
        <v>1</v>
      </c>
      <c r="K651" s="77" t="s">
        <v>267</v>
      </c>
      <c r="L651" s="76" t="str">
        <f aca="false">IF(OR(G651="",H651=""),"Data tidak lengkap",IF(AND(G651=0,H651=0),IF(AND(F651="",K651=""),"Tidak dibuka","Tutup"),IF(H651&gt;G651,"Lebih kapasitas",IF(H651=G651,"Penuh",IF(H651=0,IF(F651="","Slot kosong","Belum terisi"),"Sebagian")))))</f>
        <v>Penuh</v>
      </c>
      <c r="M651" s="79" t="str">
        <f aca="false">IF(L651="Tidak dibuka","–",IF(F651="","(tanpa age group)",F651)&amp;"  "&amp;IF(H651="","?",H651)&amp;"/"&amp;IF(G651="","?",G651)&amp;CHAR(10)&amp;IF(K651="","coach: –","coach: "&amp;K651))</f>
        <v>Little  4/4
coach: Deyon</v>
      </c>
    </row>
    <row r="652" customFormat="false" ht="22.35" hidden="false" customHeight="false" outlineLevel="0" collapsed="false">
      <c r="A652" s="76" t="str">
        <f aca="false">B652&amp;"|"&amp;C652&amp;"|"&amp;D652&amp;"|"&amp;E652</f>
        <v>KWC|3|Sabtu|10:30</v>
      </c>
      <c r="B652" s="76" t="s">
        <v>63</v>
      </c>
      <c r="C652" s="76" t="n">
        <v>3</v>
      </c>
      <c r="D652" s="76" t="s">
        <v>95</v>
      </c>
      <c r="E652" s="76" t="s">
        <v>99</v>
      </c>
      <c r="F652" s="77" t="s">
        <v>277</v>
      </c>
      <c r="G652" s="77" t="n">
        <v>4</v>
      </c>
      <c r="H652" s="77" t="n">
        <v>4</v>
      </c>
      <c r="I652" s="76" t="n">
        <f aca="false">IF(AND(ISNUMBER(G652),ISNUMBER(H652)),MAX(G652-H652,0),"")</f>
        <v>0</v>
      </c>
      <c r="J652" s="78" t="n">
        <f aca="false">IF(AND(ISNUMBER(G652),ISNUMBER(H652)),IF(G652&gt;0,H652/G652,""),"")</f>
        <v>1</v>
      </c>
      <c r="K652" s="77" t="s">
        <v>271</v>
      </c>
      <c r="L652" s="76" t="str">
        <f aca="false">IF(OR(G652="",H652=""),"Data tidak lengkap",IF(AND(G652=0,H652=0),IF(AND(F652="",K652=""),"Tidak dibuka","Tutup"),IF(H652&gt;G652,"Lebih kapasitas",IF(H652=G652,"Penuh",IF(H652=0,IF(F652="","Slot kosong","Belum terisi"),"Sebagian")))))</f>
        <v>Penuh</v>
      </c>
      <c r="M652" s="79" t="str">
        <f aca="false">IF(L652="Tidak dibuka","–",IF(F652="","(tanpa age group)",F652)&amp;"  "&amp;IF(H652="","?",H652)&amp;"/"&amp;IF(G652="","?",G652)&amp;CHAR(10)&amp;IF(K652="","coach: –","coach: "&amp;K652))</f>
        <v>Little  4/4
coach: Icis</v>
      </c>
    </row>
    <row r="653" customFormat="false" ht="22.35" hidden="false" customHeight="false" outlineLevel="0" collapsed="false">
      <c r="A653" s="76" t="str">
        <f aca="false">B653&amp;"|"&amp;C653&amp;"|"&amp;D653&amp;"|"&amp;E653</f>
        <v>KWC|3|Sabtu|11:15</v>
      </c>
      <c r="B653" s="76" t="s">
        <v>63</v>
      </c>
      <c r="C653" s="76" t="n">
        <v>3</v>
      </c>
      <c r="D653" s="76" t="s">
        <v>95</v>
      </c>
      <c r="E653" s="76" t="s">
        <v>100</v>
      </c>
      <c r="F653" s="77" t="s">
        <v>277</v>
      </c>
      <c r="G653" s="77" t="n">
        <v>2</v>
      </c>
      <c r="H653" s="77" t="n">
        <v>2</v>
      </c>
      <c r="I653" s="76" t="n">
        <f aca="false">IF(AND(ISNUMBER(G653),ISNUMBER(H653)),MAX(G653-H653,0),"")</f>
        <v>0</v>
      </c>
      <c r="J653" s="78" t="n">
        <f aca="false">IF(AND(ISNUMBER(G653),ISNUMBER(H653)),IF(G653&gt;0,H653/G653,""),"")</f>
        <v>1</v>
      </c>
      <c r="K653" s="77" t="s">
        <v>276</v>
      </c>
      <c r="L653" s="76" t="str">
        <f aca="false">IF(OR(G653="",H653=""),"Data tidak lengkap",IF(AND(G653=0,H653=0),IF(AND(F653="",K653=""),"Tidak dibuka","Tutup"),IF(H653&gt;G653,"Lebih kapasitas",IF(H653=G653,"Penuh",IF(H653=0,IF(F653="","Slot kosong","Belum terisi"),"Sebagian")))))</f>
        <v>Penuh</v>
      </c>
      <c r="M653" s="79" t="str">
        <f aca="false">IF(L653="Tidak dibuka","–",IF(F653="","(tanpa age group)",F653)&amp;"  "&amp;IF(H653="","?",H653)&amp;"/"&amp;IF(G653="","?",G653)&amp;CHAR(10)&amp;IF(K653="","coach: –","coach: "&amp;K653))</f>
        <v>Little  2/2
coach: Faris</v>
      </c>
    </row>
    <row r="654" customFormat="false" ht="22.35" hidden="false" customHeight="false" outlineLevel="0" collapsed="false">
      <c r="A654" s="76" t="str">
        <f aca="false">B654&amp;"|"&amp;C654&amp;"|"&amp;D654&amp;"|"&amp;E654</f>
        <v>KWC|3|Sabtu|12:00</v>
      </c>
      <c r="B654" s="76" t="s">
        <v>63</v>
      </c>
      <c r="C654" s="76" t="n">
        <v>3</v>
      </c>
      <c r="D654" s="76" t="s">
        <v>95</v>
      </c>
      <c r="E654" s="76" t="s">
        <v>101</v>
      </c>
      <c r="F654" s="77" t="s">
        <v>277</v>
      </c>
      <c r="G654" s="77" t="n">
        <v>4</v>
      </c>
      <c r="H654" s="77" t="n">
        <v>4</v>
      </c>
      <c r="I654" s="76" t="n">
        <f aca="false">IF(AND(ISNUMBER(G654),ISNUMBER(H654)),MAX(G654-H654,0),"")</f>
        <v>0</v>
      </c>
      <c r="J654" s="78" t="n">
        <f aca="false">IF(AND(ISNUMBER(G654),ISNUMBER(H654)),IF(G654&gt;0,H654/G654,""),"")</f>
        <v>1</v>
      </c>
      <c r="K654" s="77" t="s">
        <v>267</v>
      </c>
      <c r="L654" s="76" t="str">
        <f aca="false">IF(OR(G654="",H654=""),"Data tidak lengkap",IF(AND(G654=0,H654=0),IF(AND(F654="",K654=""),"Tidak dibuka","Tutup"),IF(H654&gt;G654,"Lebih kapasitas",IF(H654=G654,"Penuh",IF(H654=0,IF(F654="","Slot kosong","Belum terisi"),"Sebagian")))))</f>
        <v>Penuh</v>
      </c>
      <c r="M654" s="79" t="str">
        <f aca="false">IF(L654="Tidak dibuka","–",IF(F654="","(tanpa age group)",F654)&amp;"  "&amp;IF(H654="","?",H654)&amp;"/"&amp;IF(G654="","?",G654)&amp;CHAR(10)&amp;IF(K654="","coach: –","coach: "&amp;K654))</f>
        <v>Little  4/4
coach: Deyon</v>
      </c>
    </row>
    <row r="655" customFormat="false" ht="22.35" hidden="false" customHeight="false" outlineLevel="0" collapsed="false">
      <c r="A655" s="76" t="str">
        <f aca="false">B655&amp;"|"&amp;C655&amp;"|"&amp;D655&amp;"|"&amp;E655</f>
        <v>KWC|3|Sabtu|13:30</v>
      </c>
      <c r="B655" s="76" t="s">
        <v>63</v>
      </c>
      <c r="C655" s="76" t="n">
        <v>3</v>
      </c>
      <c r="D655" s="76" t="s">
        <v>95</v>
      </c>
      <c r="E655" s="76" t="s">
        <v>102</v>
      </c>
      <c r="F655" s="77" t="s">
        <v>277</v>
      </c>
      <c r="G655" s="77" t="n">
        <v>4</v>
      </c>
      <c r="H655" s="77" t="n">
        <v>1</v>
      </c>
      <c r="I655" s="76" t="n">
        <f aca="false">IF(AND(ISNUMBER(G655),ISNUMBER(H655)),MAX(G655-H655,0),"")</f>
        <v>3</v>
      </c>
      <c r="J655" s="78" t="n">
        <f aca="false">IF(AND(ISNUMBER(G655),ISNUMBER(H655)),IF(G655&gt;0,H655/G655,""),"")</f>
        <v>0.25</v>
      </c>
      <c r="K655" s="77" t="s">
        <v>271</v>
      </c>
      <c r="L655" s="76" t="str">
        <f aca="false">IF(OR(G655="",H655=""),"Data tidak lengkap",IF(AND(G655=0,H655=0),IF(AND(F655="",K655=""),"Tidak dibuka","Tutup"),IF(H655&gt;G655,"Lebih kapasitas",IF(H655=G655,"Penuh",IF(H655=0,IF(F655="","Slot kosong","Belum terisi"),"Sebagian")))))</f>
        <v>Sebagian</v>
      </c>
      <c r="M655" s="79" t="str">
        <f aca="false">IF(L655="Tidak dibuka","–",IF(F655="","(tanpa age group)",F655)&amp;"  "&amp;IF(H655="","?",H655)&amp;"/"&amp;IF(G655="","?",G655)&amp;CHAR(10)&amp;IF(K655="","coach: –","coach: "&amp;K655))</f>
        <v>Little  1/4
coach: Icis</v>
      </c>
    </row>
    <row r="656" customFormat="false" ht="22.35" hidden="false" customHeight="false" outlineLevel="0" collapsed="false">
      <c r="A656" s="76" t="str">
        <f aca="false">B656&amp;"|"&amp;C656&amp;"|"&amp;D656&amp;"|"&amp;E656</f>
        <v>KWC|3|Sabtu|14:15</v>
      </c>
      <c r="B656" s="76" t="s">
        <v>63</v>
      </c>
      <c r="C656" s="76" t="n">
        <v>3</v>
      </c>
      <c r="D656" s="76" t="s">
        <v>95</v>
      </c>
      <c r="E656" s="76" t="s">
        <v>103</v>
      </c>
      <c r="F656" s="77" t="s">
        <v>277</v>
      </c>
      <c r="G656" s="77" t="n">
        <v>4</v>
      </c>
      <c r="H656" s="77" t="n">
        <v>4</v>
      </c>
      <c r="I656" s="76" t="n">
        <f aca="false">IF(AND(ISNUMBER(G656),ISNUMBER(H656)),MAX(G656-H656,0),"")</f>
        <v>0</v>
      </c>
      <c r="J656" s="78" t="n">
        <f aca="false">IF(AND(ISNUMBER(G656),ISNUMBER(H656)),IF(G656&gt;0,H656/G656,""),"")</f>
        <v>1</v>
      </c>
      <c r="K656" s="77" t="s">
        <v>270</v>
      </c>
      <c r="L656" s="76" t="str">
        <f aca="false">IF(OR(G656="",H656=""),"Data tidak lengkap",IF(AND(G656=0,H656=0),IF(AND(F656="",K656=""),"Tidak dibuka","Tutup"),IF(H656&gt;G656,"Lebih kapasitas",IF(H656=G656,"Penuh",IF(H656=0,IF(F656="","Slot kosong","Belum terisi"),"Sebagian")))))</f>
        <v>Penuh</v>
      </c>
      <c r="M656" s="79" t="str">
        <f aca="false">IF(L656="Tidak dibuka","–",IF(F656="","(tanpa age group)",F656)&amp;"  "&amp;IF(H656="","?",H656)&amp;"/"&amp;IF(G656="","?",G656)&amp;CHAR(10)&amp;IF(K656="","coach: –","coach: "&amp;K656))</f>
        <v>Little  4/4
coach: Sri</v>
      </c>
    </row>
    <row r="657" customFormat="false" ht="22.35" hidden="false" customHeight="false" outlineLevel="0" collapsed="false">
      <c r="A657" s="76" t="str">
        <f aca="false">B657&amp;"|"&amp;C657&amp;"|"&amp;D657&amp;"|"&amp;E657</f>
        <v>KWC|3|Sabtu|15:00</v>
      </c>
      <c r="B657" s="76" t="s">
        <v>63</v>
      </c>
      <c r="C657" s="76" t="n">
        <v>3</v>
      </c>
      <c r="D657" s="76" t="s">
        <v>95</v>
      </c>
      <c r="E657" s="76" t="s">
        <v>104</v>
      </c>
      <c r="F657" s="77" t="s">
        <v>277</v>
      </c>
      <c r="G657" s="77" t="n">
        <v>4</v>
      </c>
      <c r="H657" s="77" t="n">
        <v>4</v>
      </c>
      <c r="I657" s="76" t="n">
        <f aca="false">IF(AND(ISNUMBER(G657),ISNUMBER(H657)),MAX(G657-H657,0),"")</f>
        <v>0</v>
      </c>
      <c r="J657" s="78" t="n">
        <f aca="false">IF(AND(ISNUMBER(G657),ISNUMBER(H657)),IF(G657&gt;0,H657/G657,""),"")</f>
        <v>1</v>
      </c>
      <c r="K657" s="77" t="s">
        <v>271</v>
      </c>
      <c r="L657" s="76" t="str">
        <f aca="false">IF(OR(G657="",H657=""),"Data tidak lengkap",IF(AND(G657=0,H657=0),IF(AND(F657="",K657=""),"Tidak dibuka","Tutup"),IF(H657&gt;G657,"Lebih kapasitas",IF(H657=G657,"Penuh",IF(H657=0,IF(F657="","Slot kosong","Belum terisi"),"Sebagian")))))</f>
        <v>Penuh</v>
      </c>
      <c r="M657" s="79" t="str">
        <f aca="false">IF(L657="Tidak dibuka","–",IF(F657="","(tanpa age group)",F657)&amp;"  "&amp;IF(H657="","?",H657)&amp;"/"&amp;IF(G657="","?",G657)&amp;CHAR(10)&amp;IF(K657="","coach: –","coach: "&amp;K657))</f>
        <v>Little  4/4
coach: Icis</v>
      </c>
    </row>
    <row r="658" customFormat="false" ht="22.35" hidden="false" customHeight="false" outlineLevel="0" collapsed="false">
      <c r="A658" s="76" t="str">
        <f aca="false">B658&amp;"|"&amp;C658&amp;"|"&amp;D658&amp;"|"&amp;E658</f>
        <v>KWC|3|Sabtu|15:45</v>
      </c>
      <c r="B658" s="76" t="s">
        <v>63</v>
      </c>
      <c r="C658" s="76" t="n">
        <v>3</v>
      </c>
      <c r="D658" s="76" t="s">
        <v>95</v>
      </c>
      <c r="E658" s="76" t="s">
        <v>105</v>
      </c>
      <c r="F658" s="77" t="s">
        <v>277</v>
      </c>
      <c r="G658" s="77" t="n">
        <v>4</v>
      </c>
      <c r="H658" s="77" t="n">
        <v>3</v>
      </c>
      <c r="I658" s="76" t="n">
        <f aca="false">IF(AND(ISNUMBER(G658),ISNUMBER(H658)),MAX(G658-H658,0),"")</f>
        <v>1</v>
      </c>
      <c r="J658" s="78" t="n">
        <f aca="false">IF(AND(ISNUMBER(G658),ISNUMBER(H658)),IF(G658&gt;0,H658/G658,""),"")</f>
        <v>0.75</v>
      </c>
      <c r="K658" s="77" t="s">
        <v>270</v>
      </c>
      <c r="L658" s="76" t="str">
        <f aca="false">IF(OR(G658="",H658=""),"Data tidak lengkap",IF(AND(G658=0,H658=0),IF(AND(F658="",K658=""),"Tidak dibuka","Tutup"),IF(H658&gt;G658,"Lebih kapasitas",IF(H658=G658,"Penuh",IF(H658=0,IF(F658="","Slot kosong","Belum terisi"),"Sebagian")))))</f>
        <v>Sebagian</v>
      </c>
      <c r="M658" s="79" t="str">
        <f aca="false">IF(L658="Tidak dibuka","–",IF(F658="","(tanpa age group)",F658)&amp;"  "&amp;IF(H658="","?",H658)&amp;"/"&amp;IF(G658="","?",G658)&amp;CHAR(10)&amp;IF(K658="","coach: –","coach: "&amp;K658))</f>
        <v>Little  3/4
coach: Sri</v>
      </c>
    </row>
    <row r="659" customFormat="false" ht="22.35" hidden="false" customHeight="false" outlineLevel="0" collapsed="false">
      <c r="A659" s="76" t="str">
        <f aca="false">B659&amp;"|"&amp;C659&amp;"|"&amp;D659&amp;"|"&amp;E659</f>
        <v>KWC|3|Sabtu|16:30</v>
      </c>
      <c r="B659" s="76" t="s">
        <v>63</v>
      </c>
      <c r="C659" s="76" t="n">
        <v>3</v>
      </c>
      <c r="D659" s="76" t="s">
        <v>95</v>
      </c>
      <c r="E659" s="76" t="s">
        <v>106</v>
      </c>
      <c r="F659" s="77" t="s">
        <v>277</v>
      </c>
      <c r="G659" s="77" t="n">
        <v>4</v>
      </c>
      <c r="H659" s="77" t="n">
        <v>3</v>
      </c>
      <c r="I659" s="76" t="n">
        <f aca="false">IF(AND(ISNUMBER(G659),ISNUMBER(H659)),MAX(G659-H659,0),"")</f>
        <v>1</v>
      </c>
      <c r="J659" s="78" t="n">
        <f aca="false">IF(AND(ISNUMBER(G659),ISNUMBER(H659)),IF(G659&gt;0,H659/G659,""),"")</f>
        <v>0.75</v>
      </c>
      <c r="K659" s="77" t="s">
        <v>267</v>
      </c>
      <c r="L659" s="76" t="str">
        <f aca="false">IF(OR(G659="",H659=""),"Data tidak lengkap",IF(AND(G659=0,H659=0),IF(AND(F659="",K659=""),"Tidak dibuka","Tutup"),IF(H659&gt;G659,"Lebih kapasitas",IF(H659=G659,"Penuh",IF(H659=0,IF(F659="","Slot kosong","Belum terisi"),"Sebagian")))))</f>
        <v>Sebagian</v>
      </c>
      <c r="M659" s="79" t="str">
        <f aca="false">IF(L659="Tidak dibuka","–",IF(F659="","(tanpa age group)",F659)&amp;"  "&amp;IF(H659="","?",H659)&amp;"/"&amp;IF(G659="","?",G659)&amp;CHAR(10)&amp;IF(K659="","coach: –","coach: "&amp;K659))</f>
        <v>Little  3/4
coach: Deyon</v>
      </c>
    </row>
    <row r="660" customFormat="false" ht="22.35" hidden="false" customHeight="false" outlineLevel="0" collapsed="false">
      <c r="A660" s="76" t="str">
        <f aca="false">B660&amp;"|"&amp;C660&amp;"|"&amp;D660&amp;"|"&amp;E660</f>
        <v>KWC|3|Sabtu|17:15</v>
      </c>
      <c r="B660" s="76" t="s">
        <v>63</v>
      </c>
      <c r="C660" s="76" t="n">
        <v>3</v>
      </c>
      <c r="D660" s="76" t="s">
        <v>95</v>
      </c>
      <c r="E660" s="76" t="s">
        <v>107</v>
      </c>
      <c r="F660" s="77" t="s">
        <v>277</v>
      </c>
      <c r="G660" s="77" t="n">
        <v>4</v>
      </c>
      <c r="H660" s="77" t="n">
        <v>4</v>
      </c>
      <c r="I660" s="76" t="n">
        <f aca="false">IF(AND(ISNUMBER(G660),ISNUMBER(H660)),MAX(G660-H660,0),"")</f>
        <v>0</v>
      </c>
      <c r="J660" s="78" t="n">
        <f aca="false">IF(AND(ISNUMBER(G660),ISNUMBER(H660)),IF(G660&gt;0,H660/G660,""),"")</f>
        <v>1</v>
      </c>
      <c r="K660" s="77" t="s">
        <v>273</v>
      </c>
      <c r="L660" s="76" t="str">
        <f aca="false">IF(OR(G660="",H660=""),"Data tidak lengkap",IF(AND(G660=0,H660=0),IF(AND(F660="",K660=""),"Tidak dibuka","Tutup"),IF(H660&gt;G660,"Lebih kapasitas",IF(H660=G660,"Penuh",IF(H660=0,IF(F660="","Slot kosong","Belum terisi"),"Sebagian")))))</f>
        <v>Penuh</v>
      </c>
      <c r="M660" s="79" t="str">
        <f aca="false">IF(L660="Tidak dibuka","–",IF(F660="","(tanpa age group)",F660)&amp;"  "&amp;IF(H660="","?",H660)&amp;"/"&amp;IF(G660="","?",G660)&amp;CHAR(10)&amp;IF(K660="","coach: –","coach: "&amp;K660))</f>
        <v>Little  4/4
coach: Frido</v>
      </c>
    </row>
    <row r="661" customFormat="false" ht="22.35" hidden="false" customHeight="false" outlineLevel="0" collapsed="false">
      <c r="A661" s="76" t="str">
        <f aca="false">B661&amp;"|"&amp;C661&amp;"|"&amp;D661&amp;"|"&amp;E661</f>
        <v>KWC|3|Minggu|08:15</v>
      </c>
      <c r="B661" s="76" t="s">
        <v>63</v>
      </c>
      <c r="C661" s="76" t="n">
        <v>3</v>
      </c>
      <c r="D661" s="76" t="s">
        <v>78</v>
      </c>
      <c r="E661" s="76" t="s">
        <v>96</v>
      </c>
      <c r="F661" s="77" t="s">
        <v>277</v>
      </c>
      <c r="G661" s="77" t="n">
        <v>0</v>
      </c>
      <c r="H661" s="77" t="n">
        <v>0</v>
      </c>
      <c r="I661" s="76" t="n">
        <f aca="false">IF(AND(ISNUMBER(G661),ISNUMBER(H661)),MAX(G661-H661,0),"")</f>
        <v>0</v>
      </c>
      <c r="J661" s="78" t="str">
        <f aca="false">IF(AND(ISNUMBER(G661),ISNUMBER(H661)),IF(G661&gt;0,H661/G661,""),"")</f>
        <v/>
      </c>
      <c r="K661" s="77"/>
      <c r="L661" s="76" t="str">
        <f aca="false">IF(OR(G661="",H661=""),"Data tidak lengkap",IF(AND(G661=0,H661=0),IF(AND(F661="",K661=""),"Tidak dibuka","Tutup"),IF(H661&gt;G661,"Lebih kapasitas",IF(H661=G661,"Penuh",IF(H661=0,IF(F661="","Slot kosong","Belum terisi"),"Sebagian")))))</f>
        <v>Tutup</v>
      </c>
      <c r="M661" s="79" t="str">
        <f aca="false">IF(L661="Tidak dibuka","–",IF(F661="","(tanpa age group)",F661)&amp;"  "&amp;IF(H661="","?",H661)&amp;"/"&amp;IF(G661="","?",G661)&amp;CHAR(10)&amp;IF(K661="","coach: –","coach: "&amp;K661))</f>
        <v>Little  0/0
coach: –</v>
      </c>
    </row>
    <row r="662" customFormat="false" ht="22.35" hidden="false" customHeight="false" outlineLevel="0" collapsed="false">
      <c r="A662" s="76" t="str">
        <f aca="false">B662&amp;"|"&amp;C662&amp;"|"&amp;D662&amp;"|"&amp;E662</f>
        <v>KWC|3|Minggu|09:00</v>
      </c>
      <c r="B662" s="76" t="s">
        <v>63</v>
      </c>
      <c r="C662" s="76" t="n">
        <v>3</v>
      </c>
      <c r="D662" s="76" t="s">
        <v>78</v>
      </c>
      <c r="E662" s="76" t="s">
        <v>97</v>
      </c>
      <c r="F662" s="77" t="s">
        <v>277</v>
      </c>
      <c r="G662" s="77" t="n">
        <v>4</v>
      </c>
      <c r="H662" s="77" t="n">
        <v>4</v>
      </c>
      <c r="I662" s="76" t="n">
        <f aca="false">IF(AND(ISNUMBER(G662),ISNUMBER(H662)),MAX(G662-H662,0),"")</f>
        <v>0</v>
      </c>
      <c r="J662" s="78" t="n">
        <f aca="false">IF(AND(ISNUMBER(G662),ISNUMBER(H662)),IF(G662&gt;0,H662/G662,""),"")</f>
        <v>1</v>
      </c>
      <c r="K662" s="77" t="s">
        <v>267</v>
      </c>
      <c r="L662" s="76" t="str">
        <f aca="false">IF(OR(G662="",H662=""),"Data tidak lengkap",IF(AND(G662=0,H662=0),IF(AND(F662="",K662=""),"Tidak dibuka","Tutup"),IF(H662&gt;G662,"Lebih kapasitas",IF(H662=G662,"Penuh",IF(H662=0,IF(F662="","Slot kosong","Belum terisi"),"Sebagian")))))</f>
        <v>Penuh</v>
      </c>
      <c r="M662" s="79" t="str">
        <f aca="false">IF(L662="Tidak dibuka","–",IF(F662="","(tanpa age group)",F662)&amp;"  "&amp;IF(H662="","?",H662)&amp;"/"&amp;IF(G662="","?",G662)&amp;CHAR(10)&amp;IF(K662="","coach: –","coach: "&amp;K662))</f>
        <v>Little  4/4
coach: Deyon</v>
      </c>
    </row>
    <row r="663" customFormat="false" ht="22.35" hidden="false" customHeight="false" outlineLevel="0" collapsed="false">
      <c r="A663" s="76" t="str">
        <f aca="false">B663&amp;"|"&amp;C663&amp;"|"&amp;D663&amp;"|"&amp;E663</f>
        <v>KWC|3|Minggu|09:45</v>
      </c>
      <c r="B663" s="76" t="s">
        <v>63</v>
      </c>
      <c r="C663" s="76" t="n">
        <v>3</v>
      </c>
      <c r="D663" s="76" t="s">
        <v>78</v>
      </c>
      <c r="E663" s="76" t="s">
        <v>98</v>
      </c>
      <c r="F663" s="77" t="s">
        <v>277</v>
      </c>
      <c r="G663" s="77" t="n">
        <v>4</v>
      </c>
      <c r="H663" s="77" t="n">
        <v>4</v>
      </c>
      <c r="I663" s="76" t="n">
        <f aca="false">IF(AND(ISNUMBER(G663),ISNUMBER(H663)),MAX(G663-H663,0),"")</f>
        <v>0</v>
      </c>
      <c r="J663" s="78" t="n">
        <f aca="false">IF(AND(ISNUMBER(G663),ISNUMBER(H663)),IF(G663&gt;0,H663/G663,""),"")</f>
        <v>1</v>
      </c>
      <c r="K663" s="77" t="s">
        <v>270</v>
      </c>
      <c r="L663" s="76" t="str">
        <f aca="false">IF(OR(G663="",H663=""),"Data tidak lengkap",IF(AND(G663=0,H663=0),IF(AND(F663="",K663=""),"Tidak dibuka","Tutup"),IF(H663&gt;G663,"Lebih kapasitas",IF(H663=G663,"Penuh",IF(H663=0,IF(F663="","Slot kosong","Belum terisi"),"Sebagian")))))</f>
        <v>Penuh</v>
      </c>
      <c r="M663" s="79" t="str">
        <f aca="false">IF(L663="Tidak dibuka","–",IF(F663="","(tanpa age group)",F663)&amp;"  "&amp;IF(H663="","?",H663)&amp;"/"&amp;IF(G663="","?",G663)&amp;CHAR(10)&amp;IF(K663="","coach: –","coach: "&amp;K663))</f>
        <v>Little  4/4
coach: Sri</v>
      </c>
    </row>
    <row r="664" customFormat="false" ht="22.35" hidden="false" customHeight="false" outlineLevel="0" collapsed="false">
      <c r="A664" s="76" t="str">
        <f aca="false">B664&amp;"|"&amp;C664&amp;"|"&amp;D664&amp;"|"&amp;E664</f>
        <v>KWC|3|Minggu|10:30</v>
      </c>
      <c r="B664" s="76" t="s">
        <v>63</v>
      </c>
      <c r="C664" s="76" t="n">
        <v>3</v>
      </c>
      <c r="D664" s="76" t="s">
        <v>78</v>
      </c>
      <c r="E664" s="76" t="s">
        <v>99</v>
      </c>
      <c r="F664" s="77" t="s">
        <v>277</v>
      </c>
      <c r="G664" s="77" t="n">
        <v>4</v>
      </c>
      <c r="H664" s="77" t="n">
        <v>4</v>
      </c>
      <c r="I664" s="76" t="n">
        <f aca="false">IF(AND(ISNUMBER(G664),ISNUMBER(H664)),MAX(G664-H664,0),"")</f>
        <v>0</v>
      </c>
      <c r="J664" s="78" t="n">
        <f aca="false">IF(AND(ISNUMBER(G664),ISNUMBER(H664)),IF(G664&gt;0,H664/G664,""),"")</f>
        <v>1</v>
      </c>
      <c r="K664" s="77" t="s">
        <v>270</v>
      </c>
      <c r="L664" s="76" t="str">
        <f aca="false">IF(OR(G664="",H664=""),"Data tidak lengkap",IF(AND(G664=0,H664=0),IF(AND(F664="",K664=""),"Tidak dibuka","Tutup"),IF(H664&gt;G664,"Lebih kapasitas",IF(H664=G664,"Penuh",IF(H664=0,IF(F664="","Slot kosong","Belum terisi"),"Sebagian")))))</f>
        <v>Penuh</v>
      </c>
      <c r="M664" s="79" t="str">
        <f aca="false">IF(L664="Tidak dibuka","–",IF(F664="","(tanpa age group)",F664)&amp;"  "&amp;IF(H664="","?",H664)&amp;"/"&amp;IF(G664="","?",G664)&amp;CHAR(10)&amp;IF(K664="","coach: –","coach: "&amp;K664))</f>
        <v>Little  4/4
coach: Sri</v>
      </c>
    </row>
    <row r="665" customFormat="false" ht="22.35" hidden="false" customHeight="false" outlineLevel="0" collapsed="false">
      <c r="A665" s="76" t="str">
        <f aca="false">B665&amp;"|"&amp;C665&amp;"|"&amp;D665&amp;"|"&amp;E665</f>
        <v>KWC|3|Minggu|11:15</v>
      </c>
      <c r="B665" s="76" t="s">
        <v>63</v>
      </c>
      <c r="C665" s="76" t="n">
        <v>3</v>
      </c>
      <c r="D665" s="76" t="s">
        <v>78</v>
      </c>
      <c r="E665" s="76" t="s">
        <v>100</v>
      </c>
      <c r="F665" s="77" t="s">
        <v>277</v>
      </c>
      <c r="G665" s="77" t="n">
        <v>4</v>
      </c>
      <c r="H665" s="77" t="n">
        <v>3</v>
      </c>
      <c r="I665" s="76" t="n">
        <f aca="false">IF(AND(ISNUMBER(G665),ISNUMBER(H665)),MAX(G665-H665,0),"")</f>
        <v>1</v>
      </c>
      <c r="J665" s="78" t="n">
        <f aca="false">IF(AND(ISNUMBER(G665),ISNUMBER(H665)),IF(G665&gt;0,H665/G665,""),"")</f>
        <v>0.75</v>
      </c>
      <c r="K665" s="77" t="s">
        <v>267</v>
      </c>
      <c r="L665" s="76" t="str">
        <f aca="false">IF(OR(G665="",H665=""),"Data tidak lengkap",IF(AND(G665=0,H665=0),IF(AND(F665="",K665=""),"Tidak dibuka","Tutup"),IF(H665&gt;G665,"Lebih kapasitas",IF(H665=G665,"Penuh",IF(H665=0,IF(F665="","Slot kosong","Belum terisi"),"Sebagian")))))</f>
        <v>Sebagian</v>
      </c>
      <c r="M665" s="79" t="str">
        <f aca="false">IF(L665="Tidak dibuka","–",IF(F665="","(tanpa age group)",F665)&amp;"  "&amp;IF(H665="","?",H665)&amp;"/"&amp;IF(G665="","?",G665)&amp;CHAR(10)&amp;IF(K665="","coach: –","coach: "&amp;K665))</f>
        <v>Little  3/4
coach: Deyon</v>
      </c>
    </row>
    <row r="666" customFormat="false" ht="22.35" hidden="false" customHeight="false" outlineLevel="0" collapsed="false">
      <c r="A666" s="76" t="str">
        <f aca="false">B666&amp;"|"&amp;C666&amp;"|"&amp;D666&amp;"|"&amp;E666</f>
        <v>KWC|3|Minggu|12:00</v>
      </c>
      <c r="B666" s="76" t="s">
        <v>63</v>
      </c>
      <c r="C666" s="76" t="n">
        <v>3</v>
      </c>
      <c r="D666" s="76" t="s">
        <v>78</v>
      </c>
      <c r="E666" s="76" t="s">
        <v>101</v>
      </c>
      <c r="F666" s="77" t="s">
        <v>277</v>
      </c>
      <c r="G666" s="77" t="n">
        <v>4</v>
      </c>
      <c r="H666" s="77" t="n">
        <v>4</v>
      </c>
      <c r="I666" s="76" t="n">
        <f aca="false">IF(AND(ISNUMBER(G666),ISNUMBER(H666)),MAX(G666-H666,0),"")</f>
        <v>0</v>
      </c>
      <c r="J666" s="78" t="n">
        <f aca="false">IF(AND(ISNUMBER(G666),ISNUMBER(H666)),IF(G666&gt;0,H666/G666,""),"")</f>
        <v>1</v>
      </c>
      <c r="K666" s="77" t="s">
        <v>271</v>
      </c>
      <c r="L666" s="76" t="str">
        <f aca="false">IF(OR(G666="",H666=""),"Data tidak lengkap",IF(AND(G666=0,H666=0),IF(AND(F666="",K666=""),"Tidak dibuka","Tutup"),IF(H666&gt;G666,"Lebih kapasitas",IF(H666=G666,"Penuh",IF(H666=0,IF(F666="","Slot kosong","Belum terisi"),"Sebagian")))))</f>
        <v>Penuh</v>
      </c>
      <c r="M666" s="79" t="str">
        <f aca="false">IF(L666="Tidak dibuka","–",IF(F666="","(tanpa age group)",F666)&amp;"  "&amp;IF(H666="","?",H666)&amp;"/"&amp;IF(G666="","?",G666)&amp;CHAR(10)&amp;IF(K666="","coach: –","coach: "&amp;K666))</f>
        <v>Little  4/4
coach: Icis</v>
      </c>
    </row>
    <row r="667" customFormat="false" ht="22.35" hidden="false" customHeight="false" outlineLevel="0" collapsed="false">
      <c r="A667" s="76" t="str">
        <f aca="false">B667&amp;"|"&amp;C667&amp;"|"&amp;D667&amp;"|"&amp;E667</f>
        <v>KWC|3|Minggu|13:30</v>
      </c>
      <c r="B667" s="76" t="s">
        <v>63</v>
      </c>
      <c r="C667" s="76" t="n">
        <v>3</v>
      </c>
      <c r="D667" s="76" t="s">
        <v>78</v>
      </c>
      <c r="E667" s="76" t="s">
        <v>102</v>
      </c>
      <c r="F667" s="77" t="s">
        <v>277</v>
      </c>
      <c r="G667" s="77" t="n">
        <v>4</v>
      </c>
      <c r="H667" s="77" t="n">
        <v>1</v>
      </c>
      <c r="I667" s="76" t="n">
        <f aca="false">IF(AND(ISNUMBER(G667),ISNUMBER(H667)),MAX(G667-H667,0),"")</f>
        <v>3</v>
      </c>
      <c r="J667" s="78" t="n">
        <f aca="false">IF(AND(ISNUMBER(G667),ISNUMBER(H667)),IF(G667&gt;0,H667/G667,""),"")</f>
        <v>0.25</v>
      </c>
      <c r="K667" s="77" t="s">
        <v>275</v>
      </c>
      <c r="L667" s="76" t="str">
        <f aca="false">IF(OR(G667="",H667=""),"Data tidak lengkap",IF(AND(G667=0,H667=0),IF(AND(F667="",K667=""),"Tidak dibuka","Tutup"),IF(H667&gt;G667,"Lebih kapasitas",IF(H667=G667,"Penuh",IF(H667=0,IF(F667="","Slot kosong","Belum terisi"),"Sebagian")))))</f>
        <v>Sebagian</v>
      </c>
      <c r="M667" s="79" t="str">
        <f aca="false">IF(L667="Tidak dibuka","–",IF(F667="","(tanpa age group)",F667)&amp;"  "&amp;IF(H667="","?",H667)&amp;"/"&amp;IF(G667="","?",G667)&amp;CHAR(10)&amp;IF(K667="","coach: –","coach: "&amp;K667))</f>
        <v>Little  1/4
coach: Ziran</v>
      </c>
    </row>
    <row r="668" customFormat="false" ht="22.35" hidden="false" customHeight="false" outlineLevel="0" collapsed="false">
      <c r="A668" s="76" t="str">
        <f aca="false">B668&amp;"|"&amp;C668&amp;"|"&amp;D668&amp;"|"&amp;E668</f>
        <v>KWC|3|Minggu|14:15</v>
      </c>
      <c r="B668" s="76" t="s">
        <v>63</v>
      </c>
      <c r="C668" s="76" t="n">
        <v>3</v>
      </c>
      <c r="D668" s="76" t="s">
        <v>78</v>
      </c>
      <c r="E668" s="76" t="s">
        <v>103</v>
      </c>
      <c r="F668" s="77" t="s">
        <v>277</v>
      </c>
      <c r="G668" s="77" t="n">
        <v>4</v>
      </c>
      <c r="H668" s="77" t="n">
        <v>3</v>
      </c>
      <c r="I668" s="76" t="n">
        <f aca="false">IF(AND(ISNUMBER(G668),ISNUMBER(H668)),MAX(G668-H668,0),"")</f>
        <v>1</v>
      </c>
      <c r="J668" s="78" t="n">
        <f aca="false">IF(AND(ISNUMBER(G668),ISNUMBER(H668)),IF(G668&gt;0,H668/G668,""),"")</f>
        <v>0.75</v>
      </c>
      <c r="K668" s="77" t="s">
        <v>267</v>
      </c>
      <c r="L668" s="76" t="str">
        <f aca="false">IF(OR(G668="",H668=""),"Data tidak lengkap",IF(AND(G668=0,H668=0),IF(AND(F668="",K668=""),"Tidak dibuka","Tutup"),IF(H668&gt;G668,"Lebih kapasitas",IF(H668=G668,"Penuh",IF(H668=0,IF(F668="","Slot kosong","Belum terisi"),"Sebagian")))))</f>
        <v>Sebagian</v>
      </c>
      <c r="M668" s="79" t="str">
        <f aca="false">IF(L668="Tidak dibuka","–",IF(F668="","(tanpa age group)",F668)&amp;"  "&amp;IF(H668="","?",H668)&amp;"/"&amp;IF(G668="","?",G668)&amp;CHAR(10)&amp;IF(K668="","coach: –","coach: "&amp;K668))</f>
        <v>Little  3/4
coach: Deyon</v>
      </c>
    </row>
    <row r="669" customFormat="false" ht="22.35" hidden="false" customHeight="false" outlineLevel="0" collapsed="false">
      <c r="A669" s="76" t="str">
        <f aca="false">B669&amp;"|"&amp;C669&amp;"|"&amp;D669&amp;"|"&amp;E669</f>
        <v>KWC|3|Minggu|15:00</v>
      </c>
      <c r="B669" s="76" t="s">
        <v>63</v>
      </c>
      <c r="C669" s="76" t="n">
        <v>3</v>
      </c>
      <c r="D669" s="76" t="s">
        <v>78</v>
      </c>
      <c r="E669" s="76" t="s">
        <v>104</v>
      </c>
      <c r="F669" s="77" t="s">
        <v>277</v>
      </c>
      <c r="G669" s="77" t="n">
        <v>4</v>
      </c>
      <c r="H669" s="77" t="n">
        <v>3</v>
      </c>
      <c r="I669" s="76" t="n">
        <f aca="false">IF(AND(ISNUMBER(G669),ISNUMBER(H669)),MAX(G669-H669,0),"")</f>
        <v>1</v>
      </c>
      <c r="J669" s="78" t="n">
        <f aca="false">IF(AND(ISNUMBER(G669),ISNUMBER(H669)),IF(G669&gt;0,H669/G669,""),"")</f>
        <v>0.75</v>
      </c>
      <c r="K669" s="77" t="s">
        <v>274</v>
      </c>
      <c r="L669" s="76" t="str">
        <f aca="false">IF(OR(G669="",H669=""),"Data tidak lengkap",IF(AND(G669=0,H669=0),IF(AND(F669="",K669=""),"Tidak dibuka","Tutup"),IF(H669&gt;G669,"Lebih kapasitas",IF(H669=G669,"Penuh",IF(H669=0,IF(F669="","Slot kosong","Belum terisi"),"Sebagian")))))</f>
        <v>Sebagian</v>
      </c>
      <c r="M669" s="79" t="str">
        <f aca="false">IF(L669="Tidak dibuka","–",IF(F669="","(tanpa age group)",F669)&amp;"  "&amp;IF(H669="","?",H669)&amp;"/"&amp;IF(G669="","?",G669)&amp;CHAR(10)&amp;IF(K669="","coach: –","coach: "&amp;K669))</f>
        <v>Little  3/4
coach: Eve</v>
      </c>
    </row>
    <row r="670" customFormat="false" ht="22.35" hidden="false" customHeight="false" outlineLevel="0" collapsed="false">
      <c r="A670" s="76" t="str">
        <f aca="false">B670&amp;"|"&amp;C670&amp;"|"&amp;D670&amp;"|"&amp;E670</f>
        <v>KWC|3|Minggu|15:45</v>
      </c>
      <c r="B670" s="76" t="s">
        <v>63</v>
      </c>
      <c r="C670" s="76" t="n">
        <v>3</v>
      </c>
      <c r="D670" s="76" t="s">
        <v>78</v>
      </c>
      <c r="E670" s="76" t="s">
        <v>105</v>
      </c>
      <c r="F670" s="77" t="s">
        <v>277</v>
      </c>
      <c r="G670" s="77" t="n">
        <v>4</v>
      </c>
      <c r="H670" s="77" t="n">
        <v>4</v>
      </c>
      <c r="I670" s="76" t="n">
        <f aca="false">IF(AND(ISNUMBER(G670),ISNUMBER(H670)),MAX(G670-H670,0),"")</f>
        <v>0</v>
      </c>
      <c r="J670" s="78" t="n">
        <f aca="false">IF(AND(ISNUMBER(G670),ISNUMBER(H670)),IF(G670&gt;0,H670/G670,""),"")</f>
        <v>1</v>
      </c>
      <c r="K670" s="77" t="s">
        <v>269</v>
      </c>
      <c r="L670" s="76" t="str">
        <f aca="false">IF(OR(G670="",H670=""),"Data tidak lengkap",IF(AND(G670=0,H670=0),IF(AND(F670="",K670=""),"Tidak dibuka","Tutup"),IF(H670&gt;G670,"Lebih kapasitas",IF(H670=G670,"Penuh",IF(H670=0,IF(F670="","Slot kosong","Belum terisi"),"Sebagian")))))</f>
        <v>Penuh</v>
      </c>
      <c r="M670" s="79" t="str">
        <f aca="false">IF(L670="Tidak dibuka","–",IF(F670="","(tanpa age group)",F670)&amp;"  "&amp;IF(H670="","?",H670)&amp;"/"&amp;IF(G670="","?",G670)&amp;CHAR(10)&amp;IF(K670="","coach: –","coach: "&amp;K670))</f>
        <v>Little  4/4
coach: Nabila</v>
      </c>
    </row>
    <row r="671" customFormat="false" ht="22.35" hidden="false" customHeight="false" outlineLevel="0" collapsed="false">
      <c r="A671" s="76" t="str">
        <f aca="false">B671&amp;"|"&amp;C671&amp;"|"&amp;D671&amp;"|"&amp;E671</f>
        <v>KWC|3|Minggu|16:30</v>
      </c>
      <c r="B671" s="76" t="s">
        <v>63</v>
      </c>
      <c r="C671" s="76" t="n">
        <v>3</v>
      </c>
      <c r="D671" s="76" t="s">
        <v>78</v>
      </c>
      <c r="E671" s="76" t="s">
        <v>106</v>
      </c>
      <c r="F671" s="77" t="s">
        <v>277</v>
      </c>
      <c r="G671" s="77" t="n">
        <v>4</v>
      </c>
      <c r="H671" s="77" t="n">
        <v>2</v>
      </c>
      <c r="I671" s="76" t="n">
        <f aca="false">IF(AND(ISNUMBER(G671),ISNUMBER(H671)),MAX(G671-H671,0),"")</f>
        <v>2</v>
      </c>
      <c r="J671" s="78" t="n">
        <f aca="false">IF(AND(ISNUMBER(G671),ISNUMBER(H671)),IF(G671&gt;0,H671/G671,""),"")</f>
        <v>0.5</v>
      </c>
      <c r="K671" s="77" t="s">
        <v>269</v>
      </c>
      <c r="L671" s="76" t="str">
        <f aca="false">IF(OR(G671="",H671=""),"Data tidak lengkap",IF(AND(G671=0,H671=0),IF(AND(F671="",K671=""),"Tidak dibuka","Tutup"),IF(H671&gt;G671,"Lebih kapasitas",IF(H671=G671,"Penuh",IF(H671=0,IF(F671="","Slot kosong","Belum terisi"),"Sebagian")))))</f>
        <v>Sebagian</v>
      </c>
      <c r="M671" s="79" t="str">
        <f aca="false">IF(L671="Tidak dibuka","–",IF(F671="","(tanpa age group)",F671)&amp;"  "&amp;IF(H671="","?",H671)&amp;"/"&amp;IF(G671="","?",G671)&amp;CHAR(10)&amp;IF(K671="","coach: –","coach: "&amp;K671))</f>
        <v>Little  2/4
coach: Nabila</v>
      </c>
    </row>
    <row r="672" customFormat="false" ht="22.35" hidden="false" customHeight="false" outlineLevel="0" collapsed="false">
      <c r="A672" s="76" t="str">
        <f aca="false">B672&amp;"|"&amp;C672&amp;"|"&amp;D672&amp;"|"&amp;E672</f>
        <v>KWC|3|Minggu|17:15</v>
      </c>
      <c r="B672" s="76" t="s">
        <v>63</v>
      </c>
      <c r="C672" s="76" t="n">
        <v>3</v>
      </c>
      <c r="D672" s="76" t="s">
        <v>78</v>
      </c>
      <c r="E672" s="76" t="s">
        <v>107</v>
      </c>
      <c r="F672" s="77" t="s">
        <v>277</v>
      </c>
      <c r="G672" s="77" t="n">
        <v>4</v>
      </c>
      <c r="H672" s="77" t="n">
        <v>3</v>
      </c>
      <c r="I672" s="76" t="n">
        <f aca="false">IF(AND(ISNUMBER(G672),ISNUMBER(H672)),MAX(G672-H672,0),"")</f>
        <v>1</v>
      </c>
      <c r="J672" s="78" t="n">
        <f aca="false">IF(AND(ISNUMBER(G672),ISNUMBER(H672)),IF(G672&gt;0,H672/G672,""),"")</f>
        <v>0.75</v>
      </c>
      <c r="K672" s="77" t="s">
        <v>267</v>
      </c>
      <c r="L672" s="76" t="str">
        <f aca="false">IF(OR(G672="",H672=""),"Data tidak lengkap",IF(AND(G672=0,H672=0),IF(AND(F672="",K672=""),"Tidak dibuka","Tutup"),IF(H672&gt;G672,"Lebih kapasitas",IF(H672=G672,"Penuh",IF(H672=0,IF(F672="","Slot kosong","Belum terisi"),"Sebagian")))))</f>
        <v>Sebagian</v>
      </c>
      <c r="M672" s="79" t="str">
        <f aca="false">IF(L672="Tidak dibuka","–",IF(F672="","(tanpa age group)",F672)&amp;"  "&amp;IF(H672="","?",H672)&amp;"/"&amp;IF(G672="","?",G672)&amp;CHAR(10)&amp;IF(K672="","coach: –","coach: "&amp;K672))</f>
        <v>Little  3/4
coach: Deyon</v>
      </c>
    </row>
    <row r="673" customFormat="false" ht="22.35" hidden="false" customHeight="false" outlineLevel="0" collapsed="false">
      <c r="A673" s="76" t="str">
        <f aca="false">B673&amp;"|"&amp;C673&amp;"|"&amp;D673&amp;"|"&amp;E673</f>
        <v>KWC|4|Senin|08:15</v>
      </c>
      <c r="B673" s="76" t="s">
        <v>63</v>
      </c>
      <c r="C673" s="76" t="n">
        <v>4</v>
      </c>
      <c r="D673" s="76" t="s">
        <v>90</v>
      </c>
      <c r="E673" s="76" t="s">
        <v>96</v>
      </c>
      <c r="F673" s="77" t="s">
        <v>210</v>
      </c>
      <c r="G673" s="77" t="n">
        <v>0</v>
      </c>
      <c r="H673" s="77" t="n">
        <v>0</v>
      </c>
      <c r="I673" s="76" t="n">
        <f aca="false">IF(AND(ISNUMBER(G673),ISNUMBER(H673)),MAX(G673-H673,0),"")</f>
        <v>0</v>
      </c>
      <c r="J673" s="78" t="str">
        <f aca="false">IF(AND(ISNUMBER(G673),ISNUMBER(H673)),IF(G673&gt;0,H673/G673,""),"")</f>
        <v/>
      </c>
      <c r="K673" s="77"/>
      <c r="L673" s="76" t="str">
        <f aca="false">IF(OR(G673="",H673=""),"Data tidak lengkap",IF(AND(G673=0,H673=0),IF(AND(F673="",K673=""),"Tidak dibuka","Tutup"),IF(H673&gt;G673,"Lebih kapasitas",IF(H673=G673,"Penuh",IF(H673=0,IF(F673="","Slot kosong","Belum terisi"),"Sebagian")))))</f>
        <v>Tutup</v>
      </c>
      <c r="M673" s="79" t="str">
        <f aca="false">IF(L673="Tidak dibuka","–",IF(F673="","(tanpa age group)",F673)&amp;"  "&amp;IF(H673="","?",H673)&amp;"/"&amp;IF(G673="","?",G673)&amp;CHAR(10)&amp;IF(K673="","coach: –","coach: "&amp;K673))</f>
        <v>Kids  0/0
coach: –</v>
      </c>
    </row>
    <row r="674" customFormat="false" ht="22.35" hidden="false" customHeight="false" outlineLevel="0" collapsed="false">
      <c r="A674" s="76" t="str">
        <f aca="false">B674&amp;"|"&amp;C674&amp;"|"&amp;D674&amp;"|"&amp;E674</f>
        <v>KWC|4|Senin|09:00</v>
      </c>
      <c r="B674" s="76" t="s">
        <v>63</v>
      </c>
      <c r="C674" s="76" t="n">
        <v>4</v>
      </c>
      <c r="D674" s="76" t="s">
        <v>90</v>
      </c>
      <c r="E674" s="76" t="s">
        <v>97</v>
      </c>
      <c r="F674" s="77" t="s">
        <v>210</v>
      </c>
      <c r="G674" s="77" t="n">
        <v>4</v>
      </c>
      <c r="H674" s="77" t="n">
        <v>0</v>
      </c>
      <c r="I674" s="76" t="n">
        <f aca="false">IF(AND(ISNUMBER(G674),ISNUMBER(H674)),MAX(G674-H674,0),"")</f>
        <v>4</v>
      </c>
      <c r="J674" s="78" t="n">
        <f aca="false">IF(AND(ISNUMBER(G674),ISNUMBER(H674)),IF(G674&gt;0,H674/G674,""),"")</f>
        <v>0</v>
      </c>
      <c r="K674" s="77"/>
      <c r="L674" s="76" t="str">
        <f aca="false">IF(OR(G674="",H674=""),"Data tidak lengkap",IF(AND(G674=0,H674=0),IF(AND(F674="",K674=""),"Tidak dibuka","Tutup"),IF(H674&gt;G674,"Lebih kapasitas",IF(H674=G674,"Penuh",IF(H674=0,IF(F674="","Slot kosong","Belum terisi"),"Sebagian")))))</f>
        <v>Belum terisi</v>
      </c>
      <c r="M674" s="79" t="str">
        <f aca="false">IF(L674="Tidak dibuka","–",IF(F674="","(tanpa age group)",F674)&amp;"  "&amp;IF(H674="","?",H674)&amp;"/"&amp;IF(G674="","?",G674)&amp;CHAR(10)&amp;IF(K674="","coach: –","coach: "&amp;K674))</f>
        <v>Kids  0/4
coach: –</v>
      </c>
    </row>
    <row r="675" customFormat="false" ht="22.35" hidden="false" customHeight="false" outlineLevel="0" collapsed="false">
      <c r="A675" s="76" t="str">
        <f aca="false">B675&amp;"|"&amp;C675&amp;"|"&amp;D675&amp;"|"&amp;E675</f>
        <v>KWC|4|Senin|09:45</v>
      </c>
      <c r="B675" s="76" t="s">
        <v>63</v>
      </c>
      <c r="C675" s="76" t="n">
        <v>4</v>
      </c>
      <c r="D675" s="76" t="s">
        <v>90</v>
      </c>
      <c r="E675" s="76" t="s">
        <v>98</v>
      </c>
      <c r="F675" s="77" t="s">
        <v>210</v>
      </c>
      <c r="G675" s="77" t="n">
        <v>4</v>
      </c>
      <c r="H675" s="77" t="n">
        <v>2</v>
      </c>
      <c r="I675" s="76" t="n">
        <f aca="false">IF(AND(ISNUMBER(G675),ISNUMBER(H675)),MAX(G675-H675,0),"")</f>
        <v>2</v>
      </c>
      <c r="J675" s="78" t="n">
        <f aca="false">IF(AND(ISNUMBER(G675),ISNUMBER(H675)),IF(G675&gt;0,H675/G675,""),"")</f>
        <v>0.5</v>
      </c>
      <c r="K675" s="77" t="s">
        <v>273</v>
      </c>
      <c r="L675" s="76" t="str">
        <f aca="false">IF(OR(G675="",H675=""),"Data tidak lengkap",IF(AND(G675=0,H675=0),IF(AND(F675="",K675=""),"Tidak dibuka","Tutup"),IF(H675&gt;G675,"Lebih kapasitas",IF(H675=G675,"Penuh",IF(H675=0,IF(F675="","Slot kosong","Belum terisi"),"Sebagian")))))</f>
        <v>Sebagian</v>
      </c>
      <c r="M675" s="79" t="str">
        <f aca="false">IF(L675="Tidak dibuka","–",IF(F675="","(tanpa age group)",F675)&amp;"  "&amp;IF(H675="","?",H675)&amp;"/"&amp;IF(G675="","?",G675)&amp;CHAR(10)&amp;IF(K675="","coach: –","coach: "&amp;K675))</f>
        <v>Kids  2/4
coach: Frido</v>
      </c>
    </row>
    <row r="676" customFormat="false" ht="22.35" hidden="false" customHeight="false" outlineLevel="0" collapsed="false">
      <c r="A676" s="76" t="str">
        <f aca="false">B676&amp;"|"&amp;C676&amp;"|"&amp;D676&amp;"|"&amp;E676</f>
        <v>KWC|4|Senin|10:30</v>
      </c>
      <c r="B676" s="76" t="s">
        <v>63</v>
      </c>
      <c r="C676" s="76" t="n">
        <v>4</v>
      </c>
      <c r="D676" s="76" t="s">
        <v>90</v>
      </c>
      <c r="E676" s="76" t="s">
        <v>99</v>
      </c>
      <c r="F676" s="77" t="s">
        <v>210</v>
      </c>
      <c r="G676" s="77" t="n">
        <v>4</v>
      </c>
      <c r="H676" s="77" t="n">
        <v>0</v>
      </c>
      <c r="I676" s="76" t="n">
        <f aca="false">IF(AND(ISNUMBER(G676),ISNUMBER(H676)),MAX(G676-H676,0),"")</f>
        <v>4</v>
      </c>
      <c r="J676" s="78" t="n">
        <f aca="false">IF(AND(ISNUMBER(G676),ISNUMBER(H676)),IF(G676&gt;0,H676/G676,""),"")</f>
        <v>0</v>
      </c>
      <c r="K676" s="77"/>
      <c r="L676" s="76" t="str">
        <f aca="false">IF(OR(G676="",H676=""),"Data tidak lengkap",IF(AND(G676=0,H676=0),IF(AND(F676="",K676=""),"Tidak dibuka","Tutup"),IF(H676&gt;G676,"Lebih kapasitas",IF(H676=G676,"Penuh",IF(H676=0,IF(F676="","Slot kosong","Belum terisi"),"Sebagian")))))</f>
        <v>Belum terisi</v>
      </c>
      <c r="M676" s="79" t="str">
        <f aca="false">IF(L676="Tidak dibuka","–",IF(F676="","(tanpa age group)",F676)&amp;"  "&amp;IF(H676="","?",H676)&amp;"/"&amp;IF(G676="","?",G676)&amp;CHAR(10)&amp;IF(K676="","coach: –","coach: "&amp;K676))</f>
        <v>Kids  0/4
coach: –</v>
      </c>
    </row>
    <row r="677" customFormat="false" ht="22.35" hidden="false" customHeight="false" outlineLevel="0" collapsed="false">
      <c r="A677" s="76" t="str">
        <f aca="false">B677&amp;"|"&amp;C677&amp;"|"&amp;D677&amp;"|"&amp;E677</f>
        <v>KWC|4|Senin|11:15</v>
      </c>
      <c r="B677" s="76" t="s">
        <v>63</v>
      </c>
      <c r="C677" s="76" t="n">
        <v>4</v>
      </c>
      <c r="D677" s="76" t="s">
        <v>90</v>
      </c>
      <c r="E677" s="76" t="s">
        <v>100</v>
      </c>
      <c r="F677" s="77" t="s">
        <v>210</v>
      </c>
      <c r="G677" s="77" t="n">
        <v>4</v>
      </c>
      <c r="H677" s="77" t="n">
        <v>0</v>
      </c>
      <c r="I677" s="76" t="n">
        <f aca="false">IF(AND(ISNUMBER(G677),ISNUMBER(H677)),MAX(G677-H677,0),"")</f>
        <v>4</v>
      </c>
      <c r="J677" s="78" t="n">
        <f aca="false">IF(AND(ISNUMBER(G677),ISNUMBER(H677)),IF(G677&gt;0,H677/G677,""),"")</f>
        <v>0</v>
      </c>
      <c r="K677" s="77"/>
      <c r="L677" s="76" t="str">
        <f aca="false">IF(OR(G677="",H677=""),"Data tidak lengkap",IF(AND(G677=0,H677=0),IF(AND(F677="",K677=""),"Tidak dibuka","Tutup"),IF(H677&gt;G677,"Lebih kapasitas",IF(H677=G677,"Penuh",IF(H677=0,IF(F677="","Slot kosong","Belum terisi"),"Sebagian")))))</f>
        <v>Belum terisi</v>
      </c>
      <c r="M677" s="79" t="str">
        <f aca="false">IF(L677="Tidak dibuka","–",IF(F677="","(tanpa age group)",F677)&amp;"  "&amp;IF(H677="","?",H677)&amp;"/"&amp;IF(G677="","?",G677)&amp;CHAR(10)&amp;IF(K677="","coach: –","coach: "&amp;K677))</f>
        <v>Kids  0/4
coach: –</v>
      </c>
    </row>
    <row r="678" customFormat="false" ht="22.35" hidden="false" customHeight="false" outlineLevel="0" collapsed="false">
      <c r="A678" s="76" t="str">
        <f aca="false">B678&amp;"|"&amp;C678&amp;"|"&amp;D678&amp;"|"&amp;E678</f>
        <v>KWC|4|Senin|12:00</v>
      </c>
      <c r="B678" s="76" t="s">
        <v>63</v>
      </c>
      <c r="C678" s="76" t="n">
        <v>4</v>
      </c>
      <c r="D678" s="76" t="s">
        <v>90</v>
      </c>
      <c r="E678" s="76" t="s">
        <v>101</v>
      </c>
      <c r="F678" s="77" t="s">
        <v>210</v>
      </c>
      <c r="G678" s="77" t="n">
        <v>0</v>
      </c>
      <c r="H678" s="77" t="n">
        <v>0</v>
      </c>
      <c r="I678" s="76" t="n">
        <f aca="false">IF(AND(ISNUMBER(G678),ISNUMBER(H678)),MAX(G678-H678,0),"")</f>
        <v>0</v>
      </c>
      <c r="J678" s="78" t="str">
        <f aca="false">IF(AND(ISNUMBER(G678),ISNUMBER(H678)),IF(G678&gt;0,H678/G678,""),"")</f>
        <v/>
      </c>
      <c r="K678" s="77"/>
      <c r="L678" s="76" t="str">
        <f aca="false">IF(OR(G678="",H678=""),"Data tidak lengkap",IF(AND(G678=0,H678=0),IF(AND(F678="",K678=""),"Tidak dibuka","Tutup"),IF(H678&gt;G678,"Lebih kapasitas",IF(H678=G678,"Penuh",IF(H678=0,IF(F678="","Slot kosong","Belum terisi"),"Sebagian")))))</f>
        <v>Tutup</v>
      </c>
      <c r="M678" s="79" t="str">
        <f aca="false">IF(L678="Tidak dibuka","–",IF(F678="","(tanpa age group)",F678)&amp;"  "&amp;IF(H678="","?",H678)&amp;"/"&amp;IF(G678="","?",G678)&amp;CHAR(10)&amp;IF(K678="","coach: –","coach: "&amp;K678))</f>
        <v>Kids  0/0
coach: –</v>
      </c>
    </row>
    <row r="679" customFormat="false" ht="22.35" hidden="false" customHeight="false" outlineLevel="0" collapsed="false">
      <c r="A679" s="76" t="str">
        <f aca="false">B679&amp;"|"&amp;C679&amp;"|"&amp;D679&amp;"|"&amp;E679</f>
        <v>KWC|4|Senin|13:30</v>
      </c>
      <c r="B679" s="76" t="s">
        <v>63</v>
      </c>
      <c r="C679" s="76" t="n">
        <v>4</v>
      </c>
      <c r="D679" s="76" t="s">
        <v>90</v>
      </c>
      <c r="E679" s="76" t="s">
        <v>102</v>
      </c>
      <c r="F679" s="77" t="s">
        <v>210</v>
      </c>
      <c r="G679" s="77" t="n">
        <v>4</v>
      </c>
      <c r="H679" s="77" t="n">
        <v>2</v>
      </c>
      <c r="I679" s="76" t="n">
        <f aca="false">IF(AND(ISNUMBER(G679),ISNUMBER(H679)),MAX(G679-H679,0),"")</f>
        <v>2</v>
      </c>
      <c r="J679" s="78" t="n">
        <f aca="false">IF(AND(ISNUMBER(G679),ISNUMBER(H679)),IF(G679&gt;0,H679/G679,""),"")</f>
        <v>0.5</v>
      </c>
      <c r="K679" s="77" t="s">
        <v>270</v>
      </c>
      <c r="L679" s="76" t="str">
        <f aca="false">IF(OR(G679="",H679=""),"Data tidak lengkap",IF(AND(G679=0,H679=0),IF(AND(F679="",K679=""),"Tidak dibuka","Tutup"),IF(H679&gt;G679,"Lebih kapasitas",IF(H679=G679,"Penuh",IF(H679=0,IF(F679="","Slot kosong","Belum terisi"),"Sebagian")))))</f>
        <v>Sebagian</v>
      </c>
      <c r="M679" s="79" t="str">
        <f aca="false">IF(L679="Tidak dibuka","–",IF(F679="","(tanpa age group)",F679)&amp;"  "&amp;IF(H679="","?",H679)&amp;"/"&amp;IF(G679="","?",G679)&amp;CHAR(10)&amp;IF(K679="","coach: –","coach: "&amp;K679))</f>
        <v>Kids  2/4
coach: Sri</v>
      </c>
    </row>
    <row r="680" customFormat="false" ht="22.35" hidden="false" customHeight="false" outlineLevel="0" collapsed="false">
      <c r="A680" s="76" t="str">
        <f aca="false">B680&amp;"|"&amp;C680&amp;"|"&amp;D680&amp;"|"&amp;E680</f>
        <v>KWC|4|Senin|14:15</v>
      </c>
      <c r="B680" s="76" t="s">
        <v>63</v>
      </c>
      <c r="C680" s="76" t="n">
        <v>4</v>
      </c>
      <c r="D680" s="76" t="s">
        <v>90</v>
      </c>
      <c r="E680" s="76" t="s">
        <v>103</v>
      </c>
      <c r="F680" s="77" t="s">
        <v>210</v>
      </c>
      <c r="G680" s="77" t="n">
        <v>4</v>
      </c>
      <c r="H680" s="77" t="n">
        <v>3</v>
      </c>
      <c r="I680" s="76" t="n">
        <f aca="false">IF(AND(ISNUMBER(G680),ISNUMBER(H680)),MAX(G680-H680,0),"")</f>
        <v>1</v>
      </c>
      <c r="J680" s="78" t="n">
        <f aca="false">IF(AND(ISNUMBER(G680),ISNUMBER(H680)),IF(G680&gt;0,H680/G680,""),"")</f>
        <v>0.75</v>
      </c>
      <c r="K680" s="77" t="s">
        <v>275</v>
      </c>
      <c r="L680" s="76" t="str">
        <f aca="false">IF(OR(G680="",H680=""),"Data tidak lengkap",IF(AND(G680=0,H680=0),IF(AND(F680="",K680=""),"Tidak dibuka","Tutup"),IF(H680&gt;G680,"Lebih kapasitas",IF(H680=G680,"Penuh",IF(H680=0,IF(F680="","Slot kosong","Belum terisi"),"Sebagian")))))</f>
        <v>Sebagian</v>
      </c>
      <c r="M680" s="79" t="str">
        <f aca="false">IF(L680="Tidak dibuka","–",IF(F680="","(tanpa age group)",F680)&amp;"  "&amp;IF(H680="","?",H680)&amp;"/"&amp;IF(G680="","?",G680)&amp;CHAR(10)&amp;IF(K680="","coach: –","coach: "&amp;K680))</f>
        <v>Kids  3/4
coach: Ziran</v>
      </c>
    </row>
    <row r="681" customFormat="false" ht="22.35" hidden="false" customHeight="false" outlineLevel="0" collapsed="false">
      <c r="A681" s="76" t="str">
        <f aca="false">B681&amp;"|"&amp;C681&amp;"|"&amp;D681&amp;"|"&amp;E681</f>
        <v>KWC|4|Senin|15:00</v>
      </c>
      <c r="B681" s="76" t="s">
        <v>63</v>
      </c>
      <c r="C681" s="76" t="n">
        <v>4</v>
      </c>
      <c r="D681" s="76" t="s">
        <v>90</v>
      </c>
      <c r="E681" s="76" t="s">
        <v>104</v>
      </c>
      <c r="F681" s="77" t="s">
        <v>210</v>
      </c>
      <c r="G681" s="77" t="n">
        <v>4</v>
      </c>
      <c r="H681" s="77" t="n">
        <v>3</v>
      </c>
      <c r="I681" s="76" t="n">
        <f aca="false">IF(AND(ISNUMBER(G681),ISNUMBER(H681)),MAX(G681-H681,0),"")</f>
        <v>1</v>
      </c>
      <c r="J681" s="78" t="n">
        <f aca="false">IF(AND(ISNUMBER(G681),ISNUMBER(H681)),IF(G681&gt;0,H681/G681,""),"")</f>
        <v>0.75</v>
      </c>
      <c r="K681" s="77" t="s">
        <v>270</v>
      </c>
      <c r="L681" s="76" t="str">
        <f aca="false">IF(OR(G681="",H681=""),"Data tidak lengkap",IF(AND(G681=0,H681=0),IF(AND(F681="",K681=""),"Tidak dibuka","Tutup"),IF(H681&gt;G681,"Lebih kapasitas",IF(H681=G681,"Penuh",IF(H681=0,IF(F681="","Slot kosong","Belum terisi"),"Sebagian")))))</f>
        <v>Sebagian</v>
      </c>
      <c r="M681" s="79" t="str">
        <f aca="false">IF(L681="Tidak dibuka","–",IF(F681="","(tanpa age group)",F681)&amp;"  "&amp;IF(H681="","?",H681)&amp;"/"&amp;IF(G681="","?",G681)&amp;CHAR(10)&amp;IF(K681="","coach: –","coach: "&amp;K681))</f>
        <v>Kids  3/4
coach: Sri</v>
      </c>
    </row>
    <row r="682" customFormat="false" ht="22.35" hidden="false" customHeight="false" outlineLevel="0" collapsed="false">
      <c r="A682" s="76" t="str">
        <f aca="false">B682&amp;"|"&amp;C682&amp;"|"&amp;D682&amp;"|"&amp;E682</f>
        <v>KWC|4|Senin|15:45</v>
      </c>
      <c r="B682" s="76" t="s">
        <v>63</v>
      </c>
      <c r="C682" s="76" t="n">
        <v>4</v>
      </c>
      <c r="D682" s="76" t="s">
        <v>90</v>
      </c>
      <c r="E682" s="76" t="s">
        <v>105</v>
      </c>
      <c r="F682" s="77" t="s">
        <v>210</v>
      </c>
      <c r="G682" s="77" t="n">
        <v>4</v>
      </c>
      <c r="H682" s="77" t="n">
        <v>5</v>
      </c>
      <c r="I682" s="76" t="n">
        <f aca="false">IF(AND(ISNUMBER(G682),ISNUMBER(H682)),MAX(G682-H682,0),"")</f>
        <v>0</v>
      </c>
      <c r="J682" s="78" t="n">
        <f aca="false">IF(AND(ISNUMBER(G682),ISNUMBER(H682)),IF(G682&gt;0,H682/G682,""),"")</f>
        <v>1.25</v>
      </c>
      <c r="K682" s="77" t="s">
        <v>267</v>
      </c>
      <c r="L682" s="76" t="str">
        <f aca="false">IF(OR(G682="",H682=""),"Data tidak lengkap",IF(AND(G682=0,H682=0),IF(AND(F682="",K682=""),"Tidak dibuka","Tutup"),IF(H682&gt;G682,"Lebih kapasitas",IF(H682=G682,"Penuh",IF(H682=0,IF(F682="","Slot kosong","Belum terisi"),"Sebagian")))))</f>
        <v>Lebih kapasitas</v>
      </c>
      <c r="M682" s="79" t="str">
        <f aca="false">IF(L682="Tidak dibuka","–",IF(F682="","(tanpa age group)",F682)&amp;"  "&amp;IF(H682="","?",H682)&amp;"/"&amp;IF(G682="","?",G682)&amp;CHAR(10)&amp;IF(K682="","coach: –","coach: "&amp;K682))</f>
        <v>Kids  5/4
coach: Deyon</v>
      </c>
    </row>
    <row r="683" customFormat="false" ht="22.35" hidden="false" customHeight="false" outlineLevel="0" collapsed="false">
      <c r="A683" s="76" t="str">
        <f aca="false">B683&amp;"|"&amp;C683&amp;"|"&amp;D683&amp;"|"&amp;E683</f>
        <v>KWC|4|Senin|16:30</v>
      </c>
      <c r="B683" s="76" t="s">
        <v>63</v>
      </c>
      <c r="C683" s="76" t="n">
        <v>4</v>
      </c>
      <c r="D683" s="76" t="s">
        <v>90</v>
      </c>
      <c r="E683" s="76" t="s">
        <v>106</v>
      </c>
      <c r="F683" s="77" t="s">
        <v>210</v>
      </c>
      <c r="G683" s="77" t="n">
        <v>4</v>
      </c>
      <c r="H683" s="77" t="n">
        <v>4</v>
      </c>
      <c r="I683" s="76" t="n">
        <f aca="false">IF(AND(ISNUMBER(G683),ISNUMBER(H683)),MAX(G683-H683,0),"")</f>
        <v>0</v>
      </c>
      <c r="J683" s="78" t="n">
        <f aca="false">IF(AND(ISNUMBER(G683),ISNUMBER(H683)),IF(G683&gt;0,H683/G683,""),"")</f>
        <v>1</v>
      </c>
      <c r="K683" s="77" t="s">
        <v>272</v>
      </c>
      <c r="L683" s="76" t="str">
        <f aca="false">IF(OR(G683="",H683=""),"Data tidak lengkap",IF(AND(G683=0,H683=0),IF(AND(F683="",K683=""),"Tidak dibuka","Tutup"),IF(H683&gt;G683,"Lebih kapasitas",IF(H683=G683,"Penuh",IF(H683=0,IF(F683="","Slot kosong","Belum terisi"),"Sebagian")))))</f>
        <v>Penuh</v>
      </c>
      <c r="M683" s="79" t="str">
        <f aca="false">IF(L683="Tidak dibuka","–",IF(F683="","(tanpa age group)",F683)&amp;"  "&amp;IF(H683="","?",H683)&amp;"/"&amp;IF(G683="","?",G683)&amp;CHAR(10)&amp;IF(K683="","coach: –","coach: "&amp;K683))</f>
        <v>Kids  4/4
coach: Eriek</v>
      </c>
    </row>
    <row r="684" customFormat="false" ht="22.35" hidden="false" customHeight="false" outlineLevel="0" collapsed="false">
      <c r="A684" s="76" t="str">
        <f aca="false">B684&amp;"|"&amp;C684&amp;"|"&amp;D684&amp;"|"&amp;E684</f>
        <v>KWC|4|Senin|17:15</v>
      </c>
      <c r="B684" s="76" t="s">
        <v>63</v>
      </c>
      <c r="C684" s="76" t="n">
        <v>4</v>
      </c>
      <c r="D684" s="76" t="s">
        <v>90</v>
      </c>
      <c r="E684" s="76" t="s">
        <v>107</v>
      </c>
      <c r="F684" s="77" t="s">
        <v>210</v>
      </c>
      <c r="G684" s="77" t="n">
        <v>4</v>
      </c>
      <c r="H684" s="77" t="n">
        <v>4</v>
      </c>
      <c r="I684" s="76" t="n">
        <f aca="false">IF(AND(ISNUMBER(G684),ISNUMBER(H684)),MAX(G684-H684,0),"")</f>
        <v>0</v>
      </c>
      <c r="J684" s="78" t="n">
        <f aca="false">IF(AND(ISNUMBER(G684),ISNUMBER(H684)),IF(G684&gt;0,H684/G684,""),"")</f>
        <v>1</v>
      </c>
      <c r="K684" s="77" t="s">
        <v>272</v>
      </c>
      <c r="L684" s="76" t="str">
        <f aca="false">IF(OR(G684="",H684=""),"Data tidak lengkap",IF(AND(G684=0,H684=0),IF(AND(F684="",K684=""),"Tidak dibuka","Tutup"),IF(H684&gt;G684,"Lebih kapasitas",IF(H684=G684,"Penuh",IF(H684=0,IF(F684="","Slot kosong","Belum terisi"),"Sebagian")))))</f>
        <v>Penuh</v>
      </c>
      <c r="M684" s="79" t="str">
        <f aca="false">IF(L684="Tidak dibuka","–",IF(F684="","(tanpa age group)",F684)&amp;"  "&amp;IF(H684="","?",H684)&amp;"/"&amp;IF(G684="","?",G684)&amp;CHAR(10)&amp;IF(K684="","coach: –","coach: "&amp;K684))</f>
        <v>Kids  4/4
coach: Eriek</v>
      </c>
    </row>
    <row r="685" customFormat="false" ht="22.35" hidden="false" customHeight="false" outlineLevel="0" collapsed="false">
      <c r="A685" s="76" t="str">
        <f aca="false">B685&amp;"|"&amp;C685&amp;"|"&amp;D685&amp;"|"&amp;E685</f>
        <v>KWC|4|Selasa|08:15</v>
      </c>
      <c r="B685" s="76" t="s">
        <v>63</v>
      </c>
      <c r="C685" s="76" t="n">
        <v>4</v>
      </c>
      <c r="D685" s="76" t="s">
        <v>91</v>
      </c>
      <c r="E685" s="76" t="s">
        <v>96</v>
      </c>
      <c r="F685" s="77" t="s">
        <v>210</v>
      </c>
      <c r="G685" s="77" t="n">
        <v>0</v>
      </c>
      <c r="H685" s="77" t="n">
        <v>0</v>
      </c>
      <c r="I685" s="76" t="n">
        <f aca="false">IF(AND(ISNUMBER(G685),ISNUMBER(H685)),MAX(G685-H685,0),"")</f>
        <v>0</v>
      </c>
      <c r="J685" s="78" t="str">
        <f aca="false">IF(AND(ISNUMBER(G685),ISNUMBER(H685)),IF(G685&gt;0,H685/G685,""),"")</f>
        <v/>
      </c>
      <c r="K685" s="77"/>
      <c r="L685" s="76" t="str">
        <f aca="false">IF(OR(G685="",H685=""),"Data tidak lengkap",IF(AND(G685=0,H685=0),IF(AND(F685="",K685=""),"Tidak dibuka","Tutup"),IF(H685&gt;G685,"Lebih kapasitas",IF(H685=G685,"Penuh",IF(H685=0,IF(F685="","Slot kosong","Belum terisi"),"Sebagian")))))</f>
        <v>Tutup</v>
      </c>
      <c r="M685" s="79" t="str">
        <f aca="false">IF(L685="Tidak dibuka","–",IF(F685="","(tanpa age group)",F685)&amp;"  "&amp;IF(H685="","?",H685)&amp;"/"&amp;IF(G685="","?",G685)&amp;CHAR(10)&amp;IF(K685="","coach: –","coach: "&amp;K685))</f>
        <v>Kids  0/0
coach: –</v>
      </c>
    </row>
    <row r="686" customFormat="false" ht="22.35" hidden="false" customHeight="false" outlineLevel="0" collapsed="false">
      <c r="A686" s="76" t="str">
        <f aca="false">B686&amp;"|"&amp;C686&amp;"|"&amp;D686&amp;"|"&amp;E686</f>
        <v>KWC|4|Selasa|09:00</v>
      </c>
      <c r="B686" s="76" t="s">
        <v>63</v>
      </c>
      <c r="C686" s="76" t="n">
        <v>4</v>
      </c>
      <c r="D686" s="76" t="s">
        <v>91</v>
      </c>
      <c r="E686" s="76" t="s">
        <v>97</v>
      </c>
      <c r="F686" s="77" t="s">
        <v>210</v>
      </c>
      <c r="G686" s="77" t="n">
        <v>4</v>
      </c>
      <c r="H686" s="77" t="n">
        <v>0</v>
      </c>
      <c r="I686" s="76" t="n">
        <f aca="false">IF(AND(ISNUMBER(G686),ISNUMBER(H686)),MAX(G686-H686,0),"")</f>
        <v>4</v>
      </c>
      <c r="J686" s="78" t="n">
        <f aca="false">IF(AND(ISNUMBER(G686),ISNUMBER(H686)),IF(G686&gt;0,H686/G686,""),"")</f>
        <v>0</v>
      </c>
      <c r="K686" s="77"/>
      <c r="L686" s="76" t="str">
        <f aca="false">IF(OR(G686="",H686=""),"Data tidak lengkap",IF(AND(G686=0,H686=0),IF(AND(F686="",K686=""),"Tidak dibuka","Tutup"),IF(H686&gt;G686,"Lebih kapasitas",IF(H686=G686,"Penuh",IF(H686=0,IF(F686="","Slot kosong","Belum terisi"),"Sebagian")))))</f>
        <v>Belum terisi</v>
      </c>
      <c r="M686" s="79" t="str">
        <f aca="false">IF(L686="Tidak dibuka","–",IF(F686="","(tanpa age group)",F686)&amp;"  "&amp;IF(H686="","?",H686)&amp;"/"&amp;IF(G686="","?",G686)&amp;CHAR(10)&amp;IF(K686="","coach: –","coach: "&amp;K686))</f>
        <v>Kids  0/4
coach: –</v>
      </c>
    </row>
    <row r="687" customFormat="false" ht="22.35" hidden="false" customHeight="false" outlineLevel="0" collapsed="false">
      <c r="A687" s="76" t="str">
        <f aca="false">B687&amp;"|"&amp;C687&amp;"|"&amp;D687&amp;"|"&amp;E687</f>
        <v>KWC|4|Selasa|09:45</v>
      </c>
      <c r="B687" s="76" t="s">
        <v>63</v>
      </c>
      <c r="C687" s="76" t="n">
        <v>4</v>
      </c>
      <c r="D687" s="76" t="s">
        <v>91</v>
      </c>
      <c r="E687" s="76" t="s">
        <v>98</v>
      </c>
      <c r="F687" s="77" t="s">
        <v>210</v>
      </c>
      <c r="G687" s="77" t="n">
        <v>4</v>
      </c>
      <c r="H687" s="77" t="n">
        <v>0</v>
      </c>
      <c r="I687" s="76" t="n">
        <f aca="false">IF(AND(ISNUMBER(G687),ISNUMBER(H687)),MAX(G687-H687,0),"")</f>
        <v>4</v>
      </c>
      <c r="J687" s="78" t="n">
        <f aca="false">IF(AND(ISNUMBER(G687),ISNUMBER(H687)),IF(G687&gt;0,H687/G687,""),"")</f>
        <v>0</v>
      </c>
      <c r="K687" s="77"/>
      <c r="L687" s="76" t="str">
        <f aca="false">IF(OR(G687="",H687=""),"Data tidak lengkap",IF(AND(G687=0,H687=0),IF(AND(F687="",K687=""),"Tidak dibuka","Tutup"),IF(H687&gt;G687,"Lebih kapasitas",IF(H687=G687,"Penuh",IF(H687=0,IF(F687="","Slot kosong","Belum terisi"),"Sebagian")))))</f>
        <v>Belum terisi</v>
      </c>
      <c r="M687" s="79" t="str">
        <f aca="false">IF(L687="Tidak dibuka","–",IF(F687="","(tanpa age group)",F687)&amp;"  "&amp;IF(H687="","?",H687)&amp;"/"&amp;IF(G687="","?",G687)&amp;CHAR(10)&amp;IF(K687="","coach: –","coach: "&amp;K687))</f>
        <v>Kids  0/4
coach: –</v>
      </c>
    </row>
    <row r="688" customFormat="false" ht="22.35" hidden="false" customHeight="false" outlineLevel="0" collapsed="false">
      <c r="A688" s="76" t="str">
        <f aca="false">B688&amp;"|"&amp;C688&amp;"|"&amp;D688&amp;"|"&amp;E688</f>
        <v>KWC|4|Selasa|10:30</v>
      </c>
      <c r="B688" s="76" t="s">
        <v>63</v>
      </c>
      <c r="C688" s="76" t="n">
        <v>4</v>
      </c>
      <c r="D688" s="76" t="s">
        <v>91</v>
      </c>
      <c r="E688" s="76" t="s">
        <v>99</v>
      </c>
      <c r="F688" s="77" t="s">
        <v>210</v>
      </c>
      <c r="G688" s="77" t="n">
        <v>4</v>
      </c>
      <c r="H688" s="77" t="n">
        <v>0</v>
      </c>
      <c r="I688" s="76" t="n">
        <f aca="false">IF(AND(ISNUMBER(G688),ISNUMBER(H688)),MAX(G688-H688,0),"")</f>
        <v>4</v>
      </c>
      <c r="J688" s="78" t="n">
        <f aca="false">IF(AND(ISNUMBER(G688),ISNUMBER(H688)),IF(G688&gt;0,H688/G688,""),"")</f>
        <v>0</v>
      </c>
      <c r="K688" s="77"/>
      <c r="L688" s="76" t="str">
        <f aca="false">IF(OR(G688="",H688=""),"Data tidak lengkap",IF(AND(G688=0,H688=0),IF(AND(F688="",K688=""),"Tidak dibuka","Tutup"),IF(H688&gt;G688,"Lebih kapasitas",IF(H688=G688,"Penuh",IF(H688=0,IF(F688="","Slot kosong","Belum terisi"),"Sebagian")))))</f>
        <v>Belum terisi</v>
      </c>
      <c r="M688" s="79" t="str">
        <f aca="false">IF(L688="Tidak dibuka","–",IF(F688="","(tanpa age group)",F688)&amp;"  "&amp;IF(H688="","?",H688)&amp;"/"&amp;IF(G688="","?",G688)&amp;CHAR(10)&amp;IF(K688="","coach: –","coach: "&amp;K688))</f>
        <v>Kids  0/4
coach: –</v>
      </c>
    </row>
    <row r="689" customFormat="false" ht="22.35" hidden="false" customHeight="false" outlineLevel="0" collapsed="false">
      <c r="A689" s="76" t="str">
        <f aca="false">B689&amp;"|"&amp;C689&amp;"|"&amp;D689&amp;"|"&amp;E689</f>
        <v>KWC|4|Selasa|11:15</v>
      </c>
      <c r="B689" s="76" t="s">
        <v>63</v>
      </c>
      <c r="C689" s="76" t="n">
        <v>4</v>
      </c>
      <c r="D689" s="76" t="s">
        <v>91</v>
      </c>
      <c r="E689" s="76" t="s">
        <v>100</v>
      </c>
      <c r="F689" s="77" t="s">
        <v>210</v>
      </c>
      <c r="G689" s="77" t="n">
        <v>4</v>
      </c>
      <c r="H689" s="77" t="n">
        <v>1</v>
      </c>
      <c r="I689" s="76" t="n">
        <f aca="false">IF(AND(ISNUMBER(G689),ISNUMBER(H689)),MAX(G689-H689,0),"")</f>
        <v>3</v>
      </c>
      <c r="J689" s="78" t="n">
        <f aca="false">IF(AND(ISNUMBER(G689),ISNUMBER(H689)),IF(G689&gt;0,H689/G689,""),"")</f>
        <v>0.25</v>
      </c>
      <c r="K689" s="77" t="s">
        <v>267</v>
      </c>
      <c r="L689" s="76" t="str">
        <f aca="false">IF(OR(G689="",H689=""),"Data tidak lengkap",IF(AND(G689=0,H689=0),IF(AND(F689="",K689=""),"Tidak dibuka","Tutup"),IF(H689&gt;G689,"Lebih kapasitas",IF(H689=G689,"Penuh",IF(H689=0,IF(F689="","Slot kosong","Belum terisi"),"Sebagian")))))</f>
        <v>Sebagian</v>
      </c>
      <c r="M689" s="79" t="str">
        <f aca="false">IF(L689="Tidak dibuka","–",IF(F689="","(tanpa age group)",F689)&amp;"  "&amp;IF(H689="","?",H689)&amp;"/"&amp;IF(G689="","?",G689)&amp;CHAR(10)&amp;IF(K689="","coach: –","coach: "&amp;K689))</f>
        <v>Kids  1/4
coach: Deyon</v>
      </c>
    </row>
    <row r="690" customFormat="false" ht="22.35" hidden="false" customHeight="false" outlineLevel="0" collapsed="false">
      <c r="A690" s="76" t="str">
        <f aca="false">B690&amp;"|"&amp;C690&amp;"|"&amp;D690&amp;"|"&amp;E690</f>
        <v>KWC|4|Selasa|12:00</v>
      </c>
      <c r="B690" s="76" t="s">
        <v>63</v>
      </c>
      <c r="C690" s="76" t="n">
        <v>4</v>
      </c>
      <c r="D690" s="76" t="s">
        <v>91</v>
      </c>
      <c r="E690" s="76" t="s">
        <v>101</v>
      </c>
      <c r="F690" s="77" t="s">
        <v>210</v>
      </c>
      <c r="G690" s="77" t="n">
        <v>0</v>
      </c>
      <c r="H690" s="77" t="n">
        <v>0</v>
      </c>
      <c r="I690" s="76" t="n">
        <f aca="false">IF(AND(ISNUMBER(G690),ISNUMBER(H690)),MAX(G690-H690,0),"")</f>
        <v>0</v>
      </c>
      <c r="J690" s="78" t="str">
        <f aca="false">IF(AND(ISNUMBER(G690),ISNUMBER(H690)),IF(G690&gt;0,H690/G690,""),"")</f>
        <v/>
      </c>
      <c r="K690" s="77"/>
      <c r="L690" s="76" t="str">
        <f aca="false">IF(OR(G690="",H690=""),"Data tidak lengkap",IF(AND(G690=0,H690=0),IF(AND(F690="",K690=""),"Tidak dibuka","Tutup"),IF(H690&gt;G690,"Lebih kapasitas",IF(H690=G690,"Penuh",IF(H690=0,IF(F690="","Slot kosong","Belum terisi"),"Sebagian")))))</f>
        <v>Tutup</v>
      </c>
      <c r="M690" s="79" t="str">
        <f aca="false">IF(L690="Tidak dibuka","–",IF(F690="","(tanpa age group)",F690)&amp;"  "&amp;IF(H690="","?",H690)&amp;"/"&amp;IF(G690="","?",G690)&amp;CHAR(10)&amp;IF(K690="","coach: –","coach: "&amp;K690))</f>
        <v>Kids  0/0
coach: –</v>
      </c>
    </row>
    <row r="691" customFormat="false" ht="22.35" hidden="false" customHeight="false" outlineLevel="0" collapsed="false">
      <c r="A691" s="76" t="str">
        <f aca="false">B691&amp;"|"&amp;C691&amp;"|"&amp;D691&amp;"|"&amp;E691</f>
        <v>KWC|4|Selasa|13:30</v>
      </c>
      <c r="B691" s="76" t="s">
        <v>63</v>
      </c>
      <c r="C691" s="76" t="n">
        <v>4</v>
      </c>
      <c r="D691" s="76" t="s">
        <v>91</v>
      </c>
      <c r="E691" s="76" t="s">
        <v>102</v>
      </c>
      <c r="F691" s="77" t="s">
        <v>210</v>
      </c>
      <c r="G691" s="77" t="n">
        <v>4</v>
      </c>
      <c r="H691" s="77" t="n">
        <v>4</v>
      </c>
      <c r="I691" s="76" t="n">
        <f aca="false">IF(AND(ISNUMBER(G691),ISNUMBER(H691)),MAX(G691-H691,0),"")</f>
        <v>0</v>
      </c>
      <c r="J691" s="78" t="n">
        <f aca="false">IF(AND(ISNUMBER(G691),ISNUMBER(H691)),IF(G691&gt;0,H691/G691,""),"")</f>
        <v>1</v>
      </c>
      <c r="K691" s="77" t="s">
        <v>267</v>
      </c>
      <c r="L691" s="76" t="str">
        <f aca="false">IF(OR(G691="",H691=""),"Data tidak lengkap",IF(AND(G691=0,H691=0),IF(AND(F691="",K691=""),"Tidak dibuka","Tutup"),IF(H691&gt;G691,"Lebih kapasitas",IF(H691=G691,"Penuh",IF(H691=0,IF(F691="","Slot kosong","Belum terisi"),"Sebagian")))))</f>
        <v>Penuh</v>
      </c>
      <c r="M691" s="79" t="str">
        <f aca="false">IF(L691="Tidak dibuka","–",IF(F691="","(tanpa age group)",F691)&amp;"  "&amp;IF(H691="","?",H691)&amp;"/"&amp;IF(G691="","?",G691)&amp;CHAR(10)&amp;IF(K691="","coach: –","coach: "&amp;K691))</f>
        <v>Kids  4/4
coach: Deyon</v>
      </c>
    </row>
    <row r="692" customFormat="false" ht="22.35" hidden="false" customHeight="false" outlineLevel="0" collapsed="false">
      <c r="A692" s="76" t="str">
        <f aca="false">B692&amp;"|"&amp;C692&amp;"|"&amp;D692&amp;"|"&amp;E692</f>
        <v>KWC|4|Selasa|14:15</v>
      </c>
      <c r="B692" s="76" t="s">
        <v>63</v>
      </c>
      <c r="C692" s="76" t="n">
        <v>4</v>
      </c>
      <c r="D692" s="76" t="s">
        <v>91</v>
      </c>
      <c r="E692" s="76" t="s">
        <v>103</v>
      </c>
      <c r="F692" s="77" t="s">
        <v>210</v>
      </c>
      <c r="G692" s="77" t="n">
        <v>4</v>
      </c>
      <c r="H692" s="77" t="n">
        <v>2</v>
      </c>
      <c r="I692" s="76" t="n">
        <f aca="false">IF(AND(ISNUMBER(G692),ISNUMBER(H692)),MAX(G692-H692,0),"")</f>
        <v>2</v>
      </c>
      <c r="J692" s="78" t="n">
        <f aca="false">IF(AND(ISNUMBER(G692),ISNUMBER(H692)),IF(G692&gt;0,H692/G692,""),"")</f>
        <v>0.5</v>
      </c>
      <c r="K692" s="77" t="s">
        <v>270</v>
      </c>
      <c r="L692" s="76" t="str">
        <f aca="false">IF(OR(G692="",H692=""),"Data tidak lengkap",IF(AND(G692=0,H692=0),IF(AND(F692="",K692=""),"Tidak dibuka","Tutup"),IF(H692&gt;G692,"Lebih kapasitas",IF(H692=G692,"Penuh",IF(H692=0,IF(F692="","Slot kosong","Belum terisi"),"Sebagian")))))</f>
        <v>Sebagian</v>
      </c>
      <c r="M692" s="79" t="str">
        <f aca="false">IF(L692="Tidak dibuka","–",IF(F692="","(tanpa age group)",F692)&amp;"  "&amp;IF(H692="","?",H692)&amp;"/"&amp;IF(G692="","?",G692)&amp;CHAR(10)&amp;IF(K692="","coach: –","coach: "&amp;K692))</f>
        <v>Kids  2/4
coach: Sri</v>
      </c>
    </row>
    <row r="693" customFormat="false" ht="22.35" hidden="false" customHeight="false" outlineLevel="0" collapsed="false">
      <c r="A693" s="76" t="str">
        <f aca="false">B693&amp;"|"&amp;C693&amp;"|"&amp;D693&amp;"|"&amp;E693</f>
        <v>KWC|4|Selasa|15:00</v>
      </c>
      <c r="B693" s="76" t="s">
        <v>63</v>
      </c>
      <c r="C693" s="76" t="n">
        <v>4</v>
      </c>
      <c r="D693" s="76" t="s">
        <v>91</v>
      </c>
      <c r="E693" s="76" t="s">
        <v>104</v>
      </c>
      <c r="F693" s="77" t="s">
        <v>210</v>
      </c>
      <c r="G693" s="77" t="n">
        <v>4</v>
      </c>
      <c r="H693" s="77" t="n">
        <v>2</v>
      </c>
      <c r="I693" s="76" t="n">
        <f aca="false">IF(AND(ISNUMBER(G693),ISNUMBER(H693)),MAX(G693-H693,0),"")</f>
        <v>2</v>
      </c>
      <c r="J693" s="78" t="n">
        <f aca="false">IF(AND(ISNUMBER(G693),ISNUMBER(H693)),IF(G693&gt;0,H693/G693,""),"")</f>
        <v>0.5</v>
      </c>
      <c r="K693" s="77" t="s">
        <v>270</v>
      </c>
      <c r="L693" s="76" t="str">
        <f aca="false">IF(OR(G693="",H693=""),"Data tidak lengkap",IF(AND(G693=0,H693=0),IF(AND(F693="",K693=""),"Tidak dibuka","Tutup"),IF(H693&gt;G693,"Lebih kapasitas",IF(H693=G693,"Penuh",IF(H693=0,IF(F693="","Slot kosong","Belum terisi"),"Sebagian")))))</f>
        <v>Sebagian</v>
      </c>
      <c r="M693" s="79" t="str">
        <f aca="false">IF(L693="Tidak dibuka","–",IF(F693="","(tanpa age group)",F693)&amp;"  "&amp;IF(H693="","?",H693)&amp;"/"&amp;IF(G693="","?",G693)&amp;CHAR(10)&amp;IF(K693="","coach: –","coach: "&amp;K693))</f>
        <v>Kids  2/4
coach: Sri</v>
      </c>
    </row>
    <row r="694" customFormat="false" ht="22.35" hidden="false" customHeight="false" outlineLevel="0" collapsed="false">
      <c r="A694" s="76" t="str">
        <f aca="false">B694&amp;"|"&amp;C694&amp;"|"&amp;D694&amp;"|"&amp;E694</f>
        <v>KWC|4|Selasa|15:45</v>
      </c>
      <c r="B694" s="76" t="s">
        <v>63</v>
      </c>
      <c r="C694" s="76" t="n">
        <v>4</v>
      </c>
      <c r="D694" s="76" t="s">
        <v>91</v>
      </c>
      <c r="E694" s="76" t="s">
        <v>105</v>
      </c>
      <c r="F694" s="77" t="s">
        <v>210</v>
      </c>
      <c r="G694" s="77" t="n">
        <v>4</v>
      </c>
      <c r="H694" s="77" t="n">
        <v>4</v>
      </c>
      <c r="I694" s="76" t="n">
        <f aca="false">IF(AND(ISNUMBER(G694),ISNUMBER(H694)),MAX(G694-H694,0),"")</f>
        <v>0</v>
      </c>
      <c r="J694" s="78" t="n">
        <f aca="false">IF(AND(ISNUMBER(G694),ISNUMBER(H694)),IF(G694&gt;0,H694/G694,""),"")</f>
        <v>1</v>
      </c>
      <c r="K694" s="77" t="s">
        <v>272</v>
      </c>
      <c r="L694" s="76" t="str">
        <f aca="false">IF(OR(G694="",H694=""),"Data tidak lengkap",IF(AND(G694=0,H694=0),IF(AND(F694="",K694=""),"Tidak dibuka","Tutup"),IF(H694&gt;G694,"Lebih kapasitas",IF(H694=G694,"Penuh",IF(H694=0,IF(F694="","Slot kosong","Belum terisi"),"Sebagian")))))</f>
        <v>Penuh</v>
      </c>
      <c r="M694" s="79" t="str">
        <f aca="false">IF(L694="Tidak dibuka","–",IF(F694="","(tanpa age group)",F694)&amp;"  "&amp;IF(H694="","?",H694)&amp;"/"&amp;IF(G694="","?",G694)&amp;CHAR(10)&amp;IF(K694="","coach: –","coach: "&amp;K694))</f>
        <v>Kids  4/4
coach: Eriek</v>
      </c>
    </row>
    <row r="695" customFormat="false" ht="22.35" hidden="false" customHeight="false" outlineLevel="0" collapsed="false">
      <c r="A695" s="76" t="str">
        <f aca="false">B695&amp;"|"&amp;C695&amp;"|"&amp;D695&amp;"|"&amp;E695</f>
        <v>KWC|4|Selasa|16:30</v>
      </c>
      <c r="B695" s="76" t="s">
        <v>63</v>
      </c>
      <c r="C695" s="76" t="n">
        <v>4</v>
      </c>
      <c r="D695" s="76" t="s">
        <v>91</v>
      </c>
      <c r="E695" s="76" t="s">
        <v>106</v>
      </c>
      <c r="F695" s="77" t="s">
        <v>210</v>
      </c>
      <c r="G695" s="77" t="n">
        <v>4</v>
      </c>
      <c r="H695" s="77" t="n">
        <v>4</v>
      </c>
      <c r="I695" s="76" t="n">
        <f aca="false">IF(AND(ISNUMBER(G695),ISNUMBER(H695)),MAX(G695-H695,0),"")</f>
        <v>0</v>
      </c>
      <c r="J695" s="78" t="n">
        <f aca="false">IF(AND(ISNUMBER(G695),ISNUMBER(H695)),IF(G695&gt;0,H695/G695,""),"")</f>
        <v>1</v>
      </c>
      <c r="K695" s="77" t="s">
        <v>267</v>
      </c>
      <c r="L695" s="76" t="str">
        <f aca="false">IF(OR(G695="",H695=""),"Data tidak lengkap",IF(AND(G695=0,H695=0),IF(AND(F695="",K695=""),"Tidak dibuka","Tutup"),IF(H695&gt;G695,"Lebih kapasitas",IF(H695=G695,"Penuh",IF(H695=0,IF(F695="","Slot kosong","Belum terisi"),"Sebagian")))))</f>
        <v>Penuh</v>
      </c>
      <c r="M695" s="79" t="str">
        <f aca="false">IF(L695="Tidak dibuka","–",IF(F695="","(tanpa age group)",F695)&amp;"  "&amp;IF(H695="","?",H695)&amp;"/"&amp;IF(G695="","?",G695)&amp;CHAR(10)&amp;IF(K695="","coach: –","coach: "&amp;K695))</f>
        <v>Kids  4/4
coach: Deyon</v>
      </c>
    </row>
    <row r="696" customFormat="false" ht="22.35" hidden="false" customHeight="false" outlineLevel="0" collapsed="false">
      <c r="A696" s="76" t="str">
        <f aca="false">B696&amp;"|"&amp;C696&amp;"|"&amp;D696&amp;"|"&amp;E696</f>
        <v>KWC|4|Selasa|17:15</v>
      </c>
      <c r="B696" s="76" t="s">
        <v>63</v>
      </c>
      <c r="C696" s="76" t="n">
        <v>4</v>
      </c>
      <c r="D696" s="76" t="s">
        <v>91</v>
      </c>
      <c r="E696" s="76" t="s">
        <v>107</v>
      </c>
      <c r="F696" s="77" t="s">
        <v>210</v>
      </c>
      <c r="G696" s="77" t="n">
        <v>4</v>
      </c>
      <c r="H696" s="77" t="n">
        <v>1</v>
      </c>
      <c r="I696" s="76" t="n">
        <f aca="false">IF(AND(ISNUMBER(G696),ISNUMBER(H696)),MAX(G696-H696,0),"")</f>
        <v>3</v>
      </c>
      <c r="J696" s="78" t="n">
        <f aca="false">IF(AND(ISNUMBER(G696),ISNUMBER(H696)),IF(G696&gt;0,H696/G696,""),"")</f>
        <v>0.25</v>
      </c>
      <c r="K696" s="77" t="s">
        <v>267</v>
      </c>
      <c r="L696" s="76" t="str">
        <f aca="false">IF(OR(G696="",H696=""),"Data tidak lengkap",IF(AND(G696=0,H696=0),IF(AND(F696="",K696=""),"Tidak dibuka","Tutup"),IF(H696&gt;G696,"Lebih kapasitas",IF(H696=G696,"Penuh",IF(H696=0,IF(F696="","Slot kosong","Belum terisi"),"Sebagian")))))</f>
        <v>Sebagian</v>
      </c>
      <c r="M696" s="79" t="str">
        <f aca="false">IF(L696="Tidak dibuka","–",IF(F696="","(tanpa age group)",F696)&amp;"  "&amp;IF(H696="","?",H696)&amp;"/"&amp;IF(G696="","?",G696)&amp;CHAR(10)&amp;IF(K696="","coach: –","coach: "&amp;K696))</f>
        <v>Kids  1/4
coach: Deyon</v>
      </c>
    </row>
    <row r="697" customFormat="false" ht="22.35" hidden="false" customHeight="false" outlineLevel="0" collapsed="false">
      <c r="A697" s="76" t="str">
        <f aca="false">B697&amp;"|"&amp;C697&amp;"|"&amp;D697&amp;"|"&amp;E697</f>
        <v>KWC|4|Rabu|08:15</v>
      </c>
      <c r="B697" s="76" t="s">
        <v>63</v>
      </c>
      <c r="C697" s="76" t="n">
        <v>4</v>
      </c>
      <c r="D697" s="76" t="s">
        <v>92</v>
      </c>
      <c r="E697" s="76" t="s">
        <v>96</v>
      </c>
      <c r="F697" s="77" t="s">
        <v>210</v>
      </c>
      <c r="G697" s="77" t="n">
        <v>0</v>
      </c>
      <c r="H697" s="77" t="n">
        <v>0</v>
      </c>
      <c r="I697" s="76" t="n">
        <f aca="false">IF(AND(ISNUMBER(G697),ISNUMBER(H697)),MAX(G697-H697,0),"")</f>
        <v>0</v>
      </c>
      <c r="J697" s="78" t="str">
        <f aca="false">IF(AND(ISNUMBER(G697),ISNUMBER(H697)),IF(G697&gt;0,H697/G697,""),"")</f>
        <v/>
      </c>
      <c r="K697" s="77"/>
      <c r="L697" s="76" t="str">
        <f aca="false">IF(OR(G697="",H697=""),"Data tidak lengkap",IF(AND(G697=0,H697=0),IF(AND(F697="",K697=""),"Tidak dibuka","Tutup"),IF(H697&gt;G697,"Lebih kapasitas",IF(H697=G697,"Penuh",IF(H697=0,IF(F697="","Slot kosong","Belum terisi"),"Sebagian")))))</f>
        <v>Tutup</v>
      </c>
      <c r="M697" s="79" t="str">
        <f aca="false">IF(L697="Tidak dibuka","–",IF(F697="","(tanpa age group)",F697)&amp;"  "&amp;IF(H697="","?",H697)&amp;"/"&amp;IF(G697="","?",G697)&amp;CHAR(10)&amp;IF(K697="","coach: –","coach: "&amp;K697))</f>
        <v>Kids  0/0
coach: –</v>
      </c>
    </row>
    <row r="698" customFormat="false" ht="22.35" hidden="false" customHeight="false" outlineLevel="0" collapsed="false">
      <c r="A698" s="76" t="str">
        <f aca="false">B698&amp;"|"&amp;C698&amp;"|"&amp;D698&amp;"|"&amp;E698</f>
        <v>KWC|4|Rabu|09:00</v>
      </c>
      <c r="B698" s="76" t="s">
        <v>63</v>
      </c>
      <c r="C698" s="76" t="n">
        <v>4</v>
      </c>
      <c r="D698" s="76" t="s">
        <v>92</v>
      </c>
      <c r="E698" s="76" t="s">
        <v>97</v>
      </c>
      <c r="F698" s="77" t="s">
        <v>210</v>
      </c>
      <c r="G698" s="77" t="n">
        <v>4</v>
      </c>
      <c r="H698" s="77" t="n">
        <v>0</v>
      </c>
      <c r="I698" s="76" t="n">
        <f aca="false">IF(AND(ISNUMBER(G698),ISNUMBER(H698)),MAX(G698-H698,0),"")</f>
        <v>4</v>
      </c>
      <c r="J698" s="78" t="n">
        <f aca="false">IF(AND(ISNUMBER(G698),ISNUMBER(H698)),IF(G698&gt;0,H698/G698,""),"")</f>
        <v>0</v>
      </c>
      <c r="K698" s="77"/>
      <c r="L698" s="76" t="str">
        <f aca="false">IF(OR(G698="",H698=""),"Data tidak lengkap",IF(AND(G698=0,H698=0),IF(AND(F698="",K698=""),"Tidak dibuka","Tutup"),IF(H698&gt;G698,"Lebih kapasitas",IF(H698=G698,"Penuh",IF(H698=0,IF(F698="","Slot kosong","Belum terisi"),"Sebagian")))))</f>
        <v>Belum terisi</v>
      </c>
      <c r="M698" s="79" t="str">
        <f aca="false">IF(L698="Tidak dibuka","–",IF(F698="","(tanpa age group)",F698)&amp;"  "&amp;IF(H698="","?",H698)&amp;"/"&amp;IF(G698="","?",G698)&amp;CHAR(10)&amp;IF(K698="","coach: –","coach: "&amp;K698))</f>
        <v>Kids  0/4
coach: –</v>
      </c>
    </row>
    <row r="699" customFormat="false" ht="22.35" hidden="false" customHeight="false" outlineLevel="0" collapsed="false">
      <c r="A699" s="76" t="str">
        <f aca="false">B699&amp;"|"&amp;C699&amp;"|"&amp;D699&amp;"|"&amp;E699</f>
        <v>KWC|4|Rabu|09:45</v>
      </c>
      <c r="B699" s="76" t="s">
        <v>63</v>
      </c>
      <c r="C699" s="76" t="n">
        <v>4</v>
      </c>
      <c r="D699" s="76" t="s">
        <v>92</v>
      </c>
      <c r="E699" s="76" t="s">
        <v>98</v>
      </c>
      <c r="F699" s="77" t="s">
        <v>210</v>
      </c>
      <c r="G699" s="77" t="n">
        <v>4</v>
      </c>
      <c r="H699" s="77" t="n">
        <v>0</v>
      </c>
      <c r="I699" s="76" t="n">
        <f aca="false">IF(AND(ISNUMBER(G699),ISNUMBER(H699)),MAX(G699-H699,0),"")</f>
        <v>4</v>
      </c>
      <c r="J699" s="78" t="n">
        <f aca="false">IF(AND(ISNUMBER(G699),ISNUMBER(H699)),IF(G699&gt;0,H699/G699,""),"")</f>
        <v>0</v>
      </c>
      <c r="K699" s="77"/>
      <c r="L699" s="76" t="str">
        <f aca="false">IF(OR(G699="",H699=""),"Data tidak lengkap",IF(AND(G699=0,H699=0),IF(AND(F699="",K699=""),"Tidak dibuka","Tutup"),IF(H699&gt;G699,"Lebih kapasitas",IF(H699=G699,"Penuh",IF(H699=0,IF(F699="","Slot kosong","Belum terisi"),"Sebagian")))))</f>
        <v>Belum terisi</v>
      </c>
      <c r="M699" s="79" t="str">
        <f aca="false">IF(L699="Tidak dibuka","–",IF(F699="","(tanpa age group)",F699)&amp;"  "&amp;IF(H699="","?",H699)&amp;"/"&amp;IF(G699="","?",G699)&amp;CHAR(10)&amp;IF(K699="","coach: –","coach: "&amp;K699))</f>
        <v>Kids  0/4
coach: –</v>
      </c>
    </row>
    <row r="700" customFormat="false" ht="22.35" hidden="false" customHeight="false" outlineLevel="0" collapsed="false">
      <c r="A700" s="76" t="str">
        <f aca="false">B700&amp;"|"&amp;C700&amp;"|"&amp;D700&amp;"|"&amp;E700</f>
        <v>KWC|4|Rabu|10:30</v>
      </c>
      <c r="B700" s="76" t="s">
        <v>63</v>
      </c>
      <c r="C700" s="76" t="n">
        <v>4</v>
      </c>
      <c r="D700" s="76" t="s">
        <v>92</v>
      </c>
      <c r="E700" s="76" t="s">
        <v>99</v>
      </c>
      <c r="F700" s="77" t="s">
        <v>210</v>
      </c>
      <c r="G700" s="77" t="n">
        <v>4</v>
      </c>
      <c r="H700" s="77" t="n">
        <v>0</v>
      </c>
      <c r="I700" s="76" t="n">
        <f aca="false">IF(AND(ISNUMBER(G700),ISNUMBER(H700)),MAX(G700-H700,0),"")</f>
        <v>4</v>
      </c>
      <c r="J700" s="78" t="n">
        <f aca="false">IF(AND(ISNUMBER(G700),ISNUMBER(H700)),IF(G700&gt;0,H700/G700,""),"")</f>
        <v>0</v>
      </c>
      <c r="K700" s="77"/>
      <c r="L700" s="76" t="str">
        <f aca="false">IF(OR(G700="",H700=""),"Data tidak lengkap",IF(AND(G700=0,H700=0),IF(AND(F700="",K700=""),"Tidak dibuka","Tutup"),IF(H700&gt;G700,"Lebih kapasitas",IF(H700=G700,"Penuh",IF(H700=0,IF(F700="","Slot kosong","Belum terisi"),"Sebagian")))))</f>
        <v>Belum terisi</v>
      </c>
      <c r="M700" s="79" t="str">
        <f aca="false">IF(L700="Tidak dibuka","–",IF(F700="","(tanpa age group)",F700)&amp;"  "&amp;IF(H700="","?",H700)&amp;"/"&amp;IF(G700="","?",G700)&amp;CHAR(10)&amp;IF(K700="","coach: –","coach: "&amp;K700))</f>
        <v>Kids  0/4
coach: –</v>
      </c>
    </row>
    <row r="701" customFormat="false" ht="22.35" hidden="false" customHeight="false" outlineLevel="0" collapsed="false">
      <c r="A701" s="76" t="str">
        <f aca="false">B701&amp;"|"&amp;C701&amp;"|"&amp;D701&amp;"|"&amp;E701</f>
        <v>KWC|4|Rabu|11:15</v>
      </c>
      <c r="B701" s="76" t="s">
        <v>63</v>
      </c>
      <c r="C701" s="76" t="n">
        <v>4</v>
      </c>
      <c r="D701" s="76" t="s">
        <v>92</v>
      </c>
      <c r="E701" s="76" t="s">
        <v>100</v>
      </c>
      <c r="F701" s="77" t="s">
        <v>210</v>
      </c>
      <c r="G701" s="77" t="n">
        <v>4</v>
      </c>
      <c r="H701" s="77" t="n">
        <v>2</v>
      </c>
      <c r="I701" s="76" t="n">
        <f aca="false">IF(AND(ISNUMBER(G701),ISNUMBER(H701)),MAX(G701-H701,0),"")</f>
        <v>2</v>
      </c>
      <c r="J701" s="78" t="n">
        <f aca="false">IF(AND(ISNUMBER(G701),ISNUMBER(H701)),IF(G701&gt;0,H701/G701,""),"")</f>
        <v>0.5</v>
      </c>
      <c r="K701" s="77" t="s">
        <v>269</v>
      </c>
      <c r="L701" s="76" t="str">
        <f aca="false">IF(OR(G701="",H701=""),"Data tidak lengkap",IF(AND(G701=0,H701=0),IF(AND(F701="",K701=""),"Tidak dibuka","Tutup"),IF(H701&gt;G701,"Lebih kapasitas",IF(H701=G701,"Penuh",IF(H701=0,IF(F701="","Slot kosong","Belum terisi"),"Sebagian")))))</f>
        <v>Sebagian</v>
      </c>
      <c r="M701" s="79" t="str">
        <f aca="false">IF(L701="Tidak dibuka","–",IF(F701="","(tanpa age group)",F701)&amp;"  "&amp;IF(H701="","?",H701)&amp;"/"&amp;IF(G701="","?",G701)&amp;CHAR(10)&amp;IF(K701="","coach: –","coach: "&amp;K701))</f>
        <v>Kids  2/4
coach: Nabila</v>
      </c>
    </row>
    <row r="702" customFormat="false" ht="22.35" hidden="false" customHeight="false" outlineLevel="0" collapsed="false">
      <c r="A702" s="76" t="str">
        <f aca="false">B702&amp;"|"&amp;C702&amp;"|"&amp;D702&amp;"|"&amp;E702</f>
        <v>KWC|4|Rabu|12:00</v>
      </c>
      <c r="B702" s="76" t="s">
        <v>63</v>
      </c>
      <c r="C702" s="76" t="n">
        <v>4</v>
      </c>
      <c r="D702" s="76" t="s">
        <v>92</v>
      </c>
      <c r="E702" s="76" t="s">
        <v>101</v>
      </c>
      <c r="F702" s="77" t="s">
        <v>210</v>
      </c>
      <c r="G702" s="77" t="n">
        <v>0</v>
      </c>
      <c r="H702" s="77" t="n">
        <v>0</v>
      </c>
      <c r="I702" s="76" t="n">
        <f aca="false">IF(AND(ISNUMBER(G702),ISNUMBER(H702)),MAX(G702-H702,0),"")</f>
        <v>0</v>
      </c>
      <c r="J702" s="78" t="str">
        <f aca="false">IF(AND(ISNUMBER(G702),ISNUMBER(H702)),IF(G702&gt;0,H702/G702,""),"")</f>
        <v/>
      </c>
      <c r="K702" s="77"/>
      <c r="L702" s="76" t="str">
        <f aca="false">IF(OR(G702="",H702=""),"Data tidak lengkap",IF(AND(G702=0,H702=0),IF(AND(F702="",K702=""),"Tidak dibuka","Tutup"),IF(H702&gt;G702,"Lebih kapasitas",IF(H702=G702,"Penuh",IF(H702=0,IF(F702="","Slot kosong","Belum terisi"),"Sebagian")))))</f>
        <v>Tutup</v>
      </c>
      <c r="M702" s="79" t="str">
        <f aca="false">IF(L702="Tidak dibuka","–",IF(F702="","(tanpa age group)",F702)&amp;"  "&amp;IF(H702="","?",H702)&amp;"/"&amp;IF(G702="","?",G702)&amp;CHAR(10)&amp;IF(K702="","coach: –","coach: "&amp;K702))</f>
        <v>Kids  0/0
coach: –</v>
      </c>
    </row>
    <row r="703" customFormat="false" ht="22.35" hidden="false" customHeight="false" outlineLevel="0" collapsed="false">
      <c r="A703" s="76" t="str">
        <f aca="false">B703&amp;"|"&amp;C703&amp;"|"&amp;D703&amp;"|"&amp;E703</f>
        <v>KWC|4|Rabu|13:30</v>
      </c>
      <c r="B703" s="76" t="s">
        <v>63</v>
      </c>
      <c r="C703" s="76" t="n">
        <v>4</v>
      </c>
      <c r="D703" s="76" t="s">
        <v>92</v>
      </c>
      <c r="E703" s="76" t="s">
        <v>102</v>
      </c>
      <c r="F703" s="77" t="s">
        <v>210</v>
      </c>
      <c r="G703" s="77" t="n">
        <v>4</v>
      </c>
      <c r="H703" s="77" t="n">
        <v>2</v>
      </c>
      <c r="I703" s="76" t="n">
        <f aca="false">IF(AND(ISNUMBER(G703),ISNUMBER(H703)),MAX(G703-H703,0),"")</f>
        <v>2</v>
      </c>
      <c r="J703" s="78" t="n">
        <f aca="false">IF(AND(ISNUMBER(G703),ISNUMBER(H703)),IF(G703&gt;0,H703/G703,""),"")</f>
        <v>0.5</v>
      </c>
      <c r="K703" s="77" t="s">
        <v>270</v>
      </c>
      <c r="L703" s="76" t="str">
        <f aca="false">IF(OR(G703="",H703=""),"Data tidak lengkap",IF(AND(G703=0,H703=0),IF(AND(F703="",K703=""),"Tidak dibuka","Tutup"),IF(H703&gt;G703,"Lebih kapasitas",IF(H703=G703,"Penuh",IF(H703=0,IF(F703="","Slot kosong","Belum terisi"),"Sebagian")))))</f>
        <v>Sebagian</v>
      </c>
      <c r="M703" s="79" t="str">
        <f aca="false">IF(L703="Tidak dibuka","–",IF(F703="","(tanpa age group)",F703)&amp;"  "&amp;IF(H703="","?",H703)&amp;"/"&amp;IF(G703="","?",G703)&amp;CHAR(10)&amp;IF(K703="","coach: –","coach: "&amp;K703))</f>
        <v>Kids  2/4
coach: Sri</v>
      </c>
    </row>
    <row r="704" customFormat="false" ht="22.35" hidden="false" customHeight="false" outlineLevel="0" collapsed="false">
      <c r="A704" s="76" t="str">
        <f aca="false">B704&amp;"|"&amp;C704&amp;"|"&amp;D704&amp;"|"&amp;E704</f>
        <v>KWC|4|Rabu|14:15</v>
      </c>
      <c r="B704" s="76" t="s">
        <v>63</v>
      </c>
      <c r="C704" s="76" t="n">
        <v>4</v>
      </c>
      <c r="D704" s="76" t="s">
        <v>92</v>
      </c>
      <c r="E704" s="76" t="s">
        <v>103</v>
      </c>
      <c r="F704" s="77" t="s">
        <v>210</v>
      </c>
      <c r="G704" s="77" t="n">
        <v>4</v>
      </c>
      <c r="H704" s="77" t="n">
        <v>2</v>
      </c>
      <c r="I704" s="76" t="n">
        <f aca="false">IF(AND(ISNUMBER(G704),ISNUMBER(H704)),MAX(G704-H704,0),"")</f>
        <v>2</v>
      </c>
      <c r="J704" s="78" t="n">
        <f aca="false">IF(AND(ISNUMBER(G704),ISNUMBER(H704)),IF(G704&gt;0,H704/G704,""),"")</f>
        <v>0.5</v>
      </c>
      <c r="K704" s="77" t="s">
        <v>269</v>
      </c>
      <c r="L704" s="76" t="str">
        <f aca="false">IF(OR(G704="",H704=""),"Data tidak lengkap",IF(AND(G704=0,H704=0),IF(AND(F704="",K704=""),"Tidak dibuka","Tutup"),IF(H704&gt;G704,"Lebih kapasitas",IF(H704=G704,"Penuh",IF(H704=0,IF(F704="","Slot kosong","Belum terisi"),"Sebagian")))))</f>
        <v>Sebagian</v>
      </c>
      <c r="M704" s="79" t="str">
        <f aca="false">IF(L704="Tidak dibuka","–",IF(F704="","(tanpa age group)",F704)&amp;"  "&amp;IF(H704="","?",H704)&amp;"/"&amp;IF(G704="","?",G704)&amp;CHAR(10)&amp;IF(K704="","coach: –","coach: "&amp;K704))</f>
        <v>Kids  2/4
coach: Nabila</v>
      </c>
    </row>
    <row r="705" customFormat="false" ht="22.35" hidden="false" customHeight="false" outlineLevel="0" collapsed="false">
      <c r="A705" s="76" t="str">
        <f aca="false">B705&amp;"|"&amp;C705&amp;"|"&amp;D705&amp;"|"&amp;E705</f>
        <v>KWC|4|Rabu|15:00</v>
      </c>
      <c r="B705" s="76" t="s">
        <v>63</v>
      </c>
      <c r="C705" s="76" t="n">
        <v>4</v>
      </c>
      <c r="D705" s="76" t="s">
        <v>92</v>
      </c>
      <c r="E705" s="76" t="s">
        <v>104</v>
      </c>
      <c r="F705" s="77" t="s">
        <v>210</v>
      </c>
      <c r="G705" s="77" t="n">
        <v>4</v>
      </c>
      <c r="H705" s="77" t="n">
        <v>4</v>
      </c>
      <c r="I705" s="76" t="n">
        <f aca="false">IF(AND(ISNUMBER(G705),ISNUMBER(H705)),MAX(G705-H705,0),"")</f>
        <v>0</v>
      </c>
      <c r="J705" s="78" t="n">
        <f aca="false">IF(AND(ISNUMBER(G705),ISNUMBER(H705)),IF(G705&gt;0,H705/G705,""),"")</f>
        <v>1</v>
      </c>
      <c r="K705" s="77" t="s">
        <v>270</v>
      </c>
      <c r="L705" s="76" t="str">
        <f aca="false">IF(OR(G705="",H705=""),"Data tidak lengkap",IF(AND(G705=0,H705=0),IF(AND(F705="",K705=""),"Tidak dibuka","Tutup"),IF(H705&gt;G705,"Lebih kapasitas",IF(H705=G705,"Penuh",IF(H705=0,IF(F705="","Slot kosong","Belum terisi"),"Sebagian")))))</f>
        <v>Penuh</v>
      </c>
      <c r="M705" s="79" t="str">
        <f aca="false">IF(L705="Tidak dibuka","–",IF(F705="","(tanpa age group)",F705)&amp;"  "&amp;IF(H705="","?",H705)&amp;"/"&amp;IF(G705="","?",G705)&amp;CHAR(10)&amp;IF(K705="","coach: –","coach: "&amp;K705))</f>
        <v>Kids  4/4
coach: Sri</v>
      </c>
    </row>
    <row r="706" customFormat="false" ht="22.35" hidden="false" customHeight="false" outlineLevel="0" collapsed="false">
      <c r="A706" s="76" t="str">
        <f aca="false">B706&amp;"|"&amp;C706&amp;"|"&amp;D706&amp;"|"&amp;E706</f>
        <v>KWC|4|Rabu|15:45</v>
      </c>
      <c r="B706" s="76" t="s">
        <v>63</v>
      </c>
      <c r="C706" s="76" t="n">
        <v>4</v>
      </c>
      <c r="D706" s="76" t="s">
        <v>92</v>
      </c>
      <c r="E706" s="76" t="s">
        <v>105</v>
      </c>
      <c r="F706" s="77" t="s">
        <v>210</v>
      </c>
      <c r="G706" s="77" t="n">
        <v>4</v>
      </c>
      <c r="H706" s="77" t="n">
        <v>4</v>
      </c>
      <c r="I706" s="76" t="n">
        <f aca="false">IF(AND(ISNUMBER(G706),ISNUMBER(H706)),MAX(G706-H706,0),"")</f>
        <v>0</v>
      </c>
      <c r="J706" s="78" t="n">
        <f aca="false">IF(AND(ISNUMBER(G706),ISNUMBER(H706)),IF(G706&gt;0,H706/G706,""),"")</f>
        <v>1</v>
      </c>
      <c r="K706" s="77" t="s">
        <v>268</v>
      </c>
      <c r="L706" s="76" t="str">
        <f aca="false">IF(OR(G706="",H706=""),"Data tidak lengkap",IF(AND(G706=0,H706=0),IF(AND(F706="",K706=""),"Tidak dibuka","Tutup"),IF(H706&gt;G706,"Lebih kapasitas",IF(H706=G706,"Penuh",IF(H706=0,IF(F706="","Slot kosong","Belum terisi"),"Sebagian")))))</f>
        <v>Penuh</v>
      </c>
      <c r="M706" s="79" t="str">
        <f aca="false">IF(L706="Tidak dibuka","–",IF(F706="","(tanpa age group)",F706)&amp;"  "&amp;IF(H706="","?",H706)&amp;"/"&amp;IF(G706="","?",G706)&amp;CHAR(10)&amp;IF(K706="","coach: –","coach: "&amp;K706))</f>
        <v>Kids  4/4
coach: Andreas</v>
      </c>
    </row>
    <row r="707" customFormat="false" ht="22.35" hidden="false" customHeight="false" outlineLevel="0" collapsed="false">
      <c r="A707" s="76" t="str">
        <f aca="false">B707&amp;"|"&amp;C707&amp;"|"&amp;D707&amp;"|"&amp;E707</f>
        <v>KWC|4|Rabu|16:30</v>
      </c>
      <c r="B707" s="76" t="s">
        <v>63</v>
      </c>
      <c r="C707" s="76" t="n">
        <v>4</v>
      </c>
      <c r="D707" s="76" t="s">
        <v>92</v>
      </c>
      <c r="E707" s="76" t="s">
        <v>106</v>
      </c>
      <c r="F707" s="77" t="s">
        <v>210</v>
      </c>
      <c r="G707" s="77" t="n">
        <v>4</v>
      </c>
      <c r="H707" s="77" t="n">
        <v>4</v>
      </c>
      <c r="I707" s="76" t="n">
        <f aca="false">IF(AND(ISNUMBER(G707),ISNUMBER(H707)),MAX(G707-H707,0),"")</f>
        <v>0</v>
      </c>
      <c r="J707" s="78" t="n">
        <f aca="false">IF(AND(ISNUMBER(G707),ISNUMBER(H707)),IF(G707&gt;0,H707/G707,""),"")</f>
        <v>1</v>
      </c>
      <c r="K707" s="77" t="s">
        <v>271</v>
      </c>
      <c r="L707" s="76" t="str">
        <f aca="false">IF(OR(G707="",H707=""),"Data tidak lengkap",IF(AND(G707=0,H707=0),IF(AND(F707="",K707=""),"Tidak dibuka","Tutup"),IF(H707&gt;G707,"Lebih kapasitas",IF(H707=G707,"Penuh",IF(H707=0,IF(F707="","Slot kosong","Belum terisi"),"Sebagian")))))</f>
        <v>Penuh</v>
      </c>
      <c r="M707" s="79" t="str">
        <f aca="false">IF(L707="Tidak dibuka","–",IF(F707="","(tanpa age group)",F707)&amp;"  "&amp;IF(H707="","?",H707)&amp;"/"&amp;IF(G707="","?",G707)&amp;CHAR(10)&amp;IF(K707="","coach: –","coach: "&amp;K707))</f>
        <v>Kids  4/4
coach: Icis</v>
      </c>
    </row>
    <row r="708" customFormat="false" ht="22.35" hidden="false" customHeight="false" outlineLevel="0" collapsed="false">
      <c r="A708" s="76" t="str">
        <f aca="false">B708&amp;"|"&amp;C708&amp;"|"&amp;D708&amp;"|"&amp;E708</f>
        <v>KWC|4|Rabu|17:15</v>
      </c>
      <c r="B708" s="76" t="s">
        <v>63</v>
      </c>
      <c r="C708" s="76" t="n">
        <v>4</v>
      </c>
      <c r="D708" s="76" t="s">
        <v>92</v>
      </c>
      <c r="E708" s="76" t="s">
        <v>107</v>
      </c>
      <c r="F708" s="77" t="s">
        <v>210</v>
      </c>
      <c r="G708" s="77" t="n">
        <v>4</v>
      </c>
      <c r="H708" s="77" t="n">
        <v>4</v>
      </c>
      <c r="I708" s="76" t="n">
        <f aca="false">IF(AND(ISNUMBER(G708),ISNUMBER(H708)),MAX(G708-H708,0),"")</f>
        <v>0</v>
      </c>
      <c r="J708" s="78" t="n">
        <f aca="false">IF(AND(ISNUMBER(G708),ISNUMBER(H708)),IF(G708&gt;0,H708/G708,""),"")</f>
        <v>1</v>
      </c>
      <c r="K708" s="77" t="s">
        <v>272</v>
      </c>
      <c r="L708" s="76" t="str">
        <f aca="false">IF(OR(G708="",H708=""),"Data tidak lengkap",IF(AND(G708=0,H708=0),IF(AND(F708="",K708=""),"Tidak dibuka","Tutup"),IF(H708&gt;G708,"Lebih kapasitas",IF(H708=G708,"Penuh",IF(H708=0,IF(F708="","Slot kosong","Belum terisi"),"Sebagian")))))</f>
        <v>Penuh</v>
      </c>
      <c r="M708" s="79" t="str">
        <f aca="false">IF(L708="Tidak dibuka","–",IF(F708="","(tanpa age group)",F708)&amp;"  "&amp;IF(H708="","?",H708)&amp;"/"&amp;IF(G708="","?",G708)&amp;CHAR(10)&amp;IF(K708="","coach: –","coach: "&amp;K708))</f>
        <v>Kids  4/4
coach: Eriek</v>
      </c>
    </row>
    <row r="709" customFormat="false" ht="22.35" hidden="false" customHeight="false" outlineLevel="0" collapsed="false">
      <c r="A709" s="76" t="str">
        <f aca="false">B709&amp;"|"&amp;C709&amp;"|"&amp;D709&amp;"|"&amp;E709</f>
        <v>KWC|4|Kamis|08:15</v>
      </c>
      <c r="B709" s="76" t="s">
        <v>63</v>
      </c>
      <c r="C709" s="76" t="n">
        <v>4</v>
      </c>
      <c r="D709" s="76" t="s">
        <v>93</v>
      </c>
      <c r="E709" s="76" t="s">
        <v>96</v>
      </c>
      <c r="F709" s="77" t="s">
        <v>210</v>
      </c>
      <c r="G709" s="77" t="n">
        <v>0</v>
      </c>
      <c r="H709" s="77" t="n">
        <v>0</v>
      </c>
      <c r="I709" s="76" t="n">
        <f aca="false">IF(AND(ISNUMBER(G709),ISNUMBER(H709)),MAX(G709-H709,0),"")</f>
        <v>0</v>
      </c>
      <c r="J709" s="78" t="str">
        <f aca="false">IF(AND(ISNUMBER(G709),ISNUMBER(H709)),IF(G709&gt;0,H709/G709,""),"")</f>
        <v/>
      </c>
      <c r="K709" s="77"/>
      <c r="L709" s="76" t="str">
        <f aca="false">IF(OR(G709="",H709=""),"Data tidak lengkap",IF(AND(G709=0,H709=0),IF(AND(F709="",K709=""),"Tidak dibuka","Tutup"),IF(H709&gt;G709,"Lebih kapasitas",IF(H709=G709,"Penuh",IF(H709=0,IF(F709="","Slot kosong","Belum terisi"),"Sebagian")))))</f>
        <v>Tutup</v>
      </c>
      <c r="M709" s="79" t="str">
        <f aca="false">IF(L709="Tidak dibuka","–",IF(F709="","(tanpa age group)",F709)&amp;"  "&amp;IF(H709="","?",H709)&amp;"/"&amp;IF(G709="","?",G709)&amp;CHAR(10)&amp;IF(K709="","coach: –","coach: "&amp;K709))</f>
        <v>Kids  0/0
coach: –</v>
      </c>
    </row>
    <row r="710" customFormat="false" ht="22.35" hidden="false" customHeight="false" outlineLevel="0" collapsed="false">
      <c r="A710" s="76" t="str">
        <f aca="false">B710&amp;"|"&amp;C710&amp;"|"&amp;D710&amp;"|"&amp;E710</f>
        <v>KWC|4|Kamis|09:00</v>
      </c>
      <c r="B710" s="76" t="s">
        <v>63</v>
      </c>
      <c r="C710" s="76" t="n">
        <v>4</v>
      </c>
      <c r="D710" s="76" t="s">
        <v>93</v>
      </c>
      <c r="E710" s="76" t="s">
        <v>97</v>
      </c>
      <c r="F710" s="77" t="s">
        <v>210</v>
      </c>
      <c r="G710" s="77" t="n">
        <v>4</v>
      </c>
      <c r="H710" s="77" t="n">
        <v>0</v>
      </c>
      <c r="I710" s="76" t="n">
        <f aca="false">IF(AND(ISNUMBER(G710),ISNUMBER(H710)),MAX(G710-H710,0),"")</f>
        <v>4</v>
      </c>
      <c r="J710" s="78" t="n">
        <f aca="false">IF(AND(ISNUMBER(G710),ISNUMBER(H710)),IF(G710&gt;0,H710/G710,""),"")</f>
        <v>0</v>
      </c>
      <c r="K710" s="77"/>
      <c r="L710" s="76" t="str">
        <f aca="false">IF(OR(G710="",H710=""),"Data tidak lengkap",IF(AND(G710=0,H710=0),IF(AND(F710="",K710=""),"Tidak dibuka","Tutup"),IF(H710&gt;G710,"Lebih kapasitas",IF(H710=G710,"Penuh",IF(H710=0,IF(F710="","Slot kosong","Belum terisi"),"Sebagian")))))</f>
        <v>Belum terisi</v>
      </c>
      <c r="M710" s="79" t="str">
        <f aca="false">IF(L710="Tidak dibuka","–",IF(F710="","(tanpa age group)",F710)&amp;"  "&amp;IF(H710="","?",H710)&amp;"/"&amp;IF(G710="","?",G710)&amp;CHAR(10)&amp;IF(K710="","coach: –","coach: "&amp;K710))</f>
        <v>Kids  0/4
coach: –</v>
      </c>
    </row>
    <row r="711" customFormat="false" ht="22.35" hidden="false" customHeight="false" outlineLevel="0" collapsed="false">
      <c r="A711" s="76" t="str">
        <f aca="false">B711&amp;"|"&amp;C711&amp;"|"&amp;D711&amp;"|"&amp;E711</f>
        <v>KWC|4|Kamis|09:45</v>
      </c>
      <c r="B711" s="76" t="s">
        <v>63</v>
      </c>
      <c r="C711" s="76" t="n">
        <v>4</v>
      </c>
      <c r="D711" s="76" t="s">
        <v>93</v>
      </c>
      <c r="E711" s="76" t="s">
        <v>98</v>
      </c>
      <c r="F711" s="77" t="s">
        <v>210</v>
      </c>
      <c r="G711" s="77" t="n">
        <v>4</v>
      </c>
      <c r="H711" s="77" t="n">
        <v>0</v>
      </c>
      <c r="I711" s="76" t="n">
        <f aca="false">IF(AND(ISNUMBER(G711),ISNUMBER(H711)),MAX(G711-H711,0),"")</f>
        <v>4</v>
      </c>
      <c r="J711" s="78" t="n">
        <f aca="false">IF(AND(ISNUMBER(G711),ISNUMBER(H711)),IF(G711&gt;0,H711/G711,""),"")</f>
        <v>0</v>
      </c>
      <c r="K711" s="77"/>
      <c r="L711" s="76" t="str">
        <f aca="false">IF(OR(G711="",H711=""),"Data tidak lengkap",IF(AND(G711=0,H711=0),IF(AND(F711="",K711=""),"Tidak dibuka","Tutup"),IF(H711&gt;G711,"Lebih kapasitas",IF(H711=G711,"Penuh",IF(H711=0,IF(F711="","Slot kosong","Belum terisi"),"Sebagian")))))</f>
        <v>Belum terisi</v>
      </c>
      <c r="M711" s="79" t="str">
        <f aca="false">IF(L711="Tidak dibuka","–",IF(F711="","(tanpa age group)",F711)&amp;"  "&amp;IF(H711="","?",H711)&amp;"/"&amp;IF(G711="","?",G711)&amp;CHAR(10)&amp;IF(K711="","coach: –","coach: "&amp;K711))</f>
        <v>Kids  0/4
coach: –</v>
      </c>
    </row>
    <row r="712" customFormat="false" ht="22.35" hidden="false" customHeight="false" outlineLevel="0" collapsed="false">
      <c r="A712" s="76" t="str">
        <f aca="false">B712&amp;"|"&amp;C712&amp;"|"&amp;D712&amp;"|"&amp;E712</f>
        <v>KWC|4|Kamis|10:30</v>
      </c>
      <c r="B712" s="76" t="s">
        <v>63</v>
      </c>
      <c r="C712" s="76" t="n">
        <v>4</v>
      </c>
      <c r="D712" s="76" t="s">
        <v>93</v>
      </c>
      <c r="E712" s="76" t="s">
        <v>99</v>
      </c>
      <c r="F712" s="77" t="s">
        <v>210</v>
      </c>
      <c r="G712" s="77" t="n">
        <v>4</v>
      </c>
      <c r="H712" s="77" t="n">
        <v>0</v>
      </c>
      <c r="I712" s="76" t="n">
        <f aca="false">IF(AND(ISNUMBER(G712),ISNUMBER(H712)),MAX(G712-H712,0),"")</f>
        <v>4</v>
      </c>
      <c r="J712" s="78" t="n">
        <f aca="false">IF(AND(ISNUMBER(G712),ISNUMBER(H712)),IF(G712&gt;0,H712/G712,""),"")</f>
        <v>0</v>
      </c>
      <c r="K712" s="77"/>
      <c r="L712" s="76" t="str">
        <f aca="false">IF(OR(G712="",H712=""),"Data tidak lengkap",IF(AND(G712=0,H712=0),IF(AND(F712="",K712=""),"Tidak dibuka","Tutup"),IF(H712&gt;G712,"Lebih kapasitas",IF(H712=G712,"Penuh",IF(H712=0,IF(F712="","Slot kosong","Belum terisi"),"Sebagian")))))</f>
        <v>Belum terisi</v>
      </c>
      <c r="M712" s="79" t="str">
        <f aca="false">IF(L712="Tidak dibuka","–",IF(F712="","(tanpa age group)",F712)&amp;"  "&amp;IF(H712="","?",H712)&amp;"/"&amp;IF(G712="","?",G712)&amp;CHAR(10)&amp;IF(K712="","coach: –","coach: "&amp;K712))</f>
        <v>Kids  0/4
coach: –</v>
      </c>
    </row>
    <row r="713" customFormat="false" ht="22.35" hidden="false" customHeight="false" outlineLevel="0" collapsed="false">
      <c r="A713" s="76" t="str">
        <f aca="false">B713&amp;"|"&amp;C713&amp;"|"&amp;D713&amp;"|"&amp;E713</f>
        <v>KWC|4|Kamis|11:15</v>
      </c>
      <c r="B713" s="76" t="s">
        <v>63</v>
      </c>
      <c r="C713" s="76" t="n">
        <v>4</v>
      </c>
      <c r="D713" s="76" t="s">
        <v>93</v>
      </c>
      <c r="E713" s="76" t="s">
        <v>100</v>
      </c>
      <c r="F713" s="77" t="s">
        <v>210</v>
      </c>
      <c r="G713" s="77" t="n">
        <v>4</v>
      </c>
      <c r="H713" s="77" t="n">
        <v>1</v>
      </c>
      <c r="I713" s="76" t="n">
        <f aca="false">IF(AND(ISNUMBER(G713),ISNUMBER(H713)),MAX(G713-H713,0),"")</f>
        <v>3</v>
      </c>
      <c r="J713" s="78" t="n">
        <f aca="false">IF(AND(ISNUMBER(G713),ISNUMBER(H713)),IF(G713&gt;0,H713/G713,""),"")</f>
        <v>0.25</v>
      </c>
      <c r="K713" s="77" t="s">
        <v>268</v>
      </c>
      <c r="L713" s="76" t="str">
        <f aca="false">IF(OR(G713="",H713=""),"Data tidak lengkap",IF(AND(G713=0,H713=0),IF(AND(F713="",K713=""),"Tidak dibuka","Tutup"),IF(H713&gt;G713,"Lebih kapasitas",IF(H713=G713,"Penuh",IF(H713=0,IF(F713="","Slot kosong","Belum terisi"),"Sebagian")))))</f>
        <v>Sebagian</v>
      </c>
      <c r="M713" s="79" t="str">
        <f aca="false">IF(L713="Tidak dibuka","–",IF(F713="","(tanpa age group)",F713)&amp;"  "&amp;IF(H713="","?",H713)&amp;"/"&amp;IF(G713="","?",G713)&amp;CHAR(10)&amp;IF(K713="","coach: –","coach: "&amp;K713))</f>
        <v>Kids  1/4
coach: Andreas</v>
      </c>
    </row>
    <row r="714" customFormat="false" ht="22.35" hidden="false" customHeight="false" outlineLevel="0" collapsed="false">
      <c r="A714" s="76" t="str">
        <f aca="false">B714&amp;"|"&amp;C714&amp;"|"&amp;D714&amp;"|"&amp;E714</f>
        <v>KWC|4|Kamis|12:00</v>
      </c>
      <c r="B714" s="76" t="s">
        <v>63</v>
      </c>
      <c r="C714" s="76" t="n">
        <v>4</v>
      </c>
      <c r="D714" s="76" t="s">
        <v>93</v>
      </c>
      <c r="E714" s="76" t="s">
        <v>101</v>
      </c>
      <c r="F714" s="77" t="s">
        <v>210</v>
      </c>
      <c r="G714" s="77" t="n">
        <v>0</v>
      </c>
      <c r="H714" s="77" t="n">
        <v>0</v>
      </c>
      <c r="I714" s="76" t="n">
        <f aca="false">IF(AND(ISNUMBER(G714),ISNUMBER(H714)),MAX(G714-H714,0),"")</f>
        <v>0</v>
      </c>
      <c r="J714" s="78" t="str">
        <f aca="false">IF(AND(ISNUMBER(G714),ISNUMBER(H714)),IF(G714&gt;0,H714/G714,""),"")</f>
        <v/>
      </c>
      <c r="K714" s="77"/>
      <c r="L714" s="76" t="str">
        <f aca="false">IF(OR(G714="",H714=""),"Data tidak lengkap",IF(AND(G714=0,H714=0),IF(AND(F714="",K714=""),"Tidak dibuka","Tutup"),IF(H714&gt;G714,"Lebih kapasitas",IF(H714=G714,"Penuh",IF(H714=0,IF(F714="","Slot kosong","Belum terisi"),"Sebagian")))))</f>
        <v>Tutup</v>
      </c>
      <c r="M714" s="79" t="str">
        <f aca="false">IF(L714="Tidak dibuka","–",IF(F714="","(tanpa age group)",F714)&amp;"  "&amp;IF(H714="","?",H714)&amp;"/"&amp;IF(G714="","?",G714)&amp;CHAR(10)&amp;IF(K714="","coach: –","coach: "&amp;K714))</f>
        <v>Kids  0/0
coach: –</v>
      </c>
    </row>
    <row r="715" customFormat="false" ht="22.35" hidden="false" customHeight="false" outlineLevel="0" collapsed="false">
      <c r="A715" s="76" t="str">
        <f aca="false">B715&amp;"|"&amp;C715&amp;"|"&amp;D715&amp;"|"&amp;E715</f>
        <v>KWC|4|Kamis|13:30</v>
      </c>
      <c r="B715" s="76" t="s">
        <v>63</v>
      </c>
      <c r="C715" s="76" t="n">
        <v>4</v>
      </c>
      <c r="D715" s="76" t="s">
        <v>93</v>
      </c>
      <c r="E715" s="76" t="s">
        <v>102</v>
      </c>
      <c r="F715" s="77" t="s">
        <v>210</v>
      </c>
      <c r="G715" s="77" t="n">
        <v>4</v>
      </c>
      <c r="H715" s="77" t="n">
        <v>0</v>
      </c>
      <c r="I715" s="76" t="n">
        <f aca="false">IF(AND(ISNUMBER(G715),ISNUMBER(H715)),MAX(G715-H715,0),"")</f>
        <v>4</v>
      </c>
      <c r="J715" s="78" t="n">
        <f aca="false">IF(AND(ISNUMBER(G715),ISNUMBER(H715)),IF(G715&gt;0,H715/G715,""),"")</f>
        <v>0</v>
      </c>
      <c r="K715" s="77"/>
      <c r="L715" s="76" t="str">
        <f aca="false">IF(OR(G715="",H715=""),"Data tidak lengkap",IF(AND(G715=0,H715=0),IF(AND(F715="",K715=""),"Tidak dibuka","Tutup"),IF(H715&gt;G715,"Lebih kapasitas",IF(H715=G715,"Penuh",IF(H715=0,IF(F715="","Slot kosong","Belum terisi"),"Sebagian")))))</f>
        <v>Belum terisi</v>
      </c>
      <c r="M715" s="79" t="str">
        <f aca="false">IF(L715="Tidak dibuka","–",IF(F715="","(tanpa age group)",F715)&amp;"  "&amp;IF(H715="","?",H715)&amp;"/"&amp;IF(G715="","?",G715)&amp;CHAR(10)&amp;IF(K715="","coach: –","coach: "&amp;K715))</f>
        <v>Kids  0/4
coach: –</v>
      </c>
    </row>
    <row r="716" customFormat="false" ht="22.35" hidden="false" customHeight="false" outlineLevel="0" collapsed="false">
      <c r="A716" s="76" t="str">
        <f aca="false">B716&amp;"|"&amp;C716&amp;"|"&amp;D716&amp;"|"&amp;E716</f>
        <v>KWC|4|Kamis|14:15</v>
      </c>
      <c r="B716" s="76" t="s">
        <v>63</v>
      </c>
      <c r="C716" s="76" t="n">
        <v>4</v>
      </c>
      <c r="D716" s="76" t="s">
        <v>93</v>
      </c>
      <c r="E716" s="76" t="s">
        <v>103</v>
      </c>
      <c r="F716" s="77" t="s">
        <v>210</v>
      </c>
      <c r="G716" s="77" t="n">
        <v>4</v>
      </c>
      <c r="H716" s="77" t="n">
        <v>4</v>
      </c>
      <c r="I716" s="76" t="n">
        <f aca="false">IF(AND(ISNUMBER(G716),ISNUMBER(H716)),MAX(G716-H716,0),"")</f>
        <v>0</v>
      </c>
      <c r="J716" s="78" t="n">
        <f aca="false">IF(AND(ISNUMBER(G716),ISNUMBER(H716)),IF(G716&gt;0,H716/G716,""),"")</f>
        <v>1</v>
      </c>
      <c r="K716" s="77" t="s">
        <v>269</v>
      </c>
      <c r="L716" s="76" t="str">
        <f aca="false">IF(OR(G716="",H716=""),"Data tidak lengkap",IF(AND(G716=0,H716=0),IF(AND(F716="",K716=""),"Tidak dibuka","Tutup"),IF(H716&gt;G716,"Lebih kapasitas",IF(H716=G716,"Penuh",IF(H716=0,IF(F716="","Slot kosong","Belum terisi"),"Sebagian")))))</f>
        <v>Penuh</v>
      </c>
      <c r="M716" s="79" t="str">
        <f aca="false">IF(L716="Tidak dibuka","–",IF(F716="","(tanpa age group)",F716)&amp;"  "&amp;IF(H716="","?",H716)&amp;"/"&amp;IF(G716="","?",G716)&amp;CHAR(10)&amp;IF(K716="","coach: –","coach: "&amp;K716))</f>
        <v>Kids  4/4
coach: Nabila</v>
      </c>
    </row>
    <row r="717" customFormat="false" ht="22.35" hidden="false" customHeight="false" outlineLevel="0" collapsed="false">
      <c r="A717" s="76" t="str">
        <f aca="false">B717&amp;"|"&amp;C717&amp;"|"&amp;D717&amp;"|"&amp;E717</f>
        <v>KWC|4|Kamis|15:00</v>
      </c>
      <c r="B717" s="76" t="s">
        <v>63</v>
      </c>
      <c r="C717" s="76" t="n">
        <v>4</v>
      </c>
      <c r="D717" s="76" t="s">
        <v>93</v>
      </c>
      <c r="E717" s="76" t="s">
        <v>104</v>
      </c>
      <c r="F717" s="77" t="s">
        <v>210</v>
      </c>
      <c r="G717" s="77" t="n">
        <v>4</v>
      </c>
      <c r="H717" s="77" t="n">
        <v>1</v>
      </c>
      <c r="I717" s="76" t="n">
        <f aca="false">IF(AND(ISNUMBER(G717),ISNUMBER(H717)),MAX(G717-H717,0),"")</f>
        <v>3</v>
      </c>
      <c r="J717" s="78" t="n">
        <f aca="false">IF(AND(ISNUMBER(G717),ISNUMBER(H717)),IF(G717&gt;0,H717/G717,""),"")</f>
        <v>0.25</v>
      </c>
      <c r="K717" s="77" t="s">
        <v>268</v>
      </c>
      <c r="L717" s="76" t="str">
        <f aca="false">IF(OR(G717="",H717=""),"Data tidak lengkap",IF(AND(G717=0,H717=0),IF(AND(F717="",K717=""),"Tidak dibuka","Tutup"),IF(H717&gt;G717,"Lebih kapasitas",IF(H717=G717,"Penuh",IF(H717=0,IF(F717="","Slot kosong","Belum terisi"),"Sebagian")))))</f>
        <v>Sebagian</v>
      </c>
      <c r="M717" s="79" t="str">
        <f aca="false">IF(L717="Tidak dibuka","–",IF(F717="","(tanpa age group)",F717)&amp;"  "&amp;IF(H717="","?",H717)&amp;"/"&amp;IF(G717="","?",G717)&amp;CHAR(10)&amp;IF(K717="","coach: –","coach: "&amp;K717))</f>
        <v>Kids  1/4
coach: Andreas</v>
      </c>
    </row>
    <row r="718" customFormat="false" ht="22.35" hidden="false" customHeight="false" outlineLevel="0" collapsed="false">
      <c r="A718" s="76" t="str">
        <f aca="false">B718&amp;"|"&amp;C718&amp;"|"&amp;D718&amp;"|"&amp;E718</f>
        <v>KWC|4|Kamis|15:45</v>
      </c>
      <c r="B718" s="76" t="s">
        <v>63</v>
      </c>
      <c r="C718" s="76" t="n">
        <v>4</v>
      </c>
      <c r="D718" s="76" t="s">
        <v>93</v>
      </c>
      <c r="E718" s="76" t="s">
        <v>105</v>
      </c>
      <c r="F718" s="77" t="s">
        <v>210</v>
      </c>
      <c r="G718" s="77" t="n">
        <v>4</v>
      </c>
      <c r="H718" s="77" t="n">
        <v>1</v>
      </c>
      <c r="I718" s="76" t="n">
        <f aca="false">IF(AND(ISNUMBER(G718),ISNUMBER(H718)),MAX(G718-H718,0),"")</f>
        <v>3</v>
      </c>
      <c r="J718" s="78" t="n">
        <f aca="false">IF(AND(ISNUMBER(G718),ISNUMBER(H718)),IF(G718&gt;0,H718/G718,""),"")</f>
        <v>0.25</v>
      </c>
      <c r="K718" s="77" t="s">
        <v>268</v>
      </c>
      <c r="L718" s="76" t="str">
        <f aca="false">IF(OR(G718="",H718=""),"Data tidak lengkap",IF(AND(G718=0,H718=0),IF(AND(F718="",K718=""),"Tidak dibuka","Tutup"),IF(H718&gt;G718,"Lebih kapasitas",IF(H718=G718,"Penuh",IF(H718=0,IF(F718="","Slot kosong","Belum terisi"),"Sebagian")))))</f>
        <v>Sebagian</v>
      </c>
      <c r="M718" s="79" t="str">
        <f aca="false">IF(L718="Tidak dibuka","–",IF(F718="","(tanpa age group)",F718)&amp;"  "&amp;IF(H718="","?",H718)&amp;"/"&amp;IF(G718="","?",G718)&amp;CHAR(10)&amp;IF(K718="","coach: –","coach: "&amp;K718))</f>
        <v>Kids  1/4
coach: Andreas</v>
      </c>
    </row>
    <row r="719" customFormat="false" ht="22.35" hidden="false" customHeight="false" outlineLevel="0" collapsed="false">
      <c r="A719" s="76" t="str">
        <f aca="false">B719&amp;"|"&amp;C719&amp;"|"&amp;D719&amp;"|"&amp;E719</f>
        <v>KWC|4|Kamis|16:30</v>
      </c>
      <c r="B719" s="76" t="s">
        <v>63</v>
      </c>
      <c r="C719" s="76" t="n">
        <v>4</v>
      </c>
      <c r="D719" s="76" t="s">
        <v>93</v>
      </c>
      <c r="E719" s="76" t="s">
        <v>106</v>
      </c>
      <c r="F719" s="77" t="s">
        <v>210</v>
      </c>
      <c r="G719" s="77" t="n">
        <v>4</v>
      </c>
      <c r="H719" s="77" t="n">
        <v>4</v>
      </c>
      <c r="I719" s="76" t="n">
        <f aca="false">IF(AND(ISNUMBER(G719),ISNUMBER(H719)),MAX(G719-H719,0),"")</f>
        <v>0</v>
      </c>
      <c r="J719" s="78" t="n">
        <f aca="false">IF(AND(ISNUMBER(G719),ISNUMBER(H719)),IF(G719&gt;0,H719/G719,""),"")</f>
        <v>1</v>
      </c>
      <c r="K719" s="77" t="s">
        <v>269</v>
      </c>
      <c r="L719" s="76" t="str">
        <f aca="false">IF(OR(G719="",H719=""),"Data tidak lengkap",IF(AND(G719=0,H719=0),IF(AND(F719="",K719=""),"Tidak dibuka","Tutup"),IF(H719&gt;G719,"Lebih kapasitas",IF(H719=G719,"Penuh",IF(H719=0,IF(F719="","Slot kosong","Belum terisi"),"Sebagian")))))</f>
        <v>Penuh</v>
      </c>
      <c r="M719" s="79" t="str">
        <f aca="false">IF(L719="Tidak dibuka","–",IF(F719="","(tanpa age group)",F719)&amp;"  "&amp;IF(H719="","?",H719)&amp;"/"&amp;IF(G719="","?",G719)&amp;CHAR(10)&amp;IF(K719="","coach: –","coach: "&amp;K719))</f>
        <v>Kids  4/4
coach: Nabila</v>
      </c>
    </row>
    <row r="720" customFormat="false" ht="22.35" hidden="false" customHeight="false" outlineLevel="0" collapsed="false">
      <c r="A720" s="76" t="str">
        <f aca="false">B720&amp;"|"&amp;C720&amp;"|"&amp;D720&amp;"|"&amp;E720</f>
        <v>KWC|4|Kamis|17:15</v>
      </c>
      <c r="B720" s="76" t="s">
        <v>63</v>
      </c>
      <c r="C720" s="76" t="n">
        <v>4</v>
      </c>
      <c r="D720" s="76" t="s">
        <v>93</v>
      </c>
      <c r="E720" s="76" t="s">
        <v>107</v>
      </c>
      <c r="F720" s="77" t="s">
        <v>210</v>
      </c>
      <c r="G720" s="77" t="n">
        <v>4</v>
      </c>
      <c r="H720" s="77" t="n">
        <v>4</v>
      </c>
      <c r="I720" s="76" t="n">
        <f aca="false">IF(AND(ISNUMBER(G720),ISNUMBER(H720)),MAX(G720-H720,0),"")</f>
        <v>0</v>
      </c>
      <c r="J720" s="78" t="n">
        <f aca="false">IF(AND(ISNUMBER(G720),ISNUMBER(H720)),IF(G720&gt;0,H720/G720,""),"")</f>
        <v>1</v>
      </c>
      <c r="K720" s="77" t="s">
        <v>271</v>
      </c>
      <c r="L720" s="76" t="str">
        <f aca="false">IF(OR(G720="",H720=""),"Data tidak lengkap",IF(AND(G720=0,H720=0),IF(AND(F720="",K720=""),"Tidak dibuka","Tutup"),IF(H720&gt;G720,"Lebih kapasitas",IF(H720=G720,"Penuh",IF(H720=0,IF(F720="","Slot kosong","Belum terisi"),"Sebagian")))))</f>
        <v>Penuh</v>
      </c>
      <c r="M720" s="79" t="str">
        <f aca="false">IF(L720="Tidak dibuka","–",IF(F720="","(tanpa age group)",F720)&amp;"  "&amp;IF(H720="","?",H720)&amp;"/"&amp;IF(G720="","?",G720)&amp;CHAR(10)&amp;IF(K720="","coach: –","coach: "&amp;K720))</f>
        <v>Kids  4/4
coach: Icis</v>
      </c>
    </row>
    <row r="721" customFormat="false" ht="22.35" hidden="false" customHeight="false" outlineLevel="0" collapsed="false">
      <c r="A721" s="76" t="str">
        <f aca="false">B721&amp;"|"&amp;C721&amp;"|"&amp;D721&amp;"|"&amp;E721</f>
        <v>KWC|4|Jumat|08:15</v>
      </c>
      <c r="B721" s="76" t="s">
        <v>63</v>
      </c>
      <c r="C721" s="76" t="n">
        <v>4</v>
      </c>
      <c r="D721" s="76" t="s">
        <v>94</v>
      </c>
      <c r="E721" s="76" t="s">
        <v>96</v>
      </c>
      <c r="F721" s="77" t="s">
        <v>210</v>
      </c>
      <c r="G721" s="77" t="n">
        <v>0</v>
      </c>
      <c r="H721" s="77" t="n">
        <v>0</v>
      </c>
      <c r="I721" s="76" t="n">
        <f aca="false">IF(AND(ISNUMBER(G721),ISNUMBER(H721)),MAX(G721-H721,0),"")</f>
        <v>0</v>
      </c>
      <c r="J721" s="78" t="str">
        <f aca="false">IF(AND(ISNUMBER(G721),ISNUMBER(H721)),IF(G721&gt;0,H721/G721,""),"")</f>
        <v/>
      </c>
      <c r="K721" s="77"/>
      <c r="L721" s="76" t="str">
        <f aca="false">IF(OR(G721="",H721=""),"Data tidak lengkap",IF(AND(G721=0,H721=0),IF(AND(F721="",K721=""),"Tidak dibuka","Tutup"),IF(H721&gt;G721,"Lebih kapasitas",IF(H721=G721,"Penuh",IF(H721=0,IF(F721="","Slot kosong","Belum terisi"),"Sebagian")))))</f>
        <v>Tutup</v>
      </c>
      <c r="M721" s="79" t="str">
        <f aca="false">IF(L721="Tidak dibuka","–",IF(F721="","(tanpa age group)",F721)&amp;"  "&amp;IF(H721="","?",H721)&amp;"/"&amp;IF(G721="","?",G721)&amp;CHAR(10)&amp;IF(K721="","coach: –","coach: "&amp;K721))</f>
        <v>Kids  0/0
coach: –</v>
      </c>
    </row>
    <row r="722" customFormat="false" ht="22.35" hidden="false" customHeight="false" outlineLevel="0" collapsed="false">
      <c r="A722" s="76" t="str">
        <f aca="false">B722&amp;"|"&amp;C722&amp;"|"&amp;D722&amp;"|"&amp;E722</f>
        <v>KWC|4|Jumat|09:00</v>
      </c>
      <c r="B722" s="76" t="s">
        <v>63</v>
      </c>
      <c r="C722" s="76" t="n">
        <v>4</v>
      </c>
      <c r="D722" s="76" t="s">
        <v>94</v>
      </c>
      <c r="E722" s="76" t="s">
        <v>97</v>
      </c>
      <c r="F722" s="77" t="s">
        <v>210</v>
      </c>
      <c r="G722" s="77" t="n">
        <v>4</v>
      </c>
      <c r="H722" s="77" t="n">
        <v>0</v>
      </c>
      <c r="I722" s="76" t="n">
        <f aca="false">IF(AND(ISNUMBER(G722),ISNUMBER(H722)),MAX(G722-H722,0),"")</f>
        <v>4</v>
      </c>
      <c r="J722" s="78" t="n">
        <f aca="false">IF(AND(ISNUMBER(G722),ISNUMBER(H722)),IF(G722&gt;0,H722/G722,""),"")</f>
        <v>0</v>
      </c>
      <c r="K722" s="77"/>
      <c r="L722" s="76" t="str">
        <f aca="false">IF(OR(G722="",H722=""),"Data tidak lengkap",IF(AND(G722=0,H722=0),IF(AND(F722="",K722=""),"Tidak dibuka","Tutup"),IF(H722&gt;G722,"Lebih kapasitas",IF(H722=G722,"Penuh",IF(H722=0,IF(F722="","Slot kosong","Belum terisi"),"Sebagian")))))</f>
        <v>Belum terisi</v>
      </c>
      <c r="M722" s="79" t="str">
        <f aca="false">IF(L722="Tidak dibuka","–",IF(F722="","(tanpa age group)",F722)&amp;"  "&amp;IF(H722="","?",H722)&amp;"/"&amp;IF(G722="","?",G722)&amp;CHAR(10)&amp;IF(K722="","coach: –","coach: "&amp;K722))</f>
        <v>Kids  0/4
coach: –</v>
      </c>
    </row>
    <row r="723" customFormat="false" ht="22.35" hidden="false" customHeight="false" outlineLevel="0" collapsed="false">
      <c r="A723" s="76" t="str">
        <f aca="false">B723&amp;"|"&amp;C723&amp;"|"&amp;D723&amp;"|"&amp;E723</f>
        <v>KWC|4|Jumat|09:45</v>
      </c>
      <c r="B723" s="76" t="s">
        <v>63</v>
      </c>
      <c r="C723" s="76" t="n">
        <v>4</v>
      </c>
      <c r="D723" s="76" t="s">
        <v>94</v>
      </c>
      <c r="E723" s="76" t="s">
        <v>98</v>
      </c>
      <c r="F723" s="77" t="s">
        <v>210</v>
      </c>
      <c r="G723" s="77" t="n">
        <v>4</v>
      </c>
      <c r="H723" s="77" t="n">
        <v>1</v>
      </c>
      <c r="I723" s="76" t="n">
        <f aca="false">IF(AND(ISNUMBER(G723),ISNUMBER(H723)),MAX(G723-H723,0),"")</f>
        <v>3</v>
      </c>
      <c r="J723" s="78" t="n">
        <f aca="false">IF(AND(ISNUMBER(G723),ISNUMBER(H723)),IF(G723&gt;0,H723/G723,""),"")</f>
        <v>0.25</v>
      </c>
      <c r="K723" s="77" t="s">
        <v>275</v>
      </c>
      <c r="L723" s="76" t="str">
        <f aca="false">IF(OR(G723="",H723=""),"Data tidak lengkap",IF(AND(G723=0,H723=0),IF(AND(F723="",K723=""),"Tidak dibuka","Tutup"),IF(H723&gt;G723,"Lebih kapasitas",IF(H723=G723,"Penuh",IF(H723=0,IF(F723="","Slot kosong","Belum terisi"),"Sebagian")))))</f>
        <v>Sebagian</v>
      </c>
      <c r="M723" s="79" t="str">
        <f aca="false">IF(L723="Tidak dibuka","–",IF(F723="","(tanpa age group)",F723)&amp;"  "&amp;IF(H723="","?",H723)&amp;"/"&amp;IF(G723="","?",G723)&amp;CHAR(10)&amp;IF(K723="","coach: –","coach: "&amp;K723))</f>
        <v>Kids  1/4
coach: Ziran</v>
      </c>
    </row>
    <row r="724" customFormat="false" ht="22.35" hidden="false" customHeight="false" outlineLevel="0" collapsed="false">
      <c r="A724" s="76" t="str">
        <f aca="false">B724&amp;"|"&amp;C724&amp;"|"&amp;D724&amp;"|"&amp;E724</f>
        <v>KWC|4|Jumat|10:30</v>
      </c>
      <c r="B724" s="76" t="s">
        <v>63</v>
      </c>
      <c r="C724" s="76" t="n">
        <v>4</v>
      </c>
      <c r="D724" s="76" t="s">
        <v>94</v>
      </c>
      <c r="E724" s="76" t="s">
        <v>99</v>
      </c>
      <c r="F724" s="77" t="s">
        <v>210</v>
      </c>
      <c r="G724" s="77" t="n">
        <v>4</v>
      </c>
      <c r="H724" s="77" t="n">
        <v>0</v>
      </c>
      <c r="I724" s="76" t="n">
        <f aca="false">IF(AND(ISNUMBER(G724),ISNUMBER(H724)),MAX(G724-H724,0),"")</f>
        <v>4</v>
      </c>
      <c r="J724" s="78" t="n">
        <f aca="false">IF(AND(ISNUMBER(G724),ISNUMBER(H724)),IF(G724&gt;0,H724/G724,""),"")</f>
        <v>0</v>
      </c>
      <c r="K724" s="77"/>
      <c r="L724" s="76" t="str">
        <f aca="false">IF(OR(G724="",H724=""),"Data tidak lengkap",IF(AND(G724=0,H724=0),IF(AND(F724="",K724=""),"Tidak dibuka","Tutup"),IF(H724&gt;G724,"Lebih kapasitas",IF(H724=G724,"Penuh",IF(H724=0,IF(F724="","Slot kosong","Belum terisi"),"Sebagian")))))</f>
        <v>Belum terisi</v>
      </c>
      <c r="M724" s="79" t="str">
        <f aca="false">IF(L724="Tidak dibuka","–",IF(F724="","(tanpa age group)",F724)&amp;"  "&amp;IF(H724="","?",H724)&amp;"/"&amp;IF(G724="","?",G724)&amp;CHAR(10)&amp;IF(K724="","coach: –","coach: "&amp;K724))</f>
        <v>Kids  0/4
coach: –</v>
      </c>
    </row>
    <row r="725" customFormat="false" ht="22.35" hidden="false" customHeight="false" outlineLevel="0" collapsed="false">
      <c r="A725" s="76" t="str">
        <f aca="false">B725&amp;"|"&amp;C725&amp;"|"&amp;D725&amp;"|"&amp;E725</f>
        <v>KWC|4|Jumat|11:15</v>
      </c>
      <c r="B725" s="76" t="s">
        <v>63</v>
      </c>
      <c r="C725" s="76" t="n">
        <v>4</v>
      </c>
      <c r="D725" s="76" t="s">
        <v>94</v>
      </c>
      <c r="E725" s="76" t="s">
        <v>100</v>
      </c>
      <c r="F725" s="77" t="s">
        <v>210</v>
      </c>
      <c r="G725" s="77" t="n">
        <v>4</v>
      </c>
      <c r="H725" s="77" t="n">
        <v>0</v>
      </c>
      <c r="I725" s="76" t="n">
        <f aca="false">IF(AND(ISNUMBER(G725),ISNUMBER(H725)),MAX(G725-H725,0),"")</f>
        <v>4</v>
      </c>
      <c r="J725" s="78" t="n">
        <f aca="false">IF(AND(ISNUMBER(G725),ISNUMBER(H725)),IF(G725&gt;0,H725/G725,""),"")</f>
        <v>0</v>
      </c>
      <c r="K725" s="77"/>
      <c r="L725" s="76" t="str">
        <f aca="false">IF(OR(G725="",H725=""),"Data tidak lengkap",IF(AND(G725=0,H725=0),IF(AND(F725="",K725=""),"Tidak dibuka","Tutup"),IF(H725&gt;G725,"Lebih kapasitas",IF(H725=G725,"Penuh",IF(H725=0,IF(F725="","Slot kosong","Belum terisi"),"Sebagian")))))</f>
        <v>Belum terisi</v>
      </c>
      <c r="M725" s="79" t="str">
        <f aca="false">IF(L725="Tidak dibuka","–",IF(F725="","(tanpa age group)",F725)&amp;"  "&amp;IF(H725="","?",H725)&amp;"/"&amp;IF(G725="","?",G725)&amp;CHAR(10)&amp;IF(K725="","coach: –","coach: "&amp;K725))</f>
        <v>Kids  0/4
coach: –</v>
      </c>
    </row>
    <row r="726" customFormat="false" ht="22.35" hidden="false" customHeight="false" outlineLevel="0" collapsed="false">
      <c r="A726" s="76" t="str">
        <f aca="false">B726&amp;"|"&amp;C726&amp;"|"&amp;D726&amp;"|"&amp;E726</f>
        <v>KWC|4|Jumat|12:00</v>
      </c>
      <c r="B726" s="76" t="s">
        <v>63</v>
      </c>
      <c r="C726" s="76" t="n">
        <v>4</v>
      </c>
      <c r="D726" s="76" t="s">
        <v>94</v>
      </c>
      <c r="E726" s="76" t="s">
        <v>101</v>
      </c>
      <c r="F726" s="77" t="s">
        <v>210</v>
      </c>
      <c r="G726" s="77" t="n">
        <v>0</v>
      </c>
      <c r="H726" s="77" t="n">
        <v>0</v>
      </c>
      <c r="I726" s="76" t="n">
        <f aca="false">IF(AND(ISNUMBER(G726),ISNUMBER(H726)),MAX(G726-H726,0),"")</f>
        <v>0</v>
      </c>
      <c r="J726" s="78" t="str">
        <f aca="false">IF(AND(ISNUMBER(G726),ISNUMBER(H726)),IF(G726&gt;0,H726/G726,""),"")</f>
        <v/>
      </c>
      <c r="K726" s="77"/>
      <c r="L726" s="76" t="str">
        <f aca="false">IF(OR(G726="",H726=""),"Data tidak lengkap",IF(AND(G726=0,H726=0),IF(AND(F726="",K726=""),"Tidak dibuka","Tutup"),IF(H726&gt;G726,"Lebih kapasitas",IF(H726=G726,"Penuh",IF(H726=0,IF(F726="","Slot kosong","Belum terisi"),"Sebagian")))))</f>
        <v>Tutup</v>
      </c>
      <c r="M726" s="79" t="str">
        <f aca="false">IF(L726="Tidak dibuka","–",IF(F726="","(tanpa age group)",F726)&amp;"  "&amp;IF(H726="","?",H726)&amp;"/"&amp;IF(G726="","?",G726)&amp;CHAR(10)&amp;IF(K726="","coach: –","coach: "&amp;K726))</f>
        <v>Kids  0/0
coach: –</v>
      </c>
    </row>
    <row r="727" customFormat="false" ht="22.35" hidden="false" customHeight="false" outlineLevel="0" collapsed="false">
      <c r="A727" s="76" t="str">
        <f aca="false">B727&amp;"|"&amp;C727&amp;"|"&amp;D727&amp;"|"&amp;E727</f>
        <v>KWC|4|Jumat|13:30</v>
      </c>
      <c r="B727" s="76" t="s">
        <v>63</v>
      </c>
      <c r="C727" s="76" t="n">
        <v>4</v>
      </c>
      <c r="D727" s="76" t="s">
        <v>94</v>
      </c>
      <c r="E727" s="76" t="s">
        <v>102</v>
      </c>
      <c r="F727" s="77" t="s">
        <v>210</v>
      </c>
      <c r="G727" s="77" t="n">
        <v>4</v>
      </c>
      <c r="H727" s="77" t="n">
        <v>4</v>
      </c>
      <c r="I727" s="76" t="n">
        <f aca="false">IF(AND(ISNUMBER(G727),ISNUMBER(H727)),MAX(G727-H727,0),"")</f>
        <v>0</v>
      </c>
      <c r="J727" s="78" t="n">
        <f aca="false">IF(AND(ISNUMBER(G727),ISNUMBER(H727)),IF(G727&gt;0,H727/G727,""),"")</f>
        <v>1</v>
      </c>
      <c r="K727" s="77" t="s">
        <v>275</v>
      </c>
      <c r="L727" s="76" t="str">
        <f aca="false">IF(OR(G727="",H727=""),"Data tidak lengkap",IF(AND(G727=0,H727=0),IF(AND(F727="",K727=""),"Tidak dibuka","Tutup"),IF(H727&gt;G727,"Lebih kapasitas",IF(H727=G727,"Penuh",IF(H727=0,IF(F727="","Slot kosong","Belum terisi"),"Sebagian")))))</f>
        <v>Penuh</v>
      </c>
      <c r="M727" s="79" t="str">
        <f aca="false">IF(L727="Tidak dibuka","–",IF(F727="","(tanpa age group)",F727)&amp;"  "&amp;IF(H727="","?",H727)&amp;"/"&amp;IF(G727="","?",G727)&amp;CHAR(10)&amp;IF(K727="","coach: –","coach: "&amp;K727))</f>
        <v>Kids  4/4
coach: Ziran</v>
      </c>
    </row>
    <row r="728" customFormat="false" ht="22.35" hidden="false" customHeight="false" outlineLevel="0" collapsed="false">
      <c r="A728" s="76" t="str">
        <f aca="false">B728&amp;"|"&amp;C728&amp;"|"&amp;D728&amp;"|"&amp;E728</f>
        <v>KWC|4|Jumat|14:15</v>
      </c>
      <c r="B728" s="76" t="s">
        <v>63</v>
      </c>
      <c r="C728" s="76" t="n">
        <v>4</v>
      </c>
      <c r="D728" s="76" t="s">
        <v>94</v>
      </c>
      <c r="E728" s="76" t="s">
        <v>103</v>
      </c>
      <c r="F728" s="77" t="s">
        <v>210</v>
      </c>
      <c r="G728" s="77" t="n">
        <v>4</v>
      </c>
      <c r="H728" s="77" t="n">
        <v>4</v>
      </c>
      <c r="I728" s="76" t="n">
        <f aca="false">IF(AND(ISNUMBER(G728),ISNUMBER(H728)),MAX(G728-H728,0),"")</f>
        <v>0</v>
      </c>
      <c r="J728" s="78" t="n">
        <f aca="false">IF(AND(ISNUMBER(G728),ISNUMBER(H728)),IF(G728&gt;0,H728/G728,""),"")</f>
        <v>1</v>
      </c>
      <c r="K728" s="77" t="s">
        <v>271</v>
      </c>
      <c r="L728" s="76" t="str">
        <f aca="false">IF(OR(G728="",H728=""),"Data tidak lengkap",IF(AND(G728=0,H728=0),IF(AND(F728="",K728=""),"Tidak dibuka","Tutup"),IF(H728&gt;G728,"Lebih kapasitas",IF(H728=G728,"Penuh",IF(H728=0,IF(F728="","Slot kosong","Belum terisi"),"Sebagian")))))</f>
        <v>Penuh</v>
      </c>
      <c r="M728" s="79" t="str">
        <f aca="false">IF(L728="Tidak dibuka","–",IF(F728="","(tanpa age group)",F728)&amp;"  "&amp;IF(H728="","?",H728)&amp;"/"&amp;IF(G728="","?",G728)&amp;CHAR(10)&amp;IF(K728="","coach: –","coach: "&amp;K728))</f>
        <v>Kids  4/4
coach: Icis</v>
      </c>
    </row>
    <row r="729" customFormat="false" ht="22.35" hidden="false" customHeight="false" outlineLevel="0" collapsed="false">
      <c r="A729" s="76" t="str">
        <f aca="false">B729&amp;"|"&amp;C729&amp;"|"&amp;D729&amp;"|"&amp;E729</f>
        <v>KWC|4|Jumat|15:00</v>
      </c>
      <c r="B729" s="76" t="s">
        <v>63</v>
      </c>
      <c r="C729" s="76" t="n">
        <v>4</v>
      </c>
      <c r="D729" s="76" t="s">
        <v>94</v>
      </c>
      <c r="E729" s="76" t="s">
        <v>104</v>
      </c>
      <c r="F729" s="77" t="s">
        <v>210</v>
      </c>
      <c r="G729" s="77" t="n">
        <v>4</v>
      </c>
      <c r="H729" s="77" t="n">
        <v>3</v>
      </c>
      <c r="I729" s="76" t="n">
        <f aca="false">IF(AND(ISNUMBER(G729),ISNUMBER(H729)),MAX(G729-H729,0),"")</f>
        <v>1</v>
      </c>
      <c r="J729" s="78" t="n">
        <f aca="false">IF(AND(ISNUMBER(G729),ISNUMBER(H729)),IF(G729&gt;0,H729/G729,""),"")</f>
        <v>0.75</v>
      </c>
      <c r="K729" s="77" t="s">
        <v>267</v>
      </c>
      <c r="L729" s="76" t="str">
        <f aca="false">IF(OR(G729="",H729=""),"Data tidak lengkap",IF(AND(G729=0,H729=0),IF(AND(F729="",K729=""),"Tidak dibuka","Tutup"),IF(H729&gt;G729,"Lebih kapasitas",IF(H729=G729,"Penuh",IF(H729=0,IF(F729="","Slot kosong","Belum terisi"),"Sebagian")))))</f>
        <v>Sebagian</v>
      </c>
      <c r="M729" s="79" t="str">
        <f aca="false">IF(L729="Tidak dibuka","–",IF(F729="","(tanpa age group)",F729)&amp;"  "&amp;IF(H729="","?",H729)&amp;"/"&amp;IF(G729="","?",G729)&amp;CHAR(10)&amp;IF(K729="","coach: –","coach: "&amp;K729))</f>
        <v>Kids  3/4
coach: Deyon</v>
      </c>
    </row>
    <row r="730" customFormat="false" ht="22.35" hidden="false" customHeight="false" outlineLevel="0" collapsed="false">
      <c r="A730" s="76" t="str">
        <f aca="false">B730&amp;"|"&amp;C730&amp;"|"&amp;D730&amp;"|"&amp;E730</f>
        <v>KWC|4|Jumat|15:45</v>
      </c>
      <c r="B730" s="76" t="s">
        <v>63</v>
      </c>
      <c r="C730" s="76" t="n">
        <v>4</v>
      </c>
      <c r="D730" s="76" t="s">
        <v>94</v>
      </c>
      <c r="E730" s="76" t="s">
        <v>105</v>
      </c>
      <c r="F730" s="77" t="s">
        <v>210</v>
      </c>
      <c r="G730" s="77" t="n">
        <v>4</v>
      </c>
      <c r="H730" s="77" t="n">
        <v>4</v>
      </c>
      <c r="I730" s="76" t="n">
        <f aca="false">IF(AND(ISNUMBER(G730),ISNUMBER(H730)),MAX(G730-H730,0),"")</f>
        <v>0</v>
      </c>
      <c r="J730" s="78" t="n">
        <f aca="false">IF(AND(ISNUMBER(G730),ISNUMBER(H730)),IF(G730&gt;0,H730/G730,""),"")</f>
        <v>1</v>
      </c>
      <c r="K730" s="77" t="s">
        <v>275</v>
      </c>
      <c r="L730" s="76" t="str">
        <f aca="false">IF(OR(G730="",H730=""),"Data tidak lengkap",IF(AND(G730=0,H730=0),IF(AND(F730="",K730=""),"Tidak dibuka","Tutup"),IF(H730&gt;G730,"Lebih kapasitas",IF(H730=G730,"Penuh",IF(H730=0,IF(F730="","Slot kosong","Belum terisi"),"Sebagian")))))</f>
        <v>Penuh</v>
      </c>
      <c r="M730" s="79" t="str">
        <f aca="false">IF(L730="Tidak dibuka","–",IF(F730="","(tanpa age group)",F730)&amp;"  "&amp;IF(H730="","?",H730)&amp;"/"&amp;IF(G730="","?",G730)&amp;CHAR(10)&amp;IF(K730="","coach: –","coach: "&amp;K730))</f>
        <v>Kids  4/4
coach: Ziran</v>
      </c>
    </row>
    <row r="731" customFormat="false" ht="22.35" hidden="false" customHeight="false" outlineLevel="0" collapsed="false">
      <c r="A731" s="76" t="str">
        <f aca="false">B731&amp;"|"&amp;C731&amp;"|"&amp;D731&amp;"|"&amp;E731</f>
        <v>KWC|4|Jumat|16:30</v>
      </c>
      <c r="B731" s="76" t="s">
        <v>63</v>
      </c>
      <c r="C731" s="76" t="n">
        <v>4</v>
      </c>
      <c r="D731" s="76" t="s">
        <v>94</v>
      </c>
      <c r="E731" s="76" t="s">
        <v>106</v>
      </c>
      <c r="F731" s="77" t="s">
        <v>210</v>
      </c>
      <c r="G731" s="77" t="n">
        <v>4</v>
      </c>
      <c r="H731" s="77" t="n">
        <v>4</v>
      </c>
      <c r="I731" s="76" t="n">
        <f aca="false">IF(AND(ISNUMBER(G731),ISNUMBER(H731)),MAX(G731-H731,0),"")</f>
        <v>0</v>
      </c>
      <c r="J731" s="78" t="n">
        <f aca="false">IF(AND(ISNUMBER(G731),ISNUMBER(H731)),IF(G731&gt;0,H731/G731,""),"")</f>
        <v>1</v>
      </c>
      <c r="K731" s="77" t="s">
        <v>271</v>
      </c>
      <c r="L731" s="76" t="str">
        <f aca="false">IF(OR(G731="",H731=""),"Data tidak lengkap",IF(AND(G731=0,H731=0),IF(AND(F731="",K731=""),"Tidak dibuka","Tutup"),IF(H731&gt;G731,"Lebih kapasitas",IF(H731=G731,"Penuh",IF(H731=0,IF(F731="","Slot kosong","Belum terisi"),"Sebagian")))))</f>
        <v>Penuh</v>
      </c>
      <c r="M731" s="79" t="str">
        <f aca="false">IF(L731="Tidak dibuka","–",IF(F731="","(tanpa age group)",F731)&amp;"  "&amp;IF(H731="","?",H731)&amp;"/"&amp;IF(G731="","?",G731)&amp;CHAR(10)&amp;IF(K731="","coach: –","coach: "&amp;K731))</f>
        <v>Kids  4/4
coach: Icis</v>
      </c>
    </row>
    <row r="732" customFormat="false" ht="22.35" hidden="false" customHeight="false" outlineLevel="0" collapsed="false">
      <c r="A732" s="76" t="str">
        <f aca="false">B732&amp;"|"&amp;C732&amp;"|"&amp;D732&amp;"|"&amp;E732</f>
        <v>KWC|4|Jumat|17:15</v>
      </c>
      <c r="B732" s="76" t="s">
        <v>63</v>
      </c>
      <c r="C732" s="76" t="n">
        <v>4</v>
      </c>
      <c r="D732" s="76" t="s">
        <v>94</v>
      </c>
      <c r="E732" s="76" t="s">
        <v>107</v>
      </c>
      <c r="F732" s="77" t="s">
        <v>210</v>
      </c>
      <c r="G732" s="77" t="n">
        <v>4</v>
      </c>
      <c r="H732" s="77" t="n">
        <v>4</v>
      </c>
      <c r="I732" s="76" t="n">
        <f aca="false">IF(AND(ISNUMBER(G732),ISNUMBER(H732)),MAX(G732-H732,0),"")</f>
        <v>0</v>
      </c>
      <c r="J732" s="78" t="n">
        <f aca="false">IF(AND(ISNUMBER(G732),ISNUMBER(H732)),IF(G732&gt;0,H732/G732,""),"")</f>
        <v>1</v>
      </c>
      <c r="K732" s="77" t="s">
        <v>267</v>
      </c>
      <c r="L732" s="76" t="str">
        <f aca="false">IF(OR(G732="",H732=""),"Data tidak lengkap",IF(AND(G732=0,H732=0),IF(AND(F732="",K732=""),"Tidak dibuka","Tutup"),IF(H732&gt;G732,"Lebih kapasitas",IF(H732=G732,"Penuh",IF(H732=0,IF(F732="","Slot kosong","Belum terisi"),"Sebagian")))))</f>
        <v>Penuh</v>
      </c>
      <c r="M732" s="79" t="str">
        <f aca="false">IF(L732="Tidak dibuka","–",IF(F732="","(tanpa age group)",F732)&amp;"  "&amp;IF(H732="","?",H732)&amp;"/"&amp;IF(G732="","?",G732)&amp;CHAR(10)&amp;IF(K732="","coach: –","coach: "&amp;K732))</f>
        <v>Kids  4/4
coach: Deyon</v>
      </c>
    </row>
    <row r="733" customFormat="false" ht="22.35" hidden="false" customHeight="false" outlineLevel="0" collapsed="false">
      <c r="A733" s="76" t="str">
        <f aca="false">B733&amp;"|"&amp;C733&amp;"|"&amp;D733&amp;"|"&amp;E733</f>
        <v>KWC|4|Sabtu|08:15</v>
      </c>
      <c r="B733" s="76" t="s">
        <v>63</v>
      </c>
      <c r="C733" s="76" t="n">
        <v>4</v>
      </c>
      <c r="D733" s="76" t="s">
        <v>95</v>
      </c>
      <c r="E733" s="76" t="s">
        <v>96</v>
      </c>
      <c r="F733" s="77" t="s">
        <v>210</v>
      </c>
      <c r="G733" s="77" t="n">
        <v>0</v>
      </c>
      <c r="H733" s="77" t="n">
        <v>0</v>
      </c>
      <c r="I733" s="76" t="n">
        <f aca="false">IF(AND(ISNUMBER(G733),ISNUMBER(H733)),MAX(G733-H733,0),"")</f>
        <v>0</v>
      </c>
      <c r="J733" s="78" t="str">
        <f aca="false">IF(AND(ISNUMBER(G733),ISNUMBER(H733)),IF(G733&gt;0,H733/G733,""),"")</f>
        <v/>
      </c>
      <c r="K733" s="77"/>
      <c r="L733" s="76" t="str">
        <f aca="false">IF(OR(G733="",H733=""),"Data tidak lengkap",IF(AND(G733=0,H733=0),IF(AND(F733="",K733=""),"Tidak dibuka","Tutup"),IF(H733&gt;G733,"Lebih kapasitas",IF(H733=G733,"Penuh",IF(H733=0,IF(F733="","Slot kosong","Belum terisi"),"Sebagian")))))</f>
        <v>Tutup</v>
      </c>
      <c r="M733" s="79" t="str">
        <f aca="false">IF(L733="Tidak dibuka","–",IF(F733="","(tanpa age group)",F733)&amp;"  "&amp;IF(H733="","?",H733)&amp;"/"&amp;IF(G733="","?",G733)&amp;CHAR(10)&amp;IF(K733="","coach: –","coach: "&amp;K733))</f>
        <v>Kids  0/0
coach: –</v>
      </c>
    </row>
    <row r="734" customFormat="false" ht="22.35" hidden="false" customHeight="false" outlineLevel="0" collapsed="false">
      <c r="A734" s="76" t="str">
        <f aca="false">B734&amp;"|"&amp;C734&amp;"|"&amp;D734&amp;"|"&amp;E734</f>
        <v>KWC|4|Sabtu|09:00</v>
      </c>
      <c r="B734" s="76" t="s">
        <v>63</v>
      </c>
      <c r="C734" s="76" t="n">
        <v>4</v>
      </c>
      <c r="D734" s="76" t="s">
        <v>95</v>
      </c>
      <c r="E734" s="76" t="s">
        <v>97</v>
      </c>
      <c r="F734" s="77" t="s">
        <v>210</v>
      </c>
      <c r="G734" s="77" t="n">
        <v>4</v>
      </c>
      <c r="H734" s="77" t="n">
        <v>4</v>
      </c>
      <c r="I734" s="76" t="n">
        <f aca="false">IF(AND(ISNUMBER(G734),ISNUMBER(H734)),MAX(G734-H734,0),"")</f>
        <v>0</v>
      </c>
      <c r="J734" s="78" t="n">
        <f aca="false">IF(AND(ISNUMBER(G734),ISNUMBER(H734)),IF(G734&gt;0,H734/G734,""),"")</f>
        <v>1</v>
      </c>
      <c r="K734" s="77" t="s">
        <v>273</v>
      </c>
      <c r="L734" s="76" t="str">
        <f aca="false">IF(OR(G734="",H734=""),"Data tidak lengkap",IF(AND(G734=0,H734=0),IF(AND(F734="",K734=""),"Tidak dibuka","Tutup"),IF(H734&gt;G734,"Lebih kapasitas",IF(H734=G734,"Penuh",IF(H734=0,IF(F734="","Slot kosong","Belum terisi"),"Sebagian")))))</f>
        <v>Penuh</v>
      </c>
      <c r="M734" s="79" t="str">
        <f aca="false">IF(L734="Tidak dibuka","–",IF(F734="","(tanpa age group)",F734)&amp;"  "&amp;IF(H734="","?",H734)&amp;"/"&amp;IF(G734="","?",G734)&amp;CHAR(10)&amp;IF(K734="","coach: –","coach: "&amp;K734))</f>
        <v>Kids  4/4
coach: Frido</v>
      </c>
    </row>
    <row r="735" customFormat="false" ht="22.35" hidden="false" customHeight="false" outlineLevel="0" collapsed="false">
      <c r="A735" s="76" t="str">
        <f aca="false">B735&amp;"|"&amp;C735&amp;"|"&amp;D735&amp;"|"&amp;E735</f>
        <v>KWC|4|Sabtu|09:45</v>
      </c>
      <c r="B735" s="76" t="s">
        <v>63</v>
      </c>
      <c r="C735" s="76" t="n">
        <v>4</v>
      </c>
      <c r="D735" s="76" t="s">
        <v>95</v>
      </c>
      <c r="E735" s="76" t="s">
        <v>98</v>
      </c>
      <c r="F735" s="77" t="s">
        <v>210</v>
      </c>
      <c r="G735" s="77" t="n">
        <v>4</v>
      </c>
      <c r="H735" s="77" t="n">
        <v>4</v>
      </c>
      <c r="I735" s="76" t="n">
        <f aca="false">IF(AND(ISNUMBER(G735),ISNUMBER(H735)),MAX(G735-H735,0),"")</f>
        <v>0</v>
      </c>
      <c r="J735" s="78" t="n">
        <f aca="false">IF(AND(ISNUMBER(G735),ISNUMBER(H735)),IF(G735&gt;0,H735/G735,""),"")</f>
        <v>1</v>
      </c>
      <c r="K735" s="77" t="s">
        <v>271</v>
      </c>
      <c r="L735" s="76" t="str">
        <f aca="false">IF(OR(G735="",H735=""),"Data tidak lengkap",IF(AND(G735=0,H735=0),IF(AND(F735="",K735=""),"Tidak dibuka","Tutup"),IF(H735&gt;G735,"Lebih kapasitas",IF(H735=G735,"Penuh",IF(H735=0,IF(F735="","Slot kosong","Belum terisi"),"Sebagian")))))</f>
        <v>Penuh</v>
      </c>
      <c r="M735" s="79" t="str">
        <f aca="false">IF(L735="Tidak dibuka","–",IF(F735="","(tanpa age group)",F735)&amp;"  "&amp;IF(H735="","?",H735)&amp;"/"&amp;IF(G735="","?",G735)&amp;CHAR(10)&amp;IF(K735="","coach: –","coach: "&amp;K735))</f>
        <v>Kids  4/4
coach: Icis</v>
      </c>
    </row>
    <row r="736" customFormat="false" ht="22.35" hidden="false" customHeight="false" outlineLevel="0" collapsed="false">
      <c r="A736" s="76" t="str">
        <f aca="false">B736&amp;"|"&amp;C736&amp;"|"&amp;D736&amp;"|"&amp;E736</f>
        <v>KWC|4|Sabtu|10:30</v>
      </c>
      <c r="B736" s="76" t="s">
        <v>63</v>
      </c>
      <c r="C736" s="76" t="n">
        <v>4</v>
      </c>
      <c r="D736" s="76" t="s">
        <v>95</v>
      </c>
      <c r="E736" s="76" t="s">
        <v>99</v>
      </c>
      <c r="F736" s="77" t="s">
        <v>210</v>
      </c>
      <c r="G736" s="77" t="n">
        <v>4</v>
      </c>
      <c r="H736" s="77" t="n">
        <v>3</v>
      </c>
      <c r="I736" s="76" t="n">
        <f aca="false">IF(AND(ISNUMBER(G736),ISNUMBER(H736)),MAX(G736-H736,0),"")</f>
        <v>1</v>
      </c>
      <c r="J736" s="78" t="n">
        <f aca="false">IF(AND(ISNUMBER(G736),ISNUMBER(H736)),IF(G736&gt;0,H736/G736,""),"")</f>
        <v>0.75</v>
      </c>
      <c r="K736" s="77" t="s">
        <v>270</v>
      </c>
      <c r="L736" s="76" t="str">
        <f aca="false">IF(OR(G736="",H736=""),"Data tidak lengkap",IF(AND(G736=0,H736=0),IF(AND(F736="",K736=""),"Tidak dibuka","Tutup"),IF(H736&gt;G736,"Lebih kapasitas",IF(H736=G736,"Penuh",IF(H736=0,IF(F736="","Slot kosong","Belum terisi"),"Sebagian")))))</f>
        <v>Sebagian</v>
      </c>
      <c r="M736" s="79" t="str">
        <f aca="false">IF(L736="Tidak dibuka","–",IF(F736="","(tanpa age group)",F736)&amp;"  "&amp;IF(H736="","?",H736)&amp;"/"&amp;IF(G736="","?",G736)&amp;CHAR(10)&amp;IF(K736="","coach: –","coach: "&amp;K736))</f>
        <v>Kids  3/4
coach: Sri</v>
      </c>
    </row>
    <row r="737" customFormat="false" ht="22.35" hidden="false" customHeight="false" outlineLevel="0" collapsed="false">
      <c r="A737" s="76" t="str">
        <f aca="false">B737&amp;"|"&amp;C737&amp;"|"&amp;D737&amp;"|"&amp;E737</f>
        <v>KWC|4|Sabtu|11:15</v>
      </c>
      <c r="B737" s="76" t="s">
        <v>63</v>
      </c>
      <c r="C737" s="76" t="n">
        <v>4</v>
      </c>
      <c r="D737" s="76" t="s">
        <v>95</v>
      </c>
      <c r="E737" s="76" t="s">
        <v>100</v>
      </c>
      <c r="F737" s="77" t="s">
        <v>210</v>
      </c>
      <c r="G737" s="77" t="n">
        <v>4</v>
      </c>
      <c r="H737" s="77" t="n">
        <v>4</v>
      </c>
      <c r="I737" s="76" t="n">
        <f aca="false">IF(AND(ISNUMBER(G737),ISNUMBER(H737)),MAX(G737-H737,0),"")</f>
        <v>0</v>
      </c>
      <c r="J737" s="78" t="n">
        <f aca="false">IF(AND(ISNUMBER(G737),ISNUMBER(H737)),IF(G737&gt;0,H737/G737,""),"")</f>
        <v>1</v>
      </c>
      <c r="K737" s="77" t="s">
        <v>267</v>
      </c>
      <c r="L737" s="76" t="str">
        <f aca="false">IF(OR(G737="",H737=""),"Data tidak lengkap",IF(AND(G737=0,H737=0),IF(AND(F737="",K737=""),"Tidak dibuka","Tutup"),IF(H737&gt;G737,"Lebih kapasitas",IF(H737=G737,"Penuh",IF(H737=0,IF(F737="","Slot kosong","Belum terisi"),"Sebagian")))))</f>
        <v>Penuh</v>
      </c>
      <c r="M737" s="79" t="str">
        <f aca="false">IF(L737="Tidak dibuka","–",IF(F737="","(tanpa age group)",F737)&amp;"  "&amp;IF(H737="","?",H737)&amp;"/"&amp;IF(G737="","?",G737)&amp;CHAR(10)&amp;IF(K737="","coach: –","coach: "&amp;K737))</f>
        <v>Kids  4/4
coach: Deyon</v>
      </c>
    </row>
    <row r="738" customFormat="false" ht="22.35" hidden="false" customHeight="false" outlineLevel="0" collapsed="false">
      <c r="A738" s="76" t="str">
        <f aca="false">B738&amp;"|"&amp;C738&amp;"|"&amp;D738&amp;"|"&amp;E738</f>
        <v>KWC|4|Sabtu|12:00</v>
      </c>
      <c r="B738" s="76" t="s">
        <v>63</v>
      </c>
      <c r="C738" s="76" t="n">
        <v>4</v>
      </c>
      <c r="D738" s="76" t="s">
        <v>95</v>
      </c>
      <c r="E738" s="76" t="s">
        <v>101</v>
      </c>
      <c r="F738" s="77" t="s">
        <v>210</v>
      </c>
      <c r="G738" s="77" t="n">
        <v>4</v>
      </c>
      <c r="H738" s="77" t="n">
        <v>4</v>
      </c>
      <c r="I738" s="76" t="n">
        <f aca="false">IF(AND(ISNUMBER(G738),ISNUMBER(H738)),MAX(G738-H738,0),"")</f>
        <v>0</v>
      </c>
      <c r="J738" s="78" t="n">
        <f aca="false">IF(AND(ISNUMBER(G738),ISNUMBER(H738)),IF(G738&gt;0,H738/G738,""),"")</f>
        <v>1</v>
      </c>
      <c r="K738" s="77" t="s">
        <v>271</v>
      </c>
      <c r="L738" s="76" t="str">
        <f aca="false">IF(OR(G738="",H738=""),"Data tidak lengkap",IF(AND(G738=0,H738=0),IF(AND(F738="",K738=""),"Tidak dibuka","Tutup"),IF(H738&gt;G738,"Lebih kapasitas",IF(H738=G738,"Penuh",IF(H738=0,IF(F738="","Slot kosong","Belum terisi"),"Sebagian")))))</f>
        <v>Penuh</v>
      </c>
      <c r="M738" s="79" t="str">
        <f aca="false">IF(L738="Tidak dibuka","–",IF(F738="","(tanpa age group)",F738)&amp;"  "&amp;IF(H738="","?",H738)&amp;"/"&amp;IF(G738="","?",G738)&amp;CHAR(10)&amp;IF(K738="","coach: –","coach: "&amp;K738))</f>
        <v>Kids  4/4
coach: Icis</v>
      </c>
    </row>
    <row r="739" customFormat="false" ht="22.35" hidden="false" customHeight="false" outlineLevel="0" collapsed="false">
      <c r="A739" s="76" t="str">
        <f aca="false">B739&amp;"|"&amp;C739&amp;"|"&amp;D739&amp;"|"&amp;E739</f>
        <v>KWC|4|Sabtu|13:30</v>
      </c>
      <c r="B739" s="76" t="s">
        <v>63</v>
      </c>
      <c r="C739" s="76" t="n">
        <v>4</v>
      </c>
      <c r="D739" s="76" t="s">
        <v>95</v>
      </c>
      <c r="E739" s="76" t="s">
        <v>102</v>
      </c>
      <c r="F739" s="77" t="s">
        <v>210</v>
      </c>
      <c r="G739" s="77" t="n">
        <v>4</v>
      </c>
      <c r="H739" s="77" t="n">
        <v>4</v>
      </c>
      <c r="I739" s="76" t="n">
        <f aca="false">IF(AND(ISNUMBER(G739),ISNUMBER(H739)),MAX(G739-H739,0),"")</f>
        <v>0</v>
      </c>
      <c r="J739" s="78" t="n">
        <f aca="false">IF(AND(ISNUMBER(G739),ISNUMBER(H739)),IF(G739&gt;0,H739/G739,""),"")</f>
        <v>1</v>
      </c>
      <c r="K739" s="77" t="s">
        <v>269</v>
      </c>
      <c r="L739" s="76" t="str">
        <f aca="false">IF(OR(G739="",H739=""),"Data tidak lengkap",IF(AND(G739=0,H739=0),IF(AND(F739="",K739=""),"Tidak dibuka","Tutup"),IF(H739&gt;G739,"Lebih kapasitas",IF(H739=G739,"Penuh",IF(H739=0,IF(F739="","Slot kosong","Belum terisi"),"Sebagian")))))</f>
        <v>Penuh</v>
      </c>
      <c r="M739" s="79" t="str">
        <f aca="false">IF(L739="Tidak dibuka","–",IF(F739="","(tanpa age group)",F739)&amp;"  "&amp;IF(H739="","?",H739)&amp;"/"&amp;IF(G739="","?",G739)&amp;CHAR(10)&amp;IF(K739="","coach: –","coach: "&amp;K739))</f>
        <v>Kids  4/4
coach: Nabila</v>
      </c>
    </row>
    <row r="740" customFormat="false" ht="22.35" hidden="false" customHeight="false" outlineLevel="0" collapsed="false">
      <c r="A740" s="76" t="str">
        <f aca="false">B740&amp;"|"&amp;C740&amp;"|"&amp;D740&amp;"|"&amp;E740</f>
        <v>KWC|4|Sabtu|14:15</v>
      </c>
      <c r="B740" s="76" t="s">
        <v>63</v>
      </c>
      <c r="C740" s="76" t="n">
        <v>4</v>
      </c>
      <c r="D740" s="76" t="s">
        <v>95</v>
      </c>
      <c r="E740" s="76" t="s">
        <v>103</v>
      </c>
      <c r="F740" s="77" t="s">
        <v>210</v>
      </c>
      <c r="G740" s="77" t="n">
        <v>4</v>
      </c>
      <c r="H740" s="77" t="n">
        <v>3</v>
      </c>
      <c r="I740" s="76" t="n">
        <f aca="false">IF(AND(ISNUMBER(G740),ISNUMBER(H740)),MAX(G740-H740,0),"")</f>
        <v>1</v>
      </c>
      <c r="J740" s="78" t="n">
        <f aca="false">IF(AND(ISNUMBER(G740),ISNUMBER(H740)),IF(G740&gt;0,H740/G740,""),"")</f>
        <v>0.75</v>
      </c>
      <c r="K740" s="77" t="s">
        <v>272</v>
      </c>
      <c r="L740" s="76" t="str">
        <f aca="false">IF(OR(G740="",H740=""),"Data tidak lengkap",IF(AND(G740=0,H740=0),IF(AND(F740="",K740=""),"Tidak dibuka","Tutup"),IF(H740&gt;G740,"Lebih kapasitas",IF(H740=G740,"Penuh",IF(H740=0,IF(F740="","Slot kosong","Belum terisi"),"Sebagian")))))</f>
        <v>Sebagian</v>
      </c>
      <c r="M740" s="79" t="str">
        <f aca="false">IF(L740="Tidak dibuka","–",IF(F740="","(tanpa age group)",F740)&amp;"  "&amp;IF(H740="","?",H740)&amp;"/"&amp;IF(G740="","?",G740)&amp;CHAR(10)&amp;IF(K740="","coach: –","coach: "&amp;K740))</f>
        <v>Kids  3/4
coach: Eriek</v>
      </c>
    </row>
    <row r="741" customFormat="false" ht="22.35" hidden="false" customHeight="false" outlineLevel="0" collapsed="false">
      <c r="A741" s="76" t="str">
        <f aca="false">B741&amp;"|"&amp;C741&amp;"|"&amp;D741&amp;"|"&amp;E741</f>
        <v>KWC|4|Sabtu|15:00</v>
      </c>
      <c r="B741" s="76" t="s">
        <v>63</v>
      </c>
      <c r="C741" s="76" t="n">
        <v>4</v>
      </c>
      <c r="D741" s="76" t="s">
        <v>95</v>
      </c>
      <c r="E741" s="76" t="s">
        <v>104</v>
      </c>
      <c r="F741" s="77" t="s">
        <v>210</v>
      </c>
      <c r="G741" s="77" t="n">
        <v>4</v>
      </c>
      <c r="H741" s="77" t="n">
        <v>4</v>
      </c>
      <c r="I741" s="76" t="n">
        <f aca="false">IF(AND(ISNUMBER(G741),ISNUMBER(H741)),MAX(G741-H741,0),"")</f>
        <v>0</v>
      </c>
      <c r="J741" s="78" t="n">
        <f aca="false">IF(AND(ISNUMBER(G741),ISNUMBER(H741)),IF(G741&gt;0,H741/G741,""),"")</f>
        <v>1</v>
      </c>
      <c r="K741" s="77" t="s">
        <v>273</v>
      </c>
      <c r="L741" s="76" t="str">
        <f aca="false">IF(OR(G741="",H741=""),"Data tidak lengkap",IF(AND(G741=0,H741=0),IF(AND(F741="",K741=""),"Tidak dibuka","Tutup"),IF(H741&gt;G741,"Lebih kapasitas",IF(H741=G741,"Penuh",IF(H741=0,IF(F741="","Slot kosong","Belum terisi"),"Sebagian")))))</f>
        <v>Penuh</v>
      </c>
      <c r="M741" s="79" t="str">
        <f aca="false">IF(L741="Tidak dibuka","–",IF(F741="","(tanpa age group)",F741)&amp;"  "&amp;IF(H741="","?",H741)&amp;"/"&amp;IF(G741="","?",G741)&amp;CHAR(10)&amp;IF(K741="","coach: –","coach: "&amp;K741))</f>
        <v>Kids  4/4
coach: Frido</v>
      </c>
    </row>
    <row r="742" customFormat="false" ht="22.35" hidden="false" customHeight="false" outlineLevel="0" collapsed="false">
      <c r="A742" s="76" t="str">
        <f aca="false">B742&amp;"|"&amp;C742&amp;"|"&amp;D742&amp;"|"&amp;E742</f>
        <v>KWC|4|Sabtu|15:45</v>
      </c>
      <c r="B742" s="76" t="s">
        <v>63</v>
      </c>
      <c r="C742" s="76" t="n">
        <v>4</v>
      </c>
      <c r="D742" s="76" t="s">
        <v>95</v>
      </c>
      <c r="E742" s="76" t="s">
        <v>105</v>
      </c>
      <c r="F742" s="77" t="s">
        <v>210</v>
      </c>
      <c r="G742" s="77" t="n">
        <v>4</v>
      </c>
      <c r="H742" s="77" t="n">
        <v>4</v>
      </c>
      <c r="I742" s="76" t="n">
        <f aca="false">IF(AND(ISNUMBER(G742),ISNUMBER(H742)),MAX(G742-H742,0),"")</f>
        <v>0</v>
      </c>
      <c r="J742" s="78" t="n">
        <f aca="false">IF(AND(ISNUMBER(G742),ISNUMBER(H742)),IF(G742&gt;0,H742/G742,""),"")</f>
        <v>1</v>
      </c>
      <c r="K742" s="77" t="s">
        <v>267</v>
      </c>
      <c r="L742" s="76" t="str">
        <f aca="false">IF(OR(G742="",H742=""),"Data tidak lengkap",IF(AND(G742=0,H742=0),IF(AND(F742="",K742=""),"Tidak dibuka","Tutup"),IF(H742&gt;G742,"Lebih kapasitas",IF(H742=G742,"Penuh",IF(H742=0,IF(F742="","Slot kosong","Belum terisi"),"Sebagian")))))</f>
        <v>Penuh</v>
      </c>
      <c r="M742" s="79" t="str">
        <f aca="false">IF(L742="Tidak dibuka","–",IF(F742="","(tanpa age group)",F742)&amp;"  "&amp;IF(H742="","?",H742)&amp;"/"&amp;IF(G742="","?",G742)&amp;CHAR(10)&amp;IF(K742="","coach: –","coach: "&amp;K742))</f>
        <v>Kids  4/4
coach: Deyon</v>
      </c>
    </row>
    <row r="743" customFormat="false" ht="22.35" hidden="false" customHeight="false" outlineLevel="0" collapsed="false">
      <c r="A743" s="76" t="str">
        <f aca="false">B743&amp;"|"&amp;C743&amp;"|"&amp;D743&amp;"|"&amp;E743</f>
        <v>KWC|4|Sabtu|16:30</v>
      </c>
      <c r="B743" s="76" t="s">
        <v>63</v>
      </c>
      <c r="C743" s="76" t="n">
        <v>4</v>
      </c>
      <c r="D743" s="76" t="s">
        <v>95</v>
      </c>
      <c r="E743" s="76" t="s">
        <v>106</v>
      </c>
      <c r="F743" s="77" t="s">
        <v>210</v>
      </c>
      <c r="G743" s="77" t="n">
        <v>4</v>
      </c>
      <c r="H743" s="77" t="n">
        <v>1</v>
      </c>
      <c r="I743" s="76" t="n">
        <f aca="false">IF(AND(ISNUMBER(G743),ISNUMBER(H743)),MAX(G743-H743,0),"")</f>
        <v>3</v>
      </c>
      <c r="J743" s="78" t="n">
        <f aca="false">IF(AND(ISNUMBER(G743),ISNUMBER(H743)),IF(G743&gt;0,H743/G743,""),"")</f>
        <v>0.25</v>
      </c>
      <c r="K743" s="77" t="s">
        <v>275</v>
      </c>
      <c r="L743" s="76" t="str">
        <f aca="false">IF(OR(G743="",H743=""),"Data tidak lengkap",IF(AND(G743=0,H743=0),IF(AND(F743="",K743=""),"Tidak dibuka","Tutup"),IF(H743&gt;G743,"Lebih kapasitas",IF(H743=G743,"Penuh",IF(H743=0,IF(F743="","Slot kosong","Belum terisi"),"Sebagian")))))</f>
        <v>Sebagian</v>
      </c>
      <c r="M743" s="79" t="str">
        <f aca="false">IF(L743="Tidak dibuka","–",IF(F743="","(tanpa age group)",F743)&amp;"  "&amp;IF(H743="","?",H743)&amp;"/"&amp;IF(G743="","?",G743)&amp;CHAR(10)&amp;IF(K743="","coach: –","coach: "&amp;K743))</f>
        <v>Kids  1/4
coach: Ziran</v>
      </c>
    </row>
    <row r="744" customFormat="false" ht="22.35" hidden="false" customHeight="false" outlineLevel="0" collapsed="false">
      <c r="A744" s="76" t="str">
        <f aca="false">B744&amp;"|"&amp;C744&amp;"|"&amp;D744&amp;"|"&amp;E744</f>
        <v>KWC|4|Sabtu|17:15</v>
      </c>
      <c r="B744" s="76" t="s">
        <v>63</v>
      </c>
      <c r="C744" s="76" t="n">
        <v>4</v>
      </c>
      <c r="D744" s="76" t="s">
        <v>95</v>
      </c>
      <c r="E744" s="76" t="s">
        <v>107</v>
      </c>
      <c r="F744" s="77" t="s">
        <v>210</v>
      </c>
      <c r="G744" s="77" t="n">
        <v>4</v>
      </c>
      <c r="H744" s="77" t="n">
        <v>2</v>
      </c>
      <c r="I744" s="76" t="n">
        <f aca="false">IF(AND(ISNUMBER(G744),ISNUMBER(H744)),MAX(G744-H744,0),"")</f>
        <v>2</v>
      </c>
      <c r="J744" s="78" t="n">
        <f aca="false">IF(AND(ISNUMBER(G744),ISNUMBER(H744)),IF(G744&gt;0,H744/G744,""),"")</f>
        <v>0.5</v>
      </c>
      <c r="K744" s="77" t="s">
        <v>275</v>
      </c>
      <c r="L744" s="76" t="str">
        <f aca="false">IF(OR(G744="",H744=""),"Data tidak lengkap",IF(AND(G744=0,H744=0),IF(AND(F744="",K744=""),"Tidak dibuka","Tutup"),IF(H744&gt;G744,"Lebih kapasitas",IF(H744=G744,"Penuh",IF(H744=0,IF(F744="","Slot kosong","Belum terisi"),"Sebagian")))))</f>
        <v>Sebagian</v>
      </c>
      <c r="M744" s="79" t="str">
        <f aca="false">IF(L744="Tidak dibuka","–",IF(F744="","(tanpa age group)",F744)&amp;"  "&amp;IF(H744="","?",H744)&amp;"/"&amp;IF(G744="","?",G744)&amp;CHAR(10)&amp;IF(K744="","coach: –","coach: "&amp;K744))</f>
        <v>Kids  2/4
coach: Ziran</v>
      </c>
    </row>
    <row r="745" customFormat="false" ht="22.35" hidden="false" customHeight="false" outlineLevel="0" collapsed="false">
      <c r="A745" s="76" t="str">
        <f aca="false">B745&amp;"|"&amp;C745&amp;"|"&amp;D745&amp;"|"&amp;E745</f>
        <v>KWC|4|Minggu|08:15</v>
      </c>
      <c r="B745" s="76" t="s">
        <v>63</v>
      </c>
      <c r="C745" s="76" t="n">
        <v>4</v>
      </c>
      <c r="D745" s="76" t="s">
        <v>78</v>
      </c>
      <c r="E745" s="76" t="s">
        <v>96</v>
      </c>
      <c r="F745" s="77" t="s">
        <v>210</v>
      </c>
      <c r="G745" s="77" t="n">
        <v>0</v>
      </c>
      <c r="H745" s="77" t="n">
        <v>0</v>
      </c>
      <c r="I745" s="76" t="n">
        <f aca="false">IF(AND(ISNUMBER(G745),ISNUMBER(H745)),MAX(G745-H745,0),"")</f>
        <v>0</v>
      </c>
      <c r="J745" s="78" t="str">
        <f aca="false">IF(AND(ISNUMBER(G745),ISNUMBER(H745)),IF(G745&gt;0,H745/G745,""),"")</f>
        <v/>
      </c>
      <c r="K745" s="77"/>
      <c r="L745" s="76" t="str">
        <f aca="false">IF(OR(G745="",H745=""),"Data tidak lengkap",IF(AND(G745=0,H745=0),IF(AND(F745="",K745=""),"Tidak dibuka","Tutup"),IF(H745&gt;G745,"Lebih kapasitas",IF(H745=G745,"Penuh",IF(H745=0,IF(F745="","Slot kosong","Belum terisi"),"Sebagian")))))</f>
        <v>Tutup</v>
      </c>
      <c r="M745" s="79" t="str">
        <f aca="false">IF(L745="Tidak dibuka","–",IF(F745="","(tanpa age group)",F745)&amp;"  "&amp;IF(H745="","?",H745)&amp;"/"&amp;IF(G745="","?",G745)&amp;CHAR(10)&amp;IF(K745="","coach: –","coach: "&amp;K745))</f>
        <v>Kids  0/0
coach: –</v>
      </c>
    </row>
    <row r="746" customFormat="false" ht="22.35" hidden="false" customHeight="false" outlineLevel="0" collapsed="false">
      <c r="A746" s="76" t="str">
        <f aca="false">B746&amp;"|"&amp;C746&amp;"|"&amp;D746&amp;"|"&amp;E746</f>
        <v>KWC|4|Minggu|09:00</v>
      </c>
      <c r="B746" s="76" t="s">
        <v>63</v>
      </c>
      <c r="C746" s="76" t="n">
        <v>4</v>
      </c>
      <c r="D746" s="76" t="s">
        <v>78</v>
      </c>
      <c r="E746" s="76" t="s">
        <v>97</v>
      </c>
      <c r="F746" s="77" t="s">
        <v>210</v>
      </c>
      <c r="G746" s="77" t="n">
        <v>4</v>
      </c>
      <c r="H746" s="77" t="n">
        <v>4</v>
      </c>
      <c r="I746" s="76" t="n">
        <f aca="false">IF(AND(ISNUMBER(G746),ISNUMBER(H746)),MAX(G746-H746,0),"")</f>
        <v>0</v>
      </c>
      <c r="J746" s="78" t="n">
        <f aca="false">IF(AND(ISNUMBER(G746),ISNUMBER(H746)),IF(G746&gt;0,H746/G746,""),"")</f>
        <v>1</v>
      </c>
      <c r="K746" s="77" t="s">
        <v>270</v>
      </c>
      <c r="L746" s="76" t="str">
        <f aca="false">IF(OR(G746="",H746=""),"Data tidak lengkap",IF(AND(G746=0,H746=0),IF(AND(F746="",K746=""),"Tidak dibuka","Tutup"),IF(H746&gt;G746,"Lebih kapasitas",IF(H746=G746,"Penuh",IF(H746=0,IF(F746="","Slot kosong","Belum terisi"),"Sebagian")))))</f>
        <v>Penuh</v>
      </c>
      <c r="M746" s="79" t="str">
        <f aca="false">IF(L746="Tidak dibuka","–",IF(F746="","(tanpa age group)",F746)&amp;"  "&amp;IF(H746="","?",H746)&amp;"/"&amp;IF(G746="","?",G746)&amp;CHAR(10)&amp;IF(K746="","coach: –","coach: "&amp;K746))</f>
        <v>Kids  4/4
coach: Sri</v>
      </c>
    </row>
    <row r="747" customFormat="false" ht="22.35" hidden="false" customHeight="false" outlineLevel="0" collapsed="false">
      <c r="A747" s="76" t="str">
        <f aca="false">B747&amp;"|"&amp;C747&amp;"|"&amp;D747&amp;"|"&amp;E747</f>
        <v>KWC|4|Minggu|09:45</v>
      </c>
      <c r="B747" s="76" t="s">
        <v>63</v>
      </c>
      <c r="C747" s="76" t="n">
        <v>4</v>
      </c>
      <c r="D747" s="76" t="s">
        <v>78</v>
      </c>
      <c r="E747" s="76" t="s">
        <v>98</v>
      </c>
      <c r="F747" s="77" t="s">
        <v>210</v>
      </c>
      <c r="G747" s="77" t="n">
        <v>4</v>
      </c>
      <c r="H747" s="77" t="n">
        <v>4</v>
      </c>
      <c r="I747" s="76" t="n">
        <f aca="false">IF(AND(ISNUMBER(G747),ISNUMBER(H747)),MAX(G747-H747,0),"")</f>
        <v>0</v>
      </c>
      <c r="J747" s="78" t="n">
        <f aca="false">IF(AND(ISNUMBER(G747),ISNUMBER(H747)),IF(G747&gt;0,H747/G747,""),"")</f>
        <v>1</v>
      </c>
      <c r="K747" s="77" t="s">
        <v>269</v>
      </c>
      <c r="L747" s="76" t="str">
        <f aca="false">IF(OR(G747="",H747=""),"Data tidak lengkap",IF(AND(G747=0,H747=0),IF(AND(F747="",K747=""),"Tidak dibuka","Tutup"),IF(H747&gt;G747,"Lebih kapasitas",IF(H747=G747,"Penuh",IF(H747=0,IF(F747="","Slot kosong","Belum terisi"),"Sebagian")))))</f>
        <v>Penuh</v>
      </c>
      <c r="M747" s="79" t="str">
        <f aca="false">IF(L747="Tidak dibuka","–",IF(F747="","(tanpa age group)",F747)&amp;"  "&amp;IF(H747="","?",H747)&amp;"/"&amp;IF(G747="","?",G747)&amp;CHAR(10)&amp;IF(K747="","coach: –","coach: "&amp;K747))</f>
        <v>Kids  4/4
coach: Nabila</v>
      </c>
    </row>
    <row r="748" customFormat="false" ht="22.35" hidden="false" customHeight="false" outlineLevel="0" collapsed="false">
      <c r="A748" s="76" t="str">
        <f aca="false">B748&amp;"|"&amp;C748&amp;"|"&amp;D748&amp;"|"&amp;E748</f>
        <v>KWC|4|Minggu|10:30</v>
      </c>
      <c r="B748" s="76" t="s">
        <v>63</v>
      </c>
      <c r="C748" s="76" t="n">
        <v>4</v>
      </c>
      <c r="D748" s="76" t="s">
        <v>78</v>
      </c>
      <c r="E748" s="76" t="s">
        <v>99</v>
      </c>
      <c r="F748" s="77" t="s">
        <v>210</v>
      </c>
      <c r="G748" s="77" t="n">
        <v>4</v>
      </c>
      <c r="H748" s="77" t="n">
        <v>4</v>
      </c>
      <c r="I748" s="76" t="n">
        <f aca="false">IF(AND(ISNUMBER(G748),ISNUMBER(H748)),MAX(G748-H748,0),"")</f>
        <v>0</v>
      </c>
      <c r="J748" s="78" t="n">
        <f aca="false">IF(AND(ISNUMBER(G748),ISNUMBER(H748)),IF(G748&gt;0,H748/G748,""),"")</f>
        <v>1</v>
      </c>
      <c r="K748" s="77" t="s">
        <v>267</v>
      </c>
      <c r="L748" s="76" t="str">
        <f aca="false">IF(OR(G748="",H748=""),"Data tidak lengkap",IF(AND(G748=0,H748=0),IF(AND(F748="",K748=""),"Tidak dibuka","Tutup"),IF(H748&gt;G748,"Lebih kapasitas",IF(H748=G748,"Penuh",IF(H748=0,IF(F748="","Slot kosong","Belum terisi"),"Sebagian")))))</f>
        <v>Penuh</v>
      </c>
      <c r="M748" s="79" t="str">
        <f aca="false">IF(L748="Tidak dibuka","–",IF(F748="","(tanpa age group)",F748)&amp;"  "&amp;IF(H748="","?",H748)&amp;"/"&amp;IF(G748="","?",G748)&amp;CHAR(10)&amp;IF(K748="","coach: –","coach: "&amp;K748))</f>
        <v>Kids  4/4
coach: Deyon</v>
      </c>
    </row>
    <row r="749" customFormat="false" ht="22.35" hidden="false" customHeight="false" outlineLevel="0" collapsed="false">
      <c r="A749" s="76" t="str">
        <f aca="false">B749&amp;"|"&amp;C749&amp;"|"&amp;D749&amp;"|"&amp;E749</f>
        <v>KWC|4|Minggu|11:15</v>
      </c>
      <c r="B749" s="76" t="s">
        <v>63</v>
      </c>
      <c r="C749" s="76" t="n">
        <v>4</v>
      </c>
      <c r="D749" s="76" t="s">
        <v>78</v>
      </c>
      <c r="E749" s="76" t="s">
        <v>100</v>
      </c>
      <c r="F749" s="77" t="s">
        <v>210</v>
      </c>
      <c r="G749" s="77" t="n">
        <v>4</v>
      </c>
      <c r="H749" s="77" t="n">
        <v>4</v>
      </c>
      <c r="I749" s="76" t="n">
        <f aca="false">IF(AND(ISNUMBER(G749),ISNUMBER(H749)),MAX(G749-H749,0),"")</f>
        <v>0</v>
      </c>
      <c r="J749" s="78" t="n">
        <f aca="false">IF(AND(ISNUMBER(G749),ISNUMBER(H749)),IF(G749&gt;0,H749/G749,""),"")</f>
        <v>1</v>
      </c>
      <c r="K749" s="77" t="s">
        <v>273</v>
      </c>
      <c r="L749" s="76" t="str">
        <f aca="false">IF(OR(G749="",H749=""),"Data tidak lengkap",IF(AND(G749=0,H749=0),IF(AND(F749="",K749=""),"Tidak dibuka","Tutup"),IF(H749&gt;G749,"Lebih kapasitas",IF(H749=G749,"Penuh",IF(H749=0,IF(F749="","Slot kosong","Belum terisi"),"Sebagian")))))</f>
        <v>Penuh</v>
      </c>
      <c r="M749" s="79" t="str">
        <f aca="false">IF(L749="Tidak dibuka","–",IF(F749="","(tanpa age group)",F749)&amp;"  "&amp;IF(H749="","?",H749)&amp;"/"&amp;IF(G749="","?",G749)&amp;CHAR(10)&amp;IF(K749="","coach: –","coach: "&amp;K749))</f>
        <v>Kids  4/4
coach: Frido</v>
      </c>
    </row>
    <row r="750" customFormat="false" ht="22.35" hidden="false" customHeight="false" outlineLevel="0" collapsed="false">
      <c r="A750" s="76" t="str">
        <f aca="false">B750&amp;"|"&amp;C750&amp;"|"&amp;D750&amp;"|"&amp;E750</f>
        <v>KWC|4|Minggu|12:00</v>
      </c>
      <c r="B750" s="76" t="s">
        <v>63</v>
      </c>
      <c r="C750" s="76" t="n">
        <v>4</v>
      </c>
      <c r="D750" s="76" t="s">
        <v>78</v>
      </c>
      <c r="E750" s="76" t="s">
        <v>101</v>
      </c>
      <c r="F750" s="77" t="s">
        <v>210</v>
      </c>
      <c r="G750" s="77" t="n">
        <v>4</v>
      </c>
      <c r="H750" s="77" t="n">
        <v>4</v>
      </c>
      <c r="I750" s="76" t="n">
        <f aca="false">IF(AND(ISNUMBER(G750),ISNUMBER(H750)),MAX(G750-H750,0),"")</f>
        <v>0</v>
      </c>
      <c r="J750" s="78" t="n">
        <f aca="false">IF(AND(ISNUMBER(G750),ISNUMBER(H750)),IF(G750&gt;0,H750/G750,""),"")</f>
        <v>1</v>
      </c>
      <c r="K750" s="77" t="s">
        <v>269</v>
      </c>
      <c r="L750" s="76" t="str">
        <f aca="false">IF(OR(G750="",H750=""),"Data tidak lengkap",IF(AND(G750=0,H750=0),IF(AND(F750="",K750=""),"Tidak dibuka","Tutup"),IF(H750&gt;G750,"Lebih kapasitas",IF(H750=G750,"Penuh",IF(H750=0,IF(F750="","Slot kosong","Belum terisi"),"Sebagian")))))</f>
        <v>Penuh</v>
      </c>
      <c r="M750" s="79" t="str">
        <f aca="false">IF(L750="Tidak dibuka","–",IF(F750="","(tanpa age group)",F750)&amp;"  "&amp;IF(H750="","?",H750)&amp;"/"&amp;IF(G750="","?",G750)&amp;CHAR(10)&amp;IF(K750="","coach: –","coach: "&amp;K750))</f>
        <v>Kids  4/4
coach: Nabila</v>
      </c>
    </row>
    <row r="751" customFormat="false" ht="22.35" hidden="false" customHeight="false" outlineLevel="0" collapsed="false">
      <c r="A751" s="76" t="str">
        <f aca="false">B751&amp;"|"&amp;C751&amp;"|"&amp;D751&amp;"|"&amp;E751</f>
        <v>KWC|4|Minggu|13:30</v>
      </c>
      <c r="B751" s="76" t="s">
        <v>63</v>
      </c>
      <c r="C751" s="76" t="n">
        <v>4</v>
      </c>
      <c r="D751" s="76" t="s">
        <v>78</v>
      </c>
      <c r="E751" s="76" t="s">
        <v>102</v>
      </c>
      <c r="F751" s="77" t="s">
        <v>210</v>
      </c>
      <c r="G751" s="77" t="n">
        <v>4</v>
      </c>
      <c r="H751" s="77" t="n">
        <v>4</v>
      </c>
      <c r="I751" s="76" t="n">
        <f aca="false">IF(AND(ISNUMBER(G751),ISNUMBER(H751)),MAX(G751-H751,0),"")</f>
        <v>0</v>
      </c>
      <c r="J751" s="78" t="n">
        <f aca="false">IF(AND(ISNUMBER(G751),ISNUMBER(H751)),IF(G751&gt;0,H751/G751,""),"")</f>
        <v>1</v>
      </c>
      <c r="K751" s="77" t="s">
        <v>270</v>
      </c>
      <c r="L751" s="76" t="str">
        <f aca="false">IF(OR(G751="",H751=""),"Data tidak lengkap",IF(AND(G751=0,H751=0),IF(AND(F751="",K751=""),"Tidak dibuka","Tutup"),IF(H751&gt;G751,"Lebih kapasitas",IF(H751=G751,"Penuh",IF(H751=0,IF(F751="","Slot kosong","Belum terisi"),"Sebagian")))))</f>
        <v>Penuh</v>
      </c>
      <c r="M751" s="79" t="str">
        <f aca="false">IF(L751="Tidak dibuka","–",IF(F751="","(tanpa age group)",F751)&amp;"  "&amp;IF(H751="","?",H751)&amp;"/"&amp;IF(G751="","?",G751)&amp;CHAR(10)&amp;IF(K751="","coach: –","coach: "&amp;K751))</f>
        <v>Kids  4/4
coach: Sri</v>
      </c>
    </row>
    <row r="752" customFormat="false" ht="22.35" hidden="false" customHeight="false" outlineLevel="0" collapsed="false">
      <c r="A752" s="76" t="str">
        <f aca="false">B752&amp;"|"&amp;C752&amp;"|"&amp;D752&amp;"|"&amp;E752</f>
        <v>KWC|4|Minggu|14:15</v>
      </c>
      <c r="B752" s="76" t="s">
        <v>63</v>
      </c>
      <c r="C752" s="76" t="n">
        <v>4</v>
      </c>
      <c r="D752" s="76" t="s">
        <v>78</v>
      </c>
      <c r="E752" s="76" t="s">
        <v>103</v>
      </c>
      <c r="F752" s="77" t="s">
        <v>210</v>
      </c>
      <c r="G752" s="77" t="n">
        <v>4</v>
      </c>
      <c r="H752" s="77" t="n">
        <v>4</v>
      </c>
      <c r="I752" s="76" t="n">
        <f aca="false">IF(AND(ISNUMBER(G752),ISNUMBER(H752)),MAX(G752-H752,0),"")</f>
        <v>0</v>
      </c>
      <c r="J752" s="78" t="n">
        <f aca="false">IF(AND(ISNUMBER(G752),ISNUMBER(H752)),IF(G752&gt;0,H752/G752,""),"")</f>
        <v>1</v>
      </c>
      <c r="K752" s="77" t="s">
        <v>271</v>
      </c>
      <c r="L752" s="76" t="str">
        <f aca="false">IF(OR(G752="",H752=""),"Data tidak lengkap",IF(AND(G752=0,H752=0),IF(AND(F752="",K752=""),"Tidak dibuka","Tutup"),IF(H752&gt;G752,"Lebih kapasitas",IF(H752=G752,"Penuh",IF(H752=0,IF(F752="","Slot kosong","Belum terisi"),"Sebagian")))))</f>
        <v>Penuh</v>
      </c>
      <c r="M752" s="79" t="str">
        <f aca="false">IF(L752="Tidak dibuka","–",IF(F752="","(tanpa age group)",F752)&amp;"  "&amp;IF(H752="","?",H752)&amp;"/"&amp;IF(G752="","?",G752)&amp;CHAR(10)&amp;IF(K752="","coach: –","coach: "&amp;K752))</f>
        <v>Kids  4/4
coach: Icis</v>
      </c>
    </row>
    <row r="753" customFormat="false" ht="22.35" hidden="false" customHeight="false" outlineLevel="0" collapsed="false">
      <c r="A753" s="76" t="str">
        <f aca="false">B753&amp;"|"&amp;C753&amp;"|"&amp;D753&amp;"|"&amp;E753</f>
        <v>KWC|4|Minggu|15:00</v>
      </c>
      <c r="B753" s="76" t="s">
        <v>63</v>
      </c>
      <c r="C753" s="76" t="n">
        <v>4</v>
      </c>
      <c r="D753" s="76" t="s">
        <v>78</v>
      </c>
      <c r="E753" s="76" t="s">
        <v>104</v>
      </c>
      <c r="F753" s="77" t="s">
        <v>210</v>
      </c>
      <c r="G753" s="77" t="n">
        <v>4</v>
      </c>
      <c r="H753" s="77" t="n">
        <v>3</v>
      </c>
      <c r="I753" s="76" t="n">
        <f aca="false">IF(AND(ISNUMBER(G753),ISNUMBER(H753)),MAX(G753-H753,0),"")</f>
        <v>1</v>
      </c>
      <c r="J753" s="78" t="n">
        <f aca="false">IF(AND(ISNUMBER(G753),ISNUMBER(H753)),IF(G753&gt;0,H753/G753,""),"")</f>
        <v>0.75</v>
      </c>
      <c r="K753" s="77" t="s">
        <v>269</v>
      </c>
      <c r="L753" s="76" t="str">
        <f aca="false">IF(OR(G753="",H753=""),"Data tidak lengkap",IF(AND(G753=0,H753=0),IF(AND(F753="",K753=""),"Tidak dibuka","Tutup"),IF(H753&gt;G753,"Lebih kapasitas",IF(H753=G753,"Penuh",IF(H753=0,IF(F753="","Slot kosong","Belum terisi"),"Sebagian")))))</f>
        <v>Sebagian</v>
      </c>
      <c r="M753" s="79" t="str">
        <f aca="false">IF(L753="Tidak dibuka","–",IF(F753="","(tanpa age group)",F753)&amp;"  "&amp;IF(H753="","?",H753)&amp;"/"&amp;IF(G753="","?",G753)&amp;CHAR(10)&amp;IF(K753="","coach: –","coach: "&amp;K753))</f>
        <v>Kids  3/4
coach: Nabila</v>
      </c>
    </row>
    <row r="754" customFormat="false" ht="22.35" hidden="false" customHeight="false" outlineLevel="0" collapsed="false">
      <c r="A754" s="76" t="str">
        <f aca="false">B754&amp;"|"&amp;C754&amp;"|"&amp;D754&amp;"|"&amp;E754</f>
        <v>KWC|4|Minggu|15:45</v>
      </c>
      <c r="B754" s="76" t="s">
        <v>63</v>
      </c>
      <c r="C754" s="76" t="n">
        <v>4</v>
      </c>
      <c r="D754" s="76" t="s">
        <v>78</v>
      </c>
      <c r="E754" s="76" t="s">
        <v>105</v>
      </c>
      <c r="F754" s="77" t="s">
        <v>210</v>
      </c>
      <c r="G754" s="77" t="n">
        <v>4</v>
      </c>
      <c r="H754" s="77" t="n">
        <v>4</v>
      </c>
      <c r="I754" s="76" t="n">
        <f aca="false">IF(AND(ISNUMBER(G754),ISNUMBER(H754)),MAX(G754-H754,0),"")</f>
        <v>0</v>
      </c>
      <c r="J754" s="78" t="n">
        <f aca="false">IF(AND(ISNUMBER(G754),ISNUMBER(H754)),IF(G754&gt;0,H754/G754,""),"")</f>
        <v>1</v>
      </c>
      <c r="K754" s="77" t="s">
        <v>271</v>
      </c>
      <c r="L754" s="76" t="str">
        <f aca="false">IF(OR(G754="",H754=""),"Data tidak lengkap",IF(AND(G754=0,H754=0),IF(AND(F754="",K754=""),"Tidak dibuka","Tutup"),IF(H754&gt;G754,"Lebih kapasitas",IF(H754=G754,"Penuh",IF(H754=0,IF(F754="","Slot kosong","Belum terisi"),"Sebagian")))))</f>
        <v>Penuh</v>
      </c>
      <c r="M754" s="79" t="str">
        <f aca="false">IF(L754="Tidak dibuka","–",IF(F754="","(tanpa age group)",F754)&amp;"  "&amp;IF(H754="","?",H754)&amp;"/"&amp;IF(G754="","?",G754)&amp;CHAR(10)&amp;IF(K754="","coach: –","coach: "&amp;K754))</f>
        <v>Kids  4/4
coach: Icis</v>
      </c>
    </row>
    <row r="755" customFormat="false" ht="22.35" hidden="false" customHeight="false" outlineLevel="0" collapsed="false">
      <c r="A755" s="76" t="str">
        <f aca="false">B755&amp;"|"&amp;C755&amp;"|"&amp;D755&amp;"|"&amp;E755</f>
        <v>KWC|4|Minggu|16:30</v>
      </c>
      <c r="B755" s="76" t="s">
        <v>63</v>
      </c>
      <c r="C755" s="76" t="n">
        <v>4</v>
      </c>
      <c r="D755" s="76" t="s">
        <v>78</v>
      </c>
      <c r="E755" s="76" t="s">
        <v>106</v>
      </c>
      <c r="F755" s="77" t="s">
        <v>210</v>
      </c>
      <c r="G755" s="77" t="n">
        <v>4</v>
      </c>
      <c r="H755" s="77" t="n">
        <v>4</v>
      </c>
      <c r="I755" s="76" t="n">
        <f aca="false">IF(AND(ISNUMBER(G755),ISNUMBER(H755)),MAX(G755-H755,0),"")</f>
        <v>0</v>
      </c>
      <c r="J755" s="78" t="n">
        <f aca="false">IF(AND(ISNUMBER(G755),ISNUMBER(H755)),IF(G755&gt;0,H755/G755,""),"")</f>
        <v>1</v>
      </c>
      <c r="K755" s="77" t="s">
        <v>270</v>
      </c>
      <c r="L755" s="76" t="str">
        <f aca="false">IF(OR(G755="",H755=""),"Data tidak lengkap",IF(AND(G755=0,H755=0),IF(AND(F755="",K755=""),"Tidak dibuka","Tutup"),IF(H755&gt;G755,"Lebih kapasitas",IF(H755=G755,"Penuh",IF(H755=0,IF(F755="","Slot kosong","Belum terisi"),"Sebagian")))))</f>
        <v>Penuh</v>
      </c>
      <c r="M755" s="79" t="str">
        <f aca="false">IF(L755="Tidak dibuka","–",IF(F755="","(tanpa age group)",F755)&amp;"  "&amp;IF(H755="","?",H755)&amp;"/"&amp;IF(G755="","?",G755)&amp;CHAR(10)&amp;IF(K755="","coach: –","coach: "&amp;K755))</f>
        <v>Kids  4/4
coach: Sri</v>
      </c>
    </row>
    <row r="756" customFormat="false" ht="22.35" hidden="false" customHeight="false" outlineLevel="0" collapsed="false">
      <c r="A756" s="76" t="str">
        <f aca="false">B756&amp;"|"&amp;C756&amp;"|"&amp;D756&amp;"|"&amp;E756</f>
        <v>KWC|4|Minggu|17:15</v>
      </c>
      <c r="B756" s="76" t="s">
        <v>63</v>
      </c>
      <c r="C756" s="76" t="n">
        <v>4</v>
      </c>
      <c r="D756" s="76" t="s">
        <v>78</v>
      </c>
      <c r="E756" s="76" t="s">
        <v>107</v>
      </c>
      <c r="F756" s="77" t="s">
        <v>210</v>
      </c>
      <c r="G756" s="77" t="n">
        <v>4</v>
      </c>
      <c r="H756" s="77" t="n">
        <v>4</v>
      </c>
      <c r="I756" s="76" t="n">
        <f aca="false">IF(AND(ISNUMBER(G756),ISNUMBER(H756)),MAX(G756-H756,0),"")</f>
        <v>0</v>
      </c>
      <c r="J756" s="78" t="n">
        <f aca="false">IF(AND(ISNUMBER(G756),ISNUMBER(H756)),IF(G756&gt;0,H756/G756,""),"")</f>
        <v>1</v>
      </c>
      <c r="K756" s="77" t="s">
        <v>272</v>
      </c>
      <c r="L756" s="76" t="str">
        <f aca="false">IF(OR(G756="",H756=""),"Data tidak lengkap",IF(AND(G756=0,H756=0),IF(AND(F756="",K756=""),"Tidak dibuka","Tutup"),IF(H756&gt;G756,"Lebih kapasitas",IF(H756=G756,"Penuh",IF(H756=0,IF(F756="","Slot kosong","Belum terisi"),"Sebagian")))))</f>
        <v>Penuh</v>
      </c>
      <c r="M756" s="79" t="str">
        <f aca="false">IF(L756="Tidak dibuka","–",IF(F756="","(tanpa age group)",F756)&amp;"  "&amp;IF(H756="","?",H756)&amp;"/"&amp;IF(G756="","?",G756)&amp;CHAR(10)&amp;IF(K756="","coach: –","coach: "&amp;K756))</f>
        <v>Kids  4/4
coach: Eriek</v>
      </c>
    </row>
    <row r="757" customFormat="false" ht="15" hidden="false" customHeight="false" outlineLevel="0" collapsed="false">
      <c r="A757" s="76" t="str">
        <f aca="false">B757&amp;"|"&amp;C757&amp;"|"&amp;D757&amp;"|"&amp;E757</f>
        <v>KWC|5|Senin|08:00</v>
      </c>
      <c r="B757" s="76" t="s">
        <v>63</v>
      </c>
      <c r="C757" s="76" t="n">
        <v>5</v>
      </c>
      <c r="D757" s="76" t="s">
        <v>90</v>
      </c>
      <c r="E757" s="76" t="s">
        <v>110</v>
      </c>
      <c r="F757" s="77"/>
      <c r="G757" s="77" t="n">
        <v>0</v>
      </c>
      <c r="H757" s="77" t="n">
        <v>0</v>
      </c>
      <c r="I757" s="76" t="n">
        <f aca="false">IF(AND(ISNUMBER(G757),ISNUMBER(H757)),MAX(G757-H757,0),"")</f>
        <v>0</v>
      </c>
      <c r="J757" s="78" t="str">
        <f aca="false">IF(AND(ISNUMBER(G757),ISNUMBER(H757)),IF(G757&gt;0,H757/G757,""),"")</f>
        <v/>
      </c>
      <c r="K757" s="77"/>
      <c r="L757" s="76" t="str">
        <f aca="false">IF(OR(G757="",H757=""),"Data tidak lengkap",IF(AND(G757=0,H757=0),IF(AND(F757="",K757=""),"Tidak dibuka","Tutup"),IF(H757&gt;G757,"Lebih kapasitas",IF(H757=G757,"Penuh",IF(H757=0,IF(F757="","Slot kosong","Belum terisi"),"Sebagian")))))</f>
        <v>Tidak dibuka</v>
      </c>
      <c r="M757" s="76" t="str">
        <f aca="false">IF(L757="Tidak dibuka","–",IF(F757="","(tanpa age group)",F757)&amp;"  "&amp;IF(H757="","?",H757)&amp;"/"&amp;IF(G757="","?",G757)&amp;CHAR(10)&amp;IF(K757="","coach: –","coach: "&amp;K757))</f>
        <v>–</v>
      </c>
    </row>
    <row r="758" customFormat="false" ht="22.35" hidden="false" customHeight="false" outlineLevel="0" collapsed="false">
      <c r="A758" s="76" t="str">
        <f aca="false">B758&amp;"|"&amp;C758&amp;"|"&amp;D758&amp;"|"&amp;E758</f>
        <v>KWC|5|Senin|08:45</v>
      </c>
      <c r="B758" s="76" t="s">
        <v>63</v>
      </c>
      <c r="C758" s="76" t="n">
        <v>5</v>
      </c>
      <c r="D758" s="76" t="s">
        <v>90</v>
      </c>
      <c r="E758" s="76" t="s">
        <v>111</v>
      </c>
      <c r="F758" s="77"/>
      <c r="G758" s="77" t="n">
        <v>5</v>
      </c>
      <c r="H758" s="77" t="n">
        <v>0</v>
      </c>
      <c r="I758" s="76" t="n">
        <f aca="false">IF(AND(ISNUMBER(G758),ISNUMBER(H758)),MAX(G758-H758,0),"")</f>
        <v>5</v>
      </c>
      <c r="J758" s="78" t="n">
        <f aca="false">IF(AND(ISNUMBER(G758),ISNUMBER(H758)),IF(G758&gt;0,H758/G758,""),"")</f>
        <v>0</v>
      </c>
      <c r="K758" s="77"/>
      <c r="L758" s="76" t="str">
        <f aca="false">IF(OR(G758="",H758=""),"Data tidak lengkap",IF(AND(G758=0,H758=0),IF(AND(F758="",K758=""),"Tidak dibuka","Tutup"),IF(H758&gt;G758,"Lebih kapasitas",IF(H758=G758,"Penuh",IF(H758=0,IF(F758="","Slot kosong","Belum terisi"),"Sebagian")))))</f>
        <v>Slot kosong</v>
      </c>
      <c r="M758" s="79" t="str">
        <f aca="false">IF(L758="Tidak dibuka","–",IF(F758="","(tanpa age group)",F758)&amp;"  "&amp;IF(H758="","?",H758)&amp;"/"&amp;IF(G758="","?",G758)&amp;CHAR(10)&amp;IF(K758="","coach: –","coach: "&amp;K758))</f>
        <v>(tanpa age group)  0/5
coach: –</v>
      </c>
    </row>
    <row r="759" customFormat="false" ht="22.35" hidden="false" customHeight="false" outlineLevel="0" collapsed="false">
      <c r="A759" s="76" t="str">
        <f aca="false">B759&amp;"|"&amp;C759&amp;"|"&amp;D759&amp;"|"&amp;E759</f>
        <v>KWC|5|Senin|09:30</v>
      </c>
      <c r="B759" s="76" t="s">
        <v>63</v>
      </c>
      <c r="C759" s="76" t="n">
        <v>5</v>
      </c>
      <c r="D759" s="76" t="s">
        <v>90</v>
      </c>
      <c r="E759" s="76" t="s">
        <v>112</v>
      </c>
      <c r="F759" s="77"/>
      <c r="G759" s="77" t="n">
        <v>5</v>
      </c>
      <c r="H759" s="77" t="n">
        <v>0</v>
      </c>
      <c r="I759" s="76" t="n">
        <f aca="false">IF(AND(ISNUMBER(G759),ISNUMBER(H759)),MAX(G759-H759,0),"")</f>
        <v>5</v>
      </c>
      <c r="J759" s="78" t="n">
        <f aca="false">IF(AND(ISNUMBER(G759),ISNUMBER(H759)),IF(G759&gt;0,H759/G759,""),"")</f>
        <v>0</v>
      </c>
      <c r="K759" s="77"/>
      <c r="L759" s="76" t="str">
        <f aca="false">IF(OR(G759="",H759=""),"Data tidak lengkap",IF(AND(G759=0,H759=0),IF(AND(F759="",K759=""),"Tidak dibuka","Tutup"),IF(H759&gt;G759,"Lebih kapasitas",IF(H759=G759,"Penuh",IF(H759=0,IF(F759="","Slot kosong","Belum terisi"),"Sebagian")))))</f>
        <v>Slot kosong</v>
      </c>
      <c r="M759" s="79" t="str">
        <f aca="false">IF(L759="Tidak dibuka","–",IF(F759="","(tanpa age group)",F759)&amp;"  "&amp;IF(H759="","?",H759)&amp;"/"&amp;IF(G759="","?",G759)&amp;CHAR(10)&amp;IF(K759="","coach: –","coach: "&amp;K759))</f>
        <v>(tanpa age group)  0/5
coach: –</v>
      </c>
    </row>
    <row r="760" customFormat="false" ht="22.35" hidden="false" customHeight="false" outlineLevel="0" collapsed="false">
      <c r="A760" s="76" t="str">
        <f aca="false">B760&amp;"|"&amp;C760&amp;"|"&amp;D760&amp;"|"&amp;E760</f>
        <v>KWC|5|Senin|10:15</v>
      </c>
      <c r="B760" s="76" t="s">
        <v>63</v>
      </c>
      <c r="C760" s="76" t="n">
        <v>5</v>
      </c>
      <c r="D760" s="76" t="s">
        <v>90</v>
      </c>
      <c r="E760" s="76" t="s">
        <v>113</v>
      </c>
      <c r="F760" s="77"/>
      <c r="G760" s="77" t="n">
        <v>5</v>
      </c>
      <c r="H760" s="77" t="n">
        <v>0</v>
      </c>
      <c r="I760" s="76" t="n">
        <f aca="false">IF(AND(ISNUMBER(G760),ISNUMBER(H760)),MAX(G760-H760,0),"")</f>
        <v>5</v>
      </c>
      <c r="J760" s="78" t="n">
        <f aca="false">IF(AND(ISNUMBER(G760),ISNUMBER(H760)),IF(G760&gt;0,H760/G760,""),"")</f>
        <v>0</v>
      </c>
      <c r="K760" s="77"/>
      <c r="L760" s="76" t="str">
        <f aca="false">IF(OR(G760="",H760=""),"Data tidak lengkap",IF(AND(G760=0,H760=0),IF(AND(F760="",K760=""),"Tidak dibuka","Tutup"),IF(H760&gt;G760,"Lebih kapasitas",IF(H760=G760,"Penuh",IF(H760=0,IF(F760="","Slot kosong","Belum terisi"),"Sebagian")))))</f>
        <v>Slot kosong</v>
      </c>
      <c r="M760" s="79" t="str">
        <f aca="false">IF(L760="Tidak dibuka","–",IF(F760="","(tanpa age group)",F760)&amp;"  "&amp;IF(H760="","?",H760)&amp;"/"&amp;IF(G760="","?",G760)&amp;CHAR(10)&amp;IF(K760="","coach: –","coach: "&amp;K760))</f>
        <v>(tanpa age group)  0/5
coach: –</v>
      </c>
    </row>
    <row r="761" customFormat="false" ht="22.35" hidden="false" customHeight="false" outlineLevel="0" collapsed="false">
      <c r="A761" s="76" t="str">
        <f aca="false">B761&amp;"|"&amp;C761&amp;"|"&amp;D761&amp;"|"&amp;E761</f>
        <v>KWC|5|Senin|11:00</v>
      </c>
      <c r="B761" s="76" t="s">
        <v>63</v>
      </c>
      <c r="C761" s="76" t="n">
        <v>5</v>
      </c>
      <c r="D761" s="76" t="s">
        <v>90</v>
      </c>
      <c r="E761" s="76" t="s">
        <v>114</v>
      </c>
      <c r="F761" s="77"/>
      <c r="G761" s="77" t="n">
        <v>5</v>
      </c>
      <c r="H761" s="77" t="n">
        <v>0</v>
      </c>
      <c r="I761" s="76" t="n">
        <f aca="false">IF(AND(ISNUMBER(G761),ISNUMBER(H761)),MAX(G761-H761,0),"")</f>
        <v>5</v>
      </c>
      <c r="J761" s="78" t="n">
        <f aca="false">IF(AND(ISNUMBER(G761),ISNUMBER(H761)),IF(G761&gt;0,H761/G761,""),"")</f>
        <v>0</v>
      </c>
      <c r="K761" s="77"/>
      <c r="L761" s="76" t="str">
        <f aca="false">IF(OR(G761="",H761=""),"Data tidak lengkap",IF(AND(G761=0,H761=0),IF(AND(F761="",K761=""),"Tidak dibuka","Tutup"),IF(H761&gt;G761,"Lebih kapasitas",IF(H761=G761,"Penuh",IF(H761=0,IF(F761="","Slot kosong","Belum terisi"),"Sebagian")))))</f>
        <v>Slot kosong</v>
      </c>
      <c r="M761" s="79" t="str">
        <f aca="false">IF(L761="Tidak dibuka","–",IF(F761="","(tanpa age group)",F761)&amp;"  "&amp;IF(H761="","?",H761)&amp;"/"&amp;IF(G761="","?",G761)&amp;CHAR(10)&amp;IF(K761="","coach: –","coach: "&amp;K761))</f>
        <v>(tanpa age group)  0/5
coach: –</v>
      </c>
    </row>
    <row r="762" customFormat="false" ht="15" hidden="false" customHeight="false" outlineLevel="0" collapsed="false">
      <c r="A762" s="76" t="str">
        <f aca="false">B762&amp;"|"&amp;C762&amp;"|"&amp;D762&amp;"|"&amp;E762</f>
        <v>KWC|5|Senin|11:45</v>
      </c>
      <c r="B762" s="76" t="s">
        <v>63</v>
      </c>
      <c r="C762" s="76" t="n">
        <v>5</v>
      </c>
      <c r="D762" s="76" t="s">
        <v>90</v>
      </c>
      <c r="E762" s="76" t="s">
        <v>115</v>
      </c>
      <c r="F762" s="77"/>
      <c r="G762" s="77" t="n">
        <v>0</v>
      </c>
      <c r="H762" s="77" t="n">
        <v>0</v>
      </c>
      <c r="I762" s="76" t="n">
        <f aca="false">IF(AND(ISNUMBER(G762),ISNUMBER(H762)),MAX(G762-H762,0),"")</f>
        <v>0</v>
      </c>
      <c r="J762" s="78" t="str">
        <f aca="false">IF(AND(ISNUMBER(G762),ISNUMBER(H762)),IF(G762&gt;0,H762/G762,""),"")</f>
        <v/>
      </c>
      <c r="K762" s="77"/>
      <c r="L762" s="76" t="str">
        <f aca="false">IF(OR(G762="",H762=""),"Data tidak lengkap",IF(AND(G762=0,H762=0),IF(AND(F762="",K762=""),"Tidak dibuka","Tutup"),IF(H762&gt;G762,"Lebih kapasitas",IF(H762=G762,"Penuh",IF(H762=0,IF(F762="","Slot kosong","Belum terisi"),"Sebagian")))))</f>
        <v>Tidak dibuka</v>
      </c>
      <c r="M762" s="76" t="str">
        <f aca="false">IF(L762="Tidak dibuka","–",IF(F762="","(tanpa age group)",F762)&amp;"  "&amp;IF(H762="","?",H762)&amp;"/"&amp;IF(G762="","?",G762)&amp;CHAR(10)&amp;IF(K762="","coach: –","coach: "&amp;K762))</f>
        <v>–</v>
      </c>
    </row>
    <row r="763" customFormat="false" ht="22.35" hidden="false" customHeight="false" outlineLevel="0" collapsed="false">
      <c r="A763" s="76" t="str">
        <f aca="false">B763&amp;"|"&amp;C763&amp;"|"&amp;D763&amp;"|"&amp;E763</f>
        <v>KWC|5|Senin|13:15</v>
      </c>
      <c r="B763" s="76" t="s">
        <v>63</v>
      </c>
      <c r="C763" s="76" t="n">
        <v>5</v>
      </c>
      <c r="D763" s="76" t="s">
        <v>90</v>
      </c>
      <c r="E763" s="76" t="s">
        <v>116</v>
      </c>
      <c r="F763" s="77"/>
      <c r="G763" s="77" t="n">
        <v>5</v>
      </c>
      <c r="H763" s="77" t="n">
        <v>0</v>
      </c>
      <c r="I763" s="76" t="n">
        <f aca="false">IF(AND(ISNUMBER(G763),ISNUMBER(H763)),MAX(G763-H763,0),"")</f>
        <v>5</v>
      </c>
      <c r="J763" s="78" t="n">
        <f aca="false">IF(AND(ISNUMBER(G763),ISNUMBER(H763)),IF(G763&gt;0,H763/G763,""),"")</f>
        <v>0</v>
      </c>
      <c r="K763" s="77"/>
      <c r="L763" s="76" t="str">
        <f aca="false">IF(OR(G763="",H763=""),"Data tidak lengkap",IF(AND(G763=0,H763=0),IF(AND(F763="",K763=""),"Tidak dibuka","Tutup"),IF(H763&gt;G763,"Lebih kapasitas",IF(H763=G763,"Penuh",IF(H763=0,IF(F763="","Slot kosong","Belum terisi"),"Sebagian")))))</f>
        <v>Slot kosong</v>
      </c>
      <c r="M763" s="79" t="str">
        <f aca="false">IF(L763="Tidak dibuka","–",IF(F763="","(tanpa age group)",F763)&amp;"  "&amp;IF(H763="","?",H763)&amp;"/"&amp;IF(G763="","?",G763)&amp;CHAR(10)&amp;IF(K763="","coach: –","coach: "&amp;K763))</f>
        <v>(tanpa age group)  0/5
coach: –</v>
      </c>
    </row>
    <row r="764" customFormat="false" ht="22.35" hidden="false" customHeight="false" outlineLevel="0" collapsed="false">
      <c r="A764" s="76" t="str">
        <f aca="false">B764&amp;"|"&amp;C764&amp;"|"&amp;D764&amp;"|"&amp;E764</f>
        <v>KWC|5|Senin|14:00</v>
      </c>
      <c r="B764" s="76" t="s">
        <v>63</v>
      </c>
      <c r="C764" s="76" t="n">
        <v>5</v>
      </c>
      <c r="D764" s="76" t="s">
        <v>90</v>
      </c>
      <c r="E764" s="76" t="s">
        <v>117</v>
      </c>
      <c r="F764" s="77"/>
      <c r="G764" s="77" t="n">
        <v>5</v>
      </c>
      <c r="H764" s="77" t="n">
        <v>0</v>
      </c>
      <c r="I764" s="76" t="n">
        <f aca="false">IF(AND(ISNUMBER(G764),ISNUMBER(H764)),MAX(G764-H764,0),"")</f>
        <v>5</v>
      </c>
      <c r="J764" s="78" t="n">
        <f aca="false">IF(AND(ISNUMBER(G764),ISNUMBER(H764)),IF(G764&gt;0,H764/G764,""),"")</f>
        <v>0</v>
      </c>
      <c r="K764" s="77"/>
      <c r="L764" s="76" t="str">
        <f aca="false">IF(OR(G764="",H764=""),"Data tidak lengkap",IF(AND(G764=0,H764=0),IF(AND(F764="",K764=""),"Tidak dibuka","Tutup"),IF(H764&gt;G764,"Lebih kapasitas",IF(H764=G764,"Penuh",IF(H764=0,IF(F764="","Slot kosong","Belum terisi"),"Sebagian")))))</f>
        <v>Slot kosong</v>
      </c>
      <c r="M764" s="79" t="str">
        <f aca="false">IF(L764="Tidak dibuka","–",IF(F764="","(tanpa age group)",F764)&amp;"  "&amp;IF(H764="","?",H764)&amp;"/"&amp;IF(G764="","?",G764)&amp;CHAR(10)&amp;IF(K764="","coach: –","coach: "&amp;K764))</f>
        <v>(tanpa age group)  0/5
coach: –</v>
      </c>
    </row>
    <row r="765" customFormat="false" ht="22.35" hidden="false" customHeight="false" outlineLevel="0" collapsed="false">
      <c r="A765" s="76" t="str">
        <f aca="false">B765&amp;"|"&amp;C765&amp;"|"&amp;D765&amp;"|"&amp;E765</f>
        <v>KWC|5|Senin|14:45</v>
      </c>
      <c r="B765" s="76" t="s">
        <v>63</v>
      </c>
      <c r="C765" s="76" t="n">
        <v>5</v>
      </c>
      <c r="D765" s="76" t="s">
        <v>90</v>
      </c>
      <c r="E765" s="76" t="s">
        <v>118</v>
      </c>
      <c r="F765" s="77"/>
      <c r="G765" s="77" t="n">
        <v>5</v>
      </c>
      <c r="H765" s="77" t="n">
        <v>0</v>
      </c>
      <c r="I765" s="76" t="n">
        <f aca="false">IF(AND(ISNUMBER(G765),ISNUMBER(H765)),MAX(G765-H765,0),"")</f>
        <v>5</v>
      </c>
      <c r="J765" s="78" t="n">
        <f aca="false">IF(AND(ISNUMBER(G765),ISNUMBER(H765)),IF(G765&gt;0,H765/G765,""),"")</f>
        <v>0</v>
      </c>
      <c r="K765" s="77"/>
      <c r="L765" s="76" t="str">
        <f aca="false">IF(OR(G765="",H765=""),"Data tidak lengkap",IF(AND(G765=0,H765=0),IF(AND(F765="",K765=""),"Tidak dibuka","Tutup"),IF(H765&gt;G765,"Lebih kapasitas",IF(H765=G765,"Penuh",IF(H765=0,IF(F765="","Slot kosong","Belum terisi"),"Sebagian")))))</f>
        <v>Slot kosong</v>
      </c>
      <c r="M765" s="79" t="str">
        <f aca="false">IF(L765="Tidak dibuka","–",IF(F765="","(tanpa age group)",F765)&amp;"  "&amp;IF(H765="","?",H765)&amp;"/"&amp;IF(G765="","?",G765)&amp;CHAR(10)&amp;IF(K765="","coach: –","coach: "&amp;K765))</f>
        <v>(tanpa age group)  0/5
coach: –</v>
      </c>
    </row>
    <row r="766" customFormat="false" ht="22.35" hidden="false" customHeight="false" outlineLevel="0" collapsed="false">
      <c r="A766" s="76" t="str">
        <f aca="false">B766&amp;"|"&amp;C766&amp;"|"&amp;D766&amp;"|"&amp;E766</f>
        <v>KWC|5|Senin|15:30</v>
      </c>
      <c r="B766" s="76" t="s">
        <v>63</v>
      </c>
      <c r="C766" s="76" t="n">
        <v>5</v>
      </c>
      <c r="D766" s="76" t="s">
        <v>90</v>
      </c>
      <c r="E766" s="76" t="s">
        <v>119</v>
      </c>
      <c r="F766" s="77" t="s">
        <v>210</v>
      </c>
      <c r="G766" s="77" t="n">
        <v>5</v>
      </c>
      <c r="H766" s="77" t="n">
        <v>2</v>
      </c>
      <c r="I766" s="76" t="n">
        <f aca="false">IF(AND(ISNUMBER(G766),ISNUMBER(H766)),MAX(G766-H766,0),"")</f>
        <v>3</v>
      </c>
      <c r="J766" s="78" t="n">
        <f aca="false">IF(AND(ISNUMBER(G766),ISNUMBER(H766)),IF(G766&gt;0,H766/G766,""),"")</f>
        <v>0.4</v>
      </c>
      <c r="K766" s="77" t="s">
        <v>273</v>
      </c>
      <c r="L766" s="76" t="str">
        <f aca="false">IF(OR(G766="",H766=""),"Data tidak lengkap",IF(AND(G766=0,H766=0),IF(AND(F766="",K766=""),"Tidak dibuka","Tutup"),IF(H766&gt;G766,"Lebih kapasitas",IF(H766=G766,"Penuh",IF(H766=0,IF(F766="","Slot kosong","Belum terisi"),"Sebagian")))))</f>
        <v>Sebagian</v>
      </c>
      <c r="M766" s="79" t="str">
        <f aca="false">IF(L766="Tidak dibuka","–",IF(F766="","(tanpa age group)",F766)&amp;"  "&amp;IF(H766="","?",H766)&amp;"/"&amp;IF(G766="","?",G766)&amp;CHAR(10)&amp;IF(K766="","coach: –","coach: "&amp;K766))</f>
        <v>Kids  2/5
coach: Frido</v>
      </c>
    </row>
    <row r="767" customFormat="false" ht="22.35" hidden="false" customHeight="false" outlineLevel="0" collapsed="false">
      <c r="A767" s="76" t="str">
        <f aca="false">B767&amp;"|"&amp;C767&amp;"|"&amp;D767&amp;"|"&amp;E767</f>
        <v>KWC|5|Senin|16:15</v>
      </c>
      <c r="B767" s="76" t="s">
        <v>63</v>
      </c>
      <c r="C767" s="76" t="n">
        <v>5</v>
      </c>
      <c r="D767" s="76" t="s">
        <v>90</v>
      </c>
      <c r="E767" s="76" t="s">
        <v>120</v>
      </c>
      <c r="F767" s="77" t="s">
        <v>277</v>
      </c>
      <c r="G767" s="77" t="n">
        <v>5</v>
      </c>
      <c r="H767" s="77" t="n">
        <v>1</v>
      </c>
      <c r="I767" s="76" t="n">
        <f aca="false">IF(AND(ISNUMBER(G767),ISNUMBER(H767)),MAX(G767-H767,0),"")</f>
        <v>4</v>
      </c>
      <c r="J767" s="78" t="n">
        <f aca="false">IF(AND(ISNUMBER(G767),ISNUMBER(H767)),IF(G767&gt;0,H767/G767,""),"")</f>
        <v>0.2</v>
      </c>
      <c r="K767" s="77" t="s">
        <v>274</v>
      </c>
      <c r="L767" s="76" t="str">
        <f aca="false">IF(OR(G767="",H767=""),"Data tidak lengkap",IF(AND(G767=0,H767=0),IF(AND(F767="",K767=""),"Tidak dibuka","Tutup"),IF(H767&gt;G767,"Lebih kapasitas",IF(H767=G767,"Penuh",IF(H767=0,IF(F767="","Slot kosong","Belum terisi"),"Sebagian")))))</f>
        <v>Sebagian</v>
      </c>
      <c r="M767" s="79" t="str">
        <f aca="false">IF(L767="Tidak dibuka","–",IF(F767="","(tanpa age group)",F767)&amp;"  "&amp;IF(H767="","?",H767)&amp;"/"&amp;IF(G767="","?",G767)&amp;CHAR(10)&amp;IF(K767="","coach: –","coach: "&amp;K767))</f>
        <v>Little  1/5
coach: Eve</v>
      </c>
    </row>
    <row r="768" customFormat="false" ht="22.35" hidden="false" customHeight="false" outlineLevel="0" collapsed="false">
      <c r="A768" s="76" t="str">
        <f aca="false">B768&amp;"|"&amp;C768&amp;"|"&amp;D768&amp;"|"&amp;E768</f>
        <v>KWC|5|Senin|17:00</v>
      </c>
      <c r="B768" s="76" t="s">
        <v>63</v>
      </c>
      <c r="C768" s="76" t="n">
        <v>5</v>
      </c>
      <c r="D768" s="76" t="s">
        <v>90</v>
      </c>
      <c r="E768" s="76" t="s">
        <v>121</v>
      </c>
      <c r="F768" s="77"/>
      <c r="G768" s="77" t="n">
        <v>5</v>
      </c>
      <c r="H768" s="77" t="n">
        <v>0</v>
      </c>
      <c r="I768" s="76" t="n">
        <f aca="false">IF(AND(ISNUMBER(G768),ISNUMBER(H768)),MAX(G768-H768,0),"")</f>
        <v>5</v>
      </c>
      <c r="J768" s="78" t="n">
        <f aca="false">IF(AND(ISNUMBER(G768),ISNUMBER(H768)),IF(G768&gt;0,H768/G768,""),"")</f>
        <v>0</v>
      </c>
      <c r="K768" s="77"/>
      <c r="L768" s="76" t="str">
        <f aca="false">IF(OR(G768="",H768=""),"Data tidak lengkap",IF(AND(G768=0,H768=0),IF(AND(F768="",K768=""),"Tidak dibuka","Tutup"),IF(H768&gt;G768,"Lebih kapasitas",IF(H768=G768,"Penuh",IF(H768=0,IF(F768="","Slot kosong","Belum terisi"),"Sebagian")))))</f>
        <v>Slot kosong</v>
      </c>
      <c r="M768" s="79" t="str">
        <f aca="false">IF(L768="Tidak dibuka","–",IF(F768="","(tanpa age group)",F768)&amp;"  "&amp;IF(H768="","?",H768)&amp;"/"&amp;IF(G768="","?",G768)&amp;CHAR(10)&amp;IF(K768="","coach: –","coach: "&amp;K768))</f>
        <v>(tanpa age group)  0/5
coach: –</v>
      </c>
    </row>
    <row r="769" customFormat="false" ht="15" hidden="false" customHeight="false" outlineLevel="0" collapsed="false">
      <c r="A769" s="76" t="str">
        <f aca="false">B769&amp;"|"&amp;C769&amp;"|"&amp;D769&amp;"|"&amp;E769</f>
        <v>KWC|5|Selasa|08:00</v>
      </c>
      <c r="B769" s="76" t="s">
        <v>63</v>
      </c>
      <c r="C769" s="76" t="n">
        <v>5</v>
      </c>
      <c r="D769" s="76" t="s">
        <v>91</v>
      </c>
      <c r="E769" s="76" t="s">
        <v>110</v>
      </c>
      <c r="F769" s="77"/>
      <c r="G769" s="77" t="n">
        <v>0</v>
      </c>
      <c r="H769" s="77" t="n">
        <v>0</v>
      </c>
      <c r="I769" s="76" t="n">
        <f aca="false">IF(AND(ISNUMBER(G769),ISNUMBER(H769)),MAX(G769-H769,0),"")</f>
        <v>0</v>
      </c>
      <c r="J769" s="78" t="str">
        <f aca="false">IF(AND(ISNUMBER(G769),ISNUMBER(H769)),IF(G769&gt;0,H769/G769,""),"")</f>
        <v/>
      </c>
      <c r="K769" s="77"/>
      <c r="L769" s="76" t="str">
        <f aca="false">IF(OR(G769="",H769=""),"Data tidak lengkap",IF(AND(G769=0,H769=0),IF(AND(F769="",K769=""),"Tidak dibuka","Tutup"),IF(H769&gt;G769,"Lebih kapasitas",IF(H769=G769,"Penuh",IF(H769=0,IF(F769="","Slot kosong","Belum terisi"),"Sebagian")))))</f>
        <v>Tidak dibuka</v>
      </c>
      <c r="M769" s="76" t="str">
        <f aca="false">IF(L769="Tidak dibuka","–",IF(F769="","(tanpa age group)",F769)&amp;"  "&amp;IF(H769="","?",H769)&amp;"/"&amp;IF(G769="","?",G769)&amp;CHAR(10)&amp;IF(K769="","coach: –","coach: "&amp;K769))</f>
        <v>–</v>
      </c>
    </row>
    <row r="770" customFormat="false" ht="22.35" hidden="false" customHeight="false" outlineLevel="0" collapsed="false">
      <c r="A770" s="76" t="str">
        <f aca="false">B770&amp;"|"&amp;C770&amp;"|"&amp;D770&amp;"|"&amp;E770</f>
        <v>KWC|5|Selasa|08:45</v>
      </c>
      <c r="B770" s="76" t="s">
        <v>63</v>
      </c>
      <c r="C770" s="76" t="n">
        <v>5</v>
      </c>
      <c r="D770" s="76" t="s">
        <v>91</v>
      </c>
      <c r="E770" s="76" t="s">
        <v>111</v>
      </c>
      <c r="F770" s="77"/>
      <c r="G770" s="77" t="n">
        <v>5</v>
      </c>
      <c r="H770" s="77" t="n">
        <v>0</v>
      </c>
      <c r="I770" s="76" t="n">
        <f aca="false">IF(AND(ISNUMBER(G770),ISNUMBER(H770)),MAX(G770-H770,0),"")</f>
        <v>5</v>
      </c>
      <c r="J770" s="78" t="n">
        <f aca="false">IF(AND(ISNUMBER(G770),ISNUMBER(H770)),IF(G770&gt;0,H770/G770,""),"")</f>
        <v>0</v>
      </c>
      <c r="K770" s="77"/>
      <c r="L770" s="76" t="str">
        <f aca="false">IF(OR(G770="",H770=""),"Data tidak lengkap",IF(AND(G770=0,H770=0),IF(AND(F770="",K770=""),"Tidak dibuka","Tutup"),IF(H770&gt;G770,"Lebih kapasitas",IF(H770=G770,"Penuh",IF(H770=0,IF(F770="","Slot kosong","Belum terisi"),"Sebagian")))))</f>
        <v>Slot kosong</v>
      </c>
      <c r="M770" s="79" t="str">
        <f aca="false">IF(L770="Tidak dibuka","–",IF(F770="","(tanpa age group)",F770)&amp;"  "&amp;IF(H770="","?",H770)&amp;"/"&amp;IF(G770="","?",G770)&amp;CHAR(10)&amp;IF(K770="","coach: –","coach: "&amp;K770))</f>
        <v>(tanpa age group)  0/5
coach: –</v>
      </c>
    </row>
    <row r="771" customFormat="false" ht="22.35" hidden="false" customHeight="false" outlineLevel="0" collapsed="false">
      <c r="A771" s="76" t="str">
        <f aca="false">B771&amp;"|"&amp;C771&amp;"|"&amp;D771&amp;"|"&amp;E771</f>
        <v>KWC|5|Selasa|09:30</v>
      </c>
      <c r="B771" s="76" t="s">
        <v>63</v>
      </c>
      <c r="C771" s="76" t="n">
        <v>5</v>
      </c>
      <c r="D771" s="76" t="s">
        <v>91</v>
      </c>
      <c r="E771" s="76" t="s">
        <v>112</v>
      </c>
      <c r="F771" s="77"/>
      <c r="G771" s="77" t="n">
        <v>5</v>
      </c>
      <c r="H771" s="77" t="n">
        <v>0</v>
      </c>
      <c r="I771" s="76" t="n">
        <f aca="false">IF(AND(ISNUMBER(G771),ISNUMBER(H771)),MAX(G771-H771,0),"")</f>
        <v>5</v>
      </c>
      <c r="J771" s="78" t="n">
        <f aca="false">IF(AND(ISNUMBER(G771),ISNUMBER(H771)),IF(G771&gt;0,H771/G771,""),"")</f>
        <v>0</v>
      </c>
      <c r="K771" s="77"/>
      <c r="L771" s="76" t="str">
        <f aca="false">IF(OR(G771="",H771=""),"Data tidak lengkap",IF(AND(G771=0,H771=0),IF(AND(F771="",K771=""),"Tidak dibuka","Tutup"),IF(H771&gt;G771,"Lebih kapasitas",IF(H771=G771,"Penuh",IF(H771=0,IF(F771="","Slot kosong","Belum terisi"),"Sebagian")))))</f>
        <v>Slot kosong</v>
      </c>
      <c r="M771" s="79" t="str">
        <f aca="false">IF(L771="Tidak dibuka","–",IF(F771="","(tanpa age group)",F771)&amp;"  "&amp;IF(H771="","?",H771)&amp;"/"&amp;IF(G771="","?",G771)&amp;CHAR(10)&amp;IF(K771="","coach: –","coach: "&amp;K771))</f>
        <v>(tanpa age group)  0/5
coach: –</v>
      </c>
    </row>
    <row r="772" customFormat="false" ht="22.35" hidden="false" customHeight="false" outlineLevel="0" collapsed="false">
      <c r="A772" s="76" t="str">
        <f aca="false">B772&amp;"|"&amp;C772&amp;"|"&amp;D772&amp;"|"&amp;E772</f>
        <v>KWC|5|Selasa|10:15</v>
      </c>
      <c r="B772" s="76" t="s">
        <v>63</v>
      </c>
      <c r="C772" s="76" t="n">
        <v>5</v>
      </c>
      <c r="D772" s="76" t="s">
        <v>91</v>
      </c>
      <c r="E772" s="76" t="s">
        <v>113</v>
      </c>
      <c r="F772" s="77"/>
      <c r="G772" s="77" t="n">
        <v>5</v>
      </c>
      <c r="H772" s="77" t="n">
        <v>0</v>
      </c>
      <c r="I772" s="76" t="n">
        <f aca="false">IF(AND(ISNUMBER(G772),ISNUMBER(H772)),MAX(G772-H772,0),"")</f>
        <v>5</v>
      </c>
      <c r="J772" s="78" t="n">
        <f aca="false">IF(AND(ISNUMBER(G772),ISNUMBER(H772)),IF(G772&gt;0,H772/G772,""),"")</f>
        <v>0</v>
      </c>
      <c r="K772" s="77"/>
      <c r="L772" s="76" t="str">
        <f aca="false">IF(OR(G772="",H772=""),"Data tidak lengkap",IF(AND(G772=0,H772=0),IF(AND(F772="",K772=""),"Tidak dibuka","Tutup"),IF(H772&gt;G772,"Lebih kapasitas",IF(H772=G772,"Penuh",IF(H772=0,IF(F772="","Slot kosong","Belum terisi"),"Sebagian")))))</f>
        <v>Slot kosong</v>
      </c>
      <c r="M772" s="79" t="str">
        <f aca="false">IF(L772="Tidak dibuka","–",IF(F772="","(tanpa age group)",F772)&amp;"  "&amp;IF(H772="","?",H772)&amp;"/"&amp;IF(G772="","?",G772)&amp;CHAR(10)&amp;IF(K772="","coach: –","coach: "&amp;K772))</f>
        <v>(tanpa age group)  0/5
coach: –</v>
      </c>
    </row>
    <row r="773" customFormat="false" ht="22.35" hidden="false" customHeight="false" outlineLevel="0" collapsed="false">
      <c r="A773" s="76" t="str">
        <f aca="false">B773&amp;"|"&amp;C773&amp;"|"&amp;D773&amp;"|"&amp;E773</f>
        <v>KWC|5|Selasa|11:00</v>
      </c>
      <c r="B773" s="76" t="s">
        <v>63</v>
      </c>
      <c r="C773" s="76" t="n">
        <v>5</v>
      </c>
      <c r="D773" s="76" t="s">
        <v>91</v>
      </c>
      <c r="E773" s="76" t="s">
        <v>114</v>
      </c>
      <c r="F773" s="77"/>
      <c r="G773" s="77" t="n">
        <v>5</v>
      </c>
      <c r="H773" s="77" t="n">
        <v>0</v>
      </c>
      <c r="I773" s="76" t="n">
        <f aca="false">IF(AND(ISNUMBER(G773),ISNUMBER(H773)),MAX(G773-H773,0),"")</f>
        <v>5</v>
      </c>
      <c r="J773" s="78" t="n">
        <f aca="false">IF(AND(ISNUMBER(G773),ISNUMBER(H773)),IF(G773&gt;0,H773/G773,""),"")</f>
        <v>0</v>
      </c>
      <c r="K773" s="77"/>
      <c r="L773" s="76" t="str">
        <f aca="false">IF(OR(G773="",H773=""),"Data tidak lengkap",IF(AND(G773=0,H773=0),IF(AND(F773="",K773=""),"Tidak dibuka","Tutup"),IF(H773&gt;G773,"Lebih kapasitas",IF(H773=G773,"Penuh",IF(H773=0,IF(F773="","Slot kosong","Belum terisi"),"Sebagian")))))</f>
        <v>Slot kosong</v>
      </c>
      <c r="M773" s="79" t="str">
        <f aca="false">IF(L773="Tidak dibuka","–",IF(F773="","(tanpa age group)",F773)&amp;"  "&amp;IF(H773="","?",H773)&amp;"/"&amp;IF(G773="","?",G773)&amp;CHAR(10)&amp;IF(K773="","coach: –","coach: "&amp;K773))</f>
        <v>(tanpa age group)  0/5
coach: –</v>
      </c>
    </row>
    <row r="774" customFormat="false" ht="15" hidden="false" customHeight="false" outlineLevel="0" collapsed="false">
      <c r="A774" s="76" t="str">
        <f aca="false">B774&amp;"|"&amp;C774&amp;"|"&amp;D774&amp;"|"&amp;E774</f>
        <v>KWC|5|Selasa|11:45</v>
      </c>
      <c r="B774" s="76" t="s">
        <v>63</v>
      </c>
      <c r="C774" s="76" t="n">
        <v>5</v>
      </c>
      <c r="D774" s="76" t="s">
        <v>91</v>
      </c>
      <c r="E774" s="76" t="s">
        <v>115</v>
      </c>
      <c r="F774" s="77"/>
      <c r="G774" s="77" t="n">
        <v>0</v>
      </c>
      <c r="H774" s="77" t="n">
        <v>0</v>
      </c>
      <c r="I774" s="76" t="n">
        <f aca="false">IF(AND(ISNUMBER(G774),ISNUMBER(H774)),MAX(G774-H774,0),"")</f>
        <v>0</v>
      </c>
      <c r="J774" s="78" t="str">
        <f aca="false">IF(AND(ISNUMBER(G774),ISNUMBER(H774)),IF(G774&gt;0,H774/G774,""),"")</f>
        <v/>
      </c>
      <c r="K774" s="77"/>
      <c r="L774" s="76" t="str">
        <f aca="false">IF(OR(G774="",H774=""),"Data tidak lengkap",IF(AND(G774=0,H774=0),IF(AND(F774="",K774=""),"Tidak dibuka","Tutup"),IF(H774&gt;G774,"Lebih kapasitas",IF(H774=G774,"Penuh",IF(H774=0,IF(F774="","Slot kosong","Belum terisi"),"Sebagian")))))</f>
        <v>Tidak dibuka</v>
      </c>
      <c r="M774" s="76" t="str">
        <f aca="false">IF(L774="Tidak dibuka","–",IF(F774="","(tanpa age group)",F774)&amp;"  "&amp;IF(H774="","?",H774)&amp;"/"&amp;IF(G774="","?",G774)&amp;CHAR(10)&amp;IF(K774="","coach: –","coach: "&amp;K774))</f>
        <v>–</v>
      </c>
    </row>
    <row r="775" customFormat="false" ht="22.35" hidden="false" customHeight="false" outlineLevel="0" collapsed="false">
      <c r="A775" s="76" t="str">
        <f aca="false">B775&amp;"|"&amp;C775&amp;"|"&amp;D775&amp;"|"&amp;E775</f>
        <v>KWC|5|Selasa|13:15</v>
      </c>
      <c r="B775" s="76" t="s">
        <v>63</v>
      </c>
      <c r="C775" s="76" t="n">
        <v>5</v>
      </c>
      <c r="D775" s="76" t="s">
        <v>91</v>
      </c>
      <c r="E775" s="76" t="s">
        <v>116</v>
      </c>
      <c r="F775" s="77"/>
      <c r="G775" s="77" t="n">
        <v>5</v>
      </c>
      <c r="H775" s="77" t="n">
        <v>0</v>
      </c>
      <c r="I775" s="76" t="n">
        <f aca="false">IF(AND(ISNUMBER(G775),ISNUMBER(H775)),MAX(G775-H775,0),"")</f>
        <v>5</v>
      </c>
      <c r="J775" s="78" t="n">
        <f aca="false">IF(AND(ISNUMBER(G775),ISNUMBER(H775)),IF(G775&gt;0,H775/G775,""),"")</f>
        <v>0</v>
      </c>
      <c r="K775" s="77"/>
      <c r="L775" s="76" t="str">
        <f aca="false">IF(OR(G775="",H775=""),"Data tidak lengkap",IF(AND(G775=0,H775=0),IF(AND(F775="",K775=""),"Tidak dibuka","Tutup"),IF(H775&gt;G775,"Lebih kapasitas",IF(H775=G775,"Penuh",IF(H775=0,IF(F775="","Slot kosong","Belum terisi"),"Sebagian")))))</f>
        <v>Slot kosong</v>
      </c>
      <c r="M775" s="79" t="str">
        <f aca="false">IF(L775="Tidak dibuka","–",IF(F775="","(tanpa age group)",F775)&amp;"  "&amp;IF(H775="","?",H775)&amp;"/"&amp;IF(G775="","?",G775)&amp;CHAR(10)&amp;IF(K775="","coach: –","coach: "&amp;K775))</f>
        <v>(tanpa age group)  0/5
coach: –</v>
      </c>
    </row>
    <row r="776" customFormat="false" ht="22.35" hidden="false" customHeight="false" outlineLevel="0" collapsed="false">
      <c r="A776" s="76" t="str">
        <f aca="false">B776&amp;"|"&amp;C776&amp;"|"&amp;D776&amp;"|"&amp;E776</f>
        <v>KWC|5|Selasa|14:00</v>
      </c>
      <c r="B776" s="76" t="s">
        <v>63</v>
      </c>
      <c r="C776" s="76" t="n">
        <v>5</v>
      </c>
      <c r="D776" s="76" t="s">
        <v>91</v>
      </c>
      <c r="E776" s="76" t="s">
        <v>117</v>
      </c>
      <c r="F776" s="77"/>
      <c r="G776" s="77" t="n">
        <v>5</v>
      </c>
      <c r="H776" s="77" t="n">
        <v>0</v>
      </c>
      <c r="I776" s="76" t="n">
        <f aca="false">IF(AND(ISNUMBER(G776),ISNUMBER(H776)),MAX(G776-H776,0),"")</f>
        <v>5</v>
      </c>
      <c r="J776" s="78" t="n">
        <f aca="false">IF(AND(ISNUMBER(G776),ISNUMBER(H776)),IF(G776&gt;0,H776/G776,""),"")</f>
        <v>0</v>
      </c>
      <c r="K776" s="77"/>
      <c r="L776" s="76" t="str">
        <f aca="false">IF(OR(G776="",H776=""),"Data tidak lengkap",IF(AND(G776=0,H776=0),IF(AND(F776="",K776=""),"Tidak dibuka","Tutup"),IF(H776&gt;G776,"Lebih kapasitas",IF(H776=G776,"Penuh",IF(H776=0,IF(F776="","Slot kosong","Belum terisi"),"Sebagian")))))</f>
        <v>Slot kosong</v>
      </c>
      <c r="M776" s="79" t="str">
        <f aca="false">IF(L776="Tidak dibuka","–",IF(F776="","(tanpa age group)",F776)&amp;"  "&amp;IF(H776="","?",H776)&amp;"/"&amp;IF(G776="","?",G776)&amp;CHAR(10)&amp;IF(K776="","coach: –","coach: "&amp;K776))</f>
        <v>(tanpa age group)  0/5
coach: –</v>
      </c>
    </row>
    <row r="777" customFormat="false" ht="22.35" hidden="false" customHeight="false" outlineLevel="0" collapsed="false">
      <c r="A777" s="76" t="str">
        <f aca="false">B777&amp;"|"&amp;C777&amp;"|"&amp;D777&amp;"|"&amp;E777</f>
        <v>KWC|5|Selasa|14:45</v>
      </c>
      <c r="B777" s="76" t="s">
        <v>63</v>
      </c>
      <c r="C777" s="76" t="n">
        <v>5</v>
      </c>
      <c r="D777" s="76" t="s">
        <v>91</v>
      </c>
      <c r="E777" s="76" t="s">
        <v>118</v>
      </c>
      <c r="F777" s="77" t="s">
        <v>210</v>
      </c>
      <c r="G777" s="77" t="n">
        <v>5</v>
      </c>
      <c r="H777" s="77" t="n">
        <v>1</v>
      </c>
      <c r="I777" s="76" t="n">
        <f aca="false">IF(AND(ISNUMBER(G777),ISNUMBER(H777)),MAX(G777-H777,0),"")</f>
        <v>4</v>
      </c>
      <c r="J777" s="78" t="n">
        <f aca="false">IF(AND(ISNUMBER(G777),ISNUMBER(H777)),IF(G777&gt;0,H777/G777,""),"")</f>
        <v>0.2</v>
      </c>
      <c r="K777" s="77" t="s">
        <v>272</v>
      </c>
      <c r="L777" s="76" t="str">
        <f aca="false">IF(OR(G777="",H777=""),"Data tidak lengkap",IF(AND(G777=0,H777=0),IF(AND(F777="",K777=""),"Tidak dibuka","Tutup"),IF(H777&gt;G777,"Lebih kapasitas",IF(H777=G777,"Penuh",IF(H777=0,IF(F777="","Slot kosong","Belum terisi"),"Sebagian")))))</f>
        <v>Sebagian</v>
      </c>
      <c r="M777" s="79" t="str">
        <f aca="false">IF(L777="Tidak dibuka","–",IF(F777="","(tanpa age group)",F777)&amp;"  "&amp;IF(H777="","?",H777)&amp;"/"&amp;IF(G777="","?",G777)&amp;CHAR(10)&amp;IF(K777="","coach: –","coach: "&amp;K777))</f>
        <v>Kids  1/5
coach: Eriek</v>
      </c>
    </row>
    <row r="778" customFormat="false" ht="22.35" hidden="false" customHeight="false" outlineLevel="0" collapsed="false">
      <c r="A778" s="76" t="str">
        <f aca="false">B778&amp;"|"&amp;C778&amp;"|"&amp;D778&amp;"|"&amp;E778</f>
        <v>KWC|5|Selasa|15:30</v>
      </c>
      <c r="B778" s="76" t="s">
        <v>63</v>
      </c>
      <c r="C778" s="76" t="n">
        <v>5</v>
      </c>
      <c r="D778" s="76" t="s">
        <v>91</v>
      </c>
      <c r="E778" s="76" t="s">
        <v>119</v>
      </c>
      <c r="F778" s="77"/>
      <c r="G778" s="77" t="n">
        <v>5</v>
      </c>
      <c r="H778" s="77" t="n">
        <v>0</v>
      </c>
      <c r="I778" s="76" t="n">
        <f aca="false">IF(AND(ISNUMBER(G778),ISNUMBER(H778)),MAX(G778-H778,0),"")</f>
        <v>5</v>
      </c>
      <c r="J778" s="78" t="n">
        <f aca="false">IF(AND(ISNUMBER(G778),ISNUMBER(H778)),IF(G778&gt;0,H778/G778,""),"")</f>
        <v>0</v>
      </c>
      <c r="K778" s="77"/>
      <c r="L778" s="76" t="str">
        <f aca="false">IF(OR(G778="",H778=""),"Data tidak lengkap",IF(AND(G778=0,H778=0),IF(AND(F778="",K778=""),"Tidak dibuka","Tutup"),IF(H778&gt;G778,"Lebih kapasitas",IF(H778=G778,"Penuh",IF(H778=0,IF(F778="","Slot kosong","Belum terisi"),"Sebagian")))))</f>
        <v>Slot kosong</v>
      </c>
      <c r="M778" s="79" t="str">
        <f aca="false">IF(L778="Tidak dibuka","–",IF(F778="","(tanpa age group)",F778)&amp;"  "&amp;IF(H778="","?",H778)&amp;"/"&amp;IF(G778="","?",G778)&amp;CHAR(10)&amp;IF(K778="","coach: –","coach: "&amp;K778))</f>
        <v>(tanpa age group)  0/5
coach: –</v>
      </c>
    </row>
    <row r="779" customFormat="false" ht="22.35" hidden="false" customHeight="false" outlineLevel="0" collapsed="false">
      <c r="A779" s="76" t="str">
        <f aca="false">B779&amp;"|"&amp;C779&amp;"|"&amp;D779&amp;"|"&amp;E779</f>
        <v>KWC|5|Selasa|16:15</v>
      </c>
      <c r="B779" s="76" t="s">
        <v>63</v>
      </c>
      <c r="C779" s="76" t="n">
        <v>5</v>
      </c>
      <c r="D779" s="76" t="s">
        <v>91</v>
      </c>
      <c r="E779" s="76" t="s">
        <v>120</v>
      </c>
      <c r="F779" s="77" t="s">
        <v>210</v>
      </c>
      <c r="G779" s="77" t="n">
        <v>5</v>
      </c>
      <c r="H779" s="77" t="n">
        <v>4</v>
      </c>
      <c r="I779" s="76" t="n">
        <f aca="false">IF(AND(ISNUMBER(G779),ISNUMBER(H779)),MAX(G779-H779,0),"")</f>
        <v>1</v>
      </c>
      <c r="J779" s="78" t="n">
        <f aca="false">IF(AND(ISNUMBER(G779),ISNUMBER(H779)),IF(G779&gt;0,H779/G779,""),"")</f>
        <v>0.8</v>
      </c>
      <c r="K779" s="77" t="s">
        <v>273</v>
      </c>
      <c r="L779" s="76" t="str">
        <f aca="false">IF(OR(G779="",H779=""),"Data tidak lengkap",IF(AND(G779=0,H779=0),IF(AND(F779="",K779=""),"Tidak dibuka","Tutup"),IF(H779&gt;G779,"Lebih kapasitas",IF(H779=G779,"Penuh",IF(H779=0,IF(F779="","Slot kosong","Belum terisi"),"Sebagian")))))</f>
        <v>Sebagian</v>
      </c>
      <c r="M779" s="79" t="str">
        <f aca="false">IF(L779="Tidak dibuka","–",IF(F779="","(tanpa age group)",F779)&amp;"  "&amp;IF(H779="","?",H779)&amp;"/"&amp;IF(G779="","?",G779)&amp;CHAR(10)&amp;IF(K779="","coach: –","coach: "&amp;K779))</f>
        <v>Kids  4/5
coach: Frido</v>
      </c>
    </row>
    <row r="780" customFormat="false" ht="22.35" hidden="false" customHeight="false" outlineLevel="0" collapsed="false">
      <c r="A780" s="76" t="str">
        <f aca="false">B780&amp;"|"&amp;C780&amp;"|"&amp;D780&amp;"|"&amp;E780</f>
        <v>KWC|5|Selasa|17:00</v>
      </c>
      <c r="B780" s="76" t="s">
        <v>63</v>
      </c>
      <c r="C780" s="76" t="n">
        <v>5</v>
      </c>
      <c r="D780" s="76" t="s">
        <v>91</v>
      </c>
      <c r="E780" s="76" t="s">
        <v>121</v>
      </c>
      <c r="F780" s="77" t="s">
        <v>277</v>
      </c>
      <c r="G780" s="77" t="n">
        <v>5</v>
      </c>
      <c r="H780" s="77" t="n">
        <v>2</v>
      </c>
      <c r="I780" s="76" t="n">
        <f aca="false">IF(AND(ISNUMBER(G780),ISNUMBER(H780)),MAX(G780-H780,0),"")</f>
        <v>3</v>
      </c>
      <c r="J780" s="78" t="n">
        <f aca="false">IF(AND(ISNUMBER(G780),ISNUMBER(H780)),IF(G780&gt;0,H780/G780,""),"")</f>
        <v>0.4</v>
      </c>
      <c r="K780" s="77" t="s">
        <v>272</v>
      </c>
      <c r="L780" s="76" t="str">
        <f aca="false">IF(OR(G780="",H780=""),"Data tidak lengkap",IF(AND(G780=0,H780=0),IF(AND(F780="",K780=""),"Tidak dibuka","Tutup"),IF(H780&gt;G780,"Lebih kapasitas",IF(H780=G780,"Penuh",IF(H780=0,IF(F780="","Slot kosong","Belum terisi"),"Sebagian")))))</f>
        <v>Sebagian</v>
      </c>
      <c r="M780" s="79" t="str">
        <f aca="false">IF(L780="Tidak dibuka","–",IF(F780="","(tanpa age group)",F780)&amp;"  "&amp;IF(H780="","?",H780)&amp;"/"&amp;IF(G780="","?",G780)&amp;CHAR(10)&amp;IF(K780="","coach: –","coach: "&amp;K780))</f>
        <v>Little  2/5
coach: Eriek</v>
      </c>
    </row>
    <row r="781" customFormat="false" ht="15" hidden="false" customHeight="false" outlineLevel="0" collapsed="false">
      <c r="A781" s="76" t="str">
        <f aca="false">B781&amp;"|"&amp;C781&amp;"|"&amp;D781&amp;"|"&amp;E781</f>
        <v>KWC|5|Rabu|08:00</v>
      </c>
      <c r="B781" s="76" t="s">
        <v>63</v>
      </c>
      <c r="C781" s="76" t="n">
        <v>5</v>
      </c>
      <c r="D781" s="76" t="s">
        <v>92</v>
      </c>
      <c r="E781" s="76" t="s">
        <v>110</v>
      </c>
      <c r="F781" s="77"/>
      <c r="G781" s="77" t="n">
        <v>0</v>
      </c>
      <c r="H781" s="77" t="n">
        <v>0</v>
      </c>
      <c r="I781" s="76" t="n">
        <f aca="false">IF(AND(ISNUMBER(G781),ISNUMBER(H781)),MAX(G781-H781,0),"")</f>
        <v>0</v>
      </c>
      <c r="J781" s="78" t="str">
        <f aca="false">IF(AND(ISNUMBER(G781),ISNUMBER(H781)),IF(G781&gt;0,H781/G781,""),"")</f>
        <v/>
      </c>
      <c r="K781" s="77"/>
      <c r="L781" s="76" t="str">
        <f aca="false">IF(OR(G781="",H781=""),"Data tidak lengkap",IF(AND(G781=0,H781=0),IF(AND(F781="",K781=""),"Tidak dibuka","Tutup"),IF(H781&gt;G781,"Lebih kapasitas",IF(H781=G781,"Penuh",IF(H781=0,IF(F781="","Slot kosong","Belum terisi"),"Sebagian")))))</f>
        <v>Tidak dibuka</v>
      </c>
      <c r="M781" s="76" t="str">
        <f aca="false">IF(L781="Tidak dibuka","–",IF(F781="","(tanpa age group)",F781)&amp;"  "&amp;IF(H781="","?",H781)&amp;"/"&amp;IF(G781="","?",G781)&amp;CHAR(10)&amp;IF(K781="","coach: –","coach: "&amp;K781))</f>
        <v>–</v>
      </c>
    </row>
    <row r="782" customFormat="false" ht="22.35" hidden="false" customHeight="false" outlineLevel="0" collapsed="false">
      <c r="A782" s="76" t="str">
        <f aca="false">B782&amp;"|"&amp;C782&amp;"|"&amp;D782&amp;"|"&amp;E782</f>
        <v>KWC|5|Rabu|08:45</v>
      </c>
      <c r="B782" s="76" t="s">
        <v>63</v>
      </c>
      <c r="C782" s="76" t="n">
        <v>5</v>
      </c>
      <c r="D782" s="76" t="s">
        <v>92</v>
      </c>
      <c r="E782" s="76" t="s">
        <v>111</v>
      </c>
      <c r="F782" s="77"/>
      <c r="G782" s="77" t="n">
        <v>5</v>
      </c>
      <c r="H782" s="77" t="n">
        <v>0</v>
      </c>
      <c r="I782" s="76" t="n">
        <f aca="false">IF(AND(ISNUMBER(G782),ISNUMBER(H782)),MAX(G782-H782,0),"")</f>
        <v>5</v>
      </c>
      <c r="J782" s="78" t="n">
        <f aca="false">IF(AND(ISNUMBER(G782),ISNUMBER(H782)),IF(G782&gt;0,H782/G782,""),"")</f>
        <v>0</v>
      </c>
      <c r="K782" s="77"/>
      <c r="L782" s="76" t="str">
        <f aca="false">IF(OR(G782="",H782=""),"Data tidak lengkap",IF(AND(G782=0,H782=0),IF(AND(F782="",K782=""),"Tidak dibuka","Tutup"),IF(H782&gt;G782,"Lebih kapasitas",IF(H782=G782,"Penuh",IF(H782=0,IF(F782="","Slot kosong","Belum terisi"),"Sebagian")))))</f>
        <v>Slot kosong</v>
      </c>
      <c r="M782" s="79" t="str">
        <f aca="false">IF(L782="Tidak dibuka","–",IF(F782="","(tanpa age group)",F782)&amp;"  "&amp;IF(H782="","?",H782)&amp;"/"&amp;IF(G782="","?",G782)&amp;CHAR(10)&amp;IF(K782="","coach: –","coach: "&amp;K782))</f>
        <v>(tanpa age group)  0/5
coach: –</v>
      </c>
    </row>
    <row r="783" customFormat="false" ht="22.35" hidden="false" customHeight="false" outlineLevel="0" collapsed="false">
      <c r="A783" s="76" t="str">
        <f aca="false">B783&amp;"|"&amp;C783&amp;"|"&amp;D783&amp;"|"&amp;E783</f>
        <v>KWC|5|Rabu|09:30</v>
      </c>
      <c r="B783" s="76" t="s">
        <v>63</v>
      </c>
      <c r="C783" s="76" t="n">
        <v>5</v>
      </c>
      <c r="D783" s="76" t="s">
        <v>92</v>
      </c>
      <c r="E783" s="76" t="s">
        <v>112</v>
      </c>
      <c r="F783" s="77"/>
      <c r="G783" s="77" t="n">
        <v>5</v>
      </c>
      <c r="H783" s="77" t="n">
        <v>0</v>
      </c>
      <c r="I783" s="76" t="n">
        <f aca="false">IF(AND(ISNUMBER(G783),ISNUMBER(H783)),MAX(G783-H783,0),"")</f>
        <v>5</v>
      </c>
      <c r="J783" s="78" t="n">
        <f aca="false">IF(AND(ISNUMBER(G783),ISNUMBER(H783)),IF(G783&gt;0,H783/G783,""),"")</f>
        <v>0</v>
      </c>
      <c r="K783" s="77"/>
      <c r="L783" s="76" t="str">
        <f aca="false">IF(OR(G783="",H783=""),"Data tidak lengkap",IF(AND(G783=0,H783=0),IF(AND(F783="",K783=""),"Tidak dibuka","Tutup"),IF(H783&gt;G783,"Lebih kapasitas",IF(H783=G783,"Penuh",IF(H783=0,IF(F783="","Slot kosong","Belum terisi"),"Sebagian")))))</f>
        <v>Slot kosong</v>
      </c>
      <c r="M783" s="79" t="str">
        <f aca="false">IF(L783="Tidak dibuka","–",IF(F783="","(tanpa age group)",F783)&amp;"  "&amp;IF(H783="","?",H783)&amp;"/"&amp;IF(G783="","?",G783)&amp;CHAR(10)&amp;IF(K783="","coach: –","coach: "&amp;K783))</f>
        <v>(tanpa age group)  0/5
coach: –</v>
      </c>
    </row>
    <row r="784" customFormat="false" ht="22.35" hidden="false" customHeight="false" outlineLevel="0" collapsed="false">
      <c r="A784" s="76" t="str">
        <f aca="false">B784&amp;"|"&amp;C784&amp;"|"&amp;D784&amp;"|"&amp;E784</f>
        <v>KWC|5|Rabu|10:15</v>
      </c>
      <c r="B784" s="76" t="s">
        <v>63</v>
      </c>
      <c r="C784" s="76" t="n">
        <v>5</v>
      </c>
      <c r="D784" s="76" t="s">
        <v>92</v>
      </c>
      <c r="E784" s="76" t="s">
        <v>113</v>
      </c>
      <c r="F784" s="77"/>
      <c r="G784" s="77" t="n">
        <v>5</v>
      </c>
      <c r="H784" s="77" t="n">
        <v>0</v>
      </c>
      <c r="I784" s="76" t="n">
        <f aca="false">IF(AND(ISNUMBER(G784),ISNUMBER(H784)),MAX(G784-H784,0),"")</f>
        <v>5</v>
      </c>
      <c r="J784" s="78" t="n">
        <f aca="false">IF(AND(ISNUMBER(G784),ISNUMBER(H784)),IF(G784&gt;0,H784/G784,""),"")</f>
        <v>0</v>
      </c>
      <c r="K784" s="77"/>
      <c r="L784" s="76" t="str">
        <f aca="false">IF(OR(G784="",H784=""),"Data tidak lengkap",IF(AND(G784=0,H784=0),IF(AND(F784="",K784=""),"Tidak dibuka","Tutup"),IF(H784&gt;G784,"Lebih kapasitas",IF(H784=G784,"Penuh",IF(H784=0,IF(F784="","Slot kosong","Belum terisi"),"Sebagian")))))</f>
        <v>Slot kosong</v>
      </c>
      <c r="M784" s="79" t="str">
        <f aca="false">IF(L784="Tidak dibuka","–",IF(F784="","(tanpa age group)",F784)&amp;"  "&amp;IF(H784="","?",H784)&amp;"/"&amp;IF(G784="","?",G784)&amp;CHAR(10)&amp;IF(K784="","coach: –","coach: "&amp;K784))</f>
        <v>(tanpa age group)  0/5
coach: –</v>
      </c>
    </row>
    <row r="785" customFormat="false" ht="22.35" hidden="false" customHeight="false" outlineLevel="0" collapsed="false">
      <c r="A785" s="76" t="str">
        <f aca="false">B785&amp;"|"&amp;C785&amp;"|"&amp;D785&amp;"|"&amp;E785</f>
        <v>KWC|5|Rabu|11:00</v>
      </c>
      <c r="B785" s="76" t="s">
        <v>63</v>
      </c>
      <c r="C785" s="76" t="n">
        <v>5</v>
      </c>
      <c r="D785" s="76" t="s">
        <v>92</v>
      </c>
      <c r="E785" s="76" t="s">
        <v>114</v>
      </c>
      <c r="F785" s="77"/>
      <c r="G785" s="77" t="n">
        <v>5</v>
      </c>
      <c r="H785" s="77" t="n">
        <v>0</v>
      </c>
      <c r="I785" s="76" t="n">
        <f aca="false">IF(AND(ISNUMBER(G785),ISNUMBER(H785)),MAX(G785-H785,0),"")</f>
        <v>5</v>
      </c>
      <c r="J785" s="78" t="n">
        <f aca="false">IF(AND(ISNUMBER(G785),ISNUMBER(H785)),IF(G785&gt;0,H785/G785,""),"")</f>
        <v>0</v>
      </c>
      <c r="K785" s="77"/>
      <c r="L785" s="76" t="str">
        <f aca="false">IF(OR(G785="",H785=""),"Data tidak lengkap",IF(AND(G785=0,H785=0),IF(AND(F785="",K785=""),"Tidak dibuka","Tutup"),IF(H785&gt;G785,"Lebih kapasitas",IF(H785=G785,"Penuh",IF(H785=0,IF(F785="","Slot kosong","Belum terisi"),"Sebagian")))))</f>
        <v>Slot kosong</v>
      </c>
      <c r="M785" s="79" t="str">
        <f aca="false">IF(L785="Tidak dibuka","–",IF(F785="","(tanpa age group)",F785)&amp;"  "&amp;IF(H785="","?",H785)&amp;"/"&amp;IF(G785="","?",G785)&amp;CHAR(10)&amp;IF(K785="","coach: –","coach: "&amp;K785))</f>
        <v>(tanpa age group)  0/5
coach: –</v>
      </c>
    </row>
    <row r="786" customFormat="false" ht="15" hidden="false" customHeight="false" outlineLevel="0" collapsed="false">
      <c r="A786" s="76" t="str">
        <f aca="false">B786&amp;"|"&amp;C786&amp;"|"&amp;D786&amp;"|"&amp;E786</f>
        <v>KWC|5|Rabu|11:45</v>
      </c>
      <c r="B786" s="76" t="s">
        <v>63</v>
      </c>
      <c r="C786" s="76" t="n">
        <v>5</v>
      </c>
      <c r="D786" s="76" t="s">
        <v>92</v>
      </c>
      <c r="E786" s="76" t="s">
        <v>115</v>
      </c>
      <c r="F786" s="77"/>
      <c r="G786" s="77" t="n">
        <v>0</v>
      </c>
      <c r="H786" s="77" t="n">
        <v>0</v>
      </c>
      <c r="I786" s="76" t="n">
        <f aca="false">IF(AND(ISNUMBER(G786),ISNUMBER(H786)),MAX(G786-H786,0),"")</f>
        <v>0</v>
      </c>
      <c r="J786" s="78" t="str">
        <f aca="false">IF(AND(ISNUMBER(G786),ISNUMBER(H786)),IF(G786&gt;0,H786/G786,""),"")</f>
        <v/>
      </c>
      <c r="K786" s="77"/>
      <c r="L786" s="76" t="str">
        <f aca="false">IF(OR(G786="",H786=""),"Data tidak lengkap",IF(AND(G786=0,H786=0),IF(AND(F786="",K786=""),"Tidak dibuka","Tutup"),IF(H786&gt;G786,"Lebih kapasitas",IF(H786=G786,"Penuh",IF(H786=0,IF(F786="","Slot kosong","Belum terisi"),"Sebagian")))))</f>
        <v>Tidak dibuka</v>
      </c>
      <c r="M786" s="76" t="str">
        <f aca="false">IF(L786="Tidak dibuka","–",IF(F786="","(tanpa age group)",F786)&amp;"  "&amp;IF(H786="","?",H786)&amp;"/"&amp;IF(G786="","?",G786)&amp;CHAR(10)&amp;IF(K786="","coach: –","coach: "&amp;K786))</f>
        <v>–</v>
      </c>
    </row>
    <row r="787" customFormat="false" ht="22.35" hidden="false" customHeight="false" outlineLevel="0" collapsed="false">
      <c r="A787" s="76" t="str">
        <f aca="false">B787&amp;"|"&amp;C787&amp;"|"&amp;D787&amp;"|"&amp;E787</f>
        <v>KWC|5|Rabu|13:15</v>
      </c>
      <c r="B787" s="76" t="s">
        <v>63</v>
      </c>
      <c r="C787" s="76" t="n">
        <v>5</v>
      </c>
      <c r="D787" s="76" t="s">
        <v>92</v>
      </c>
      <c r="E787" s="76" t="s">
        <v>116</v>
      </c>
      <c r="F787" s="77"/>
      <c r="G787" s="77" t="n">
        <v>5</v>
      </c>
      <c r="H787" s="77" t="n">
        <v>0</v>
      </c>
      <c r="I787" s="76" t="n">
        <f aca="false">IF(AND(ISNUMBER(G787),ISNUMBER(H787)),MAX(G787-H787,0),"")</f>
        <v>5</v>
      </c>
      <c r="J787" s="78" t="n">
        <f aca="false">IF(AND(ISNUMBER(G787),ISNUMBER(H787)),IF(G787&gt;0,H787/G787,""),"")</f>
        <v>0</v>
      </c>
      <c r="K787" s="77"/>
      <c r="L787" s="76" t="str">
        <f aca="false">IF(OR(G787="",H787=""),"Data tidak lengkap",IF(AND(G787=0,H787=0),IF(AND(F787="",K787=""),"Tidak dibuka","Tutup"),IF(H787&gt;G787,"Lebih kapasitas",IF(H787=G787,"Penuh",IF(H787=0,IF(F787="","Slot kosong","Belum terisi"),"Sebagian")))))</f>
        <v>Slot kosong</v>
      </c>
      <c r="M787" s="79" t="str">
        <f aca="false">IF(L787="Tidak dibuka","–",IF(F787="","(tanpa age group)",F787)&amp;"  "&amp;IF(H787="","?",H787)&amp;"/"&amp;IF(G787="","?",G787)&amp;CHAR(10)&amp;IF(K787="","coach: –","coach: "&amp;K787))</f>
        <v>(tanpa age group)  0/5
coach: –</v>
      </c>
    </row>
    <row r="788" customFormat="false" ht="22.35" hidden="false" customHeight="false" outlineLevel="0" collapsed="false">
      <c r="A788" s="76" t="str">
        <f aca="false">B788&amp;"|"&amp;C788&amp;"|"&amp;D788&amp;"|"&amp;E788</f>
        <v>KWC|5|Rabu|14:00</v>
      </c>
      <c r="B788" s="76" t="s">
        <v>63</v>
      </c>
      <c r="C788" s="76" t="n">
        <v>5</v>
      </c>
      <c r="D788" s="76" t="s">
        <v>92</v>
      </c>
      <c r="E788" s="76" t="s">
        <v>117</v>
      </c>
      <c r="F788" s="77"/>
      <c r="G788" s="77" t="n">
        <v>5</v>
      </c>
      <c r="H788" s="77" t="n">
        <v>0</v>
      </c>
      <c r="I788" s="76" t="n">
        <f aca="false">IF(AND(ISNUMBER(G788),ISNUMBER(H788)),MAX(G788-H788,0),"")</f>
        <v>5</v>
      </c>
      <c r="J788" s="78" t="n">
        <f aca="false">IF(AND(ISNUMBER(G788),ISNUMBER(H788)),IF(G788&gt;0,H788/G788,""),"")</f>
        <v>0</v>
      </c>
      <c r="K788" s="77"/>
      <c r="L788" s="76" t="str">
        <f aca="false">IF(OR(G788="",H788=""),"Data tidak lengkap",IF(AND(G788=0,H788=0),IF(AND(F788="",K788=""),"Tidak dibuka","Tutup"),IF(H788&gt;G788,"Lebih kapasitas",IF(H788=G788,"Penuh",IF(H788=0,IF(F788="","Slot kosong","Belum terisi"),"Sebagian")))))</f>
        <v>Slot kosong</v>
      </c>
      <c r="M788" s="79" t="str">
        <f aca="false">IF(L788="Tidak dibuka","–",IF(F788="","(tanpa age group)",F788)&amp;"  "&amp;IF(H788="","?",H788)&amp;"/"&amp;IF(G788="","?",G788)&amp;CHAR(10)&amp;IF(K788="","coach: –","coach: "&amp;K788))</f>
        <v>(tanpa age group)  0/5
coach: –</v>
      </c>
    </row>
    <row r="789" customFormat="false" ht="22.35" hidden="false" customHeight="false" outlineLevel="0" collapsed="false">
      <c r="A789" s="76" t="str">
        <f aca="false">B789&amp;"|"&amp;C789&amp;"|"&amp;D789&amp;"|"&amp;E789</f>
        <v>KWC|5|Rabu|14:45</v>
      </c>
      <c r="B789" s="76" t="s">
        <v>63</v>
      </c>
      <c r="C789" s="76" t="n">
        <v>5</v>
      </c>
      <c r="D789" s="76" t="s">
        <v>92</v>
      </c>
      <c r="E789" s="76" t="s">
        <v>118</v>
      </c>
      <c r="F789" s="77" t="s">
        <v>277</v>
      </c>
      <c r="G789" s="77" t="n">
        <v>1</v>
      </c>
      <c r="H789" s="77" t="n">
        <v>1</v>
      </c>
      <c r="I789" s="76" t="n">
        <f aca="false">IF(AND(ISNUMBER(G789),ISNUMBER(H789)),MAX(G789-H789,0),"")</f>
        <v>0</v>
      </c>
      <c r="J789" s="78" t="n">
        <f aca="false">IF(AND(ISNUMBER(G789),ISNUMBER(H789)),IF(G789&gt;0,H789/G789,""),"")</f>
        <v>1</v>
      </c>
      <c r="K789" s="77" t="s">
        <v>268</v>
      </c>
      <c r="L789" s="76" t="str">
        <f aca="false">IF(OR(G789="",H789=""),"Data tidak lengkap",IF(AND(G789=0,H789=0),IF(AND(F789="",K789=""),"Tidak dibuka","Tutup"),IF(H789&gt;G789,"Lebih kapasitas",IF(H789=G789,"Penuh",IF(H789=0,IF(F789="","Slot kosong","Belum terisi"),"Sebagian")))))</f>
        <v>Penuh</v>
      </c>
      <c r="M789" s="79" t="str">
        <f aca="false">IF(L789="Tidak dibuka","–",IF(F789="","(tanpa age group)",F789)&amp;"  "&amp;IF(H789="","?",H789)&amp;"/"&amp;IF(G789="","?",G789)&amp;CHAR(10)&amp;IF(K789="","coach: –","coach: "&amp;K789))</f>
        <v>Little  1/1
coach: Andreas</v>
      </c>
    </row>
    <row r="790" customFormat="false" ht="22.35" hidden="false" customHeight="false" outlineLevel="0" collapsed="false">
      <c r="A790" s="76" t="str">
        <f aca="false">B790&amp;"|"&amp;C790&amp;"|"&amp;D790&amp;"|"&amp;E790</f>
        <v>KWC|5|Rabu|15:30</v>
      </c>
      <c r="B790" s="76" t="s">
        <v>63</v>
      </c>
      <c r="C790" s="76" t="n">
        <v>5</v>
      </c>
      <c r="D790" s="76" t="s">
        <v>92</v>
      </c>
      <c r="E790" s="76" t="s">
        <v>119</v>
      </c>
      <c r="F790" s="77" t="s">
        <v>210</v>
      </c>
      <c r="G790" s="77" t="n">
        <v>5</v>
      </c>
      <c r="H790" s="77" t="n">
        <v>4</v>
      </c>
      <c r="I790" s="76" t="n">
        <f aca="false">IF(AND(ISNUMBER(G790),ISNUMBER(H790)),MAX(G790-H790,0),"")</f>
        <v>1</v>
      </c>
      <c r="J790" s="78" t="n">
        <f aca="false">IF(AND(ISNUMBER(G790),ISNUMBER(H790)),IF(G790&gt;0,H790/G790,""),"")</f>
        <v>0.8</v>
      </c>
      <c r="K790" s="77" t="s">
        <v>274</v>
      </c>
      <c r="L790" s="76" t="str">
        <f aca="false">IF(OR(G790="",H790=""),"Data tidak lengkap",IF(AND(G790=0,H790=0),IF(AND(F790="",K790=""),"Tidak dibuka","Tutup"),IF(H790&gt;G790,"Lebih kapasitas",IF(H790=G790,"Penuh",IF(H790=0,IF(F790="","Slot kosong","Belum terisi"),"Sebagian")))))</f>
        <v>Sebagian</v>
      </c>
      <c r="M790" s="79" t="str">
        <f aca="false">IF(L790="Tidak dibuka","–",IF(F790="","(tanpa age group)",F790)&amp;"  "&amp;IF(H790="","?",H790)&amp;"/"&amp;IF(G790="","?",G790)&amp;CHAR(10)&amp;IF(K790="","coach: –","coach: "&amp;K790))</f>
        <v>Kids  4/5
coach: Eve</v>
      </c>
    </row>
    <row r="791" customFormat="false" ht="22.35" hidden="false" customHeight="false" outlineLevel="0" collapsed="false">
      <c r="A791" s="76" t="str">
        <f aca="false">B791&amp;"|"&amp;C791&amp;"|"&amp;D791&amp;"|"&amp;E791</f>
        <v>KWC|5|Rabu|16:15</v>
      </c>
      <c r="B791" s="76" t="s">
        <v>63</v>
      </c>
      <c r="C791" s="76" t="n">
        <v>5</v>
      </c>
      <c r="D791" s="76" t="s">
        <v>92</v>
      </c>
      <c r="E791" s="76" t="s">
        <v>120</v>
      </c>
      <c r="F791" s="77"/>
      <c r="G791" s="77" t="n">
        <v>5</v>
      </c>
      <c r="H791" s="77" t="n">
        <v>0</v>
      </c>
      <c r="I791" s="76" t="n">
        <f aca="false">IF(AND(ISNUMBER(G791),ISNUMBER(H791)),MAX(G791-H791,0),"")</f>
        <v>5</v>
      </c>
      <c r="J791" s="78" t="n">
        <f aca="false">IF(AND(ISNUMBER(G791),ISNUMBER(H791)),IF(G791&gt;0,H791/G791,""),"")</f>
        <v>0</v>
      </c>
      <c r="K791" s="77"/>
      <c r="L791" s="76" t="str">
        <f aca="false">IF(OR(G791="",H791=""),"Data tidak lengkap",IF(AND(G791=0,H791=0),IF(AND(F791="",K791=""),"Tidak dibuka","Tutup"),IF(H791&gt;G791,"Lebih kapasitas",IF(H791=G791,"Penuh",IF(H791=0,IF(F791="","Slot kosong","Belum terisi"),"Sebagian")))))</f>
        <v>Slot kosong</v>
      </c>
      <c r="M791" s="79" t="str">
        <f aca="false">IF(L791="Tidak dibuka","–",IF(F791="","(tanpa age group)",F791)&amp;"  "&amp;IF(H791="","?",H791)&amp;"/"&amp;IF(G791="","?",G791)&amp;CHAR(10)&amp;IF(K791="","coach: –","coach: "&amp;K791))</f>
        <v>(tanpa age group)  0/5
coach: –</v>
      </c>
    </row>
    <row r="792" customFormat="false" ht="22.35" hidden="false" customHeight="false" outlineLevel="0" collapsed="false">
      <c r="A792" s="76" t="str">
        <f aca="false">B792&amp;"|"&amp;C792&amp;"|"&amp;D792&amp;"|"&amp;E792</f>
        <v>KWC|5|Rabu|17:00</v>
      </c>
      <c r="B792" s="76" t="s">
        <v>63</v>
      </c>
      <c r="C792" s="76" t="n">
        <v>5</v>
      </c>
      <c r="D792" s="76" t="s">
        <v>92</v>
      </c>
      <c r="E792" s="76" t="s">
        <v>121</v>
      </c>
      <c r="F792" s="77" t="s">
        <v>210</v>
      </c>
      <c r="G792" s="77" t="n">
        <v>5</v>
      </c>
      <c r="H792" s="77" t="n">
        <v>4</v>
      </c>
      <c r="I792" s="76" t="n">
        <f aca="false">IF(AND(ISNUMBER(G792),ISNUMBER(H792)),MAX(G792-H792,0),"")</f>
        <v>1</v>
      </c>
      <c r="J792" s="78" t="n">
        <f aca="false">IF(AND(ISNUMBER(G792),ISNUMBER(H792)),IF(G792&gt;0,H792/G792,""),"")</f>
        <v>0.8</v>
      </c>
      <c r="K792" s="77" t="s">
        <v>268</v>
      </c>
      <c r="L792" s="76" t="str">
        <f aca="false">IF(OR(G792="",H792=""),"Data tidak lengkap",IF(AND(G792=0,H792=0),IF(AND(F792="",K792=""),"Tidak dibuka","Tutup"),IF(H792&gt;G792,"Lebih kapasitas",IF(H792=G792,"Penuh",IF(H792=0,IF(F792="","Slot kosong","Belum terisi"),"Sebagian")))))</f>
        <v>Sebagian</v>
      </c>
      <c r="M792" s="79" t="str">
        <f aca="false">IF(L792="Tidak dibuka","–",IF(F792="","(tanpa age group)",F792)&amp;"  "&amp;IF(H792="","?",H792)&amp;"/"&amp;IF(G792="","?",G792)&amp;CHAR(10)&amp;IF(K792="","coach: –","coach: "&amp;K792))</f>
        <v>Kids  4/5
coach: Andreas</v>
      </c>
    </row>
    <row r="793" customFormat="false" ht="15" hidden="false" customHeight="false" outlineLevel="0" collapsed="false">
      <c r="A793" s="76" t="str">
        <f aca="false">B793&amp;"|"&amp;C793&amp;"|"&amp;D793&amp;"|"&amp;E793</f>
        <v>KWC|5|Kamis|08:00</v>
      </c>
      <c r="B793" s="76" t="s">
        <v>63</v>
      </c>
      <c r="C793" s="76" t="n">
        <v>5</v>
      </c>
      <c r="D793" s="76" t="s">
        <v>93</v>
      </c>
      <c r="E793" s="76" t="s">
        <v>110</v>
      </c>
      <c r="F793" s="77"/>
      <c r="G793" s="77" t="n">
        <v>0</v>
      </c>
      <c r="H793" s="77" t="n">
        <v>0</v>
      </c>
      <c r="I793" s="76" t="n">
        <f aca="false">IF(AND(ISNUMBER(G793),ISNUMBER(H793)),MAX(G793-H793,0),"")</f>
        <v>0</v>
      </c>
      <c r="J793" s="78" t="str">
        <f aca="false">IF(AND(ISNUMBER(G793),ISNUMBER(H793)),IF(G793&gt;0,H793/G793,""),"")</f>
        <v/>
      </c>
      <c r="K793" s="77"/>
      <c r="L793" s="76" t="str">
        <f aca="false">IF(OR(G793="",H793=""),"Data tidak lengkap",IF(AND(G793=0,H793=0),IF(AND(F793="",K793=""),"Tidak dibuka","Tutup"),IF(H793&gt;G793,"Lebih kapasitas",IF(H793=G793,"Penuh",IF(H793=0,IF(F793="","Slot kosong","Belum terisi"),"Sebagian")))))</f>
        <v>Tidak dibuka</v>
      </c>
      <c r="M793" s="76" t="str">
        <f aca="false">IF(L793="Tidak dibuka","–",IF(F793="","(tanpa age group)",F793)&amp;"  "&amp;IF(H793="","?",H793)&amp;"/"&amp;IF(G793="","?",G793)&amp;CHAR(10)&amp;IF(K793="","coach: –","coach: "&amp;K793))</f>
        <v>–</v>
      </c>
    </row>
    <row r="794" customFormat="false" ht="22.35" hidden="false" customHeight="false" outlineLevel="0" collapsed="false">
      <c r="A794" s="76" t="str">
        <f aca="false">B794&amp;"|"&amp;C794&amp;"|"&amp;D794&amp;"|"&amp;E794</f>
        <v>KWC|5|Kamis|08:45</v>
      </c>
      <c r="B794" s="76" t="s">
        <v>63</v>
      </c>
      <c r="C794" s="76" t="n">
        <v>5</v>
      </c>
      <c r="D794" s="76" t="s">
        <v>93</v>
      </c>
      <c r="E794" s="76" t="s">
        <v>111</v>
      </c>
      <c r="F794" s="77"/>
      <c r="G794" s="77" t="n">
        <v>5</v>
      </c>
      <c r="H794" s="77" t="n">
        <v>0</v>
      </c>
      <c r="I794" s="76" t="n">
        <f aca="false">IF(AND(ISNUMBER(G794),ISNUMBER(H794)),MAX(G794-H794,0),"")</f>
        <v>5</v>
      </c>
      <c r="J794" s="78" t="n">
        <f aca="false">IF(AND(ISNUMBER(G794),ISNUMBER(H794)),IF(G794&gt;0,H794/G794,""),"")</f>
        <v>0</v>
      </c>
      <c r="K794" s="77"/>
      <c r="L794" s="76" t="str">
        <f aca="false">IF(OR(G794="",H794=""),"Data tidak lengkap",IF(AND(G794=0,H794=0),IF(AND(F794="",K794=""),"Tidak dibuka","Tutup"),IF(H794&gt;G794,"Lebih kapasitas",IF(H794=G794,"Penuh",IF(H794=0,IF(F794="","Slot kosong","Belum terisi"),"Sebagian")))))</f>
        <v>Slot kosong</v>
      </c>
      <c r="M794" s="79" t="str">
        <f aca="false">IF(L794="Tidak dibuka","–",IF(F794="","(tanpa age group)",F794)&amp;"  "&amp;IF(H794="","?",H794)&amp;"/"&amp;IF(G794="","?",G794)&amp;CHAR(10)&amp;IF(K794="","coach: –","coach: "&amp;K794))</f>
        <v>(tanpa age group)  0/5
coach: –</v>
      </c>
    </row>
    <row r="795" customFormat="false" ht="22.35" hidden="false" customHeight="false" outlineLevel="0" collapsed="false">
      <c r="A795" s="76" t="str">
        <f aca="false">B795&amp;"|"&amp;C795&amp;"|"&amp;D795&amp;"|"&amp;E795</f>
        <v>KWC|5|Kamis|09:30</v>
      </c>
      <c r="B795" s="76" t="s">
        <v>63</v>
      </c>
      <c r="C795" s="76" t="n">
        <v>5</v>
      </c>
      <c r="D795" s="76" t="s">
        <v>93</v>
      </c>
      <c r="E795" s="76" t="s">
        <v>112</v>
      </c>
      <c r="F795" s="77"/>
      <c r="G795" s="77" t="n">
        <v>5</v>
      </c>
      <c r="H795" s="77" t="n">
        <v>0</v>
      </c>
      <c r="I795" s="76" t="n">
        <f aca="false">IF(AND(ISNUMBER(G795),ISNUMBER(H795)),MAX(G795-H795,0),"")</f>
        <v>5</v>
      </c>
      <c r="J795" s="78" t="n">
        <f aca="false">IF(AND(ISNUMBER(G795),ISNUMBER(H795)),IF(G795&gt;0,H795/G795,""),"")</f>
        <v>0</v>
      </c>
      <c r="K795" s="77"/>
      <c r="L795" s="76" t="str">
        <f aca="false">IF(OR(G795="",H795=""),"Data tidak lengkap",IF(AND(G795=0,H795=0),IF(AND(F795="",K795=""),"Tidak dibuka","Tutup"),IF(H795&gt;G795,"Lebih kapasitas",IF(H795=G795,"Penuh",IF(H795=0,IF(F795="","Slot kosong","Belum terisi"),"Sebagian")))))</f>
        <v>Slot kosong</v>
      </c>
      <c r="M795" s="79" t="str">
        <f aca="false">IF(L795="Tidak dibuka","–",IF(F795="","(tanpa age group)",F795)&amp;"  "&amp;IF(H795="","?",H795)&amp;"/"&amp;IF(G795="","?",G795)&amp;CHAR(10)&amp;IF(K795="","coach: –","coach: "&amp;K795))</f>
        <v>(tanpa age group)  0/5
coach: –</v>
      </c>
    </row>
    <row r="796" customFormat="false" ht="22.35" hidden="false" customHeight="false" outlineLevel="0" collapsed="false">
      <c r="A796" s="76" t="str">
        <f aca="false">B796&amp;"|"&amp;C796&amp;"|"&amp;D796&amp;"|"&amp;E796</f>
        <v>KWC|5|Kamis|10:15</v>
      </c>
      <c r="B796" s="76" t="s">
        <v>63</v>
      </c>
      <c r="C796" s="76" t="n">
        <v>5</v>
      </c>
      <c r="D796" s="76" t="s">
        <v>93</v>
      </c>
      <c r="E796" s="76" t="s">
        <v>113</v>
      </c>
      <c r="F796" s="77"/>
      <c r="G796" s="77" t="n">
        <v>5</v>
      </c>
      <c r="H796" s="77" t="n">
        <v>0</v>
      </c>
      <c r="I796" s="76" t="n">
        <f aca="false">IF(AND(ISNUMBER(G796),ISNUMBER(H796)),MAX(G796-H796,0),"")</f>
        <v>5</v>
      </c>
      <c r="J796" s="78" t="n">
        <f aca="false">IF(AND(ISNUMBER(G796),ISNUMBER(H796)),IF(G796&gt;0,H796/G796,""),"")</f>
        <v>0</v>
      </c>
      <c r="K796" s="77"/>
      <c r="L796" s="76" t="str">
        <f aca="false">IF(OR(G796="",H796=""),"Data tidak lengkap",IF(AND(G796=0,H796=0),IF(AND(F796="",K796=""),"Tidak dibuka","Tutup"),IF(H796&gt;G796,"Lebih kapasitas",IF(H796=G796,"Penuh",IF(H796=0,IF(F796="","Slot kosong","Belum terisi"),"Sebagian")))))</f>
        <v>Slot kosong</v>
      </c>
      <c r="M796" s="79" t="str">
        <f aca="false">IF(L796="Tidak dibuka","–",IF(F796="","(tanpa age group)",F796)&amp;"  "&amp;IF(H796="","?",H796)&amp;"/"&amp;IF(G796="","?",G796)&amp;CHAR(10)&amp;IF(K796="","coach: –","coach: "&amp;K796))</f>
        <v>(tanpa age group)  0/5
coach: –</v>
      </c>
    </row>
    <row r="797" customFormat="false" ht="22.35" hidden="false" customHeight="false" outlineLevel="0" collapsed="false">
      <c r="A797" s="76" t="str">
        <f aca="false">B797&amp;"|"&amp;C797&amp;"|"&amp;D797&amp;"|"&amp;E797</f>
        <v>KWC|5|Kamis|11:00</v>
      </c>
      <c r="B797" s="76" t="s">
        <v>63</v>
      </c>
      <c r="C797" s="76" t="n">
        <v>5</v>
      </c>
      <c r="D797" s="76" t="s">
        <v>93</v>
      </c>
      <c r="E797" s="76" t="s">
        <v>114</v>
      </c>
      <c r="F797" s="77"/>
      <c r="G797" s="77" t="n">
        <v>5</v>
      </c>
      <c r="H797" s="77" t="n">
        <v>0</v>
      </c>
      <c r="I797" s="76" t="n">
        <f aca="false">IF(AND(ISNUMBER(G797),ISNUMBER(H797)),MAX(G797-H797,0),"")</f>
        <v>5</v>
      </c>
      <c r="J797" s="78" t="n">
        <f aca="false">IF(AND(ISNUMBER(G797),ISNUMBER(H797)),IF(G797&gt;0,H797/G797,""),"")</f>
        <v>0</v>
      </c>
      <c r="K797" s="77"/>
      <c r="L797" s="76" t="str">
        <f aca="false">IF(OR(G797="",H797=""),"Data tidak lengkap",IF(AND(G797=0,H797=0),IF(AND(F797="",K797=""),"Tidak dibuka","Tutup"),IF(H797&gt;G797,"Lebih kapasitas",IF(H797=G797,"Penuh",IF(H797=0,IF(F797="","Slot kosong","Belum terisi"),"Sebagian")))))</f>
        <v>Slot kosong</v>
      </c>
      <c r="M797" s="79" t="str">
        <f aca="false">IF(L797="Tidak dibuka","–",IF(F797="","(tanpa age group)",F797)&amp;"  "&amp;IF(H797="","?",H797)&amp;"/"&amp;IF(G797="","?",G797)&amp;CHAR(10)&amp;IF(K797="","coach: –","coach: "&amp;K797))</f>
        <v>(tanpa age group)  0/5
coach: –</v>
      </c>
    </row>
    <row r="798" customFormat="false" ht="15" hidden="false" customHeight="false" outlineLevel="0" collapsed="false">
      <c r="A798" s="76" t="str">
        <f aca="false">B798&amp;"|"&amp;C798&amp;"|"&amp;D798&amp;"|"&amp;E798</f>
        <v>KWC|5|Kamis|11:45</v>
      </c>
      <c r="B798" s="76" t="s">
        <v>63</v>
      </c>
      <c r="C798" s="76" t="n">
        <v>5</v>
      </c>
      <c r="D798" s="76" t="s">
        <v>93</v>
      </c>
      <c r="E798" s="76" t="s">
        <v>115</v>
      </c>
      <c r="F798" s="77"/>
      <c r="G798" s="77" t="n">
        <v>0</v>
      </c>
      <c r="H798" s="77" t="n">
        <v>0</v>
      </c>
      <c r="I798" s="76" t="n">
        <f aca="false">IF(AND(ISNUMBER(G798),ISNUMBER(H798)),MAX(G798-H798,0),"")</f>
        <v>0</v>
      </c>
      <c r="J798" s="78" t="str">
        <f aca="false">IF(AND(ISNUMBER(G798),ISNUMBER(H798)),IF(G798&gt;0,H798/G798,""),"")</f>
        <v/>
      </c>
      <c r="K798" s="77"/>
      <c r="L798" s="76" t="str">
        <f aca="false">IF(OR(G798="",H798=""),"Data tidak lengkap",IF(AND(G798=0,H798=0),IF(AND(F798="",K798=""),"Tidak dibuka","Tutup"),IF(H798&gt;G798,"Lebih kapasitas",IF(H798=G798,"Penuh",IF(H798=0,IF(F798="","Slot kosong","Belum terisi"),"Sebagian")))))</f>
        <v>Tidak dibuka</v>
      </c>
      <c r="M798" s="76" t="str">
        <f aca="false">IF(L798="Tidak dibuka","–",IF(F798="","(tanpa age group)",F798)&amp;"  "&amp;IF(H798="","?",H798)&amp;"/"&amp;IF(G798="","?",G798)&amp;CHAR(10)&amp;IF(K798="","coach: –","coach: "&amp;K798))</f>
        <v>–</v>
      </c>
    </row>
    <row r="799" customFormat="false" ht="22.35" hidden="false" customHeight="false" outlineLevel="0" collapsed="false">
      <c r="A799" s="76" t="str">
        <f aca="false">B799&amp;"|"&amp;C799&amp;"|"&amp;D799&amp;"|"&amp;E799</f>
        <v>KWC|5|Kamis|13:15</v>
      </c>
      <c r="B799" s="76" t="s">
        <v>63</v>
      </c>
      <c r="C799" s="76" t="n">
        <v>5</v>
      </c>
      <c r="D799" s="76" t="s">
        <v>93</v>
      </c>
      <c r="E799" s="76" t="s">
        <v>116</v>
      </c>
      <c r="F799" s="77" t="s">
        <v>277</v>
      </c>
      <c r="G799" s="77" t="n">
        <v>5</v>
      </c>
      <c r="H799" s="77" t="n">
        <v>1</v>
      </c>
      <c r="I799" s="76" t="n">
        <f aca="false">IF(AND(ISNUMBER(G799),ISNUMBER(H799)),MAX(G799-H799,0),"")</f>
        <v>4</v>
      </c>
      <c r="J799" s="78" t="n">
        <f aca="false">IF(AND(ISNUMBER(G799),ISNUMBER(H799)),IF(G799&gt;0,H799/G799,""),"")</f>
        <v>0.2</v>
      </c>
      <c r="K799" s="77" t="s">
        <v>268</v>
      </c>
      <c r="L799" s="76" t="str">
        <f aca="false">IF(OR(G799="",H799=""),"Data tidak lengkap",IF(AND(G799=0,H799=0),IF(AND(F799="",K799=""),"Tidak dibuka","Tutup"),IF(H799&gt;G799,"Lebih kapasitas",IF(H799=G799,"Penuh",IF(H799=0,IF(F799="","Slot kosong","Belum terisi"),"Sebagian")))))</f>
        <v>Sebagian</v>
      </c>
      <c r="M799" s="79" t="str">
        <f aca="false">IF(L799="Tidak dibuka","–",IF(F799="","(tanpa age group)",F799)&amp;"  "&amp;IF(H799="","?",H799)&amp;"/"&amp;IF(G799="","?",G799)&amp;CHAR(10)&amp;IF(K799="","coach: –","coach: "&amp;K799))</f>
        <v>Little  1/5
coach: Andreas</v>
      </c>
    </row>
    <row r="800" customFormat="false" ht="22.35" hidden="false" customHeight="false" outlineLevel="0" collapsed="false">
      <c r="A800" s="76" t="str">
        <f aca="false">B800&amp;"|"&amp;C800&amp;"|"&amp;D800&amp;"|"&amp;E800</f>
        <v>KWC|5|Kamis|14:00</v>
      </c>
      <c r="B800" s="76" t="s">
        <v>63</v>
      </c>
      <c r="C800" s="76" t="n">
        <v>5</v>
      </c>
      <c r="D800" s="76" t="s">
        <v>93</v>
      </c>
      <c r="E800" s="76" t="s">
        <v>117</v>
      </c>
      <c r="F800" s="77"/>
      <c r="G800" s="77" t="n">
        <v>5</v>
      </c>
      <c r="H800" s="77" t="n">
        <v>0</v>
      </c>
      <c r="I800" s="76" t="n">
        <f aca="false">IF(AND(ISNUMBER(G800),ISNUMBER(H800)),MAX(G800-H800,0),"")</f>
        <v>5</v>
      </c>
      <c r="J800" s="78" t="n">
        <f aca="false">IF(AND(ISNUMBER(G800),ISNUMBER(H800)),IF(G800&gt;0,H800/G800,""),"")</f>
        <v>0</v>
      </c>
      <c r="K800" s="77"/>
      <c r="L800" s="76" t="str">
        <f aca="false">IF(OR(G800="",H800=""),"Data tidak lengkap",IF(AND(G800=0,H800=0),IF(AND(F800="",K800=""),"Tidak dibuka","Tutup"),IF(H800&gt;G800,"Lebih kapasitas",IF(H800=G800,"Penuh",IF(H800=0,IF(F800="","Slot kosong","Belum terisi"),"Sebagian")))))</f>
        <v>Slot kosong</v>
      </c>
      <c r="M800" s="79" t="str">
        <f aca="false">IF(L800="Tidak dibuka","–",IF(F800="","(tanpa age group)",F800)&amp;"  "&amp;IF(H800="","?",H800)&amp;"/"&amp;IF(G800="","?",G800)&amp;CHAR(10)&amp;IF(K800="","coach: –","coach: "&amp;K800))</f>
        <v>(tanpa age group)  0/5
coach: –</v>
      </c>
    </row>
    <row r="801" customFormat="false" ht="22.35" hidden="false" customHeight="false" outlineLevel="0" collapsed="false">
      <c r="A801" s="76" t="str">
        <f aca="false">B801&amp;"|"&amp;C801&amp;"|"&amp;D801&amp;"|"&amp;E801</f>
        <v>KWC|5|Kamis|14:45</v>
      </c>
      <c r="B801" s="76" t="s">
        <v>63</v>
      </c>
      <c r="C801" s="76" t="n">
        <v>5</v>
      </c>
      <c r="D801" s="76" t="s">
        <v>93</v>
      </c>
      <c r="E801" s="76" t="s">
        <v>118</v>
      </c>
      <c r="F801" s="77"/>
      <c r="G801" s="77" t="n">
        <v>5</v>
      </c>
      <c r="H801" s="77" t="n">
        <v>0</v>
      </c>
      <c r="I801" s="76" t="n">
        <f aca="false">IF(AND(ISNUMBER(G801),ISNUMBER(H801)),MAX(G801-H801,0),"")</f>
        <v>5</v>
      </c>
      <c r="J801" s="78" t="n">
        <f aca="false">IF(AND(ISNUMBER(G801),ISNUMBER(H801)),IF(G801&gt;0,H801/G801,""),"")</f>
        <v>0</v>
      </c>
      <c r="K801" s="77"/>
      <c r="L801" s="76" t="str">
        <f aca="false">IF(OR(G801="",H801=""),"Data tidak lengkap",IF(AND(G801=0,H801=0),IF(AND(F801="",K801=""),"Tidak dibuka","Tutup"),IF(H801&gt;G801,"Lebih kapasitas",IF(H801=G801,"Penuh",IF(H801=0,IF(F801="","Slot kosong","Belum terisi"),"Sebagian")))))</f>
        <v>Slot kosong</v>
      </c>
      <c r="M801" s="79" t="str">
        <f aca="false">IF(L801="Tidak dibuka","–",IF(F801="","(tanpa age group)",F801)&amp;"  "&amp;IF(H801="","?",H801)&amp;"/"&amp;IF(G801="","?",G801)&amp;CHAR(10)&amp;IF(K801="","coach: –","coach: "&amp;K801))</f>
        <v>(tanpa age group)  0/5
coach: –</v>
      </c>
    </row>
    <row r="802" customFormat="false" ht="22.35" hidden="false" customHeight="false" outlineLevel="0" collapsed="false">
      <c r="A802" s="76" t="str">
        <f aca="false">B802&amp;"|"&amp;C802&amp;"|"&amp;D802&amp;"|"&amp;E802</f>
        <v>KWC|5|Kamis|15:30</v>
      </c>
      <c r="B802" s="76" t="s">
        <v>63</v>
      </c>
      <c r="C802" s="76" t="n">
        <v>5</v>
      </c>
      <c r="D802" s="76" t="s">
        <v>93</v>
      </c>
      <c r="E802" s="76" t="s">
        <v>119</v>
      </c>
      <c r="F802" s="77"/>
      <c r="G802" s="77" t="n">
        <v>5</v>
      </c>
      <c r="H802" s="77" t="n">
        <v>0</v>
      </c>
      <c r="I802" s="76" t="n">
        <f aca="false">IF(AND(ISNUMBER(G802),ISNUMBER(H802)),MAX(G802-H802,0),"")</f>
        <v>5</v>
      </c>
      <c r="J802" s="78" t="n">
        <f aca="false">IF(AND(ISNUMBER(G802),ISNUMBER(H802)),IF(G802&gt;0,H802/G802,""),"")</f>
        <v>0</v>
      </c>
      <c r="K802" s="77"/>
      <c r="L802" s="76" t="str">
        <f aca="false">IF(OR(G802="",H802=""),"Data tidak lengkap",IF(AND(G802=0,H802=0),IF(AND(F802="",K802=""),"Tidak dibuka","Tutup"),IF(H802&gt;G802,"Lebih kapasitas",IF(H802=G802,"Penuh",IF(H802=0,IF(F802="","Slot kosong","Belum terisi"),"Sebagian")))))</f>
        <v>Slot kosong</v>
      </c>
      <c r="M802" s="79" t="str">
        <f aca="false">IF(L802="Tidak dibuka","–",IF(F802="","(tanpa age group)",F802)&amp;"  "&amp;IF(H802="","?",H802)&amp;"/"&amp;IF(G802="","?",G802)&amp;CHAR(10)&amp;IF(K802="","coach: –","coach: "&amp;K802))</f>
        <v>(tanpa age group)  0/5
coach: –</v>
      </c>
    </row>
    <row r="803" customFormat="false" ht="22.35" hidden="false" customHeight="false" outlineLevel="0" collapsed="false">
      <c r="A803" s="76" t="str">
        <f aca="false">B803&amp;"|"&amp;C803&amp;"|"&amp;D803&amp;"|"&amp;E803</f>
        <v>KWC|5|Kamis|16:15</v>
      </c>
      <c r="B803" s="76" t="s">
        <v>63</v>
      </c>
      <c r="C803" s="76" t="n">
        <v>5</v>
      </c>
      <c r="D803" s="76" t="s">
        <v>93</v>
      </c>
      <c r="E803" s="76" t="s">
        <v>120</v>
      </c>
      <c r="F803" s="77"/>
      <c r="G803" s="77" t="n">
        <v>5</v>
      </c>
      <c r="H803" s="77" t="n">
        <v>0</v>
      </c>
      <c r="I803" s="76" t="n">
        <f aca="false">IF(AND(ISNUMBER(G803),ISNUMBER(H803)),MAX(G803-H803,0),"")</f>
        <v>5</v>
      </c>
      <c r="J803" s="78" t="n">
        <f aca="false">IF(AND(ISNUMBER(G803),ISNUMBER(H803)),IF(G803&gt;0,H803/G803,""),"")</f>
        <v>0</v>
      </c>
      <c r="K803" s="77"/>
      <c r="L803" s="76" t="str">
        <f aca="false">IF(OR(G803="",H803=""),"Data tidak lengkap",IF(AND(G803=0,H803=0),IF(AND(F803="",K803=""),"Tidak dibuka","Tutup"),IF(H803&gt;G803,"Lebih kapasitas",IF(H803=G803,"Penuh",IF(H803=0,IF(F803="","Slot kosong","Belum terisi"),"Sebagian")))))</f>
        <v>Slot kosong</v>
      </c>
      <c r="M803" s="79" t="str">
        <f aca="false">IF(L803="Tidak dibuka","–",IF(F803="","(tanpa age group)",F803)&amp;"  "&amp;IF(H803="","?",H803)&amp;"/"&amp;IF(G803="","?",G803)&amp;CHAR(10)&amp;IF(K803="","coach: –","coach: "&amp;K803))</f>
        <v>(tanpa age group)  0/5
coach: –</v>
      </c>
    </row>
    <row r="804" customFormat="false" ht="22.35" hidden="false" customHeight="false" outlineLevel="0" collapsed="false">
      <c r="A804" s="76" t="str">
        <f aca="false">B804&amp;"|"&amp;C804&amp;"|"&amp;D804&amp;"|"&amp;E804</f>
        <v>KWC|5|Kamis|17:00</v>
      </c>
      <c r="B804" s="76" t="s">
        <v>63</v>
      </c>
      <c r="C804" s="76" t="n">
        <v>5</v>
      </c>
      <c r="D804" s="76" t="s">
        <v>93</v>
      </c>
      <c r="E804" s="76" t="s">
        <v>121</v>
      </c>
      <c r="F804" s="77"/>
      <c r="G804" s="77" t="n">
        <v>5</v>
      </c>
      <c r="H804" s="77" t="n">
        <v>0</v>
      </c>
      <c r="I804" s="76" t="n">
        <f aca="false">IF(AND(ISNUMBER(G804),ISNUMBER(H804)),MAX(G804-H804,0),"")</f>
        <v>5</v>
      </c>
      <c r="J804" s="78" t="n">
        <f aca="false">IF(AND(ISNUMBER(G804),ISNUMBER(H804)),IF(G804&gt;0,H804/G804,""),"")</f>
        <v>0</v>
      </c>
      <c r="K804" s="77"/>
      <c r="L804" s="76" t="str">
        <f aca="false">IF(OR(G804="",H804=""),"Data tidak lengkap",IF(AND(G804=0,H804=0),IF(AND(F804="",K804=""),"Tidak dibuka","Tutup"),IF(H804&gt;G804,"Lebih kapasitas",IF(H804=G804,"Penuh",IF(H804=0,IF(F804="","Slot kosong","Belum terisi"),"Sebagian")))))</f>
        <v>Slot kosong</v>
      </c>
      <c r="M804" s="79" t="str">
        <f aca="false">IF(L804="Tidak dibuka","–",IF(F804="","(tanpa age group)",F804)&amp;"  "&amp;IF(H804="","?",H804)&amp;"/"&amp;IF(G804="","?",G804)&amp;CHAR(10)&amp;IF(K804="","coach: –","coach: "&amp;K804))</f>
        <v>(tanpa age group)  0/5
coach: –</v>
      </c>
    </row>
    <row r="805" customFormat="false" ht="15" hidden="false" customHeight="false" outlineLevel="0" collapsed="false">
      <c r="A805" s="76" t="str">
        <f aca="false">B805&amp;"|"&amp;C805&amp;"|"&amp;D805&amp;"|"&amp;E805</f>
        <v>KWC|5|Jumat|08:00</v>
      </c>
      <c r="B805" s="76" t="s">
        <v>63</v>
      </c>
      <c r="C805" s="76" t="n">
        <v>5</v>
      </c>
      <c r="D805" s="76" t="s">
        <v>94</v>
      </c>
      <c r="E805" s="76" t="s">
        <v>110</v>
      </c>
      <c r="F805" s="77"/>
      <c r="G805" s="77" t="n">
        <v>0</v>
      </c>
      <c r="H805" s="77" t="n">
        <v>0</v>
      </c>
      <c r="I805" s="76" t="n">
        <f aca="false">IF(AND(ISNUMBER(G805),ISNUMBER(H805)),MAX(G805-H805,0),"")</f>
        <v>0</v>
      </c>
      <c r="J805" s="78" t="str">
        <f aca="false">IF(AND(ISNUMBER(G805),ISNUMBER(H805)),IF(G805&gt;0,H805/G805,""),"")</f>
        <v/>
      </c>
      <c r="K805" s="77"/>
      <c r="L805" s="76" t="str">
        <f aca="false">IF(OR(G805="",H805=""),"Data tidak lengkap",IF(AND(G805=0,H805=0),IF(AND(F805="",K805=""),"Tidak dibuka","Tutup"),IF(H805&gt;G805,"Lebih kapasitas",IF(H805=G805,"Penuh",IF(H805=0,IF(F805="","Slot kosong","Belum terisi"),"Sebagian")))))</f>
        <v>Tidak dibuka</v>
      </c>
      <c r="M805" s="76" t="str">
        <f aca="false">IF(L805="Tidak dibuka","–",IF(F805="","(tanpa age group)",F805)&amp;"  "&amp;IF(H805="","?",H805)&amp;"/"&amp;IF(G805="","?",G805)&amp;CHAR(10)&amp;IF(K805="","coach: –","coach: "&amp;K805))</f>
        <v>–</v>
      </c>
    </row>
    <row r="806" customFormat="false" ht="22.35" hidden="false" customHeight="false" outlineLevel="0" collapsed="false">
      <c r="A806" s="76" t="str">
        <f aca="false">B806&amp;"|"&amp;C806&amp;"|"&amp;D806&amp;"|"&amp;E806</f>
        <v>KWC|5|Jumat|08:45</v>
      </c>
      <c r="B806" s="76" t="s">
        <v>63</v>
      </c>
      <c r="C806" s="76" t="n">
        <v>5</v>
      </c>
      <c r="D806" s="76" t="s">
        <v>94</v>
      </c>
      <c r="E806" s="76" t="s">
        <v>111</v>
      </c>
      <c r="F806" s="77"/>
      <c r="G806" s="77" t="n">
        <v>5</v>
      </c>
      <c r="H806" s="77" t="n">
        <v>0</v>
      </c>
      <c r="I806" s="76" t="n">
        <f aca="false">IF(AND(ISNUMBER(G806),ISNUMBER(H806)),MAX(G806-H806,0),"")</f>
        <v>5</v>
      </c>
      <c r="J806" s="78" t="n">
        <f aca="false">IF(AND(ISNUMBER(G806),ISNUMBER(H806)),IF(G806&gt;0,H806/G806,""),"")</f>
        <v>0</v>
      </c>
      <c r="K806" s="77"/>
      <c r="L806" s="76" t="str">
        <f aca="false">IF(OR(G806="",H806=""),"Data tidak lengkap",IF(AND(G806=0,H806=0),IF(AND(F806="",K806=""),"Tidak dibuka","Tutup"),IF(H806&gt;G806,"Lebih kapasitas",IF(H806=G806,"Penuh",IF(H806=0,IF(F806="","Slot kosong","Belum terisi"),"Sebagian")))))</f>
        <v>Slot kosong</v>
      </c>
      <c r="M806" s="79" t="str">
        <f aca="false">IF(L806="Tidak dibuka","–",IF(F806="","(tanpa age group)",F806)&amp;"  "&amp;IF(H806="","?",H806)&amp;"/"&amp;IF(G806="","?",G806)&amp;CHAR(10)&amp;IF(K806="","coach: –","coach: "&amp;K806))</f>
        <v>(tanpa age group)  0/5
coach: –</v>
      </c>
    </row>
    <row r="807" customFormat="false" ht="22.35" hidden="false" customHeight="false" outlineLevel="0" collapsed="false">
      <c r="A807" s="76" t="str">
        <f aca="false">B807&amp;"|"&amp;C807&amp;"|"&amp;D807&amp;"|"&amp;E807</f>
        <v>KWC|5|Jumat|09:30</v>
      </c>
      <c r="B807" s="76" t="s">
        <v>63</v>
      </c>
      <c r="C807" s="76" t="n">
        <v>5</v>
      </c>
      <c r="D807" s="76" t="s">
        <v>94</v>
      </c>
      <c r="E807" s="76" t="s">
        <v>112</v>
      </c>
      <c r="F807" s="77"/>
      <c r="G807" s="77" t="n">
        <v>5</v>
      </c>
      <c r="H807" s="77" t="n">
        <v>0</v>
      </c>
      <c r="I807" s="76" t="n">
        <f aca="false">IF(AND(ISNUMBER(G807),ISNUMBER(H807)),MAX(G807-H807,0),"")</f>
        <v>5</v>
      </c>
      <c r="J807" s="78" t="n">
        <f aca="false">IF(AND(ISNUMBER(G807),ISNUMBER(H807)),IF(G807&gt;0,H807/G807,""),"")</f>
        <v>0</v>
      </c>
      <c r="K807" s="77"/>
      <c r="L807" s="76" t="str">
        <f aca="false">IF(OR(G807="",H807=""),"Data tidak lengkap",IF(AND(G807=0,H807=0),IF(AND(F807="",K807=""),"Tidak dibuka","Tutup"),IF(H807&gt;G807,"Lebih kapasitas",IF(H807=G807,"Penuh",IF(H807=0,IF(F807="","Slot kosong","Belum terisi"),"Sebagian")))))</f>
        <v>Slot kosong</v>
      </c>
      <c r="M807" s="79" t="str">
        <f aca="false">IF(L807="Tidak dibuka","–",IF(F807="","(tanpa age group)",F807)&amp;"  "&amp;IF(H807="","?",H807)&amp;"/"&amp;IF(G807="","?",G807)&amp;CHAR(10)&amp;IF(K807="","coach: –","coach: "&amp;K807))</f>
        <v>(tanpa age group)  0/5
coach: –</v>
      </c>
    </row>
    <row r="808" customFormat="false" ht="22.35" hidden="false" customHeight="false" outlineLevel="0" collapsed="false">
      <c r="A808" s="76" t="str">
        <f aca="false">B808&amp;"|"&amp;C808&amp;"|"&amp;D808&amp;"|"&amp;E808</f>
        <v>KWC|5|Jumat|10:15</v>
      </c>
      <c r="B808" s="76" t="s">
        <v>63</v>
      </c>
      <c r="C808" s="76" t="n">
        <v>5</v>
      </c>
      <c r="D808" s="76" t="s">
        <v>94</v>
      </c>
      <c r="E808" s="76" t="s">
        <v>113</v>
      </c>
      <c r="F808" s="77"/>
      <c r="G808" s="77" t="n">
        <v>5</v>
      </c>
      <c r="H808" s="77" t="n">
        <v>0</v>
      </c>
      <c r="I808" s="76" t="n">
        <f aca="false">IF(AND(ISNUMBER(G808),ISNUMBER(H808)),MAX(G808-H808,0),"")</f>
        <v>5</v>
      </c>
      <c r="J808" s="78" t="n">
        <f aca="false">IF(AND(ISNUMBER(G808),ISNUMBER(H808)),IF(G808&gt;0,H808/G808,""),"")</f>
        <v>0</v>
      </c>
      <c r="K808" s="77"/>
      <c r="L808" s="76" t="str">
        <f aca="false">IF(OR(G808="",H808=""),"Data tidak lengkap",IF(AND(G808=0,H808=0),IF(AND(F808="",K808=""),"Tidak dibuka","Tutup"),IF(H808&gt;G808,"Lebih kapasitas",IF(H808=G808,"Penuh",IF(H808=0,IF(F808="","Slot kosong","Belum terisi"),"Sebagian")))))</f>
        <v>Slot kosong</v>
      </c>
      <c r="M808" s="79" t="str">
        <f aca="false">IF(L808="Tidak dibuka","–",IF(F808="","(tanpa age group)",F808)&amp;"  "&amp;IF(H808="","?",H808)&amp;"/"&amp;IF(G808="","?",G808)&amp;CHAR(10)&amp;IF(K808="","coach: –","coach: "&amp;K808))</f>
        <v>(tanpa age group)  0/5
coach: –</v>
      </c>
    </row>
    <row r="809" customFormat="false" ht="22.35" hidden="false" customHeight="false" outlineLevel="0" collapsed="false">
      <c r="A809" s="76" t="str">
        <f aca="false">B809&amp;"|"&amp;C809&amp;"|"&amp;D809&amp;"|"&amp;E809</f>
        <v>KWC|5|Jumat|11:00</v>
      </c>
      <c r="B809" s="76" t="s">
        <v>63</v>
      </c>
      <c r="C809" s="76" t="n">
        <v>5</v>
      </c>
      <c r="D809" s="76" t="s">
        <v>94</v>
      </c>
      <c r="E809" s="76" t="s">
        <v>114</v>
      </c>
      <c r="F809" s="77"/>
      <c r="G809" s="77" t="n">
        <v>5</v>
      </c>
      <c r="H809" s="77" t="n">
        <v>0</v>
      </c>
      <c r="I809" s="76" t="n">
        <f aca="false">IF(AND(ISNUMBER(G809),ISNUMBER(H809)),MAX(G809-H809,0),"")</f>
        <v>5</v>
      </c>
      <c r="J809" s="78" t="n">
        <f aca="false">IF(AND(ISNUMBER(G809),ISNUMBER(H809)),IF(G809&gt;0,H809/G809,""),"")</f>
        <v>0</v>
      </c>
      <c r="K809" s="77"/>
      <c r="L809" s="76" t="str">
        <f aca="false">IF(OR(G809="",H809=""),"Data tidak lengkap",IF(AND(G809=0,H809=0),IF(AND(F809="",K809=""),"Tidak dibuka","Tutup"),IF(H809&gt;G809,"Lebih kapasitas",IF(H809=G809,"Penuh",IF(H809=0,IF(F809="","Slot kosong","Belum terisi"),"Sebagian")))))</f>
        <v>Slot kosong</v>
      </c>
      <c r="M809" s="79" t="str">
        <f aca="false">IF(L809="Tidak dibuka","–",IF(F809="","(tanpa age group)",F809)&amp;"  "&amp;IF(H809="","?",H809)&amp;"/"&amp;IF(G809="","?",G809)&amp;CHAR(10)&amp;IF(K809="","coach: –","coach: "&amp;K809))</f>
        <v>(tanpa age group)  0/5
coach: –</v>
      </c>
    </row>
    <row r="810" customFormat="false" ht="15" hidden="false" customHeight="false" outlineLevel="0" collapsed="false">
      <c r="A810" s="76" t="str">
        <f aca="false">B810&amp;"|"&amp;C810&amp;"|"&amp;D810&amp;"|"&amp;E810</f>
        <v>KWC|5|Jumat|11:45</v>
      </c>
      <c r="B810" s="76" t="s">
        <v>63</v>
      </c>
      <c r="C810" s="76" t="n">
        <v>5</v>
      </c>
      <c r="D810" s="76" t="s">
        <v>94</v>
      </c>
      <c r="E810" s="76" t="s">
        <v>115</v>
      </c>
      <c r="F810" s="77"/>
      <c r="G810" s="77" t="n">
        <v>0</v>
      </c>
      <c r="H810" s="77" t="n">
        <v>0</v>
      </c>
      <c r="I810" s="76" t="n">
        <f aca="false">IF(AND(ISNUMBER(G810),ISNUMBER(H810)),MAX(G810-H810,0),"")</f>
        <v>0</v>
      </c>
      <c r="J810" s="78" t="str">
        <f aca="false">IF(AND(ISNUMBER(G810),ISNUMBER(H810)),IF(G810&gt;0,H810/G810,""),"")</f>
        <v/>
      </c>
      <c r="K810" s="77"/>
      <c r="L810" s="76" t="str">
        <f aca="false">IF(OR(G810="",H810=""),"Data tidak lengkap",IF(AND(G810=0,H810=0),IF(AND(F810="",K810=""),"Tidak dibuka","Tutup"),IF(H810&gt;G810,"Lebih kapasitas",IF(H810=G810,"Penuh",IF(H810=0,IF(F810="","Slot kosong","Belum terisi"),"Sebagian")))))</f>
        <v>Tidak dibuka</v>
      </c>
      <c r="M810" s="76" t="str">
        <f aca="false">IF(L810="Tidak dibuka","–",IF(F810="","(tanpa age group)",F810)&amp;"  "&amp;IF(H810="","?",H810)&amp;"/"&amp;IF(G810="","?",G810)&amp;CHAR(10)&amp;IF(K810="","coach: –","coach: "&amp;K810))</f>
        <v>–</v>
      </c>
    </row>
    <row r="811" customFormat="false" ht="22.35" hidden="false" customHeight="false" outlineLevel="0" collapsed="false">
      <c r="A811" s="76" t="str">
        <f aca="false">B811&amp;"|"&amp;C811&amp;"|"&amp;D811&amp;"|"&amp;E811</f>
        <v>KWC|5|Jumat|13:15</v>
      </c>
      <c r="B811" s="76" t="s">
        <v>63</v>
      </c>
      <c r="C811" s="76" t="n">
        <v>5</v>
      </c>
      <c r="D811" s="76" t="s">
        <v>94</v>
      </c>
      <c r="E811" s="76" t="s">
        <v>116</v>
      </c>
      <c r="F811" s="77" t="s">
        <v>277</v>
      </c>
      <c r="G811" s="77" t="n">
        <v>4</v>
      </c>
      <c r="H811" s="77" t="n">
        <v>1</v>
      </c>
      <c r="I811" s="76" t="n">
        <f aca="false">IF(AND(ISNUMBER(G811),ISNUMBER(H811)),MAX(G811-H811,0),"")</f>
        <v>3</v>
      </c>
      <c r="J811" s="78" t="n">
        <f aca="false">IF(AND(ISNUMBER(G811),ISNUMBER(H811)),IF(G811&gt;0,H811/G811,""),"")</f>
        <v>0.25</v>
      </c>
      <c r="K811" s="77" t="s">
        <v>269</v>
      </c>
      <c r="L811" s="76" t="str">
        <f aca="false">IF(OR(G811="",H811=""),"Data tidak lengkap",IF(AND(G811=0,H811=0),IF(AND(F811="",K811=""),"Tidak dibuka","Tutup"),IF(H811&gt;G811,"Lebih kapasitas",IF(H811=G811,"Penuh",IF(H811=0,IF(F811="","Slot kosong","Belum terisi"),"Sebagian")))))</f>
        <v>Sebagian</v>
      </c>
      <c r="M811" s="79" t="str">
        <f aca="false">IF(L811="Tidak dibuka","–",IF(F811="","(tanpa age group)",F811)&amp;"  "&amp;IF(H811="","?",H811)&amp;"/"&amp;IF(G811="","?",G811)&amp;CHAR(10)&amp;IF(K811="","coach: –","coach: "&amp;K811))</f>
        <v>Little  1/4
coach: Nabila</v>
      </c>
    </row>
    <row r="812" customFormat="false" ht="22.35" hidden="false" customHeight="false" outlineLevel="0" collapsed="false">
      <c r="A812" s="76" t="str">
        <f aca="false">B812&amp;"|"&amp;C812&amp;"|"&amp;D812&amp;"|"&amp;E812</f>
        <v>KWC|5|Jumat|14:00</v>
      </c>
      <c r="B812" s="76" t="s">
        <v>63</v>
      </c>
      <c r="C812" s="76" t="n">
        <v>5</v>
      </c>
      <c r="D812" s="76" t="s">
        <v>94</v>
      </c>
      <c r="E812" s="76" t="s">
        <v>117</v>
      </c>
      <c r="F812" s="77" t="s">
        <v>210</v>
      </c>
      <c r="G812" s="77" t="n">
        <v>1</v>
      </c>
      <c r="H812" s="77" t="n">
        <v>1</v>
      </c>
      <c r="I812" s="76" t="n">
        <f aca="false">IF(AND(ISNUMBER(G812),ISNUMBER(H812)),MAX(G812-H812,0),"")</f>
        <v>0</v>
      </c>
      <c r="J812" s="78" t="n">
        <f aca="false">IF(AND(ISNUMBER(G812),ISNUMBER(H812)),IF(G812&gt;0,H812/G812,""),"")</f>
        <v>1</v>
      </c>
      <c r="K812" s="77" t="s">
        <v>273</v>
      </c>
      <c r="L812" s="76" t="str">
        <f aca="false">IF(OR(G812="",H812=""),"Data tidak lengkap",IF(AND(G812=0,H812=0),IF(AND(F812="",K812=""),"Tidak dibuka","Tutup"),IF(H812&gt;G812,"Lebih kapasitas",IF(H812=G812,"Penuh",IF(H812=0,IF(F812="","Slot kosong","Belum terisi"),"Sebagian")))))</f>
        <v>Penuh</v>
      </c>
      <c r="M812" s="79" t="str">
        <f aca="false">IF(L812="Tidak dibuka","–",IF(F812="","(tanpa age group)",F812)&amp;"  "&amp;IF(H812="","?",H812)&amp;"/"&amp;IF(G812="","?",G812)&amp;CHAR(10)&amp;IF(K812="","coach: –","coach: "&amp;K812))</f>
        <v>Kids  1/1
coach: Frido</v>
      </c>
    </row>
    <row r="813" customFormat="false" ht="22.35" hidden="false" customHeight="false" outlineLevel="0" collapsed="false">
      <c r="A813" s="76" t="str">
        <f aca="false">B813&amp;"|"&amp;C813&amp;"|"&amp;D813&amp;"|"&amp;E813</f>
        <v>KWC|5|Jumat|14:45</v>
      </c>
      <c r="B813" s="76" t="s">
        <v>63</v>
      </c>
      <c r="C813" s="76" t="n">
        <v>5</v>
      </c>
      <c r="D813" s="76" t="s">
        <v>94</v>
      </c>
      <c r="E813" s="76" t="s">
        <v>118</v>
      </c>
      <c r="F813" s="77" t="s">
        <v>210</v>
      </c>
      <c r="G813" s="77" t="n">
        <v>4</v>
      </c>
      <c r="H813" s="77" t="n">
        <v>4</v>
      </c>
      <c r="I813" s="76" t="n">
        <f aca="false">IF(AND(ISNUMBER(G813),ISNUMBER(H813)),MAX(G813-H813,0),"")</f>
        <v>0</v>
      </c>
      <c r="J813" s="78" t="n">
        <f aca="false">IF(AND(ISNUMBER(G813),ISNUMBER(H813)),IF(G813&gt;0,H813/G813,""),"")</f>
        <v>1</v>
      </c>
      <c r="K813" s="77" t="s">
        <v>268</v>
      </c>
      <c r="L813" s="76" t="str">
        <f aca="false">IF(OR(G813="",H813=""),"Data tidak lengkap",IF(AND(G813=0,H813=0),IF(AND(F813="",K813=""),"Tidak dibuka","Tutup"),IF(H813&gt;G813,"Lebih kapasitas",IF(H813=G813,"Penuh",IF(H813=0,IF(F813="","Slot kosong","Belum terisi"),"Sebagian")))))</f>
        <v>Penuh</v>
      </c>
      <c r="M813" s="79" t="str">
        <f aca="false">IF(L813="Tidak dibuka","–",IF(F813="","(tanpa age group)",F813)&amp;"  "&amp;IF(H813="","?",H813)&amp;"/"&amp;IF(G813="","?",G813)&amp;CHAR(10)&amp;IF(K813="","coach: –","coach: "&amp;K813))</f>
        <v>Kids  4/4
coach: Andreas</v>
      </c>
    </row>
    <row r="814" customFormat="false" ht="22.35" hidden="false" customHeight="false" outlineLevel="0" collapsed="false">
      <c r="A814" s="76" t="str">
        <f aca="false">B814&amp;"|"&amp;C814&amp;"|"&amp;D814&amp;"|"&amp;E814</f>
        <v>KWC|5|Jumat|15:30</v>
      </c>
      <c r="B814" s="76" t="s">
        <v>63</v>
      </c>
      <c r="C814" s="76" t="n">
        <v>5</v>
      </c>
      <c r="D814" s="76" t="s">
        <v>94</v>
      </c>
      <c r="E814" s="76" t="s">
        <v>119</v>
      </c>
      <c r="F814" s="77" t="s">
        <v>210</v>
      </c>
      <c r="G814" s="77" t="n">
        <v>4</v>
      </c>
      <c r="H814" s="77" t="n">
        <v>4</v>
      </c>
      <c r="I814" s="76" t="n">
        <f aca="false">IF(AND(ISNUMBER(G814),ISNUMBER(H814)),MAX(G814-H814,0),"")</f>
        <v>0</v>
      </c>
      <c r="J814" s="78" t="n">
        <f aca="false">IF(AND(ISNUMBER(G814),ISNUMBER(H814)),IF(G814&gt;0,H814/G814,""),"")</f>
        <v>1</v>
      </c>
      <c r="K814" s="77" t="s">
        <v>269</v>
      </c>
      <c r="L814" s="76" t="str">
        <f aca="false">IF(OR(G814="",H814=""),"Data tidak lengkap",IF(AND(G814=0,H814=0),IF(AND(F814="",K814=""),"Tidak dibuka","Tutup"),IF(H814&gt;G814,"Lebih kapasitas",IF(H814=G814,"Penuh",IF(H814=0,IF(F814="","Slot kosong","Belum terisi"),"Sebagian")))))</f>
        <v>Penuh</v>
      </c>
      <c r="M814" s="79" t="str">
        <f aca="false">IF(L814="Tidak dibuka","–",IF(F814="","(tanpa age group)",F814)&amp;"  "&amp;IF(H814="","?",H814)&amp;"/"&amp;IF(G814="","?",G814)&amp;CHAR(10)&amp;IF(K814="","coach: –","coach: "&amp;K814))</f>
        <v>Kids  4/4
coach: Nabila</v>
      </c>
    </row>
    <row r="815" customFormat="false" ht="22.35" hidden="false" customHeight="false" outlineLevel="0" collapsed="false">
      <c r="A815" s="76" t="str">
        <f aca="false">B815&amp;"|"&amp;C815&amp;"|"&amp;D815&amp;"|"&amp;E815</f>
        <v>KWC|5|Jumat|16:15</v>
      </c>
      <c r="B815" s="76" t="s">
        <v>63</v>
      </c>
      <c r="C815" s="76" t="n">
        <v>5</v>
      </c>
      <c r="D815" s="76" t="s">
        <v>94</v>
      </c>
      <c r="E815" s="76" t="s">
        <v>120</v>
      </c>
      <c r="F815" s="77" t="s">
        <v>277</v>
      </c>
      <c r="G815" s="77" t="n">
        <v>4</v>
      </c>
      <c r="H815" s="77" t="n">
        <v>3</v>
      </c>
      <c r="I815" s="76" t="n">
        <f aca="false">IF(AND(ISNUMBER(G815),ISNUMBER(H815)),MAX(G815-H815,0),"")</f>
        <v>1</v>
      </c>
      <c r="J815" s="78" t="n">
        <f aca="false">IF(AND(ISNUMBER(G815),ISNUMBER(H815)),IF(G815&gt;0,H815/G815,""),"")</f>
        <v>0.75</v>
      </c>
      <c r="K815" s="77" t="s">
        <v>273</v>
      </c>
      <c r="L815" s="76" t="str">
        <f aca="false">IF(OR(G815="",H815=""),"Data tidak lengkap",IF(AND(G815=0,H815=0),IF(AND(F815="",K815=""),"Tidak dibuka","Tutup"),IF(H815&gt;G815,"Lebih kapasitas",IF(H815=G815,"Penuh",IF(H815=0,IF(F815="","Slot kosong","Belum terisi"),"Sebagian")))))</f>
        <v>Sebagian</v>
      </c>
      <c r="M815" s="79" t="str">
        <f aca="false">IF(L815="Tidak dibuka","–",IF(F815="","(tanpa age group)",F815)&amp;"  "&amp;IF(H815="","?",H815)&amp;"/"&amp;IF(G815="","?",G815)&amp;CHAR(10)&amp;IF(K815="","coach: –","coach: "&amp;K815))</f>
        <v>Little  3/4
coach: Frido</v>
      </c>
    </row>
    <row r="816" customFormat="false" ht="22.35" hidden="false" customHeight="false" outlineLevel="0" collapsed="false">
      <c r="A816" s="76" t="str">
        <f aca="false">B816&amp;"|"&amp;C816&amp;"|"&amp;D816&amp;"|"&amp;E816</f>
        <v>KWC|5|Jumat|17:00</v>
      </c>
      <c r="B816" s="76" t="s">
        <v>63</v>
      </c>
      <c r="C816" s="76" t="n">
        <v>5</v>
      </c>
      <c r="D816" s="76" t="s">
        <v>94</v>
      </c>
      <c r="E816" s="76" t="s">
        <v>121</v>
      </c>
      <c r="F816" s="77" t="s">
        <v>210</v>
      </c>
      <c r="G816" s="77" t="n">
        <v>5</v>
      </c>
      <c r="H816" s="77" t="n">
        <v>4</v>
      </c>
      <c r="I816" s="76" t="n">
        <f aca="false">IF(AND(ISNUMBER(G816),ISNUMBER(H816)),MAX(G816-H816,0),"")</f>
        <v>1</v>
      </c>
      <c r="J816" s="78" t="n">
        <f aca="false">IF(AND(ISNUMBER(G816),ISNUMBER(H816)),IF(G816&gt;0,H816/G816,""),"")</f>
        <v>0.8</v>
      </c>
      <c r="K816" s="77" t="s">
        <v>275</v>
      </c>
      <c r="L816" s="76" t="str">
        <f aca="false">IF(OR(G816="",H816=""),"Data tidak lengkap",IF(AND(G816=0,H816=0),IF(AND(F816="",K816=""),"Tidak dibuka","Tutup"),IF(H816&gt;G816,"Lebih kapasitas",IF(H816=G816,"Penuh",IF(H816=0,IF(F816="","Slot kosong","Belum terisi"),"Sebagian")))))</f>
        <v>Sebagian</v>
      </c>
      <c r="M816" s="79" t="str">
        <f aca="false">IF(L816="Tidak dibuka","–",IF(F816="","(tanpa age group)",F816)&amp;"  "&amp;IF(H816="","?",H816)&amp;"/"&amp;IF(G816="","?",G816)&amp;CHAR(10)&amp;IF(K816="","coach: –","coach: "&amp;K816))</f>
        <v>Kids  4/5
coach: Ziran</v>
      </c>
    </row>
    <row r="817" customFormat="false" ht="15" hidden="false" customHeight="false" outlineLevel="0" collapsed="false">
      <c r="A817" s="76" t="str">
        <f aca="false">B817&amp;"|"&amp;C817&amp;"|"&amp;D817&amp;"|"&amp;E817</f>
        <v>KWC|5|Sabtu|08:00</v>
      </c>
      <c r="B817" s="76" t="s">
        <v>63</v>
      </c>
      <c r="C817" s="76" t="n">
        <v>5</v>
      </c>
      <c r="D817" s="76" t="s">
        <v>95</v>
      </c>
      <c r="E817" s="76" t="s">
        <v>110</v>
      </c>
      <c r="F817" s="77"/>
      <c r="G817" s="77" t="n">
        <v>0</v>
      </c>
      <c r="H817" s="77" t="n">
        <v>0</v>
      </c>
      <c r="I817" s="76" t="n">
        <f aca="false">IF(AND(ISNUMBER(G817),ISNUMBER(H817)),MAX(G817-H817,0),"")</f>
        <v>0</v>
      </c>
      <c r="J817" s="78" t="str">
        <f aca="false">IF(AND(ISNUMBER(G817),ISNUMBER(H817)),IF(G817&gt;0,H817/G817,""),"")</f>
        <v/>
      </c>
      <c r="K817" s="77"/>
      <c r="L817" s="76" t="str">
        <f aca="false">IF(OR(G817="",H817=""),"Data tidak lengkap",IF(AND(G817=0,H817=0),IF(AND(F817="",K817=""),"Tidak dibuka","Tutup"),IF(H817&gt;G817,"Lebih kapasitas",IF(H817=G817,"Penuh",IF(H817=0,IF(F817="","Slot kosong","Belum terisi"),"Sebagian")))))</f>
        <v>Tidak dibuka</v>
      </c>
      <c r="M817" s="76" t="str">
        <f aca="false">IF(L817="Tidak dibuka","–",IF(F817="","(tanpa age group)",F817)&amp;"  "&amp;IF(H817="","?",H817)&amp;"/"&amp;IF(G817="","?",G817)&amp;CHAR(10)&amp;IF(K817="","coach: –","coach: "&amp;K817))</f>
        <v>–</v>
      </c>
    </row>
    <row r="818" customFormat="false" ht="22.35" hidden="false" customHeight="false" outlineLevel="0" collapsed="false">
      <c r="A818" s="76" t="str">
        <f aca="false">B818&amp;"|"&amp;C818&amp;"|"&amp;D818&amp;"|"&amp;E818</f>
        <v>KWC|5|Sabtu|08:45</v>
      </c>
      <c r="B818" s="76" t="s">
        <v>63</v>
      </c>
      <c r="C818" s="76" t="n">
        <v>5</v>
      </c>
      <c r="D818" s="76" t="s">
        <v>95</v>
      </c>
      <c r="E818" s="76" t="s">
        <v>111</v>
      </c>
      <c r="F818" s="77" t="s">
        <v>210</v>
      </c>
      <c r="G818" s="77" t="n">
        <v>4</v>
      </c>
      <c r="H818" s="77" t="n">
        <v>4</v>
      </c>
      <c r="I818" s="76" t="n">
        <f aca="false">IF(AND(ISNUMBER(G818),ISNUMBER(H818)),MAX(G818-H818,0),"")</f>
        <v>0</v>
      </c>
      <c r="J818" s="78" t="n">
        <f aca="false">IF(AND(ISNUMBER(G818),ISNUMBER(H818)),IF(G818&gt;0,H818/G818,""),"")</f>
        <v>1</v>
      </c>
      <c r="K818" s="77" t="s">
        <v>272</v>
      </c>
      <c r="L818" s="76" t="str">
        <f aca="false">IF(OR(G818="",H818=""),"Data tidak lengkap",IF(AND(G818=0,H818=0),IF(AND(F818="",K818=""),"Tidak dibuka","Tutup"),IF(H818&gt;G818,"Lebih kapasitas",IF(H818=G818,"Penuh",IF(H818=0,IF(F818="","Slot kosong","Belum terisi"),"Sebagian")))))</f>
        <v>Penuh</v>
      </c>
      <c r="M818" s="79" t="str">
        <f aca="false">IF(L818="Tidak dibuka","–",IF(F818="","(tanpa age group)",F818)&amp;"  "&amp;IF(H818="","?",H818)&amp;"/"&amp;IF(G818="","?",G818)&amp;CHAR(10)&amp;IF(K818="","coach: –","coach: "&amp;K818))</f>
        <v>Kids  4/4
coach: Eriek</v>
      </c>
    </row>
    <row r="819" customFormat="false" ht="22.35" hidden="false" customHeight="false" outlineLevel="0" collapsed="false">
      <c r="A819" s="76" t="str">
        <f aca="false">B819&amp;"|"&amp;C819&amp;"|"&amp;D819&amp;"|"&amp;E819</f>
        <v>KWC|5|Sabtu|09:30</v>
      </c>
      <c r="B819" s="76" t="s">
        <v>63</v>
      </c>
      <c r="C819" s="76" t="n">
        <v>5</v>
      </c>
      <c r="D819" s="76" t="s">
        <v>95</v>
      </c>
      <c r="E819" s="76" t="s">
        <v>112</v>
      </c>
      <c r="F819" s="77" t="s">
        <v>277</v>
      </c>
      <c r="G819" s="77" t="n">
        <v>4</v>
      </c>
      <c r="H819" s="77" t="n">
        <v>4</v>
      </c>
      <c r="I819" s="76" t="n">
        <f aca="false">IF(AND(ISNUMBER(G819),ISNUMBER(H819)),MAX(G819-H819,0),"")</f>
        <v>0</v>
      </c>
      <c r="J819" s="78" t="n">
        <f aca="false">IF(AND(ISNUMBER(G819),ISNUMBER(H819)),IF(G819&gt;0,H819/G819,""),"")</f>
        <v>1</v>
      </c>
      <c r="K819" s="77" t="s">
        <v>275</v>
      </c>
      <c r="L819" s="76" t="str">
        <f aca="false">IF(OR(G819="",H819=""),"Data tidak lengkap",IF(AND(G819=0,H819=0),IF(AND(F819="",K819=""),"Tidak dibuka","Tutup"),IF(H819&gt;G819,"Lebih kapasitas",IF(H819=G819,"Penuh",IF(H819=0,IF(F819="","Slot kosong","Belum terisi"),"Sebagian")))))</f>
        <v>Penuh</v>
      </c>
      <c r="M819" s="79" t="str">
        <f aca="false">IF(L819="Tidak dibuka","–",IF(F819="","(tanpa age group)",F819)&amp;"  "&amp;IF(H819="","?",H819)&amp;"/"&amp;IF(G819="","?",G819)&amp;CHAR(10)&amp;IF(K819="","coach: –","coach: "&amp;K819))</f>
        <v>Little  4/4
coach: Ziran</v>
      </c>
    </row>
    <row r="820" customFormat="false" ht="22.35" hidden="false" customHeight="false" outlineLevel="0" collapsed="false">
      <c r="A820" s="76" t="str">
        <f aca="false">B820&amp;"|"&amp;C820&amp;"|"&amp;D820&amp;"|"&amp;E820</f>
        <v>KWC|5|Sabtu|10:15</v>
      </c>
      <c r="B820" s="76" t="s">
        <v>63</v>
      </c>
      <c r="C820" s="76" t="n">
        <v>5</v>
      </c>
      <c r="D820" s="76" t="s">
        <v>95</v>
      </c>
      <c r="E820" s="76" t="s">
        <v>113</v>
      </c>
      <c r="F820" s="77" t="s">
        <v>42</v>
      </c>
      <c r="G820" s="77" t="n">
        <v>5</v>
      </c>
      <c r="H820" s="77" t="n">
        <v>3</v>
      </c>
      <c r="I820" s="76" t="n">
        <f aca="false">IF(AND(ISNUMBER(G820),ISNUMBER(H820)),MAX(G820-H820,0),"")</f>
        <v>2</v>
      </c>
      <c r="J820" s="78" t="n">
        <f aca="false">IF(AND(ISNUMBER(G820),ISNUMBER(H820)),IF(G820&gt;0,H820/G820,""),"")</f>
        <v>0.6</v>
      </c>
      <c r="K820" s="77" t="s">
        <v>268</v>
      </c>
      <c r="L820" s="76" t="str">
        <f aca="false">IF(OR(G820="",H820=""),"Data tidak lengkap",IF(AND(G820=0,H820=0),IF(AND(F820="",K820=""),"Tidak dibuka","Tutup"),IF(H820&gt;G820,"Lebih kapasitas",IF(H820=G820,"Penuh",IF(H820=0,IF(F820="","Slot kosong","Belum terisi"),"Sebagian")))))</f>
        <v>Sebagian</v>
      </c>
      <c r="M820" s="79" t="str">
        <f aca="false">IF(L820="Tidak dibuka","–",IF(F820="","(tanpa age group)",F820)&amp;"  "&amp;IF(H820="","?",H820)&amp;"/"&amp;IF(G820="","?",G820)&amp;CHAR(10)&amp;IF(K820="","coach: –","coach: "&amp;K820))</f>
        <v>Tiny  3/5
coach: Andreas</v>
      </c>
    </row>
    <row r="821" customFormat="false" ht="22.35" hidden="false" customHeight="false" outlineLevel="0" collapsed="false">
      <c r="A821" s="76" t="str">
        <f aca="false">B821&amp;"|"&amp;C821&amp;"|"&amp;D821&amp;"|"&amp;E821</f>
        <v>KWC|5|Sabtu|11:00</v>
      </c>
      <c r="B821" s="76" t="s">
        <v>63</v>
      </c>
      <c r="C821" s="76" t="n">
        <v>5</v>
      </c>
      <c r="D821" s="76" t="s">
        <v>95</v>
      </c>
      <c r="E821" s="76" t="s">
        <v>114</v>
      </c>
      <c r="F821" s="77" t="s">
        <v>210</v>
      </c>
      <c r="G821" s="77" t="n">
        <v>4</v>
      </c>
      <c r="H821" s="77" t="n">
        <v>4</v>
      </c>
      <c r="I821" s="76" t="n">
        <f aca="false">IF(AND(ISNUMBER(G821),ISNUMBER(H821)),MAX(G821-H821,0),"")</f>
        <v>0</v>
      </c>
      <c r="J821" s="78" t="n">
        <f aca="false">IF(AND(ISNUMBER(G821),ISNUMBER(H821)),IF(G821&gt;0,H821/G821,""),"")</f>
        <v>1</v>
      </c>
      <c r="K821" s="77" t="s">
        <v>273</v>
      </c>
      <c r="L821" s="76" t="str">
        <f aca="false">IF(OR(G821="",H821=""),"Data tidak lengkap",IF(AND(G821=0,H821=0),IF(AND(F821="",K821=""),"Tidak dibuka","Tutup"),IF(H821&gt;G821,"Lebih kapasitas",IF(H821=G821,"Penuh",IF(H821=0,IF(F821="","Slot kosong","Belum terisi"),"Sebagian")))))</f>
        <v>Penuh</v>
      </c>
      <c r="M821" s="79" t="str">
        <f aca="false">IF(L821="Tidak dibuka","–",IF(F821="","(tanpa age group)",F821)&amp;"  "&amp;IF(H821="","?",H821)&amp;"/"&amp;IF(G821="","?",G821)&amp;CHAR(10)&amp;IF(K821="","coach: –","coach: "&amp;K821))</f>
        <v>Kids  4/4
coach: Frido</v>
      </c>
    </row>
    <row r="822" customFormat="false" ht="22.35" hidden="false" customHeight="false" outlineLevel="0" collapsed="false">
      <c r="A822" s="76" t="str">
        <f aca="false">B822&amp;"|"&amp;C822&amp;"|"&amp;D822&amp;"|"&amp;E822</f>
        <v>KWC|5|Sabtu|11:45</v>
      </c>
      <c r="B822" s="76" t="s">
        <v>63</v>
      </c>
      <c r="C822" s="76" t="n">
        <v>5</v>
      </c>
      <c r="D822" s="76" t="s">
        <v>95</v>
      </c>
      <c r="E822" s="76" t="s">
        <v>115</v>
      </c>
      <c r="F822" s="77" t="s">
        <v>277</v>
      </c>
      <c r="G822" s="77" t="n">
        <v>4</v>
      </c>
      <c r="H822" s="77" t="n">
        <v>2</v>
      </c>
      <c r="I822" s="76" t="n">
        <f aca="false">IF(AND(ISNUMBER(G822),ISNUMBER(H822)),MAX(G822-H822,0),"")</f>
        <v>2</v>
      </c>
      <c r="J822" s="78" t="n">
        <f aca="false">IF(AND(ISNUMBER(G822),ISNUMBER(H822)),IF(G822&gt;0,H822/G822,""),"")</f>
        <v>0.5</v>
      </c>
      <c r="K822" s="77" t="s">
        <v>275</v>
      </c>
      <c r="L822" s="76" t="str">
        <f aca="false">IF(OR(G822="",H822=""),"Data tidak lengkap",IF(AND(G822=0,H822=0),IF(AND(F822="",K822=""),"Tidak dibuka","Tutup"),IF(H822&gt;G822,"Lebih kapasitas",IF(H822=G822,"Penuh",IF(H822=0,IF(F822="","Slot kosong","Belum terisi"),"Sebagian")))))</f>
        <v>Sebagian</v>
      </c>
      <c r="M822" s="79" t="str">
        <f aca="false">IF(L822="Tidak dibuka","–",IF(F822="","(tanpa age group)",F822)&amp;"  "&amp;IF(H822="","?",H822)&amp;"/"&amp;IF(G822="","?",G822)&amp;CHAR(10)&amp;IF(K822="","coach: –","coach: "&amp;K822))</f>
        <v>Little  2/4
coach: Ziran</v>
      </c>
    </row>
    <row r="823" customFormat="false" ht="22.35" hidden="false" customHeight="false" outlineLevel="0" collapsed="false">
      <c r="A823" s="76" t="str">
        <f aca="false">B823&amp;"|"&amp;C823&amp;"|"&amp;D823&amp;"|"&amp;E823</f>
        <v>KWC|5|Sabtu|13:15</v>
      </c>
      <c r="B823" s="76" t="s">
        <v>63</v>
      </c>
      <c r="C823" s="76" t="n">
        <v>5</v>
      </c>
      <c r="D823" s="76" t="s">
        <v>95</v>
      </c>
      <c r="E823" s="76" t="s">
        <v>116</v>
      </c>
      <c r="F823" s="77" t="s">
        <v>210</v>
      </c>
      <c r="G823" s="77" t="n">
        <v>5</v>
      </c>
      <c r="H823" s="77" t="n">
        <v>4</v>
      </c>
      <c r="I823" s="76" t="n">
        <f aca="false">IF(AND(ISNUMBER(G823),ISNUMBER(H823)),MAX(G823-H823,0),"")</f>
        <v>1</v>
      </c>
      <c r="J823" s="78" t="n">
        <f aca="false">IF(AND(ISNUMBER(G823),ISNUMBER(H823)),IF(G823&gt;0,H823/G823,""),"")</f>
        <v>0.8</v>
      </c>
      <c r="K823" s="77" t="s">
        <v>272</v>
      </c>
      <c r="L823" s="76" t="str">
        <f aca="false">IF(OR(G823="",H823=""),"Data tidak lengkap",IF(AND(G823=0,H823=0),IF(AND(F823="",K823=""),"Tidak dibuka","Tutup"),IF(H823&gt;G823,"Lebih kapasitas",IF(H823=G823,"Penuh",IF(H823=0,IF(F823="","Slot kosong","Belum terisi"),"Sebagian")))))</f>
        <v>Sebagian</v>
      </c>
      <c r="M823" s="79" t="str">
        <f aca="false">IF(L823="Tidak dibuka","–",IF(F823="","(tanpa age group)",F823)&amp;"  "&amp;IF(H823="","?",H823)&amp;"/"&amp;IF(G823="","?",G823)&amp;CHAR(10)&amp;IF(K823="","coach: –","coach: "&amp;K823))</f>
        <v>Kids  4/5
coach: Eriek</v>
      </c>
    </row>
    <row r="824" customFormat="false" ht="22.35" hidden="false" customHeight="false" outlineLevel="0" collapsed="false">
      <c r="A824" s="76" t="str">
        <f aca="false">B824&amp;"|"&amp;C824&amp;"|"&amp;D824&amp;"|"&amp;E824</f>
        <v>KWC|5|Sabtu|14:00</v>
      </c>
      <c r="B824" s="76" t="s">
        <v>63</v>
      </c>
      <c r="C824" s="76" t="n">
        <v>5</v>
      </c>
      <c r="D824" s="76" t="s">
        <v>95</v>
      </c>
      <c r="E824" s="76" t="s">
        <v>117</v>
      </c>
      <c r="F824" s="77" t="s">
        <v>277</v>
      </c>
      <c r="G824" s="77" t="n">
        <v>4</v>
      </c>
      <c r="H824" s="77" t="n">
        <v>3</v>
      </c>
      <c r="I824" s="76" t="n">
        <f aca="false">IF(AND(ISNUMBER(G824),ISNUMBER(H824)),MAX(G824-H824,0),"")</f>
        <v>1</v>
      </c>
      <c r="J824" s="78" t="n">
        <f aca="false">IF(AND(ISNUMBER(G824),ISNUMBER(H824)),IF(G824&gt;0,H824/G824,""),"")</f>
        <v>0.75</v>
      </c>
      <c r="K824" s="77" t="s">
        <v>268</v>
      </c>
      <c r="L824" s="76" t="str">
        <f aca="false">IF(OR(G824="",H824=""),"Data tidak lengkap",IF(AND(G824=0,H824=0),IF(AND(F824="",K824=""),"Tidak dibuka","Tutup"),IF(H824&gt;G824,"Lebih kapasitas",IF(H824=G824,"Penuh",IF(H824=0,IF(F824="","Slot kosong","Belum terisi"),"Sebagian")))))</f>
        <v>Sebagian</v>
      </c>
      <c r="M824" s="79" t="str">
        <f aca="false">IF(L824="Tidak dibuka","–",IF(F824="","(tanpa age group)",F824)&amp;"  "&amp;IF(H824="","?",H824)&amp;"/"&amp;IF(G824="","?",G824)&amp;CHAR(10)&amp;IF(K824="","coach: –","coach: "&amp;K824))</f>
        <v>Little  3/4
coach: Andreas</v>
      </c>
    </row>
    <row r="825" customFormat="false" ht="22.35" hidden="false" customHeight="false" outlineLevel="0" collapsed="false">
      <c r="A825" s="76" t="str">
        <f aca="false">B825&amp;"|"&amp;C825&amp;"|"&amp;D825&amp;"|"&amp;E825</f>
        <v>KWC|5|Sabtu|14:45</v>
      </c>
      <c r="B825" s="76" t="s">
        <v>63</v>
      </c>
      <c r="C825" s="76" t="n">
        <v>5</v>
      </c>
      <c r="D825" s="76" t="s">
        <v>95</v>
      </c>
      <c r="E825" s="76" t="s">
        <v>118</v>
      </c>
      <c r="F825" s="77" t="s">
        <v>42</v>
      </c>
      <c r="G825" s="77" t="n">
        <v>5</v>
      </c>
      <c r="H825" s="77" t="n">
        <v>3</v>
      </c>
      <c r="I825" s="76" t="n">
        <f aca="false">IF(AND(ISNUMBER(G825),ISNUMBER(H825)),MAX(G825-H825,0),"")</f>
        <v>2</v>
      </c>
      <c r="J825" s="78" t="n">
        <f aca="false">IF(AND(ISNUMBER(G825),ISNUMBER(H825)),IF(G825&gt;0,H825/G825,""),"")</f>
        <v>0.6</v>
      </c>
      <c r="K825" s="77" t="s">
        <v>268</v>
      </c>
      <c r="L825" s="76" t="str">
        <f aca="false">IF(OR(G825="",H825=""),"Data tidak lengkap",IF(AND(G825=0,H825=0),IF(AND(F825="",K825=""),"Tidak dibuka","Tutup"),IF(H825&gt;G825,"Lebih kapasitas",IF(H825=G825,"Penuh",IF(H825=0,IF(F825="","Slot kosong","Belum terisi"),"Sebagian")))))</f>
        <v>Sebagian</v>
      </c>
      <c r="M825" s="79" t="str">
        <f aca="false">IF(L825="Tidak dibuka","–",IF(F825="","(tanpa age group)",F825)&amp;"  "&amp;IF(H825="","?",H825)&amp;"/"&amp;IF(G825="","?",G825)&amp;CHAR(10)&amp;IF(K825="","coach: –","coach: "&amp;K825))</f>
        <v>Tiny  3/5
coach: Andreas</v>
      </c>
    </row>
    <row r="826" customFormat="false" ht="22.35" hidden="false" customHeight="false" outlineLevel="0" collapsed="false">
      <c r="A826" s="76" t="str">
        <f aca="false">B826&amp;"|"&amp;C826&amp;"|"&amp;D826&amp;"|"&amp;E826</f>
        <v>KWC|5|Sabtu|15:30</v>
      </c>
      <c r="B826" s="76" t="s">
        <v>63</v>
      </c>
      <c r="C826" s="76" t="n">
        <v>5</v>
      </c>
      <c r="D826" s="76" t="s">
        <v>95</v>
      </c>
      <c r="E826" s="76" t="s">
        <v>119</v>
      </c>
      <c r="F826" s="77" t="s">
        <v>210</v>
      </c>
      <c r="G826" s="77" t="n">
        <v>5</v>
      </c>
      <c r="H826" s="77" t="n">
        <v>4</v>
      </c>
      <c r="I826" s="76" t="n">
        <f aca="false">IF(AND(ISNUMBER(G826),ISNUMBER(H826)),MAX(G826-H826,0),"")</f>
        <v>1</v>
      </c>
      <c r="J826" s="78" t="n">
        <f aca="false">IF(AND(ISNUMBER(G826),ISNUMBER(H826)),IF(G826&gt;0,H826/G826,""),"")</f>
        <v>0.8</v>
      </c>
      <c r="K826" s="77" t="s">
        <v>275</v>
      </c>
      <c r="L826" s="76" t="str">
        <f aca="false">IF(OR(G826="",H826=""),"Data tidak lengkap",IF(AND(G826=0,H826=0),IF(AND(F826="",K826=""),"Tidak dibuka","Tutup"),IF(H826&gt;G826,"Lebih kapasitas",IF(H826=G826,"Penuh",IF(H826=0,IF(F826="","Slot kosong","Belum terisi"),"Sebagian")))))</f>
        <v>Sebagian</v>
      </c>
      <c r="M826" s="79" t="str">
        <f aca="false">IF(L826="Tidak dibuka","–",IF(F826="","(tanpa age group)",F826)&amp;"  "&amp;IF(H826="","?",H826)&amp;"/"&amp;IF(G826="","?",G826)&amp;CHAR(10)&amp;IF(K826="","coach: –","coach: "&amp;K826))</f>
        <v>Kids  4/5
coach: Ziran</v>
      </c>
    </row>
    <row r="827" customFormat="false" ht="22.35" hidden="false" customHeight="false" outlineLevel="0" collapsed="false">
      <c r="A827" s="76" t="str">
        <f aca="false">B827&amp;"|"&amp;C827&amp;"|"&amp;D827&amp;"|"&amp;E827</f>
        <v>KWC|5|Sabtu|16:15</v>
      </c>
      <c r="B827" s="76" t="s">
        <v>63</v>
      </c>
      <c r="C827" s="76" t="n">
        <v>5</v>
      </c>
      <c r="D827" s="76" t="s">
        <v>95</v>
      </c>
      <c r="E827" s="76" t="s">
        <v>120</v>
      </c>
      <c r="F827" s="77" t="s">
        <v>210</v>
      </c>
      <c r="G827" s="77" t="n">
        <v>4</v>
      </c>
      <c r="H827" s="77" t="n">
        <v>4</v>
      </c>
      <c r="I827" s="76" t="n">
        <f aca="false">IF(AND(ISNUMBER(G827),ISNUMBER(H827)),MAX(G827-H827,0),"")</f>
        <v>0</v>
      </c>
      <c r="J827" s="78" t="n">
        <f aca="false">IF(AND(ISNUMBER(G827),ISNUMBER(H827)),IF(G827&gt;0,H827/G827,""),"")</f>
        <v>1</v>
      </c>
      <c r="K827" s="77" t="s">
        <v>272</v>
      </c>
      <c r="L827" s="76" t="str">
        <f aca="false">IF(OR(G827="",H827=""),"Data tidak lengkap",IF(AND(G827=0,H827=0),IF(AND(F827="",K827=""),"Tidak dibuka","Tutup"),IF(H827&gt;G827,"Lebih kapasitas",IF(H827=G827,"Penuh",IF(H827=0,IF(F827="","Slot kosong","Belum terisi"),"Sebagian")))))</f>
        <v>Penuh</v>
      </c>
      <c r="M827" s="79" t="str">
        <f aca="false">IF(L827="Tidak dibuka","–",IF(F827="","(tanpa age group)",F827)&amp;"  "&amp;IF(H827="","?",H827)&amp;"/"&amp;IF(G827="","?",G827)&amp;CHAR(10)&amp;IF(K827="","coach: –","coach: "&amp;K827))</f>
        <v>Kids  4/4
coach: Eriek</v>
      </c>
    </row>
    <row r="828" customFormat="false" ht="22.35" hidden="false" customHeight="false" outlineLevel="0" collapsed="false">
      <c r="A828" s="76" t="str">
        <f aca="false">B828&amp;"|"&amp;C828&amp;"|"&amp;D828&amp;"|"&amp;E828</f>
        <v>KWC|5|Sabtu|17:00</v>
      </c>
      <c r="B828" s="76" t="s">
        <v>63</v>
      </c>
      <c r="C828" s="76" t="n">
        <v>5</v>
      </c>
      <c r="D828" s="76" t="s">
        <v>95</v>
      </c>
      <c r="E828" s="76" t="s">
        <v>121</v>
      </c>
      <c r="F828" s="77" t="s">
        <v>210</v>
      </c>
      <c r="G828" s="77" t="n">
        <v>5</v>
      </c>
      <c r="H828" s="77" t="n">
        <v>3</v>
      </c>
      <c r="I828" s="76" t="n">
        <f aca="false">IF(AND(ISNUMBER(G828),ISNUMBER(H828)),MAX(G828-H828,0),"")</f>
        <v>2</v>
      </c>
      <c r="J828" s="78" t="n">
        <f aca="false">IF(AND(ISNUMBER(G828),ISNUMBER(H828)),IF(G828&gt;0,H828/G828,""),"")</f>
        <v>0.6</v>
      </c>
      <c r="K828" s="77" t="s">
        <v>274</v>
      </c>
      <c r="L828" s="76" t="str">
        <f aca="false">IF(OR(G828="",H828=""),"Data tidak lengkap",IF(AND(G828=0,H828=0),IF(AND(F828="",K828=""),"Tidak dibuka","Tutup"),IF(H828&gt;G828,"Lebih kapasitas",IF(H828=G828,"Penuh",IF(H828=0,IF(F828="","Slot kosong","Belum terisi"),"Sebagian")))))</f>
        <v>Sebagian</v>
      </c>
      <c r="M828" s="79" t="str">
        <f aca="false">IF(L828="Tidak dibuka","–",IF(F828="","(tanpa age group)",F828)&amp;"  "&amp;IF(H828="","?",H828)&amp;"/"&amp;IF(G828="","?",G828)&amp;CHAR(10)&amp;IF(K828="","coach: –","coach: "&amp;K828))</f>
        <v>Kids  3/5
coach: Eve</v>
      </c>
    </row>
    <row r="829" customFormat="false" ht="15" hidden="false" customHeight="false" outlineLevel="0" collapsed="false">
      <c r="A829" s="76" t="str">
        <f aca="false">B829&amp;"|"&amp;C829&amp;"|"&amp;D829&amp;"|"&amp;E829</f>
        <v>KWC|5|Minggu|08:00</v>
      </c>
      <c r="B829" s="76" t="s">
        <v>63</v>
      </c>
      <c r="C829" s="76" t="n">
        <v>5</v>
      </c>
      <c r="D829" s="76" t="s">
        <v>78</v>
      </c>
      <c r="E829" s="76" t="s">
        <v>110</v>
      </c>
      <c r="F829" s="77"/>
      <c r="G829" s="77" t="n">
        <v>0</v>
      </c>
      <c r="H829" s="77" t="n">
        <v>0</v>
      </c>
      <c r="I829" s="76" t="n">
        <f aca="false">IF(AND(ISNUMBER(G829),ISNUMBER(H829)),MAX(G829-H829,0),"")</f>
        <v>0</v>
      </c>
      <c r="J829" s="78" t="str">
        <f aca="false">IF(AND(ISNUMBER(G829),ISNUMBER(H829)),IF(G829&gt;0,H829/G829,""),"")</f>
        <v/>
      </c>
      <c r="K829" s="77"/>
      <c r="L829" s="76" t="str">
        <f aca="false">IF(OR(G829="",H829=""),"Data tidak lengkap",IF(AND(G829=0,H829=0),IF(AND(F829="",K829=""),"Tidak dibuka","Tutup"),IF(H829&gt;G829,"Lebih kapasitas",IF(H829=G829,"Penuh",IF(H829=0,IF(F829="","Slot kosong","Belum terisi"),"Sebagian")))))</f>
        <v>Tidak dibuka</v>
      </c>
      <c r="M829" s="76" t="str">
        <f aca="false">IF(L829="Tidak dibuka","–",IF(F829="","(tanpa age group)",F829)&amp;"  "&amp;IF(H829="","?",H829)&amp;"/"&amp;IF(G829="","?",G829)&amp;CHAR(10)&amp;IF(K829="","coach: –","coach: "&amp;K829))</f>
        <v>–</v>
      </c>
    </row>
    <row r="830" customFormat="false" ht="22.35" hidden="false" customHeight="false" outlineLevel="0" collapsed="false">
      <c r="A830" s="76" t="str">
        <f aca="false">B830&amp;"|"&amp;C830&amp;"|"&amp;D830&amp;"|"&amp;E830</f>
        <v>KWC|5|Minggu|08:45</v>
      </c>
      <c r="B830" s="76" t="s">
        <v>63</v>
      </c>
      <c r="C830" s="76" t="n">
        <v>5</v>
      </c>
      <c r="D830" s="76" t="s">
        <v>78</v>
      </c>
      <c r="E830" s="76" t="s">
        <v>111</v>
      </c>
      <c r="F830" s="77" t="s">
        <v>210</v>
      </c>
      <c r="G830" s="77" t="n">
        <v>3</v>
      </c>
      <c r="H830" s="77" t="n">
        <v>4</v>
      </c>
      <c r="I830" s="76" t="n">
        <f aca="false">IF(AND(ISNUMBER(G830),ISNUMBER(H830)),MAX(G830-H830,0),"")</f>
        <v>0</v>
      </c>
      <c r="J830" s="78" t="n">
        <f aca="false">IF(AND(ISNUMBER(G830),ISNUMBER(H830)),IF(G830&gt;0,H830/G830,""),"")</f>
        <v>1.33333333333333</v>
      </c>
      <c r="K830" s="77" t="s">
        <v>275</v>
      </c>
      <c r="L830" s="76" t="str">
        <f aca="false">IF(OR(G830="",H830=""),"Data tidak lengkap",IF(AND(G830=0,H830=0),IF(AND(F830="",K830=""),"Tidak dibuka","Tutup"),IF(H830&gt;G830,"Lebih kapasitas",IF(H830=G830,"Penuh",IF(H830=0,IF(F830="","Slot kosong","Belum terisi"),"Sebagian")))))</f>
        <v>Lebih kapasitas</v>
      </c>
      <c r="M830" s="79" t="str">
        <f aca="false">IF(L830="Tidak dibuka","–",IF(F830="","(tanpa age group)",F830)&amp;"  "&amp;IF(H830="","?",H830)&amp;"/"&amp;IF(G830="","?",G830)&amp;CHAR(10)&amp;IF(K830="","coach: –","coach: "&amp;K830))</f>
        <v>Kids  4/3
coach: Ziran</v>
      </c>
    </row>
    <row r="831" customFormat="false" ht="22.35" hidden="false" customHeight="false" outlineLevel="0" collapsed="false">
      <c r="A831" s="76" t="str">
        <f aca="false">B831&amp;"|"&amp;C831&amp;"|"&amp;D831&amp;"|"&amp;E831</f>
        <v>KWC|5|Minggu|09:30</v>
      </c>
      <c r="B831" s="76" t="s">
        <v>63</v>
      </c>
      <c r="C831" s="76" t="n">
        <v>5</v>
      </c>
      <c r="D831" s="76" t="s">
        <v>78</v>
      </c>
      <c r="E831" s="76" t="s">
        <v>112</v>
      </c>
      <c r="F831" s="77" t="s">
        <v>277</v>
      </c>
      <c r="G831" s="77" t="n">
        <v>4</v>
      </c>
      <c r="H831" s="77" t="n">
        <v>3</v>
      </c>
      <c r="I831" s="76" t="n">
        <f aca="false">IF(AND(ISNUMBER(G831),ISNUMBER(H831)),MAX(G831-H831,0),"")</f>
        <v>1</v>
      </c>
      <c r="J831" s="78" t="n">
        <f aca="false">IF(AND(ISNUMBER(G831),ISNUMBER(H831)),IF(G831&gt;0,H831/G831,""),"")</f>
        <v>0.75</v>
      </c>
      <c r="K831" s="77" t="s">
        <v>273</v>
      </c>
      <c r="L831" s="76" t="str">
        <f aca="false">IF(OR(G831="",H831=""),"Data tidak lengkap",IF(AND(G831=0,H831=0),IF(AND(F831="",K831=""),"Tidak dibuka","Tutup"),IF(H831&gt;G831,"Lebih kapasitas",IF(H831=G831,"Penuh",IF(H831=0,IF(F831="","Slot kosong","Belum terisi"),"Sebagian")))))</f>
        <v>Sebagian</v>
      </c>
      <c r="M831" s="79" t="str">
        <f aca="false">IF(L831="Tidak dibuka","–",IF(F831="","(tanpa age group)",F831)&amp;"  "&amp;IF(H831="","?",H831)&amp;"/"&amp;IF(G831="","?",G831)&amp;CHAR(10)&amp;IF(K831="","coach: –","coach: "&amp;K831))</f>
        <v>Little  3/4
coach: Frido</v>
      </c>
    </row>
    <row r="832" customFormat="false" ht="22.35" hidden="false" customHeight="false" outlineLevel="0" collapsed="false">
      <c r="A832" s="76" t="str">
        <f aca="false">B832&amp;"|"&amp;C832&amp;"|"&amp;D832&amp;"|"&amp;E832</f>
        <v>KWC|5|Minggu|10:15</v>
      </c>
      <c r="B832" s="76" t="s">
        <v>63</v>
      </c>
      <c r="C832" s="76" t="n">
        <v>5</v>
      </c>
      <c r="D832" s="76" t="s">
        <v>78</v>
      </c>
      <c r="E832" s="76" t="s">
        <v>113</v>
      </c>
      <c r="F832" s="77" t="s">
        <v>210</v>
      </c>
      <c r="G832" s="77" t="n">
        <v>4</v>
      </c>
      <c r="H832" s="77" t="n">
        <v>4</v>
      </c>
      <c r="I832" s="76" t="n">
        <f aca="false">IF(AND(ISNUMBER(G832),ISNUMBER(H832)),MAX(G832-H832,0),"")</f>
        <v>0</v>
      </c>
      <c r="J832" s="78" t="n">
        <f aca="false">IF(AND(ISNUMBER(G832),ISNUMBER(H832)),IF(G832&gt;0,H832/G832,""),"")</f>
        <v>1</v>
      </c>
      <c r="K832" s="77" t="s">
        <v>268</v>
      </c>
      <c r="L832" s="76" t="str">
        <f aca="false">IF(OR(G832="",H832=""),"Data tidak lengkap",IF(AND(G832=0,H832=0),IF(AND(F832="",K832=""),"Tidak dibuka","Tutup"),IF(H832&gt;G832,"Lebih kapasitas",IF(H832=G832,"Penuh",IF(H832=0,IF(F832="","Slot kosong","Belum terisi"),"Sebagian")))))</f>
        <v>Penuh</v>
      </c>
      <c r="M832" s="79" t="str">
        <f aca="false">IF(L832="Tidak dibuka","–",IF(F832="","(tanpa age group)",F832)&amp;"  "&amp;IF(H832="","?",H832)&amp;"/"&amp;IF(G832="","?",G832)&amp;CHAR(10)&amp;IF(K832="","coach: –","coach: "&amp;K832))</f>
        <v>Kids  4/4
coach: Andreas</v>
      </c>
    </row>
    <row r="833" customFormat="false" ht="22.35" hidden="false" customHeight="false" outlineLevel="0" collapsed="false">
      <c r="A833" s="76" t="str">
        <f aca="false">B833&amp;"|"&amp;C833&amp;"|"&amp;D833&amp;"|"&amp;E833</f>
        <v>KWC|5|Minggu|11:00</v>
      </c>
      <c r="B833" s="76" t="s">
        <v>63</v>
      </c>
      <c r="C833" s="76" t="n">
        <v>5</v>
      </c>
      <c r="D833" s="76" t="s">
        <v>78</v>
      </c>
      <c r="E833" s="76" t="s">
        <v>114</v>
      </c>
      <c r="F833" s="77" t="s">
        <v>210</v>
      </c>
      <c r="G833" s="77" t="n">
        <v>5</v>
      </c>
      <c r="H833" s="77" t="n">
        <v>4</v>
      </c>
      <c r="I833" s="76" t="n">
        <f aca="false">IF(AND(ISNUMBER(G833),ISNUMBER(H833)),MAX(G833-H833,0),"")</f>
        <v>1</v>
      </c>
      <c r="J833" s="78" t="n">
        <f aca="false">IF(AND(ISNUMBER(G833),ISNUMBER(H833)),IF(G833&gt;0,H833/G833,""),"")</f>
        <v>0.8</v>
      </c>
      <c r="K833" s="77" t="s">
        <v>268</v>
      </c>
      <c r="L833" s="76" t="str">
        <f aca="false">IF(OR(G833="",H833=""),"Data tidak lengkap",IF(AND(G833=0,H833=0),IF(AND(F833="",K833=""),"Tidak dibuka","Tutup"),IF(H833&gt;G833,"Lebih kapasitas",IF(H833=G833,"Penuh",IF(H833=0,IF(F833="","Slot kosong","Belum terisi"),"Sebagian")))))</f>
        <v>Sebagian</v>
      </c>
      <c r="M833" s="79" t="str">
        <f aca="false">IF(L833="Tidak dibuka","–",IF(F833="","(tanpa age group)",F833)&amp;"  "&amp;IF(H833="","?",H833)&amp;"/"&amp;IF(G833="","?",G833)&amp;CHAR(10)&amp;IF(K833="","coach: –","coach: "&amp;K833))</f>
        <v>Kids  4/5
coach: Andreas</v>
      </c>
    </row>
    <row r="834" customFormat="false" ht="22.35" hidden="false" customHeight="false" outlineLevel="0" collapsed="false">
      <c r="A834" s="76" t="str">
        <f aca="false">B834&amp;"|"&amp;C834&amp;"|"&amp;D834&amp;"|"&amp;E834</f>
        <v>KWC|5|Minggu|11:45</v>
      </c>
      <c r="B834" s="76" t="s">
        <v>63</v>
      </c>
      <c r="C834" s="76" t="n">
        <v>5</v>
      </c>
      <c r="D834" s="76" t="s">
        <v>78</v>
      </c>
      <c r="E834" s="76" t="s">
        <v>115</v>
      </c>
      <c r="F834" s="77" t="s">
        <v>277</v>
      </c>
      <c r="G834" s="77" t="n">
        <v>5</v>
      </c>
      <c r="H834" s="77" t="n">
        <v>0</v>
      </c>
      <c r="I834" s="76" t="n">
        <f aca="false">IF(AND(ISNUMBER(G834),ISNUMBER(H834)),MAX(G834-H834,0),"")</f>
        <v>5</v>
      </c>
      <c r="J834" s="78" t="n">
        <f aca="false">IF(AND(ISNUMBER(G834),ISNUMBER(H834)),IF(G834&gt;0,H834/G834,""),"")</f>
        <v>0</v>
      </c>
      <c r="K834" s="77"/>
      <c r="L834" s="76" t="str">
        <f aca="false">IF(OR(G834="",H834=""),"Data tidak lengkap",IF(AND(G834=0,H834=0),IF(AND(F834="",K834=""),"Tidak dibuka","Tutup"),IF(H834&gt;G834,"Lebih kapasitas",IF(H834=G834,"Penuh",IF(H834=0,IF(F834="","Slot kosong","Belum terisi"),"Sebagian")))))</f>
        <v>Belum terisi</v>
      </c>
      <c r="M834" s="79" t="str">
        <f aca="false">IF(L834="Tidak dibuka","–",IF(F834="","(tanpa age group)",F834)&amp;"  "&amp;IF(H834="","?",H834)&amp;"/"&amp;IF(G834="","?",G834)&amp;CHAR(10)&amp;IF(K834="","coach: –","coach: "&amp;K834))</f>
        <v>Little  0/5
coach: –</v>
      </c>
    </row>
    <row r="835" customFormat="false" ht="22.35" hidden="false" customHeight="false" outlineLevel="0" collapsed="false">
      <c r="A835" s="76" t="str">
        <f aca="false">B835&amp;"|"&amp;C835&amp;"|"&amp;D835&amp;"|"&amp;E835</f>
        <v>KWC|5|Minggu|13:15</v>
      </c>
      <c r="B835" s="76" t="s">
        <v>63</v>
      </c>
      <c r="C835" s="76" t="n">
        <v>5</v>
      </c>
      <c r="D835" s="76" t="s">
        <v>78</v>
      </c>
      <c r="E835" s="76" t="s">
        <v>116</v>
      </c>
      <c r="F835" s="77" t="s">
        <v>210</v>
      </c>
      <c r="G835" s="77" t="n">
        <v>4</v>
      </c>
      <c r="H835" s="77" t="n">
        <v>3</v>
      </c>
      <c r="I835" s="76" t="n">
        <f aca="false">IF(AND(ISNUMBER(G835),ISNUMBER(H835)),MAX(G835-H835,0),"")</f>
        <v>1</v>
      </c>
      <c r="J835" s="78" t="n">
        <f aca="false">IF(AND(ISNUMBER(G835),ISNUMBER(H835)),IF(G835&gt;0,H835/G835,""),"")</f>
        <v>0.75</v>
      </c>
      <c r="K835" s="77" t="s">
        <v>267</v>
      </c>
      <c r="L835" s="76" t="str">
        <f aca="false">IF(OR(G835="",H835=""),"Data tidak lengkap",IF(AND(G835=0,H835=0),IF(AND(F835="",K835=""),"Tidak dibuka","Tutup"),IF(H835&gt;G835,"Lebih kapasitas",IF(H835=G835,"Penuh",IF(H835=0,IF(F835="","Slot kosong","Belum terisi"),"Sebagian")))))</f>
        <v>Sebagian</v>
      </c>
      <c r="M835" s="79" t="str">
        <f aca="false">IF(L835="Tidak dibuka","–",IF(F835="","(tanpa age group)",F835)&amp;"  "&amp;IF(H835="","?",H835)&amp;"/"&amp;IF(G835="","?",G835)&amp;CHAR(10)&amp;IF(K835="","coach: –","coach: "&amp;K835))</f>
        <v>Kids  3/4
coach: Deyon</v>
      </c>
    </row>
    <row r="836" customFormat="false" ht="22.35" hidden="false" customHeight="false" outlineLevel="0" collapsed="false">
      <c r="A836" s="76" t="str">
        <f aca="false">B836&amp;"|"&amp;C836&amp;"|"&amp;D836&amp;"|"&amp;E836</f>
        <v>KWC|5|Minggu|14:00</v>
      </c>
      <c r="B836" s="76" t="s">
        <v>63</v>
      </c>
      <c r="C836" s="76" t="n">
        <v>5</v>
      </c>
      <c r="D836" s="76" t="s">
        <v>78</v>
      </c>
      <c r="E836" s="76" t="s">
        <v>117</v>
      </c>
      <c r="F836" s="77" t="s">
        <v>210</v>
      </c>
      <c r="G836" s="77" t="n">
        <v>5</v>
      </c>
      <c r="H836" s="77" t="n">
        <v>4</v>
      </c>
      <c r="I836" s="76" t="n">
        <f aca="false">IF(AND(ISNUMBER(G836),ISNUMBER(H836)),MAX(G836-H836,0),"")</f>
        <v>1</v>
      </c>
      <c r="J836" s="78" t="n">
        <f aca="false">IF(AND(ISNUMBER(G836),ISNUMBER(H836)),IF(G836&gt;0,H836/G836,""),"")</f>
        <v>0.8</v>
      </c>
      <c r="K836" s="77" t="s">
        <v>272</v>
      </c>
      <c r="L836" s="76" t="str">
        <f aca="false">IF(OR(G836="",H836=""),"Data tidak lengkap",IF(AND(G836=0,H836=0),IF(AND(F836="",K836=""),"Tidak dibuka","Tutup"),IF(H836&gt;G836,"Lebih kapasitas",IF(H836=G836,"Penuh",IF(H836=0,IF(F836="","Slot kosong","Belum terisi"),"Sebagian")))))</f>
        <v>Sebagian</v>
      </c>
      <c r="M836" s="79" t="str">
        <f aca="false">IF(L836="Tidak dibuka","–",IF(F836="","(tanpa age group)",F836)&amp;"  "&amp;IF(H836="","?",H836)&amp;"/"&amp;IF(G836="","?",G836)&amp;CHAR(10)&amp;IF(K836="","coach: –","coach: "&amp;K836))</f>
        <v>Kids  4/5
coach: Eriek</v>
      </c>
    </row>
    <row r="837" customFormat="false" ht="22.35" hidden="false" customHeight="false" outlineLevel="0" collapsed="false">
      <c r="A837" s="76" t="str">
        <f aca="false">B837&amp;"|"&amp;C837&amp;"|"&amp;D837&amp;"|"&amp;E837</f>
        <v>KWC|5|Minggu|14:45</v>
      </c>
      <c r="B837" s="76" t="s">
        <v>63</v>
      </c>
      <c r="C837" s="76" t="n">
        <v>5</v>
      </c>
      <c r="D837" s="76" t="s">
        <v>78</v>
      </c>
      <c r="E837" s="76" t="s">
        <v>118</v>
      </c>
      <c r="F837" s="77" t="s">
        <v>277</v>
      </c>
      <c r="G837" s="77" t="n">
        <v>4</v>
      </c>
      <c r="H837" s="77" t="n">
        <v>0</v>
      </c>
      <c r="I837" s="76" t="n">
        <f aca="false">IF(AND(ISNUMBER(G837),ISNUMBER(H837)),MAX(G837-H837,0),"")</f>
        <v>4</v>
      </c>
      <c r="J837" s="78" t="n">
        <f aca="false">IF(AND(ISNUMBER(G837),ISNUMBER(H837)),IF(G837&gt;0,H837/G837,""),"")</f>
        <v>0</v>
      </c>
      <c r="K837" s="77" t="s">
        <v>272</v>
      </c>
      <c r="L837" s="76" t="str">
        <f aca="false">IF(OR(G837="",H837=""),"Data tidak lengkap",IF(AND(G837=0,H837=0),IF(AND(F837="",K837=""),"Tidak dibuka","Tutup"),IF(H837&gt;G837,"Lebih kapasitas",IF(H837=G837,"Penuh",IF(H837=0,IF(F837="","Slot kosong","Belum terisi"),"Sebagian")))))</f>
        <v>Belum terisi</v>
      </c>
      <c r="M837" s="79" t="str">
        <f aca="false">IF(L837="Tidak dibuka","–",IF(F837="","(tanpa age group)",F837)&amp;"  "&amp;IF(H837="","?",H837)&amp;"/"&amp;IF(G837="","?",G837)&amp;CHAR(10)&amp;IF(K837="","coach: –","coach: "&amp;K837))</f>
        <v>Little  0/4
coach: Eriek</v>
      </c>
    </row>
    <row r="838" customFormat="false" ht="22.35" hidden="false" customHeight="false" outlineLevel="0" collapsed="false">
      <c r="A838" s="76" t="str">
        <f aca="false">B838&amp;"|"&amp;C838&amp;"|"&amp;D838&amp;"|"&amp;E838</f>
        <v>KWC|5|Minggu|15:30</v>
      </c>
      <c r="B838" s="76" t="s">
        <v>63</v>
      </c>
      <c r="C838" s="76" t="n">
        <v>5</v>
      </c>
      <c r="D838" s="76" t="s">
        <v>78</v>
      </c>
      <c r="E838" s="76" t="s">
        <v>119</v>
      </c>
      <c r="F838" s="77" t="s">
        <v>210</v>
      </c>
      <c r="G838" s="77" t="n">
        <v>5</v>
      </c>
      <c r="H838" s="77" t="n">
        <v>2</v>
      </c>
      <c r="I838" s="76" t="n">
        <f aca="false">IF(AND(ISNUMBER(G838),ISNUMBER(H838)),MAX(G838-H838,0),"")</f>
        <v>3</v>
      </c>
      <c r="J838" s="78" t="n">
        <f aca="false">IF(AND(ISNUMBER(G838),ISNUMBER(H838)),IF(G838&gt;0,H838/G838,""),"")</f>
        <v>0.4</v>
      </c>
      <c r="K838" s="77" t="s">
        <v>268</v>
      </c>
      <c r="L838" s="76" t="str">
        <f aca="false">IF(OR(G838="",H838=""),"Data tidak lengkap",IF(AND(G838=0,H838=0),IF(AND(F838="",K838=""),"Tidak dibuka","Tutup"),IF(H838&gt;G838,"Lebih kapasitas",IF(H838=G838,"Penuh",IF(H838=0,IF(F838="","Slot kosong","Belum terisi"),"Sebagian")))))</f>
        <v>Sebagian</v>
      </c>
      <c r="M838" s="79" t="str">
        <f aca="false">IF(L838="Tidak dibuka","–",IF(F838="","(tanpa age group)",F838)&amp;"  "&amp;IF(H838="","?",H838)&amp;"/"&amp;IF(G838="","?",G838)&amp;CHAR(10)&amp;IF(K838="","coach: –","coach: "&amp;K838))</f>
        <v>Kids  2/5
coach: Andreas</v>
      </c>
    </row>
    <row r="839" customFormat="false" ht="22.35" hidden="false" customHeight="false" outlineLevel="0" collapsed="false">
      <c r="A839" s="76" t="str">
        <f aca="false">B839&amp;"|"&amp;C839&amp;"|"&amp;D839&amp;"|"&amp;E839</f>
        <v>KWC|5|Minggu|16:15</v>
      </c>
      <c r="B839" s="76" t="s">
        <v>63</v>
      </c>
      <c r="C839" s="76" t="n">
        <v>5</v>
      </c>
      <c r="D839" s="76" t="s">
        <v>78</v>
      </c>
      <c r="E839" s="76" t="s">
        <v>120</v>
      </c>
      <c r="F839" s="77" t="s">
        <v>210</v>
      </c>
      <c r="G839" s="77" t="n">
        <v>5</v>
      </c>
      <c r="H839" s="77" t="n">
        <v>2</v>
      </c>
      <c r="I839" s="76" t="n">
        <f aca="false">IF(AND(ISNUMBER(G839),ISNUMBER(H839)),MAX(G839-H839,0),"")</f>
        <v>3</v>
      </c>
      <c r="J839" s="78" t="n">
        <f aca="false">IF(AND(ISNUMBER(G839),ISNUMBER(H839)),IF(G839&gt;0,H839/G839,""),"")</f>
        <v>0.4</v>
      </c>
      <c r="K839" s="77" t="s">
        <v>273</v>
      </c>
      <c r="L839" s="76" t="str">
        <f aca="false">IF(OR(G839="",H839=""),"Data tidak lengkap",IF(AND(G839=0,H839=0),IF(AND(F839="",K839=""),"Tidak dibuka","Tutup"),IF(H839&gt;G839,"Lebih kapasitas",IF(H839=G839,"Penuh",IF(H839=0,IF(F839="","Slot kosong","Belum terisi"),"Sebagian")))))</f>
        <v>Sebagian</v>
      </c>
      <c r="M839" s="79" t="str">
        <f aca="false">IF(L839="Tidak dibuka","–",IF(F839="","(tanpa age group)",F839)&amp;"  "&amp;IF(H839="","?",H839)&amp;"/"&amp;IF(G839="","?",G839)&amp;CHAR(10)&amp;IF(K839="","coach: –","coach: "&amp;K839))</f>
        <v>Kids  2/5
coach: Frido</v>
      </c>
    </row>
    <row r="840" customFormat="false" ht="22.35" hidden="false" customHeight="false" outlineLevel="0" collapsed="false">
      <c r="A840" s="76" t="str">
        <f aca="false">B840&amp;"|"&amp;C840&amp;"|"&amp;D840&amp;"|"&amp;E840</f>
        <v>KWC|5|Minggu|17:00</v>
      </c>
      <c r="B840" s="76" t="s">
        <v>63</v>
      </c>
      <c r="C840" s="76" t="n">
        <v>5</v>
      </c>
      <c r="D840" s="76" t="s">
        <v>78</v>
      </c>
      <c r="E840" s="76" t="s">
        <v>121</v>
      </c>
      <c r="F840" s="77" t="s">
        <v>277</v>
      </c>
      <c r="G840" s="77" t="n">
        <v>5</v>
      </c>
      <c r="H840" s="77" t="n">
        <v>0</v>
      </c>
      <c r="I840" s="76" t="n">
        <f aca="false">IF(AND(ISNUMBER(G840),ISNUMBER(H840)),MAX(G840-H840,0),"")</f>
        <v>5</v>
      </c>
      <c r="J840" s="78" t="n">
        <f aca="false">IF(AND(ISNUMBER(G840),ISNUMBER(H840)),IF(G840&gt;0,H840/G840,""),"")</f>
        <v>0</v>
      </c>
      <c r="K840" s="77"/>
      <c r="L840" s="76" t="str">
        <f aca="false">IF(OR(G840="",H840=""),"Data tidak lengkap",IF(AND(G840=0,H840=0),IF(AND(F840="",K840=""),"Tidak dibuka","Tutup"),IF(H840&gt;G840,"Lebih kapasitas",IF(H840=G840,"Penuh",IF(H840=0,IF(F840="","Slot kosong","Belum terisi"),"Sebagian")))))</f>
        <v>Belum terisi</v>
      </c>
      <c r="M840" s="79" t="str">
        <f aca="false">IF(L840="Tidak dibuka","–",IF(F840="","(tanpa age group)",F840)&amp;"  "&amp;IF(H840="","?",H840)&amp;"/"&amp;IF(G840="","?",G840)&amp;CHAR(10)&amp;IF(K840="","coach: –","coach: "&amp;K840))</f>
        <v>Little  0/5
coach: –</v>
      </c>
    </row>
    <row r="841" customFormat="false" ht="22.35" hidden="false" customHeight="false" outlineLevel="0" collapsed="false">
      <c r="A841" s="76" t="str">
        <f aca="false">B841&amp;"|"&amp;C841&amp;"|"&amp;D841&amp;"|"&amp;E841</f>
        <v>PML|1|Senin|08:15</v>
      </c>
      <c r="B841" s="76" t="s">
        <v>65</v>
      </c>
      <c r="C841" s="76" t="n">
        <v>1</v>
      </c>
      <c r="D841" s="76" t="s">
        <v>90</v>
      </c>
      <c r="E841" s="76" t="s">
        <v>96</v>
      </c>
      <c r="F841" s="77" t="s">
        <v>242</v>
      </c>
      <c r="G841" s="77" t="n">
        <v>0</v>
      </c>
      <c r="H841" s="77" t="n">
        <v>0</v>
      </c>
      <c r="I841" s="76" t="n">
        <f aca="false">IF(AND(ISNUMBER(G841),ISNUMBER(H841)),MAX(G841-H841,0),"")</f>
        <v>0</v>
      </c>
      <c r="J841" s="78" t="str">
        <f aca="false">IF(AND(ISNUMBER(G841),ISNUMBER(H841)),IF(G841&gt;0,H841/G841,""),"")</f>
        <v/>
      </c>
      <c r="K841" s="77"/>
      <c r="L841" s="76" t="str">
        <f aca="false">IF(OR(G841="",H841=""),"Data tidak lengkap",IF(AND(G841=0,H841=0),IF(AND(F841="",K841=""),"Tidak dibuka","Tutup"),IF(H841&gt;G841,"Lebih kapasitas",IF(H841=G841,"Penuh",IF(H841=0,IF(F841="","Slot kosong","Belum terisi"),"Sebagian")))))</f>
        <v>Tutup</v>
      </c>
      <c r="M841" s="79" t="str">
        <f aca="false">IF(L841="Tidak dibuka","–",IF(F841="","(tanpa age group)",F841)&amp;"  "&amp;IF(H841="","?",H841)&amp;"/"&amp;IF(G841="","?",G841)&amp;CHAR(10)&amp;IF(K841="","coach: –","coach: "&amp;K841))</f>
        <v>Baby  0/0
coach: –</v>
      </c>
    </row>
    <row r="842" customFormat="false" ht="22.35" hidden="false" customHeight="false" outlineLevel="0" collapsed="false">
      <c r="A842" s="76" t="str">
        <f aca="false">B842&amp;"|"&amp;C842&amp;"|"&amp;D842&amp;"|"&amp;E842</f>
        <v>PML|1|Senin|09:00</v>
      </c>
      <c r="B842" s="76" t="s">
        <v>65</v>
      </c>
      <c r="C842" s="76" t="n">
        <v>1</v>
      </c>
      <c r="D842" s="76" t="s">
        <v>90</v>
      </c>
      <c r="E842" s="76" t="s">
        <v>97</v>
      </c>
      <c r="F842" s="77" t="s">
        <v>242</v>
      </c>
      <c r="G842" s="77" t="n">
        <v>5</v>
      </c>
      <c r="H842" s="77" t="n">
        <v>2</v>
      </c>
      <c r="I842" s="76" t="n">
        <f aca="false">IF(AND(ISNUMBER(G842),ISNUMBER(H842)),MAX(G842-H842,0),"")</f>
        <v>3</v>
      </c>
      <c r="J842" s="78" t="n">
        <f aca="false">IF(AND(ISNUMBER(G842),ISNUMBER(H842)),IF(G842&gt;0,H842/G842,""),"")</f>
        <v>0.4</v>
      </c>
      <c r="K842" s="77" t="s">
        <v>334</v>
      </c>
      <c r="L842" s="76" t="str">
        <f aca="false">IF(OR(G842="",H842=""),"Data tidak lengkap",IF(AND(G842=0,H842=0),IF(AND(F842="",K842=""),"Tidak dibuka","Tutup"),IF(H842&gt;G842,"Lebih kapasitas",IF(H842=G842,"Penuh",IF(H842=0,IF(F842="","Slot kosong","Belum terisi"),"Sebagian")))))</f>
        <v>Sebagian</v>
      </c>
      <c r="M842" s="79" t="str">
        <f aca="false">IF(L842="Tidak dibuka","–",IF(F842="","(tanpa age group)",F842)&amp;"  "&amp;IF(H842="","?",H842)&amp;"/"&amp;IF(G842="","?",G842)&amp;CHAR(10)&amp;IF(K842="","coach: –","coach: "&amp;K842))</f>
        <v>Baby  2/5
coach: Kamal</v>
      </c>
    </row>
    <row r="843" customFormat="false" ht="22.35" hidden="false" customHeight="false" outlineLevel="0" collapsed="false">
      <c r="A843" s="76" t="str">
        <f aca="false">B843&amp;"|"&amp;C843&amp;"|"&amp;D843&amp;"|"&amp;E843</f>
        <v>PML|1|Senin|09:45</v>
      </c>
      <c r="B843" s="76" t="s">
        <v>65</v>
      </c>
      <c r="C843" s="76" t="n">
        <v>1</v>
      </c>
      <c r="D843" s="76" t="s">
        <v>90</v>
      </c>
      <c r="E843" s="76" t="s">
        <v>98</v>
      </c>
      <c r="F843" s="77" t="s">
        <v>242</v>
      </c>
      <c r="G843" s="77" t="n">
        <v>5</v>
      </c>
      <c r="H843" s="77" t="n">
        <v>3</v>
      </c>
      <c r="I843" s="76" t="n">
        <f aca="false">IF(AND(ISNUMBER(G843),ISNUMBER(H843)),MAX(G843-H843,0),"")</f>
        <v>2</v>
      </c>
      <c r="J843" s="78" t="n">
        <f aca="false">IF(AND(ISNUMBER(G843),ISNUMBER(H843)),IF(G843&gt;0,H843/G843,""),"")</f>
        <v>0.6</v>
      </c>
      <c r="K843" s="77" t="s">
        <v>334</v>
      </c>
      <c r="L843" s="76" t="str">
        <f aca="false">IF(OR(G843="",H843=""),"Data tidak lengkap",IF(AND(G843=0,H843=0),IF(AND(F843="",K843=""),"Tidak dibuka","Tutup"),IF(H843&gt;G843,"Lebih kapasitas",IF(H843=G843,"Penuh",IF(H843=0,IF(F843="","Slot kosong","Belum terisi"),"Sebagian")))))</f>
        <v>Sebagian</v>
      </c>
      <c r="M843" s="79" t="str">
        <f aca="false">IF(L843="Tidak dibuka","–",IF(F843="","(tanpa age group)",F843)&amp;"  "&amp;IF(H843="","?",H843)&amp;"/"&amp;IF(G843="","?",G843)&amp;CHAR(10)&amp;IF(K843="","coach: –","coach: "&amp;K843))</f>
        <v>Baby  3/5
coach: Kamal</v>
      </c>
    </row>
    <row r="844" customFormat="false" ht="22.35" hidden="false" customHeight="false" outlineLevel="0" collapsed="false">
      <c r="A844" s="76" t="str">
        <f aca="false">B844&amp;"|"&amp;C844&amp;"|"&amp;D844&amp;"|"&amp;E844</f>
        <v>PML|1|Senin|10:30</v>
      </c>
      <c r="B844" s="76" t="s">
        <v>65</v>
      </c>
      <c r="C844" s="76" t="n">
        <v>1</v>
      </c>
      <c r="D844" s="76" t="s">
        <v>90</v>
      </c>
      <c r="E844" s="76" t="s">
        <v>99</v>
      </c>
      <c r="F844" s="77" t="s">
        <v>242</v>
      </c>
      <c r="G844" s="77" t="n">
        <v>5</v>
      </c>
      <c r="H844" s="77" t="n">
        <v>2</v>
      </c>
      <c r="I844" s="76" t="n">
        <f aca="false">IF(AND(ISNUMBER(G844),ISNUMBER(H844)),MAX(G844-H844,0),"")</f>
        <v>3</v>
      </c>
      <c r="J844" s="78" t="n">
        <f aca="false">IF(AND(ISNUMBER(G844),ISNUMBER(H844)),IF(G844&gt;0,H844/G844,""),"")</f>
        <v>0.4</v>
      </c>
      <c r="K844" s="77" t="s">
        <v>334</v>
      </c>
      <c r="L844" s="76" t="str">
        <f aca="false">IF(OR(G844="",H844=""),"Data tidak lengkap",IF(AND(G844=0,H844=0),IF(AND(F844="",K844=""),"Tidak dibuka","Tutup"),IF(H844&gt;G844,"Lebih kapasitas",IF(H844=G844,"Penuh",IF(H844=0,IF(F844="","Slot kosong","Belum terisi"),"Sebagian")))))</f>
        <v>Sebagian</v>
      </c>
      <c r="M844" s="79" t="str">
        <f aca="false">IF(L844="Tidak dibuka","–",IF(F844="","(tanpa age group)",F844)&amp;"  "&amp;IF(H844="","?",H844)&amp;"/"&amp;IF(G844="","?",G844)&amp;CHAR(10)&amp;IF(K844="","coach: –","coach: "&amp;K844))</f>
        <v>Baby  2/5
coach: Kamal</v>
      </c>
    </row>
    <row r="845" customFormat="false" ht="22.35" hidden="false" customHeight="false" outlineLevel="0" collapsed="false">
      <c r="A845" s="76" t="str">
        <f aca="false">B845&amp;"|"&amp;C845&amp;"|"&amp;D845&amp;"|"&amp;E845</f>
        <v>PML|1|Senin|11:15</v>
      </c>
      <c r="B845" s="76" t="s">
        <v>65</v>
      </c>
      <c r="C845" s="76" t="n">
        <v>1</v>
      </c>
      <c r="D845" s="76" t="s">
        <v>90</v>
      </c>
      <c r="E845" s="76" t="s">
        <v>100</v>
      </c>
      <c r="F845" s="77" t="s">
        <v>242</v>
      </c>
      <c r="G845" s="77" t="n">
        <v>5</v>
      </c>
      <c r="H845" s="77" t="n">
        <v>0</v>
      </c>
      <c r="I845" s="76" t="n">
        <f aca="false">IF(AND(ISNUMBER(G845),ISNUMBER(H845)),MAX(G845-H845,0),"")</f>
        <v>5</v>
      </c>
      <c r="J845" s="78" t="n">
        <f aca="false">IF(AND(ISNUMBER(G845),ISNUMBER(H845)),IF(G845&gt;0,H845/G845,""),"")</f>
        <v>0</v>
      </c>
      <c r="K845" s="77"/>
      <c r="L845" s="76" t="str">
        <f aca="false">IF(OR(G845="",H845=""),"Data tidak lengkap",IF(AND(G845=0,H845=0),IF(AND(F845="",K845=""),"Tidak dibuka","Tutup"),IF(H845&gt;G845,"Lebih kapasitas",IF(H845=G845,"Penuh",IF(H845=0,IF(F845="","Slot kosong","Belum terisi"),"Sebagian")))))</f>
        <v>Belum terisi</v>
      </c>
      <c r="M845" s="79" t="str">
        <f aca="false">IF(L845="Tidak dibuka","–",IF(F845="","(tanpa age group)",F845)&amp;"  "&amp;IF(H845="","?",H845)&amp;"/"&amp;IF(G845="","?",G845)&amp;CHAR(10)&amp;IF(K845="","coach: –","coach: "&amp;K845))</f>
        <v>Baby  0/5
coach: –</v>
      </c>
    </row>
    <row r="846" customFormat="false" ht="22.35" hidden="false" customHeight="false" outlineLevel="0" collapsed="false">
      <c r="A846" s="76" t="str">
        <f aca="false">B846&amp;"|"&amp;C846&amp;"|"&amp;D846&amp;"|"&amp;E846</f>
        <v>PML|1|Senin|12:00</v>
      </c>
      <c r="B846" s="76" t="s">
        <v>65</v>
      </c>
      <c r="C846" s="76" t="n">
        <v>1</v>
      </c>
      <c r="D846" s="76" t="s">
        <v>90</v>
      </c>
      <c r="E846" s="76" t="s">
        <v>101</v>
      </c>
      <c r="F846" s="77" t="s">
        <v>242</v>
      </c>
      <c r="G846" s="77" t="n">
        <v>0</v>
      </c>
      <c r="H846" s="77" t="n">
        <v>0</v>
      </c>
      <c r="I846" s="76" t="n">
        <f aca="false">IF(AND(ISNUMBER(G846),ISNUMBER(H846)),MAX(G846-H846,0),"")</f>
        <v>0</v>
      </c>
      <c r="J846" s="78" t="str">
        <f aca="false">IF(AND(ISNUMBER(G846),ISNUMBER(H846)),IF(G846&gt;0,H846/G846,""),"")</f>
        <v/>
      </c>
      <c r="K846" s="77"/>
      <c r="L846" s="76" t="str">
        <f aca="false">IF(OR(G846="",H846=""),"Data tidak lengkap",IF(AND(G846=0,H846=0),IF(AND(F846="",K846=""),"Tidak dibuka","Tutup"),IF(H846&gt;G846,"Lebih kapasitas",IF(H846=G846,"Penuh",IF(H846=0,IF(F846="","Slot kosong","Belum terisi"),"Sebagian")))))</f>
        <v>Tutup</v>
      </c>
      <c r="M846" s="79" t="str">
        <f aca="false">IF(L846="Tidak dibuka","–",IF(F846="","(tanpa age group)",F846)&amp;"  "&amp;IF(H846="","?",H846)&amp;"/"&amp;IF(G846="","?",G846)&amp;CHAR(10)&amp;IF(K846="","coach: –","coach: "&amp;K846))</f>
        <v>Baby  0/0
coach: –</v>
      </c>
    </row>
    <row r="847" customFormat="false" ht="22.35" hidden="false" customHeight="false" outlineLevel="0" collapsed="false">
      <c r="A847" s="76" t="str">
        <f aca="false">B847&amp;"|"&amp;C847&amp;"|"&amp;D847&amp;"|"&amp;E847</f>
        <v>PML|1|Senin|13:30</v>
      </c>
      <c r="B847" s="76" t="s">
        <v>65</v>
      </c>
      <c r="C847" s="76" t="n">
        <v>1</v>
      </c>
      <c r="D847" s="76" t="s">
        <v>90</v>
      </c>
      <c r="E847" s="76" t="s">
        <v>102</v>
      </c>
      <c r="F847" s="77" t="s">
        <v>242</v>
      </c>
      <c r="G847" s="77" t="n">
        <v>5</v>
      </c>
      <c r="H847" s="77" t="n">
        <v>0</v>
      </c>
      <c r="I847" s="76" t="n">
        <f aca="false">IF(AND(ISNUMBER(G847),ISNUMBER(H847)),MAX(G847-H847,0),"")</f>
        <v>5</v>
      </c>
      <c r="J847" s="78" t="n">
        <f aca="false">IF(AND(ISNUMBER(G847),ISNUMBER(H847)),IF(G847&gt;0,H847/G847,""),"")</f>
        <v>0</v>
      </c>
      <c r="K847" s="77"/>
      <c r="L847" s="76" t="str">
        <f aca="false">IF(OR(G847="",H847=""),"Data tidak lengkap",IF(AND(G847=0,H847=0),IF(AND(F847="",K847=""),"Tidak dibuka","Tutup"),IF(H847&gt;G847,"Lebih kapasitas",IF(H847=G847,"Penuh",IF(H847=0,IF(F847="","Slot kosong","Belum terisi"),"Sebagian")))))</f>
        <v>Belum terisi</v>
      </c>
      <c r="M847" s="79" t="str">
        <f aca="false">IF(L847="Tidak dibuka","–",IF(F847="","(tanpa age group)",F847)&amp;"  "&amp;IF(H847="","?",H847)&amp;"/"&amp;IF(G847="","?",G847)&amp;CHAR(10)&amp;IF(K847="","coach: –","coach: "&amp;K847))</f>
        <v>Baby  0/5
coach: –</v>
      </c>
    </row>
    <row r="848" customFormat="false" ht="22.35" hidden="false" customHeight="false" outlineLevel="0" collapsed="false">
      <c r="A848" s="76" t="str">
        <f aca="false">B848&amp;"|"&amp;C848&amp;"|"&amp;D848&amp;"|"&amp;E848</f>
        <v>PML|1|Senin|14:15</v>
      </c>
      <c r="B848" s="76" t="s">
        <v>65</v>
      </c>
      <c r="C848" s="76" t="n">
        <v>1</v>
      </c>
      <c r="D848" s="76" t="s">
        <v>90</v>
      </c>
      <c r="E848" s="76" t="s">
        <v>103</v>
      </c>
      <c r="F848" s="77" t="s">
        <v>242</v>
      </c>
      <c r="G848" s="77" t="n">
        <v>5</v>
      </c>
      <c r="H848" s="77" t="n">
        <v>0</v>
      </c>
      <c r="I848" s="76" t="n">
        <f aca="false">IF(AND(ISNUMBER(G848),ISNUMBER(H848)),MAX(G848-H848,0),"")</f>
        <v>5</v>
      </c>
      <c r="J848" s="78" t="n">
        <f aca="false">IF(AND(ISNUMBER(G848),ISNUMBER(H848)),IF(G848&gt;0,H848/G848,""),"")</f>
        <v>0</v>
      </c>
      <c r="K848" s="77"/>
      <c r="L848" s="76" t="str">
        <f aca="false">IF(OR(G848="",H848=""),"Data tidak lengkap",IF(AND(G848=0,H848=0),IF(AND(F848="",K848=""),"Tidak dibuka","Tutup"),IF(H848&gt;G848,"Lebih kapasitas",IF(H848=G848,"Penuh",IF(H848=0,IF(F848="","Slot kosong","Belum terisi"),"Sebagian")))))</f>
        <v>Belum terisi</v>
      </c>
      <c r="M848" s="79" t="str">
        <f aca="false">IF(L848="Tidak dibuka","–",IF(F848="","(tanpa age group)",F848)&amp;"  "&amp;IF(H848="","?",H848)&amp;"/"&amp;IF(G848="","?",G848)&amp;CHAR(10)&amp;IF(K848="","coach: –","coach: "&amp;K848))</f>
        <v>Baby  0/5
coach: –</v>
      </c>
    </row>
    <row r="849" customFormat="false" ht="22.35" hidden="false" customHeight="false" outlineLevel="0" collapsed="false">
      <c r="A849" s="76" t="str">
        <f aca="false">B849&amp;"|"&amp;C849&amp;"|"&amp;D849&amp;"|"&amp;E849</f>
        <v>PML|1|Senin|15:00</v>
      </c>
      <c r="B849" s="76" t="s">
        <v>65</v>
      </c>
      <c r="C849" s="76" t="n">
        <v>1</v>
      </c>
      <c r="D849" s="76" t="s">
        <v>90</v>
      </c>
      <c r="E849" s="76" t="s">
        <v>104</v>
      </c>
      <c r="F849" s="77"/>
      <c r="G849" s="77" t="n">
        <v>5</v>
      </c>
      <c r="H849" s="77" t="n">
        <v>0</v>
      </c>
      <c r="I849" s="76" t="n">
        <f aca="false">IF(AND(ISNUMBER(G849),ISNUMBER(H849)),MAX(G849-H849,0),"")</f>
        <v>5</v>
      </c>
      <c r="J849" s="78" t="n">
        <f aca="false">IF(AND(ISNUMBER(G849),ISNUMBER(H849)),IF(G849&gt;0,H849/G849,""),"")</f>
        <v>0</v>
      </c>
      <c r="K849" s="77"/>
      <c r="L849" s="76" t="str">
        <f aca="false">IF(OR(G849="",H849=""),"Data tidak lengkap",IF(AND(G849=0,H849=0),IF(AND(F849="",K849=""),"Tidak dibuka","Tutup"),IF(H849&gt;G849,"Lebih kapasitas",IF(H849=G849,"Penuh",IF(H849=0,IF(F849="","Slot kosong","Belum terisi"),"Sebagian")))))</f>
        <v>Slot kosong</v>
      </c>
      <c r="M849" s="79" t="str">
        <f aca="false">IF(L849="Tidak dibuka","–",IF(F849="","(tanpa age group)",F849)&amp;"  "&amp;IF(H849="","?",H849)&amp;"/"&amp;IF(G849="","?",G849)&amp;CHAR(10)&amp;IF(K849="","coach: –","coach: "&amp;K849))</f>
        <v>(tanpa age group)  0/5
coach: –</v>
      </c>
    </row>
    <row r="850" customFormat="false" ht="22.35" hidden="false" customHeight="false" outlineLevel="0" collapsed="false">
      <c r="A850" s="76" t="str">
        <f aca="false">B850&amp;"|"&amp;C850&amp;"|"&amp;D850&amp;"|"&amp;E850</f>
        <v>PML|1|Senin|15:45</v>
      </c>
      <c r="B850" s="76" t="s">
        <v>65</v>
      </c>
      <c r="C850" s="76" t="n">
        <v>1</v>
      </c>
      <c r="D850" s="76" t="s">
        <v>90</v>
      </c>
      <c r="E850" s="76" t="s">
        <v>105</v>
      </c>
      <c r="F850" s="77"/>
      <c r="G850" s="77" t="n">
        <v>5</v>
      </c>
      <c r="H850" s="77" t="n">
        <v>0</v>
      </c>
      <c r="I850" s="76" t="n">
        <f aca="false">IF(AND(ISNUMBER(G850),ISNUMBER(H850)),MAX(G850-H850,0),"")</f>
        <v>5</v>
      </c>
      <c r="J850" s="78" t="n">
        <f aca="false">IF(AND(ISNUMBER(G850),ISNUMBER(H850)),IF(G850&gt;0,H850/G850,""),"")</f>
        <v>0</v>
      </c>
      <c r="K850" s="77"/>
      <c r="L850" s="76" t="str">
        <f aca="false">IF(OR(G850="",H850=""),"Data tidak lengkap",IF(AND(G850=0,H850=0),IF(AND(F850="",K850=""),"Tidak dibuka","Tutup"),IF(H850&gt;G850,"Lebih kapasitas",IF(H850=G850,"Penuh",IF(H850=0,IF(F850="","Slot kosong","Belum terisi"),"Sebagian")))))</f>
        <v>Slot kosong</v>
      </c>
      <c r="M850" s="79" t="str">
        <f aca="false">IF(L850="Tidak dibuka","–",IF(F850="","(tanpa age group)",F850)&amp;"  "&amp;IF(H850="","?",H850)&amp;"/"&amp;IF(G850="","?",G850)&amp;CHAR(10)&amp;IF(K850="","coach: –","coach: "&amp;K850))</f>
        <v>(tanpa age group)  0/5
coach: –</v>
      </c>
    </row>
    <row r="851" customFormat="false" ht="22.35" hidden="false" customHeight="false" outlineLevel="0" collapsed="false">
      <c r="A851" s="76" t="str">
        <f aca="false">B851&amp;"|"&amp;C851&amp;"|"&amp;D851&amp;"|"&amp;E851</f>
        <v>PML|1|Senin|16:30</v>
      </c>
      <c r="B851" s="76" t="s">
        <v>65</v>
      </c>
      <c r="C851" s="76" t="n">
        <v>1</v>
      </c>
      <c r="D851" s="76" t="s">
        <v>90</v>
      </c>
      <c r="E851" s="76" t="s">
        <v>106</v>
      </c>
      <c r="F851" s="77"/>
      <c r="G851" s="77" t="n">
        <v>5</v>
      </c>
      <c r="H851" s="77" t="n">
        <v>0</v>
      </c>
      <c r="I851" s="76" t="n">
        <f aca="false">IF(AND(ISNUMBER(G851),ISNUMBER(H851)),MAX(G851-H851,0),"")</f>
        <v>5</v>
      </c>
      <c r="J851" s="78" t="n">
        <f aca="false">IF(AND(ISNUMBER(G851),ISNUMBER(H851)),IF(G851&gt;0,H851/G851,""),"")</f>
        <v>0</v>
      </c>
      <c r="K851" s="77"/>
      <c r="L851" s="76" t="str">
        <f aca="false">IF(OR(G851="",H851=""),"Data tidak lengkap",IF(AND(G851=0,H851=0),IF(AND(F851="",K851=""),"Tidak dibuka","Tutup"),IF(H851&gt;G851,"Lebih kapasitas",IF(H851=G851,"Penuh",IF(H851=0,IF(F851="","Slot kosong","Belum terisi"),"Sebagian")))))</f>
        <v>Slot kosong</v>
      </c>
      <c r="M851" s="79" t="str">
        <f aca="false">IF(L851="Tidak dibuka","–",IF(F851="","(tanpa age group)",F851)&amp;"  "&amp;IF(H851="","?",H851)&amp;"/"&amp;IF(G851="","?",G851)&amp;CHAR(10)&amp;IF(K851="","coach: –","coach: "&amp;K851))</f>
        <v>(tanpa age group)  0/5
coach: –</v>
      </c>
    </row>
    <row r="852" customFormat="false" ht="22.35" hidden="false" customHeight="false" outlineLevel="0" collapsed="false">
      <c r="A852" s="76" t="str">
        <f aca="false">B852&amp;"|"&amp;C852&amp;"|"&amp;D852&amp;"|"&amp;E852</f>
        <v>PML|1|Senin|17:15</v>
      </c>
      <c r="B852" s="76" t="s">
        <v>65</v>
      </c>
      <c r="C852" s="76" t="n">
        <v>1</v>
      </c>
      <c r="D852" s="76" t="s">
        <v>90</v>
      </c>
      <c r="E852" s="76" t="s">
        <v>107</v>
      </c>
      <c r="F852" s="77" t="s">
        <v>242</v>
      </c>
      <c r="G852" s="77" t="n">
        <v>5</v>
      </c>
      <c r="H852" s="77" t="n">
        <v>0</v>
      </c>
      <c r="I852" s="76" t="n">
        <f aca="false">IF(AND(ISNUMBER(G852),ISNUMBER(H852)),MAX(G852-H852,0),"")</f>
        <v>5</v>
      </c>
      <c r="J852" s="78" t="n">
        <f aca="false">IF(AND(ISNUMBER(G852),ISNUMBER(H852)),IF(G852&gt;0,H852/G852,""),"")</f>
        <v>0</v>
      </c>
      <c r="K852" s="77"/>
      <c r="L852" s="76" t="str">
        <f aca="false">IF(OR(G852="",H852=""),"Data tidak lengkap",IF(AND(G852=0,H852=0),IF(AND(F852="",K852=""),"Tidak dibuka","Tutup"),IF(H852&gt;G852,"Lebih kapasitas",IF(H852=G852,"Penuh",IF(H852=0,IF(F852="","Slot kosong","Belum terisi"),"Sebagian")))))</f>
        <v>Belum terisi</v>
      </c>
      <c r="M852" s="79" t="str">
        <f aca="false">IF(L852="Tidak dibuka","–",IF(F852="","(tanpa age group)",F852)&amp;"  "&amp;IF(H852="","?",H852)&amp;"/"&amp;IF(G852="","?",G852)&amp;CHAR(10)&amp;IF(K852="","coach: –","coach: "&amp;K852))</f>
        <v>Baby  0/5
coach: –</v>
      </c>
    </row>
    <row r="853" customFormat="false" ht="22.35" hidden="false" customHeight="false" outlineLevel="0" collapsed="false">
      <c r="A853" s="76" t="str">
        <f aca="false">B853&amp;"|"&amp;C853&amp;"|"&amp;D853&amp;"|"&amp;E853</f>
        <v>PML|1|Selasa|08:15</v>
      </c>
      <c r="B853" s="76" t="s">
        <v>65</v>
      </c>
      <c r="C853" s="76" t="n">
        <v>1</v>
      </c>
      <c r="D853" s="76" t="s">
        <v>91</v>
      </c>
      <c r="E853" s="76" t="s">
        <v>96</v>
      </c>
      <c r="F853" s="77" t="s">
        <v>242</v>
      </c>
      <c r="G853" s="77" t="n">
        <v>0</v>
      </c>
      <c r="H853" s="77" t="n">
        <v>0</v>
      </c>
      <c r="I853" s="76" t="n">
        <f aca="false">IF(AND(ISNUMBER(G853),ISNUMBER(H853)),MAX(G853-H853,0),"")</f>
        <v>0</v>
      </c>
      <c r="J853" s="78" t="str">
        <f aca="false">IF(AND(ISNUMBER(G853),ISNUMBER(H853)),IF(G853&gt;0,H853/G853,""),"")</f>
        <v/>
      </c>
      <c r="K853" s="77"/>
      <c r="L853" s="76" t="str">
        <f aca="false">IF(OR(G853="",H853=""),"Data tidak lengkap",IF(AND(G853=0,H853=0),IF(AND(F853="",K853=""),"Tidak dibuka","Tutup"),IF(H853&gt;G853,"Lebih kapasitas",IF(H853=G853,"Penuh",IF(H853=0,IF(F853="","Slot kosong","Belum terisi"),"Sebagian")))))</f>
        <v>Tutup</v>
      </c>
      <c r="M853" s="79" t="str">
        <f aca="false">IF(L853="Tidak dibuka","–",IF(F853="","(tanpa age group)",F853)&amp;"  "&amp;IF(H853="","?",H853)&amp;"/"&amp;IF(G853="","?",G853)&amp;CHAR(10)&amp;IF(K853="","coach: –","coach: "&amp;K853))</f>
        <v>Baby  0/0
coach: –</v>
      </c>
    </row>
    <row r="854" customFormat="false" ht="22.35" hidden="false" customHeight="false" outlineLevel="0" collapsed="false">
      <c r="A854" s="76" t="str">
        <f aca="false">B854&amp;"|"&amp;C854&amp;"|"&amp;D854&amp;"|"&amp;E854</f>
        <v>PML|1|Selasa|09:00</v>
      </c>
      <c r="B854" s="76" t="s">
        <v>65</v>
      </c>
      <c r="C854" s="76" t="n">
        <v>1</v>
      </c>
      <c r="D854" s="76" t="s">
        <v>91</v>
      </c>
      <c r="E854" s="76" t="s">
        <v>97</v>
      </c>
      <c r="F854" s="77" t="s">
        <v>242</v>
      </c>
      <c r="G854" s="77" t="n">
        <v>5</v>
      </c>
      <c r="H854" s="77" t="n">
        <v>0</v>
      </c>
      <c r="I854" s="76" t="n">
        <f aca="false">IF(AND(ISNUMBER(G854),ISNUMBER(H854)),MAX(G854-H854,0),"")</f>
        <v>5</v>
      </c>
      <c r="J854" s="78" t="n">
        <f aca="false">IF(AND(ISNUMBER(G854),ISNUMBER(H854)),IF(G854&gt;0,H854/G854,""),"")</f>
        <v>0</v>
      </c>
      <c r="K854" s="77"/>
      <c r="L854" s="76" t="str">
        <f aca="false">IF(OR(G854="",H854=""),"Data tidak lengkap",IF(AND(G854=0,H854=0),IF(AND(F854="",K854=""),"Tidak dibuka","Tutup"),IF(H854&gt;G854,"Lebih kapasitas",IF(H854=G854,"Penuh",IF(H854=0,IF(F854="","Slot kosong","Belum terisi"),"Sebagian")))))</f>
        <v>Belum terisi</v>
      </c>
      <c r="M854" s="79" t="str">
        <f aca="false">IF(L854="Tidak dibuka","–",IF(F854="","(tanpa age group)",F854)&amp;"  "&amp;IF(H854="","?",H854)&amp;"/"&amp;IF(G854="","?",G854)&amp;CHAR(10)&amp;IF(K854="","coach: –","coach: "&amp;K854))</f>
        <v>Baby  0/5
coach: –</v>
      </c>
    </row>
    <row r="855" customFormat="false" ht="22.35" hidden="false" customHeight="false" outlineLevel="0" collapsed="false">
      <c r="A855" s="76" t="str">
        <f aca="false">B855&amp;"|"&amp;C855&amp;"|"&amp;D855&amp;"|"&amp;E855</f>
        <v>PML|1|Selasa|09:45</v>
      </c>
      <c r="B855" s="76" t="s">
        <v>65</v>
      </c>
      <c r="C855" s="76" t="n">
        <v>1</v>
      </c>
      <c r="D855" s="76" t="s">
        <v>91</v>
      </c>
      <c r="E855" s="76" t="s">
        <v>98</v>
      </c>
      <c r="F855" s="77" t="s">
        <v>242</v>
      </c>
      <c r="G855" s="77" t="n">
        <v>5</v>
      </c>
      <c r="H855" s="77" t="n">
        <v>0</v>
      </c>
      <c r="I855" s="76" t="n">
        <f aca="false">IF(AND(ISNUMBER(G855),ISNUMBER(H855)),MAX(G855-H855,0),"")</f>
        <v>5</v>
      </c>
      <c r="J855" s="78" t="n">
        <f aca="false">IF(AND(ISNUMBER(G855),ISNUMBER(H855)),IF(G855&gt;0,H855/G855,""),"")</f>
        <v>0</v>
      </c>
      <c r="K855" s="77"/>
      <c r="L855" s="76" t="str">
        <f aca="false">IF(OR(G855="",H855=""),"Data tidak lengkap",IF(AND(G855=0,H855=0),IF(AND(F855="",K855=""),"Tidak dibuka","Tutup"),IF(H855&gt;G855,"Lebih kapasitas",IF(H855=G855,"Penuh",IF(H855=0,IF(F855="","Slot kosong","Belum terisi"),"Sebagian")))))</f>
        <v>Belum terisi</v>
      </c>
      <c r="M855" s="79" t="str">
        <f aca="false">IF(L855="Tidak dibuka","–",IF(F855="","(tanpa age group)",F855)&amp;"  "&amp;IF(H855="","?",H855)&amp;"/"&amp;IF(G855="","?",G855)&amp;CHAR(10)&amp;IF(K855="","coach: –","coach: "&amp;K855))</f>
        <v>Baby  0/5
coach: –</v>
      </c>
    </row>
    <row r="856" customFormat="false" ht="22.35" hidden="false" customHeight="false" outlineLevel="0" collapsed="false">
      <c r="A856" s="76" t="str">
        <f aca="false">B856&amp;"|"&amp;C856&amp;"|"&amp;D856&amp;"|"&amp;E856</f>
        <v>PML|1|Selasa|10:30</v>
      </c>
      <c r="B856" s="76" t="s">
        <v>65</v>
      </c>
      <c r="C856" s="76" t="n">
        <v>1</v>
      </c>
      <c r="D856" s="76" t="s">
        <v>91</v>
      </c>
      <c r="E856" s="76" t="s">
        <v>99</v>
      </c>
      <c r="F856" s="77" t="s">
        <v>242</v>
      </c>
      <c r="G856" s="77" t="n">
        <v>5</v>
      </c>
      <c r="H856" s="77" t="n">
        <v>0</v>
      </c>
      <c r="I856" s="76" t="n">
        <f aca="false">IF(AND(ISNUMBER(G856),ISNUMBER(H856)),MAX(G856-H856,0),"")</f>
        <v>5</v>
      </c>
      <c r="J856" s="78" t="n">
        <f aca="false">IF(AND(ISNUMBER(G856),ISNUMBER(H856)),IF(G856&gt;0,H856/G856,""),"")</f>
        <v>0</v>
      </c>
      <c r="K856" s="77"/>
      <c r="L856" s="76" t="str">
        <f aca="false">IF(OR(G856="",H856=""),"Data tidak lengkap",IF(AND(G856=0,H856=0),IF(AND(F856="",K856=""),"Tidak dibuka","Tutup"),IF(H856&gt;G856,"Lebih kapasitas",IF(H856=G856,"Penuh",IF(H856=0,IF(F856="","Slot kosong","Belum terisi"),"Sebagian")))))</f>
        <v>Belum terisi</v>
      </c>
      <c r="M856" s="79" t="str">
        <f aca="false">IF(L856="Tidak dibuka","–",IF(F856="","(tanpa age group)",F856)&amp;"  "&amp;IF(H856="","?",H856)&amp;"/"&amp;IF(G856="","?",G856)&amp;CHAR(10)&amp;IF(K856="","coach: –","coach: "&amp;K856))</f>
        <v>Baby  0/5
coach: –</v>
      </c>
    </row>
    <row r="857" customFormat="false" ht="22.35" hidden="false" customHeight="false" outlineLevel="0" collapsed="false">
      <c r="A857" s="76" t="str">
        <f aca="false">B857&amp;"|"&amp;C857&amp;"|"&amp;D857&amp;"|"&amp;E857</f>
        <v>PML|1|Selasa|11:15</v>
      </c>
      <c r="B857" s="76" t="s">
        <v>65</v>
      </c>
      <c r="C857" s="76" t="n">
        <v>1</v>
      </c>
      <c r="D857" s="76" t="s">
        <v>91</v>
      </c>
      <c r="E857" s="76" t="s">
        <v>100</v>
      </c>
      <c r="F857" s="77" t="s">
        <v>242</v>
      </c>
      <c r="G857" s="77" t="n">
        <v>5</v>
      </c>
      <c r="H857" s="77" t="n">
        <v>0</v>
      </c>
      <c r="I857" s="76" t="n">
        <f aca="false">IF(AND(ISNUMBER(G857),ISNUMBER(H857)),MAX(G857-H857,0),"")</f>
        <v>5</v>
      </c>
      <c r="J857" s="78" t="n">
        <f aca="false">IF(AND(ISNUMBER(G857),ISNUMBER(H857)),IF(G857&gt;0,H857/G857,""),"")</f>
        <v>0</v>
      </c>
      <c r="K857" s="77"/>
      <c r="L857" s="76" t="str">
        <f aca="false">IF(OR(G857="",H857=""),"Data tidak lengkap",IF(AND(G857=0,H857=0),IF(AND(F857="",K857=""),"Tidak dibuka","Tutup"),IF(H857&gt;G857,"Lebih kapasitas",IF(H857=G857,"Penuh",IF(H857=0,IF(F857="","Slot kosong","Belum terisi"),"Sebagian")))))</f>
        <v>Belum terisi</v>
      </c>
      <c r="M857" s="79" t="str">
        <f aca="false">IF(L857="Tidak dibuka","–",IF(F857="","(tanpa age group)",F857)&amp;"  "&amp;IF(H857="","?",H857)&amp;"/"&amp;IF(G857="","?",G857)&amp;CHAR(10)&amp;IF(K857="","coach: –","coach: "&amp;K857))</f>
        <v>Baby  0/5
coach: –</v>
      </c>
    </row>
    <row r="858" customFormat="false" ht="22.35" hidden="false" customHeight="false" outlineLevel="0" collapsed="false">
      <c r="A858" s="76" t="str">
        <f aca="false">B858&amp;"|"&amp;C858&amp;"|"&amp;D858&amp;"|"&amp;E858</f>
        <v>PML|1|Selasa|12:00</v>
      </c>
      <c r="B858" s="76" t="s">
        <v>65</v>
      </c>
      <c r="C858" s="76" t="n">
        <v>1</v>
      </c>
      <c r="D858" s="76" t="s">
        <v>91</v>
      </c>
      <c r="E858" s="76" t="s">
        <v>101</v>
      </c>
      <c r="F858" s="77" t="s">
        <v>242</v>
      </c>
      <c r="G858" s="77" t="n">
        <v>0</v>
      </c>
      <c r="H858" s="77" t="n">
        <v>0</v>
      </c>
      <c r="I858" s="76" t="n">
        <f aca="false">IF(AND(ISNUMBER(G858),ISNUMBER(H858)),MAX(G858-H858,0),"")</f>
        <v>0</v>
      </c>
      <c r="J858" s="78" t="str">
        <f aca="false">IF(AND(ISNUMBER(G858),ISNUMBER(H858)),IF(G858&gt;0,H858/G858,""),"")</f>
        <v/>
      </c>
      <c r="K858" s="77"/>
      <c r="L858" s="76" t="str">
        <f aca="false">IF(OR(G858="",H858=""),"Data tidak lengkap",IF(AND(G858=0,H858=0),IF(AND(F858="",K858=""),"Tidak dibuka","Tutup"),IF(H858&gt;G858,"Lebih kapasitas",IF(H858=G858,"Penuh",IF(H858=0,IF(F858="","Slot kosong","Belum terisi"),"Sebagian")))))</f>
        <v>Tutup</v>
      </c>
      <c r="M858" s="79" t="str">
        <f aca="false">IF(L858="Tidak dibuka","–",IF(F858="","(tanpa age group)",F858)&amp;"  "&amp;IF(H858="","?",H858)&amp;"/"&amp;IF(G858="","?",G858)&amp;CHAR(10)&amp;IF(K858="","coach: –","coach: "&amp;K858))</f>
        <v>Baby  0/0
coach: –</v>
      </c>
    </row>
    <row r="859" customFormat="false" ht="22.35" hidden="false" customHeight="false" outlineLevel="0" collapsed="false">
      <c r="A859" s="76" t="str">
        <f aca="false">B859&amp;"|"&amp;C859&amp;"|"&amp;D859&amp;"|"&amp;E859</f>
        <v>PML|1|Selasa|13:30</v>
      </c>
      <c r="B859" s="76" t="s">
        <v>65</v>
      </c>
      <c r="C859" s="76" t="n">
        <v>1</v>
      </c>
      <c r="D859" s="76" t="s">
        <v>91</v>
      </c>
      <c r="E859" s="76" t="s">
        <v>102</v>
      </c>
      <c r="F859" s="77" t="s">
        <v>242</v>
      </c>
      <c r="G859" s="77" t="n">
        <v>5</v>
      </c>
      <c r="H859" s="77" t="n">
        <v>0</v>
      </c>
      <c r="I859" s="76" t="n">
        <f aca="false">IF(AND(ISNUMBER(G859),ISNUMBER(H859)),MAX(G859-H859,0),"")</f>
        <v>5</v>
      </c>
      <c r="J859" s="78" t="n">
        <f aca="false">IF(AND(ISNUMBER(G859),ISNUMBER(H859)),IF(G859&gt;0,H859/G859,""),"")</f>
        <v>0</v>
      </c>
      <c r="K859" s="77"/>
      <c r="L859" s="76" t="str">
        <f aca="false">IF(OR(G859="",H859=""),"Data tidak lengkap",IF(AND(G859=0,H859=0),IF(AND(F859="",K859=""),"Tidak dibuka","Tutup"),IF(H859&gt;G859,"Lebih kapasitas",IF(H859=G859,"Penuh",IF(H859=0,IF(F859="","Slot kosong","Belum terisi"),"Sebagian")))))</f>
        <v>Belum terisi</v>
      </c>
      <c r="M859" s="79" t="str">
        <f aca="false">IF(L859="Tidak dibuka","–",IF(F859="","(tanpa age group)",F859)&amp;"  "&amp;IF(H859="","?",H859)&amp;"/"&amp;IF(G859="","?",G859)&amp;CHAR(10)&amp;IF(K859="","coach: –","coach: "&amp;K859))</f>
        <v>Baby  0/5
coach: –</v>
      </c>
    </row>
    <row r="860" customFormat="false" ht="22.35" hidden="false" customHeight="false" outlineLevel="0" collapsed="false">
      <c r="A860" s="76" t="str">
        <f aca="false">B860&amp;"|"&amp;C860&amp;"|"&amp;D860&amp;"|"&amp;E860</f>
        <v>PML|1|Selasa|14:15</v>
      </c>
      <c r="B860" s="76" t="s">
        <v>65</v>
      </c>
      <c r="C860" s="76" t="n">
        <v>1</v>
      </c>
      <c r="D860" s="76" t="s">
        <v>91</v>
      </c>
      <c r="E860" s="76" t="s">
        <v>103</v>
      </c>
      <c r="F860" s="77" t="s">
        <v>242</v>
      </c>
      <c r="G860" s="77" t="n">
        <v>5</v>
      </c>
      <c r="H860" s="77" t="n">
        <v>0</v>
      </c>
      <c r="I860" s="76" t="n">
        <f aca="false">IF(AND(ISNUMBER(G860),ISNUMBER(H860)),MAX(G860-H860,0),"")</f>
        <v>5</v>
      </c>
      <c r="J860" s="78" t="n">
        <f aca="false">IF(AND(ISNUMBER(G860),ISNUMBER(H860)),IF(G860&gt;0,H860/G860,""),"")</f>
        <v>0</v>
      </c>
      <c r="K860" s="77"/>
      <c r="L860" s="76" t="str">
        <f aca="false">IF(OR(G860="",H860=""),"Data tidak lengkap",IF(AND(G860=0,H860=0),IF(AND(F860="",K860=""),"Tidak dibuka","Tutup"),IF(H860&gt;G860,"Lebih kapasitas",IF(H860=G860,"Penuh",IF(H860=0,IF(F860="","Slot kosong","Belum terisi"),"Sebagian")))))</f>
        <v>Belum terisi</v>
      </c>
      <c r="M860" s="79" t="str">
        <f aca="false">IF(L860="Tidak dibuka","–",IF(F860="","(tanpa age group)",F860)&amp;"  "&amp;IF(H860="","?",H860)&amp;"/"&amp;IF(G860="","?",G860)&amp;CHAR(10)&amp;IF(K860="","coach: –","coach: "&amp;K860))</f>
        <v>Baby  0/5
coach: –</v>
      </c>
    </row>
    <row r="861" customFormat="false" ht="15" hidden="false" customHeight="false" outlineLevel="0" collapsed="false">
      <c r="A861" s="76" t="str">
        <f aca="false">B861&amp;"|"&amp;C861&amp;"|"&amp;D861&amp;"|"&amp;E861</f>
        <v>PML|1|Selasa|15:00</v>
      </c>
      <c r="B861" s="76" t="s">
        <v>65</v>
      </c>
      <c r="C861" s="76" t="n">
        <v>1</v>
      </c>
      <c r="D861" s="76" t="s">
        <v>91</v>
      </c>
      <c r="E861" s="76" t="s">
        <v>104</v>
      </c>
      <c r="F861" s="77"/>
      <c r="G861" s="77" t="n">
        <v>0</v>
      </c>
      <c r="H861" s="77" t="n">
        <v>0</v>
      </c>
      <c r="I861" s="76" t="n">
        <f aca="false">IF(AND(ISNUMBER(G861),ISNUMBER(H861)),MAX(G861-H861,0),"")</f>
        <v>0</v>
      </c>
      <c r="J861" s="78" t="str">
        <f aca="false">IF(AND(ISNUMBER(G861),ISNUMBER(H861)),IF(G861&gt;0,H861/G861,""),"")</f>
        <v/>
      </c>
      <c r="K861" s="77"/>
      <c r="L861" s="76" t="str">
        <f aca="false">IF(OR(G861="",H861=""),"Data tidak lengkap",IF(AND(G861=0,H861=0),IF(AND(F861="",K861=""),"Tidak dibuka","Tutup"),IF(H861&gt;G861,"Lebih kapasitas",IF(H861=G861,"Penuh",IF(H861=0,IF(F861="","Slot kosong","Belum terisi"),"Sebagian")))))</f>
        <v>Tidak dibuka</v>
      </c>
      <c r="M861" s="76" t="str">
        <f aca="false">IF(L861="Tidak dibuka","–",IF(F861="","(tanpa age group)",F861)&amp;"  "&amp;IF(H861="","?",H861)&amp;"/"&amp;IF(G861="","?",G861)&amp;CHAR(10)&amp;IF(K861="","coach: –","coach: "&amp;K861))</f>
        <v>–</v>
      </c>
    </row>
    <row r="862" customFormat="false" ht="15" hidden="false" customHeight="false" outlineLevel="0" collapsed="false">
      <c r="A862" s="76" t="str">
        <f aca="false">B862&amp;"|"&amp;C862&amp;"|"&amp;D862&amp;"|"&amp;E862</f>
        <v>PML|1|Selasa|15:45</v>
      </c>
      <c r="B862" s="76" t="s">
        <v>65</v>
      </c>
      <c r="C862" s="76" t="n">
        <v>1</v>
      </c>
      <c r="D862" s="76" t="s">
        <v>91</v>
      </c>
      <c r="E862" s="76" t="s">
        <v>105</v>
      </c>
      <c r="F862" s="77"/>
      <c r="G862" s="77" t="n">
        <v>0</v>
      </c>
      <c r="H862" s="77" t="n">
        <v>0</v>
      </c>
      <c r="I862" s="76" t="n">
        <f aca="false">IF(AND(ISNUMBER(G862),ISNUMBER(H862)),MAX(G862-H862,0),"")</f>
        <v>0</v>
      </c>
      <c r="J862" s="78" t="str">
        <f aca="false">IF(AND(ISNUMBER(G862),ISNUMBER(H862)),IF(G862&gt;0,H862/G862,""),"")</f>
        <v/>
      </c>
      <c r="K862" s="77"/>
      <c r="L862" s="76" t="str">
        <f aca="false">IF(OR(G862="",H862=""),"Data tidak lengkap",IF(AND(G862=0,H862=0),IF(AND(F862="",K862=""),"Tidak dibuka","Tutup"),IF(H862&gt;G862,"Lebih kapasitas",IF(H862=G862,"Penuh",IF(H862=0,IF(F862="","Slot kosong","Belum terisi"),"Sebagian")))))</f>
        <v>Tidak dibuka</v>
      </c>
      <c r="M862" s="76" t="str">
        <f aca="false">IF(L862="Tidak dibuka","–",IF(F862="","(tanpa age group)",F862)&amp;"  "&amp;IF(H862="","?",H862)&amp;"/"&amp;IF(G862="","?",G862)&amp;CHAR(10)&amp;IF(K862="","coach: –","coach: "&amp;K862))</f>
        <v>–</v>
      </c>
    </row>
    <row r="863" customFormat="false" ht="22.35" hidden="false" customHeight="false" outlineLevel="0" collapsed="false">
      <c r="A863" s="76" t="str">
        <f aca="false">B863&amp;"|"&amp;C863&amp;"|"&amp;D863&amp;"|"&amp;E863</f>
        <v>PML|1|Selasa|16:30</v>
      </c>
      <c r="B863" s="76" t="s">
        <v>65</v>
      </c>
      <c r="C863" s="76" t="n">
        <v>1</v>
      </c>
      <c r="D863" s="76" t="s">
        <v>91</v>
      </c>
      <c r="E863" s="76" t="s">
        <v>106</v>
      </c>
      <c r="F863" s="77"/>
      <c r="G863" s="77" t="n">
        <v>5</v>
      </c>
      <c r="H863" s="77" t="n">
        <v>0</v>
      </c>
      <c r="I863" s="76" t="n">
        <f aca="false">IF(AND(ISNUMBER(G863),ISNUMBER(H863)),MAX(G863-H863,0),"")</f>
        <v>5</v>
      </c>
      <c r="J863" s="78" t="n">
        <f aca="false">IF(AND(ISNUMBER(G863),ISNUMBER(H863)),IF(G863&gt;0,H863/G863,""),"")</f>
        <v>0</v>
      </c>
      <c r="K863" s="77"/>
      <c r="L863" s="76" t="str">
        <f aca="false">IF(OR(G863="",H863=""),"Data tidak lengkap",IF(AND(G863=0,H863=0),IF(AND(F863="",K863=""),"Tidak dibuka","Tutup"),IF(H863&gt;G863,"Lebih kapasitas",IF(H863=G863,"Penuh",IF(H863=0,IF(F863="","Slot kosong","Belum terisi"),"Sebagian")))))</f>
        <v>Slot kosong</v>
      </c>
      <c r="M863" s="79" t="str">
        <f aca="false">IF(L863="Tidak dibuka","–",IF(F863="","(tanpa age group)",F863)&amp;"  "&amp;IF(H863="","?",H863)&amp;"/"&amp;IF(G863="","?",G863)&amp;CHAR(10)&amp;IF(K863="","coach: –","coach: "&amp;K863))</f>
        <v>(tanpa age group)  0/5
coach: –</v>
      </c>
    </row>
    <row r="864" customFormat="false" ht="22.35" hidden="false" customHeight="false" outlineLevel="0" collapsed="false">
      <c r="A864" s="76" t="str">
        <f aca="false">B864&amp;"|"&amp;C864&amp;"|"&amp;D864&amp;"|"&amp;E864</f>
        <v>PML|1|Selasa|17:15</v>
      </c>
      <c r="B864" s="76" t="s">
        <v>65</v>
      </c>
      <c r="C864" s="76" t="n">
        <v>1</v>
      </c>
      <c r="D864" s="76" t="s">
        <v>91</v>
      </c>
      <c r="E864" s="76" t="s">
        <v>107</v>
      </c>
      <c r="F864" s="77"/>
      <c r="G864" s="77" t="n">
        <v>5</v>
      </c>
      <c r="H864" s="77" t="n">
        <v>0</v>
      </c>
      <c r="I864" s="76" t="n">
        <f aca="false">IF(AND(ISNUMBER(G864),ISNUMBER(H864)),MAX(G864-H864,0),"")</f>
        <v>5</v>
      </c>
      <c r="J864" s="78" t="n">
        <f aca="false">IF(AND(ISNUMBER(G864),ISNUMBER(H864)),IF(G864&gt;0,H864/G864,""),"")</f>
        <v>0</v>
      </c>
      <c r="K864" s="77"/>
      <c r="L864" s="76" t="str">
        <f aca="false">IF(OR(G864="",H864=""),"Data tidak lengkap",IF(AND(G864=0,H864=0),IF(AND(F864="",K864=""),"Tidak dibuka","Tutup"),IF(H864&gt;G864,"Lebih kapasitas",IF(H864=G864,"Penuh",IF(H864=0,IF(F864="","Slot kosong","Belum terisi"),"Sebagian")))))</f>
        <v>Slot kosong</v>
      </c>
      <c r="M864" s="79" t="str">
        <f aca="false">IF(L864="Tidak dibuka","–",IF(F864="","(tanpa age group)",F864)&amp;"  "&amp;IF(H864="","?",H864)&amp;"/"&amp;IF(G864="","?",G864)&amp;CHAR(10)&amp;IF(K864="","coach: –","coach: "&amp;K864))</f>
        <v>(tanpa age group)  0/5
coach: –</v>
      </c>
    </row>
    <row r="865" customFormat="false" ht="22.35" hidden="false" customHeight="false" outlineLevel="0" collapsed="false">
      <c r="A865" s="76" t="str">
        <f aca="false">B865&amp;"|"&amp;C865&amp;"|"&amp;D865&amp;"|"&amp;E865</f>
        <v>PML|1|Rabu|08:15</v>
      </c>
      <c r="B865" s="76" t="s">
        <v>65</v>
      </c>
      <c r="C865" s="76" t="n">
        <v>1</v>
      </c>
      <c r="D865" s="76" t="s">
        <v>92</v>
      </c>
      <c r="E865" s="76" t="s">
        <v>96</v>
      </c>
      <c r="F865" s="77" t="s">
        <v>242</v>
      </c>
      <c r="G865" s="77" t="n">
        <v>0</v>
      </c>
      <c r="H865" s="77" t="n">
        <v>0</v>
      </c>
      <c r="I865" s="76" t="n">
        <f aca="false">IF(AND(ISNUMBER(G865),ISNUMBER(H865)),MAX(G865-H865,0),"")</f>
        <v>0</v>
      </c>
      <c r="J865" s="78" t="str">
        <f aca="false">IF(AND(ISNUMBER(G865),ISNUMBER(H865)),IF(G865&gt;0,H865/G865,""),"")</f>
        <v/>
      </c>
      <c r="K865" s="77"/>
      <c r="L865" s="76" t="str">
        <f aca="false">IF(OR(G865="",H865=""),"Data tidak lengkap",IF(AND(G865=0,H865=0),IF(AND(F865="",K865=""),"Tidak dibuka","Tutup"),IF(H865&gt;G865,"Lebih kapasitas",IF(H865=G865,"Penuh",IF(H865=0,IF(F865="","Slot kosong","Belum terisi"),"Sebagian")))))</f>
        <v>Tutup</v>
      </c>
      <c r="M865" s="79" t="str">
        <f aca="false">IF(L865="Tidak dibuka","–",IF(F865="","(tanpa age group)",F865)&amp;"  "&amp;IF(H865="","?",H865)&amp;"/"&amp;IF(G865="","?",G865)&amp;CHAR(10)&amp;IF(K865="","coach: –","coach: "&amp;K865))</f>
        <v>Baby  0/0
coach: –</v>
      </c>
    </row>
    <row r="866" customFormat="false" ht="22.35" hidden="false" customHeight="false" outlineLevel="0" collapsed="false">
      <c r="A866" s="76" t="str">
        <f aca="false">B866&amp;"|"&amp;C866&amp;"|"&amp;D866&amp;"|"&amp;E866</f>
        <v>PML|1|Rabu|09:00</v>
      </c>
      <c r="B866" s="76" t="s">
        <v>65</v>
      </c>
      <c r="C866" s="76" t="n">
        <v>1</v>
      </c>
      <c r="D866" s="76" t="s">
        <v>92</v>
      </c>
      <c r="E866" s="76" t="s">
        <v>97</v>
      </c>
      <c r="F866" s="77" t="s">
        <v>242</v>
      </c>
      <c r="G866" s="77" t="n">
        <v>5</v>
      </c>
      <c r="H866" s="77" t="n">
        <v>0</v>
      </c>
      <c r="I866" s="76" t="n">
        <f aca="false">IF(AND(ISNUMBER(G866),ISNUMBER(H866)),MAX(G866-H866,0),"")</f>
        <v>5</v>
      </c>
      <c r="J866" s="78" t="n">
        <f aca="false">IF(AND(ISNUMBER(G866),ISNUMBER(H866)),IF(G866&gt;0,H866/G866,""),"")</f>
        <v>0</v>
      </c>
      <c r="K866" s="77"/>
      <c r="L866" s="76" t="str">
        <f aca="false">IF(OR(G866="",H866=""),"Data tidak lengkap",IF(AND(G866=0,H866=0),IF(AND(F866="",K866=""),"Tidak dibuka","Tutup"),IF(H866&gt;G866,"Lebih kapasitas",IF(H866=G866,"Penuh",IF(H866=0,IF(F866="","Slot kosong","Belum terisi"),"Sebagian")))))</f>
        <v>Belum terisi</v>
      </c>
      <c r="M866" s="79" t="str">
        <f aca="false">IF(L866="Tidak dibuka","–",IF(F866="","(tanpa age group)",F866)&amp;"  "&amp;IF(H866="","?",H866)&amp;"/"&amp;IF(G866="","?",G866)&amp;CHAR(10)&amp;IF(K866="","coach: –","coach: "&amp;K866))</f>
        <v>Baby  0/5
coach: –</v>
      </c>
    </row>
    <row r="867" customFormat="false" ht="22.35" hidden="false" customHeight="false" outlineLevel="0" collapsed="false">
      <c r="A867" s="76" t="str">
        <f aca="false">B867&amp;"|"&amp;C867&amp;"|"&amp;D867&amp;"|"&amp;E867</f>
        <v>PML|1|Rabu|09:45</v>
      </c>
      <c r="B867" s="76" t="s">
        <v>65</v>
      </c>
      <c r="C867" s="76" t="n">
        <v>1</v>
      </c>
      <c r="D867" s="76" t="s">
        <v>92</v>
      </c>
      <c r="E867" s="76" t="s">
        <v>98</v>
      </c>
      <c r="F867" s="77" t="s">
        <v>242</v>
      </c>
      <c r="G867" s="77" t="n">
        <v>5</v>
      </c>
      <c r="H867" s="77" t="n">
        <v>2</v>
      </c>
      <c r="I867" s="76" t="n">
        <f aca="false">IF(AND(ISNUMBER(G867),ISNUMBER(H867)),MAX(G867-H867,0),"")</f>
        <v>3</v>
      </c>
      <c r="J867" s="78" t="n">
        <f aca="false">IF(AND(ISNUMBER(G867),ISNUMBER(H867)),IF(G867&gt;0,H867/G867,""),"")</f>
        <v>0.4</v>
      </c>
      <c r="K867" s="77" t="s">
        <v>336</v>
      </c>
      <c r="L867" s="76" t="str">
        <f aca="false">IF(OR(G867="",H867=""),"Data tidak lengkap",IF(AND(G867=0,H867=0),IF(AND(F867="",K867=""),"Tidak dibuka","Tutup"),IF(H867&gt;G867,"Lebih kapasitas",IF(H867=G867,"Penuh",IF(H867=0,IF(F867="","Slot kosong","Belum terisi"),"Sebagian")))))</f>
        <v>Sebagian</v>
      </c>
      <c r="M867" s="79" t="str">
        <f aca="false">IF(L867="Tidak dibuka","–",IF(F867="","(tanpa age group)",F867)&amp;"  "&amp;IF(H867="","?",H867)&amp;"/"&amp;IF(G867="","?",G867)&amp;CHAR(10)&amp;IF(K867="","coach: –","coach: "&amp;K867))</f>
        <v>Baby  2/5
coach: Laksamana</v>
      </c>
    </row>
    <row r="868" customFormat="false" ht="22.35" hidden="false" customHeight="false" outlineLevel="0" collapsed="false">
      <c r="A868" s="76" t="str">
        <f aca="false">B868&amp;"|"&amp;C868&amp;"|"&amp;D868&amp;"|"&amp;E868</f>
        <v>PML|1|Rabu|10:30</v>
      </c>
      <c r="B868" s="76" t="s">
        <v>65</v>
      </c>
      <c r="C868" s="76" t="n">
        <v>1</v>
      </c>
      <c r="D868" s="76" t="s">
        <v>92</v>
      </c>
      <c r="E868" s="76" t="s">
        <v>99</v>
      </c>
      <c r="F868" s="77" t="s">
        <v>242</v>
      </c>
      <c r="G868" s="77" t="n">
        <v>5</v>
      </c>
      <c r="H868" s="77" t="n">
        <v>0</v>
      </c>
      <c r="I868" s="76" t="n">
        <f aca="false">IF(AND(ISNUMBER(G868),ISNUMBER(H868)),MAX(G868-H868,0),"")</f>
        <v>5</v>
      </c>
      <c r="J868" s="78" t="n">
        <f aca="false">IF(AND(ISNUMBER(G868),ISNUMBER(H868)),IF(G868&gt;0,H868/G868,""),"")</f>
        <v>0</v>
      </c>
      <c r="K868" s="77"/>
      <c r="L868" s="76" t="str">
        <f aca="false">IF(OR(G868="",H868=""),"Data tidak lengkap",IF(AND(G868=0,H868=0),IF(AND(F868="",K868=""),"Tidak dibuka","Tutup"),IF(H868&gt;G868,"Lebih kapasitas",IF(H868=G868,"Penuh",IF(H868=0,IF(F868="","Slot kosong","Belum terisi"),"Sebagian")))))</f>
        <v>Belum terisi</v>
      </c>
      <c r="M868" s="79" t="str">
        <f aca="false">IF(L868="Tidak dibuka","–",IF(F868="","(tanpa age group)",F868)&amp;"  "&amp;IF(H868="","?",H868)&amp;"/"&amp;IF(G868="","?",G868)&amp;CHAR(10)&amp;IF(K868="","coach: –","coach: "&amp;K868))</f>
        <v>Baby  0/5
coach: –</v>
      </c>
    </row>
    <row r="869" customFormat="false" ht="22.35" hidden="false" customHeight="false" outlineLevel="0" collapsed="false">
      <c r="A869" s="76" t="str">
        <f aca="false">B869&amp;"|"&amp;C869&amp;"|"&amp;D869&amp;"|"&amp;E869</f>
        <v>PML|1|Rabu|11:15</v>
      </c>
      <c r="B869" s="76" t="s">
        <v>65</v>
      </c>
      <c r="C869" s="76" t="n">
        <v>1</v>
      </c>
      <c r="D869" s="76" t="s">
        <v>92</v>
      </c>
      <c r="E869" s="76" t="s">
        <v>100</v>
      </c>
      <c r="F869" s="77" t="s">
        <v>242</v>
      </c>
      <c r="G869" s="77" t="n">
        <v>5</v>
      </c>
      <c r="H869" s="77" t="n">
        <v>0</v>
      </c>
      <c r="I869" s="76" t="n">
        <f aca="false">IF(AND(ISNUMBER(G869),ISNUMBER(H869)),MAX(G869-H869,0),"")</f>
        <v>5</v>
      </c>
      <c r="J869" s="78" t="n">
        <f aca="false">IF(AND(ISNUMBER(G869),ISNUMBER(H869)),IF(G869&gt;0,H869/G869,""),"")</f>
        <v>0</v>
      </c>
      <c r="K869" s="77"/>
      <c r="L869" s="76" t="str">
        <f aca="false">IF(OR(G869="",H869=""),"Data tidak lengkap",IF(AND(G869=0,H869=0),IF(AND(F869="",K869=""),"Tidak dibuka","Tutup"),IF(H869&gt;G869,"Lebih kapasitas",IF(H869=G869,"Penuh",IF(H869=0,IF(F869="","Slot kosong","Belum terisi"),"Sebagian")))))</f>
        <v>Belum terisi</v>
      </c>
      <c r="M869" s="79" t="str">
        <f aca="false">IF(L869="Tidak dibuka","–",IF(F869="","(tanpa age group)",F869)&amp;"  "&amp;IF(H869="","?",H869)&amp;"/"&amp;IF(G869="","?",G869)&amp;CHAR(10)&amp;IF(K869="","coach: –","coach: "&amp;K869))</f>
        <v>Baby  0/5
coach: –</v>
      </c>
    </row>
    <row r="870" customFormat="false" ht="22.35" hidden="false" customHeight="false" outlineLevel="0" collapsed="false">
      <c r="A870" s="76" t="str">
        <f aca="false">B870&amp;"|"&amp;C870&amp;"|"&amp;D870&amp;"|"&amp;E870</f>
        <v>PML|1|Rabu|12:00</v>
      </c>
      <c r="B870" s="76" t="s">
        <v>65</v>
      </c>
      <c r="C870" s="76" t="n">
        <v>1</v>
      </c>
      <c r="D870" s="76" t="s">
        <v>92</v>
      </c>
      <c r="E870" s="76" t="s">
        <v>101</v>
      </c>
      <c r="F870" s="77" t="s">
        <v>242</v>
      </c>
      <c r="G870" s="77" t="n">
        <v>0</v>
      </c>
      <c r="H870" s="77" t="n">
        <v>0</v>
      </c>
      <c r="I870" s="76" t="n">
        <f aca="false">IF(AND(ISNUMBER(G870),ISNUMBER(H870)),MAX(G870-H870,0),"")</f>
        <v>0</v>
      </c>
      <c r="J870" s="78" t="str">
        <f aca="false">IF(AND(ISNUMBER(G870),ISNUMBER(H870)),IF(G870&gt;0,H870/G870,""),"")</f>
        <v/>
      </c>
      <c r="K870" s="77"/>
      <c r="L870" s="76" t="str">
        <f aca="false">IF(OR(G870="",H870=""),"Data tidak lengkap",IF(AND(G870=0,H870=0),IF(AND(F870="",K870=""),"Tidak dibuka","Tutup"),IF(H870&gt;G870,"Lebih kapasitas",IF(H870=G870,"Penuh",IF(H870=0,IF(F870="","Slot kosong","Belum terisi"),"Sebagian")))))</f>
        <v>Tutup</v>
      </c>
      <c r="M870" s="79" t="str">
        <f aca="false">IF(L870="Tidak dibuka","–",IF(F870="","(tanpa age group)",F870)&amp;"  "&amp;IF(H870="","?",H870)&amp;"/"&amp;IF(G870="","?",G870)&amp;CHAR(10)&amp;IF(K870="","coach: –","coach: "&amp;K870))</f>
        <v>Baby  0/0
coach: –</v>
      </c>
    </row>
    <row r="871" customFormat="false" ht="22.35" hidden="false" customHeight="false" outlineLevel="0" collapsed="false">
      <c r="A871" s="76" t="str">
        <f aca="false">B871&amp;"|"&amp;C871&amp;"|"&amp;D871&amp;"|"&amp;E871</f>
        <v>PML|1|Rabu|13:30</v>
      </c>
      <c r="B871" s="76" t="s">
        <v>65</v>
      </c>
      <c r="C871" s="76" t="n">
        <v>1</v>
      </c>
      <c r="D871" s="76" t="s">
        <v>92</v>
      </c>
      <c r="E871" s="76" t="s">
        <v>102</v>
      </c>
      <c r="F871" s="77" t="s">
        <v>277</v>
      </c>
      <c r="G871" s="77" t="n">
        <v>4</v>
      </c>
      <c r="H871" s="77" t="n">
        <v>2</v>
      </c>
      <c r="I871" s="76" t="n">
        <f aca="false">IF(AND(ISNUMBER(G871),ISNUMBER(H871)),MAX(G871-H871,0),"")</f>
        <v>2</v>
      </c>
      <c r="J871" s="78" t="n">
        <f aca="false">IF(AND(ISNUMBER(G871),ISNUMBER(H871)),IF(G871&gt;0,H871/G871,""),"")</f>
        <v>0.5</v>
      </c>
      <c r="K871" s="77" t="s">
        <v>336</v>
      </c>
      <c r="L871" s="76" t="str">
        <f aca="false">IF(OR(G871="",H871=""),"Data tidak lengkap",IF(AND(G871=0,H871=0),IF(AND(F871="",K871=""),"Tidak dibuka","Tutup"),IF(H871&gt;G871,"Lebih kapasitas",IF(H871=G871,"Penuh",IF(H871=0,IF(F871="","Slot kosong","Belum terisi"),"Sebagian")))))</f>
        <v>Sebagian</v>
      </c>
      <c r="M871" s="79" t="str">
        <f aca="false">IF(L871="Tidak dibuka","–",IF(F871="","(tanpa age group)",F871)&amp;"  "&amp;IF(H871="","?",H871)&amp;"/"&amp;IF(G871="","?",G871)&amp;CHAR(10)&amp;IF(K871="","coach: –","coach: "&amp;K871))</f>
        <v>Little  2/4
coach: Laksamana</v>
      </c>
    </row>
    <row r="872" customFormat="false" ht="22.35" hidden="false" customHeight="false" outlineLevel="0" collapsed="false">
      <c r="A872" s="76" t="str">
        <f aca="false">B872&amp;"|"&amp;C872&amp;"|"&amp;D872&amp;"|"&amp;E872</f>
        <v>PML|1|Rabu|14:15</v>
      </c>
      <c r="B872" s="76" t="s">
        <v>65</v>
      </c>
      <c r="C872" s="76" t="n">
        <v>1</v>
      </c>
      <c r="D872" s="76" t="s">
        <v>92</v>
      </c>
      <c r="E872" s="76" t="s">
        <v>103</v>
      </c>
      <c r="F872" s="77" t="s">
        <v>242</v>
      </c>
      <c r="G872" s="77" t="n">
        <v>5</v>
      </c>
      <c r="H872" s="77" t="n">
        <v>0</v>
      </c>
      <c r="I872" s="76" t="n">
        <f aca="false">IF(AND(ISNUMBER(G872),ISNUMBER(H872)),MAX(G872-H872,0),"")</f>
        <v>5</v>
      </c>
      <c r="J872" s="78" t="n">
        <f aca="false">IF(AND(ISNUMBER(G872),ISNUMBER(H872)),IF(G872&gt;0,H872/G872,""),"")</f>
        <v>0</v>
      </c>
      <c r="K872" s="77"/>
      <c r="L872" s="76" t="str">
        <f aca="false">IF(OR(G872="",H872=""),"Data tidak lengkap",IF(AND(G872=0,H872=0),IF(AND(F872="",K872=""),"Tidak dibuka","Tutup"),IF(H872&gt;G872,"Lebih kapasitas",IF(H872=G872,"Penuh",IF(H872=0,IF(F872="","Slot kosong","Belum terisi"),"Sebagian")))))</f>
        <v>Belum terisi</v>
      </c>
      <c r="M872" s="79" t="str">
        <f aca="false">IF(L872="Tidak dibuka","–",IF(F872="","(tanpa age group)",F872)&amp;"  "&amp;IF(H872="","?",H872)&amp;"/"&amp;IF(G872="","?",G872)&amp;CHAR(10)&amp;IF(K872="","coach: –","coach: "&amp;K872))</f>
        <v>Baby  0/5
coach: –</v>
      </c>
    </row>
    <row r="873" customFormat="false" ht="22.35" hidden="false" customHeight="false" outlineLevel="0" collapsed="false">
      <c r="A873" s="76" t="str">
        <f aca="false">B873&amp;"|"&amp;C873&amp;"|"&amp;D873&amp;"|"&amp;E873</f>
        <v>PML|1|Rabu|15:00</v>
      </c>
      <c r="B873" s="76" t="s">
        <v>65</v>
      </c>
      <c r="C873" s="76" t="n">
        <v>1</v>
      </c>
      <c r="D873" s="76" t="s">
        <v>92</v>
      </c>
      <c r="E873" s="76" t="s">
        <v>104</v>
      </c>
      <c r="F873" s="77"/>
      <c r="G873" s="77" t="n">
        <v>5</v>
      </c>
      <c r="H873" s="77" t="n">
        <v>0</v>
      </c>
      <c r="I873" s="76" t="n">
        <f aca="false">IF(AND(ISNUMBER(G873),ISNUMBER(H873)),MAX(G873-H873,0),"")</f>
        <v>5</v>
      </c>
      <c r="J873" s="78" t="n">
        <f aca="false">IF(AND(ISNUMBER(G873),ISNUMBER(H873)),IF(G873&gt;0,H873/G873,""),"")</f>
        <v>0</v>
      </c>
      <c r="K873" s="77"/>
      <c r="L873" s="76" t="str">
        <f aca="false">IF(OR(G873="",H873=""),"Data tidak lengkap",IF(AND(G873=0,H873=0),IF(AND(F873="",K873=""),"Tidak dibuka","Tutup"),IF(H873&gt;G873,"Lebih kapasitas",IF(H873=G873,"Penuh",IF(H873=0,IF(F873="","Slot kosong","Belum terisi"),"Sebagian")))))</f>
        <v>Slot kosong</v>
      </c>
      <c r="M873" s="79" t="str">
        <f aca="false">IF(L873="Tidak dibuka","–",IF(F873="","(tanpa age group)",F873)&amp;"  "&amp;IF(H873="","?",H873)&amp;"/"&amp;IF(G873="","?",G873)&amp;CHAR(10)&amp;IF(K873="","coach: –","coach: "&amp;K873))</f>
        <v>(tanpa age group)  0/5
coach: –</v>
      </c>
    </row>
    <row r="874" customFormat="false" ht="22.35" hidden="false" customHeight="false" outlineLevel="0" collapsed="false">
      <c r="A874" s="76" t="str">
        <f aca="false">B874&amp;"|"&amp;C874&amp;"|"&amp;D874&amp;"|"&amp;E874</f>
        <v>PML|1|Rabu|15:45</v>
      </c>
      <c r="B874" s="76" t="s">
        <v>65</v>
      </c>
      <c r="C874" s="76" t="n">
        <v>1</v>
      </c>
      <c r="D874" s="76" t="s">
        <v>92</v>
      </c>
      <c r="E874" s="76" t="s">
        <v>105</v>
      </c>
      <c r="F874" s="77"/>
      <c r="G874" s="77" t="n">
        <v>5</v>
      </c>
      <c r="H874" s="77" t="n">
        <v>0</v>
      </c>
      <c r="I874" s="76" t="n">
        <f aca="false">IF(AND(ISNUMBER(G874),ISNUMBER(H874)),MAX(G874-H874,0),"")</f>
        <v>5</v>
      </c>
      <c r="J874" s="78" t="n">
        <f aca="false">IF(AND(ISNUMBER(G874),ISNUMBER(H874)),IF(G874&gt;0,H874/G874,""),"")</f>
        <v>0</v>
      </c>
      <c r="K874" s="77"/>
      <c r="L874" s="76" t="str">
        <f aca="false">IF(OR(G874="",H874=""),"Data tidak lengkap",IF(AND(G874=0,H874=0),IF(AND(F874="",K874=""),"Tidak dibuka","Tutup"),IF(H874&gt;G874,"Lebih kapasitas",IF(H874=G874,"Penuh",IF(H874=0,IF(F874="","Slot kosong","Belum terisi"),"Sebagian")))))</f>
        <v>Slot kosong</v>
      </c>
      <c r="M874" s="79" t="str">
        <f aca="false">IF(L874="Tidak dibuka","–",IF(F874="","(tanpa age group)",F874)&amp;"  "&amp;IF(H874="","?",H874)&amp;"/"&amp;IF(G874="","?",G874)&amp;CHAR(10)&amp;IF(K874="","coach: –","coach: "&amp;K874))</f>
        <v>(tanpa age group)  0/5
coach: –</v>
      </c>
    </row>
    <row r="875" customFormat="false" ht="22.35" hidden="false" customHeight="false" outlineLevel="0" collapsed="false">
      <c r="A875" s="76" t="str">
        <f aca="false">B875&amp;"|"&amp;C875&amp;"|"&amp;D875&amp;"|"&amp;E875</f>
        <v>PML|1|Rabu|16:30</v>
      </c>
      <c r="B875" s="76" t="s">
        <v>65</v>
      </c>
      <c r="C875" s="76" t="n">
        <v>1</v>
      </c>
      <c r="D875" s="76" t="s">
        <v>92</v>
      </c>
      <c r="E875" s="76" t="s">
        <v>106</v>
      </c>
      <c r="F875" s="77" t="s">
        <v>242</v>
      </c>
      <c r="G875" s="77" t="n">
        <v>5</v>
      </c>
      <c r="H875" s="77" t="n">
        <v>0</v>
      </c>
      <c r="I875" s="76" t="n">
        <f aca="false">IF(AND(ISNUMBER(G875),ISNUMBER(H875)),MAX(G875-H875,0),"")</f>
        <v>5</v>
      </c>
      <c r="J875" s="78" t="n">
        <f aca="false">IF(AND(ISNUMBER(G875),ISNUMBER(H875)),IF(G875&gt;0,H875/G875,""),"")</f>
        <v>0</v>
      </c>
      <c r="K875" s="77"/>
      <c r="L875" s="76" t="str">
        <f aca="false">IF(OR(G875="",H875=""),"Data tidak lengkap",IF(AND(G875=0,H875=0),IF(AND(F875="",K875=""),"Tidak dibuka","Tutup"),IF(H875&gt;G875,"Lebih kapasitas",IF(H875=G875,"Penuh",IF(H875=0,IF(F875="","Slot kosong","Belum terisi"),"Sebagian")))))</f>
        <v>Belum terisi</v>
      </c>
      <c r="M875" s="79" t="str">
        <f aca="false">IF(L875="Tidak dibuka","–",IF(F875="","(tanpa age group)",F875)&amp;"  "&amp;IF(H875="","?",H875)&amp;"/"&amp;IF(G875="","?",G875)&amp;CHAR(10)&amp;IF(K875="","coach: –","coach: "&amp;K875))</f>
        <v>Baby  0/5
coach: –</v>
      </c>
    </row>
    <row r="876" customFormat="false" ht="22.35" hidden="false" customHeight="false" outlineLevel="0" collapsed="false">
      <c r="A876" s="76" t="str">
        <f aca="false">B876&amp;"|"&amp;C876&amp;"|"&amp;D876&amp;"|"&amp;E876</f>
        <v>PML|1|Rabu|17:15</v>
      </c>
      <c r="B876" s="76" t="s">
        <v>65</v>
      </c>
      <c r="C876" s="76" t="n">
        <v>1</v>
      </c>
      <c r="D876" s="76" t="s">
        <v>92</v>
      </c>
      <c r="E876" s="76" t="s">
        <v>107</v>
      </c>
      <c r="F876" s="77"/>
      <c r="G876" s="77" t="n">
        <v>5</v>
      </c>
      <c r="H876" s="77" t="n">
        <v>0</v>
      </c>
      <c r="I876" s="76" t="n">
        <f aca="false">IF(AND(ISNUMBER(G876),ISNUMBER(H876)),MAX(G876-H876,0),"")</f>
        <v>5</v>
      </c>
      <c r="J876" s="78" t="n">
        <f aca="false">IF(AND(ISNUMBER(G876),ISNUMBER(H876)),IF(G876&gt;0,H876/G876,""),"")</f>
        <v>0</v>
      </c>
      <c r="K876" s="77"/>
      <c r="L876" s="76" t="str">
        <f aca="false">IF(OR(G876="",H876=""),"Data tidak lengkap",IF(AND(G876=0,H876=0),IF(AND(F876="",K876=""),"Tidak dibuka","Tutup"),IF(H876&gt;G876,"Lebih kapasitas",IF(H876=G876,"Penuh",IF(H876=0,IF(F876="","Slot kosong","Belum terisi"),"Sebagian")))))</f>
        <v>Slot kosong</v>
      </c>
      <c r="M876" s="79" t="str">
        <f aca="false">IF(L876="Tidak dibuka","–",IF(F876="","(tanpa age group)",F876)&amp;"  "&amp;IF(H876="","?",H876)&amp;"/"&amp;IF(G876="","?",G876)&amp;CHAR(10)&amp;IF(K876="","coach: –","coach: "&amp;K876))</f>
        <v>(tanpa age group)  0/5
coach: –</v>
      </c>
    </row>
    <row r="877" customFormat="false" ht="22.35" hidden="false" customHeight="false" outlineLevel="0" collapsed="false">
      <c r="A877" s="76" t="str">
        <f aca="false">B877&amp;"|"&amp;C877&amp;"|"&amp;D877&amp;"|"&amp;E877</f>
        <v>PML|1|Kamis|08:15</v>
      </c>
      <c r="B877" s="76" t="s">
        <v>65</v>
      </c>
      <c r="C877" s="76" t="n">
        <v>1</v>
      </c>
      <c r="D877" s="76" t="s">
        <v>93</v>
      </c>
      <c r="E877" s="76" t="s">
        <v>96</v>
      </c>
      <c r="F877" s="77" t="s">
        <v>242</v>
      </c>
      <c r="G877" s="77" t="n">
        <v>0</v>
      </c>
      <c r="H877" s="77" t="n">
        <v>0</v>
      </c>
      <c r="I877" s="76" t="n">
        <f aca="false">IF(AND(ISNUMBER(G877),ISNUMBER(H877)),MAX(G877-H877,0),"")</f>
        <v>0</v>
      </c>
      <c r="J877" s="78" t="str">
        <f aca="false">IF(AND(ISNUMBER(G877),ISNUMBER(H877)),IF(G877&gt;0,H877/G877,""),"")</f>
        <v/>
      </c>
      <c r="K877" s="77"/>
      <c r="L877" s="76" t="str">
        <f aca="false">IF(OR(G877="",H877=""),"Data tidak lengkap",IF(AND(G877=0,H877=0),IF(AND(F877="",K877=""),"Tidak dibuka","Tutup"),IF(H877&gt;G877,"Lebih kapasitas",IF(H877=G877,"Penuh",IF(H877=0,IF(F877="","Slot kosong","Belum terisi"),"Sebagian")))))</f>
        <v>Tutup</v>
      </c>
      <c r="M877" s="79" t="str">
        <f aca="false">IF(L877="Tidak dibuka","–",IF(F877="","(tanpa age group)",F877)&amp;"  "&amp;IF(H877="","?",H877)&amp;"/"&amp;IF(G877="","?",G877)&amp;CHAR(10)&amp;IF(K877="","coach: –","coach: "&amp;K877))</f>
        <v>Baby  0/0
coach: –</v>
      </c>
    </row>
    <row r="878" customFormat="false" ht="22.35" hidden="false" customHeight="false" outlineLevel="0" collapsed="false">
      <c r="A878" s="76" t="str">
        <f aca="false">B878&amp;"|"&amp;C878&amp;"|"&amp;D878&amp;"|"&amp;E878</f>
        <v>PML|1|Kamis|09:00</v>
      </c>
      <c r="B878" s="76" t="s">
        <v>65</v>
      </c>
      <c r="C878" s="76" t="n">
        <v>1</v>
      </c>
      <c r="D878" s="76" t="s">
        <v>93</v>
      </c>
      <c r="E878" s="76" t="s">
        <v>97</v>
      </c>
      <c r="F878" s="77" t="s">
        <v>242</v>
      </c>
      <c r="G878" s="77" t="n">
        <v>5</v>
      </c>
      <c r="H878" s="77" t="n">
        <v>0</v>
      </c>
      <c r="I878" s="76" t="n">
        <f aca="false">IF(AND(ISNUMBER(G878),ISNUMBER(H878)),MAX(G878-H878,0),"")</f>
        <v>5</v>
      </c>
      <c r="J878" s="78" t="n">
        <f aca="false">IF(AND(ISNUMBER(G878),ISNUMBER(H878)),IF(G878&gt;0,H878/G878,""),"")</f>
        <v>0</v>
      </c>
      <c r="K878" s="77"/>
      <c r="L878" s="76" t="str">
        <f aca="false">IF(OR(G878="",H878=""),"Data tidak lengkap",IF(AND(G878=0,H878=0),IF(AND(F878="",K878=""),"Tidak dibuka","Tutup"),IF(H878&gt;G878,"Lebih kapasitas",IF(H878=G878,"Penuh",IF(H878=0,IF(F878="","Slot kosong","Belum terisi"),"Sebagian")))))</f>
        <v>Belum terisi</v>
      </c>
      <c r="M878" s="79" t="str">
        <f aca="false">IF(L878="Tidak dibuka","–",IF(F878="","(tanpa age group)",F878)&amp;"  "&amp;IF(H878="","?",H878)&amp;"/"&amp;IF(G878="","?",G878)&amp;CHAR(10)&amp;IF(K878="","coach: –","coach: "&amp;K878))</f>
        <v>Baby  0/5
coach: –</v>
      </c>
    </row>
    <row r="879" customFormat="false" ht="22.35" hidden="false" customHeight="false" outlineLevel="0" collapsed="false">
      <c r="A879" s="76" t="str">
        <f aca="false">B879&amp;"|"&amp;C879&amp;"|"&amp;D879&amp;"|"&amp;E879</f>
        <v>PML|1|Kamis|09:45</v>
      </c>
      <c r="B879" s="76" t="s">
        <v>65</v>
      </c>
      <c r="C879" s="76" t="n">
        <v>1</v>
      </c>
      <c r="D879" s="76" t="s">
        <v>93</v>
      </c>
      <c r="E879" s="76" t="s">
        <v>98</v>
      </c>
      <c r="F879" s="77" t="s">
        <v>242</v>
      </c>
      <c r="G879" s="77" t="n">
        <v>5</v>
      </c>
      <c r="H879" s="77" t="n">
        <v>0</v>
      </c>
      <c r="I879" s="76" t="n">
        <f aca="false">IF(AND(ISNUMBER(G879),ISNUMBER(H879)),MAX(G879-H879,0),"")</f>
        <v>5</v>
      </c>
      <c r="J879" s="78" t="n">
        <f aca="false">IF(AND(ISNUMBER(G879),ISNUMBER(H879)),IF(G879&gt;0,H879/G879,""),"")</f>
        <v>0</v>
      </c>
      <c r="K879" s="77"/>
      <c r="L879" s="76" t="str">
        <f aca="false">IF(OR(G879="",H879=""),"Data tidak lengkap",IF(AND(G879=0,H879=0),IF(AND(F879="",K879=""),"Tidak dibuka","Tutup"),IF(H879&gt;G879,"Lebih kapasitas",IF(H879=G879,"Penuh",IF(H879=0,IF(F879="","Slot kosong","Belum terisi"),"Sebagian")))))</f>
        <v>Belum terisi</v>
      </c>
      <c r="M879" s="79" t="str">
        <f aca="false">IF(L879="Tidak dibuka","–",IF(F879="","(tanpa age group)",F879)&amp;"  "&amp;IF(H879="","?",H879)&amp;"/"&amp;IF(G879="","?",G879)&amp;CHAR(10)&amp;IF(K879="","coach: –","coach: "&amp;K879))</f>
        <v>Baby  0/5
coach: –</v>
      </c>
    </row>
    <row r="880" customFormat="false" ht="22.35" hidden="false" customHeight="false" outlineLevel="0" collapsed="false">
      <c r="A880" s="76" t="str">
        <f aca="false">B880&amp;"|"&amp;C880&amp;"|"&amp;D880&amp;"|"&amp;E880</f>
        <v>PML|1|Kamis|10:30</v>
      </c>
      <c r="B880" s="76" t="s">
        <v>65</v>
      </c>
      <c r="C880" s="76" t="n">
        <v>1</v>
      </c>
      <c r="D880" s="76" t="s">
        <v>93</v>
      </c>
      <c r="E880" s="76" t="s">
        <v>99</v>
      </c>
      <c r="F880" s="77" t="s">
        <v>242</v>
      </c>
      <c r="G880" s="77" t="n">
        <v>5</v>
      </c>
      <c r="H880" s="77" t="n">
        <v>0</v>
      </c>
      <c r="I880" s="76" t="n">
        <f aca="false">IF(AND(ISNUMBER(G880),ISNUMBER(H880)),MAX(G880-H880,0),"")</f>
        <v>5</v>
      </c>
      <c r="J880" s="78" t="n">
        <f aca="false">IF(AND(ISNUMBER(G880),ISNUMBER(H880)),IF(G880&gt;0,H880/G880,""),"")</f>
        <v>0</v>
      </c>
      <c r="K880" s="77"/>
      <c r="L880" s="76" t="str">
        <f aca="false">IF(OR(G880="",H880=""),"Data tidak lengkap",IF(AND(G880=0,H880=0),IF(AND(F880="",K880=""),"Tidak dibuka","Tutup"),IF(H880&gt;G880,"Lebih kapasitas",IF(H880=G880,"Penuh",IF(H880=0,IF(F880="","Slot kosong","Belum terisi"),"Sebagian")))))</f>
        <v>Belum terisi</v>
      </c>
      <c r="M880" s="79" t="str">
        <f aca="false">IF(L880="Tidak dibuka","–",IF(F880="","(tanpa age group)",F880)&amp;"  "&amp;IF(H880="","?",H880)&amp;"/"&amp;IF(G880="","?",G880)&amp;CHAR(10)&amp;IF(K880="","coach: –","coach: "&amp;K880))</f>
        <v>Baby  0/5
coach: –</v>
      </c>
    </row>
    <row r="881" customFormat="false" ht="22.35" hidden="false" customHeight="false" outlineLevel="0" collapsed="false">
      <c r="A881" s="76" t="str">
        <f aca="false">B881&amp;"|"&amp;C881&amp;"|"&amp;D881&amp;"|"&amp;E881</f>
        <v>PML|1|Kamis|11:15</v>
      </c>
      <c r="B881" s="76" t="s">
        <v>65</v>
      </c>
      <c r="C881" s="76" t="n">
        <v>1</v>
      </c>
      <c r="D881" s="76" t="s">
        <v>93</v>
      </c>
      <c r="E881" s="76" t="s">
        <v>100</v>
      </c>
      <c r="F881" s="77" t="s">
        <v>242</v>
      </c>
      <c r="G881" s="77" t="n">
        <v>5</v>
      </c>
      <c r="H881" s="77" t="n">
        <v>0</v>
      </c>
      <c r="I881" s="76" t="n">
        <f aca="false">IF(AND(ISNUMBER(G881),ISNUMBER(H881)),MAX(G881-H881,0),"")</f>
        <v>5</v>
      </c>
      <c r="J881" s="78" t="n">
        <f aca="false">IF(AND(ISNUMBER(G881),ISNUMBER(H881)),IF(G881&gt;0,H881/G881,""),"")</f>
        <v>0</v>
      </c>
      <c r="K881" s="77"/>
      <c r="L881" s="76" t="str">
        <f aca="false">IF(OR(G881="",H881=""),"Data tidak lengkap",IF(AND(G881=0,H881=0),IF(AND(F881="",K881=""),"Tidak dibuka","Tutup"),IF(H881&gt;G881,"Lebih kapasitas",IF(H881=G881,"Penuh",IF(H881=0,IF(F881="","Slot kosong","Belum terisi"),"Sebagian")))))</f>
        <v>Belum terisi</v>
      </c>
      <c r="M881" s="79" t="str">
        <f aca="false">IF(L881="Tidak dibuka","–",IF(F881="","(tanpa age group)",F881)&amp;"  "&amp;IF(H881="","?",H881)&amp;"/"&amp;IF(G881="","?",G881)&amp;CHAR(10)&amp;IF(K881="","coach: –","coach: "&amp;K881))</f>
        <v>Baby  0/5
coach: –</v>
      </c>
    </row>
    <row r="882" customFormat="false" ht="22.35" hidden="false" customHeight="false" outlineLevel="0" collapsed="false">
      <c r="A882" s="76" t="str">
        <f aca="false">B882&amp;"|"&amp;C882&amp;"|"&amp;D882&amp;"|"&amp;E882</f>
        <v>PML|1|Kamis|12:00</v>
      </c>
      <c r="B882" s="76" t="s">
        <v>65</v>
      </c>
      <c r="C882" s="76" t="n">
        <v>1</v>
      </c>
      <c r="D882" s="76" t="s">
        <v>93</v>
      </c>
      <c r="E882" s="76" t="s">
        <v>101</v>
      </c>
      <c r="F882" s="77" t="s">
        <v>242</v>
      </c>
      <c r="G882" s="77" t="n">
        <v>0</v>
      </c>
      <c r="H882" s="77" t="n">
        <v>0</v>
      </c>
      <c r="I882" s="76" t="n">
        <f aca="false">IF(AND(ISNUMBER(G882),ISNUMBER(H882)),MAX(G882-H882,0),"")</f>
        <v>0</v>
      </c>
      <c r="J882" s="78" t="str">
        <f aca="false">IF(AND(ISNUMBER(G882),ISNUMBER(H882)),IF(G882&gt;0,H882/G882,""),"")</f>
        <v/>
      </c>
      <c r="K882" s="77"/>
      <c r="L882" s="76" t="str">
        <f aca="false">IF(OR(G882="",H882=""),"Data tidak lengkap",IF(AND(G882=0,H882=0),IF(AND(F882="",K882=""),"Tidak dibuka","Tutup"),IF(H882&gt;G882,"Lebih kapasitas",IF(H882=G882,"Penuh",IF(H882=0,IF(F882="","Slot kosong","Belum terisi"),"Sebagian")))))</f>
        <v>Tutup</v>
      </c>
      <c r="M882" s="79" t="str">
        <f aca="false">IF(L882="Tidak dibuka","–",IF(F882="","(tanpa age group)",F882)&amp;"  "&amp;IF(H882="","?",H882)&amp;"/"&amp;IF(G882="","?",G882)&amp;CHAR(10)&amp;IF(K882="","coach: –","coach: "&amp;K882))</f>
        <v>Baby  0/0
coach: –</v>
      </c>
    </row>
    <row r="883" customFormat="false" ht="22.35" hidden="false" customHeight="false" outlineLevel="0" collapsed="false">
      <c r="A883" s="76" t="str">
        <f aca="false">B883&amp;"|"&amp;C883&amp;"|"&amp;D883&amp;"|"&amp;E883</f>
        <v>PML|1|Kamis|13:30</v>
      </c>
      <c r="B883" s="76" t="s">
        <v>65</v>
      </c>
      <c r="C883" s="76" t="n">
        <v>1</v>
      </c>
      <c r="D883" s="76" t="s">
        <v>93</v>
      </c>
      <c r="E883" s="76" t="s">
        <v>102</v>
      </c>
      <c r="F883" s="77" t="s">
        <v>242</v>
      </c>
      <c r="G883" s="77" t="n">
        <v>5</v>
      </c>
      <c r="H883" s="77" t="n">
        <v>0</v>
      </c>
      <c r="I883" s="76" t="n">
        <f aca="false">IF(AND(ISNUMBER(G883),ISNUMBER(H883)),MAX(G883-H883,0),"")</f>
        <v>5</v>
      </c>
      <c r="J883" s="78" t="n">
        <f aca="false">IF(AND(ISNUMBER(G883),ISNUMBER(H883)),IF(G883&gt;0,H883/G883,""),"")</f>
        <v>0</v>
      </c>
      <c r="K883" s="77"/>
      <c r="L883" s="76" t="str">
        <f aca="false">IF(OR(G883="",H883=""),"Data tidak lengkap",IF(AND(G883=0,H883=0),IF(AND(F883="",K883=""),"Tidak dibuka","Tutup"),IF(H883&gt;G883,"Lebih kapasitas",IF(H883=G883,"Penuh",IF(H883=0,IF(F883="","Slot kosong","Belum terisi"),"Sebagian")))))</f>
        <v>Belum terisi</v>
      </c>
      <c r="M883" s="79" t="str">
        <f aca="false">IF(L883="Tidak dibuka","–",IF(F883="","(tanpa age group)",F883)&amp;"  "&amp;IF(H883="","?",H883)&amp;"/"&amp;IF(G883="","?",G883)&amp;CHAR(10)&amp;IF(K883="","coach: –","coach: "&amp;K883))</f>
        <v>Baby  0/5
coach: –</v>
      </c>
    </row>
    <row r="884" customFormat="false" ht="22.35" hidden="false" customHeight="false" outlineLevel="0" collapsed="false">
      <c r="A884" s="76" t="str">
        <f aca="false">B884&amp;"|"&amp;C884&amp;"|"&amp;D884&amp;"|"&amp;E884</f>
        <v>PML|1|Kamis|14:15</v>
      </c>
      <c r="B884" s="76" t="s">
        <v>65</v>
      </c>
      <c r="C884" s="76" t="n">
        <v>1</v>
      </c>
      <c r="D884" s="76" t="s">
        <v>93</v>
      </c>
      <c r="E884" s="76" t="s">
        <v>103</v>
      </c>
      <c r="F884" s="77" t="s">
        <v>242</v>
      </c>
      <c r="G884" s="77" t="n">
        <v>5</v>
      </c>
      <c r="H884" s="77" t="n">
        <v>0</v>
      </c>
      <c r="I884" s="76" t="n">
        <f aca="false">IF(AND(ISNUMBER(G884),ISNUMBER(H884)),MAX(G884-H884,0),"")</f>
        <v>5</v>
      </c>
      <c r="J884" s="78" t="n">
        <f aca="false">IF(AND(ISNUMBER(G884),ISNUMBER(H884)),IF(G884&gt;0,H884/G884,""),"")</f>
        <v>0</v>
      </c>
      <c r="K884" s="77"/>
      <c r="L884" s="76" t="str">
        <f aca="false">IF(OR(G884="",H884=""),"Data tidak lengkap",IF(AND(G884=0,H884=0),IF(AND(F884="",K884=""),"Tidak dibuka","Tutup"),IF(H884&gt;G884,"Lebih kapasitas",IF(H884=G884,"Penuh",IF(H884=0,IF(F884="","Slot kosong","Belum terisi"),"Sebagian")))))</f>
        <v>Belum terisi</v>
      </c>
      <c r="M884" s="79" t="str">
        <f aca="false">IF(L884="Tidak dibuka","–",IF(F884="","(tanpa age group)",F884)&amp;"  "&amp;IF(H884="","?",H884)&amp;"/"&amp;IF(G884="","?",G884)&amp;CHAR(10)&amp;IF(K884="","coach: –","coach: "&amp;K884))</f>
        <v>Baby  0/5
coach: –</v>
      </c>
    </row>
    <row r="885" customFormat="false" ht="22.35" hidden="false" customHeight="false" outlineLevel="0" collapsed="false">
      <c r="A885" s="76" t="str">
        <f aca="false">B885&amp;"|"&amp;C885&amp;"|"&amp;D885&amp;"|"&amp;E885</f>
        <v>PML|1|Kamis|15:00</v>
      </c>
      <c r="B885" s="76" t="s">
        <v>65</v>
      </c>
      <c r="C885" s="76" t="n">
        <v>1</v>
      </c>
      <c r="D885" s="76" t="s">
        <v>93</v>
      </c>
      <c r="E885" s="76" t="s">
        <v>104</v>
      </c>
      <c r="F885" s="77" t="s">
        <v>242</v>
      </c>
      <c r="G885" s="77" t="n">
        <v>5</v>
      </c>
      <c r="H885" s="77" t="n">
        <v>0</v>
      </c>
      <c r="I885" s="76" t="n">
        <f aca="false">IF(AND(ISNUMBER(G885),ISNUMBER(H885)),MAX(G885-H885,0),"")</f>
        <v>5</v>
      </c>
      <c r="J885" s="78" t="n">
        <f aca="false">IF(AND(ISNUMBER(G885),ISNUMBER(H885)),IF(G885&gt;0,H885/G885,""),"")</f>
        <v>0</v>
      </c>
      <c r="K885" s="77" t="s">
        <v>336</v>
      </c>
      <c r="L885" s="76" t="str">
        <f aca="false">IF(OR(G885="",H885=""),"Data tidak lengkap",IF(AND(G885=0,H885=0),IF(AND(F885="",K885=""),"Tidak dibuka","Tutup"),IF(H885&gt;G885,"Lebih kapasitas",IF(H885=G885,"Penuh",IF(H885=0,IF(F885="","Slot kosong","Belum terisi"),"Sebagian")))))</f>
        <v>Belum terisi</v>
      </c>
      <c r="M885" s="79" t="str">
        <f aca="false">IF(L885="Tidak dibuka","–",IF(F885="","(tanpa age group)",F885)&amp;"  "&amp;IF(H885="","?",H885)&amp;"/"&amp;IF(G885="","?",G885)&amp;CHAR(10)&amp;IF(K885="","coach: –","coach: "&amp;K885))</f>
        <v>Baby  0/5
coach: Laksamana</v>
      </c>
    </row>
    <row r="886" customFormat="false" ht="22.35" hidden="false" customHeight="false" outlineLevel="0" collapsed="false">
      <c r="A886" s="76" t="str">
        <f aca="false">B886&amp;"|"&amp;C886&amp;"|"&amp;D886&amp;"|"&amp;E886</f>
        <v>PML|1|Kamis|15:45</v>
      </c>
      <c r="B886" s="76" t="s">
        <v>65</v>
      </c>
      <c r="C886" s="76" t="n">
        <v>1</v>
      </c>
      <c r="D886" s="76" t="s">
        <v>93</v>
      </c>
      <c r="E886" s="76" t="s">
        <v>105</v>
      </c>
      <c r="F886" s="77"/>
      <c r="G886" s="77" t="n">
        <v>5</v>
      </c>
      <c r="H886" s="77" t="n">
        <v>0</v>
      </c>
      <c r="I886" s="76" t="n">
        <f aca="false">IF(AND(ISNUMBER(G886),ISNUMBER(H886)),MAX(G886-H886,0),"")</f>
        <v>5</v>
      </c>
      <c r="J886" s="78" t="n">
        <f aca="false">IF(AND(ISNUMBER(G886),ISNUMBER(H886)),IF(G886&gt;0,H886/G886,""),"")</f>
        <v>0</v>
      </c>
      <c r="K886" s="77"/>
      <c r="L886" s="76" t="str">
        <f aca="false">IF(OR(G886="",H886=""),"Data tidak lengkap",IF(AND(G886=0,H886=0),IF(AND(F886="",K886=""),"Tidak dibuka","Tutup"),IF(H886&gt;G886,"Lebih kapasitas",IF(H886=G886,"Penuh",IF(H886=0,IF(F886="","Slot kosong","Belum terisi"),"Sebagian")))))</f>
        <v>Slot kosong</v>
      </c>
      <c r="M886" s="79" t="str">
        <f aca="false">IF(L886="Tidak dibuka","–",IF(F886="","(tanpa age group)",F886)&amp;"  "&amp;IF(H886="","?",H886)&amp;"/"&amp;IF(G886="","?",G886)&amp;CHAR(10)&amp;IF(K886="","coach: –","coach: "&amp;K886))</f>
        <v>(tanpa age group)  0/5
coach: –</v>
      </c>
    </row>
    <row r="887" customFormat="false" ht="22.35" hidden="false" customHeight="false" outlineLevel="0" collapsed="false">
      <c r="A887" s="76" t="str">
        <f aca="false">B887&amp;"|"&amp;C887&amp;"|"&amp;D887&amp;"|"&amp;E887</f>
        <v>PML|1|Kamis|16:30</v>
      </c>
      <c r="B887" s="76" t="s">
        <v>65</v>
      </c>
      <c r="C887" s="76" t="n">
        <v>1</v>
      </c>
      <c r="D887" s="76" t="s">
        <v>93</v>
      </c>
      <c r="E887" s="76" t="s">
        <v>106</v>
      </c>
      <c r="F887" s="77" t="s">
        <v>210</v>
      </c>
      <c r="G887" s="77" t="n">
        <v>5</v>
      </c>
      <c r="H887" s="77" t="n">
        <v>3</v>
      </c>
      <c r="I887" s="76" t="n">
        <f aca="false">IF(AND(ISNUMBER(G887),ISNUMBER(H887)),MAX(G887-H887,0),"")</f>
        <v>2</v>
      </c>
      <c r="J887" s="78" t="n">
        <f aca="false">IF(AND(ISNUMBER(G887),ISNUMBER(H887)),IF(G887&gt;0,H887/G887,""),"")</f>
        <v>0.6</v>
      </c>
      <c r="K887" s="77" t="s">
        <v>335</v>
      </c>
      <c r="L887" s="76" t="str">
        <f aca="false">IF(OR(G887="",H887=""),"Data tidak lengkap",IF(AND(G887=0,H887=0),IF(AND(F887="",K887=""),"Tidak dibuka","Tutup"),IF(H887&gt;G887,"Lebih kapasitas",IF(H887=G887,"Penuh",IF(H887=0,IF(F887="","Slot kosong","Belum terisi"),"Sebagian")))))</f>
        <v>Sebagian</v>
      </c>
      <c r="M887" s="79" t="str">
        <f aca="false">IF(L887="Tidak dibuka","–",IF(F887="","(tanpa age group)",F887)&amp;"  "&amp;IF(H887="","?",H887)&amp;"/"&amp;IF(G887="","?",G887)&amp;CHAR(10)&amp;IF(K887="","coach: –","coach: "&amp;K887))</f>
        <v>Kids  3/5
coach: Shofwan</v>
      </c>
    </row>
    <row r="888" customFormat="false" ht="22.35" hidden="false" customHeight="false" outlineLevel="0" collapsed="false">
      <c r="A888" s="76" t="str">
        <f aca="false">B888&amp;"|"&amp;C888&amp;"|"&amp;D888&amp;"|"&amp;E888</f>
        <v>PML|1|Kamis|17:15</v>
      </c>
      <c r="B888" s="76" t="s">
        <v>65</v>
      </c>
      <c r="C888" s="76" t="n">
        <v>1</v>
      </c>
      <c r="D888" s="76" t="s">
        <v>93</v>
      </c>
      <c r="E888" s="76" t="s">
        <v>107</v>
      </c>
      <c r="F888" s="77"/>
      <c r="G888" s="77" t="n">
        <v>5</v>
      </c>
      <c r="H888" s="77" t="n">
        <v>0</v>
      </c>
      <c r="I888" s="76" t="n">
        <f aca="false">IF(AND(ISNUMBER(G888),ISNUMBER(H888)),MAX(G888-H888,0),"")</f>
        <v>5</v>
      </c>
      <c r="J888" s="78" t="n">
        <f aca="false">IF(AND(ISNUMBER(G888),ISNUMBER(H888)),IF(G888&gt;0,H888/G888,""),"")</f>
        <v>0</v>
      </c>
      <c r="K888" s="77"/>
      <c r="L888" s="76" t="str">
        <f aca="false">IF(OR(G888="",H888=""),"Data tidak lengkap",IF(AND(G888=0,H888=0),IF(AND(F888="",K888=""),"Tidak dibuka","Tutup"),IF(H888&gt;G888,"Lebih kapasitas",IF(H888=G888,"Penuh",IF(H888=0,IF(F888="","Slot kosong","Belum terisi"),"Sebagian")))))</f>
        <v>Slot kosong</v>
      </c>
      <c r="M888" s="79" t="str">
        <f aca="false">IF(L888="Tidak dibuka","–",IF(F888="","(tanpa age group)",F888)&amp;"  "&amp;IF(H888="","?",H888)&amp;"/"&amp;IF(G888="","?",G888)&amp;CHAR(10)&amp;IF(K888="","coach: –","coach: "&amp;K888))</f>
        <v>(tanpa age group)  0/5
coach: –</v>
      </c>
    </row>
    <row r="889" customFormat="false" ht="22.35" hidden="false" customHeight="false" outlineLevel="0" collapsed="false">
      <c r="A889" s="76" t="str">
        <f aca="false">B889&amp;"|"&amp;C889&amp;"|"&amp;D889&amp;"|"&amp;E889</f>
        <v>PML|1|Jumat|08:15</v>
      </c>
      <c r="B889" s="76" t="s">
        <v>65</v>
      </c>
      <c r="C889" s="76" t="n">
        <v>1</v>
      </c>
      <c r="D889" s="76" t="s">
        <v>94</v>
      </c>
      <c r="E889" s="76" t="s">
        <v>96</v>
      </c>
      <c r="F889" s="77" t="s">
        <v>242</v>
      </c>
      <c r="G889" s="77" t="n">
        <v>0</v>
      </c>
      <c r="H889" s="77" t="n">
        <v>0</v>
      </c>
      <c r="I889" s="76" t="n">
        <f aca="false">IF(AND(ISNUMBER(G889),ISNUMBER(H889)),MAX(G889-H889,0),"")</f>
        <v>0</v>
      </c>
      <c r="J889" s="78" t="str">
        <f aca="false">IF(AND(ISNUMBER(G889),ISNUMBER(H889)),IF(G889&gt;0,H889/G889,""),"")</f>
        <v/>
      </c>
      <c r="K889" s="77"/>
      <c r="L889" s="76" t="str">
        <f aca="false">IF(OR(G889="",H889=""),"Data tidak lengkap",IF(AND(G889=0,H889=0),IF(AND(F889="",K889=""),"Tidak dibuka","Tutup"),IF(H889&gt;G889,"Lebih kapasitas",IF(H889=G889,"Penuh",IF(H889=0,IF(F889="","Slot kosong","Belum terisi"),"Sebagian")))))</f>
        <v>Tutup</v>
      </c>
      <c r="M889" s="79" t="str">
        <f aca="false">IF(L889="Tidak dibuka","–",IF(F889="","(tanpa age group)",F889)&amp;"  "&amp;IF(H889="","?",H889)&amp;"/"&amp;IF(G889="","?",G889)&amp;CHAR(10)&amp;IF(K889="","coach: –","coach: "&amp;K889))</f>
        <v>Baby  0/0
coach: –</v>
      </c>
    </row>
    <row r="890" customFormat="false" ht="22.35" hidden="false" customHeight="false" outlineLevel="0" collapsed="false">
      <c r="A890" s="76" t="str">
        <f aca="false">B890&amp;"|"&amp;C890&amp;"|"&amp;D890&amp;"|"&amp;E890</f>
        <v>PML|1|Jumat|09:00</v>
      </c>
      <c r="B890" s="76" t="s">
        <v>65</v>
      </c>
      <c r="C890" s="76" t="n">
        <v>1</v>
      </c>
      <c r="D890" s="76" t="s">
        <v>94</v>
      </c>
      <c r="E890" s="76" t="s">
        <v>97</v>
      </c>
      <c r="F890" s="77" t="s">
        <v>242</v>
      </c>
      <c r="G890" s="77" t="n">
        <v>5</v>
      </c>
      <c r="H890" s="77" t="n">
        <v>5</v>
      </c>
      <c r="I890" s="76" t="n">
        <f aca="false">IF(AND(ISNUMBER(G890),ISNUMBER(H890)),MAX(G890-H890,0),"")</f>
        <v>0</v>
      </c>
      <c r="J890" s="78" t="n">
        <f aca="false">IF(AND(ISNUMBER(G890),ISNUMBER(H890)),IF(G890&gt;0,H890/G890,""),"")</f>
        <v>1</v>
      </c>
      <c r="K890" s="77" t="s">
        <v>331</v>
      </c>
      <c r="L890" s="76" t="str">
        <f aca="false">IF(OR(G890="",H890=""),"Data tidak lengkap",IF(AND(G890=0,H890=0),IF(AND(F890="",K890=""),"Tidak dibuka","Tutup"),IF(H890&gt;G890,"Lebih kapasitas",IF(H890=G890,"Penuh",IF(H890=0,IF(F890="","Slot kosong","Belum terisi"),"Sebagian")))))</f>
        <v>Penuh</v>
      </c>
      <c r="M890" s="79" t="str">
        <f aca="false">IF(L890="Tidak dibuka","–",IF(F890="","(tanpa age group)",F890)&amp;"  "&amp;IF(H890="","?",H890)&amp;"/"&amp;IF(G890="","?",G890)&amp;CHAR(10)&amp;IF(K890="","coach: –","coach: "&amp;K890))</f>
        <v>Baby  5/5
coach: Damai</v>
      </c>
    </row>
    <row r="891" customFormat="false" ht="22.35" hidden="false" customHeight="false" outlineLevel="0" collapsed="false">
      <c r="A891" s="76" t="str">
        <f aca="false">B891&amp;"|"&amp;C891&amp;"|"&amp;D891&amp;"|"&amp;E891</f>
        <v>PML|1|Jumat|09:45</v>
      </c>
      <c r="B891" s="76" t="s">
        <v>65</v>
      </c>
      <c r="C891" s="76" t="n">
        <v>1</v>
      </c>
      <c r="D891" s="76" t="s">
        <v>94</v>
      </c>
      <c r="E891" s="76" t="s">
        <v>98</v>
      </c>
      <c r="F891" s="77" t="s">
        <v>242</v>
      </c>
      <c r="G891" s="77" t="n">
        <v>5</v>
      </c>
      <c r="H891" s="77" t="n">
        <v>0</v>
      </c>
      <c r="I891" s="76" t="n">
        <f aca="false">IF(AND(ISNUMBER(G891),ISNUMBER(H891)),MAX(G891-H891,0),"")</f>
        <v>5</v>
      </c>
      <c r="J891" s="78" t="n">
        <f aca="false">IF(AND(ISNUMBER(G891),ISNUMBER(H891)),IF(G891&gt;0,H891/G891,""),"")</f>
        <v>0</v>
      </c>
      <c r="K891" s="77"/>
      <c r="L891" s="76" t="str">
        <f aca="false">IF(OR(G891="",H891=""),"Data tidak lengkap",IF(AND(G891=0,H891=0),IF(AND(F891="",K891=""),"Tidak dibuka","Tutup"),IF(H891&gt;G891,"Lebih kapasitas",IF(H891=G891,"Penuh",IF(H891=0,IF(F891="","Slot kosong","Belum terisi"),"Sebagian")))))</f>
        <v>Belum terisi</v>
      </c>
      <c r="M891" s="79" t="str">
        <f aca="false">IF(L891="Tidak dibuka","–",IF(F891="","(tanpa age group)",F891)&amp;"  "&amp;IF(H891="","?",H891)&amp;"/"&amp;IF(G891="","?",G891)&amp;CHAR(10)&amp;IF(K891="","coach: –","coach: "&amp;K891))</f>
        <v>Baby  0/5
coach: –</v>
      </c>
    </row>
    <row r="892" customFormat="false" ht="22.35" hidden="false" customHeight="false" outlineLevel="0" collapsed="false">
      <c r="A892" s="76" t="str">
        <f aca="false">B892&amp;"|"&amp;C892&amp;"|"&amp;D892&amp;"|"&amp;E892</f>
        <v>PML|1|Jumat|10:30</v>
      </c>
      <c r="B892" s="76" t="s">
        <v>65</v>
      </c>
      <c r="C892" s="76" t="n">
        <v>1</v>
      </c>
      <c r="D892" s="76" t="s">
        <v>94</v>
      </c>
      <c r="E892" s="76" t="s">
        <v>99</v>
      </c>
      <c r="F892" s="77" t="s">
        <v>242</v>
      </c>
      <c r="G892" s="77" t="n">
        <v>5</v>
      </c>
      <c r="H892" s="77" t="n">
        <v>4</v>
      </c>
      <c r="I892" s="76" t="n">
        <f aca="false">IF(AND(ISNUMBER(G892),ISNUMBER(H892)),MAX(G892-H892,0),"")</f>
        <v>1</v>
      </c>
      <c r="J892" s="78" t="n">
        <f aca="false">IF(AND(ISNUMBER(G892),ISNUMBER(H892)),IF(G892&gt;0,H892/G892,""),"")</f>
        <v>0.8</v>
      </c>
      <c r="K892" s="77" t="s">
        <v>336</v>
      </c>
      <c r="L892" s="76" t="str">
        <f aca="false">IF(OR(G892="",H892=""),"Data tidak lengkap",IF(AND(G892=0,H892=0),IF(AND(F892="",K892=""),"Tidak dibuka","Tutup"),IF(H892&gt;G892,"Lebih kapasitas",IF(H892=G892,"Penuh",IF(H892=0,IF(F892="","Slot kosong","Belum terisi"),"Sebagian")))))</f>
        <v>Sebagian</v>
      </c>
      <c r="M892" s="79" t="str">
        <f aca="false">IF(L892="Tidak dibuka","–",IF(F892="","(tanpa age group)",F892)&amp;"  "&amp;IF(H892="","?",H892)&amp;"/"&amp;IF(G892="","?",G892)&amp;CHAR(10)&amp;IF(K892="","coach: –","coach: "&amp;K892))</f>
        <v>Baby  4/5
coach: Laksamana</v>
      </c>
    </row>
    <row r="893" customFormat="false" ht="22.35" hidden="false" customHeight="false" outlineLevel="0" collapsed="false">
      <c r="A893" s="76" t="str">
        <f aca="false">B893&amp;"|"&amp;C893&amp;"|"&amp;D893&amp;"|"&amp;E893</f>
        <v>PML|1|Jumat|11:15</v>
      </c>
      <c r="B893" s="76" t="s">
        <v>65</v>
      </c>
      <c r="C893" s="76" t="n">
        <v>1</v>
      </c>
      <c r="D893" s="76" t="s">
        <v>94</v>
      </c>
      <c r="E893" s="76" t="s">
        <v>100</v>
      </c>
      <c r="F893" s="77" t="s">
        <v>242</v>
      </c>
      <c r="G893" s="77" t="n">
        <v>0</v>
      </c>
      <c r="H893" s="77" t="n">
        <v>0</v>
      </c>
      <c r="I893" s="76" t="n">
        <f aca="false">IF(AND(ISNUMBER(G893),ISNUMBER(H893)),MAX(G893-H893,0),"")</f>
        <v>0</v>
      </c>
      <c r="J893" s="78" t="str">
        <f aca="false">IF(AND(ISNUMBER(G893),ISNUMBER(H893)),IF(G893&gt;0,H893/G893,""),"")</f>
        <v/>
      </c>
      <c r="K893" s="77"/>
      <c r="L893" s="76" t="str">
        <f aca="false">IF(OR(G893="",H893=""),"Data tidak lengkap",IF(AND(G893=0,H893=0),IF(AND(F893="",K893=""),"Tidak dibuka","Tutup"),IF(H893&gt;G893,"Lebih kapasitas",IF(H893=G893,"Penuh",IF(H893=0,IF(F893="","Slot kosong","Belum terisi"),"Sebagian")))))</f>
        <v>Tutup</v>
      </c>
      <c r="M893" s="79" t="str">
        <f aca="false">IF(L893="Tidak dibuka","–",IF(F893="","(tanpa age group)",F893)&amp;"  "&amp;IF(H893="","?",H893)&amp;"/"&amp;IF(G893="","?",G893)&amp;CHAR(10)&amp;IF(K893="","coach: –","coach: "&amp;K893))</f>
        <v>Baby  0/0
coach: –</v>
      </c>
    </row>
    <row r="894" customFormat="false" ht="22.35" hidden="false" customHeight="false" outlineLevel="0" collapsed="false">
      <c r="A894" s="76" t="str">
        <f aca="false">B894&amp;"|"&amp;C894&amp;"|"&amp;D894&amp;"|"&amp;E894</f>
        <v>PML|1|Jumat|12:00</v>
      </c>
      <c r="B894" s="76" t="s">
        <v>65</v>
      </c>
      <c r="C894" s="76" t="n">
        <v>1</v>
      </c>
      <c r="D894" s="76" t="s">
        <v>94</v>
      </c>
      <c r="E894" s="76" t="s">
        <v>101</v>
      </c>
      <c r="F894" s="77" t="s">
        <v>242</v>
      </c>
      <c r="G894" s="77" t="n">
        <v>0</v>
      </c>
      <c r="H894" s="77" t="n">
        <v>0</v>
      </c>
      <c r="I894" s="76" t="n">
        <f aca="false">IF(AND(ISNUMBER(G894),ISNUMBER(H894)),MAX(G894-H894,0),"")</f>
        <v>0</v>
      </c>
      <c r="J894" s="78" t="str">
        <f aca="false">IF(AND(ISNUMBER(G894),ISNUMBER(H894)),IF(G894&gt;0,H894/G894,""),"")</f>
        <v/>
      </c>
      <c r="K894" s="77"/>
      <c r="L894" s="76" t="str">
        <f aca="false">IF(OR(G894="",H894=""),"Data tidak lengkap",IF(AND(G894=0,H894=0),IF(AND(F894="",K894=""),"Tidak dibuka","Tutup"),IF(H894&gt;G894,"Lebih kapasitas",IF(H894=G894,"Penuh",IF(H894=0,IF(F894="","Slot kosong","Belum terisi"),"Sebagian")))))</f>
        <v>Tutup</v>
      </c>
      <c r="M894" s="79" t="str">
        <f aca="false">IF(L894="Tidak dibuka","–",IF(F894="","(tanpa age group)",F894)&amp;"  "&amp;IF(H894="","?",H894)&amp;"/"&amp;IF(G894="","?",G894)&amp;CHAR(10)&amp;IF(K894="","coach: –","coach: "&amp;K894))</f>
        <v>Baby  0/0
coach: –</v>
      </c>
    </row>
    <row r="895" customFormat="false" ht="22.35" hidden="false" customHeight="false" outlineLevel="0" collapsed="false">
      <c r="A895" s="76" t="str">
        <f aca="false">B895&amp;"|"&amp;C895&amp;"|"&amp;D895&amp;"|"&amp;E895</f>
        <v>PML|1|Jumat|13:30</v>
      </c>
      <c r="B895" s="76" t="s">
        <v>65</v>
      </c>
      <c r="C895" s="76" t="n">
        <v>1</v>
      </c>
      <c r="D895" s="76" t="s">
        <v>94</v>
      </c>
      <c r="E895" s="76" t="s">
        <v>102</v>
      </c>
      <c r="F895" s="77" t="s">
        <v>210</v>
      </c>
      <c r="G895" s="77" t="n">
        <v>5</v>
      </c>
      <c r="H895" s="77" t="n">
        <v>4</v>
      </c>
      <c r="I895" s="76" t="n">
        <f aca="false">IF(AND(ISNUMBER(G895),ISNUMBER(H895)),MAX(G895-H895,0),"")</f>
        <v>1</v>
      </c>
      <c r="J895" s="78" t="n">
        <f aca="false">IF(AND(ISNUMBER(G895),ISNUMBER(H895)),IF(G895&gt;0,H895/G895,""),"")</f>
        <v>0.8</v>
      </c>
      <c r="K895" s="77" t="s">
        <v>331</v>
      </c>
      <c r="L895" s="76" t="str">
        <f aca="false">IF(OR(G895="",H895=""),"Data tidak lengkap",IF(AND(G895=0,H895=0),IF(AND(F895="",K895=""),"Tidak dibuka","Tutup"),IF(H895&gt;G895,"Lebih kapasitas",IF(H895=G895,"Penuh",IF(H895=0,IF(F895="","Slot kosong","Belum terisi"),"Sebagian")))))</f>
        <v>Sebagian</v>
      </c>
      <c r="M895" s="79" t="str">
        <f aca="false">IF(L895="Tidak dibuka","–",IF(F895="","(tanpa age group)",F895)&amp;"  "&amp;IF(H895="","?",H895)&amp;"/"&amp;IF(G895="","?",G895)&amp;CHAR(10)&amp;IF(K895="","coach: –","coach: "&amp;K895))</f>
        <v>Kids  4/5
coach: Damai</v>
      </c>
    </row>
    <row r="896" customFormat="false" ht="22.35" hidden="false" customHeight="false" outlineLevel="0" collapsed="false">
      <c r="A896" s="76" t="str">
        <f aca="false">B896&amp;"|"&amp;C896&amp;"|"&amp;D896&amp;"|"&amp;E896</f>
        <v>PML|1|Jumat|14:15</v>
      </c>
      <c r="B896" s="76" t="s">
        <v>65</v>
      </c>
      <c r="C896" s="76" t="n">
        <v>1</v>
      </c>
      <c r="D896" s="76" t="s">
        <v>94</v>
      </c>
      <c r="E896" s="76" t="s">
        <v>103</v>
      </c>
      <c r="F896" s="77" t="s">
        <v>242</v>
      </c>
      <c r="G896" s="77" t="n">
        <v>5</v>
      </c>
      <c r="H896" s="77" t="n">
        <v>0</v>
      </c>
      <c r="I896" s="76" t="n">
        <f aca="false">IF(AND(ISNUMBER(G896),ISNUMBER(H896)),MAX(G896-H896,0),"")</f>
        <v>5</v>
      </c>
      <c r="J896" s="78" t="n">
        <f aca="false">IF(AND(ISNUMBER(G896),ISNUMBER(H896)),IF(G896&gt;0,H896/G896,""),"")</f>
        <v>0</v>
      </c>
      <c r="K896" s="77"/>
      <c r="L896" s="76" t="str">
        <f aca="false">IF(OR(G896="",H896=""),"Data tidak lengkap",IF(AND(G896=0,H896=0),IF(AND(F896="",K896=""),"Tidak dibuka","Tutup"),IF(H896&gt;G896,"Lebih kapasitas",IF(H896=G896,"Penuh",IF(H896=0,IF(F896="","Slot kosong","Belum terisi"),"Sebagian")))))</f>
        <v>Belum terisi</v>
      </c>
      <c r="M896" s="79" t="str">
        <f aca="false">IF(L896="Tidak dibuka","–",IF(F896="","(tanpa age group)",F896)&amp;"  "&amp;IF(H896="","?",H896)&amp;"/"&amp;IF(G896="","?",G896)&amp;CHAR(10)&amp;IF(K896="","coach: –","coach: "&amp;K896))</f>
        <v>Baby  0/5
coach: –</v>
      </c>
    </row>
    <row r="897" customFormat="false" ht="22.35" hidden="false" customHeight="false" outlineLevel="0" collapsed="false">
      <c r="A897" s="76" t="str">
        <f aca="false">B897&amp;"|"&amp;C897&amp;"|"&amp;D897&amp;"|"&amp;E897</f>
        <v>PML|1|Jumat|15:00</v>
      </c>
      <c r="B897" s="76" t="s">
        <v>65</v>
      </c>
      <c r="C897" s="76" t="n">
        <v>1</v>
      </c>
      <c r="D897" s="76" t="s">
        <v>94</v>
      </c>
      <c r="E897" s="76" t="s">
        <v>104</v>
      </c>
      <c r="F897" s="77"/>
      <c r="G897" s="77" t="n">
        <v>5</v>
      </c>
      <c r="H897" s="77" t="n">
        <v>0</v>
      </c>
      <c r="I897" s="76" t="n">
        <f aca="false">IF(AND(ISNUMBER(G897),ISNUMBER(H897)),MAX(G897-H897,0),"")</f>
        <v>5</v>
      </c>
      <c r="J897" s="78" t="n">
        <f aca="false">IF(AND(ISNUMBER(G897),ISNUMBER(H897)),IF(G897&gt;0,H897/G897,""),"")</f>
        <v>0</v>
      </c>
      <c r="K897" s="77"/>
      <c r="L897" s="76" t="str">
        <f aca="false">IF(OR(G897="",H897=""),"Data tidak lengkap",IF(AND(G897=0,H897=0),IF(AND(F897="",K897=""),"Tidak dibuka","Tutup"),IF(H897&gt;G897,"Lebih kapasitas",IF(H897=G897,"Penuh",IF(H897=0,IF(F897="","Slot kosong","Belum terisi"),"Sebagian")))))</f>
        <v>Slot kosong</v>
      </c>
      <c r="M897" s="79" t="str">
        <f aca="false">IF(L897="Tidak dibuka","–",IF(F897="","(tanpa age group)",F897)&amp;"  "&amp;IF(H897="","?",H897)&amp;"/"&amp;IF(G897="","?",G897)&amp;CHAR(10)&amp;IF(K897="","coach: –","coach: "&amp;K897))</f>
        <v>(tanpa age group)  0/5
coach: –</v>
      </c>
    </row>
    <row r="898" customFormat="false" ht="22.35" hidden="false" customHeight="false" outlineLevel="0" collapsed="false">
      <c r="A898" s="76" t="str">
        <f aca="false">B898&amp;"|"&amp;C898&amp;"|"&amp;D898&amp;"|"&amp;E898</f>
        <v>PML|1|Jumat|15:45</v>
      </c>
      <c r="B898" s="76" t="s">
        <v>65</v>
      </c>
      <c r="C898" s="76" t="n">
        <v>1</v>
      </c>
      <c r="D898" s="76" t="s">
        <v>94</v>
      </c>
      <c r="E898" s="76" t="s">
        <v>105</v>
      </c>
      <c r="F898" s="77" t="s">
        <v>210</v>
      </c>
      <c r="G898" s="77" t="n">
        <v>5</v>
      </c>
      <c r="H898" s="77" t="n">
        <v>3</v>
      </c>
      <c r="I898" s="76" t="n">
        <f aca="false">IF(AND(ISNUMBER(G898),ISNUMBER(H898)),MAX(G898-H898,0),"")</f>
        <v>2</v>
      </c>
      <c r="J898" s="78" t="n">
        <f aca="false">IF(AND(ISNUMBER(G898),ISNUMBER(H898)),IF(G898&gt;0,H898/G898,""),"")</f>
        <v>0.6</v>
      </c>
      <c r="K898" s="77" t="s">
        <v>335</v>
      </c>
      <c r="L898" s="76" t="str">
        <f aca="false">IF(OR(G898="",H898=""),"Data tidak lengkap",IF(AND(G898=0,H898=0),IF(AND(F898="",K898=""),"Tidak dibuka","Tutup"),IF(H898&gt;G898,"Lebih kapasitas",IF(H898=G898,"Penuh",IF(H898=0,IF(F898="","Slot kosong","Belum terisi"),"Sebagian")))))</f>
        <v>Sebagian</v>
      </c>
      <c r="M898" s="79" t="str">
        <f aca="false">IF(L898="Tidak dibuka","–",IF(F898="","(tanpa age group)",F898)&amp;"  "&amp;IF(H898="","?",H898)&amp;"/"&amp;IF(G898="","?",G898)&amp;CHAR(10)&amp;IF(K898="","coach: –","coach: "&amp;K898))</f>
        <v>Kids  3/5
coach: Shofwan</v>
      </c>
    </row>
    <row r="899" customFormat="false" ht="22.35" hidden="false" customHeight="false" outlineLevel="0" collapsed="false">
      <c r="A899" s="76" t="str">
        <f aca="false">B899&amp;"|"&amp;C899&amp;"|"&amp;D899&amp;"|"&amp;E899</f>
        <v>PML|1|Jumat|16:30</v>
      </c>
      <c r="B899" s="76" t="s">
        <v>65</v>
      </c>
      <c r="C899" s="76" t="n">
        <v>1</v>
      </c>
      <c r="D899" s="76" t="s">
        <v>94</v>
      </c>
      <c r="E899" s="76" t="s">
        <v>106</v>
      </c>
      <c r="F899" s="77" t="s">
        <v>242</v>
      </c>
      <c r="G899" s="77" t="n">
        <v>5</v>
      </c>
      <c r="H899" s="77" t="n">
        <v>2</v>
      </c>
      <c r="I899" s="76" t="n">
        <f aca="false">IF(AND(ISNUMBER(G899),ISNUMBER(H899)),MAX(G899-H899,0),"")</f>
        <v>3</v>
      </c>
      <c r="J899" s="78" t="n">
        <f aca="false">IF(AND(ISNUMBER(G899),ISNUMBER(H899)),IF(G899&gt;0,H899/G899,""),"")</f>
        <v>0.4</v>
      </c>
      <c r="K899" s="77" t="s">
        <v>331</v>
      </c>
      <c r="L899" s="76" t="str">
        <f aca="false">IF(OR(G899="",H899=""),"Data tidak lengkap",IF(AND(G899=0,H899=0),IF(AND(F899="",K899=""),"Tidak dibuka","Tutup"),IF(H899&gt;G899,"Lebih kapasitas",IF(H899=G899,"Penuh",IF(H899=0,IF(F899="","Slot kosong","Belum terisi"),"Sebagian")))))</f>
        <v>Sebagian</v>
      </c>
      <c r="M899" s="79" t="str">
        <f aca="false">IF(L899="Tidak dibuka","–",IF(F899="","(tanpa age group)",F899)&amp;"  "&amp;IF(H899="","?",H899)&amp;"/"&amp;IF(G899="","?",G899)&amp;CHAR(10)&amp;IF(K899="","coach: –","coach: "&amp;K899))</f>
        <v>Baby  2/5
coach: Damai</v>
      </c>
    </row>
    <row r="900" customFormat="false" ht="22.35" hidden="false" customHeight="false" outlineLevel="0" collapsed="false">
      <c r="A900" s="76" t="str">
        <f aca="false">B900&amp;"|"&amp;C900&amp;"|"&amp;D900&amp;"|"&amp;E900</f>
        <v>PML|1|Jumat|17:15</v>
      </c>
      <c r="B900" s="76" t="s">
        <v>65</v>
      </c>
      <c r="C900" s="76" t="n">
        <v>1</v>
      </c>
      <c r="D900" s="76" t="s">
        <v>94</v>
      </c>
      <c r="E900" s="76" t="s">
        <v>107</v>
      </c>
      <c r="F900" s="77" t="s">
        <v>242</v>
      </c>
      <c r="G900" s="77" t="n">
        <v>5</v>
      </c>
      <c r="H900" s="77" t="n">
        <v>0</v>
      </c>
      <c r="I900" s="76" t="n">
        <f aca="false">IF(AND(ISNUMBER(G900),ISNUMBER(H900)),MAX(G900-H900,0),"")</f>
        <v>5</v>
      </c>
      <c r="J900" s="78" t="n">
        <f aca="false">IF(AND(ISNUMBER(G900),ISNUMBER(H900)),IF(G900&gt;0,H900/G900,""),"")</f>
        <v>0</v>
      </c>
      <c r="K900" s="77"/>
      <c r="L900" s="76" t="str">
        <f aca="false">IF(OR(G900="",H900=""),"Data tidak lengkap",IF(AND(G900=0,H900=0),IF(AND(F900="",K900=""),"Tidak dibuka","Tutup"),IF(H900&gt;G900,"Lebih kapasitas",IF(H900=G900,"Penuh",IF(H900=0,IF(F900="","Slot kosong","Belum terisi"),"Sebagian")))))</f>
        <v>Belum terisi</v>
      </c>
      <c r="M900" s="79" t="str">
        <f aca="false">IF(L900="Tidak dibuka","–",IF(F900="","(tanpa age group)",F900)&amp;"  "&amp;IF(H900="","?",H900)&amp;"/"&amp;IF(G900="","?",G900)&amp;CHAR(10)&amp;IF(K900="","coach: –","coach: "&amp;K900))</f>
        <v>Baby  0/5
coach: –</v>
      </c>
    </row>
    <row r="901" customFormat="false" ht="15" hidden="false" customHeight="false" outlineLevel="0" collapsed="false">
      <c r="A901" s="76" t="str">
        <f aca="false">B901&amp;"|"&amp;C901&amp;"|"&amp;D901&amp;"|"&amp;E901</f>
        <v>PML|1|Sabtu|08:15</v>
      </c>
      <c r="B901" s="76" t="s">
        <v>65</v>
      </c>
      <c r="C901" s="76" t="n">
        <v>1</v>
      </c>
      <c r="D901" s="76" t="s">
        <v>95</v>
      </c>
      <c r="E901" s="76" t="s">
        <v>96</v>
      </c>
      <c r="F901" s="77"/>
      <c r="G901" s="77" t="n">
        <v>0</v>
      </c>
      <c r="H901" s="77" t="n">
        <v>0</v>
      </c>
      <c r="I901" s="76" t="n">
        <f aca="false">IF(AND(ISNUMBER(G901),ISNUMBER(H901)),MAX(G901-H901,0),"")</f>
        <v>0</v>
      </c>
      <c r="J901" s="78" t="str">
        <f aca="false">IF(AND(ISNUMBER(G901),ISNUMBER(H901)),IF(G901&gt;0,H901/G901,""),"")</f>
        <v/>
      </c>
      <c r="K901" s="77"/>
      <c r="L901" s="76" t="str">
        <f aca="false">IF(OR(G901="",H901=""),"Data tidak lengkap",IF(AND(G901=0,H901=0),IF(AND(F901="",K901=""),"Tidak dibuka","Tutup"),IF(H901&gt;G901,"Lebih kapasitas",IF(H901=G901,"Penuh",IF(H901=0,IF(F901="","Slot kosong","Belum terisi"),"Sebagian")))))</f>
        <v>Tidak dibuka</v>
      </c>
      <c r="M901" s="76" t="str">
        <f aca="false">IF(L901="Tidak dibuka","–",IF(F901="","(tanpa age group)",F901)&amp;"  "&amp;IF(H901="","?",H901)&amp;"/"&amp;IF(G901="","?",G901)&amp;CHAR(10)&amp;IF(K901="","coach: –","coach: "&amp;K901))</f>
        <v>–</v>
      </c>
    </row>
    <row r="902" customFormat="false" ht="22.35" hidden="false" customHeight="false" outlineLevel="0" collapsed="false">
      <c r="A902" s="76" t="str">
        <f aca="false">B902&amp;"|"&amp;C902&amp;"|"&amp;D902&amp;"|"&amp;E902</f>
        <v>PML|1|Sabtu|09:00</v>
      </c>
      <c r="B902" s="76" t="s">
        <v>65</v>
      </c>
      <c r="C902" s="76" t="n">
        <v>1</v>
      </c>
      <c r="D902" s="76" t="s">
        <v>95</v>
      </c>
      <c r="E902" s="76" t="s">
        <v>97</v>
      </c>
      <c r="F902" s="77" t="s">
        <v>242</v>
      </c>
      <c r="G902" s="77" t="n">
        <v>5</v>
      </c>
      <c r="H902" s="77" t="n">
        <v>4</v>
      </c>
      <c r="I902" s="76" t="n">
        <f aca="false">IF(AND(ISNUMBER(G902),ISNUMBER(H902)),MAX(G902-H902,0),"")</f>
        <v>1</v>
      </c>
      <c r="J902" s="78" t="n">
        <f aca="false">IF(AND(ISNUMBER(G902),ISNUMBER(H902)),IF(G902&gt;0,H902/G902,""),"")</f>
        <v>0.8</v>
      </c>
      <c r="K902" s="77" t="s">
        <v>335</v>
      </c>
      <c r="L902" s="76" t="str">
        <f aca="false">IF(OR(G902="",H902=""),"Data tidak lengkap",IF(AND(G902=0,H902=0),IF(AND(F902="",K902=""),"Tidak dibuka","Tutup"),IF(H902&gt;G902,"Lebih kapasitas",IF(H902=G902,"Penuh",IF(H902=0,IF(F902="","Slot kosong","Belum terisi"),"Sebagian")))))</f>
        <v>Sebagian</v>
      </c>
      <c r="M902" s="79" t="str">
        <f aca="false">IF(L902="Tidak dibuka","–",IF(F902="","(tanpa age group)",F902)&amp;"  "&amp;IF(H902="","?",H902)&amp;"/"&amp;IF(G902="","?",G902)&amp;CHAR(10)&amp;IF(K902="","coach: –","coach: "&amp;K902))</f>
        <v>Baby  4/5
coach: Shofwan</v>
      </c>
    </row>
    <row r="903" customFormat="false" ht="22.35" hidden="false" customHeight="false" outlineLevel="0" collapsed="false">
      <c r="A903" s="76" t="str">
        <f aca="false">B903&amp;"|"&amp;C903&amp;"|"&amp;D903&amp;"|"&amp;E903</f>
        <v>PML|1|Sabtu|09:45</v>
      </c>
      <c r="B903" s="76" t="s">
        <v>65</v>
      </c>
      <c r="C903" s="76" t="n">
        <v>1</v>
      </c>
      <c r="D903" s="76" t="s">
        <v>95</v>
      </c>
      <c r="E903" s="76" t="s">
        <v>98</v>
      </c>
      <c r="F903" s="77" t="s">
        <v>242</v>
      </c>
      <c r="G903" s="77" t="n">
        <v>5</v>
      </c>
      <c r="H903" s="77" t="n">
        <v>5</v>
      </c>
      <c r="I903" s="76" t="n">
        <f aca="false">IF(AND(ISNUMBER(G903),ISNUMBER(H903)),MAX(G903-H903,0),"")</f>
        <v>0</v>
      </c>
      <c r="J903" s="78" t="n">
        <f aca="false">IF(AND(ISNUMBER(G903),ISNUMBER(H903)),IF(G903&gt;0,H903/G903,""),"")</f>
        <v>1</v>
      </c>
      <c r="K903" s="77" t="s">
        <v>334</v>
      </c>
      <c r="L903" s="76" t="str">
        <f aca="false">IF(OR(G903="",H903=""),"Data tidak lengkap",IF(AND(G903=0,H903=0),IF(AND(F903="",K903=""),"Tidak dibuka","Tutup"),IF(H903&gt;G903,"Lebih kapasitas",IF(H903=G903,"Penuh",IF(H903=0,IF(F903="","Slot kosong","Belum terisi"),"Sebagian")))))</f>
        <v>Penuh</v>
      </c>
      <c r="M903" s="79" t="str">
        <f aca="false">IF(L903="Tidak dibuka","–",IF(F903="","(tanpa age group)",F903)&amp;"  "&amp;IF(H903="","?",H903)&amp;"/"&amp;IF(G903="","?",G903)&amp;CHAR(10)&amp;IF(K903="","coach: –","coach: "&amp;K903))</f>
        <v>Baby  5/5
coach: Kamal</v>
      </c>
    </row>
    <row r="904" customFormat="false" ht="22.35" hidden="false" customHeight="false" outlineLevel="0" collapsed="false">
      <c r="A904" s="76" t="str">
        <f aca="false">B904&amp;"|"&amp;C904&amp;"|"&amp;D904&amp;"|"&amp;E904</f>
        <v>PML|1|Sabtu|10:30</v>
      </c>
      <c r="B904" s="76" t="s">
        <v>65</v>
      </c>
      <c r="C904" s="76" t="n">
        <v>1</v>
      </c>
      <c r="D904" s="76" t="s">
        <v>95</v>
      </c>
      <c r="E904" s="76" t="s">
        <v>99</v>
      </c>
      <c r="F904" s="77" t="s">
        <v>242</v>
      </c>
      <c r="G904" s="77" t="n">
        <v>5</v>
      </c>
      <c r="H904" s="77" t="n">
        <v>0</v>
      </c>
      <c r="I904" s="76" t="n">
        <f aca="false">IF(AND(ISNUMBER(G904),ISNUMBER(H904)),MAX(G904-H904,0),"")</f>
        <v>5</v>
      </c>
      <c r="J904" s="78" t="n">
        <f aca="false">IF(AND(ISNUMBER(G904),ISNUMBER(H904)),IF(G904&gt;0,H904/G904,""),"")</f>
        <v>0</v>
      </c>
      <c r="K904" s="77"/>
      <c r="L904" s="76" t="str">
        <f aca="false">IF(OR(G904="",H904=""),"Data tidak lengkap",IF(AND(G904=0,H904=0),IF(AND(F904="",K904=""),"Tidak dibuka","Tutup"),IF(H904&gt;G904,"Lebih kapasitas",IF(H904=G904,"Penuh",IF(H904=0,IF(F904="","Slot kosong","Belum terisi"),"Sebagian")))))</f>
        <v>Belum terisi</v>
      </c>
      <c r="M904" s="79" t="str">
        <f aca="false">IF(L904="Tidak dibuka","–",IF(F904="","(tanpa age group)",F904)&amp;"  "&amp;IF(H904="","?",H904)&amp;"/"&amp;IF(G904="","?",G904)&amp;CHAR(10)&amp;IF(K904="","coach: –","coach: "&amp;K904))</f>
        <v>Baby  0/5
coach: –</v>
      </c>
    </row>
    <row r="905" customFormat="false" ht="22.35" hidden="false" customHeight="false" outlineLevel="0" collapsed="false">
      <c r="A905" s="76" t="str">
        <f aca="false">B905&amp;"|"&amp;C905&amp;"|"&amp;D905&amp;"|"&amp;E905</f>
        <v>PML|1|Sabtu|11:15</v>
      </c>
      <c r="B905" s="76" t="s">
        <v>65</v>
      </c>
      <c r="C905" s="76" t="n">
        <v>1</v>
      </c>
      <c r="D905" s="76" t="s">
        <v>95</v>
      </c>
      <c r="E905" s="76" t="s">
        <v>100</v>
      </c>
      <c r="F905" s="77" t="s">
        <v>242</v>
      </c>
      <c r="G905" s="77" t="n">
        <v>5</v>
      </c>
      <c r="H905" s="77" t="n">
        <v>5</v>
      </c>
      <c r="I905" s="76" t="n">
        <f aca="false">IF(AND(ISNUMBER(G905),ISNUMBER(H905)),MAX(G905-H905,0),"")</f>
        <v>0</v>
      </c>
      <c r="J905" s="78" t="n">
        <f aca="false">IF(AND(ISNUMBER(G905),ISNUMBER(H905)),IF(G905&gt;0,H905/G905,""),"")</f>
        <v>1</v>
      </c>
      <c r="K905" s="77" t="s">
        <v>331</v>
      </c>
      <c r="L905" s="76" t="str">
        <f aca="false">IF(OR(G905="",H905=""),"Data tidak lengkap",IF(AND(G905=0,H905=0),IF(AND(F905="",K905=""),"Tidak dibuka","Tutup"),IF(H905&gt;G905,"Lebih kapasitas",IF(H905=G905,"Penuh",IF(H905=0,IF(F905="","Slot kosong","Belum terisi"),"Sebagian")))))</f>
        <v>Penuh</v>
      </c>
      <c r="M905" s="79" t="str">
        <f aca="false">IF(L905="Tidak dibuka","–",IF(F905="","(tanpa age group)",F905)&amp;"  "&amp;IF(H905="","?",H905)&amp;"/"&amp;IF(G905="","?",G905)&amp;CHAR(10)&amp;IF(K905="","coach: –","coach: "&amp;K905))</f>
        <v>Baby  5/5
coach: Damai</v>
      </c>
    </row>
    <row r="906" customFormat="false" ht="22.35" hidden="false" customHeight="false" outlineLevel="0" collapsed="false">
      <c r="A906" s="76" t="str">
        <f aca="false">B906&amp;"|"&amp;C906&amp;"|"&amp;D906&amp;"|"&amp;E906</f>
        <v>PML|1|Sabtu|12:00</v>
      </c>
      <c r="B906" s="76" t="s">
        <v>65</v>
      </c>
      <c r="C906" s="76" t="n">
        <v>1</v>
      </c>
      <c r="D906" s="76" t="s">
        <v>95</v>
      </c>
      <c r="E906" s="76" t="s">
        <v>101</v>
      </c>
      <c r="F906" s="77" t="s">
        <v>242</v>
      </c>
      <c r="G906" s="77" t="n">
        <v>5</v>
      </c>
      <c r="H906" s="77" t="n">
        <v>0</v>
      </c>
      <c r="I906" s="76" t="n">
        <f aca="false">IF(AND(ISNUMBER(G906),ISNUMBER(H906)),MAX(G906-H906,0),"")</f>
        <v>5</v>
      </c>
      <c r="J906" s="78" t="n">
        <f aca="false">IF(AND(ISNUMBER(G906),ISNUMBER(H906)),IF(G906&gt;0,H906/G906,""),"")</f>
        <v>0</v>
      </c>
      <c r="K906" s="77"/>
      <c r="L906" s="76" t="str">
        <f aca="false">IF(OR(G906="",H906=""),"Data tidak lengkap",IF(AND(G906=0,H906=0),IF(AND(F906="",K906=""),"Tidak dibuka","Tutup"),IF(H906&gt;G906,"Lebih kapasitas",IF(H906=G906,"Penuh",IF(H906=0,IF(F906="","Slot kosong","Belum terisi"),"Sebagian")))))</f>
        <v>Belum terisi</v>
      </c>
      <c r="M906" s="79" t="str">
        <f aca="false">IF(L906="Tidak dibuka","–",IF(F906="","(tanpa age group)",F906)&amp;"  "&amp;IF(H906="","?",H906)&amp;"/"&amp;IF(G906="","?",G906)&amp;CHAR(10)&amp;IF(K906="","coach: –","coach: "&amp;K906))</f>
        <v>Baby  0/5
coach: –</v>
      </c>
    </row>
    <row r="907" customFormat="false" ht="22.35" hidden="false" customHeight="false" outlineLevel="0" collapsed="false">
      <c r="A907" s="76" t="str">
        <f aca="false">B907&amp;"|"&amp;C907&amp;"|"&amp;D907&amp;"|"&amp;E907</f>
        <v>PML|1|Sabtu|13:30</v>
      </c>
      <c r="B907" s="76" t="s">
        <v>65</v>
      </c>
      <c r="C907" s="76" t="n">
        <v>1</v>
      </c>
      <c r="D907" s="76" t="s">
        <v>95</v>
      </c>
      <c r="E907" s="76" t="s">
        <v>102</v>
      </c>
      <c r="F907" s="77" t="s">
        <v>242</v>
      </c>
      <c r="G907" s="77" t="n">
        <v>5</v>
      </c>
      <c r="H907" s="77" t="n">
        <v>0</v>
      </c>
      <c r="I907" s="76" t="n">
        <f aca="false">IF(AND(ISNUMBER(G907),ISNUMBER(H907)),MAX(G907-H907,0),"")</f>
        <v>5</v>
      </c>
      <c r="J907" s="78" t="n">
        <f aca="false">IF(AND(ISNUMBER(G907),ISNUMBER(H907)),IF(G907&gt;0,H907/G907,""),"")</f>
        <v>0</v>
      </c>
      <c r="K907" s="77"/>
      <c r="L907" s="76" t="str">
        <f aca="false">IF(OR(G907="",H907=""),"Data tidak lengkap",IF(AND(G907=0,H907=0),IF(AND(F907="",K907=""),"Tidak dibuka","Tutup"),IF(H907&gt;G907,"Lebih kapasitas",IF(H907=G907,"Penuh",IF(H907=0,IF(F907="","Slot kosong","Belum terisi"),"Sebagian")))))</f>
        <v>Belum terisi</v>
      </c>
      <c r="M907" s="79" t="str">
        <f aca="false">IF(L907="Tidak dibuka","–",IF(F907="","(tanpa age group)",F907)&amp;"  "&amp;IF(H907="","?",H907)&amp;"/"&amp;IF(G907="","?",G907)&amp;CHAR(10)&amp;IF(K907="","coach: –","coach: "&amp;K907))</f>
        <v>Baby  0/5
coach: –</v>
      </c>
    </row>
    <row r="908" customFormat="false" ht="22.35" hidden="false" customHeight="false" outlineLevel="0" collapsed="false">
      <c r="A908" s="76" t="str">
        <f aca="false">B908&amp;"|"&amp;C908&amp;"|"&amp;D908&amp;"|"&amp;E908</f>
        <v>PML|1|Sabtu|14:15</v>
      </c>
      <c r="B908" s="76" t="s">
        <v>65</v>
      </c>
      <c r="C908" s="76" t="n">
        <v>1</v>
      </c>
      <c r="D908" s="76" t="s">
        <v>95</v>
      </c>
      <c r="E908" s="76" t="s">
        <v>103</v>
      </c>
      <c r="F908" s="77" t="s">
        <v>242</v>
      </c>
      <c r="G908" s="77" t="n">
        <v>5</v>
      </c>
      <c r="H908" s="77" t="n">
        <v>0</v>
      </c>
      <c r="I908" s="76" t="n">
        <f aca="false">IF(AND(ISNUMBER(G908),ISNUMBER(H908)),MAX(G908-H908,0),"")</f>
        <v>5</v>
      </c>
      <c r="J908" s="78" t="n">
        <f aca="false">IF(AND(ISNUMBER(G908),ISNUMBER(H908)),IF(G908&gt;0,H908/G908,""),"")</f>
        <v>0</v>
      </c>
      <c r="K908" s="77"/>
      <c r="L908" s="76" t="str">
        <f aca="false">IF(OR(G908="",H908=""),"Data tidak lengkap",IF(AND(G908=0,H908=0),IF(AND(F908="",K908=""),"Tidak dibuka","Tutup"),IF(H908&gt;G908,"Lebih kapasitas",IF(H908=G908,"Penuh",IF(H908=0,IF(F908="","Slot kosong","Belum terisi"),"Sebagian")))))</f>
        <v>Belum terisi</v>
      </c>
      <c r="M908" s="79" t="str">
        <f aca="false">IF(L908="Tidak dibuka","–",IF(F908="","(tanpa age group)",F908)&amp;"  "&amp;IF(H908="","?",H908)&amp;"/"&amp;IF(G908="","?",G908)&amp;CHAR(10)&amp;IF(K908="","coach: –","coach: "&amp;K908))</f>
        <v>Baby  0/5
coach: –</v>
      </c>
    </row>
    <row r="909" customFormat="false" ht="22.35" hidden="false" customHeight="false" outlineLevel="0" collapsed="false">
      <c r="A909" s="76" t="str">
        <f aca="false">B909&amp;"|"&amp;C909&amp;"|"&amp;D909&amp;"|"&amp;E909</f>
        <v>PML|1|Sabtu|15:00</v>
      </c>
      <c r="B909" s="76" t="s">
        <v>65</v>
      </c>
      <c r="C909" s="76" t="n">
        <v>1</v>
      </c>
      <c r="D909" s="76" t="s">
        <v>95</v>
      </c>
      <c r="E909" s="76" t="s">
        <v>104</v>
      </c>
      <c r="F909" s="77" t="s">
        <v>242</v>
      </c>
      <c r="G909" s="77" t="n">
        <v>5</v>
      </c>
      <c r="H909" s="77" t="n">
        <v>0</v>
      </c>
      <c r="I909" s="76" t="n">
        <f aca="false">IF(AND(ISNUMBER(G909),ISNUMBER(H909)),MAX(G909-H909,0),"")</f>
        <v>5</v>
      </c>
      <c r="J909" s="78" t="n">
        <f aca="false">IF(AND(ISNUMBER(G909),ISNUMBER(H909)),IF(G909&gt;0,H909/G909,""),"")</f>
        <v>0</v>
      </c>
      <c r="K909" s="77"/>
      <c r="L909" s="76" t="str">
        <f aca="false">IF(OR(G909="",H909=""),"Data tidak lengkap",IF(AND(G909=0,H909=0),IF(AND(F909="",K909=""),"Tidak dibuka","Tutup"),IF(H909&gt;G909,"Lebih kapasitas",IF(H909=G909,"Penuh",IF(H909=0,IF(F909="","Slot kosong","Belum terisi"),"Sebagian")))))</f>
        <v>Belum terisi</v>
      </c>
      <c r="M909" s="79" t="str">
        <f aca="false">IF(L909="Tidak dibuka","–",IF(F909="","(tanpa age group)",F909)&amp;"  "&amp;IF(H909="","?",H909)&amp;"/"&amp;IF(G909="","?",G909)&amp;CHAR(10)&amp;IF(K909="","coach: –","coach: "&amp;K909))</f>
        <v>Baby  0/5
coach: –</v>
      </c>
    </row>
    <row r="910" customFormat="false" ht="22.35" hidden="false" customHeight="false" outlineLevel="0" collapsed="false">
      <c r="A910" s="76" t="str">
        <f aca="false">B910&amp;"|"&amp;C910&amp;"|"&amp;D910&amp;"|"&amp;E910</f>
        <v>PML|1|Sabtu|15:45</v>
      </c>
      <c r="B910" s="76" t="s">
        <v>65</v>
      </c>
      <c r="C910" s="76" t="n">
        <v>1</v>
      </c>
      <c r="D910" s="76" t="s">
        <v>95</v>
      </c>
      <c r="E910" s="76" t="s">
        <v>105</v>
      </c>
      <c r="F910" s="77" t="s">
        <v>242</v>
      </c>
      <c r="G910" s="77" t="n">
        <v>5</v>
      </c>
      <c r="H910" s="77" t="n">
        <v>0</v>
      </c>
      <c r="I910" s="76" t="n">
        <f aca="false">IF(AND(ISNUMBER(G910),ISNUMBER(H910)),MAX(G910-H910,0),"")</f>
        <v>5</v>
      </c>
      <c r="J910" s="78" t="n">
        <f aca="false">IF(AND(ISNUMBER(G910),ISNUMBER(H910)),IF(G910&gt;0,H910/G910,""),"")</f>
        <v>0</v>
      </c>
      <c r="K910" s="77"/>
      <c r="L910" s="76" t="str">
        <f aca="false">IF(OR(G910="",H910=""),"Data tidak lengkap",IF(AND(G910=0,H910=0),IF(AND(F910="",K910=""),"Tidak dibuka","Tutup"),IF(H910&gt;G910,"Lebih kapasitas",IF(H910=G910,"Penuh",IF(H910=0,IF(F910="","Slot kosong","Belum terisi"),"Sebagian")))))</f>
        <v>Belum terisi</v>
      </c>
      <c r="M910" s="79" t="str">
        <f aca="false">IF(L910="Tidak dibuka","–",IF(F910="","(tanpa age group)",F910)&amp;"  "&amp;IF(H910="","?",H910)&amp;"/"&amp;IF(G910="","?",G910)&amp;CHAR(10)&amp;IF(K910="","coach: –","coach: "&amp;K910))</f>
        <v>Baby  0/5
coach: –</v>
      </c>
    </row>
    <row r="911" customFormat="false" ht="22.35" hidden="false" customHeight="false" outlineLevel="0" collapsed="false">
      <c r="A911" s="76" t="str">
        <f aca="false">B911&amp;"|"&amp;C911&amp;"|"&amp;D911&amp;"|"&amp;E911</f>
        <v>PML|1|Sabtu|16:30</v>
      </c>
      <c r="B911" s="76" t="s">
        <v>65</v>
      </c>
      <c r="C911" s="76" t="n">
        <v>1</v>
      </c>
      <c r="D911" s="76" t="s">
        <v>95</v>
      </c>
      <c r="E911" s="76" t="s">
        <v>106</v>
      </c>
      <c r="F911" s="77" t="s">
        <v>242</v>
      </c>
      <c r="G911" s="77" t="n">
        <v>5</v>
      </c>
      <c r="H911" s="77" t="n">
        <v>4</v>
      </c>
      <c r="I911" s="76" t="n">
        <f aca="false">IF(AND(ISNUMBER(G911),ISNUMBER(H911)),MAX(G911-H911,0),"")</f>
        <v>1</v>
      </c>
      <c r="J911" s="78" t="n">
        <f aca="false">IF(AND(ISNUMBER(G911),ISNUMBER(H911)),IF(G911&gt;0,H911/G911,""),"")</f>
        <v>0.8</v>
      </c>
      <c r="K911" s="77" t="s">
        <v>330</v>
      </c>
      <c r="L911" s="76" t="str">
        <f aca="false">IF(OR(G911="",H911=""),"Data tidak lengkap",IF(AND(G911=0,H911=0),IF(AND(F911="",K911=""),"Tidak dibuka","Tutup"),IF(H911&gt;G911,"Lebih kapasitas",IF(H911=G911,"Penuh",IF(H911=0,IF(F911="","Slot kosong","Belum terisi"),"Sebagian")))))</f>
        <v>Sebagian</v>
      </c>
      <c r="M911" s="79" t="str">
        <f aca="false">IF(L911="Tidak dibuka","–",IF(F911="","(tanpa age group)",F911)&amp;"  "&amp;IF(H911="","?",H911)&amp;"/"&amp;IF(G911="","?",G911)&amp;CHAR(10)&amp;IF(K911="","coach: –","coach: "&amp;K911))</f>
        <v>Baby  4/5
coach: Indah</v>
      </c>
    </row>
    <row r="912" customFormat="false" ht="22.35" hidden="false" customHeight="false" outlineLevel="0" collapsed="false">
      <c r="A912" s="76" t="str">
        <f aca="false">B912&amp;"|"&amp;C912&amp;"|"&amp;D912&amp;"|"&amp;E912</f>
        <v>PML|1|Sabtu|17:15</v>
      </c>
      <c r="B912" s="76" t="s">
        <v>65</v>
      </c>
      <c r="C912" s="76" t="n">
        <v>1</v>
      </c>
      <c r="D912" s="76" t="s">
        <v>95</v>
      </c>
      <c r="E912" s="76" t="s">
        <v>107</v>
      </c>
      <c r="F912" s="77" t="s">
        <v>242</v>
      </c>
      <c r="G912" s="77" t="n">
        <v>5</v>
      </c>
      <c r="H912" s="77" t="n">
        <v>0</v>
      </c>
      <c r="I912" s="76" t="n">
        <f aca="false">IF(AND(ISNUMBER(G912),ISNUMBER(H912)),MAX(G912-H912,0),"")</f>
        <v>5</v>
      </c>
      <c r="J912" s="78" t="n">
        <f aca="false">IF(AND(ISNUMBER(G912),ISNUMBER(H912)),IF(G912&gt;0,H912/G912,""),"")</f>
        <v>0</v>
      </c>
      <c r="K912" s="77"/>
      <c r="L912" s="76" t="str">
        <f aca="false">IF(OR(G912="",H912=""),"Data tidak lengkap",IF(AND(G912=0,H912=0),IF(AND(F912="",K912=""),"Tidak dibuka","Tutup"),IF(H912&gt;G912,"Lebih kapasitas",IF(H912=G912,"Penuh",IF(H912=0,IF(F912="","Slot kosong","Belum terisi"),"Sebagian")))))</f>
        <v>Belum terisi</v>
      </c>
      <c r="M912" s="79" t="str">
        <f aca="false">IF(L912="Tidak dibuka","–",IF(F912="","(tanpa age group)",F912)&amp;"  "&amp;IF(H912="","?",H912)&amp;"/"&amp;IF(G912="","?",G912)&amp;CHAR(10)&amp;IF(K912="","coach: –","coach: "&amp;K912))</f>
        <v>Baby  0/5
coach: –</v>
      </c>
    </row>
    <row r="913" customFormat="false" ht="22.35" hidden="false" customHeight="false" outlineLevel="0" collapsed="false">
      <c r="A913" s="76" t="str">
        <f aca="false">B913&amp;"|"&amp;C913&amp;"|"&amp;D913&amp;"|"&amp;E913</f>
        <v>PML|1|Minggu|08:15</v>
      </c>
      <c r="B913" s="76" t="s">
        <v>65</v>
      </c>
      <c r="C913" s="76" t="n">
        <v>1</v>
      </c>
      <c r="D913" s="76" t="s">
        <v>78</v>
      </c>
      <c r="E913" s="76" t="s">
        <v>96</v>
      </c>
      <c r="F913" s="77" t="s">
        <v>242</v>
      </c>
      <c r="G913" s="77" t="n">
        <v>0</v>
      </c>
      <c r="H913" s="77" t="n">
        <v>0</v>
      </c>
      <c r="I913" s="76" t="n">
        <f aca="false">IF(AND(ISNUMBER(G913),ISNUMBER(H913)),MAX(G913-H913,0),"")</f>
        <v>0</v>
      </c>
      <c r="J913" s="78" t="str">
        <f aca="false">IF(AND(ISNUMBER(G913),ISNUMBER(H913)),IF(G913&gt;0,H913/G913,""),"")</f>
        <v/>
      </c>
      <c r="K913" s="77"/>
      <c r="L913" s="76" t="str">
        <f aca="false">IF(OR(G913="",H913=""),"Data tidak lengkap",IF(AND(G913=0,H913=0),IF(AND(F913="",K913=""),"Tidak dibuka","Tutup"),IF(H913&gt;G913,"Lebih kapasitas",IF(H913=G913,"Penuh",IF(H913=0,IF(F913="","Slot kosong","Belum terisi"),"Sebagian")))))</f>
        <v>Tutup</v>
      </c>
      <c r="M913" s="79" t="str">
        <f aca="false">IF(L913="Tidak dibuka","–",IF(F913="","(tanpa age group)",F913)&amp;"  "&amp;IF(H913="","?",H913)&amp;"/"&amp;IF(G913="","?",G913)&amp;CHAR(10)&amp;IF(K913="","coach: –","coach: "&amp;K913))</f>
        <v>Baby  0/0
coach: –</v>
      </c>
    </row>
    <row r="914" customFormat="false" ht="22.35" hidden="false" customHeight="false" outlineLevel="0" collapsed="false">
      <c r="A914" s="76" t="str">
        <f aca="false">B914&amp;"|"&amp;C914&amp;"|"&amp;D914&amp;"|"&amp;E914</f>
        <v>PML|1|Minggu|09:00</v>
      </c>
      <c r="B914" s="76" t="s">
        <v>65</v>
      </c>
      <c r="C914" s="76" t="n">
        <v>1</v>
      </c>
      <c r="D914" s="76" t="s">
        <v>78</v>
      </c>
      <c r="E914" s="76" t="s">
        <v>97</v>
      </c>
      <c r="F914" s="77" t="s">
        <v>242</v>
      </c>
      <c r="G914" s="77" t="n">
        <v>5</v>
      </c>
      <c r="H914" s="77" t="n">
        <v>3</v>
      </c>
      <c r="I914" s="76" t="n">
        <f aca="false">IF(AND(ISNUMBER(G914),ISNUMBER(H914)),MAX(G914-H914,0),"")</f>
        <v>2</v>
      </c>
      <c r="J914" s="78" t="n">
        <f aca="false">IF(AND(ISNUMBER(G914),ISNUMBER(H914)),IF(G914&gt;0,H914/G914,""),"")</f>
        <v>0.6</v>
      </c>
      <c r="K914" s="77" t="s">
        <v>336</v>
      </c>
      <c r="L914" s="76" t="str">
        <f aca="false">IF(OR(G914="",H914=""),"Data tidak lengkap",IF(AND(G914=0,H914=0),IF(AND(F914="",K914=""),"Tidak dibuka","Tutup"),IF(H914&gt;G914,"Lebih kapasitas",IF(H914=G914,"Penuh",IF(H914=0,IF(F914="","Slot kosong","Belum terisi"),"Sebagian")))))</f>
        <v>Sebagian</v>
      </c>
      <c r="M914" s="79" t="str">
        <f aca="false">IF(L914="Tidak dibuka","–",IF(F914="","(tanpa age group)",F914)&amp;"  "&amp;IF(H914="","?",H914)&amp;"/"&amp;IF(G914="","?",G914)&amp;CHAR(10)&amp;IF(K914="","coach: –","coach: "&amp;K914))</f>
        <v>Baby  3/5
coach: Laksamana</v>
      </c>
    </row>
    <row r="915" customFormat="false" ht="22.35" hidden="false" customHeight="false" outlineLevel="0" collapsed="false">
      <c r="A915" s="76" t="str">
        <f aca="false">B915&amp;"|"&amp;C915&amp;"|"&amp;D915&amp;"|"&amp;E915</f>
        <v>PML|1|Minggu|09:45</v>
      </c>
      <c r="B915" s="76" t="s">
        <v>65</v>
      </c>
      <c r="C915" s="76" t="n">
        <v>1</v>
      </c>
      <c r="D915" s="76" t="s">
        <v>78</v>
      </c>
      <c r="E915" s="76" t="s">
        <v>98</v>
      </c>
      <c r="F915" s="77" t="s">
        <v>242</v>
      </c>
      <c r="G915" s="77" t="n">
        <v>5</v>
      </c>
      <c r="H915" s="77" t="n">
        <v>2</v>
      </c>
      <c r="I915" s="76" t="n">
        <f aca="false">IF(AND(ISNUMBER(G915),ISNUMBER(H915)),MAX(G915-H915,0),"")</f>
        <v>3</v>
      </c>
      <c r="J915" s="78" t="n">
        <f aca="false">IF(AND(ISNUMBER(G915),ISNUMBER(H915)),IF(G915&gt;0,H915/G915,""),"")</f>
        <v>0.4</v>
      </c>
      <c r="K915" s="77" t="s">
        <v>335</v>
      </c>
      <c r="L915" s="76" t="str">
        <f aca="false">IF(OR(G915="",H915=""),"Data tidak lengkap",IF(AND(G915=0,H915=0),IF(AND(F915="",K915=""),"Tidak dibuka","Tutup"),IF(H915&gt;G915,"Lebih kapasitas",IF(H915=G915,"Penuh",IF(H915=0,IF(F915="","Slot kosong","Belum terisi"),"Sebagian")))))</f>
        <v>Sebagian</v>
      </c>
      <c r="M915" s="79" t="str">
        <f aca="false">IF(L915="Tidak dibuka","–",IF(F915="","(tanpa age group)",F915)&amp;"  "&amp;IF(H915="","?",H915)&amp;"/"&amp;IF(G915="","?",G915)&amp;CHAR(10)&amp;IF(K915="","coach: –","coach: "&amp;K915))</f>
        <v>Baby  2/5
coach: Shofwan</v>
      </c>
    </row>
    <row r="916" customFormat="false" ht="22.35" hidden="false" customHeight="false" outlineLevel="0" collapsed="false">
      <c r="A916" s="76" t="str">
        <f aca="false">B916&amp;"|"&amp;C916&amp;"|"&amp;D916&amp;"|"&amp;E916</f>
        <v>PML|1|Minggu|10:30</v>
      </c>
      <c r="B916" s="76" t="s">
        <v>65</v>
      </c>
      <c r="C916" s="76" t="n">
        <v>1</v>
      </c>
      <c r="D916" s="76" t="s">
        <v>78</v>
      </c>
      <c r="E916" s="76" t="s">
        <v>99</v>
      </c>
      <c r="F916" s="77" t="s">
        <v>242</v>
      </c>
      <c r="G916" s="77" t="n">
        <v>5</v>
      </c>
      <c r="H916" s="77" t="n">
        <v>5</v>
      </c>
      <c r="I916" s="76" t="n">
        <f aca="false">IF(AND(ISNUMBER(G916),ISNUMBER(H916)),MAX(G916-H916,0),"")</f>
        <v>0</v>
      </c>
      <c r="J916" s="78" t="n">
        <f aca="false">IF(AND(ISNUMBER(G916),ISNUMBER(H916)),IF(G916&gt;0,H916/G916,""),"")</f>
        <v>1</v>
      </c>
      <c r="K916" s="77" t="s">
        <v>334</v>
      </c>
      <c r="L916" s="76" t="str">
        <f aca="false">IF(OR(G916="",H916=""),"Data tidak lengkap",IF(AND(G916=0,H916=0),IF(AND(F916="",K916=""),"Tidak dibuka","Tutup"),IF(H916&gt;G916,"Lebih kapasitas",IF(H916=G916,"Penuh",IF(H916=0,IF(F916="","Slot kosong","Belum terisi"),"Sebagian")))))</f>
        <v>Penuh</v>
      </c>
      <c r="M916" s="79" t="str">
        <f aca="false">IF(L916="Tidak dibuka","–",IF(F916="","(tanpa age group)",F916)&amp;"  "&amp;IF(H916="","?",H916)&amp;"/"&amp;IF(G916="","?",G916)&amp;CHAR(10)&amp;IF(K916="","coach: –","coach: "&amp;K916))</f>
        <v>Baby  5/5
coach: Kamal</v>
      </c>
    </row>
    <row r="917" customFormat="false" ht="22.35" hidden="false" customHeight="false" outlineLevel="0" collapsed="false">
      <c r="A917" s="76" t="str">
        <f aca="false">B917&amp;"|"&amp;C917&amp;"|"&amp;D917&amp;"|"&amp;E917</f>
        <v>PML|1|Minggu|11:15</v>
      </c>
      <c r="B917" s="76" t="s">
        <v>65</v>
      </c>
      <c r="C917" s="76" t="n">
        <v>1</v>
      </c>
      <c r="D917" s="76" t="s">
        <v>78</v>
      </c>
      <c r="E917" s="76" t="s">
        <v>100</v>
      </c>
      <c r="F917" s="77" t="s">
        <v>242</v>
      </c>
      <c r="G917" s="77" t="n">
        <v>5</v>
      </c>
      <c r="H917" s="77" t="n">
        <v>0</v>
      </c>
      <c r="I917" s="76" t="n">
        <f aca="false">IF(AND(ISNUMBER(G917),ISNUMBER(H917)),MAX(G917-H917,0),"")</f>
        <v>5</v>
      </c>
      <c r="J917" s="78" t="n">
        <f aca="false">IF(AND(ISNUMBER(G917),ISNUMBER(H917)),IF(G917&gt;0,H917/G917,""),"")</f>
        <v>0</v>
      </c>
      <c r="K917" s="77"/>
      <c r="L917" s="76" t="str">
        <f aca="false">IF(OR(G917="",H917=""),"Data tidak lengkap",IF(AND(G917=0,H917=0),IF(AND(F917="",K917=""),"Tidak dibuka","Tutup"),IF(H917&gt;G917,"Lebih kapasitas",IF(H917=G917,"Penuh",IF(H917=0,IF(F917="","Slot kosong","Belum terisi"),"Sebagian")))))</f>
        <v>Belum terisi</v>
      </c>
      <c r="M917" s="79" t="str">
        <f aca="false">IF(L917="Tidak dibuka","–",IF(F917="","(tanpa age group)",F917)&amp;"  "&amp;IF(H917="","?",H917)&amp;"/"&amp;IF(G917="","?",G917)&amp;CHAR(10)&amp;IF(K917="","coach: –","coach: "&amp;K917))</f>
        <v>Baby  0/5
coach: –</v>
      </c>
    </row>
    <row r="918" customFormat="false" ht="22.35" hidden="false" customHeight="false" outlineLevel="0" collapsed="false">
      <c r="A918" s="76" t="str">
        <f aca="false">B918&amp;"|"&amp;C918&amp;"|"&amp;D918&amp;"|"&amp;E918</f>
        <v>PML|1|Minggu|12:00</v>
      </c>
      <c r="B918" s="76" t="s">
        <v>65</v>
      </c>
      <c r="C918" s="76" t="n">
        <v>1</v>
      </c>
      <c r="D918" s="76" t="s">
        <v>78</v>
      </c>
      <c r="E918" s="76" t="s">
        <v>101</v>
      </c>
      <c r="F918" s="77" t="s">
        <v>242</v>
      </c>
      <c r="G918" s="77" t="n">
        <v>5</v>
      </c>
      <c r="H918" s="77" t="n">
        <v>0</v>
      </c>
      <c r="I918" s="76" t="n">
        <f aca="false">IF(AND(ISNUMBER(G918),ISNUMBER(H918)),MAX(G918-H918,0),"")</f>
        <v>5</v>
      </c>
      <c r="J918" s="78" t="n">
        <f aca="false">IF(AND(ISNUMBER(G918),ISNUMBER(H918)),IF(G918&gt;0,H918/G918,""),"")</f>
        <v>0</v>
      </c>
      <c r="K918" s="77"/>
      <c r="L918" s="76" t="str">
        <f aca="false">IF(OR(G918="",H918=""),"Data tidak lengkap",IF(AND(G918=0,H918=0),IF(AND(F918="",K918=""),"Tidak dibuka","Tutup"),IF(H918&gt;G918,"Lebih kapasitas",IF(H918=G918,"Penuh",IF(H918=0,IF(F918="","Slot kosong","Belum terisi"),"Sebagian")))))</f>
        <v>Belum terisi</v>
      </c>
      <c r="M918" s="79" t="str">
        <f aca="false">IF(L918="Tidak dibuka","–",IF(F918="","(tanpa age group)",F918)&amp;"  "&amp;IF(H918="","?",H918)&amp;"/"&amp;IF(G918="","?",G918)&amp;CHAR(10)&amp;IF(K918="","coach: –","coach: "&amp;K918))</f>
        <v>Baby  0/5
coach: –</v>
      </c>
    </row>
    <row r="919" customFormat="false" ht="22.35" hidden="false" customHeight="false" outlineLevel="0" collapsed="false">
      <c r="A919" s="76" t="str">
        <f aca="false">B919&amp;"|"&amp;C919&amp;"|"&amp;D919&amp;"|"&amp;E919</f>
        <v>PML|1|Minggu|13:30</v>
      </c>
      <c r="B919" s="76" t="s">
        <v>65</v>
      </c>
      <c r="C919" s="76" t="n">
        <v>1</v>
      </c>
      <c r="D919" s="76" t="s">
        <v>78</v>
      </c>
      <c r="E919" s="76" t="s">
        <v>102</v>
      </c>
      <c r="F919" s="77" t="s">
        <v>242</v>
      </c>
      <c r="G919" s="77" t="n">
        <v>5</v>
      </c>
      <c r="H919" s="77" t="n">
        <v>1</v>
      </c>
      <c r="I919" s="76" t="n">
        <f aca="false">IF(AND(ISNUMBER(G919),ISNUMBER(H919)),MAX(G919-H919,0),"")</f>
        <v>4</v>
      </c>
      <c r="J919" s="78" t="n">
        <f aca="false">IF(AND(ISNUMBER(G919),ISNUMBER(H919)),IF(G919&gt;0,H919/G919,""),"")</f>
        <v>0.2</v>
      </c>
      <c r="K919" s="77" t="s">
        <v>331</v>
      </c>
      <c r="L919" s="76" t="str">
        <f aca="false">IF(OR(G919="",H919=""),"Data tidak lengkap",IF(AND(G919=0,H919=0),IF(AND(F919="",K919=""),"Tidak dibuka","Tutup"),IF(H919&gt;G919,"Lebih kapasitas",IF(H919=G919,"Penuh",IF(H919=0,IF(F919="","Slot kosong","Belum terisi"),"Sebagian")))))</f>
        <v>Sebagian</v>
      </c>
      <c r="M919" s="79" t="str">
        <f aca="false">IF(L919="Tidak dibuka","–",IF(F919="","(tanpa age group)",F919)&amp;"  "&amp;IF(H919="","?",H919)&amp;"/"&amp;IF(G919="","?",G919)&amp;CHAR(10)&amp;IF(K919="","coach: –","coach: "&amp;K919))</f>
        <v>Baby  1/5
coach: Damai</v>
      </c>
    </row>
    <row r="920" customFormat="false" ht="22.35" hidden="false" customHeight="false" outlineLevel="0" collapsed="false">
      <c r="A920" s="76" t="str">
        <f aca="false">B920&amp;"|"&amp;C920&amp;"|"&amp;D920&amp;"|"&amp;E920</f>
        <v>PML|1|Minggu|14:15</v>
      </c>
      <c r="B920" s="76" t="s">
        <v>65</v>
      </c>
      <c r="C920" s="76" t="n">
        <v>1</v>
      </c>
      <c r="D920" s="76" t="s">
        <v>78</v>
      </c>
      <c r="E920" s="76" t="s">
        <v>103</v>
      </c>
      <c r="F920" s="77" t="s">
        <v>242</v>
      </c>
      <c r="G920" s="77" t="n">
        <v>5</v>
      </c>
      <c r="H920" s="77" t="n">
        <v>0</v>
      </c>
      <c r="I920" s="76" t="n">
        <f aca="false">IF(AND(ISNUMBER(G920),ISNUMBER(H920)),MAX(G920-H920,0),"")</f>
        <v>5</v>
      </c>
      <c r="J920" s="78" t="n">
        <f aca="false">IF(AND(ISNUMBER(G920),ISNUMBER(H920)),IF(G920&gt;0,H920/G920,""),"")</f>
        <v>0</v>
      </c>
      <c r="K920" s="77"/>
      <c r="L920" s="76" t="str">
        <f aca="false">IF(OR(G920="",H920=""),"Data tidak lengkap",IF(AND(G920=0,H920=0),IF(AND(F920="",K920=""),"Tidak dibuka","Tutup"),IF(H920&gt;G920,"Lebih kapasitas",IF(H920=G920,"Penuh",IF(H920=0,IF(F920="","Slot kosong","Belum terisi"),"Sebagian")))))</f>
        <v>Belum terisi</v>
      </c>
      <c r="M920" s="79" t="str">
        <f aca="false">IF(L920="Tidak dibuka","–",IF(F920="","(tanpa age group)",F920)&amp;"  "&amp;IF(H920="","?",H920)&amp;"/"&amp;IF(G920="","?",G920)&amp;CHAR(10)&amp;IF(K920="","coach: –","coach: "&amp;K920))</f>
        <v>Baby  0/5
coach: –</v>
      </c>
    </row>
    <row r="921" customFormat="false" ht="22.35" hidden="false" customHeight="false" outlineLevel="0" collapsed="false">
      <c r="A921" s="76" t="str">
        <f aca="false">B921&amp;"|"&amp;C921&amp;"|"&amp;D921&amp;"|"&amp;E921</f>
        <v>PML|1|Minggu|15:00</v>
      </c>
      <c r="B921" s="76" t="s">
        <v>65</v>
      </c>
      <c r="C921" s="76" t="n">
        <v>1</v>
      </c>
      <c r="D921" s="76" t="s">
        <v>78</v>
      </c>
      <c r="E921" s="76" t="s">
        <v>104</v>
      </c>
      <c r="F921" s="77" t="s">
        <v>242</v>
      </c>
      <c r="G921" s="77" t="n">
        <v>5</v>
      </c>
      <c r="H921" s="77" t="n">
        <v>0</v>
      </c>
      <c r="I921" s="76" t="n">
        <f aca="false">IF(AND(ISNUMBER(G921),ISNUMBER(H921)),MAX(G921-H921,0),"")</f>
        <v>5</v>
      </c>
      <c r="J921" s="78" t="n">
        <f aca="false">IF(AND(ISNUMBER(G921),ISNUMBER(H921)),IF(G921&gt;0,H921/G921,""),"")</f>
        <v>0</v>
      </c>
      <c r="K921" s="77"/>
      <c r="L921" s="76" t="str">
        <f aca="false">IF(OR(G921="",H921=""),"Data tidak lengkap",IF(AND(G921=0,H921=0),IF(AND(F921="",K921=""),"Tidak dibuka","Tutup"),IF(H921&gt;G921,"Lebih kapasitas",IF(H921=G921,"Penuh",IF(H921=0,IF(F921="","Slot kosong","Belum terisi"),"Sebagian")))))</f>
        <v>Belum terisi</v>
      </c>
      <c r="M921" s="79" t="str">
        <f aca="false">IF(L921="Tidak dibuka","–",IF(F921="","(tanpa age group)",F921)&amp;"  "&amp;IF(H921="","?",H921)&amp;"/"&amp;IF(G921="","?",G921)&amp;CHAR(10)&amp;IF(K921="","coach: –","coach: "&amp;K921))</f>
        <v>Baby  0/5
coach: –</v>
      </c>
    </row>
    <row r="922" customFormat="false" ht="22.35" hidden="false" customHeight="false" outlineLevel="0" collapsed="false">
      <c r="A922" s="76" t="str">
        <f aca="false">B922&amp;"|"&amp;C922&amp;"|"&amp;D922&amp;"|"&amp;E922</f>
        <v>PML|1|Minggu|15:45</v>
      </c>
      <c r="B922" s="76" t="s">
        <v>65</v>
      </c>
      <c r="C922" s="76" t="n">
        <v>1</v>
      </c>
      <c r="D922" s="76" t="s">
        <v>78</v>
      </c>
      <c r="E922" s="76" t="s">
        <v>105</v>
      </c>
      <c r="F922" s="77" t="s">
        <v>210</v>
      </c>
      <c r="G922" s="77" t="n">
        <v>5</v>
      </c>
      <c r="H922" s="77" t="n">
        <v>4</v>
      </c>
      <c r="I922" s="76" t="n">
        <f aca="false">IF(AND(ISNUMBER(G922),ISNUMBER(H922)),MAX(G922-H922,0),"")</f>
        <v>1</v>
      </c>
      <c r="J922" s="78" t="n">
        <f aca="false">IF(AND(ISNUMBER(G922),ISNUMBER(H922)),IF(G922&gt;0,H922/G922,""),"")</f>
        <v>0.8</v>
      </c>
      <c r="K922" s="77" t="s">
        <v>331</v>
      </c>
      <c r="L922" s="76" t="str">
        <f aca="false">IF(OR(G922="",H922=""),"Data tidak lengkap",IF(AND(G922=0,H922=0),IF(AND(F922="",K922=""),"Tidak dibuka","Tutup"),IF(H922&gt;G922,"Lebih kapasitas",IF(H922=G922,"Penuh",IF(H922=0,IF(F922="","Slot kosong","Belum terisi"),"Sebagian")))))</f>
        <v>Sebagian</v>
      </c>
      <c r="M922" s="79" t="str">
        <f aca="false">IF(L922="Tidak dibuka","–",IF(F922="","(tanpa age group)",F922)&amp;"  "&amp;IF(H922="","?",H922)&amp;"/"&amp;IF(G922="","?",G922)&amp;CHAR(10)&amp;IF(K922="","coach: –","coach: "&amp;K922))</f>
        <v>Kids  4/5
coach: Damai</v>
      </c>
    </row>
    <row r="923" customFormat="false" ht="22.35" hidden="false" customHeight="false" outlineLevel="0" collapsed="false">
      <c r="A923" s="76" t="str">
        <f aca="false">B923&amp;"|"&amp;C923&amp;"|"&amp;D923&amp;"|"&amp;E923</f>
        <v>PML|1|Minggu|16:30</v>
      </c>
      <c r="B923" s="76" t="s">
        <v>65</v>
      </c>
      <c r="C923" s="76" t="n">
        <v>1</v>
      </c>
      <c r="D923" s="76" t="s">
        <v>78</v>
      </c>
      <c r="E923" s="76" t="s">
        <v>106</v>
      </c>
      <c r="F923" s="77" t="s">
        <v>242</v>
      </c>
      <c r="G923" s="77" t="n">
        <v>5</v>
      </c>
      <c r="H923" s="77" t="n">
        <v>0</v>
      </c>
      <c r="I923" s="76" t="n">
        <f aca="false">IF(AND(ISNUMBER(G923),ISNUMBER(H923)),MAX(G923-H923,0),"")</f>
        <v>5</v>
      </c>
      <c r="J923" s="78" t="n">
        <f aca="false">IF(AND(ISNUMBER(G923),ISNUMBER(H923)),IF(G923&gt;0,H923/G923,""),"")</f>
        <v>0</v>
      </c>
      <c r="K923" s="77"/>
      <c r="L923" s="76" t="str">
        <f aca="false">IF(OR(G923="",H923=""),"Data tidak lengkap",IF(AND(G923=0,H923=0),IF(AND(F923="",K923=""),"Tidak dibuka","Tutup"),IF(H923&gt;G923,"Lebih kapasitas",IF(H923=G923,"Penuh",IF(H923=0,IF(F923="","Slot kosong","Belum terisi"),"Sebagian")))))</f>
        <v>Belum terisi</v>
      </c>
      <c r="M923" s="79" t="str">
        <f aca="false">IF(L923="Tidak dibuka","–",IF(F923="","(tanpa age group)",F923)&amp;"  "&amp;IF(H923="","?",H923)&amp;"/"&amp;IF(G923="","?",G923)&amp;CHAR(10)&amp;IF(K923="","coach: –","coach: "&amp;K923))</f>
        <v>Baby  0/5
coach: –</v>
      </c>
    </row>
    <row r="924" customFormat="false" ht="22.35" hidden="false" customHeight="false" outlineLevel="0" collapsed="false">
      <c r="A924" s="76" t="str">
        <f aca="false">B924&amp;"|"&amp;C924&amp;"|"&amp;D924&amp;"|"&amp;E924</f>
        <v>PML|1|Minggu|17:15</v>
      </c>
      <c r="B924" s="76" t="s">
        <v>65</v>
      </c>
      <c r="C924" s="76" t="n">
        <v>1</v>
      </c>
      <c r="D924" s="76" t="s">
        <v>78</v>
      </c>
      <c r="E924" s="76" t="s">
        <v>107</v>
      </c>
      <c r="F924" s="77" t="s">
        <v>242</v>
      </c>
      <c r="G924" s="77" t="n">
        <v>5</v>
      </c>
      <c r="H924" s="77" t="n">
        <v>0</v>
      </c>
      <c r="I924" s="76" t="n">
        <f aca="false">IF(AND(ISNUMBER(G924),ISNUMBER(H924)),MAX(G924-H924,0),"")</f>
        <v>5</v>
      </c>
      <c r="J924" s="78" t="n">
        <f aca="false">IF(AND(ISNUMBER(G924),ISNUMBER(H924)),IF(G924&gt;0,H924/G924,""),"")</f>
        <v>0</v>
      </c>
      <c r="K924" s="77"/>
      <c r="L924" s="76" t="str">
        <f aca="false">IF(OR(G924="",H924=""),"Data tidak lengkap",IF(AND(G924=0,H924=0),IF(AND(F924="",K924=""),"Tidak dibuka","Tutup"),IF(H924&gt;G924,"Lebih kapasitas",IF(H924=G924,"Penuh",IF(H924=0,IF(F924="","Slot kosong","Belum terisi"),"Sebagian")))))</f>
        <v>Belum terisi</v>
      </c>
      <c r="M924" s="79" t="str">
        <f aca="false">IF(L924="Tidak dibuka","–",IF(F924="","(tanpa age group)",F924)&amp;"  "&amp;IF(H924="","?",H924)&amp;"/"&amp;IF(G924="","?",G924)&amp;CHAR(10)&amp;IF(K924="","coach: –","coach: "&amp;K924))</f>
        <v>Baby  0/5
coach: –</v>
      </c>
    </row>
    <row r="925" customFormat="false" ht="22.35" hidden="false" customHeight="false" outlineLevel="0" collapsed="false">
      <c r="A925" s="76" t="str">
        <f aca="false">B925&amp;"|"&amp;C925&amp;"|"&amp;D925&amp;"|"&amp;E925</f>
        <v>PML|2|Senin|08:15</v>
      </c>
      <c r="B925" s="76" t="s">
        <v>65</v>
      </c>
      <c r="C925" s="76" t="n">
        <v>2</v>
      </c>
      <c r="D925" s="76" t="s">
        <v>90</v>
      </c>
      <c r="E925" s="76" t="s">
        <v>96</v>
      </c>
      <c r="F925" s="77" t="s">
        <v>42</v>
      </c>
      <c r="G925" s="77" t="n">
        <v>0</v>
      </c>
      <c r="H925" s="77" t="n">
        <v>0</v>
      </c>
      <c r="I925" s="76" t="n">
        <f aca="false">IF(AND(ISNUMBER(G925),ISNUMBER(H925)),MAX(G925-H925,0),"")</f>
        <v>0</v>
      </c>
      <c r="J925" s="78" t="str">
        <f aca="false">IF(AND(ISNUMBER(G925),ISNUMBER(H925)),IF(G925&gt;0,H925/G925,""),"")</f>
        <v/>
      </c>
      <c r="K925" s="77"/>
      <c r="L925" s="76" t="str">
        <f aca="false">IF(OR(G925="",H925=""),"Data tidak lengkap",IF(AND(G925=0,H925=0),IF(AND(F925="",K925=""),"Tidak dibuka","Tutup"),IF(H925&gt;G925,"Lebih kapasitas",IF(H925=G925,"Penuh",IF(H925=0,IF(F925="","Slot kosong","Belum terisi"),"Sebagian")))))</f>
        <v>Tutup</v>
      </c>
      <c r="M925" s="79" t="str">
        <f aca="false">IF(L925="Tidak dibuka","–",IF(F925="","(tanpa age group)",F925)&amp;"  "&amp;IF(H925="","?",H925)&amp;"/"&amp;IF(G925="","?",G925)&amp;CHAR(10)&amp;IF(K925="","coach: –","coach: "&amp;K925))</f>
        <v>Tiny  0/0
coach: –</v>
      </c>
    </row>
    <row r="926" customFormat="false" ht="22.35" hidden="false" customHeight="false" outlineLevel="0" collapsed="false">
      <c r="A926" s="76" t="str">
        <f aca="false">B926&amp;"|"&amp;C926&amp;"|"&amp;D926&amp;"|"&amp;E926</f>
        <v>PML|2|Senin|09:00</v>
      </c>
      <c r="B926" s="76" t="s">
        <v>65</v>
      </c>
      <c r="C926" s="76" t="n">
        <v>2</v>
      </c>
      <c r="D926" s="76" t="s">
        <v>90</v>
      </c>
      <c r="E926" s="76" t="s">
        <v>97</v>
      </c>
      <c r="F926" s="77" t="s">
        <v>42</v>
      </c>
      <c r="G926" s="77" t="n">
        <v>5</v>
      </c>
      <c r="H926" s="77" t="n">
        <v>0</v>
      </c>
      <c r="I926" s="76" t="n">
        <f aca="false">IF(AND(ISNUMBER(G926),ISNUMBER(H926)),MAX(G926-H926,0),"")</f>
        <v>5</v>
      </c>
      <c r="J926" s="78" t="n">
        <f aca="false">IF(AND(ISNUMBER(G926),ISNUMBER(H926)),IF(G926&gt;0,H926/G926,""),"")</f>
        <v>0</v>
      </c>
      <c r="K926" s="77"/>
      <c r="L926" s="76" t="str">
        <f aca="false">IF(OR(G926="",H926=""),"Data tidak lengkap",IF(AND(G926=0,H926=0),IF(AND(F926="",K926=""),"Tidak dibuka","Tutup"),IF(H926&gt;G926,"Lebih kapasitas",IF(H926=G926,"Penuh",IF(H926=0,IF(F926="","Slot kosong","Belum terisi"),"Sebagian")))))</f>
        <v>Belum terisi</v>
      </c>
      <c r="M926" s="79" t="str">
        <f aca="false">IF(L926="Tidak dibuka","–",IF(F926="","(tanpa age group)",F926)&amp;"  "&amp;IF(H926="","?",H926)&amp;"/"&amp;IF(G926="","?",G926)&amp;CHAR(10)&amp;IF(K926="","coach: –","coach: "&amp;K926))</f>
        <v>Tiny  0/5
coach: –</v>
      </c>
    </row>
    <row r="927" customFormat="false" ht="22.35" hidden="false" customHeight="false" outlineLevel="0" collapsed="false">
      <c r="A927" s="76" t="str">
        <f aca="false">B927&amp;"|"&amp;C927&amp;"|"&amp;D927&amp;"|"&amp;E927</f>
        <v>PML|2|Senin|09:45</v>
      </c>
      <c r="B927" s="76" t="s">
        <v>65</v>
      </c>
      <c r="C927" s="76" t="n">
        <v>2</v>
      </c>
      <c r="D927" s="76" t="s">
        <v>90</v>
      </c>
      <c r="E927" s="76" t="s">
        <v>98</v>
      </c>
      <c r="F927" s="77" t="s">
        <v>42</v>
      </c>
      <c r="G927" s="77" t="n">
        <v>5</v>
      </c>
      <c r="H927" s="77" t="n">
        <v>3</v>
      </c>
      <c r="I927" s="76" t="n">
        <f aca="false">IF(AND(ISNUMBER(G927),ISNUMBER(H927)),MAX(G927-H927,0),"")</f>
        <v>2</v>
      </c>
      <c r="J927" s="78" t="n">
        <f aca="false">IF(AND(ISNUMBER(G927),ISNUMBER(H927)),IF(G927&gt;0,H927/G927,""),"")</f>
        <v>0.6</v>
      </c>
      <c r="K927" s="77" t="s">
        <v>331</v>
      </c>
      <c r="L927" s="76" t="str">
        <f aca="false">IF(OR(G927="",H927=""),"Data tidak lengkap",IF(AND(G927=0,H927=0),IF(AND(F927="",K927=""),"Tidak dibuka","Tutup"),IF(H927&gt;G927,"Lebih kapasitas",IF(H927=G927,"Penuh",IF(H927=0,IF(F927="","Slot kosong","Belum terisi"),"Sebagian")))))</f>
        <v>Sebagian</v>
      </c>
      <c r="M927" s="79" t="str">
        <f aca="false">IF(L927="Tidak dibuka","–",IF(F927="","(tanpa age group)",F927)&amp;"  "&amp;IF(H927="","?",H927)&amp;"/"&amp;IF(G927="","?",G927)&amp;CHAR(10)&amp;IF(K927="","coach: –","coach: "&amp;K927))</f>
        <v>Tiny  3/5
coach: Damai</v>
      </c>
    </row>
    <row r="928" customFormat="false" ht="22.35" hidden="false" customHeight="false" outlineLevel="0" collapsed="false">
      <c r="A928" s="76" t="str">
        <f aca="false">B928&amp;"|"&amp;C928&amp;"|"&amp;D928&amp;"|"&amp;E928</f>
        <v>PML|2|Senin|10:30</v>
      </c>
      <c r="B928" s="76" t="s">
        <v>65</v>
      </c>
      <c r="C928" s="76" t="n">
        <v>2</v>
      </c>
      <c r="D928" s="76" t="s">
        <v>90</v>
      </c>
      <c r="E928" s="76" t="s">
        <v>99</v>
      </c>
      <c r="F928" s="77" t="s">
        <v>42</v>
      </c>
      <c r="G928" s="77" t="n">
        <v>5</v>
      </c>
      <c r="H928" s="77" t="n">
        <v>0</v>
      </c>
      <c r="I928" s="76" t="n">
        <f aca="false">IF(AND(ISNUMBER(G928),ISNUMBER(H928)),MAX(G928-H928,0),"")</f>
        <v>5</v>
      </c>
      <c r="J928" s="78" t="n">
        <f aca="false">IF(AND(ISNUMBER(G928),ISNUMBER(H928)),IF(G928&gt;0,H928/G928,""),"")</f>
        <v>0</v>
      </c>
      <c r="K928" s="77"/>
      <c r="L928" s="76" t="str">
        <f aca="false">IF(OR(G928="",H928=""),"Data tidak lengkap",IF(AND(G928=0,H928=0),IF(AND(F928="",K928=""),"Tidak dibuka","Tutup"),IF(H928&gt;G928,"Lebih kapasitas",IF(H928=G928,"Penuh",IF(H928=0,IF(F928="","Slot kosong","Belum terisi"),"Sebagian")))))</f>
        <v>Belum terisi</v>
      </c>
      <c r="M928" s="79" t="str">
        <f aca="false">IF(L928="Tidak dibuka","–",IF(F928="","(tanpa age group)",F928)&amp;"  "&amp;IF(H928="","?",H928)&amp;"/"&amp;IF(G928="","?",G928)&amp;CHAR(10)&amp;IF(K928="","coach: –","coach: "&amp;K928))</f>
        <v>Tiny  0/5
coach: –</v>
      </c>
    </row>
    <row r="929" customFormat="false" ht="22.35" hidden="false" customHeight="false" outlineLevel="0" collapsed="false">
      <c r="A929" s="76" t="str">
        <f aca="false">B929&amp;"|"&amp;C929&amp;"|"&amp;D929&amp;"|"&amp;E929</f>
        <v>PML|2|Senin|11:15</v>
      </c>
      <c r="B929" s="76" t="s">
        <v>65</v>
      </c>
      <c r="C929" s="76" t="n">
        <v>2</v>
      </c>
      <c r="D929" s="76" t="s">
        <v>90</v>
      </c>
      <c r="E929" s="76" t="s">
        <v>100</v>
      </c>
      <c r="F929" s="77" t="s">
        <v>42</v>
      </c>
      <c r="G929" s="77" t="n">
        <v>5</v>
      </c>
      <c r="H929" s="77" t="n">
        <v>0</v>
      </c>
      <c r="I929" s="76" t="n">
        <f aca="false">IF(AND(ISNUMBER(G929),ISNUMBER(H929)),MAX(G929-H929,0),"")</f>
        <v>5</v>
      </c>
      <c r="J929" s="78" t="n">
        <f aca="false">IF(AND(ISNUMBER(G929),ISNUMBER(H929)),IF(G929&gt;0,H929/G929,""),"")</f>
        <v>0</v>
      </c>
      <c r="K929" s="77"/>
      <c r="L929" s="76" t="str">
        <f aca="false">IF(OR(G929="",H929=""),"Data tidak lengkap",IF(AND(G929=0,H929=0),IF(AND(F929="",K929=""),"Tidak dibuka","Tutup"),IF(H929&gt;G929,"Lebih kapasitas",IF(H929=G929,"Penuh",IF(H929=0,IF(F929="","Slot kosong","Belum terisi"),"Sebagian")))))</f>
        <v>Belum terisi</v>
      </c>
      <c r="M929" s="79" t="str">
        <f aca="false">IF(L929="Tidak dibuka","–",IF(F929="","(tanpa age group)",F929)&amp;"  "&amp;IF(H929="","?",H929)&amp;"/"&amp;IF(G929="","?",G929)&amp;CHAR(10)&amp;IF(K929="","coach: –","coach: "&amp;K929))</f>
        <v>Tiny  0/5
coach: –</v>
      </c>
    </row>
    <row r="930" customFormat="false" ht="22.35" hidden="false" customHeight="false" outlineLevel="0" collapsed="false">
      <c r="A930" s="76" t="str">
        <f aca="false">B930&amp;"|"&amp;C930&amp;"|"&amp;D930&amp;"|"&amp;E930</f>
        <v>PML|2|Senin|12:00</v>
      </c>
      <c r="B930" s="76" t="s">
        <v>65</v>
      </c>
      <c r="C930" s="76" t="n">
        <v>2</v>
      </c>
      <c r="D930" s="76" t="s">
        <v>90</v>
      </c>
      <c r="E930" s="76" t="s">
        <v>101</v>
      </c>
      <c r="F930" s="77" t="s">
        <v>42</v>
      </c>
      <c r="G930" s="77" t="n">
        <v>0</v>
      </c>
      <c r="H930" s="77" t="n">
        <v>0</v>
      </c>
      <c r="I930" s="76" t="n">
        <f aca="false">IF(AND(ISNUMBER(G930),ISNUMBER(H930)),MAX(G930-H930,0),"")</f>
        <v>0</v>
      </c>
      <c r="J930" s="78" t="str">
        <f aca="false">IF(AND(ISNUMBER(G930),ISNUMBER(H930)),IF(G930&gt;0,H930/G930,""),"")</f>
        <v/>
      </c>
      <c r="K930" s="77"/>
      <c r="L930" s="76" t="str">
        <f aca="false">IF(OR(G930="",H930=""),"Data tidak lengkap",IF(AND(G930=0,H930=0),IF(AND(F930="",K930=""),"Tidak dibuka","Tutup"),IF(H930&gt;G930,"Lebih kapasitas",IF(H930=G930,"Penuh",IF(H930=0,IF(F930="","Slot kosong","Belum terisi"),"Sebagian")))))</f>
        <v>Tutup</v>
      </c>
      <c r="M930" s="79" t="str">
        <f aca="false">IF(L930="Tidak dibuka","–",IF(F930="","(tanpa age group)",F930)&amp;"  "&amp;IF(H930="","?",H930)&amp;"/"&amp;IF(G930="","?",G930)&amp;CHAR(10)&amp;IF(K930="","coach: –","coach: "&amp;K930))</f>
        <v>Tiny  0/0
coach: –</v>
      </c>
    </row>
    <row r="931" customFormat="false" ht="22.35" hidden="false" customHeight="false" outlineLevel="0" collapsed="false">
      <c r="A931" s="76" t="str">
        <f aca="false">B931&amp;"|"&amp;C931&amp;"|"&amp;D931&amp;"|"&amp;E931</f>
        <v>PML|2|Senin|13:30</v>
      </c>
      <c r="B931" s="76" t="s">
        <v>65</v>
      </c>
      <c r="C931" s="76" t="n">
        <v>2</v>
      </c>
      <c r="D931" s="76" t="s">
        <v>90</v>
      </c>
      <c r="E931" s="76" t="s">
        <v>102</v>
      </c>
      <c r="F931" s="77" t="s">
        <v>42</v>
      </c>
      <c r="G931" s="77" t="n">
        <v>5</v>
      </c>
      <c r="H931" s="77" t="n">
        <v>0</v>
      </c>
      <c r="I931" s="76" t="n">
        <f aca="false">IF(AND(ISNUMBER(G931),ISNUMBER(H931)),MAX(G931-H931,0),"")</f>
        <v>5</v>
      </c>
      <c r="J931" s="78" t="n">
        <f aca="false">IF(AND(ISNUMBER(G931),ISNUMBER(H931)),IF(G931&gt;0,H931/G931,""),"")</f>
        <v>0</v>
      </c>
      <c r="K931" s="77"/>
      <c r="L931" s="76" t="str">
        <f aca="false">IF(OR(G931="",H931=""),"Data tidak lengkap",IF(AND(G931=0,H931=0),IF(AND(F931="",K931=""),"Tidak dibuka","Tutup"),IF(H931&gt;G931,"Lebih kapasitas",IF(H931=G931,"Penuh",IF(H931=0,IF(F931="","Slot kosong","Belum terisi"),"Sebagian")))))</f>
        <v>Belum terisi</v>
      </c>
      <c r="M931" s="79" t="str">
        <f aca="false">IF(L931="Tidak dibuka","–",IF(F931="","(tanpa age group)",F931)&amp;"  "&amp;IF(H931="","?",H931)&amp;"/"&amp;IF(G931="","?",G931)&amp;CHAR(10)&amp;IF(K931="","coach: –","coach: "&amp;K931))</f>
        <v>Tiny  0/5
coach: –</v>
      </c>
    </row>
    <row r="932" customFormat="false" ht="22.35" hidden="false" customHeight="false" outlineLevel="0" collapsed="false">
      <c r="A932" s="76" t="str">
        <f aca="false">B932&amp;"|"&amp;C932&amp;"|"&amp;D932&amp;"|"&amp;E932</f>
        <v>PML|2|Senin|14:15</v>
      </c>
      <c r="B932" s="76" t="s">
        <v>65</v>
      </c>
      <c r="C932" s="76" t="n">
        <v>2</v>
      </c>
      <c r="D932" s="76" t="s">
        <v>90</v>
      </c>
      <c r="E932" s="76" t="s">
        <v>103</v>
      </c>
      <c r="F932" s="77" t="s">
        <v>42</v>
      </c>
      <c r="G932" s="77" t="n">
        <v>5</v>
      </c>
      <c r="H932" s="77" t="n">
        <v>0</v>
      </c>
      <c r="I932" s="76" t="n">
        <f aca="false">IF(AND(ISNUMBER(G932),ISNUMBER(H932)),MAX(G932-H932,0),"")</f>
        <v>5</v>
      </c>
      <c r="J932" s="78" t="n">
        <f aca="false">IF(AND(ISNUMBER(G932),ISNUMBER(H932)),IF(G932&gt;0,H932/G932,""),"")</f>
        <v>0</v>
      </c>
      <c r="K932" s="77"/>
      <c r="L932" s="76" t="str">
        <f aca="false">IF(OR(G932="",H932=""),"Data tidak lengkap",IF(AND(G932=0,H932=0),IF(AND(F932="",K932=""),"Tidak dibuka","Tutup"),IF(H932&gt;G932,"Lebih kapasitas",IF(H932=G932,"Penuh",IF(H932=0,IF(F932="","Slot kosong","Belum terisi"),"Sebagian")))))</f>
        <v>Belum terisi</v>
      </c>
      <c r="M932" s="79" t="str">
        <f aca="false">IF(L932="Tidak dibuka","–",IF(F932="","(tanpa age group)",F932)&amp;"  "&amp;IF(H932="","?",H932)&amp;"/"&amp;IF(G932="","?",G932)&amp;CHAR(10)&amp;IF(K932="","coach: –","coach: "&amp;K932))</f>
        <v>Tiny  0/5
coach: –</v>
      </c>
    </row>
    <row r="933" customFormat="false" ht="15" hidden="false" customHeight="false" outlineLevel="0" collapsed="false">
      <c r="A933" s="76" t="str">
        <f aca="false">B933&amp;"|"&amp;C933&amp;"|"&amp;D933&amp;"|"&amp;E933</f>
        <v>PML|2|Senin|15:00</v>
      </c>
      <c r="B933" s="76" t="s">
        <v>65</v>
      </c>
      <c r="C933" s="76" t="n">
        <v>2</v>
      </c>
      <c r="D933" s="76" t="s">
        <v>90</v>
      </c>
      <c r="E933" s="76" t="s">
        <v>104</v>
      </c>
      <c r="F933" s="77"/>
      <c r="G933" s="77" t="n">
        <v>0</v>
      </c>
      <c r="H933" s="77" t="n">
        <v>0</v>
      </c>
      <c r="I933" s="76" t="n">
        <f aca="false">IF(AND(ISNUMBER(G933),ISNUMBER(H933)),MAX(G933-H933,0),"")</f>
        <v>0</v>
      </c>
      <c r="J933" s="78" t="str">
        <f aca="false">IF(AND(ISNUMBER(G933),ISNUMBER(H933)),IF(G933&gt;0,H933/G933,""),"")</f>
        <v/>
      </c>
      <c r="K933" s="77"/>
      <c r="L933" s="76" t="str">
        <f aca="false">IF(OR(G933="",H933=""),"Data tidak lengkap",IF(AND(G933=0,H933=0),IF(AND(F933="",K933=""),"Tidak dibuka","Tutup"),IF(H933&gt;G933,"Lebih kapasitas",IF(H933=G933,"Penuh",IF(H933=0,IF(F933="","Slot kosong","Belum terisi"),"Sebagian")))))</f>
        <v>Tidak dibuka</v>
      </c>
      <c r="M933" s="76" t="str">
        <f aca="false">IF(L933="Tidak dibuka","–",IF(F933="","(tanpa age group)",F933)&amp;"  "&amp;IF(H933="","?",H933)&amp;"/"&amp;IF(G933="","?",G933)&amp;CHAR(10)&amp;IF(K933="","coach: –","coach: "&amp;K933))</f>
        <v>–</v>
      </c>
    </row>
    <row r="934" customFormat="false" ht="15" hidden="false" customHeight="false" outlineLevel="0" collapsed="false">
      <c r="A934" s="76" t="str">
        <f aca="false">B934&amp;"|"&amp;C934&amp;"|"&amp;D934&amp;"|"&amp;E934</f>
        <v>PML|2|Senin|15:45</v>
      </c>
      <c r="B934" s="76" t="s">
        <v>65</v>
      </c>
      <c r="C934" s="76" t="n">
        <v>2</v>
      </c>
      <c r="D934" s="76" t="s">
        <v>90</v>
      </c>
      <c r="E934" s="76" t="s">
        <v>105</v>
      </c>
      <c r="F934" s="77"/>
      <c r="G934" s="77" t="n">
        <v>0</v>
      </c>
      <c r="H934" s="77" t="n">
        <v>0</v>
      </c>
      <c r="I934" s="76" t="n">
        <f aca="false">IF(AND(ISNUMBER(G934),ISNUMBER(H934)),MAX(G934-H934,0),"")</f>
        <v>0</v>
      </c>
      <c r="J934" s="78" t="str">
        <f aca="false">IF(AND(ISNUMBER(G934),ISNUMBER(H934)),IF(G934&gt;0,H934/G934,""),"")</f>
        <v/>
      </c>
      <c r="K934" s="77"/>
      <c r="L934" s="76" t="str">
        <f aca="false">IF(OR(G934="",H934=""),"Data tidak lengkap",IF(AND(G934=0,H934=0),IF(AND(F934="",K934=""),"Tidak dibuka","Tutup"),IF(H934&gt;G934,"Lebih kapasitas",IF(H934=G934,"Penuh",IF(H934=0,IF(F934="","Slot kosong","Belum terisi"),"Sebagian")))))</f>
        <v>Tidak dibuka</v>
      </c>
      <c r="M934" s="76" t="str">
        <f aca="false">IF(L934="Tidak dibuka","–",IF(F934="","(tanpa age group)",F934)&amp;"  "&amp;IF(H934="","?",H934)&amp;"/"&amp;IF(G934="","?",G934)&amp;CHAR(10)&amp;IF(K934="","coach: –","coach: "&amp;K934))</f>
        <v>–</v>
      </c>
    </row>
    <row r="935" customFormat="false" ht="22.35" hidden="false" customHeight="false" outlineLevel="0" collapsed="false">
      <c r="A935" s="76" t="str">
        <f aca="false">B935&amp;"|"&amp;C935&amp;"|"&amp;D935&amp;"|"&amp;E935</f>
        <v>PML|2|Senin|16:30</v>
      </c>
      <c r="B935" s="76" t="s">
        <v>65</v>
      </c>
      <c r="C935" s="76" t="n">
        <v>2</v>
      </c>
      <c r="D935" s="76" t="s">
        <v>90</v>
      </c>
      <c r="E935" s="76" t="s">
        <v>106</v>
      </c>
      <c r="F935" s="77"/>
      <c r="G935" s="77" t="n">
        <v>5</v>
      </c>
      <c r="H935" s="77" t="n">
        <v>0</v>
      </c>
      <c r="I935" s="76" t="n">
        <f aca="false">IF(AND(ISNUMBER(G935),ISNUMBER(H935)),MAX(G935-H935,0),"")</f>
        <v>5</v>
      </c>
      <c r="J935" s="78" t="n">
        <f aca="false">IF(AND(ISNUMBER(G935),ISNUMBER(H935)),IF(G935&gt;0,H935/G935,""),"")</f>
        <v>0</v>
      </c>
      <c r="K935" s="77"/>
      <c r="L935" s="76" t="str">
        <f aca="false">IF(OR(G935="",H935=""),"Data tidak lengkap",IF(AND(G935=0,H935=0),IF(AND(F935="",K935=""),"Tidak dibuka","Tutup"),IF(H935&gt;G935,"Lebih kapasitas",IF(H935=G935,"Penuh",IF(H935=0,IF(F935="","Slot kosong","Belum terisi"),"Sebagian")))))</f>
        <v>Slot kosong</v>
      </c>
      <c r="M935" s="79" t="str">
        <f aca="false">IF(L935="Tidak dibuka","–",IF(F935="","(tanpa age group)",F935)&amp;"  "&amp;IF(H935="","?",H935)&amp;"/"&amp;IF(G935="","?",G935)&amp;CHAR(10)&amp;IF(K935="","coach: –","coach: "&amp;K935))</f>
        <v>(tanpa age group)  0/5
coach: –</v>
      </c>
    </row>
    <row r="936" customFormat="false" ht="22.35" hidden="false" customHeight="false" outlineLevel="0" collapsed="false">
      <c r="A936" s="76" t="str">
        <f aca="false">B936&amp;"|"&amp;C936&amp;"|"&amp;D936&amp;"|"&amp;E936</f>
        <v>PML|2|Senin|17:15</v>
      </c>
      <c r="B936" s="76" t="s">
        <v>65</v>
      </c>
      <c r="C936" s="76" t="n">
        <v>2</v>
      </c>
      <c r="D936" s="76" t="s">
        <v>90</v>
      </c>
      <c r="E936" s="76" t="s">
        <v>107</v>
      </c>
      <c r="F936" s="77"/>
      <c r="G936" s="77" t="n">
        <v>5</v>
      </c>
      <c r="H936" s="77" t="n">
        <v>0</v>
      </c>
      <c r="I936" s="76" t="n">
        <f aca="false">IF(AND(ISNUMBER(G936),ISNUMBER(H936)),MAX(G936-H936,0),"")</f>
        <v>5</v>
      </c>
      <c r="J936" s="78" t="n">
        <f aca="false">IF(AND(ISNUMBER(G936),ISNUMBER(H936)),IF(G936&gt;0,H936/G936,""),"")</f>
        <v>0</v>
      </c>
      <c r="K936" s="77"/>
      <c r="L936" s="76" t="str">
        <f aca="false">IF(OR(G936="",H936=""),"Data tidak lengkap",IF(AND(G936=0,H936=0),IF(AND(F936="",K936=""),"Tidak dibuka","Tutup"),IF(H936&gt;G936,"Lebih kapasitas",IF(H936=G936,"Penuh",IF(H936=0,IF(F936="","Slot kosong","Belum terisi"),"Sebagian")))))</f>
        <v>Slot kosong</v>
      </c>
      <c r="M936" s="79" t="str">
        <f aca="false">IF(L936="Tidak dibuka","–",IF(F936="","(tanpa age group)",F936)&amp;"  "&amp;IF(H936="","?",H936)&amp;"/"&amp;IF(G936="","?",G936)&amp;CHAR(10)&amp;IF(K936="","coach: –","coach: "&amp;K936))</f>
        <v>(tanpa age group)  0/5
coach: –</v>
      </c>
    </row>
    <row r="937" customFormat="false" ht="22.35" hidden="false" customHeight="false" outlineLevel="0" collapsed="false">
      <c r="A937" s="76" t="str">
        <f aca="false">B937&amp;"|"&amp;C937&amp;"|"&amp;D937&amp;"|"&amp;E937</f>
        <v>PML|2|Selasa|08:15</v>
      </c>
      <c r="B937" s="76" t="s">
        <v>65</v>
      </c>
      <c r="C937" s="76" t="n">
        <v>2</v>
      </c>
      <c r="D937" s="76" t="s">
        <v>91</v>
      </c>
      <c r="E937" s="76" t="s">
        <v>96</v>
      </c>
      <c r="F937" s="77" t="s">
        <v>42</v>
      </c>
      <c r="G937" s="77" t="n">
        <v>0</v>
      </c>
      <c r="H937" s="77" t="n">
        <v>0</v>
      </c>
      <c r="I937" s="76" t="n">
        <f aca="false">IF(AND(ISNUMBER(G937),ISNUMBER(H937)),MAX(G937-H937,0),"")</f>
        <v>0</v>
      </c>
      <c r="J937" s="78" t="str">
        <f aca="false">IF(AND(ISNUMBER(G937),ISNUMBER(H937)),IF(G937&gt;0,H937/G937,""),"")</f>
        <v/>
      </c>
      <c r="K937" s="77"/>
      <c r="L937" s="76" t="str">
        <f aca="false">IF(OR(G937="",H937=""),"Data tidak lengkap",IF(AND(G937=0,H937=0),IF(AND(F937="",K937=""),"Tidak dibuka","Tutup"),IF(H937&gt;G937,"Lebih kapasitas",IF(H937=G937,"Penuh",IF(H937=0,IF(F937="","Slot kosong","Belum terisi"),"Sebagian")))))</f>
        <v>Tutup</v>
      </c>
      <c r="M937" s="79" t="str">
        <f aca="false">IF(L937="Tidak dibuka","–",IF(F937="","(tanpa age group)",F937)&amp;"  "&amp;IF(H937="","?",H937)&amp;"/"&amp;IF(G937="","?",G937)&amp;CHAR(10)&amp;IF(K937="","coach: –","coach: "&amp;K937))</f>
        <v>Tiny  0/0
coach: –</v>
      </c>
    </row>
    <row r="938" customFormat="false" ht="22.35" hidden="false" customHeight="false" outlineLevel="0" collapsed="false">
      <c r="A938" s="76" t="str">
        <f aca="false">B938&amp;"|"&amp;C938&amp;"|"&amp;D938&amp;"|"&amp;E938</f>
        <v>PML|2|Selasa|09:00</v>
      </c>
      <c r="B938" s="76" t="s">
        <v>65</v>
      </c>
      <c r="C938" s="76" t="n">
        <v>2</v>
      </c>
      <c r="D938" s="76" t="s">
        <v>91</v>
      </c>
      <c r="E938" s="76" t="s">
        <v>97</v>
      </c>
      <c r="F938" s="77" t="s">
        <v>42</v>
      </c>
      <c r="G938" s="77" t="n">
        <v>5</v>
      </c>
      <c r="H938" s="77" t="n">
        <v>3</v>
      </c>
      <c r="I938" s="76" t="n">
        <f aca="false">IF(AND(ISNUMBER(G938),ISNUMBER(H938)),MAX(G938-H938,0),"")</f>
        <v>2</v>
      </c>
      <c r="J938" s="78" t="n">
        <f aca="false">IF(AND(ISNUMBER(G938),ISNUMBER(H938)),IF(G938&gt;0,H938/G938,""),"")</f>
        <v>0.6</v>
      </c>
      <c r="K938" s="77" t="s">
        <v>335</v>
      </c>
      <c r="L938" s="76" t="str">
        <f aca="false">IF(OR(G938="",H938=""),"Data tidak lengkap",IF(AND(G938=0,H938=0),IF(AND(F938="",K938=""),"Tidak dibuka","Tutup"),IF(H938&gt;G938,"Lebih kapasitas",IF(H938=G938,"Penuh",IF(H938=0,IF(F938="","Slot kosong","Belum terisi"),"Sebagian")))))</f>
        <v>Sebagian</v>
      </c>
      <c r="M938" s="79" t="str">
        <f aca="false">IF(L938="Tidak dibuka","–",IF(F938="","(tanpa age group)",F938)&amp;"  "&amp;IF(H938="","?",H938)&amp;"/"&amp;IF(G938="","?",G938)&amp;CHAR(10)&amp;IF(K938="","coach: –","coach: "&amp;K938))</f>
        <v>Tiny  3/5
coach: Shofwan</v>
      </c>
    </row>
    <row r="939" customFormat="false" ht="22.35" hidden="false" customHeight="false" outlineLevel="0" collapsed="false">
      <c r="A939" s="76" t="str">
        <f aca="false">B939&amp;"|"&amp;C939&amp;"|"&amp;D939&amp;"|"&amp;E939</f>
        <v>PML|2|Selasa|09:45</v>
      </c>
      <c r="B939" s="76" t="s">
        <v>65</v>
      </c>
      <c r="C939" s="76" t="n">
        <v>2</v>
      </c>
      <c r="D939" s="76" t="s">
        <v>91</v>
      </c>
      <c r="E939" s="76" t="s">
        <v>98</v>
      </c>
      <c r="F939" s="77" t="s">
        <v>42</v>
      </c>
      <c r="G939" s="77" t="n">
        <v>5</v>
      </c>
      <c r="H939" s="77" t="n">
        <v>1</v>
      </c>
      <c r="I939" s="76" t="n">
        <f aca="false">IF(AND(ISNUMBER(G939),ISNUMBER(H939)),MAX(G939-H939,0),"")</f>
        <v>4</v>
      </c>
      <c r="J939" s="78" t="n">
        <f aca="false">IF(AND(ISNUMBER(G939),ISNUMBER(H939)),IF(G939&gt;0,H939/G939,""),"")</f>
        <v>0.2</v>
      </c>
      <c r="K939" s="77" t="s">
        <v>335</v>
      </c>
      <c r="L939" s="76" t="str">
        <f aca="false">IF(OR(G939="",H939=""),"Data tidak lengkap",IF(AND(G939=0,H939=0),IF(AND(F939="",K939=""),"Tidak dibuka","Tutup"),IF(H939&gt;G939,"Lebih kapasitas",IF(H939=G939,"Penuh",IF(H939=0,IF(F939="","Slot kosong","Belum terisi"),"Sebagian")))))</f>
        <v>Sebagian</v>
      </c>
      <c r="M939" s="79" t="str">
        <f aca="false">IF(L939="Tidak dibuka","–",IF(F939="","(tanpa age group)",F939)&amp;"  "&amp;IF(H939="","?",H939)&amp;"/"&amp;IF(G939="","?",G939)&amp;CHAR(10)&amp;IF(K939="","coach: –","coach: "&amp;K939))</f>
        <v>Tiny  1/5
coach: Shofwan</v>
      </c>
    </row>
    <row r="940" customFormat="false" ht="22.35" hidden="false" customHeight="false" outlineLevel="0" collapsed="false">
      <c r="A940" s="76" t="str">
        <f aca="false">B940&amp;"|"&amp;C940&amp;"|"&amp;D940&amp;"|"&amp;E940</f>
        <v>PML|2|Selasa|10:30</v>
      </c>
      <c r="B940" s="76" t="s">
        <v>65</v>
      </c>
      <c r="C940" s="76" t="n">
        <v>2</v>
      </c>
      <c r="D940" s="76" t="s">
        <v>91</v>
      </c>
      <c r="E940" s="76" t="s">
        <v>99</v>
      </c>
      <c r="F940" s="77" t="s">
        <v>42</v>
      </c>
      <c r="G940" s="77" t="n">
        <v>5</v>
      </c>
      <c r="H940" s="77" t="n">
        <v>0</v>
      </c>
      <c r="I940" s="76" t="n">
        <f aca="false">IF(AND(ISNUMBER(G940),ISNUMBER(H940)),MAX(G940-H940,0),"")</f>
        <v>5</v>
      </c>
      <c r="J940" s="78" t="n">
        <f aca="false">IF(AND(ISNUMBER(G940),ISNUMBER(H940)),IF(G940&gt;0,H940/G940,""),"")</f>
        <v>0</v>
      </c>
      <c r="K940" s="77"/>
      <c r="L940" s="76" t="str">
        <f aca="false">IF(OR(G940="",H940=""),"Data tidak lengkap",IF(AND(G940=0,H940=0),IF(AND(F940="",K940=""),"Tidak dibuka","Tutup"),IF(H940&gt;G940,"Lebih kapasitas",IF(H940=G940,"Penuh",IF(H940=0,IF(F940="","Slot kosong","Belum terisi"),"Sebagian")))))</f>
        <v>Belum terisi</v>
      </c>
      <c r="M940" s="79" t="str">
        <f aca="false">IF(L940="Tidak dibuka","–",IF(F940="","(tanpa age group)",F940)&amp;"  "&amp;IF(H940="","?",H940)&amp;"/"&amp;IF(G940="","?",G940)&amp;CHAR(10)&amp;IF(K940="","coach: –","coach: "&amp;K940))</f>
        <v>Tiny  0/5
coach: –</v>
      </c>
    </row>
    <row r="941" customFormat="false" ht="22.35" hidden="false" customHeight="false" outlineLevel="0" collapsed="false">
      <c r="A941" s="76" t="str">
        <f aca="false">B941&amp;"|"&amp;C941&amp;"|"&amp;D941&amp;"|"&amp;E941</f>
        <v>PML|2|Selasa|11:15</v>
      </c>
      <c r="B941" s="76" t="s">
        <v>65</v>
      </c>
      <c r="C941" s="76" t="n">
        <v>2</v>
      </c>
      <c r="D941" s="76" t="s">
        <v>91</v>
      </c>
      <c r="E941" s="76" t="s">
        <v>100</v>
      </c>
      <c r="F941" s="77" t="s">
        <v>42</v>
      </c>
      <c r="G941" s="77" t="n">
        <v>5</v>
      </c>
      <c r="H941" s="77" t="n">
        <v>3</v>
      </c>
      <c r="I941" s="76" t="n">
        <f aca="false">IF(AND(ISNUMBER(G941),ISNUMBER(H941)),MAX(G941-H941,0),"")</f>
        <v>2</v>
      </c>
      <c r="J941" s="78" t="n">
        <f aca="false">IF(AND(ISNUMBER(G941),ISNUMBER(H941)),IF(G941&gt;0,H941/G941,""),"")</f>
        <v>0.6</v>
      </c>
      <c r="K941" s="77" t="s">
        <v>335</v>
      </c>
      <c r="L941" s="76" t="str">
        <f aca="false">IF(OR(G941="",H941=""),"Data tidak lengkap",IF(AND(G941=0,H941=0),IF(AND(F941="",K941=""),"Tidak dibuka","Tutup"),IF(H941&gt;G941,"Lebih kapasitas",IF(H941=G941,"Penuh",IF(H941=0,IF(F941="","Slot kosong","Belum terisi"),"Sebagian")))))</f>
        <v>Sebagian</v>
      </c>
      <c r="M941" s="79" t="str">
        <f aca="false">IF(L941="Tidak dibuka","–",IF(F941="","(tanpa age group)",F941)&amp;"  "&amp;IF(H941="","?",H941)&amp;"/"&amp;IF(G941="","?",G941)&amp;CHAR(10)&amp;IF(K941="","coach: –","coach: "&amp;K941))</f>
        <v>Tiny  3/5
coach: Shofwan</v>
      </c>
    </row>
    <row r="942" customFormat="false" ht="22.35" hidden="false" customHeight="false" outlineLevel="0" collapsed="false">
      <c r="A942" s="76" t="str">
        <f aca="false">B942&amp;"|"&amp;C942&amp;"|"&amp;D942&amp;"|"&amp;E942</f>
        <v>PML|2|Selasa|12:00</v>
      </c>
      <c r="B942" s="76" t="s">
        <v>65</v>
      </c>
      <c r="C942" s="76" t="n">
        <v>2</v>
      </c>
      <c r="D942" s="76" t="s">
        <v>91</v>
      </c>
      <c r="E942" s="76" t="s">
        <v>101</v>
      </c>
      <c r="F942" s="77" t="s">
        <v>42</v>
      </c>
      <c r="G942" s="77" t="n">
        <v>0</v>
      </c>
      <c r="H942" s="77" t="n">
        <v>0</v>
      </c>
      <c r="I942" s="76" t="n">
        <f aca="false">IF(AND(ISNUMBER(G942),ISNUMBER(H942)),MAX(G942-H942,0),"")</f>
        <v>0</v>
      </c>
      <c r="J942" s="78" t="str">
        <f aca="false">IF(AND(ISNUMBER(G942),ISNUMBER(H942)),IF(G942&gt;0,H942/G942,""),"")</f>
        <v/>
      </c>
      <c r="K942" s="77"/>
      <c r="L942" s="76" t="str">
        <f aca="false">IF(OR(G942="",H942=""),"Data tidak lengkap",IF(AND(G942=0,H942=0),IF(AND(F942="",K942=""),"Tidak dibuka","Tutup"),IF(H942&gt;G942,"Lebih kapasitas",IF(H942=G942,"Penuh",IF(H942=0,IF(F942="","Slot kosong","Belum terisi"),"Sebagian")))))</f>
        <v>Tutup</v>
      </c>
      <c r="M942" s="79" t="str">
        <f aca="false">IF(L942="Tidak dibuka","–",IF(F942="","(tanpa age group)",F942)&amp;"  "&amp;IF(H942="","?",H942)&amp;"/"&amp;IF(G942="","?",G942)&amp;CHAR(10)&amp;IF(K942="","coach: –","coach: "&amp;K942))</f>
        <v>Tiny  0/0
coach: –</v>
      </c>
    </row>
    <row r="943" customFormat="false" ht="22.35" hidden="false" customHeight="false" outlineLevel="0" collapsed="false">
      <c r="A943" s="76" t="str">
        <f aca="false">B943&amp;"|"&amp;C943&amp;"|"&amp;D943&amp;"|"&amp;E943</f>
        <v>PML|2|Selasa|13:30</v>
      </c>
      <c r="B943" s="76" t="s">
        <v>65</v>
      </c>
      <c r="C943" s="76" t="n">
        <v>2</v>
      </c>
      <c r="D943" s="76" t="s">
        <v>91</v>
      </c>
      <c r="E943" s="76" t="s">
        <v>102</v>
      </c>
      <c r="F943" s="77" t="s">
        <v>42</v>
      </c>
      <c r="G943" s="77" t="n">
        <v>5</v>
      </c>
      <c r="H943" s="77" t="n">
        <v>0</v>
      </c>
      <c r="I943" s="76" t="n">
        <f aca="false">IF(AND(ISNUMBER(G943),ISNUMBER(H943)),MAX(G943-H943,0),"")</f>
        <v>5</v>
      </c>
      <c r="J943" s="78" t="n">
        <f aca="false">IF(AND(ISNUMBER(G943),ISNUMBER(H943)),IF(G943&gt;0,H943/G943,""),"")</f>
        <v>0</v>
      </c>
      <c r="K943" s="77"/>
      <c r="L943" s="76" t="str">
        <f aca="false">IF(OR(G943="",H943=""),"Data tidak lengkap",IF(AND(G943=0,H943=0),IF(AND(F943="",K943=""),"Tidak dibuka","Tutup"),IF(H943&gt;G943,"Lebih kapasitas",IF(H943=G943,"Penuh",IF(H943=0,IF(F943="","Slot kosong","Belum terisi"),"Sebagian")))))</f>
        <v>Belum terisi</v>
      </c>
      <c r="M943" s="79" t="str">
        <f aca="false">IF(L943="Tidak dibuka","–",IF(F943="","(tanpa age group)",F943)&amp;"  "&amp;IF(H943="","?",H943)&amp;"/"&amp;IF(G943="","?",G943)&amp;CHAR(10)&amp;IF(K943="","coach: –","coach: "&amp;K943))</f>
        <v>Tiny  0/5
coach: –</v>
      </c>
    </row>
    <row r="944" customFormat="false" ht="22.35" hidden="false" customHeight="false" outlineLevel="0" collapsed="false">
      <c r="A944" s="76" t="str">
        <f aca="false">B944&amp;"|"&amp;C944&amp;"|"&amp;D944&amp;"|"&amp;E944</f>
        <v>PML|2|Selasa|14:15</v>
      </c>
      <c r="B944" s="76" t="s">
        <v>65</v>
      </c>
      <c r="C944" s="76" t="n">
        <v>2</v>
      </c>
      <c r="D944" s="76" t="s">
        <v>91</v>
      </c>
      <c r="E944" s="76" t="s">
        <v>103</v>
      </c>
      <c r="F944" s="77" t="s">
        <v>42</v>
      </c>
      <c r="G944" s="77" t="n">
        <v>5</v>
      </c>
      <c r="H944" s="77" t="n">
        <v>0</v>
      </c>
      <c r="I944" s="76" t="n">
        <f aca="false">IF(AND(ISNUMBER(G944),ISNUMBER(H944)),MAX(G944-H944,0),"")</f>
        <v>5</v>
      </c>
      <c r="J944" s="78" t="n">
        <f aca="false">IF(AND(ISNUMBER(G944),ISNUMBER(H944)),IF(G944&gt;0,H944/G944,""),"")</f>
        <v>0</v>
      </c>
      <c r="K944" s="77"/>
      <c r="L944" s="76" t="str">
        <f aca="false">IF(OR(G944="",H944=""),"Data tidak lengkap",IF(AND(G944=0,H944=0),IF(AND(F944="",K944=""),"Tidak dibuka","Tutup"),IF(H944&gt;G944,"Lebih kapasitas",IF(H944=G944,"Penuh",IF(H944=0,IF(F944="","Slot kosong","Belum terisi"),"Sebagian")))))</f>
        <v>Belum terisi</v>
      </c>
      <c r="M944" s="79" t="str">
        <f aca="false">IF(L944="Tidak dibuka","–",IF(F944="","(tanpa age group)",F944)&amp;"  "&amp;IF(H944="","?",H944)&amp;"/"&amp;IF(G944="","?",G944)&amp;CHAR(10)&amp;IF(K944="","coach: –","coach: "&amp;K944))</f>
        <v>Tiny  0/5
coach: –</v>
      </c>
    </row>
    <row r="945" customFormat="false" ht="15" hidden="false" customHeight="false" outlineLevel="0" collapsed="false">
      <c r="A945" s="76" t="str">
        <f aca="false">B945&amp;"|"&amp;C945&amp;"|"&amp;D945&amp;"|"&amp;E945</f>
        <v>PML|2|Selasa|15:00</v>
      </c>
      <c r="B945" s="76" t="s">
        <v>65</v>
      </c>
      <c r="C945" s="76" t="n">
        <v>2</v>
      </c>
      <c r="D945" s="76" t="s">
        <v>91</v>
      </c>
      <c r="E945" s="76" t="s">
        <v>104</v>
      </c>
      <c r="F945" s="77"/>
      <c r="G945" s="77" t="n">
        <v>0</v>
      </c>
      <c r="H945" s="77" t="n">
        <v>0</v>
      </c>
      <c r="I945" s="76" t="n">
        <f aca="false">IF(AND(ISNUMBER(G945),ISNUMBER(H945)),MAX(G945-H945,0),"")</f>
        <v>0</v>
      </c>
      <c r="J945" s="78" t="str">
        <f aca="false">IF(AND(ISNUMBER(G945),ISNUMBER(H945)),IF(G945&gt;0,H945/G945,""),"")</f>
        <v/>
      </c>
      <c r="K945" s="77"/>
      <c r="L945" s="76" t="str">
        <f aca="false">IF(OR(G945="",H945=""),"Data tidak lengkap",IF(AND(G945=0,H945=0),IF(AND(F945="",K945=""),"Tidak dibuka","Tutup"),IF(H945&gt;G945,"Lebih kapasitas",IF(H945=G945,"Penuh",IF(H945=0,IF(F945="","Slot kosong","Belum terisi"),"Sebagian")))))</f>
        <v>Tidak dibuka</v>
      </c>
      <c r="M945" s="76" t="str">
        <f aca="false">IF(L945="Tidak dibuka","–",IF(F945="","(tanpa age group)",F945)&amp;"  "&amp;IF(H945="","?",H945)&amp;"/"&amp;IF(G945="","?",G945)&amp;CHAR(10)&amp;IF(K945="","coach: –","coach: "&amp;K945))</f>
        <v>–</v>
      </c>
    </row>
    <row r="946" customFormat="false" ht="15" hidden="false" customHeight="false" outlineLevel="0" collapsed="false">
      <c r="A946" s="76" t="str">
        <f aca="false">B946&amp;"|"&amp;C946&amp;"|"&amp;D946&amp;"|"&amp;E946</f>
        <v>PML|2|Selasa|15:45</v>
      </c>
      <c r="B946" s="76" t="s">
        <v>65</v>
      </c>
      <c r="C946" s="76" t="n">
        <v>2</v>
      </c>
      <c r="D946" s="76" t="s">
        <v>91</v>
      </c>
      <c r="E946" s="76" t="s">
        <v>105</v>
      </c>
      <c r="F946" s="77"/>
      <c r="G946" s="77" t="n">
        <v>0</v>
      </c>
      <c r="H946" s="77" t="n">
        <v>0</v>
      </c>
      <c r="I946" s="76" t="n">
        <f aca="false">IF(AND(ISNUMBER(G946),ISNUMBER(H946)),MAX(G946-H946,0),"")</f>
        <v>0</v>
      </c>
      <c r="J946" s="78" t="str">
        <f aca="false">IF(AND(ISNUMBER(G946),ISNUMBER(H946)),IF(G946&gt;0,H946/G946,""),"")</f>
        <v/>
      </c>
      <c r="K946" s="77"/>
      <c r="L946" s="76" t="str">
        <f aca="false">IF(OR(G946="",H946=""),"Data tidak lengkap",IF(AND(G946=0,H946=0),IF(AND(F946="",K946=""),"Tidak dibuka","Tutup"),IF(H946&gt;G946,"Lebih kapasitas",IF(H946=G946,"Penuh",IF(H946=0,IF(F946="","Slot kosong","Belum terisi"),"Sebagian")))))</f>
        <v>Tidak dibuka</v>
      </c>
      <c r="M946" s="76" t="str">
        <f aca="false">IF(L946="Tidak dibuka","–",IF(F946="","(tanpa age group)",F946)&amp;"  "&amp;IF(H946="","?",H946)&amp;"/"&amp;IF(G946="","?",G946)&amp;CHAR(10)&amp;IF(K946="","coach: –","coach: "&amp;K946))</f>
        <v>–</v>
      </c>
    </row>
    <row r="947" customFormat="false" ht="22.35" hidden="false" customHeight="false" outlineLevel="0" collapsed="false">
      <c r="A947" s="76" t="str">
        <f aca="false">B947&amp;"|"&amp;C947&amp;"|"&amp;D947&amp;"|"&amp;E947</f>
        <v>PML|2|Selasa|16:30</v>
      </c>
      <c r="B947" s="76" t="s">
        <v>65</v>
      </c>
      <c r="C947" s="76" t="n">
        <v>2</v>
      </c>
      <c r="D947" s="76" t="s">
        <v>91</v>
      </c>
      <c r="E947" s="76" t="s">
        <v>106</v>
      </c>
      <c r="F947" s="77" t="s">
        <v>42</v>
      </c>
      <c r="G947" s="77" t="n">
        <v>5</v>
      </c>
      <c r="H947" s="77" t="n">
        <v>2</v>
      </c>
      <c r="I947" s="76" t="n">
        <f aca="false">IF(AND(ISNUMBER(G947),ISNUMBER(H947)),MAX(G947-H947,0),"")</f>
        <v>3</v>
      </c>
      <c r="J947" s="78" t="n">
        <f aca="false">IF(AND(ISNUMBER(G947),ISNUMBER(H947)),IF(G947&gt;0,H947/G947,""),"")</f>
        <v>0.4</v>
      </c>
      <c r="K947" s="77" t="s">
        <v>331</v>
      </c>
      <c r="L947" s="76" t="str">
        <f aca="false">IF(OR(G947="",H947=""),"Data tidak lengkap",IF(AND(G947=0,H947=0),IF(AND(F947="",K947=""),"Tidak dibuka","Tutup"),IF(H947&gt;G947,"Lebih kapasitas",IF(H947=G947,"Penuh",IF(H947=0,IF(F947="","Slot kosong","Belum terisi"),"Sebagian")))))</f>
        <v>Sebagian</v>
      </c>
      <c r="M947" s="79" t="str">
        <f aca="false">IF(L947="Tidak dibuka","–",IF(F947="","(tanpa age group)",F947)&amp;"  "&amp;IF(H947="","?",H947)&amp;"/"&amp;IF(G947="","?",G947)&amp;CHAR(10)&amp;IF(K947="","coach: –","coach: "&amp;K947))</f>
        <v>Tiny  2/5
coach: Damai</v>
      </c>
    </row>
    <row r="948" customFormat="false" ht="22.35" hidden="false" customHeight="false" outlineLevel="0" collapsed="false">
      <c r="A948" s="76" t="str">
        <f aca="false">B948&amp;"|"&amp;C948&amp;"|"&amp;D948&amp;"|"&amp;E948</f>
        <v>PML|2|Selasa|17:15</v>
      </c>
      <c r="B948" s="76" t="s">
        <v>65</v>
      </c>
      <c r="C948" s="76" t="n">
        <v>2</v>
      </c>
      <c r="D948" s="76" t="s">
        <v>91</v>
      </c>
      <c r="E948" s="76" t="s">
        <v>107</v>
      </c>
      <c r="F948" s="77"/>
      <c r="G948" s="77" t="n">
        <v>5</v>
      </c>
      <c r="H948" s="77" t="n">
        <v>0</v>
      </c>
      <c r="I948" s="76" t="n">
        <f aca="false">IF(AND(ISNUMBER(G948),ISNUMBER(H948)),MAX(G948-H948,0),"")</f>
        <v>5</v>
      </c>
      <c r="J948" s="78" t="n">
        <f aca="false">IF(AND(ISNUMBER(G948),ISNUMBER(H948)),IF(G948&gt;0,H948/G948,""),"")</f>
        <v>0</v>
      </c>
      <c r="K948" s="77"/>
      <c r="L948" s="76" t="str">
        <f aca="false">IF(OR(G948="",H948=""),"Data tidak lengkap",IF(AND(G948=0,H948=0),IF(AND(F948="",K948=""),"Tidak dibuka","Tutup"),IF(H948&gt;G948,"Lebih kapasitas",IF(H948=G948,"Penuh",IF(H948=0,IF(F948="","Slot kosong","Belum terisi"),"Sebagian")))))</f>
        <v>Slot kosong</v>
      </c>
      <c r="M948" s="79" t="str">
        <f aca="false">IF(L948="Tidak dibuka","–",IF(F948="","(tanpa age group)",F948)&amp;"  "&amp;IF(H948="","?",H948)&amp;"/"&amp;IF(G948="","?",G948)&amp;CHAR(10)&amp;IF(K948="","coach: –","coach: "&amp;K948))</f>
        <v>(tanpa age group)  0/5
coach: –</v>
      </c>
    </row>
    <row r="949" customFormat="false" ht="22.35" hidden="false" customHeight="false" outlineLevel="0" collapsed="false">
      <c r="A949" s="76" t="str">
        <f aca="false">B949&amp;"|"&amp;C949&amp;"|"&amp;D949&amp;"|"&amp;E949</f>
        <v>PML|2|Rabu|08:15</v>
      </c>
      <c r="B949" s="76" t="s">
        <v>65</v>
      </c>
      <c r="C949" s="76" t="n">
        <v>2</v>
      </c>
      <c r="D949" s="76" t="s">
        <v>92</v>
      </c>
      <c r="E949" s="76" t="s">
        <v>96</v>
      </c>
      <c r="F949" s="77" t="s">
        <v>42</v>
      </c>
      <c r="G949" s="77" t="n">
        <v>0</v>
      </c>
      <c r="H949" s="77" t="n">
        <v>0</v>
      </c>
      <c r="I949" s="76" t="n">
        <f aca="false">IF(AND(ISNUMBER(G949),ISNUMBER(H949)),MAX(G949-H949,0),"")</f>
        <v>0</v>
      </c>
      <c r="J949" s="78" t="str">
        <f aca="false">IF(AND(ISNUMBER(G949),ISNUMBER(H949)),IF(G949&gt;0,H949/G949,""),"")</f>
        <v/>
      </c>
      <c r="K949" s="77"/>
      <c r="L949" s="76" t="str">
        <f aca="false">IF(OR(G949="",H949=""),"Data tidak lengkap",IF(AND(G949=0,H949=0),IF(AND(F949="",K949=""),"Tidak dibuka","Tutup"),IF(H949&gt;G949,"Lebih kapasitas",IF(H949=G949,"Penuh",IF(H949=0,IF(F949="","Slot kosong","Belum terisi"),"Sebagian")))))</f>
        <v>Tutup</v>
      </c>
      <c r="M949" s="79" t="str">
        <f aca="false">IF(L949="Tidak dibuka","–",IF(F949="","(tanpa age group)",F949)&amp;"  "&amp;IF(H949="","?",H949)&amp;"/"&amp;IF(G949="","?",G949)&amp;CHAR(10)&amp;IF(K949="","coach: –","coach: "&amp;K949))</f>
        <v>Tiny  0/0
coach: –</v>
      </c>
    </row>
    <row r="950" customFormat="false" ht="22.35" hidden="false" customHeight="false" outlineLevel="0" collapsed="false">
      <c r="A950" s="76" t="str">
        <f aca="false">B950&amp;"|"&amp;C950&amp;"|"&amp;D950&amp;"|"&amp;E950</f>
        <v>PML|2|Rabu|09:00</v>
      </c>
      <c r="B950" s="76" t="s">
        <v>65</v>
      </c>
      <c r="C950" s="76" t="n">
        <v>2</v>
      </c>
      <c r="D950" s="76" t="s">
        <v>92</v>
      </c>
      <c r="E950" s="76" t="s">
        <v>97</v>
      </c>
      <c r="F950" s="77" t="s">
        <v>42</v>
      </c>
      <c r="G950" s="77" t="n">
        <v>5</v>
      </c>
      <c r="H950" s="77" t="n">
        <v>0</v>
      </c>
      <c r="I950" s="76" t="n">
        <f aca="false">IF(AND(ISNUMBER(G950),ISNUMBER(H950)),MAX(G950-H950,0),"")</f>
        <v>5</v>
      </c>
      <c r="J950" s="78" t="n">
        <f aca="false">IF(AND(ISNUMBER(G950),ISNUMBER(H950)),IF(G950&gt;0,H950/G950,""),"")</f>
        <v>0</v>
      </c>
      <c r="K950" s="77"/>
      <c r="L950" s="76" t="str">
        <f aca="false">IF(OR(G950="",H950=""),"Data tidak lengkap",IF(AND(G950=0,H950=0),IF(AND(F950="",K950=""),"Tidak dibuka","Tutup"),IF(H950&gt;G950,"Lebih kapasitas",IF(H950=G950,"Penuh",IF(H950=0,IF(F950="","Slot kosong","Belum terisi"),"Sebagian")))))</f>
        <v>Belum terisi</v>
      </c>
      <c r="M950" s="79" t="str">
        <f aca="false">IF(L950="Tidak dibuka","–",IF(F950="","(tanpa age group)",F950)&amp;"  "&amp;IF(H950="","?",H950)&amp;"/"&amp;IF(G950="","?",G950)&amp;CHAR(10)&amp;IF(K950="","coach: –","coach: "&amp;K950))</f>
        <v>Tiny  0/5
coach: –</v>
      </c>
    </row>
    <row r="951" customFormat="false" ht="22.35" hidden="false" customHeight="false" outlineLevel="0" collapsed="false">
      <c r="A951" s="76" t="str">
        <f aca="false">B951&amp;"|"&amp;C951&amp;"|"&amp;D951&amp;"|"&amp;E951</f>
        <v>PML|2|Rabu|09:45</v>
      </c>
      <c r="B951" s="76" t="s">
        <v>65</v>
      </c>
      <c r="C951" s="76" t="n">
        <v>2</v>
      </c>
      <c r="D951" s="76" t="s">
        <v>92</v>
      </c>
      <c r="E951" s="76" t="s">
        <v>98</v>
      </c>
      <c r="F951" s="77" t="s">
        <v>42</v>
      </c>
      <c r="G951" s="77" t="n">
        <v>5</v>
      </c>
      <c r="H951" s="77" t="n">
        <v>3</v>
      </c>
      <c r="I951" s="76" t="n">
        <f aca="false">IF(AND(ISNUMBER(G951),ISNUMBER(H951)),MAX(G951-H951,0),"")</f>
        <v>2</v>
      </c>
      <c r="J951" s="78" t="n">
        <f aca="false">IF(AND(ISNUMBER(G951),ISNUMBER(H951)),IF(G951&gt;0,H951/G951,""),"")</f>
        <v>0.6</v>
      </c>
      <c r="K951" s="77" t="s">
        <v>330</v>
      </c>
      <c r="L951" s="76" t="str">
        <f aca="false">IF(OR(G951="",H951=""),"Data tidak lengkap",IF(AND(G951=0,H951=0),IF(AND(F951="",K951=""),"Tidak dibuka","Tutup"),IF(H951&gt;G951,"Lebih kapasitas",IF(H951=G951,"Penuh",IF(H951=0,IF(F951="","Slot kosong","Belum terisi"),"Sebagian")))))</f>
        <v>Sebagian</v>
      </c>
      <c r="M951" s="79" t="str">
        <f aca="false">IF(L951="Tidak dibuka","–",IF(F951="","(tanpa age group)",F951)&amp;"  "&amp;IF(H951="","?",H951)&amp;"/"&amp;IF(G951="","?",G951)&amp;CHAR(10)&amp;IF(K951="","coach: –","coach: "&amp;K951))</f>
        <v>Tiny  3/5
coach: Indah</v>
      </c>
    </row>
    <row r="952" customFormat="false" ht="22.35" hidden="false" customHeight="false" outlineLevel="0" collapsed="false">
      <c r="A952" s="76" t="str">
        <f aca="false">B952&amp;"|"&amp;C952&amp;"|"&amp;D952&amp;"|"&amp;E952</f>
        <v>PML|2|Rabu|10:30</v>
      </c>
      <c r="B952" s="76" t="s">
        <v>65</v>
      </c>
      <c r="C952" s="76" t="n">
        <v>2</v>
      </c>
      <c r="D952" s="76" t="s">
        <v>92</v>
      </c>
      <c r="E952" s="76" t="s">
        <v>99</v>
      </c>
      <c r="F952" s="77" t="s">
        <v>42</v>
      </c>
      <c r="G952" s="77" t="n">
        <v>5</v>
      </c>
      <c r="H952" s="77" t="n">
        <v>2</v>
      </c>
      <c r="I952" s="76" t="n">
        <f aca="false">IF(AND(ISNUMBER(G952),ISNUMBER(H952)),MAX(G952-H952,0),"")</f>
        <v>3</v>
      </c>
      <c r="J952" s="78" t="n">
        <f aca="false">IF(AND(ISNUMBER(G952),ISNUMBER(H952)),IF(G952&gt;0,H952/G952,""),"")</f>
        <v>0.4</v>
      </c>
      <c r="K952" s="77" t="s">
        <v>330</v>
      </c>
      <c r="L952" s="76" t="str">
        <f aca="false">IF(OR(G952="",H952=""),"Data tidak lengkap",IF(AND(G952=0,H952=0),IF(AND(F952="",K952=""),"Tidak dibuka","Tutup"),IF(H952&gt;G952,"Lebih kapasitas",IF(H952=G952,"Penuh",IF(H952=0,IF(F952="","Slot kosong","Belum terisi"),"Sebagian")))))</f>
        <v>Sebagian</v>
      </c>
      <c r="M952" s="79" t="str">
        <f aca="false">IF(L952="Tidak dibuka","–",IF(F952="","(tanpa age group)",F952)&amp;"  "&amp;IF(H952="","?",H952)&amp;"/"&amp;IF(G952="","?",G952)&amp;CHAR(10)&amp;IF(K952="","coach: –","coach: "&amp;K952))</f>
        <v>Tiny  2/5
coach: Indah</v>
      </c>
    </row>
    <row r="953" customFormat="false" ht="22.35" hidden="false" customHeight="false" outlineLevel="0" collapsed="false">
      <c r="A953" s="76" t="str">
        <f aca="false">B953&amp;"|"&amp;C953&amp;"|"&amp;D953&amp;"|"&amp;E953</f>
        <v>PML|2|Rabu|11:15</v>
      </c>
      <c r="B953" s="76" t="s">
        <v>65</v>
      </c>
      <c r="C953" s="76" t="n">
        <v>2</v>
      </c>
      <c r="D953" s="76" t="s">
        <v>92</v>
      </c>
      <c r="E953" s="76" t="s">
        <v>100</v>
      </c>
      <c r="F953" s="77" t="s">
        <v>42</v>
      </c>
      <c r="G953" s="77" t="n">
        <v>5</v>
      </c>
      <c r="H953" s="77" t="n">
        <v>0</v>
      </c>
      <c r="I953" s="76" t="n">
        <f aca="false">IF(AND(ISNUMBER(G953),ISNUMBER(H953)),MAX(G953-H953,0),"")</f>
        <v>5</v>
      </c>
      <c r="J953" s="78" t="n">
        <f aca="false">IF(AND(ISNUMBER(G953),ISNUMBER(H953)),IF(G953&gt;0,H953/G953,""),"")</f>
        <v>0</v>
      </c>
      <c r="K953" s="77"/>
      <c r="L953" s="76" t="str">
        <f aca="false">IF(OR(G953="",H953=""),"Data tidak lengkap",IF(AND(G953=0,H953=0),IF(AND(F953="",K953=""),"Tidak dibuka","Tutup"),IF(H953&gt;G953,"Lebih kapasitas",IF(H953=G953,"Penuh",IF(H953=0,IF(F953="","Slot kosong","Belum terisi"),"Sebagian")))))</f>
        <v>Belum terisi</v>
      </c>
      <c r="M953" s="79" t="str">
        <f aca="false">IF(L953="Tidak dibuka","–",IF(F953="","(tanpa age group)",F953)&amp;"  "&amp;IF(H953="","?",H953)&amp;"/"&amp;IF(G953="","?",G953)&amp;CHAR(10)&amp;IF(K953="","coach: –","coach: "&amp;K953))</f>
        <v>Tiny  0/5
coach: –</v>
      </c>
    </row>
    <row r="954" customFormat="false" ht="22.35" hidden="false" customHeight="false" outlineLevel="0" collapsed="false">
      <c r="A954" s="76" t="str">
        <f aca="false">B954&amp;"|"&amp;C954&amp;"|"&amp;D954&amp;"|"&amp;E954</f>
        <v>PML|2|Rabu|12:00</v>
      </c>
      <c r="B954" s="76" t="s">
        <v>65</v>
      </c>
      <c r="C954" s="76" t="n">
        <v>2</v>
      </c>
      <c r="D954" s="76" t="s">
        <v>92</v>
      </c>
      <c r="E954" s="76" t="s">
        <v>101</v>
      </c>
      <c r="F954" s="77" t="s">
        <v>42</v>
      </c>
      <c r="G954" s="77" t="n">
        <v>0</v>
      </c>
      <c r="H954" s="77" t="n">
        <v>0</v>
      </c>
      <c r="I954" s="76" t="n">
        <f aca="false">IF(AND(ISNUMBER(G954),ISNUMBER(H954)),MAX(G954-H954,0),"")</f>
        <v>0</v>
      </c>
      <c r="J954" s="78" t="str">
        <f aca="false">IF(AND(ISNUMBER(G954),ISNUMBER(H954)),IF(G954&gt;0,H954/G954,""),"")</f>
        <v/>
      </c>
      <c r="K954" s="77"/>
      <c r="L954" s="76" t="str">
        <f aca="false">IF(OR(G954="",H954=""),"Data tidak lengkap",IF(AND(G954=0,H954=0),IF(AND(F954="",K954=""),"Tidak dibuka","Tutup"),IF(H954&gt;G954,"Lebih kapasitas",IF(H954=G954,"Penuh",IF(H954=0,IF(F954="","Slot kosong","Belum terisi"),"Sebagian")))))</f>
        <v>Tutup</v>
      </c>
      <c r="M954" s="79" t="str">
        <f aca="false">IF(L954="Tidak dibuka","–",IF(F954="","(tanpa age group)",F954)&amp;"  "&amp;IF(H954="","?",H954)&amp;"/"&amp;IF(G954="","?",G954)&amp;CHAR(10)&amp;IF(K954="","coach: –","coach: "&amp;K954))</f>
        <v>Tiny  0/0
coach: –</v>
      </c>
    </row>
    <row r="955" customFormat="false" ht="22.35" hidden="false" customHeight="false" outlineLevel="0" collapsed="false">
      <c r="A955" s="76" t="str">
        <f aca="false">B955&amp;"|"&amp;C955&amp;"|"&amp;D955&amp;"|"&amp;E955</f>
        <v>PML|2|Rabu|13:30</v>
      </c>
      <c r="B955" s="76" t="s">
        <v>65</v>
      </c>
      <c r="C955" s="76" t="n">
        <v>2</v>
      </c>
      <c r="D955" s="76" t="s">
        <v>92</v>
      </c>
      <c r="E955" s="76" t="s">
        <v>102</v>
      </c>
      <c r="F955" s="77" t="s">
        <v>42</v>
      </c>
      <c r="G955" s="77" t="n">
        <v>5</v>
      </c>
      <c r="H955" s="77" t="n">
        <v>0</v>
      </c>
      <c r="I955" s="76" t="n">
        <f aca="false">IF(AND(ISNUMBER(G955),ISNUMBER(H955)),MAX(G955-H955,0),"")</f>
        <v>5</v>
      </c>
      <c r="J955" s="78" t="n">
        <f aca="false">IF(AND(ISNUMBER(G955),ISNUMBER(H955)),IF(G955&gt;0,H955/G955,""),"")</f>
        <v>0</v>
      </c>
      <c r="K955" s="77"/>
      <c r="L955" s="76" t="str">
        <f aca="false">IF(OR(G955="",H955=""),"Data tidak lengkap",IF(AND(G955=0,H955=0),IF(AND(F955="",K955=""),"Tidak dibuka","Tutup"),IF(H955&gt;G955,"Lebih kapasitas",IF(H955=G955,"Penuh",IF(H955=0,IF(F955="","Slot kosong","Belum terisi"),"Sebagian")))))</f>
        <v>Belum terisi</v>
      </c>
      <c r="M955" s="79" t="str">
        <f aca="false">IF(L955="Tidak dibuka","–",IF(F955="","(tanpa age group)",F955)&amp;"  "&amp;IF(H955="","?",H955)&amp;"/"&amp;IF(G955="","?",G955)&amp;CHAR(10)&amp;IF(K955="","coach: –","coach: "&amp;K955))</f>
        <v>Tiny  0/5
coach: –</v>
      </c>
    </row>
    <row r="956" customFormat="false" ht="22.35" hidden="false" customHeight="false" outlineLevel="0" collapsed="false">
      <c r="A956" s="76" t="str">
        <f aca="false">B956&amp;"|"&amp;C956&amp;"|"&amp;D956&amp;"|"&amp;E956</f>
        <v>PML|2|Rabu|14:15</v>
      </c>
      <c r="B956" s="76" t="s">
        <v>65</v>
      </c>
      <c r="C956" s="76" t="n">
        <v>2</v>
      </c>
      <c r="D956" s="76" t="s">
        <v>92</v>
      </c>
      <c r="E956" s="76" t="s">
        <v>103</v>
      </c>
      <c r="F956" s="77" t="s">
        <v>42</v>
      </c>
      <c r="G956" s="77" t="n">
        <v>5</v>
      </c>
      <c r="H956" s="77" t="n">
        <v>0</v>
      </c>
      <c r="I956" s="76" t="n">
        <f aca="false">IF(AND(ISNUMBER(G956),ISNUMBER(H956)),MAX(G956-H956,0),"")</f>
        <v>5</v>
      </c>
      <c r="J956" s="78" t="n">
        <f aca="false">IF(AND(ISNUMBER(G956),ISNUMBER(H956)),IF(G956&gt;0,H956/G956,""),"")</f>
        <v>0</v>
      </c>
      <c r="K956" s="77"/>
      <c r="L956" s="76" t="str">
        <f aca="false">IF(OR(G956="",H956=""),"Data tidak lengkap",IF(AND(G956=0,H956=0),IF(AND(F956="",K956=""),"Tidak dibuka","Tutup"),IF(H956&gt;G956,"Lebih kapasitas",IF(H956=G956,"Penuh",IF(H956=0,IF(F956="","Slot kosong","Belum terisi"),"Sebagian")))))</f>
        <v>Belum terisi</v>
      </c>
      <c r="M956" s="79" t="str">
        <f aca="false">IF(L956="Tidak dibuka","–",IF(F956="","(tanpa age group)",F956)&amp;"  "&amp;IF(H956="","?",H956)&amp;"/"&amp;IF(G956="","?",G956)&amp;CHAR(10)&amp;IF(K956="","coach: –","coach: "&amp;K956))</f>
        <v>Tiny  0/5
coach: –</v>
      </c>
    </row>
    <row r="957" customFormat="false" ht="15" hidden="false" customHeight="false" outlineLevel="0" collapsed="false">
      <c r="A957" s="76" t="str">
        <f aca="false">B957&amp;"|"&amp;C957&amp;"|"&amp;D957&amp;"|"&amp;E957</f>
        <v>PML|2|Rabu|15:00</v>
      </c>
      <c r="B957" s="76" t="s">
        <v>65</v>
      </c>
      <c r="C957" s="76" t="n">
        <v>2</v>
      </c>
      <c r="D957" s="76" t="s">
        <v>92</v>
      </c>
      <c r="E957" s="76" t="s">
        <v>104</v>
      </c>
      <c r="F957" s="77"/>
      <c r="G957" s="77" t="n">
        <v>0</v>
      </c>
      <c r="H957" s="77" t="n">
        <v>0</v>
      </c>
      <c r="I957" s="76" t="n">
        <f aca="false">IF(AND(ISNUMBER(G957),ISNUMBER(H957)),MAX(G957-H957,0),"")</f>
        <v>0</v>
      </c>
      <c r="J957" s="78" t="str">
        <f aca="false">IF(AND(ISNUMBER(G957),ISNUMBER(H957)),IF(G957&gt;0,H957/G957,""),"")</f>
        <v/>
      </c>
      <c r="K957" s="77"/>
      <c r="L957" s="76" t="str">
        <f aca="false">IF(OR(G957="",H957=""),"Data tidak lengkap",IF(AND(G957=0,H957=0),IF(AND(F957="",K957=""),"Tidak dibuka","Tutup"),IF(H957&gt;G957,"Lebih kapasitas",IF(H957=G957,"Penuh",IF(H957=0,IF(F957="","Slot kosong","Belum terisi"),"Sebagian")))))</f>
        <v>Tidak dibuka</v>
      </c>
      <c r="M957" s="76" t="str">
        <f aca="false">IF(L957="Tidak dibuka","–",IF(F957="","(tanpa age group)",F957)&amp;"  "&amp;IF(H957="","?",H957)&amp;"/"&amp;IF(G957="","?",G957)&amp;CHAR(10)&amp;IF(K957="","coach: –","coach: "&amp;K957))</f>
        <v>–</v>
      </c>
    </row>
    <row r="958" customFormat="false" ht="22.35" hidden="false" customHeight="false" outlineLevel="0" collapsed="false">
      <c r="A958" s="76" t="str">
        <f aca="false">B958&amp;"|"&amp;C958&amp;"|"&amp;D958&amp;"|"&amp;E958</f>
        <v>PML|2|Rabu|15:45</v>
      </c>
      <c r="B958" s="76" t="s">
        <v>65</v>
      </c>
      <c r="C958" s="76" t="n">
        <v>2</v>
      </c>
      <c r="D958" s="76" t="s">
        <v>92</v>
      </c>
      <c r="E958" s="76" t="s">
        <v>105</v>
      </c>
      <c r="F958" s="77"/>
      <c r="G958" s="77" t="n">
        <v>5</v>
      </c>
      <c r="H958" s="77" t="n">
        <v>0</v>
      </c>
      <c r="I958" s="76" t="n">
        <f aca="false">IF(AND(ISNUMBER(G958),ISNUMBER(H958)),MAX(G958-H958,0),"")</f>
        <v>5</v>
      </c>
      <c r="J958" s="78" t="n">
        <f aca="false">IF(AND(ISNUMBER(G958),ISNUMBER(H958)),IF(G958&gt;0,H958/G958,""),"")</f>
        <v>0</v>
      </c>
      <c r="K958" s="77"/>
      <c r="L958" s="76" t="str">
        <f aca="false">IF(OR(G958="",H958=""),"Data tidak lengkap",IF(AND(G958=0,H958=0),IF(AND(F958="",K958=""),"Tidak dibuka","Tutup"),IF(H958&gt;G958,"Lebih kapasitas",IF(H958=G958,"Penuh",IF(H958=0,IF(F958="","Slot kosong","Belum terisi"),"Sebagian")))))</f>
        <v>Slot kosong</v>
      </c>
      <c r="M958" s="79" t="str">
        <f aca="false">IF(L958="Tidak dibuka","–",IF(F958="","(tanpa age group)",F958)&amp;"  "&amp;IF(H958="","?",H958)&amp;"/"&amp;IF(G958="","?",G958)&amp;CHAR(10)&amp;IF(K958="","coach: –","coach: "&amp;K958))</f>
        <v>(tanpa age group)  0/5
coach: –</v>
      </c>
    </row>
    <row r="959" customFormat="false" ht="22.35" hidden="false" customHeight="false" outlineLevel="0" collapsed="false">
      <c r="A959" s="76" t="str">
        <f aca="false">B959&amp;"|"&amp;C959&amp;"|"&amp;D959&amp;"|"&amp;E959</f>
        <v>PML|2|Rabu|16:30</v>
      </c>
      <c r="B959" s="76" t="s">
        <v>65</v>
      </c>
      <c r="C959" s="76" t="n">
        <v>2</v>
      </c>
      <c r="D959" s="76" t="s">
        <v>92</v>
      </c>
      <c r="E959" s="76" t="s">
        <v>106</v>
      </c>
      <c r="F959" s="77" t="s">
        <v>42</v>
      </c>
      <c r="G959" s="77" t="n">
        <v>5</v>
      </c>
      <c r="H959" s="77" t="n">
        <v>1</v>
      </c>
      <c r="I959" s="76" t="n">
        <f aca="false">IF(AND(ISNUMBER(G959),ISNUMBER(H959)),MAX(G959-H959,0),"")</f>
        <v>4</v>
      </c>
      <c r="J959" s="78" t="n">
        <f aca="false">IF(AND(ISNUMBER(G959),ISNUMBER(H959)),IF(G959&gt;0,H959/G959,""),"")</f>
        <v>0.2</v>
      </c>
      <c r="K959" s="77" t="s">
        <v>336</v>
      </c>
      <c r="L959" s="76" t="str">
        <f aca="false">IF(OR(G959="",H959=""),"Data tidak lengkap",IF(AND(G959=0,H959=0),IF(AND(F959="",K959=""),"Tidak dibuka","Tutup"),IF(H959&gt;G959,"Lebih kapasitas",IF(H959=G959,"Penuh",IF(H959=0,IF(F959="","Slot kosong","Belum terisi"),"Sebagian")))))</f>
        <v>Sebagian</v>
      </c>
      <c r="M959" s="79" t="str">
        <f aca="false">IF(L959="Tidak dibuka","–",IF(F959="","(tanpa age group)",F959)&amp;"  "&amp;IF(H959="","?",H959)&amp;"/"&amp;IF(G959="","?",G959)&amp;CHAR(10)&amp;IF(K959="","coach: –","coach: "&amp;K959))</f>
        <v>Tiny  1/5
coach: Laksamana</v>
      </c>
    </row>
    <row r="960" customFormat="false" ht="22.35" hidden="false" customHeight="false" outlineLevel="0" collapsed="false">
      <c r="A960" s="76" t="str">
        <f aca="false">B960&amp;"|"&amp;C960&amp;"|"&amp;D960&amp;"|"&amp;E960</f>
        <v>PML|2|Rabu|17:15</v>
      </c>
      <c r="B960" s="76" t="s">
        <v>65</v>
      </c>
      <c r="C960" s="76" t="n">
        <v>2</v>
      </c>
      <c r="D960" s="76" t="s">
        <v>92</v>
      </c>
      <c r="E960" s="76" t="s">
        <v>107</v>
      </c>
      <c r="F960" s="77"/>
      <c r="G960" s="77" t="n">
        <v>5</v>
      </c>
      <c r="H960" s="77" t="n">
        <v>0</v>
      </c>
      <c r="I960" s="76" t="n">
        <f aca="false">IF(AND(ISNUMBER(G960),ISNUMBER(H960)),MAX(G960-H960,0),"")</f>
        <v>5</v>
      </c>
      <c r="J960" s="78" t="n">
        <f aca="false">IF(AND(ISNUMBER(G960),ISNUMBER(H960)),IF(G960&gt;0,H960/G960,""),"")</f>
        <v>0</v>
      </c>
      <c r="K960" s="77"/>
      <c r="L960" s="76" t="str">
        <f aca="false">IF(OR(G960="",H960=""),"Data tidak lengkap",IF(AND(G960=0,H960=0),IF(AND(F960="",K960=""),"Tidak dibuka","Tutup"),IF(H960&gt;G960,"Lebih kapasitas",IF(H960=G960,"Penuh",IF(H960=0,IF(F960="","Slot kosong","Belum terisi"),"Sebagian")))))</f>
        <v>Slot kosong</v>
      </c>
      <c r="M960" s="79" t="str">
        <f aca="false">IF(L960="Tidak dibuka","–",IF(F960="","(tanpa age group)",F960)&amp;"  "&amp;IF(H960="","?",H960)&amp;"/"&amp;IF(G960="","?",G960)&amp;CHAR(10)&amp;IF(K960="","coach: –","coach: "&amp;K960))</f>
        <v>(tanpa age group)  0/5
coach: –</v>
      </c>
    </row>
    <row r="961" customFormat="false" ht="22.35" hidden="false" customHeight="false" outlineLevel="0" collapsed="false">
      <c r="A961" s="76" t="str">
        <f aca="false">B961&amp;"|"&amp;C961&amp;"|"&amp;D961&amp;"|"&amp;E961</f>
        <v>PML|2|Kamis|08:15</v>
      </c>
      <c r="B961" s="76" t="s">
        <v>65</v>
      </c>
      <c r="C961" s="76" t="n">
        <v>2</v>
      </c>
      <c r="D961" s="76" t="s">
        <v>93</v>
      </c>
      <c r="E961" s="76" t="s">
        <v>96</v>
      </c>
      <c r="F961" s="77" t="s">
        <v>42</v>
      </c>
      <c r="G961" s="77" t="n">
        <v>0</v>
      </c>
      <c r="H961" s="77" t="n">
        <v>0</v>
      </c>
      <c r="I961" s="76" t="n">
        <f aca="false">IF(AND(ISNUMBER(G961),ISNUMBER(H961)),MAX(G961-H961,0),"")</f>
        <v>0</v>
      </c>
      <c r="J961" s="78" t="str">
        <f aca="false">IF(AND(ISNUMBER(G961),ISNUMBER(H961)),IF(G961&gt;0,H961/G961,""),"")</f>
        <v/>
      </c>
      <c r="K961" s="77"/>
      <c r="L961" s="76" t="str">
        <f aca="false">IF(OR(G961="",H961=""),"Data tidak lengkap",IF(AND(G961=0,H961=0),IF(AND(F961="",K961=""),"Tidak dibuka","Tutup"),IF(H961&gt;G961,"Lebih kapasitas",IF(H961=G961,"Penuh",IF(H961=0,IF(F961="","Slot kosong","Belum terisi"),"Sebagian")))))</f>
        <v>Tutup</v>
      </c>
      <c r="M961" s="79" t="str">
        <f aca="false">IF(L961="Tidak dibuka","–",IF(F961="","(tanpa age group)",F961)&amp;"  "&amp;IF(H961="","?",H961)&amp;"/"&amp;IF(G961="","?",G961)&amp;CHAR(10)&amp;IF(K961="","coach: –","coach: "&amp;K961))</f>
        <v>Tiny  0/0
coach: –</v>
      </c>
    </row>
    <row r="962" customFormat="false" ht="22.35" hidden="false" customHeight="false" outlineLevel="0" collapsed="false">
      <c r="A962" s="76" t="str">
        <f aca="false">B962&amp;"|"&amp;C962&amp;"|"&amp;D962&amp;"|"&amp;E962</f>
        <v>PML|2|Kamis|09:00</v>
      </c>
      <c r="B962" s="76" t="s">
        <v>65</v>
      </c>
      <c r="C962" s="76" t="n">
        <v>2</v>
      </c>
      <c r="D962" s="76" t="s">
        <v>93</v>
      </c>
      <c r="E962" s="76" t="s">
        <v>97</v>
      </c>
      <c r="F962" s="77" t="s">
        <v>42</v>
      </c>
      <c r="G962" s="77" t="n">
        <v>5</v>
      </c>
      <c r="H962" s="77" t="n">
        <v>0</v>
      </c>
      <c r="I962" s="76" t="n">
        <f aca="false">IF(AND(ISNUMBER(G962),ISNUMBER(H962)),MAX(G962-H962,0),"")</f>
        <v>5</v>
      </c>
      <c r="J962" s="78" t="n">
        <f aca="false">IF(AND(ISNUMBER(G962),ISNUMBER(H962)),IF(G962&gt;0,H962/G962,""),"")</f>
        <v>0</v>
      </c>
      <c r="K962" s="77"/>
      <c r="L962" s="76" t="str">
        <f aca="false">IF(OR(G962="",H962=""),"Data tidak lengkap",IF(AND(G962=0,H962=0),IF(AND(F962="",K962=""),"Tidak dibuka","Tutup"),IF(H962&gt;G962,"Lebih kapasitas",IF(H962=G962,"Penuh",IF(H962=0,IF(F962="","Slot kosong","Belum terisi"),"Sebagian")))))</f>
        <v>Belum terisi</v>
      </c>
      <c r="M962" s="79" t="str">
        <f aca="false">IF(L962="Tidak dibuka","–",IF(F962="","(tanpa age group)",F962)&amp;"  "&amp;IF(H962="","?",H962)&amp;"/"&amp;IF(G962="","?",G962)&amp;CHAR(10)&amp;IF(K962="","coach: –","coach: "&amp;K962))</f>
        <v>Tiny  0/5
coach: –</v>
      </c>
    </row>
    <row r="963" customFormat="false" ht="22.35" hidden="false" customHeight="false" outlineLevel="0" collapsed="false">
      <c r="A963" s="76" t="str">
        <f aca="false">B963&amp;"|"&amp;C963&amp;"|"&amp;D963&amp;"|"&amp;E963</f>
        <v>PML|2|Kamis|09:45</v>
      </c>
      <c r="B963" s="76" t="s">
        <v>65</v>
      </c>
      <c r="C963" s="76" t="n">
        <v>2</v>
      </c>
      <c r="D963" s="76" t="s">
        <v>93</v>
      </c>
      <c r="E963" s="76" t="s">
        <v>98</v>
      </c>
      <c r="F963" s="77" t="s">
        <v>42</v>
      </c>
      <c r="G963" s="77" t="n">
        <v>5</v>
      </c>
      <c r="H963" s="77" t="n">
        <v>3</v>
      </c>
      <c r="I963" s="76" t="n">
        <f aca="false">IF(AND(ISNUMBER(G963),ISNUMBER(H963)),MAX(G963-H963,0),"")</f>
        <v>2</v>
      </c>
      <c r="J963" s="78" t="n">
        <f aca="false">IF(AND(ISNUMBER(G963),ISNUMBER(H963)),IF(G963&gt;0,H963/G963,""),"")</f>
        <v>0.6</v>
      </c>
      <c r="K963" s="77" t="s">
        <v>334</v>
      </c>
      <c r="L963" s="76" t="str">
        <f aca="false">IF(OR(G963="",H963=""),"Data tidak lengkap",IF(AND(G963=0,H963=0),IF(AND(F963="",K963=""),"Tidak dibuka","Tutup"),IF(H963&gt;G963,"Lebih kapasitas",IF(H963=G963,"Penuh",IF(H963=0,IF(F963="","Slot kosong","Belum terisi"),"Sebagian")))))</f>
        <v>Sebagian</v>
      </c>
      <c r="M963" s="79" t="str">
        <f aca="false">IF(L963="Tidak dibuka","–",IF(F963="","(tanpa age group)",F963)&amp;"  "&amp;IF(H963="","?",H963)&amp;"/"&amp;IF(G963="","?",G963)&amp;CHAR(10)&amp;IF(K963="","coach: –","coach: "&amp;K963))</f>
        <v>Tiny  3/5
coach: Kamal</v>
      </c>
    </row>
    <row r="964" customFormat="false" ht="22.35" hidden="false" customHeight="false" outlineLevel="0" collapsed="false">
      <c r="A964" s="76" t="str">
        <f aca="false">B964&amp;"|"&amp;C964&amp;"|"&amp;D964&amp;"|"&amp;E964</f>
        <v>PML|2|Kamis|10:30</v>
      </c>
      <c r="B964" s="76" t="s">
        <v>65</v>
      </c>
      <c r="C964" s="76" t="n">
        <v>2</v>
      </c>
      <c r="D964" s="76" t="s">
        <v>93</v>
      </c>
      <c r="E964" s="76" t="s">
        <v>99</v>
      </c>
      <c r="F964" s="77" t="s">
        <v>42</v>
      </c>
      <c r="G964" s="77" t="n">
        <v>5</v>
      </c>
      <c r="H964" s="77" t="n">
        <v>0</v>
      </c>
      <c r="I964" s="76" t="n">
        <f aca="false">IF(AND(ISNUMBER(G964),ISNUMBER(H964)),MAX(G964-H964,0),"")</f>
        <v>5</v>
      </c>
      <c r="J964" s="78" t="n">
        <f aca="false">IF(AND(ISNUMBER(G964),ISNUMBER(H964)),IF(G964&gt;0,H964/G964,""),"")</f>
        <v>0</v>
      </c>
      <c r="K964" s="77"/>
      <c r="L964" s="76" t="str">
        <f aca="false">IF(OR(G964="",H964=""),"Data tidak lengkap",IF(AND(G964=0,H964=0),IF(AND(F964="",K964=""),"Tidak dibuka","Tutup"),IF(H964&gt;G964,"Lebih kapasitas",IF(H964=G964,"Penuh",IF(H964=0,IF(F964="","Slot kosong","Belum terisi"),"Sebagian")))))</f>
        <v>Belum terisi</v>
      </c>
      <c r="M964" s="79" t="str">
        <f aca="false">IF(L964="Tidak dibuka","–",IF(F964="","(tanpa age group)",F964)&amp;"  "&amp;IF(H964="","?",H964)&amp;"/"&amp;IF(G964="","?",G964)&amp;CHAR(10)&amp;IF(K964="","coach: –","coach: "&amp;K964))</f>
        <v>Tiny  0/5
coach: –</v>
      </c>
    </row>
    <row r="965" customFormat="false" ht="22.35" hidden="false" customHeight="false" outlineLevel="0" collapsed="false">
      <c r="A965" s="76" t="str">
        <f aca="false">B965&amp;"|"&amp;C965&amp;"|"&amp;D965&amp;"|"&amp;E965</f>
        <v>PML|2|Kamis|11:15</v>
      </c>
      <c r="B965" s="76" t="s">
        <v>65</v>
      </c>
      <c r="C965" s="76" t="n">
        <v>2</v>
      </c>
      <c r="D965" s="76" t="s">
        <v>93</v>
      </c>
      <c r="E965" s="76" t="s">
        <v>100</v>
      </c>
      <c r="F965" s="77" t="s">
        <v>42</v>
      </c>
      <c r="G965" s="77" t="n">
        <v>5</v>
      </c>
      <c r="H965" s="77" t="n">
        <v>1</v>
      </c>
      <c r="I965" s="76" t="n">
        <f aca="false">IF(AND(ISNUMBER(G965),ISNUMBER(H965)),MAX(G965-H965,0),"")</f>
        <v>4</v>
      </c>
      <c r="J965" s="78" t="n">
        <f aca="false">IF(AND(ISNUMBER(G965),ISNUMBER(H965)),IF(G965&gt;0,H965/G965,""),"")</f>
        <v>0.2</v>
      </c>
      <c r="K965" s="77" t="s">
        <v>336</v>
      </c>
      <c r="L965" s="76" t="str">
        <f aca="false">IF(OR(G965="",H965=""),"Data tidak lengkap",IF(AND(G965=0,H965=0),IF(AND(F965="",K965=""),"Tidak dibuka","Tutup"),IF(H965&gt;G965,"Lebih kapasitas",IF(H965=G965,"Penuh",IF(H965=0,IF(F965="","Slot kosong","Belum terisi"),"Sebagian")))))</f>
        <v>Sebagian</v>
      </c>
      <c r="M965" s="79" t="str">
        <f aca="false">IF(L965="Tidak dibuka","–",IF(F965="","(tanpa age group)",F965)&amp;"  "&amp;IF(H965="","?",H965)&amp;"/"&amp;IF(G965="","?",G965)&amp;CHAR(10)&amp;IF(K965="","coach: –","coach: "&amp;K965))</f>
        <v>Tiny  1/5
coach: Laksamana</v>
      </c>
    </row>
    <row r="966" customFormat="false" ht="22.35" hidden="false" customHeight="false" outlineLevel="0" collapsed="false">
      <c r="A966" s="76" t="str">
        <f aca="false">B966&amp;"|"&amp;C966&amp;"|"&amp;D966&amp;"|"&amp;E966</f>
        <v>PML|2|Kamis|12:00</v>
      </c>
      <c r="B966" s="76" t="s">
        <v>65</v>
      </c>
      <c r="C966" s="76" t="n">
        <v>2</v>
      </c>
      <c r="D966" s="76" t="s">
        <v>93</v>
      </c>
      <c r="E966" s="76" t="s">
        <v>101</v>
      </c>
      <c r="F966" s="77" t="s">
        <v>42</v>
      </c>
      <c r="G966" s="77" t="n">
        <v>0</v>
      </c>
      <c r="H966" s="77" t="n">
        <v>0</v>
      </c>
      <c r="I966" s="76" t="n">
        <f aca="false">IF(AND(ISNUMBER(G966),ISNUMBER(H966)),MAX(G966-H966,0),"")</f>
        <v>0</v>
      </c>
      <c r="J966" s="78" t="str">
        <f aca="false">IF(AND(ISNUMBER(G966),ISNUMBER(H966)),IF(G966&gt;0,H966/G966,""),"")</f>
        <v/>
      </c>
      <c r="K966" s="77"/>
      <c r="L966" s="76" t="str">
        <f aca="false">IF(OR(G966="",H966=""),"Data tidak lengkap",IF(AND(G966=0,H966=0),IF(AND(F966="",K966=""),"Tidak dibuka","Tutup"),IF(H966&gt;G966,"Lebih kapasitas",IF(H966=G966,"Penuh",IF(H966=0,IF(F966="","Slot kosong","Belum terisi"),"Sebagian")))))</f>
        <v>Tutup</v>
      </c>
      <c r="M966" s="79" t="str">
        <f aca="false">IF(L966="Tidak dibuka","–",IF(F966="","(tanpa age group)",F966)&amp;"  "&amp;IF(H966="","?",H966)&amp;"/"&amp;IF(G966="","?",G966)&amp;CHAR(10)&amp;IF(K966="","coach: –","coach: "&amp;K966))</f>
        <v>Tiny  0/0
coach: –</v>
      </c>
    </row>
    <row r="967" customFormat="false" ht="22.35" hidden="false" customHeight="false" outlineLevel="0" collapsed="false">
      <c r="A967" s="76" t="str">
        <f aca="false">B967&amp;"|"&amp;C967&amp;"|"&amp;D967&amp;"|"&amp;E967</f>
        <v>PML|2|Kamis|13:30</v>
      </c>
      <c r="B967" s="76" t="s">
        <v>65</v>
      </c>
      <c r="C967" s="76" t="n">
        <v>2</v>
      </c>
      <c r="D967" s="76" t="s">
        <v>93</v>
      </c>
      <c r="E967" s="76" t="s">
        <v>102</v>
      </c>
      <c r="F967" s="77" t="s">
        <v>42</v>
      </c>
      <c r="G967" s="77" t="n">
        <v>5</v>
      </c>
      <c r="H967" s="77" t="n">
        <v>0</v>
      </c>
      <c r="I967" s="76" t="n">
        <f aca="false">IF(AND(ISNUMBER(G967),ISNUMBER(H967)),MAX(G967-H967,0),"")</f>
        <v>5</v>
      </c>
      <c r="J967" s="78" t="n">
        <f aca="false">IF(AND(ISNUMBER(G967),ISNUMBER(H967)),IF(G967&gt;0,H967/G967,""),"")</f>
        <v>0</v>
      </c>
      <c r="K967" s="77"/>
      <c r="L967" s="76" t="str">
        <f aca="false">IF(OR(G967="",H967=""),"Data tidak lengkap",IF(AND(G967=0,H967=0),IF(AND(F967="",K967=""),"Tidak dibuka","Tutup"),IF(H967&gt;G967,"Lebih kapasitas",IF(H967=G967,"Penuh",IF(H967=0,IF(F967="","Slot kosong","Belum terisi"),"Sebagian")))))</f>
        <v>Belum terisi</v>
      </c>
      <c r="M967" s="79" t="str">
        <f aca="false">IF(L967="Tidak dibuka","–",IF(F967="","(tanpa age group)",F967)&amp;"  "&amp;IF(H967="","?",H967)&amp;"/"&amp;IF(G967="","?",G967)&amp;CHAR(10)&amp;IF(K967="","coach: –","coach: "&amp;K967))</f>
        <v>Tiny  0/5
coach: –</v>
      </c>
    </row>
    <row r="968" customFormat="false" ht="22.35" hidden="false" customHeight="false" outlineLevel="0" collapsed="false">
      <c r="A968" s="76" t="str">
        <f aca="false">B968&amp;"|"&amp;C968&amp;"|"&amp;D968&amp;"|"&amp;E968</f>
        <v>PML|2|Kamis|14:15</v>
      </c>
      <c r="B968" s="76" t="s">
        <v>65</v>
      </c>
      <c r="C968" s="76" t="n">
        <v>2</v>
      </c>
      <c r="D968" s="76" t="s">
        <v>93</v>
      </c>
      <c r="E968" s="76" t="s">
        <v>103</v>
      </c>
      <c r="F968" s="77" t="s">
        <v>42</v>
      </c>
      <c r="G968" s="77" t="n">
        <v>5</v>
      </c>
      <c r="H968" s="77" t="n">
        <v>0</v>
      </c>
      <c r="I968" s="76" t="n">
        <f aca="false">IF(AND(ISNUMBER(G968),ISNUMBER(H968)),MAX(G968-H968,0),"")</f>
        <v>5</v>
      </c>
      <c r="J968" s="78" t="n">
        <f aca="false">IF(AND(ISNUMBER(G968),ISNUMBER(H968)),IF(G968&gt;0,H968/G968,""),"")</f>
        <v>0</v>
      </c>
      <c r="K968" s="77"/>
      <c r="L968" s="76" t="str">
        <f aca="false">IF(OR(G968="",H968=""),"Data tidak lengkap",IF(AND(G968=0,H968=0),IF(AND(F968="",K968=""),"Tidak dibuka","Tutup"),IF(H968&gt;G968,"Lebih kapasitas",IF(H968=G968,"Penuh",IF(H968=0,IF(F968="","Slot kosong","Belum terisi"),"Sebagian")))))</f>
        <v>Belum terisi</v>
      </c>
      <c r="M968" s="79" t="str">
        <f aca="false">IF(L968="Tidak dibuka","–",IF(F968="","(tanpa age group)",F968)&amp;"  "&amp;IF(H968="","?",H968)&amp;"/"&amp;IF(G968="","?",G968)&amp;CHAR(10)&amp;IF(K968="","coach: –","coach: "&amp;K968))</f>
        <v>Tiny  0/5
coach: –</v>
      </c>
    </row>
    <row r="969" customFormat="false" ht="15" hidden="false" customHeight="false" outlineLevel="0" collapsed="false">
      <c r="A969" s="76" t="str">
        <f aca="false">B969&amp;"|"&amp;C969&amp;"|"&amp;D969&amp;"|"&amp;E969</f>
        <v>PML|2|Kamis|15:00</v>
      </c>
      <c r="B969" s="76" t="s">
        <v>65</v>
      </c>
      <c r="C969" s="76" t="n">
        <v>2</v>
      </c>
      <c r="D969" s="76" t="s">
        <v>93</v>
      </c>
      <c r="E969" s="76" t="s">
        <v>104</v>
      </c>
      <c r="F969" s="77"/>
      <c r="G969" s="77" t="n">
        <v>0</v>
      </c>
      <c r="H969" s="77" t="n">
        <v>0</v>
      </c>
      <c r="I969" s="76" t="n">
        <f aca="false">IF(AND(ISNUMBER(G969),ISNUMBER(H969)),MAX(G969-H969,0),"")</f>
        <v>0</v>
      </c>
      <c r="J969" s="78" t="str">
        <f aca="false">IF(AND(ISNUMBER(G969),ISNUMBER(H969)),IF(G969&gt;0,H969/G969,""),"")</f>
        <v/>
      </c>
      <c r="K969" s="77"/>
      <c r="L969" s="76" t="str">
        <f aca="false">IF(OR(G969="",H969=""),"Data tidak lengkap",IF(AND(G969=0,H969=0),IF(AND(F969="",K969=""),"Tidak dibuka","Tutup"),IF(H969&gt;G969,"Lebih kapasitas",IF(H969=G969,"Penuh",IF(H969=0,IF(F969="","Slot kosong","Belum terisi"),"Sebagian")))))</f>
        <v>Tidak dibuka</v>
      </c>
      <c r="M969" s="76" t="str">
        <f aca="false">IF(L969="Tidak dibuka","–",IF(F969="","(tanpa age group)",F969)&amp;"  "&amp;IF(H969="","?",H969)&amp;"/"&amp;IF(G969="","?",G969)&amp;CHAR(10)&amp;IF(K969="","coach: –","coach: "&amp;K969))</f>
        <v>–</v>
      </c>
    </row>
    <row r="970" customFormat="false" ht="15" hidden="false" customHeight="false" outlineLevel="0" collapsed="false">
      <c r="A970" s="76" t="str">
        <f aca="false">B970&amp;"|"&amp;C970&amp;"|"&amp;D970&amp;"|"&amp;E970</f>
        <v>PML|2|Kamis|15:45</v>
      </c>
      <c r="B970" s="76" t="s">
        <v>65</v>
      </c>
      <c r="C970" s="76" t="n">
        <v>2</v>
      </c>
      <c r="D970" s="76" t="s">
        <v>93</v>
      </c>
      <c r="E970" s="76" t="s">
        <v>105</v>
      </c>
      <c r="F970" s="77"/>
      <c r="G970" s="77" t="n">
        <v>0</v>
      </c>
      <c r="H970" s="77" t="n">
        <v>0</v>
      </c>
      <c r="I970" s="76" t="n">
        <f aca="false">IF(AND(ISNUMBER(G970),ISNUMBER(H970)),MAX(G970-H970,0),"")</f>
        <v>0</v>
      </c>
      <c r="J970" s="78" t="str">
        <f aca="false">IF(AND(ISNUMBER(G970),ISNUMBER(H970)),IF(G970&gt;0,H970/G970,""),"")</f>
        <v/>
      </c>
      <c r="K970" s="77"/>
      <c r="L970" s="76" t="str">
        <f aca="false">IF(OR(G970="",H970=""),"Data tidak lengkap",IF(AND(G970=0,H970=0),IF(AND(F970="",K970=""),"Tidak dibuka","Tutup"),IF(H970&gt;G970,"Lebih kapasitas",IF(H970=G970,"Penuh",IF(H970=0,IF(F970="","Slot kosong","Belum terisi"),"Sebagian")))))</f>
        <v>Tidak dibuka</v>
      </c>
      <c r="M970" s="76" t="str">
        <f aca="false">IF(L970="Tidak dibuka","–",IF(F970="","(tanpa age group)",F970)&amp;"  "&amp;IF(H970="","?",H970)&amp;"/"&amp;IF(G970="","?",G970)&amp;CHAR(10)&amp;IF(K970="","coach: –","coach: "&amp;K970))</f>
        <v>–</v>
      </c>
    </row>
    <row r="971" customFormat="false" ht="22.35" hidden="false" customHeight="false" outlineLevel="0" collapsed="false">
      <c r="A971" s="76" t="str">
        <f aca="false">B971&amp;"|"&amp;C971&amp;"|"&amp;D971&amp;"|"&amp;E971</f>
        <v>PML|2|Kamis|16:30</v>
      </c>
      <c r="B971" s="76" t="s">
        <v>65</v>
      </c>
      <c r="C971" s="76" t="n">
        <v>2</v>
      </c>
      <c r="D971" s="76" t="s">
        <v>93</v>
      </c>
      <c r="E971" s="76" t="s">
        <v>106</v>
      </c>
      <c r="F971" s="77" t="s">
        <v>42</v>
      </c>
      <c r="G971" s="77" t="n">
        <v>5</v>
      </c>
      <c r="H971" s="77" t="n">
        <v>1</v>
      </c>
      <c r="I971" s="76" t="n">
        <f aca="false">IF(AND(ISNUMBER(G971),ISNUMBER(H971)),MAX(G971-H971,0),"")</f>
        <v>4</v>
      </c>
      <c r="J971" s="78" t="n">
        <f aca="false">IF(AND(ISNUMBER(G971),ISNUMBER(H971)),IF(G971&gt;0,H971/G971,""),"")</f>
        <v>0.2</v>
      </c>
      <c r="K971" s="77" t="s">
        <v>336</v>
      </c>
      <c r="L971" s="76" t="str">
        <f aca="false">IF(OR(G971="",H971=""),"Data tidak lengkap",IF(AND(G971=0,H971=0),IF(AND(F971="",K971=""),"Tidak dibuka","Tutup"),IF(H971&gt;G971,"Lebih kapasitas",IF(H971=G971,"Penuh",IF(H971=0,IF(F971="","Slot kosong","Belum terisi"),"Sebagian")))))</f>
        <v>Sebagian</v>
      </c>
      <c r="M971" s="79" t="str">
        <f aca="false">IF(L971="Tidak dibuka","–",IF(F971="","(tanpa age group)",F971)&amp;"  "&amp;IF(H971="","?",H971)&amp;"/"&amp;IF(G971="","?",G971)&amp;CHAR(10)&amp;IF(K971="","coach: –","coach: "&amp;K971))</f>
        <v>Tiny  1/5
coach: Laksamana</v>
      </c>
    </row>
    <row r="972" customFormat="false" ht="22.35" hidden="false" customHeight="false" outlineLevel="0" collapsed="false">
      <c r="A972" s="76" t="str">
        <f aca="false">B972&amp;"|"&amp;C972&amp;"|"&amp;D972&amp;"|"&amp;E972</f>
        <v>PML|2|Kamis|17:15</v>
      </c>
      <c r="B972" s="76" t="s">
        <v>65</v>
      </c>
      <c r="C972" s="76" t="n">
        <v>2</v>
      </c>
      <c r="D972" s="76" t="s">
        <v>93</v>
      </c>
      <c r="E972" s="76" t="s">
        <v>107</v>
      </c>
      <c r="F972" s="77"/>
      <c r="G972" s="77" t="n">
        <v>5</v>
      </c>
      <c r="H972" s="77" t="n">
        <v>0</v>
      </c>
      <c r="I972" s="76" t="n">
        <f aca="false">IF(AND(ISNUMBER(G972),ISNUMBER(H972)),MAX(G972-H972,0),"")</f>
        <v>5</v>
      </c>
      <c r="J972" s="78" t="n">
        <f aca="false">IF(AND(ISNUMBER(G972),ISNUMBER(H972)),IF(G972&gt;0,H972/G972,""),"")</f>
        <v>0</v>
      </c>
      <c r="K972" s="77"/>
      <c r="L972" s="76" t="str">
        <f aca="false">IF(OR(G972="",H972=""),"Data tidak lengkap",IF(AND(G972=0,H972=0),IF(AND(F972="",K972=""),"Tidak dibuka","Tutup"),IF(H972&gt;G972,"Lebih kapasitas",IF(H972=G972,"Penuh",IF(H972=0,IF(F972="","Slot kosong","Belum terisi"),"Sebagian")))))</f>
        <v>Slot kosong</v>
      </c>
      <c r="M972" s="79" t="str">
        <f aca="false">IF(L972="Tidak dibuka","–",IF(F972="","(tanpa age group)",F972)&amp;"  "&amp;IF(H972="","?",H972)&amp;"/"&amp;IF(G972="","?",G972)&amp;CHAR(10)&amp;IF(K972="","coach: –","coach: "&amp;K972))</f>
        <v>(tanpa age group)  0/5
coach: –</v>
      </c>
    </row>
    <row r="973" customFormat="false" ht="22.35" hidden="false" customHeight="false" outlineLevel="0" collapsed="false">
      <c r="A973" s="76" t="str">
        <f aca="false">B973&amp;"|"&amp;C973&amp;"|"&amp;D973&amp;"|"&amp;E973</f>
        <v>PML|2|Jumat|08:15</v>
      </c>
      <c r="B973" s="76" t="s">
        <v>65</v>
      </c>
      <c r="C973" s="76" t="n">
        <v>2</v>
      </c>
      <c r="D973" s="76" t="s">
        <v>94</v>
      </c>
      <c r="E973" s="76" t="s">
        <v>96</v>
      </c>
      <c r="F973" s="77" t="s">
        <v>42</v>
      </c>
      <c r="G973" s="77" t="n">
        <v>0</v>
      </c>
      <c r="H973" s="77" t="n">
        <v>0</v>
      </c>
      <c r="I973" s="76" t="n">
        <f aca="false">IF(AND(ISNUMBER(G973),ISNUMBER(H973)),MAX(G973-H973,0),"")</f>
        <v>0</v>
      </c>
      <c r="J973" s="78" t="str">
        <f aca="false">IF(AND(ISNUMBER(G973),ISNUMBER(H973)),IF(G973&gt;0,H973/G973,""),"")</f>
        <v/>
      </c>
      <c r="K973" s="77"/>
      <c r="L973" s="76" t="str">
        <f aca="false">IF(OR(G973="",H973=""),"Data tidak lengkap",IF(AND(G973=0,H973=0),IF(AND(F973="",K973=""),"Tidak dibuka","Tutup"),IF(H973&gt;G973,"Lebih kapasitas",IF(H973=G973,"Penuh",IF(H973=0,IF(F973="","Slot kosong","Belum terisi"),"Sebagian")))))</f>
        <v>Tutup</v>
      </c>
      <c r="M973" s="79" t="str">
        <f aca="false">IF(L973="Tidak dibuka","–",IF(F973="","(tanpa age group)",F973)&amp;"  "&amp;IF(H973="","?",H973)&amp;"/"&amp;IF(G973="","?",G973)&amp;CHAR(10)&amp;IF(K973="","coach: –","coach: "&amp;K973))</f>
        <v>Tiny  0/0
coach: –</v>
      </c>
    </row>
    <row r="974" customFormat="false" ht="22.35" hidden="false" customHeight="false" outlineLevel="0" collapsed="false">
      <c r="A974" s="76" t="str">
        <f aca="false">B974&amp;"|"&amp;C974&amp;"|"&amp;D974&amp;"|"&amp;E974</f>
        <v>PML|2|Jumat|09:00</v>
      </c>
      <c r="B974" s="76" t="s">
        <v>65</v>
      </c>
      <c r="C974" s="76" t="n">
        <v>2</v>
      </c>
      <c r="D974" s="76" t="s">
        <v>94</v>
      </c>
      <c r="E974" s="76" t="s">
        <v>97</v>
      </c>
      <c r="F974" s="77" t="s">
        <v>42</v>
      </c>
      <c r="G974" s="77" t="n">
        <v>5</v>
      </c>
      <c r="H974" s="77" t="n">
        <v>2</v>
      </c>
      <c r="I974" s="76" t="n">
        <f aca="false">IF(AND(ISNUMBER(G974),ISNUMBER(H974)),MAX(G974-H974,0),"")</f>
        <v>3</v>
      </c>
      <c r="J974" s="78" t="n">
        <f aca="false">IF(AND(ISNUMBER(G974),ISNUMBER(H974)),IF(G974&gt;0,H974/G974,""),"")</f>
        <v>0.4</v>
      </c>
      <c r="K974" s="77" t="s">
        <v>330</v>
      </c>
      <c r="L974" s="76" t="str">
        <f aca="false">IF(OR(G974="",H974=""),"Data tidak lengkap",IF(AND(G974=0,H974=0),IF(AND(F974="",K974=""),"Tidak dibuka","Tutup"),IF(H974&gt;G974,"Lebih kapasitas",IF(H974=G974,"Penuh",IF(H974=0,IF(F974="","Slot kosong","Belum terisi"),"Sebagian")))))</f>
        <v>Sebagian</v>
      </c>
      <c r="M974" s="79" t="str">
        <f aca="false">IF(L974="Tidak dibuka","–",IF(F974="","(tanpa age group)",F974)&amp;"  "&amp;IF(H974="","?",H974)&amp;"/"&amp;IF(G974="","?",G974)&amp;CHAR(10)&amp;IF(K974="","coach: –","coach: "&amp;K974))</f>
        <v>Tiny  2/5
coach: Indah</v>
      </c>
    </row>
    <row r="975" customFormat="false" ht="22.35" hidden="false" customHeight="false" outlineLevel="0" collapsed="false">
      <c r="A975" s="76" t="str">
        <f aca="false">B975&amp;"|"&amp;C975&amp;"|"&amp;D975&amp;"|"&amp;E975</f>
        <v>PML|2|Jumat|09:45</v>
      </c>
      <c r="B975" s="76" t="s">
        <v>65</v>
      </c>
      <c r="C975" s="76" t="n">
        <v>2</v>
      </c>
      <c r="D975" s="76" t="s">
        <v>94</v>
      </c>
      <c r="E975" s="76" t="s">
        <v>98</v>
      </c>
      <c r="F975" s="77" t="s">
        <v>42</v>
      </c>
      <c r="G975" s="77" t="n">
        <v>5</v>
      </c>
      <c r="H975" s="77" t="n">
        <v>2</v>
      </c>
      <c r="I975" s="76" t="n">
        <f aca="false">IF(AND(ISNUMBER(G975),ISNUMBER(H975)),MAX(G975-H975,0),"")</f>
        <v>3</v>
      </c>
      <c r="J975" s="78" t="n">
        <f aca="false">IF(AND(ISNUMBER(G975),ISNUMBER(H975)),IF(G975&gt;0,H975/G975,""),"")</f>
        <v>0.4</v>
      </c>
      <c r="K975" s="77" t="s">
        <v>334</v>
      </c>
      <c r="L975" s="76" t="str">
        <f aca="false">IF(OR(G975="",H975=""),"Data tidak lengkap",IF(AND(G975=0,H975=0),IF(AND(F975="",K975=""),"Tidak dibuka","Tutup"),IF(H975&gt;G975,"Lebih kapasitas",IF(H975=G975,"Penuh",IF(H975=0,IF(F975="","Slot kosong","Belum terisi"),"Sebagian")))))</f>
        <v>Sebagian</v>
      </c>
      <c r="M975" s="79" t="str">
        <f aca="false">IF(L975="Tidak dibuka","–",IF(F975="","(tanpa age group)",F975)&amp;"  "&amp;IF(H975="","?",H975)&amp;"/"&amp;IF(G975="","?",G975)&amp;CHAR(10)&amp;IF(K975="","coach: –","coach: "&amp;K975))</f>
        <v>Tiny  2/5
coach: Kamal</v>
      </c>
    </row>
    <row r="976" customFormat="false" ht="22.35" hidden="false" customHeight="false" outlineLevel="0" collapsed="false">
      <c r="A976" s="76" t="str">
        <f aca="false">B976&amp;"|"&amp;C976&amp;"|"&amp;D976&amp;"|"&amp;E976</f>
        <v>PML|2|Jumat|10:30</v>
      </c>
      <c r="B976" s="76" t="s">
        <v>65</v>
      </c>
      <c r="C976" s="76" t="n">
        <v>2</v>
      </c>
      <c r="D976" s="76" t="s">
        <v>94</v>
      </c>
      <c r="E976" s="76" t="s">
        <v>99</v>
      </c>
      <c r="F976" s="77" t="s">
        <v>42</v>
      </c>
      <c r="G976" s="77" t="n">
        <v>5</v>
      </c>
      <c r="H976" s="77" t="n">
        <v>0</v>
      </c>
      <c r="I976" s="76" t="n">
        <f aca="false">IF(AND(ISNUMBER(G976),ISNUMBER(H976)),MAX(G976-H976,0),"")</f>
        <v>5</v>
      </c>
      <c r="J976" s="78" t="n">
        <f aca="false">IF(AND(ISNUMBER(G976),ISNUMBER(H976)),IF(G976&gt;0,H976/G976,""),"")</f>
        <v>0</v>
      </c>
      <c r="K976" s="77"/>
      <c r="L976" s="76" t="str">
        <f aca="false">IF(OR(G976="",H976=""),"Data tidak lengkap",IF(AND(G976=0,H976=0),IF(AND(F976="",K976=""),"Tidak dibuka","Tutup"),IF(H976&gt;G976,"Lebih kapasitas",IF(H976=G976,"Penuh",IF(H976=0,IF(F976="","Slot kosong","Belum terisi"),"Sebagian")))))</f>
        <v>Belum terisi</v>
      </c>
      <c r="M976" s="79" t="str">
        <f aca="false">IF(L976="Tidak dibuka","–",IF(F976="","(tanpa age group)",F976)&amp;"  "&amp;IF(H976="","?",H976)&amp;"/"&amp;IF(G976="","?",G976)&amp;CHAR(10)&amp;IF(K976="","coach: –","coach: "&amp;K976))</f>
        <v>Tiny  0/5
coach: –</v>
      </c>
    </row>
    <row r="977" customFormat="false" ht="22.35" hidden="false" customHeight="false" outlineLevel="0" collapsed="false">
      <c r="A977" s="76" t="str">
        <f aca="false">B977&amp;"|"&amp;C977&amp;"|"&amp;D977&amp;"|"&amp;E977</f>
        <v>PML|2|Jumat|11:15</v>
      </c>
      <c r="B977" s="76" t="s">
        <v>65</v>
      </c>
      <c r="C977" s="76" t="n">
        <v>2</v>
      </c>
      <c r="D977" s="76" t="s">
        <v>94</v>
      </c>
      <c r="E977" s="76" t="s">
        <v>100</v>
      </c>
      <c r="F977" s="77" t="s">
        <v>42</v>
      </c>
      <c r="G977" s="77" t="n">
        <v>5</v>
      </c>
      <c r="H977" s="77" t="n">
        <v>0</v>
      </c>
      <c r="I977" s="76" t="n">
        <f aca="false">IF(AND(ISNUMBER(G977),ISNUMBER(H977)),MAX(G977-H977,0),"")</f>
        <v>5</v>
      </c>
      <c r="J977" s="78" t="n">
        <f aca="false">IF(AND(ISNUMBER(G977),ISNUMBER(H977)),IF(G977&gt;0,H977/G977,""),"")</f>
        <v>0</v>
      </c>
      <c r="K977" s="77"/>
      <c r="L977" s="76" t="str">
        <f aca="false">IF(OR(G977="",H977=""),"Data tidak lengkap",IF(AND(G977=0,H977=0),IF(AND(F977="",K977=""),"Tidak dibuka","Tutup"),IF(H977&gt;G977,"Lebih kapasitas",IF(H977=G977,"Penuh",IF(H977=0,IF(F977="","Slot kosong","Belum terisi"),"Sebagian")))))</f>
        <v>Belum terisi</v>
      </c>
      <c r="M977" s="79" t="str">
        <f aca="false">IF(L977="Tidak dibuka","–",IF(F977="","(tanpa age group)",F977)&amp;"  "&amp;IF(H977="","?",H977)&amp;"/"&amp;IF(G977="","?",G977)&amp;CHAR(10)&amp;IF(K977="","coach: –","coach: "&amp;K977))</f>
        <v>Tiny  0/5
coach: –</v>
      </c>
    </row>
    <row r="978" customFormat="false" ht="22.35" hidden="false" customHeight="false" outlineLevel="0" collapsed="false">
      <c r="A978" s="76" t="str">
        <f aca="false">B978&amp;"|"&amp;C978&amp;"|"&amp;D978&amp;"|"&amp;E978</f>
        <v>PML|2|Jumat|12:00</v>
      </c>
      <c r="B978" s="76" t="s">
        <v>65</v>
      </c>
      <c r="C978" s="76" t="n">
        <v>2</v>
      </c>
      <c r="D978" s="76" t="s">
        <v>94</v>
      </c>
      <c r="E978" s="76" t="s">
        <v>101</v>
      </c>
      <c r="F978" s="77" t="s">
        <v>42</v>
      </c>
      <c r="G978" s="77" t="n">
        <v>0</v>
      </c>
      <c r="H978" s="77" t="n">
        <v>0</v>
      </c>
      <c r="I978" s="76" t="n">
        <f aca="false">IF(AND(ISNUMBER(G978),ISNUMBER(H978)),MAX(G978-H978,0),"")</f>
        <v>0</v>
      </c>
      <c r="J978" s="78" t="str">
        <f aca="false">IF(AND(ISNUMBER(G978),ISNUMBER(H978)),IF(G978&gt;0,H978/G978,""),"")</f>
        <v/>
      </c>
      <c r="K978" s="77"/>
      <c r="L978" s="76" t="str">
        <f aca="false">IF(OR(G978="",H978=""),"Data tidak lengkap",IF(AND(G978=0,H978=0),IF(AND(F978="",K978=""),"Tidak dibuka","Tutup"),IF(H978&gt;G978,"Lebih kapasitas",IF(H978=G978,"Penuh",IF(H978=0,IF(F978="","Slot kosong","Belum terisi"),"Sebagian")))))</f>
        <v>Tutup</v>
      </c>
      <c r="M978" s="79" t="str">
        <f aca="false">IF(L978="Tidak dibuka","–",IF(F978="","(tanpa age group)",F978)&amp;"  "&amp;IF(H978="","?",H978)&amp;"/"&amp;IF(G978="","?",G978)&amp;CHAR(10)&amp;IF(K978="","coach: –","coach: "&amp;K978))</f>
        <v>Tiny  0/0
coach: –</v>
      </c>
    </row>
    <row r="979" customFormat="false" ht="22.35" hidden="false" customHeight="false" outlineLevel="0" collapsed="false">
      <c r="A979" s="76" t="str">
        <f aca="false">B979&amp;"|"&amp;C979&amp;"|"&amp;D979&amp;"|"&amp;E979</f>
        <v>PML|2|Jumat|13:30</v>
      </c>
      <c r="B979" s="76" t="s">
        <v>65</v>
      </c>
      <c r="C979" s="76" t="n">
        <v>2</v>
      </c>
      <c r="D979" s="76" t="s">
        <v>94</v>
      </c>
      <c r="E979" s="76" t="s">
        <v>102</v>
      </c>
      <c r="F979" s="77" t="s">
        <v>42</v>
      </c>
      <c r="G979" s="77" t="n">
        <v>5</v>
      </c>
      <c r="H979" s="77" t="n">
        <v>0</v>
      </c>
      <c r="I979" s="76" t="n">
        <f aca="false">IF(AND(ISNUMBER(G979),ISNUMBER(H979)),MAX(G979-H979,0),"")</f>
        <v>5</v>
      </c>
      <c r="J979" s="78" t="n">
        <f aca="false">IF(AND(ISNUMBER(G979),ISNUMBER(H979)),IF(G979&gt;0,H979/G979,""),"")</f>
        <v>0</v>
      </c>
      <c r="K979" s="77"/>
      <c r="L979" s="76" t="str">
        <f aca="false">IF(OR(G979="",H979=""),"Data tidak lengkap",IF(AND(G979=0,H979=0),IF(AND(F979="",K979=""),"Tidak dibuka","Tutup"),IF(H979&gt;G979,"Lebih kapasitas",IF(H979=G979,"Penuh",IF(H979=0,IF(F979="","Slot kosong","Belum terisi"),"Sebagian")))))</f>
        <v>Belum terisi</v>
      </c>
      <c r="M979" s="79" t="str">
        <f aca="false">IF(L979="Tidak dibuka","–",IF(F979="","(tanpa age group)",F979)&amp;"  "&amp;IF(H979="","?",H979)&amp;"/"&amp;IF(G979="","?",G979)&amp;CHAR(10)&amp;IF(K979="","coach: –","coach: "&amp;K979))</f>
        <v>Tiny  0/5
coach: –</v>
      </c>
    </row>
    <row r="980" customFormat="false" ht="22.35" hidden="false" customHeight="false" outlineLevel="0" collapsed="false">
      <c r="A980" s="76" t="str">
        <f aca="false">B980&amp;"|"&amp;C980&amp;"|"&amp;D980&amp;"|"&amp;E980</f>
        <v>PML|2|Jumat|14:15</v>
      </c>
      <c r="B980" s="76" t="s">
        <v>65</v>
      </c>
      <c r="C980" s="76" t="n">
        <v>2</v>
      </c>
      <c r="D980" s="76" t="s">
        <v>94</v>
      </c>
      <c r="E980" s="76" t="s">
        <v>103</v>
      </c>
      <c r="F980" s="77" t="s">
        <v>42</v>
      </c>
      <c r="G980" s="77" t="n">
        <v>5</v>
      </c>
      <c r="H980" s="77" t="n">
        <v>0</v>
      </c>
      <c r="I980" s="76" t="n">
        <f aca="false">IF(AND(ISNUMBER(G980),ISNUMBER(H980)),MAX(G980-H980,0),"")</f>
        <v>5</v>
      </c>
      <c r="J980" s="78" t="n">
        <f aca="false">IF(AND(ISNUMBER(G980),ISNUMBER(H980)),IF(G980&gt;0,H980/G980,""),"")</f>
        <v>0</v>
      </c>
      <c r="K980" s="77"/>
      <c r="L980" s="76" t="str">
        <f aca="false">IF(OR(G980="",H980=""),"Data tidak lengkap",IF(AND(G980=0,H980=0),IF(AND(F980="",K980=""),"Tidak dibuka","Tutup"),IF(H980&gt;G980,"Lebih kapasitas",IF(H980=G980,"Penuh",IF(H980=0,IF(F980="","Slot kosong","Belum terisi"),"Sebagian")))))</f>
        <v>Belum terisi</v>
      </c>
      <c r="M980" s="79" t="str">
        <f aca="false">IF(L980="Tidak dibuka","–",IF(F980="","(tanpa age group)",F980)&amp;"  "&amp;IF(H980="","?",H980)&amp;"/"&amp;IF(G980="","?",G980)&amp;CHAR(10)&amp;IF(K980="","coach: –","coach: "&amp;K980))</f>
        <v>Tiny  0/5
coach: –</v>
      </c>
    </row>
    <row r="981" customFormat="false" ht="22.35" hidden="false" customHeight="false" outlineLevel="0" collapsed="false">
      <c r="A981" s="76" t="str">
        <f aca="false">B981&amp;"|"&amp;C981&amp;"|"&amp;D981&amp;"|"&amp;E981</f>
        <v>PML|2|Jumat|15:00</v>
      </c>
      <c r="B981" s="76" t="s">
        <v>65</v>
      </c>
      <c r="C981" s="76" t="n">
        <v>2</v>
      </c>
      <c r="D981" s="76" t="s">
        <v>94</v>
      </c>
      <c r="E981" s="76" t="s">
        <v>104</v>
      </c>
      <c r="F981" s="77" t="s">
        <v>42</v>
      </c>
      <c r="G981" s="77" t="n">
        <v>5</v>
      </c>
      <c r="H981" s="77" t="n">
        <v>0</v>
      </c>
      <c r="I981" s="76" t="n">
        <f aca="false">IF(AND(ISNUMBER(G981),ISNUMBER(H981)),MAX(G981-H981,0),"")</f>
        <v>5</v>
      </c>
      <c r="J981" s="78" t="n">
        <f aca="false">IF(AND(ISNUMBER(G981),ISNUMBER(H981)),IF(G981&gt;0,H981/G981,""),"")</f>
        <v>0</v>
      </c>
      <c r="K981" s="77"/>
      <c r="L981" s="76" t="str">
        <f aca="false">IF(OR(G981="",H981=""),"Data tidak lengkap",IF(AND(G981=0,H981=0),IF(AND(F981="",K981=""),"Tidak dibuka","Tutup"),IF(H981&gt;G981,"Lebih kapasitas",IF(H981=G981,"Penuh",IF(H981=0,IF(F981="","Slot kosong","Belum terisi"),"Sebagian")))))</f>
        <v>Belum terisi</v>
      </c>
      <c r="M981" s="79" t="str">
        <f aca="false">IF(L981="Tidak dibuka","–",IF(F981="","(tanpa age group)",F981)&amp;"  "&amp;IF(H981="","?",H981)&amp;"/"&amp;IF(G981="","?",G981)&amp;CHAR(10)&amp;IF(K981="","coach: –","coach: "&amp;K981))</f>
        <v>Tiny  0/5
coach: –</v>
      </c>
    </row>
    <row r="982" customFormat="false" ht="22.35" hidden="false" customHeight="false" outlineLevel="0" collapsed="false">
      <c r="A982" s="76" t="str">
        <f aca="false">B982&amp;"|"&amp;C982&amp;"|"&amp;D982&amp;"|"&amp;E982</f>
        <v>PML|2|Jumat|15:45</v>
      </c>
      <c r="B982" s="76" t="s">
        <v>65</v>
      </c>
      <c r="C982" s="76" t="n">
        <v>2</v>
      </c>
      <c r="D982" s="76" t="s">
        <v>94</v>
      </c>
      <c r="E982" s="76" t="s">
        <v>105</v>
      </c>
      <c r="F982" s="77" t="s">
        <v>42</v>
      </c>
      <c r="G982" s="77" t="n">
        <v>5</v>
      </c>
      <c r="H982" s="77" t="n">
        <v>2</v>
      </c>
      <c r="I982" s="76" t="n">
        <f aca="false">IF(AND(ISNUMBER(G982),ISNUMBER(H982)),MAX(G982-H982,0),"")</f>
        <v>3</v>
      </c>
      <c r="J982" s="78" t="n">
        <f aca="false">IF(AND(ISNUMBER(G982),ISNUMBER(H982)),IF(G982&gt;0,H982/G982,""),"")</f>
        <v>0.4</v>
      </c>
      <c r="K982" s="77" t="s">
        <v>334</v>
      </c>
      <c r="L982" s="76" t="str">
        <f aca="false">IF(OR(G982="",H982=""),"Data tidak lengkap",IF(AND(G982=0,H982=0),IF(AND(F982="",K982=""),"Tidak dibuka","Tutup"),IF(H982&gt;G982,"Lebih kapasitas",IF(H982=G982,"Penuh",IF(H982=0,IF(F982="","Slot kosong","Belum terisi"),"Sebagian")))))</f>
        <v>Sebagian</v>
      </c>
      <c r="M982" s="79" t="str">
        <f aca="false">IF(L982="Tidak dibuka","–",IF(F982="","(tanpa age group)",F982)&amp;"  "&amp;IF(H982="","?",H982)&amp;"/"&amp;IF(G982="","?",G982)&amp;CHAR(10)&amp;IF(K982="","coach: –","coach: "&amp;K982))</f>
        <v>Tiny  2/5
coach: Kamal</v>
      </c>
    </row>
    <row r="983" customFormat="false" ht="22.35" hidden="false" customHeight="false" outlineLevel="0" collapsed="false">
      <c r="A983" s="76" t="str">
        <f aca="false">B983&amp;"|"&amp;C983&amp;"|"&amp;D983&amp;"|"&amp;E983</f>
        <v>PML|2|Jumat|16:30</v>
      </c>
      <c r="B983" s="76" t="s">
        <v>65</v>
      </c>
      <c r="C983" s="76" t="n">
        <v>2</v>
      </c>
      <c r="D983" s="76" t="s">
        <v>94</v>
      </c>
      <c r="E983" s="76" t="s">
        <v>106</v>
      </c>
      <c r="F983" s="77" t="s">
        <v>42</v>
      </c>
      <c r="G983" s="77" t="n">
        <v>5</v>
      </c>
      <c r="H983" s="77" t="n">
        <v>4</v>
      </c>
      <c r="I983" s="76" t="n">
        <f aca="false">IF(AND(ISNUMBER(G983),ISNUMBER(H983)),MAX(G983-H983,0),"")</f>
        <v>1</v>
      </c>
      <c r="J983" s="78" t="n">
        <f aca="false">IF(AND(ISNUMBER(G983),ISNUMBER(H983)),IF(G983&gt;0,H983/G983,""),"")</f>
        <v>0.8</v>
      </c>
      <c r="K983" s="77" t="s">
        <v>335</v>
      </c>
      <c r="L983" s="76" t="str">
        <f aca="false">IF(OR(G983="",H983=""),"Data tidak lengkap",IF(AND(G983=0,H983=0),IF(AND(F983="",K983=""),"Tidak dibuka","Tutup"),IF(H983&gt;G983,"Lebih kapasitas",IF(H983=G983,"Penuh",IF(H983=0,IF(F983="","Slot kosong","Belum terisi"),"Sebagian")))))</f>
        <v>Sebagian</v>
      </c>
      <c r="M983" s="79" t="str">
        <f aca="false">IF(L983="Tidak dibuka","–",IF(F983="","(tanpa age group)",F983)&amp;"  "&amp;IF(H983="","?",H983)&amp;"/"&amp;IF(G983="","?",G983)&amp;CHAR(10)&amp;IF(K983="","coach: –","coach: "&amp;K983))</f>
        <v>Tiny  4/5
coach: Shofwan</v>
      </c>
    </row>
    <row r="984" customFormat="false" ht="22.35" hidden="false" customHeight="false" outlineLevel="0" collapsed="false">
      <c r="A984" s="76" t="str">
        <f aca="false">B984&amp;"|"&amp;C984&amp;"|"&amp;D984&amp;"|"&amp;E984</f>
        <v>PML|2|Jumat|17:15</v>
      </c>
      <c r="B984" s="76" t="s">
        <v>65</v>
      </c>
      <c r="C984" s="76" t="n">
        <v>2</v>
      </c>
      <c r="D984" s="76" t="s">
        <v>94</v>
      </c>
      <c r="E984" s="76" t="s">
        <v>107</v>
      </c>
      <c r="F984" s="77" t="s">
        <v>42</v>
      </c>
      <c r="G984" s="77" t="n">
        <v>5</v>
      </c>
      <c r="H984" s="77" t="n">
        <v>5</v>
      </c>
      <c r="I984" s="76" t="n">
        <f aca="false">IF(AND(ISNUMBER(G984),ISNUMBER(H984)),MAX(G984-H984,0),"")</f>
        <v>0</v>
      </c>
      <c r="J984" s="78" t="n">
        <f aca="false">IF(AND(ISNUMBER(G984),ISNUMBER(H984)),IF(G984&gt;0,H984/G984,""),"")</f>
        <v>1</v>
      </c>
      <c r="K984" s="77" t="s">
        <v>330</v>
      </c>
      <c r="L984" s="76" t="str">
        <f aca="false">IF(OR(G984="",H984=""),"Data tidak lengkap",IF(AND(G984=0,H984=0),IF(AND(F984="",K984=""),"Tidak dibuka","Tutup"),IF(H984&gt;G984,"Lebih kapasitas",IF(H984=G984,"Penuh",IF(H984=0,IF(F984="","Slot kosong","Belum terisi"),"Sebagian")))))</f>
        <v>Penuh</v>
      </c>
      <c r="M984" s="79" t="str">
        <f aca="false">IF(L984="Tidak dibuka","–",IF(F984="","(tanpa age group)",F984)&amp;"  "&amp;IF(H984="","?",H984)&amp;"/"&amp;IF(G984="","?",G984)&amp;CHAR(10)&amp;IF(K984="","coach: –","coach: "&amp;K984))</f>
        <v>Tiny  5/5
coach: Indah</v>
      </c>
    </row>
    <row r="985" customFormat="false" ht="22.35" hidden="false" customHeight="false" outlineLevel="0" collapsed="false">
      <c r="A985" s="76" t="str">
        <f aca="false">B985&amp;"|"&amp;C985&amp;"|"&amp;D985&amp;"|"&amp;E985</f>
        <v>PML|2|Sabtu|08:15</v>
      </c>
      <c r="B985" s="76" t="s">
        <v>65</v>
      </c>
      <c r="C985" s="76" t="n">
        <v>2</v>
      </c>
      <c r="D985" s="76" t="s">
        <v>95</v>
      </c>
      <c r="E985" s="76" t="s">
        <v>96</v>
      </c>
      <c r="F985" s="77" t="s">
        <v>42</v>
      </c>
      <c r="G985" s="77" t="n">
        <v>0</v>
      </c>
      <c r="H985" s="77" t="n">
        <v>0</v>
      </c>
      <c r="I985" s="76" t="n">
        <f aca="false">IF(AND(ISNUMBER(G985),ISNUMBER(H985)),MAX(G985-H985,0),"")</f>
        <v>0</v>
      </c>
      <c r="J985" s="78" t="str">
        <f aca="false">IF(AND(ISNUMBER(G985),ISNUMBER(H985)),IF(G985&gt;0,H985/G985,""),"")</f>
        <v/>
      </c>
      <c r="K985" s="77"/>
      <c r="L985" s="76" t="str">
        <f aca="false">IF(OR(G985="",H985=""),"Data tidak lengkap",IF(AND(G985=0,H985=0),IF(AND(F985="",K985=""),"Tidak dibuka","Tutup"),IF(H985&gt;G985,"Lebih kapasitas",IF(H985=G985,"Penuh",IF(H985=0,IF(F985="","Slot kosong","Belum terisi"),"Sebagian")))))</f>
        <v>Tutup</v>
      </c>
      <c r="M985" s="79" t="str">
        <f aca="false">IF(L985="Tidak dibuka","–",IF(F985="","(tanpa age group)",F985)&amp;"  "&amp;IF(H985="","?",H985)&amp;"/"&amp;IF(G985="","?",G985)&amp;CHAR(10)&amp;IF(K985="","coach: –","coach: "&amp;K985))</f>
        <v>Tiny  0/0
coach: –</v>
      </c>
    </row>
    <row r="986" customFormat="false" ht="22.35" hidden="false" customHeight="false" outlineLevel="0" collapsed="false">
      <c r="A986" s="76" t="str">
        <f aca="false">B986&amp;"|"&amp;C986&amp;"|"&amp;D986&amp;"|"&amp;E986</f>
        <v>PML|2|Sabtu|09:00</v>
      </c>
      <c r="B986" s="76" t="s">
        <v>65</v>
      </c>
      <c r="C986" s="76" t="n">
        <v>2</v>
      </c>
      <c r="D986" s="76" t="s">
        <v>95</v>
      </c>
      <c r="E986" s="76" t="s">
        <v>97</v>
      </c>
      <c r="F986" s="77" t="s">
        <v>42</v>
      </c>
      <c r="G986" s="77" t="n">
        <v>5</v>
      </c>
      <c r="H986" s="77" t="n">
        <v>4</v>
      </c>
      <c r="I986" s="76" t="n">
        <f aca="false">IF(AND(ISNUMBER(G986),ISNUMBER(H986)),MAX(G986-H986,0),"")</f>
        <v>1</v>
      </c>
      <c r="J986" s="78" t="n">
        <f aca="false">IF(AND(ISNUMBER(G986),ISNUMBER(H986)),IF(G986&gt;0,H986/G986,""),"")</f>
        <v>0.8</v>
      </c>
      <c r="K986" s="77" t="s">
        <v>331</v>
      </c>
      <c r="L986" s="76" t="str">
        <f aca="false">IF(OR(G986="",H986=""),"Data tidak lengkap",IF(AND(G986=0,H986=0),IF(AND(F986="",K986=""),"Tidak dibuka","Tutup"),IF(H986&gt;G986,"Lebih kapasitas",IF(H986=G986,"Penuh",IF(H986=0,IF(F986="","Slot kosong","Belum terisi"),"Sebagian")))))</f>
        <v>Sebagian</v>
      </c>
      <c r="M986" s="79" t="str">
        <f aca="false">IF(L986="Tidak dibuka","–",IF(F986="","(tanpa age group)",F986)&amp;"  "&amp;IF(H986="","?",H986)&amp;"/"&amp;IF(G986="","?",G986)&amp;CHAR(10)&amp;IF(K986="","coach: –","coach: "&amp;K986))</f>
        <v>Tiny  4/5
coach: Damai</v>
      </c>
    </row>
    <row r="987" customFormat="false" ht="22.35" hidden="false" customHeight="false" outlineLevel="0" collapsed="false">
      <c r="A987" s="76" t="str">
        <f aca="false">B987&amp;"|"&amp;C987&amp;"|"&amp;D987&amp;"|"&amp;E987</f>
        <v>PML|2|Sabtu|09:45</v>
      </c>
      <c r="B987" s="76" t="s">
        <v>65</v>
      </c>
      <c r="C987" s="76" t="n">
        <v>2</v>
      </c>
      <c r="D987" s="76" t="s">
        <v>95</v>
      </c>
      <c r="E987" s="76" t="s">
        <v>98</v>
      </c>
      <c r="F987" s="77" t="s">
        <v>42</v>
      </c>
      <c r="G987" s="77" t="n">
        <v>5</v>
      </c>
      <c r="H987" s="77" t="n">
        <v>4</v>
      </c>
      <c r="I987" s="76" t="n">
        <f aca="false">IF(AND(ISNUMBER(G987),ISNUMBER(H987)),MAX(G987-H987,0),"")</f>
        <v>1</v>
      </c>
      <c r="J987" s="78" t="n">
        <f aca="false">IF(AND(ISNUMBER(G987),ISNUMBER(H987)),IF(G987&gt;0,H987/G987,""),"")</f>
        <v>0.8</v>
      </c>
      <c r="K987" s="77" t="s">
        <v>336</v>
      </c>
      <c r="L987" s="76" t="str">
        <f aca="false">IF(OR(G987="",H987=""),"Data tidak lengkap",IF(AND(G987=0,H987=0),IF(AND(F987="",K987=""),"Tidak dibuka","Tutup"),IF(H987&gt;G987,"Lebih kapasitas",IF(H987=G987,"Penuh",IF(H987=0,IF(F987="","Slot kosong","Belum terisi"),"Sebagian")))))</f>
        <v>Sebagian</v>
      </c>
      <c r="M987" s="79" t="str">
        <f aca="false">IF(L987="Tidak dibuka","–",IF(F987="","(tanpa age group)",F987)&amp;"  "&amp;IF(H987="","?",H987)&amp;"/"&amp;IF(G987="","?",G987)&amp;CHAR(10)&amp;IF(K987="","coach: –","coach: "&amp;K987))</f>
        <v>Tiny  4/5
coach: Laksamana</v>
      </c>
    </row>
    <row r="988" customFormat="false" ht="22.35" hidden="false" customHeight="false" outlineLevel="0" collapsed="false">
      <c r="A988" s="76" t="str">
        <f aca="false">B988&amp;"|"&amp;C988&amp;"|"&amp;D988&amp;"|"&amp;E988</f>
        <v>PML|2|Sabtu|10:30</v>
      </c>
      <c r="B988" s="76" t="s">
        <v>65</v>
      </c>
      <c r="C988" s="76" t="n">
        <v>2</v>
      </c>
      <c r="D988" s="76" t="s">
        <v>95</v>
      </c>
      <c r="E988" s="76" t="s">
        <v>99</v>
      </c>
      <c r="F988" s="77" t="s">
        <v>42</v>
      </c>
      <c r="G988" s="77" t="n">
        <v>5</v>
      </c>
      <c r="H988" s="77" t="n">
        <v>3</v>
      </c>
      <c r="I988" s="76" t="n">
        <f aca="false">IF(AND(ISNUMBER(G988),ISNUMBER(H988)),MAX(G988-H988,0),"")</f>
        <v>2</v>
      </c>
      <c r="J988" s="78" t="n">
        <f aca="false">IF(AND(ISNUMBER(G988),ISNUMBER(H988)),IF(G988&gt;0,H988/G988,""),"")</f>
        <v>0.6</v>
      </c>
      <c r="K988" s="77" t="s">
        <v>330</v>
      </c>
      <c r="L988" s="76" t="str">
        <f aca="false">IF(OR(G988="",H988=""),"Data tidak lengkap",IF(AND(G988=0,H988=0),IF(AND(F988="",K988=""),"Tidak dibuka","Tutup"),IF(H988&gt;G988,"Lebih kapasitas",IF(H988=G988,"Penuh",IF(H988=0,IF(F988="","Slot kosong","Belum terisi"),"Sebagian")))))</f>
        <v>Sebagian</v>
      </c>
      <c r="M988" s="79" t="str">
        <f aca="false">IF(L988="Tidak dibuka","–",IF(F988="","(tanpa age group)",F988)&amp;"  "&amp;IF(H988="","?",H988)&amp;"/"&amp;IF(G988="","?",G988)&amp;CHAR(10)&amp;IF(K988="","coach: –","coach: "&amp;K988))</f>
        <v>Tiny  3/5
coach: Indah</v>
      </c>
    </row>
    <row r="989" customFormat="false" ht="22.35" hidden="false" customHeight="false" outlineLevel="0" collapsed="false">
      <c r="A989" s="76" t="str">
        <f aca="false">B989&amp;"|"&amp;C989&amp;"|"&amp;D989&amp;"|"&amp;E989</f>
        <v>PML|2|Sabtu|11:15</v>
      </c>
      <c r="B989" s="76" t="s">
        <v>65</v>
      </c>
      <c r="C989" s="76" t="n">
        <v>2</v>
      </c>
      <c r="D989" s="76" t="s">
        <v>95</v>
      </c>
      <c r="E989" s="76" t="s">
        <v>100</v>
      </c>
      <c r="F989" s="77" t="s">
        <v>42</v>
      </c>
      <c r="G989" s="77" t="n">
        <v>5</v>
      </c>
      <c r="H989" s="77" t="n">
        <v>4</v>
      </c>
      <c r="I989" s="76" t="n">
        <f aca="false">IF(AND(ISNUMBER(G989),ISNUMBER(H989)),MAX(G989-H989,0),"")</f>
        <v>1</v>
      </c>
      <c r="J989" s="78" t="n">
        <f aca="false">IF(AND(ISNUMBER(G989),ISNUMBER(H989)),IF(G989&gt;0,H989/G989,""),"")</f>
        <v>0.8</v>
      </c>
      <c r="K989" s="77" t="s">
        <v>336</v>
      </c>
      <c r="L989" s="76" t="str">
        <f aca="false">IF(OR(G989="",H989=""),"Data tidak lengkap",IF(AND(G989=0,H989=0),IF(AND(F989="",K989=""),"Tidak dibuka","Tutup"),IF(H989&gt;G989,"Lebih kapasitas",IF(H989=G989,"Penuh",IF(H989=0,IF(F989="","Slot kosong","Belum terisi"),"Sebagian")))))</f>
        <v>Sebagian</v>
      </c>
      <c r="M989" s="79" t="str">
        <f aca="false">IF(L989="Tidak dibuka","–",IF(F989="","(tanpa age group)",F989)&amp;"  "&amp;IF(H989="","?",H989)&amp;"/"&amp;IF(G989="","?",G989)&amp;CHAR(10)&amp;IF(K989="","coach: –","coach: "&amp;K989))</f>
        <v>Tiny  4/5
coach: Laksamana</v>
      </c>
    </row>
    <row r="990" customFormat="false" ht="22.35" hidden="false" customHeight="false" outlineLevel="0" collapsed="false">
      <c r="A990" s="76" t="str">
        <f aca="false">B990&amp;"|"&amp;C990&amp;"|"&amp;D990&amp;"|"&amp;E990</f>
        <v>PML|2|Sabtu|12:00</v>
      </c>
      <c r="B990" s="76" t="s">
        <v>65</v>
      </c>
      <c r="C990" s="76" t="n">
        <v>2</v>
      </c>
      <c r="D990" s="76" t="s">
        <v>95</v>
      </c>
      <c r="E990" s="76" t="s">
        <v>101</v>
      </c>
      <c r="F990" s="77" t="s">
        <v>42</v>
      </c>
      <c r="G990" s="77" t="n">
        <v>5</v>
      </c>
      <c r="H990" s="77" t="n">
        <v>0</v>
      </c>
      <c r="I990" s="76" t="n">
        <f aca="false">IF(AND(ISNUMBER(G990),ISNUMBER(H990)),MAX(G990-H990,0),"")</f>
        <v>5</v>
      </c>
      <c r="J990" s="78" t="n">
        <f aca="false">IF(AND(ISNUMBER(G990),ISNUMBER(H990)),IF(G990&gt;0,H990/G990,""),"")</f>
        <v>0</v>
      </c>
      <c r="K990" s="77"/>
      <c r="L990" s="76" t="str">
        <f aca="false">IF(OR(G990="",H990=""),"Data tidak lengkap",IF(AND(G990=0,H990=0),IF(AND(F990="",K990=""),"Tidak dibuka","Tutup"),IF(H990&gt;G990,"Lebih kapasitas",IF(H990=G990,"Penuh",IF(H990=0,IF(F990="","Slot kosong","Belum terisi"),"Sebagian")))))</f>
        <v>Belum terisi</v>
      </c>
      <c r="M990" s="79" t="str">
        <f aca="false">IF(L990="Tidak dibuka","–",IF(F990="","(tanpa age group)",F990)&amp;"  "&amp;IF(H990="","?",H990)&amp;"/"&amp;IF(G990="","?",G990)&amp;CHAR(10)&amp;IF(K990="","coach: –","coach: "&amp;K990))</f>
        <v>Tiny  0/5
coach: –</v>
      </c>
    </row>
    <row r="991" customFormat="false" ht="22.35" hidden="false" customHeight="false" outlineLevel="0" collapsed="false">
      <c r="A991" s="76" t="str">
        <f aca="false">B991&amp;"|"&amp;C991&amp;"|"&amp;D991&amp;"|"&amp;E991</f>
        <v>PML|2|Sabtu|13:30</v>
      </c>
      <c r="B991" s="76" t="s">
        <v>65</v>
      </c>
      <c r="C991" s="76" t="n">
        <v>2</v>
      </c>
      <c r="D991" s="76" t="s">
        <v>95</v>
      </c>
      <c r="E991" s="76" t="s">
        <v>102</v>
      </c>
      <c r="F991" s="77" t="s">
        <v>42</v>
      </c>
      <c r="G991" s="77" t="n">
        <v>5</v>
      </c>
      <c r="H991" s="77" t="n">
        <v>0</v>
      </c>
      <c r="I991" s="76" t="n">
        <f aca="false">IF(AND(ISNUMBER(G991),ISNUMBER(H991)),MAX(G991-H991,0),"")</f>
        <v>5</v>
      </c>
      <c r="J991" s="78" t="n">
        <f aca="false">IF(AND(ISNUMBER(G991),ISNUMBER(H991)),IF(G991&gt;0,H991/G991,""),"")</f>
        <v>0</v>
      </c>
      <c r="K991" s="77"/>
      <c r="L991" s="76" t="str">
        <f aca="false">IF(OR(G991="",H991=""),"Data tidak lengkap",IF(AND(G991=0,H991=0),IF(AND(F991="",K991=""),"Tidak dibuka","Tutup"),IF(H991&gt;G991,"Lebih kapasitas",IF(H991=G991,"Penuh",IF(H991=0,IF(F991="","Slot kosong","Belum terisi"),"Sebagian")))))</f>
        <v>Belum terisi</v>
      </c>
      <c r="M991" s="79" t="str">
        <f aca="false">IF(L991="Tidak dibuka","–",IF(F991="","(tanpa age group)",F991)&amp;"  "&amp;IF(H991="","?",H991)&amp;"/"&amp;IF(G991="","?",G991)&amp;CHAR(10)&amp;IF(K991="","coach: –","coach: "&amp;K991))</f>
        <v>Tiny  0/5
coach: –</v>
      </c>
    </row>
    <row r="992" customFormat="false" ht="22.35" hidden="false" customHeight="false" outlineLevel="0" collapsed="false">
      <c r="A992" s="76" t="str">
        <f aca="false">B992&amp;"|"&amp;C992&amp;"|"&amp;D992&amp;"|"&amp;E992</f>
        <v>PML|2|Sabtu|14:15</v>
      </c>
      <c r="B992" s="76" t="s">
        <v>65</v>
      </c>
      <c r="C992" s="76" t="n">
        <v>2</v>
      </c>
      <c r="D992" s="76" t="s">
        <v>95</v>
      </c>
      <c r="E992" s="76" t="s">
        <v>103</v>
      </c>
      <c r="F992" s="77" t="s">
        <v>42</v>
      </c>
      <c r="G992" s="77" t="n">
        <v>5</v>
      </c>
      <c r="H992" s="77" t="n">
        <v>0</v>
      </c>
      <c r="I992" s="76" t="n">
        <f aca="false">IF(AND(ISNUMBER(G992),ISNUMBER(H992)),MAX(G992-H992,0),"")</f>
        <v>5</v>
      </c>
      <c r="J992" s="78" t="n">
        <f aca="false">IF(AND(ISNUMBER(G992),ISNUMBER(H992)),IF(G992&gt;0,H992/G992,""),"")</f>
        <v>0</v>
      </c>
      <c r="K992" s="77"/>
      <c r="L992" s="76" t="str">
        <f aca="false">IF(OR(G992="",H992=""),"Data tidak lengkap",IF(AND(G992=0,H992=0),IF(AND(F992="",K992=""),"Tidak dibuka","Tutup"),IF(H992&gt;G992,"Lebih kapasitas",IF(H992=G992,"Penuh",IF(H992=0,IF(F992="","Slot kosong","Belum terisi"),"Sebagian")))))</f>
        <v>Belum terisi</v>
      </c>
      <c r="M992" s="79" t="str">
        <f aca="false">IF(L992="Tidak dibuka","–",IF(F992="","(tanpa age group)",F992)&amp;"  "&amp;IF(H992="","?",H992)&amp;"/"&amp;IF(G992="","?",G992)&amp;CHAR(10)&amp;IF(K992="","coach: –","coach: "&amp;K992))</f>
        <v>Tiny  0/5
coach: –</v>
      </c>
    </row>
    <row r="993" customFormat="false" ht="22.35" hidden="false" customHeight="false" outlineLevel="0" collapsed="false">
      <c r="A993" s="76" t="str">
        <f aca="false">B993&amp;"|"&amp;C993&amp;"|"&amp;D993&amp;"|"&amp;E993</f>
        <v>PML|2|Sabtu|15:00</v>
      </c>
      <c r="B993" s="76" t="s">
        <v>65</v>
      </c>
      <c r="C993" s="76" t="n">
        <v>2</v>
      </c>
      <c r="D993" s="76" t="s">
        <v>95</v>
      </c>
      <c r="E993" s="76" t="s">
        <v>104</v>
      </c>
      <c r="F993" s="77" t="s">
        <v>42</v>
      </c>
      <c r="G993" s="77" t="n">
        <v>5</v>
      </c>
      <c r="H993" s="77" t="n">
        <v>2</v>
      </c>
      <c r="I993" s="76" t="n">
        <f aca="false">IF(AND(ISNUMBER(G993),ISNUMBER(H993)),MAX(G993-H993,0),"")</f>
        <v>3</v>
      </c>
      <c r="J993" s="78" t="n">
        <f aca="false">IF(AND(ISNUMBER(G993),ISNUMBER(H993)),IF(G993&gt;0,H993/G993,""),"")</f>
        <v>0.4</v>
      </c>
      <c r="K993" s="77" t="s">
        <v>335</v>
      </c>
      <c r="L993" s="76" t="str">
        <f aca="false">IF(OR(G993="",H993=""),"Data tidak lengkap",IF(AND(G993=0,H993=0),IF(AND(F993="",K993=""),"Tidak dibuka","Tutup"),IF(H993&gt;G993,"Lebih kapasitas",IF(H993=G993,"Penuh",IF(H993=0,IF(F993="","Slot kosong","Belum terisi"),"Sebagian")))))</f>
        <v>Sebagian</v>
      </c>
      <c r="M993" s="79" t="str">
        <f aca="false">IF(L993="Tidak dibuka","–",IF(F993="","(tanpa age group)",F993)&amp;"  "&amp;IF(H993="","?",H993)&amp;"/"&amp;IF(G993="","?",G993)&amp;CHAR(10)&amp;IF(K993="","coach: –","coach: "&amp;K993))</f>
        <v>Tiny  2/5
coach: Shofwan</v>
      </c>
    </row>
    <row r="994" customFormat="false" ht="22.35" hidden="false" customHeight="false" outlineLevel="0" collapsed="false">
      <c r="A994" s="76" t="str">
        <f aca="false">B994&amp;"|"&amp;C994&amp;"|"&amp;D994&amp;"|"&amp;E994</f>
        <v>PML|2|Sabtu|15:45</v>
      </c>
      <c r="B994" s="76" t="s">
        <v>65</v>
      </c>
      <c r="C994" s="76" t="n">
        <v>2</v>
      </c>
      <c r="D994" s="76" t="s">
        <v>95</v>
      </c>
      <c r="E994" s="76" t="s">
        <v>105</v>
      </c>
      <c r="F994" s="77" t="s">
        <v>42</v>
      </c>
      <c r="G994" s="77" t="n">
        <v>5</v>
      </c>
      <c r="H994" s="77" t="n">
        <v>3</v>
      </c>
      <c r="I994" s="76" t="n">
        <f aca="false">IF(AND(ISNUMBER(G994),ISNUMBER(H994)),MAX(G994-H994,0),"")</f>
        <v>2</v>
      </c>
      <c r="J994" s="78" t="n">
        <f aca="false">IF(AND(ISNUMBER(G994),ISNUMBER(H994)),IF(G994&gt;0,H994/G994,""),"")</f>
        <v>0.6</v>
      </c>
      <c r="K994" s="77" t="s">
        <v>330</v>
      </c>
      <c r="L994" s="76" t="str">
        <f aca="false">IF(OR(G994="",H994=""),"Data tidak lengkap",IF(AND(G994=0,H994=0),IF(AND(F994="",K994=""),"Tidak dibuka","Tutup"),IF(H994&gt;G994,"Lebih kapasitas",IF(H994=G994,"Penuh",IF(H994=0,IF(F994="","Slot kosong","Belum terisi"),"Sebagian")))))</f>
        <v>Sebagian</v>
      </c>
      <c r="M994" s="79" t="str">
        <f aca="false">IF(L994="Tidak dibuka","–",IF(F994="","(tanpa age group)",F994)&amp;"  "&amp;IF(H994="","?",H994)&amp;"/"&amp;IF(G994="","?",G994)&amp;CHAR(10)&amp;IF(K994="","coach: –","coach: "&amp;K994))</f>
        <v>Tiny  3/5
coach: Indah</v>
      </c>
    </row>
    <row r="995" customFormat="false" ht="22.35" hidden="false" customHeight="false" outlineLevel="0" collapsed="false">
      <c r="A995" s="76" t="str">
        <f aca="false">B995&amp;"|"&amp;C995&amp;"|"&amp;D995&amp;"|"&amp;E995</f>
        <v>PML|2|Sabtu|16:30</v>
      </c>
      <c r="B995" s="76" t="s">
        <v>65</v>
      </c>
      <c r="C995" s="76" t="n">
        <v>2</v>
      </c>
      <c r="D995" s="76" t="s">
        <v>95</v>
      </c>
      <c r="E995" s="76" t="s">
        <v>106</v>
      </c>
      <c r="F995" s="77" t="s">
        <v>42</v>
      </c>
      <c r="G995" s="77" t="n">
        <v>5</v>
      </c>
      <c r="H995" s="77" t="n">
        <v>2</v>
      </c>
      <c r="I995" s="76" t="n">
        <f aca="false">IF(AND(ISNUMBER(G995),ISNUMBER(H995)),MAX(G995-H995,0),"")</f>
        <v>3</v>
      </c>
      <c r="J995" s="78" t="n">
        <f aca="false">IF(AND(ISNUMBER(G995),ISNUMBER(H995)),IF(G995&gt;0,H995/G995,""),"")</f>
        <v>0.4</v>
      </c>
      <c r="K995" s="77" t="s">
        <v>335</v>
      </c>
      <c r="L995" s="76" t="str">
        <f aca="false">IF(OR(G995="",H995=""),"Data tidak lengkap",IF(AND(G995=0,H995=0),IF(AND(F995="",K995=""),"Tidak dibuka","Tutup"),IF(H995&gt;G995,"Lebih kapasitas",IF(H995=G995,"Penuh",IF(H995=0,IF(F995="","Slot kosong","Belum terisi"),"Sebagian")))))</f>
        <v>Sebagian</v>
      </c>
      <c r="M995" s="79" t="str">
        <f aca="false">IF(L995="Tidak dibuka","–",IF(F995="","(tanpa age group)",F995)&amp;"  "&amp;IF(H995="","?",H995)&amp;"/"&amp;IF(G995="","?",G995)&amp;CHAR(10)&amp;IF(K995="","coach: –","coach: "&amp;K995))</f>
        <v>Tiny  2/5
coach: Shofwan</v>
      </c>
    </row>
    <row r="996" customFormat="false" ht="22.35" hidden="false" customHeight="false" outlineLevel="0" collapsed="false">
      <c r="A996" s="76" t="str">
        <f aca="false">B996&amp;"|"&amp;C996&amp;"|"&amp;D996&amp;"|"&amp;E996</f>
        <v>PML|2|Sabtu|17:15</v>
      </c>
      <c r="B996" s="76" t="s">
        <v>65</v>
      </c>
      <c r="C996" s="76" t="n">
        <v>2</v>
      </c>
      <c r="D996" s="76" t="s">
        <v>95</v>
      </c>
      <c r="E996" s="76" t="s">
        <v>107</v>
      </c>
      <c r="F996" s="77" t="s">
        <v>42</v>
      </c>
      <c r="G996" s="77" t="n">
        <v>5</v>
      </c>
      <c r="H996" s="77" t="n">
        <v>0</v>
      </c>
      <c r="I996" s="76" t="n">
        <f aca="false">IF(AND(ISNUMBER(G996),ISNUMBER(H996)),MAX(G996-H996,0),"")</f>
        <v>5</v>
      </c>
      <c r="J996" s="78" t="n">
        <f aca="false">IF(AND(ISNUMBER(G996),ISNUMBER(H996)),IF(G996&gt;0,H996/G996,""),"")</f>
        <v>0</v>
      </c>
      <c r="K996" s="77"/>
      <c r="L996" s="76" t="str">
        <f aca="false">IF(OR(G996="",H996=""),"Data tidak lengkap",IF(AND(G996=0,H996=0),IF(AND(F996="",K996=""),"Tidak dibuka","Tutup"),IF(H996&gt;G996,"Lebih kapasitas",IF(H996=G996,"Penuh",IF(H996=0,IF(F996="","Slot kosong","Belum terisi"),"Sebagian")))))</f>
        <v>Belum terisi</v>
      </c>
      <c r="M996" s="79" t="str">
        <f aca="false">IF(L996="Tidak dibuka","–",IF(F996="","(tanpa age group)",F996)&amp;"  "&amp;IF(H996="","?",H996)&amp;"/"&amp;IF(G996="","?",G996)&amp;CHAR(10)&amp;IF(K996="","coach: –","coach: "&amp;K996))</f>
        <v>Tiny  0/5
coach: –</v>
      </c>
    </row>
    <row r="997" customFormat="false" ht="22.35" hidden="false" customHeight="false" outlineLevel="0" collapsed="false">
      <c r="A997" s="76" t="str">
        <f aca="false">B997&amp;"|"&amp;C997&amp;"|"&amp;D997&amp;"|"&amp;E997</f>
        <v>PML|2|Minggu|08:15</v>
      </c>
      <c r="B997" s="76" t="s">
        <v>65</v>
      </c>
      <c r="C997" s="76" t="n">
        <v>2</v>
      </c>
      <c r="D997" s="76" t="s">
        <v>78</v>
      </c>
      <c r="E997" s="76" t="s">
        <v>96</v>
      </c>
      <c r="F997" s="77" t="s">
        <v>42</v>
      </c>
      <c r="G997" s="77" t="n">
        <v>0</v>
      </c>
      <c r="H997" s="77" t="n">
        <v>0</v>
      </c>
      <c r="I997" s="76" t="n">
        <f aca="false">IF(AND(ISNUMBER(G997),ISNUMBER(H997)),MAX(G997-H997,0),"")</f>
        <v>0</v>
      </c>
      <c r="J997" s="78" t="str">
        <f aca="false">IF(AND(ISNUMBER(G997),ISNUMBER(H997)),IF(G997&gt;0,H997/G997,""),"")</f>
        <v/>
      </c>
      <c r="K997" s="77"/>
      <c r="L997" s="76" t="str">
        <f aca="false">IF(OR(G997="",H997=""),"Data tidak lengkap",IF(AND(G997=0,H997=0),IF(AND(F997="",K997=""),"Tidak dibuka","Tutup"),IF(H997&gt;G997,"Lebih kapasitas",IF(H997=G997,"Penuh",IF(H997=0,IF(F997="","Slot kosong","Belum terisi"),"Sebagian")))))</f>
        <v>Tutup</v>
      </c>
      <c r="M997" s="79" t="str">
        <f aca="false">IF(L997="Tidak dibuka","–",IF(F997="","(tanpa age group)",F997)&amp;"  "&amp;IF(H997="","?",H997)&amp;"/"&amp;IF(G997="","?",G997)&amp;CHAR(10)&amp;IF(K997="","coach: –","coach: "&amp;K997))</f>
        <v>Tiny  0/0
coach: –</v>
      </c>
    </row>
    <row r="998" customFormat="false" ht="22.35" hidden="false" customHeight="false" outlineLevel="0" collapsed="false">
      <c r="A998" s="76" t="str">
        <f aca="false">B998&amp;"|"&amp;C998&amp;"|"&amp;D998&amp;"|"&amp;E998</f>
        <v>PML|2|Minggu|09:00</v>
      </c>
      <c r="B998" s="76" t="s">
        <v>65</v>
      </c>
      <c r="C998" s="76" t="n">
        <v>2</v>
      </c>
      <c r="D998" s="76" t="s">
        <v>78</v>
      </c>
      <c r="E998" s="76" t="s">
        <v>97</v>
      </c>
      <c r="F998" s="77" t="s">
        <v>42</v>
      </c>
      <c r="G998" s="77" t="n">
        <v>5</v>
      </c>
      <c r="H998" s="77" t="n">
        <v>0</v>
      </c>
      <c r="I998" s="76" t="n">
        <f aca="false">IF(AND(ISNUMBER(G998),ISNUMBER(H998)),MAX(G998-H998,0),"")</f>
        <v>5</v>
      </c>
      <c r="J998" s="78" t="n">
        <f aca="false">IF(AND(ISNUMBER(G998),ISNUMBER(H998)),IF(G998&gt;0,H998/G998,""),"")</f>
        <v>0</v>
      </c>
      <c r="K998" s="77"/>
      <c r="L998" s="76" t="str">
        <f aca="false">IF(OR(G998="",H998=""),"Data tidak lengkap",IF(AND(G998=0,H998=0),IF(AND(F998="",K998=""),"Tidak dibuka","Tutup"),IF(H998&gt;G998,"Lebih kapasitas",IF(H998=G998,"Penuh",IF(H998=0,IF(F998="","Slot kosong","Belum terisi"),"Sebagian")))))</f>
        <v>Belum terisi</v>
      </c>
      <c r="M998" s="79" t="str">
        <f aca="false">IF(L998="Tidak dibuka","–",IF(F998="","(tanpa age group)",F998)&amp;"  "&amp;IF(H998="","?",H998)&amp;"/"&amp;IF(G998="","?",G998)&amp;CHAR(10)&amp;IF(K998="","coach: –","coach: "&amp;K998))</f>
        <v>Tiny  0/5
coach: –</v>
      </c>
    </row>
    <row r="999" customFormat="false" ht="22.35" hidden="false" customHeight="false" outlineLevel="0" collapsed="false">
      <c r="A999" s="76" t="str">
        <f aca="false">B999&amp;"|"&amp;C999&amp;"|"&amp;D999&amp;"|"&amp;E999</f>
        <v>PML|2|Minggu|09:45</v>
      </c>
      <c r="B999" s="76" t="s">
        <v>65</v>
      </c>
      <c r="C999" s="76" t="n">
        <v>2</v>
      </c>
      <c r="D999" s="76" t="s">
        <v>78</v>
      </c>
      <c r="E999" s="76" t="s">
        <v>98</v>
      </c>
      <c r="F999" s="77" t="s">
        <v>42</v>
      </c>
      <c r="G999" s="77" t="n">
        <v>5</v>
      </c>
      <c r="H999" s="77" t="n">
        <v>5</v>
      </c>
      <c r="I999" s="76" t="n">
        <f aca="false">IF(AND(ISNUMBER(G999),ISNUMBER(H999)),MAX(G999-H999,0),"")</f>
        <v>0</v>
      </c>
      <c r="J999" s="78" t="n">
        <f aca="false">IF(AND(ISNUMBER(G999),ISNUMBER(H999)),IF(G999&gt;0,H999/G999,""),"")</f>
        <v>1</v>
      </c>
      <c r="K999" s="77" t="s">
        <v>331</v>
      </c>
      <c r="L999" s="76" t="str">
        <f aca="false">IF(OR(G999="",H999=""),"Data tidak lengkap",IF(AND(G999=0,H999=0),IF(AND(F999="",K999=""),"Tidak dibuka","Tutup"),IF(H999&gt;G999,"Lebih kapasitas",IF(H999=G999,"Penuh",IF(H999=0,IF(F999="","Slot kosong","Belum terisi"),"Sebagian")))))</f>
        <v>Penuh</v>
      </c>
      <c r="M999" s="79" t="str">
        <f aca="false">IF(L999="Tidak dibuka","–",IF(F999="","(tanpa age group)",F999)&amp;"  "&amp;IF(H999="","?",H999)&amp;"/"&amp;IF(G999="","?",G999)&amp;CHAR(10)&amp;IF(K999="","coach: –","coach: "&amp;K999))</f>
        <v>Tiny  5/5
coach: Damai</v>
      </c>
    </row>
    <row r="1000" customFormat="false" ht="22.35" hidden="false" customHeight="false" outlineLevel="0" collapsed="false">
      <c r="A1000" s="76" t="str">
        <f aca="false">B1000&amp;"|"&amp;C1000&amp;"|"&amp;D1000&amp;"|"&amp;E1000</f>
        <v>PML|2|Minggu|10:30</v>
      </c>
      <c r="B1000" s="76" t="s">
        <v>65</v>
      </c>
      <c r="C1000" s="76" t="n">
        <v>2</v>
      </c>
      <c r="D1000" s="76" t="s">
        <v>78</v>
      </c>
      <c r="E1000" s="76" t="s">
        <v>99</v>
      </c>
      <c r="F1000" s="77" t="s">
        <v>42</v>
      </c>
      <c r="G1000" s="77" t="n">
        <v>5</v>
      </c>
      <c r="H1000" s="77" t="n">
        <v>0</v>
      </c>
      <c r="I1000" s="76" t="n">
        <f aca="false">IF(AND(ISNUMBER(G1000),ISNUMBER(H1000)),MAX(G1000-H1000,0),"")</f>
        <v>5</v>
      </c>
      <c r="J1000" s="78" t="n">
        <f aca="false">IF(AND(ISNUMBER(G1000),ISNUMBER(H1000)),IF(G1000&gt;0,H1000/G1000,""),"")</f>
        <v>0</v>
      </c>
      <c r="K1000" s="77"/>
      <c r="L1000" s="76" t="str">
        <f aca="false">IF(OR(G1000="",H1000=""),"Data tidak lengkap",IF(AND(G1000=0,H1000=0),IF(AND(F1000="",K1000=""),"Tidak dibuka","Tutup"),IF(H1000&gt;G1000,"Lebih kapasitas",IF(H1000=G1000,"Penuh",IF(H1000=0,IF(F1000="","Slot kosong","Belum terisi"),"Sebagian")))))</f>
        <v>Belum terisi</v>
      </c>
      <c r="M1000" s="79" t="str">
        <f aca="false">IF(L1000="Tidak dibuka","–",IF(F1000="","(tanpa age group)",F1000)&amp;"  "&amp;IF(H1000="","?",H1000)&amp;"/"&amp;IF(G1000="","?",G1000)&amp;CHAR(10)&amp;IF(K1000="","coach: –","coach: "&amp;K1000))</f>
        <v>Tiny  0/5
coach: –</v>
      </c>
    </row>
    <row r="1001" customFormat="false" ht="22.35" hidden="false" customHeight="false" outlineLevel="0" collapsed="false">
      <c r="A1001" s="76" t="str">
        <f aca="false">B1001&amp;"|"&amp;C1001&amp;"|"&amp;D1001&amp;"|"&amp;E1001</f>
        <v>PML|2|Minggu|11:15</v>
      </c>
      <c r="B1001" s="76" t="s">
        <v>65</v>
      </c>
      <c r="C1001" s="76" t="n">
        <v>2</v>
      </c>
      <c r="D1001" s="76" t="s">
        <v>78</v>
      </c>
      <c r="E1001" s="76" t="s">
        <v>100</v>
      </c>
      <c r="F1001" s="77" t="s">
        <v>42</v>
      </c>
      <c r="G1001" s="77" t="n">
        <v>5</v>
      </c>
      <c r="H1001" s="77" t="n">
        <v>4</v>
      </c>
      <c r="I1001" s="76" t="n">
        <f aca="false">IF(AND(ISNUMBER(G1001),ISNUMBER(H1001)),MAX(G1001-H1001,0),"")</f>
        <v>1</v>
      </c>
      <c r="J1001" s="78" t="n">
        <f aca="false">IF(AND(ISNUMBER(G1001),ISNUMBER(H1001)),IF(G1001&gt;0,H1001/G1001,""),"")</f>
        <v>0.8</v>
      </c>
      <c r="K1001" s="77" t="s">
        <v>331</v>
      </c>
      <c r="L1001" s="76" t="str">
        <f aca="false">IF(OR(G1001="",H1001=""),"Data tidak lengkap",IF(AND(G1001=0,H1001=0),IF(AND(F1001="",K1001=""),"Tidak dibuka","Tutup"),IF(H1001&gt;G1001,"Lebih kapasitas",IF(H1001=G1001,"Penuh",IF(H1001=0,IF(F1001="","Slot kosong","Belum terisi"),"Sebagian")))))</f>
        <v>Sebagian</v>
      </c>
      <c r="M1001" s="79" t="str">
        <f aca="false">IF(L1001="Tidak dibuka","–",IF(F1001="","(tanpa age group)",F1001)&amp;"  "&amp;IF(H1001="","?",H1001)&amp;"/"&amp;IF(G1001="","?",G1001)&amp;CHAR(10)&amp;IF(K1001="","coach: –","coach: "&amp;K1001))</f>
        <v>Tiny  4/5
coach: Damai</v>
      </c>
    </row>
    <row r="1002" customFormat="false" ht="22.35" hidden="false" customHeight="false" outlineLevel="0" collapsed="false">
      <c r="A1002" s="76" t="str">
        <f aca="false">B1002&amp;"|"&amp;C1002&amp;"|"&amp;D1002&amp;"|"&amp;E1002</f>
        <v>PML|2|Minggu|12:00</v>
      </c>
      <c r="B1002" s="76" t="s">
        <v>65</v>
      </c>
      <c r="C1002" s="76" t="n">
        <v>2</v>
      </c>
      <c r="D1002" s="76" t="s">
        <v>78</v>
      </c>
      <c r="E1002" s="76" t="s">
        <v>101</v>
      </c>
      <c r="F1002" s="77" t="s">
        <v>42</v>
      </c>
      <c r="G1002" s="77" t="n">
        <v>5</v>
      </c>
      <c r="H1002" s="77" t="n">
        <v>0</v>
      </c>
      <c r="I1002" s="76" t="n">
        <f aca="false">IF(AND(ISNUMBER(G1002),ISNUMBER(H1002)),MAX(G1002-H1002,0),"")</f>
        <v>5</v>
      </c>
      <c r="J1002" s="78" t="n">
        <f aca="false">IF(AND(ISNUMBER(G1002),ISNUMBER(H1002)),IF(G1002&gt;0,H1002/G1002,""),"")</f>
        <v>0</v>
      </c>
      <c r="K1002" s="77"/>
      <c r="L1002" s="76" t="str">
        <f aca="false">IF(OR(G1002="",H1002=""),"Data tidak lengkap",IF(AND(G1002=0,H1002=0),IF(AND(F1002="",K1002=""),"Tidak dibuka","Tutup"),IF(H1002&gt;G1002,"Lebih kapasitas",IF(H1002=G1002,"Penuh",IF(H1002=0,IF(F1002="","Slot kosong","Belum terisi"),"Sebagian")))))</f>
        <v>Belum terisi</v>
      </c>
      <c r="M1002" s="79" t="str">
        <f aca="false">IF(L1002="Tidak dibuka","–",IF(F1002="","(tanpa age group)",F1002)&amp;"  "&amp;IF(H1002="","?",H1002)&amp;"/"&amp;IF(G1002="","?",G1002)&amp;CHAR(10)&amp;IF(K1002="","coach: –","coach: "&amp;K1002))</f>
        <v>Tiny  0/5
coach: –</v>
      </c>
    </row>
    <row r="1003" customFormat="false" ht="22.35" hidden="false" customHeight="false" outlineLevel="0" collapsed="false">
      <c r="A1003" s="76" t="str">
        <f aca="false">B1003&amp;"|"&amp;C1003&amp;"|"&amp;D1003&amp;"|"&amp;E1003</f>
        <v>PML|2|Minggu|13:30</v>
      </c>
      <c r="B1003" s="76" t="s">
        <v>65</v>
      </c>
      <c r="C1003" s="76" t="n">
        <v>2</v>
      </c>
      <c r="D1003" s="76" t="s">
        <v>78</v>
      </c>
      <c r="E1003" s="76" t="s">
        <v>102</v>
      </c>
      <c r="F1003" s="77" t="s">
        <v>42</v>
      </c>
      <c r="G1003" s="77" t="n">
        <v>5</v>
      </c>
      <c r="H1003" s="77" t="n">
        <v>0</v>
      </c>
      <c r="I1003" s="76" t="n">
        <f aca="false">IF(AND(ISNUMBER(G1003),ISNUMBER(H1003)),MAX(G1003-H1003,0),"")</f>
        <v>5</v>
      </c>
      <c r="J1003" s="78" t="n">
        <f aca="false">IF(AND(ISNUMBER(G1003),ISNUMBER(H1003)),IF(G1003&gt;0,H1003/G1003,""),"")</f>
        <v>0</v>
      </c>
      <c r="K1003" s="77"/>
      <c r="L1003" s="76" t="str">
        <f aca="false">IF(OR(G1003="",H1003=""),"Data tidak lengkap",IF(AND(G1003=0,H1003=0),IF(AND(F1003="",K1003=""),"Tidak dibuka","Tutup"),IF(H1003&gt;G1003,"Lebih kapasitas",IF(H1003=G1003,"Penuh",IF(H1003=0,IF(F1003="","Slot kosong","Belum terisi"),"Sebagian")))))</f>
        <v>Belum terisi</v>
      </c>
      <c r="M1003" s="79" t="str">
        <f aca="false">IF(L1003="Tidak dibuka","–",IF(F1003="","(tanpa age group)",F1003)&amp;"  "&amp;IF(H1003="","?",H1003)&amp;"/"&amp;IF(G1003="","?",G1003)&amp;CHAR(10)&amp;IF(K1003="","coach: –","coach: "&amp;K1003))</f>
        <v>Tiny  0/5
coach: –</v>
      </c>
    </row>
    <row r="1004" customFormat="false" ht="22.35" hidden="false" customHeight="false" outlineLevel="0" collapsed="false">
      <c r="A1004" s="76" t="str">
        <f aca="false">B1004&amp;"|"&amp;C1004&amp;"|"&amp;D1004&amp;"|"&amp;E1004</f>
        <v>PML|2|Minggu|14:15</v>
      </c>
      <c r="B1004" s="76" t="s">
        <v>65</v>
      </c>
      <c r="C1004" s="76" t="n">
        <v>2</v>
      </c>
      <c r="D1004" s="76" t="s">
        <v>78</v>
      </c>
      <c r="E1004" s="76" t="s">
        <v>103</v>
      </c>
      <c r="F1004" s="77" t="s">
        <v>42</v>
      </c>
      <c r="G1004" s="77" t="n">
        <v>5</v>
      </c>
      <c r="H1004" s="77" t="n">
        <v>0</v>
      </c>
      <c r="I1004" s="76" t="n">
        <f aca="false">IF(AND(ISNUMBER(G1004),ISNUMBER(H1004)),MAX(G1004-H1004,0),"")</f>
        <v>5</v>
      </c>
      <c r="J1004" s="78" t="n">
        <f aca="false">IF(AND(ISNUMBER(G1004),ISNUMBER(H1004)),IF(G1004&gt;0,H1004/G1004,""),"")</f>
        <v>0</v>
      </c>
      <c r="K1004" s="77"/>
      <c r="L1004" s="76" t="str">
        <f aca="false">IF(OR(G1004="",H1004=""),"Data tidak lengkap",IF(AND(G1004=0,H1004=0),IF(AND(F1004="",K1004=""),"Tidak dibuka","Tutup"),IF(H1004&gt;G1004,"Lebih kapasitas",IF(H1004=G1004,"Penuh",IF(H1004=0,IF(F1004="","Slot kosong","Belum terisi"),"Sebagian")))))</f>
        <v>Belum terisi</v>
      </c>
      <c r="M1004" s="79" t="str">
        <f aca="false">IF(L1004="Tidak dibuka","–",IF(F1004="","(tanpa age group)",F1004)&amp;"  "&amp;IF(H1004="","?",H1004)&amp;"/"&amp;IF(G1004="","?",G1004)&amp;CHAR(10)&amp;IF(K1004="","coach: –","coach: "&amp;K1004))</f>
        <v>Tiny  0/5
coach: –</v>
      </c>
    </row>
    <row r="1005" customFormat="false" ht="22.35" hidden="false" customHeight="false" outlineLevel="0" collapsed="false">
      <c r="A1005" s="76" t="str">
        <f aca="false">B1005&amp;"|"&amp;C1005&amp;"|"&amp;D1005&amp;"|"&amp;E1005</f>
        <v>PML|2|Minggu|15:00</v>
      </c>
      <c r="B1005" s="76" t="s">
        <v>65</v>
      </c>
      <c r="C1005" s="76" t="n">
        <v>2</v>
      </c>
      <c r="D1005" s="76" t="s">
        <v>78</v>
      </c>
      <c r="E1005" s="76" t="s">
        <v>104</v>
      </c>
      <c r="F1005" s="77" t="s">
        <v>42</v>
      </c>
      <c r="G1005" s="77" t="n">
        <v>5</v>
      </c>
      <c r="H1005" s="77" t="n">
        <v>3</v>
      </c>
      <c r="I1005" s="76" t="n">
        <f aca="false">IF(AND(ISNUMBER(G1005),ISNUMBER(H1005)),MAX(G1005-H1005,0),"")</f>
        <v>2</v>
      </c>
      <c r="J1005" s="78" t="n">
        <f aca="false">IF(AND(ISNUMBER(G1005),ISNUMBER(H1005)),IF(G1005&gt;0,H1005/G1005,""),"")</f>
        <v>0.6</v>
      </c>
      <c r="K1005" s="77" t="s">
        <v>330</v>
      </c>
      <c r="L1005" s="76" t="str">
        <f aca="false">IF(OR(G1005="",H1005=""),"Data tidak lengkap",IF(AND(G1005=0,H1005=0),IF(AND(F1005="",K1005=""),"Tidak dibuka","Tutup"),IF(H1005&gt;G1005,"Lebih kapasitas",IF(H1005=G1005,"Penuh",IF(H1005=0,IF(F1005="","Slot kosong","Belum terisi"),"Sebagian")))))</f>
        <v>Sebagian</v>
      </c>
      <c r="M1005" s="79" t="str">
        <f aca="false">IF(L1005="Tidak dibuka","–",IF(F1005="","(tanpa age group)",F1005)&amp;"  "&amp;IF(H1005="","?",H1005)&amp;"/"&amp;IF(G1005="","?",G1005)&amp;CHAR(10)&amp;IF(K1005="","coach: –","coach: "&amp;K1005))</f>
        <v>Tiny  3/5
coach: Indah</v>
      </c>
    </row>
    <row r="1006" customFormat="false" ht="22.35" hidden="false" customHeight="false" outlineLevel="0" collapsed="false">
      <c r="A1006" s="76" t="str">
        <f aca="false">B1006&amp;"|"&amp;C1006&amp;"|"&amp;D1006&amp;"|"&amp;E1006</f>
        <v>PML|2|Minggu|15:45</v>
      </c>
      <c r="B1006" s="76" t="s">
        <v>65</v>
      </c>
      <c r="C1006" s="76" t="n">
        <v>2</v>
      </c>
      <c r="D1006" s="76" t="s">
        <v>78</v>
      </c>
      <c r="E1006" s="76" t="s">
        <v>105</v>
      </c>
      <c r="F1006" s="77" t="s">
        <v>42</v>
      </c>
      <c r="G1006" s="77" t="n">
        <v>5</v>
      </c>
      <c r="H1006" s="77" t="n">
        <v>0</v>
      </c>
      <c r="I1006" s="76" t="n">
        <f aca="false">IF(AND(ISNUMBER(G1006),ISNUMBER(H1006)),MAX(G1006-H1006,0),"")</f>
        <v>5</v>
      </c>
      <c r="J1006" s="78" t="n">
        <f aca="false">IF(AND(ISNUMBER(G1006),ISNUMBER(H1006)),IF(G1006&gt;0,H1006/G1006,""),"")</f>
        <v>0</v>
      </c>
      <c r="K1006" s="77"/>
      <c r="L1006" s="76" t="str">
        <f aca="false">IF(OR(G1006="",H1006=""),"Data tidak lengkap",IF(AND(G1006=0,H1006=0),IF(AND(F1006="",K1006=""),"Tidak dibuka","Tutup"),IF(H1006&gt;G1006,"Lebih kapasitas",IF(H1006=G1006,"Penuh",IF(H1006=0,IF(F1006="","Slot kosong","Belum terisi"),"Sebagian")))))</f>
        <v>Belum terisi</v>
      </c>
      <c r="M1006" s="79" t="str">
        <f aca="false">IF(L1006="Tidak dibuka","–",IF(F1006="","(tanpa age group)",F1006)&amp;"  "&amp;IF(H1006="","?",H1006)&amp;"/"&amp;IF(G1006="","?",G1006)&amp;CHAR(10)&amp;IF(K1006="","coach: –","coach: "&amp;K1006))</f>
        <v>Tiny  0/5
coach: –</v>
      </c>
    </row>
    <row r="1007" customFormat="false" ht="22.35" hidden="false" customHeight="false" outlineLevel="0" collapsed="false">
      <c r="A1007" s="76" t="str">
        <f aca="false">B1007&amp;"|"&amp;C1007&amp;"|"&amp;D1007&amp;"|"&amp;E1007</f>
        <v>PML|2|Minggu|16:30</v>
      </c>
      <c r="B1007" s="76" t="s">
        <v>65</v>
      </c>
      <c r="C1007" s="76" t="n">
        <v>2</v>
      </c>
      <c r="D1007" s="76" t="s">
        <v>78</v>
      </c>
      <c r="E1007" s="76" t="s">
        <v>106</v>
      </c>
      <c r="F1007" s="77" t="s">
        <v>42</v>
      </c>
      <c r="G1007" s="77" t="n">
        <v>5</v>
      </c>
      <c r="H1007" s="77" t="n">
        <v>2</v>
      </c>
      <c r="I1007" s="76" t="n">
        <f aca="false">IF(AND(ISNUMBER(G1007),ISNUMBER(H1007)),MAX(G1007-H1007,0),"")</f>
        <v>3</v>
      </c>
      <c r="J1007" s="78" t="n">
        <f aca="false">IF(AND(ISNUMBER(G1007),ISNUMBER(H1007)),IF(G1007&gt;0,H1007/G1007,""),"")</f>
        <v>0.4</v>
      </c>
      <c r="K1007" s="77" t="s">
        <v>336</v>
      </c>
      <c r="L1007" s="76" t="str">
        <f aca="false">IF(OR(G1007="",H1007=""),"Data tidak lengkap",IF(AND(G1007=0,H1007=0),IF(AND(F1007="",K1007=""),"Tidak dibuka","Tutup"),IF(H1007&gt;G1007,"Lebih kapasitas",IF(H1007=G1007,"Penuh",IF(H1007=0,IF(F1007="","Slot kosong","Belum terisi"),"Sebagian")))))</f>
        <v>Sebagian</v>
      </c>
      <c r="M1007" s="79" t="str">
        <f aca="false">IF(L1007="Tidak dibuka","–",IF(F1007="","(tanpa age group)",F1007)&amp;"  "&amp;IF(H1007="","?",H1007)&amp;"/"&amp;IF(G1007="","?",G1007)&amp;CHAR(10)&amp;IF(K1007="","coach: –","coach: "&amp;K1007))</f>
        <v>Tiny  2/5
coach: Laksamana</v>
      </c>
    </row>
    <row r="1008" customFormat="false" ht="22.35" hidden="false" customHeight="false" outlineLevel="0" collapsed="false">
      <c r="A1008" s="76" t="str">
        <f aca="false">B1008&amp;"|"&amp;C1008&amp;"|"&amp;D1008&amp;"|"&amp;E1008</f>
        <v>PML|2|Minggu|17:15</v>
      </c>
      <c r="B1008" s="76" t="s">
        <v>65</v>
      </c>
      <c r="C1008" s="76" t="n">
        <v>2</v>
      </c>
      <c r="D1008" s="76" t="s">
        <v>78</v>
      </c>
      <c r="E1008" s="76" t="s">
        <v>107</v>
      </c>
      <c r="F1008" s="77" t="s">
        <v>42</v>
      </c>
      <c r="G1008" s="77" t="n">
        <v>5</v>
      </c>
      <c r="H1008" s="77" t="n">
        <v>0</v>
      </c>
      <c r="I1008" s="76" t="n">
        <f aca="false">IF(AND(ISNUMBER(G1008),ISNUMBER(H1008)),MAX(G1008-H1008,0),"")</f>
        <v>5</v>
      </c>
      <c r="J1008" s="78" t="n">
        <f aca="false">IF(AND(ISNUMBER(G1008),ISNUMBER(H1008)),IF(G1008&gt;0,H1008/G1008,""),"")</f>
        <v>0</v>
      </c>
      <c r="K1008" s="77"/>
      <c r="L1008" s="76" t="str">
        <f aca="false">IF(OR(G1008="",H1008=""),"Data tidak lengkap",IF(AND(G1008=0,H1008=0),IF(AND(F1008="",K1008=""),"Tidak dibuka","Tutup"),IF(H1008&gt;G1008,"Lebih kapasitas",IF(H1008=G1008,"Penuh",IF(H1008=0,IF(F1008="","Slot kosong","Belum terisi"),"Sebagian")))))</f>
        <v>Belum terisi</v>
      </c>
      <c r="M1008" s="79" t="str">
        <f aca="false">IF(L1008="Tidak dibuka","–",IF(F1008="","(tanpa age group)",F1008)&amp;"  "&amp;IF(H1008="","?",H1008)&amp;"/"&amp;IF(G1008="","?",G1008)&amp;CHAR(10)&amp;IF(K1008="","coach: –","coach: "&amp;K1008))</f>
        <v>Tiny  0/5
coach: –</v>
      </c>
    </row>
    <row r="1009" customFormat="false" ht="22.35" hidden="false" customHeight="false" outlineLevel="0" collapsed="false">
      <c r="A1009" s="76" t="str">
        <f aca="false">B1009&amp;"|"&amp;C1009&amp;"|"&amp;D1009&amp;"|"&amp;E1009</f>
        <v>PML|3|Senin|08:00</v>
      </c>
      <c r="B1009" s="76" t="s">
        <v>65</v>
      </c>
      <c r="C1009" s="76" t="n">
        <v>3</v>
      </c>
      <c r="D1009" s="76" t="s">
        <v>90</v>
      </c>
      <c r="E1009" s="76" t="s">
        <v>110</v>
      </c>
      <c r="F1009" s="77" t="s">
        <v>277</v>
      </c>
      <c r="G1009" s="77" t="n">
        <v>0</v>
      </c>
      <c r="H1009" s="77" t="n">
        <v>0</v>
      </c>
      <c r="I1009" s="76" t="n">
        <f aca="false">IF(AND(ISNUMBER(G1009),ISNUMBER(H1009)),MAX(G1009-H1009,0),"")</f>
        <v>0</v>
      </c>
      <c r="J1009" s="78" t="str">
        <f aca="false">IF(AND(ISNUMBER(G1009),ISNUMBER(H1009)),IF(G1009&gt;0,H1009/G1009,""),"")</f>
        <v/>
      </c>
      <c r="K1009" s="77"/>
      <c r="L1009" s="76" t="str">
        <f aca="false">IF(OR(G1009="",H1009=""),"Data tidak lengkap",IF(AND(G1009=0,H1009=0),IF(AND(F1009="",K1009=""),"Tidak dibuka","Tutup"),IF(H1009&gt;G1009,"Lebih kapasitas",IF(H1009=G1009,"Penuh",IF(H1009=0,IF(F1009="","Slot kosong","Belum terisi"),"Sebagian")))))</f>
        <v>Tutup</v>
      </c>
      <c r="M1009" s="79" t="str">
        <f aca="false">IF(L1009="Tidak dibuka","–",IF(F1009="","(tanpa age group)",F1009)&amp;"  "&amp;IF(H1009="","?",H1009)&amp;"/"&amp;IF(G1009="","?",G1009)&amp;CHAR(10)&amp;IF(K1009="","coach: –","coach: "&amp;K1009))</f>
        <v>Little  0/0
coach: –</v>
      </c>
    </row>
    <row r="1010" customFormat="false" ht="22.35" hidden="false" customHeight="false" outlineLevel="0" collapsed="false">
      <c r="A1010" s="76" t="str">
        <f aca="false">B1010&amp;"|"&amp;C1010&amp;"|"&amp;D1010&amp;"|"&amp;E1010</f>
        <v>PML|3|Senin|08:45</v>
      </c>
      <c r="B1010" s="76" t="s">
        <v>65</v>
      </c>
      <c r="C1010" s="76" t="n">
        <v>3</v>
      </c>
      <c r="D1010" s="76" t="s">
        <v>90</v>
      </c>
      <c r="E1010" s="76" t="s">
        <v>111</v>
      </c>
      <c r="F1010" s="77" t="s">
        <v>277</v>
      </c>
      <c r="G1010" s="77" t="n">
        <v>4</v>
      </c>
      <c r="H1010" s="77" t="n">
        <v>0</v>
      </c>
      <c r="I1010" s="76" t="n">
        <f aca="false">IF(AND(ISNUMBER(G1010),ISNUMBER(H1010)),MAX(G1010-H1010,0),"")</f>
        <v>4</v>
      </c>
      <c r="J1010" s="78" t="n">
        <f aca="false">IF(AND(ISNUMBER(G1010),ISNUMBER(H1010)),IF(G1010&gt;0,H1010/G1010,""),"")</f>
        <v>0</v>
      </c>
      <c r="K1010" s="77"/>
      <c r="L1010" s="76" t="str">
        <f aca="false">IF(OR(G1010="",H1010=""),"Data tidak lengkap",IF(AND(G1010=0,H1010=0),IF(AND(F1010="",K1010=""),"Tidak dibuka","Tutup"),IF(H1010&gt;G1010,"Lebih kapasitas",IF(H1010=G1010,"Penuh",IF(H1010=0,IF(F1010="","Slot kosong","Belum terisi"),"Sebagian")))))</f>
        <v>Belum terisi</v>
      </c>
      <c r="M1010" s="79" t="str">
        <f aca="false">IF(L1010="Tidak dibuka","–",IF(F1010="","(tanpa age group)",F1010)&amp;"  "&amp;IF(H1010="","?",H1010)&amp;"/"&amp;IF(G1010="","?",G1010)&amp;CHAR(10)&amp;IF(K1010="","coach: –","coach: "&amp;K1010))</f>
        <v>Little  0/4
coach: –</v>
      </c>
    </row>
    <row r="1011" customFormat="false" ht="22.35" hidden="false" customHeight="false" outlineLevel="0" collapsed="false">
      <c r="A1011" s="76" t="str">
        <f aca="false">B1011&amp;"|"&amp;C1011&amp;"|"&amp;D1011&amp;"|"&amp;E1011</f>
        <v>PML|3|Senin|09:30</v>
      </c>
      <c r="B1011" s="76" t="s">
        <v>65</v>
      </c>
      <c r="C1011" s="76" t="n">
        <v>3</v>
      </c>
      <c r="D1011" s="76" t="s">
        <v>90</v>
      </c>
      <c r="E1011" s="76" t="s">
        <v>112</v>
      </c>
      <c r="F1011" s="77" t="s">
        <v>277</v>
      </c>
      <c r="G1011" s="77" t="n">
        <v>4</v>
      </c>
      <c r="H1011" s="77" t="n">
        <v>2</v>
      </c>
      <c r="I1011" s="76" t="n">
        <f aca="false">IF(AND(ISNUMBER(G1011),ISNUMBER(H1011)),MAX(G1011-H1011,0),"")</f>
        <v>2</v>
      </c>
      <c r="J1011" s="78" t="n">
        <f aca="false">IF(AND(ISNUMBER(G1011),ISNUMBER(H1011)),IF(G1011&gt;0,H1011/G1011,""),"")</f>
        <v>0.5</v>
      </c>
      <c r="K1011" s="77" t="s">
        <v>337</v>
      </c>
      <c r="L1011" s="76" t="str">
        <f aca="false">IF(OR(G1011="",H1011=""),"Data tidak lengkap",IF(AND(G1011=0,H1011=0),IF(AND(F1011="",K1011=""),"Tidak dibuka","Tutup"),IF(H1011&gt;G1011,"Lebih kapasitas",IF(H1011=G1011,"Penuh",IF(H1011=0,IF(F1011="","Slot kosong","Belum terisi"),"Sebagian")))))</f>
        <v>Sebagian</v>
      </c>
      <c r="M1011" s="79" t="str">
        <f aca="false">IF(L1011="Tidak dibuka","–",IF(F1011="","(tanpa age group)",F1011)&amp;"  "&amp;IF(H1011="","?",H1011)&amp;"/"&amp;IF(G1011="","?",G1011)&amp;CHAR(10)&amp;IF(K1011="","coach: –","coach: "&amp;K1011))</f>
        <v>Little  2/4
coach: Dadi</v>
      </c>
    </row>
    <row r="1012" customFormat="false" ht="22.35" hidden="false" customHeight="false" outlineLevel="0" collapsed="false">
      <c r="A1012" s="76" t="str">
        <f aca="false">B1012&amp;"|"&amp;C1012&amp;"|"&amp;D1012&amp;"|"&amp;E1012</f>
        <v>PML|3|Senin|10:15</v>
      </c>
      <c r="B1012" s="76" t="s">
        <v>65</v>
      </c>
      <c r="C1012" s="76" t="n">
        <v>3</v>
      </c>
      <c r="D1012" s="76" t="s">
        <v>90</v>
      </c>
      <c r="E1012" s="76" t="s">
        <v>113</v>
      </c>
      <c r="F1012" s="77" t="s">
        <v>277</v>
      </c>
      <c r="G1012" s="77" t="n">
        <v>4</v>
      </c>
      <c r="H1012" s="77" t="n">
        <v>2</v>
      </c>
      <c r="I1012" s="76" t="n">
        <f aca="false">IF(AND(ISNUMBER(G1012),ISNUMBER(H1012)),MAX(G1012-H1012,0),"")</f>
        <v>2</v>
      </c>
      <c r="J1012" s="78" t="n">
        <f aca="false">IF(AND(ISNUMBER(G1012),ISNUMBER(H1012)),IF(G1012&gt;0,H1012/G1012,""),"")</f>
        <v>0.5</v>
      </c>
      <c r="K1012" s="77" t="s">
        <v>331</v>
      </c>
      <c r="L1012" s="76" t="str">
        <f aca="false">IF(OR(G1012="",H1012=""),"Data tidak lengkap",IF(AND(G1012=0,H1012=0),IF(AND(F1012="",K1012=""),"Tidak dibuka","Tutup"),IF(H1012&gt;G1012,"Lebih kapasitas",IF(H1012=G1012,"Penuh",IF(H1012=0,IF(F1012="","Slot kosong","Belum terisi"),"Sebagian")))))</f>
        <v>Sebagian</v>
      </c>
      <c r="M1012" s="79" t="str">
        <f aca="false">IF(L1012="Tidak dibuka","–",IF(F1012="","(tanpa age group)",F1012)&amp;"  "&amp;IF(H1012="","?",H1012)&amp;"/"&amp;IF(G1012="","?",G1012)&amp;CHAR(10)&amp;IF(K1012="","coach: –","coach: "&amp;K1012))</f>
        <v>Little  2/4
coach: Damai</v>
      </c>
    </row>
    <row r="1013" customFormat="false" ht="22.35" hidden="false" customHeight="false" outlineLevel="0" collapsed="false">
      <c r="A1013" s="76" t="str">
        <f aca="false">B1013&amp;"|"&amp;C1013&amp;"|"&amp;D1013&amp;"|"&amp;E1013</f>
        <v>PML|3|Senin|11:00</v>
      </c>
      <c r="B1013" s="76" t="s">
        <v>65</v>
      </c>
      <c r="C1013" s="76" t="n">
        <v>3</v>
      </c>
      <c r="D1013" s="76" t="s">
        <v>90</v>
      </c>
      <c r="E1013" s="76" t="s">
        <v>114</v>
      </c>
      <c r="F1013" s="77" t="s">
        <v>277</v>
      </c>
      <c r="G1013" s="77" t="n">
        <v>4</v>
      </c>
      <c r="H1013" s="77" t="n">
        <v>1</v>
      </c>
      <c r="I1013" s="76" t="n">
        <f aca="false">IF(AND(ISNUMBER(G1013),ISNUMBER(H1013)),MAX(G1013-H1013,0),"")</f>
        <v>3</v>
      </c>
      <c r="J1013" s="78" t="n">
        <f aca="false">IF(AND(ISNUMBER(G1013),ISNUMBER(H1013)),IF(G1013&gt;0,H1013/G1013,""),"")</f>
        <v>0.25</v>
      </c>
      <c r="K1013" s="77" t="s">
        <v>334</v>
      </c>
      <c r="L1013" s="76" t="str">
        <f aca="false">IF(OR(G1013="",H1013=""),"Data tidak lengkap",IF(AND(G1013=0,H1013=0),IF(AND(F1013="",K1013=""),"Tidak dibuka","Tutup"),IF(H1013&gt;G1013,"Lebih kapasitas",IF(H1013=G1013,"Penuh",IF(H1013=0,IF(F1013="","Slot kosong","Belum terisi"),"Sebagian")))))</f>
        <v>Sebagian</v>
      </c>
      <c r="M1013" s="79" t="str">
        <f aca="false">IF(L1013="Tidak dibuka","–",IF(F1013="","(tanpa age group)",F1013)&amp;"  "&amp;IF(H1013="","?",H1013)&amp;"/"&amp;IF(G1013="","?",G1013)&amp;CHAR(10)&amp;IF(K1013="","coach: –","coach: "&amp;K1013))</f>
        <v>Little  1/4
coach: Kamal</v>
      </c>
    </row>
    <row r="1014" customFormat="false" ht="22.35" hidden="false" customHeight="false" outlineLevel="0" collapsed="false">
      <c r="A1014" s="76" t="str">
        <f aca="false">B1014&amp;"|"&amp;C1014&amp;"|"&amp;D1014&amp;"|"&amp;E1014</f>
        <v>PML|3|Senin|11:45</v>
      </c>
      <c r="B1014" s="76" t="s">
        <v>65</v>
      </c>
      <c r="C1014" s="76" t="n">
        <v>3</v>
      </c>
      <c r="D1014" s="76" t="s">
        <v>90</v>
      </c>
      <c r="E1014" s="76" t="s">
        <v>115</v>
      </c>
      <c r="F1014" s="77" t="s">
        <v>277</v>
      </c>
      <c r="G1014" s="77" t="n">
        <v>0</v>
      </c>
      <c r="H1014" s="77" t="n">
        <v>0</v>
      </c>
      <c r="I1014" s="76" t="n">
        <f aca="false">IF(AND(ISNUMBER(G1014),ISNUMBER(H1014)),MAX(G1014-H1014,0),"")</f>
        <v>0</v>
      </c>
      <c r="J1014" s="78" t="str">
        <f aca="false">IF(AND(ISNUMBER(G1014),ISNUMBER(H1014)),IF(G1014&gt;0,H1014/G1014,""),"")</f>
        <v/>
      </c>
      <c r="K1014" s="77"/>
      <c r="L1014" s="76" t="str">
        <f aca="false">IF(OR(G1014="",H1014=""),"Data tidak lengkap",IF(AND(G1014=0,H1014=0),IF(AND(F1014="",K1014=""),"Tidak dibuka","Tutup"),IF(H1014&gt;G1014,"Lebih kapasitas",IF(H1014=G1014,"Penuh",IF(H1014=0,IF(F1014="","Slot kosong","Belum terisi"),"Sebagian")))))</f>
        <v>Tutup</v>
      </c>
      <c r="M1014" s="79" t="str">
        <f aca="false">IF(L1014="Tidak dibuka","–",IF(F1014="","(tanpa age group)",F1014)&amp;"  "&amp;IF(H1014="","?",H1014)&amp;"/"&amp;IF(G1014="","?",G1014)&amp;CHAR(10)&amp;IF(K1014="","coach: –","coach: "&amp;K1014))</f>
        <v>Little  0/0
coach: –</v>
      </c>
    </row>
    <row r="1015" customFormat="false" ht="22.35" hidden="false" customHeight="false" outlineLevel="0" collapsed="false">
      <c r="A1015" s="76" t="str">
        <f aca="false">B1015&amp;"|"&amp;C1015&amp;"|"&amp;D1015&amp;"|"&amp;E1015</f>
        <v>PML|3|Senin|13:15</v>
      </c>
      <c r="B1015" s="76" t="s">
        <v>65</v>
      </c>
      <c r="C1015" s="76" t="n">
        <v>3</v>
      </c>
      <c r="D1015" s="76" t="s">
        <v>90</v>
      </c>
      <c r="E1015" s="76" t="s">
        <v>116</v>
      </c>
      <c r="F1015" s="77" t="s">
        <v>277</v>
      </c>
      <c r="G1015" s="77" t="n">
        <v>4</v>
      </c>
      <c r="H1015" s="77" t="n">
        <v>0</v>
      </c>
      <c r="I1015" s="76" t="n">
        <f aca="false">IF(AND(ISNUMBER(G1015),ISNUMBER(H1015)),MAX(G1015-H1015,0),"")</f>
        <v>4</v>
      </c>
      <c r="J1015" s="78" t="n">
        <f aca="false">IF(AND(ISNUMBER(G1015),ISNUMBER(H1015)),IF(G1015&gt;0,H1015/G1015,""),"")</f>
        <v>0</v>
      </c>
      <c r="K1015" s="77"/>
      <c r="L1015" s="76" t="str">
        <f aca="false">IF(OR(G1015="",H1015=""),"Data tidak lengkap",IF(AND(G1015=0,H1015=0),IF(AND(F1015="",K1015=""),"Tidak dibuka","Tutup"),IF(H1015&gt;G1015,"Lebih kapasitas",IF(H1015=G1015,"Penuh",IF(H1015=0,IF(F1015="","Slot kosong","Belum terisi"),"Sebagian")))))</f>
        <v>Belum terisi</v>
      </c>
      <c r="M1015" s="79" t="str">
        <f aca="false">IF(L1015="Tidak dibuka","–",IF(F1015="","(tanpa age group)",F1015)&amp;"  "&amp;IF(H1015="","?",H1015)&amp;"/"&amp;IF(G1015="","?",G1015)&amp;CHAR(10)&amp;IF(K1015="","coach: –","coach: "&amp;K1015))</f>
        <v>Little  0/4
coach: –</v>
      </c>
    </row>
    <row r="1016" customFormat="false" ht="22.35" hidden="false" customHeight="false" outlineLevel="0" collapsed="false">
      <c r="A1016" s="76" t="str">
        <f aca="false">B1016&amp;"|"&amp;C1016&amp;"|"&amp;D1016&amp;"|"&amp;E1016</f>
        <v>PML|3|Senin|14:00</v>
      </c>
      <c r="B1016" s="76" t="s">
        <v>65</v>
      </c>
      <c r="C1016" s="76" t="n">
        <v>3</v>
      </c>
      <c r="D1016" s="76" t="s">
        <v>90</v>
      </c>
      <c r="E1016" s="76" t="s">
        <v>117</v>
      </c>
      <c r="F1016" s="77" t="s">
        <v>277</v>
      </c>
      <c r="G1016" s="77" t="n">
        <v>4</v>
      </c>
      <c r="H1016" s="77" t="n">
        <v>0</v>
      </c>
      <c r="I1016" s="76" t="n">
        <f aca="false">IF(AND(ISNUMBER(G1016),ISNUMBER(H1016)),MAX(G1016-H1016,0),"")</f>
        <v>4</v>
      </c>
      <c r="J1016" s="78" t="n">
        <f aca="false">IF(AND(ISNUMBER(G1016),ISNUMBER(H1016)),IF(G1016&gt;0,H1016/G1016,""),"")</f>
        <v>0</v>
      </c>
      <c r="K1016" s="77"/>
      <c r="L1016" s="76" t="str">
        <f aca="false">IF(OR(G1016="",H1016=""),"Data tidak lengkap",IF(AND(G1016=0,H1016=0),IF(AND(F1016="",K1016=""),"Tidak dibuka","Tutup"),IF(H1016&gt;G1016,"Lebih kapasitas",IF(H1016=G1016,"Penuh",IF(H1016=0,IF(F1016="","Slot kosong","Belum terisi"),"Sebagian")))))</f>
        <v>Belum terisi</v>
      </c>
      <c r="M1016" s="79" t="str">
        <f aca="false">IF(L1016="Tidak dibuka","–",IF(F1016="","(tanpa age group)",F1016)&amp;"  "&amp;IF(H1016="","?",H1016)&amp;"/"&amp;IF(G1016="","?",G1016)&amp;CHAR(10)&amp;IF(K1016="","coach: –","coach: "&amp;K1016))</f>
        <v>Little  0/4
coach: –</v>
      </c>
    </row>
    <row r="1017" customFormat="false" ht="22.35" hidden="false" customHeight="false" outlineLevel="0" collapsed="false">
      <c r="A1017" s="76" t="str">
        <f aca="false">B1017&amp;"|"&amp;C1017&amp;"|"&amp;D1017&amp;"|"&amp;E1017</f>
        <v>PML|3|Senin|14:45</v>
      </c>
      <c r="B1017" s="76" t="s">
        <v>65</v>
      </c>
      <c r="C1017" s="76" t="n">
        <v>3</v>
      </c>
      <c r="D1017" s="76" t="s">
        <v>90</v>
      </c>
      <c r="E1017" s="76" t="s">
        <v>118</v>
      </c>
      <c r="F1017" s="77" t="s">
        <v>277</v>
      </c>
      <c r="G1017" s="77" t="n">
        <v>4</v>
      </c>
      <c r="H1017" s="77" t="n">
        <v>0</v>
      </c>
      <c r="I1017" s="76" t="n">
        <f aca="false">IF(AND(ISNUMBER(G1017),ISNUMBER(H1017)),MAX(G1017-H1017,0),"")</f>
        <v>4</v>
      </c>
      <c r="J1017" s="78" t="n">
        <f aca="false">IF(AND(ISNUMBER(G1017),ISNUMBER(H1017)),IF(G1017&gt;0,H1017/G1017,""),"")</f>
        <v>0</v>
      </c>
      <c r="K1017" s="77"/>
      <c r="L1017" s="76" t="str">
        <f aca="false">IF(OR(G1017="",H1017=""),"Data tidak lengkap",IF(AND(G1017=0,H1017=0),IF(AND(F1017="",K1017=""),"Tidak dibuka","Tutup"),IF(H1017&gt;G1017,"Lebih kapasitas",IF(H1017=G1017,"Penuh",IF(H1017=0,IF(F1017="","Slot kosong","Belum terisi"),"Sebagian")))))</f>
        <v>Belum terisi</v>
      </c>
      <c r="M1017" s="79" t="str">
        <f aca="false">IF(L1017="Tidak dibuka","–",IF(F1017="","(tanpa age group)",F1017)&amp;"  "&amp;IF(H1017="","?",H1017)&amp;"/"&amp;IF(G1017="","?",G1017)&amp;CHAR(10)&amp;IF(K1017="","coach: –","coach: "&amp;K1017))</f>
        <v>Little  0/4
coach: –</v>
      </c>
    </row>
    <row r="1018" customFormat="false" ht="22.35" hidden="false" customHeight="false" outlineLevel="0" collapsed="false">
      <c r="A1018" s="76" t="str">
        <f aca="false">B1018&amp;"|"&amp;C1018&amp;"|"&amp;D1018&amp;"|"&amp;E1018</f>
        <v>PML|3|Senin|15:30</v>
      </c>
      <c r="B1018" s="76" t="s">
        <v>65</v>
      </c>
      <c r="C1018" s="76" t="n">
        <v>3</v>
      </c>
      <c r="D1018" s="76" t="s">
        <v>90</v>
      </c>
      <c r="E1018" s="76" t="s">
        <v>119</v>
      </c>
      <c r="F1018" s="77" t="s">
        <v>277</v>
      </c>
      <c r="G1018" s="77" t="n">
        <v>4</v>
      </c>
      <c r="H1018" s="77" t="n">
        <v>4</v>
      </c>
      <c r="I1018" s="76" t="n">
        <f aca="false">IF(AND(ISNUMBER(G1018),ISNUMBER(H1018)),MAX(G1018-H1018,0),"")</f>
        <v>0</v>
      </c>
      <c r="J1018" s="78" t="n">
        <f aca="false">IF(AND(ISNUMBER(G1018),ISNUMBER(H1018)),IF(G1018&gt;0,H1018/G1018,""),"")</f>
        <v>1</v>
      </c>
      <c r="K1018" s="77" t="s">
        <v>331</v>
      </c>
      <c r="L1018" s="76" t="str">
        <f aca="false">IF(OR(G1018="",H1018=""),"Data tidak lengkap",IF(AND(G1018=0,H1018=0),IF(AND(F1018="",K1018=""),"Tidak dibuka","Tutup"),IF(H1018&gt;G1018,"Lebih kapasitas",IF(H1018=G1018,"Penuh",IF(H1018=0,IF(F1018="","Slot kosong","Belum terisi"),"Sebagian")))))</f>
        <v>Penuh</v>
      </c>
      <c r="M1018" s="79" t="str">
        <f aca="false">IF(L1018="Tidak dibuka","–",IF(F1018="","(tanpa age group)",F1018)&amp;"  "&amp;IF(H1018="","?",H1018)&amp;"/"&amp;IF(G1018="","?",G1018)&amp;CHAR(10)&amp;IF(K1018="","coach: –","coach: "&amp;K1018))</f>
        <v>Little  4/4
coach: Damai</v>
      </c>
    </row>
    <row r="1019" customFormat="false" ht="22.35" hidden="false" customHeight="false" outlineLevel="0" collapsed="false">
      <c r="A1019" s="76" t="str">
        <f aca="false">B1019&amp;"|"&amp;C1019&amp;"|"&amp;D1019&amp;"|"&amp;E1019</f>
        <v>PML|3|Senin|16:15</v>
      </c>
      <c r="B1019" s="76" t="s">
        <v>65</v>
      </c>
      <c r="C1019" s="76" t="n">
        <v>3</v>
      </c>
      <c r="D1019" s="76" t="s">
        <v>90</v>
      </c>
      <c r="E1019" s="76" t="s">
        <v>120</v>
      </c>
      <c r="F1019" s="77" t="s">
        <v>277</v>
      </c>
      <c r="G1019" s="77" t="n">
        <v>4</v>
      </c>
      <c r="H1019" s="77" t="n">
        <v>3</v>
      </c>
      <c r="I1019" s="76" t="n">
        <f aca="false">IF(AND(ISNUMBER(G1019),ISNUMBER(H1019)),MAX(G1019-H1019,0),"")</f>
        <v>1</v>
      </c>
      <c r="J1019" s="78" t="n">
        <f aca="false">IF(AND(ISNUMBER(G1019),ISNUMBER(H1019)),IF(G1019&gt;0,H1019/G1019,""),"")</f>
        <v>0.75</v>
      </c>
      <c r="K1019" s="77" t="s">
        <v>334</v>
      </c>
      <c r="L1019" s="76" t="str">
        <f aca="false">IF(OR(G1019="",H1019=""),"Data tidak lengkap",IF(AND(G1019=0,H1019=0),IF(AND(F1019="",K1019=""),"Tidak dibuka","Tutup"),IF(H1019&gt;G1019,"Lebih kapasitas",IF(H1019=G1019,"Penuh",IF(H1019=0,IF(F1019="","Slot kosong","Belum terisi"),"Sebagian")))))</f>
        <v>Sebagian</v>
      </c>
      <c r="M1019" s="79" t="str">
        <f aca="false">IF(L1019="Tidak dibuka","–",IF(F1019="","(tanpa age group)",F1019)&amp;"  "&amp;IF(H1019="","?",H1019)&amp;"/"&amp;IF(G1019="","?",G1019)&amp;CHAR(10)&amp;IF(K1019="","coach: –","coach: "&amp;K1019))</f>
        <v>Little  3/4
coach: Kamal</v>
      </c>
    </row>
    <row r="1020" customFormat="false" ht="22.35" hidden="false" customHeight="false" outlineLevel="0" collapsed="false">
      <c r="A1020" s="76" t="str">
        <f aca="false">B1020&amp;"|"&amp;C1020&amp;"|"&amp;D1020&amp;"|"&amp;E1020</f>
        <v>PML|3|Senin|17:00</v>
      </c>
      <c r="B1020" s="76" t="s">
        <v>65</v>
      </c>
      <c r="C1020" s="76" t="n">
        <v>3</v>
      </c>
      <c r="D1020" s="76" t="s">
        <v>90</v>
      </c>
      <c r="E1020" s="76" t="s">
        <v>121</v>
      </c>
      <c r="F1020" s="77" t="s">
        <v>277</v>
      </c>
      <c r="G1020" s="77" t="n">
        <v>4</v>
      </c>
      <c r="H1020" s="77" t="n">
        <v>0</v>
      </c>
      <c r="I1020" s="76" t="n">
        <f aca="false">IF(AND(ISNUMBER(G1020),ISNUMBER(H1020)),MAX(G1020-H1020,0),"")</f>
        <v>4</v>
      </c>
      <c r="J1020" s="78" t="n">
        <f aca="false">IF(AND(ISNUMBER(G1020),ISNUMBER(H1020)),IF(G1020&gt;0,H1020/G1020,""),"")</f>
        <v>0</v>
      </c>
      <c r="K1020" s="77"/>
      <c r="L1020" s="76" t="str">
        <f aca="false">IF(OR(G1020="",H1020=""),"Data tidak lengkap",IF(AND(G1020=0,H1020=0),IF(AND(F1020="",K1020=""),"Tidak dibuka","Tutup"),IF(H1020&gt;G1020,"Lebih kapasitas",IF(H1020=G1020,"Penuh",IF(H1020=0,IF(F1020="","Slot kosong","Belum terisi"),"Sebagian")))))</f>
        <v>Belum terisi</v>
      </c>
      <c r="M1020" s="79" t="str">
        <f aca="false">IF(L1020="Tidak dibuka","–",IF(F1020="","(tanpa age group)",F1020)&amp;"  "&amp;IF(H1020="","?",H1020)&amp;"/"&amp;IF(G1020="","?",G1020)&amp;CHAR(10)&amp;IF(K1020="","coach: –","coach: "&amp;K1020))</f>
        <v>Little  0/4
coach: –</v>
      </c>
    </row>
    <row r="1021" customFormat="false" ht="22.35" hidden="false" customHeight="false" outlineLevel="0" collapsed="false">
      <c r="A1021" s="76" t="str">
        <f aca="false">B1021&amp;"|"&amp;C1021&amp;"|"&amp;D1021&amp;"|"&amp;E1021</f>
        <v>PML|3|Selasa|08:00</v>
      </c>
      <c r="B1021" s="76" t="s">
        <v>65</v>
      </c>
      <c r="C1021" s="76" t="n">
        <v>3</v>
      </c>
      <c r="D1021" s="76" t="s">
        <v>91</v>
      </c>
      <c r="E1021" s="76" t="s">
        <v>110</v>
      </c>
      <c r="F1021" s="77" t="s">
        <v>277</v>
      </c>
      <c r="G1021" s="77" t="n">
        <v>0</v>
      </c>
      <c r="H1021" s="77" t="n">
        <v>0</v>
      </c>
      <c r="I1021" s="76" t="n">
        <f aca="false">IF(AND(ISNUMBER(G1021),ISNUMBER(H1021)),MAX(G1021-H1021,0),"")</f>
        <v>0</v>
      </c>
      <c r="J1021" s="78" t="str">
        <f aca="false">IF(AND(ISNUMBER(G1021),ISNUMBER(H1021)),IF(G1021&gt;0,H1021/G1021,""),"")</f>
        <v/>
      </c>
      <c r="K1021" s="77"/>
      <c r="L1021" s="76" t="str">
        <f aca="false">IF(OR(G1021="",H1021=""),"Data tidak lengkap",IF(AND(G1021=0,H1021=0),IF(AND(F1021="",K1021=""),"Tidak dibuka","Tutup"),IF(H1021&gt;G1021,"Lebih kapasitas",IF(H1021=G1021,"Penuh",IF(H1021=0,IF(F1021="","Slot kosong","Belum terisi"),"Sebagian")))))</f>
        <v>Tutup</v>
      </c>
      <c r="M1021" s="79" t="str">
        <f aca="false">IF(L1021="Tidak dibuka","–",IF(F1021="","(tanpa age group)",F1021)&amp;"  "&amp;IF(H1021="","?",H1021)&amp;"/"&amp;IF(G1021="","?",G1021)&amp;CHAR(10)&amp;IF(K1021="","coach: –","coach: "&amp;K1021))</f>
        <v>Little  0/0
coach: –</v>
      </c>
    </row>
    <row r="1022" customFormat="false" ht="22.35" hidden="false" customHeight="false" outlineLevel="0" collapsed="false">
      <c r="A1022" s="76" t="str">
        <f aca="false">B1022&amp;"|"&amp;C1022&amp;"|"&amp;D1022&amp;"|"&amp;E1022</f>
        <v>PML|3|Selasa|08:45</v>
      </c>
      <c r="B1022" s="76" t="s">
        <v>65</v>
      </c>
      <c r="C1022" s="76" t="n">
        <v>3</v>
      </c>
      <c r="D1022" s="76" t="s">
        <v>91</v>
      </c>
      <c r="E1022" s="76" t="s">
        <v>111</v>
      </c>
      <c r="F1022" s="77" t="s">
        <v>277</v>
      </c>
      <c r="G1022" s="77" t="n">
        <v>4</v>
      </c>
      <c r="H1022" s="77" t="n">
        <v>0</v>
      </c>
      <c r="I1022" s="76" t="n">
        <f aca="false">IF(AND(ISNUMBER(G1022),ISNUMBER(H1022)),MAX(G1022-H1022,0),"")</f>
        <v>4</v>
      </c>
      <c r="J1022" s="78" t="n">
        <f aca="false">IF(AND(ISNUMBER(G1022),ISNUMBER(H1022)),IF(G1022&gt;0,H1022/G1022,""),"")</f>
        <v>0</v>
      </c>
      <c r="K1022" s="77"/>
      <c r="L1022" s="76" t="str">
        <f aca="false">IF(OR(G1022="",H1022=""),"Data tidak lengkap",IF(AND(G1022=0,H1022=0),IF(AND(F1022="",K1022=""),"Tidak dibuka","Tutup"),IF(H1022&gt;G1022,"Lebih kapasitas",IF(H1022=G1022,"Penuh",IF(H1022=0,IF(F1022="","Slot kosong","Belum terisi"),"Sebagian")))))</f>
        <v>Belum terisi</v>
      </c>
      <c r="M1022" s="79" t="str">
        <f aca="false">IF(L1022="Tidak dibuka","–",IF(F1022="","(tanpa age group)",F1022)&amp;"  "&amp;IF(H1022="","?",H1022)&amp;"/"&amp;IF(G1022="","?",G1022)&amp;CHAR(10)&amp;IF(K1022="","coach: –","coach: "&amp;K1022))</f>
        <v>Little  0/4
coach: –</v>
      </c>
    </row>
    <row r="1023" customFormat="false" ht="22.35" hidden="false" customHeight="false" outlineLevel="0" collapsed="false">
      <c r="A1023" s="76" t="str">
        <f aca="false">B1023&amp;"|"&amp;C1023&amp;"|"&amp;D1023&amp;"|"&amp;E1023</f>
        <v>PML|3|Selasa|09:30</v>
      </c>
      <c r="B1023" s="76" t="s">
        <v>65</v>
      </c>
      <c r="C1023" s="76" t="n">
        <v>3</v>
      </c>
      <c r="D1023" s="76" t="s">
        <v>91</v>
      </c>
      <c r="E1023" s="76" t="s">
        <v>112</v>
      </c>
      <c r="F1023" s="77" t="s">
        <v>277</v>
      </c>
      <c r="G1023" s="77" t="n">
        <v>4</v>
      </c>
      <c r="H1023" s="77" t="n">
        <v>2</v>
      </c>
      <c r="I1023" s="76" t="n">
        <f aca="false">IF(AND(ISNUMBER(G1023),ISNUMBER(H1023)),MAX(G1023-H1023,0),"")</f>
        <v>2</v>
      </c>
      <c r="J1023" s="78" t="n">
        <f aca="false">IF(AND(ISNUMBER(G1023),ISNUMBER(H1023)),IF(G1023&gt;0,H1023/G1023,""),"")</f>
        <v>0.5</v>
      </c>
      <c r="K1023" s="77" t="s">
        <v>331</v>
      </c>
      <c r="L1023" s="76" t="str">
        <f aca="false">IF(OR(G1023="",H1023=""),"Data tidak lengkap",IF(AND(G1023=0,H1023=0),IF(AND(F1023="",K1023=""),"Tidak dibuka","Tutup"),IF(H1023&gt;G1023,"Lebih kapasitas",IF(H1023=G1023,"Penuh",IF(H1023=0,IF(F1023="","Slot kosong","Belum terisi"),"Sebagian")))))</f>
        <v>Sebagian</v>
      </c>
      <c r="M1023" s="79" t="str">
        <f aca="false">IF(L1023="Tidak dibuka","–",IF(F1023="","(tanpa age group)",F1023)&amp;"  "&amp;IF(H1023="","?",H1023)&amp;"/"&amp;IF(G1023="","?",G1023)&amp;CHAR(10)&amp;IF(K1023="","coach: –","coach: "&amp;K1023))</f>
        <v>Little  2/4
coach: Damai</v>
      </c>
    </row>
    <row r="1024" customFormat="false" ht="22.35" hidden="false" customHeight="false" outlineLevel="0" collapsed="false">
      <c r="A1024" s="76" t="str">
        <f aca="false">B1024&amp;"|"&amp;C1024&amp;"|"&amp;D1024&amp;"|"&amp;E1024</f>
        <v>PML|3|Selasa|10:15</v>
      </c>
      <c r="B1024" s="76" t="s">
        <v>65</v>
      </c>
      <c r="C1024" s="76" t="n">
        <v>3</v>
      </c>
      <c r="D1024" s="76" t="s">
        <v>91</v>
      </c>
      <c r="E1024" s="76" t="s">
        <v>113</v>
      </c>
      <c r="F1024" s="77" t="s">
        <v>277</v>
      </c>
      <c r="G1024" s="77" t="n">
        <v>4</v>
      </c>
      <c r="H1024" s="77" t="n">
        <v>2</v>
      </c>
      <c r="I1024" s="76" t="n">
        <f aca="false">IF(AND(ISNUMBER(G1024),ISNUMBER(H1024)),MAX(G1024-H1024,0),"")</f>
        <v>2</v>
      </c>
      <c r="J1024" s="78" t="n">
        <f aca="false">IF(AND(ISNUMBER(G1024),ISNUMBER(H1024)),IF(G1024&gt;0,H1024/G1024,""),"")</f>
        <v>0.5</v>
      </c>
      <c r="K1024" s="77" t="s">
        <v>331</v>
      </c>
      <c r="L1024" s="76" t="str">
        <f aca="false">IF(OR(G1024="",H1024=""),"Data tidak lengkap",IF(AND(G1024=0,H1024=0),IF(AND(F1024="",K1024=""),"Tidak dibuka","Tutup"),IF(H1024&gt;G1024,"Lebih kapasitas",IF(H1024=G1024,"Penuh",IF(H1024=0,IF(F1024="","Slot kosong","Belum terisi"),"Sebagian")))))</f>
        <v>Sebagian</v>
      </c>
      <c r="M1024" s="79" t="str">
        <f aca="false">IF(L1024="Tidak dibuka","–",IF(F1024="","(tanpa age group)",F1024)&amp;"  "&amp;IF(H1024="","?",H1024)&amp;"/"&amp;IF(G1024="","?",G1024)&amp;CHAR(10)&amp;IF(K1024="","coach: –","coach: "&amp;K1024))</f>
        <v>Little  2/4
coach: Damai</v>
      </c>
    </row>
    <row r="1025" customFormat="false" ht="22.35" hidden="false" customHeight="false" outlineLevel="0" collapsed="false">
      <c r="A1025" s="76" t="str">
        <f aca="false">B1025&amp;"|"&amp;C1025&amp;"|"&amp;D1025&amp;"|"&amp;E1025</f>
        <v>PML|3|Selasa|11:00</v>
      </c>
      <c r="B1025" s="76" t="s">
        <v>65</v>
      </c>
      <c r="C1025" s="76" t="n">
        <v>3</v>
      </c>
      <c r="D1025" s="76" t="s">
        <v>91</v>
      </c>
      <c r="E1025" s="76" t="s">
        <v>114</v>
      </c>
      <c r="F1025" s="77" t="s">
        <v>277</v>
      </c>
      <c r="G1025" s="77" t="n">
        <v>4</v>
      </c>
      <c r="H1025" s="77" t="n">
        <v>0</v>
      </c>
      <c r="I1025" s="76" t="n">
        <f aca="false">IF(AND(ISNUMBER(G1025),ISNUMBER(H1025)),MAX(G1025-H1025,0),"")</f>
        <v>4</v>
      </c>
      <c r="J1025" s="78" t="n">
        <f aca="false">IF(AND(ISNUMBER(G1025),ISNUMBER(H1025)),IF(G1025&gt;0,H1025/G1025,""),"")</f>
        <v>0</v>
      </c>
      <c r="K1025" s="77"/>
      <c r="L1025" s="76" t="str">
        <f aca="false">IF(OR(G1025="",H1025=""),"Data tidak lengkap",IF(AND(G1025=0,H1025=0),IF(AND(F1025="",K1025=""),"Tidak dibuka","Tutup"),IF(H1025&gt;G1025,"Lebih kapasitas",IF(H1025=G1025,"Penuh",IF(H1025=0,IF(F1025="","Slot kosong","Belum terisi"),"Sebagian")))))</f>
        <v>Belum terisi</v>
      </c>
      <c r="M1025" s="79" t="str">
        <f aca="false">IF(L1025="Tidak dibuka","–",IF(F1025="","(tanpa age group)",F1025)&amp;"  "&amp;IF(H1025="","?",H1025)&amp;"/"&amp;IF(G1025="","?",G1025)&amp;CHAR(10)&amp;IF(K1025="","coach: –","coach: "&amp;K1025))</f>
        <v>Little  0/4
coach: –</v>
      </c>
    </row>
    <row r="1026" customFormat="false" ht="22.35" hidden="false" customHeight="false" outlineLevel="0" collapsed="false">
      <c r="A1026" s="76" t="str">
        <f aca="false">B1026&amp;"|"&amp;C1026&amp;"|"&amp;D1026&amp;"|"&amp;E1026</f>
        <v>PML|3|Selasa|11:45</v>
      </c>
      <c r="B1026" s="76" t="s">
        <v>65</v>
      </c>
      <c r="C1026" s="76" t="n">
        <v>3</v>
      </c>
      <c r="D1026" s="76" t="s">
        <v>91</v>
      </c>
      <c r="E1026" s="76" t="s">
        <v>115</v>
      </c>
      <c r="F1026" s="77" t="s">
        <v>277</v>
      </c>
      <c r="G1026" s="77" t="n">
        <v>0</v>
      </c>
      <c r="H1026" s="77" t="n">
        <v>0</v>
      </c>
      <c r="I1026" s="76" t="n">
        <f aca="false">IF(AND(ISNUMBER(G1026),ISNUMBER(H1026)),MAX(G1026-H1026,0),"")</f>
        <v>0</v>
      </c>
      <c r="J1026" s="78" t="str">
        <f aca="false">IF(AND(ISNUMBER(G1026),ISNUMBER(H1026)),IF(G1026&gt;0,H1026/G1026,""),"")</f>
        <v/>
      </c>
      <c r="K1026" s="77"/>
      <c r="L1026" s="76" t="str">
        <f aca="false">IF(OR(G1026="",H1026=""),"Data tidak lengkap",IF(AND(G1026=0,H1026=0),IF(AND(F1026="",K1026=""),"Tidak dibuka","Tutup"),IF(H1026&gt;G1026,"Lebih kapasitas",IF(H1026=G1026,"Penuh",IF(H1026=0,IF(F1026="","Slot kosong","Belum terisi"),"Sebagian")))))</f>
        <v>Tutup</v>
      </c>
      <c r="M1026" s="79" t="str">
        <f aca="false">IF(L1026="Tidak dibuka","–",IF(F1026="","(tanpa age group)",F1026)&amp;"  "&amp;IF(H1026="","?",H1026)&amp;"/"&amp;IF(G1026="","?",G1026)&amp;CHAR(10)&amp;IF(K1026="","coach: –","coach: "&amp;K1026))</f>
        <v>Little  0/0
coach: –</v>
      </c>
    </row>
    <row r="1027" customFormat="false" ht="22.35" hidden="false" customHeight="false" outlineLevel="0" collapsed="false">
      <c r="A1027" s="76" t="str">
        <f aca="false">B1027&amp;"|"&amp;C1027&amp;"|"&amp;D1027&amp;"|"&amp;E1027</f>
        <v>PML|3|Selasa|13:15</v>
      </c>
      <c r="B1027" s="76" t="s">
        <v>65</v>
      </c>
      <c r="C1027" s="76" t="n">
        <v>3</v>
      </c>
      <c r="D1027" s="76" t="s">
        <v>91</v>
      </c>
      <c r="E1027" s="76" t="s">
        <v>116</v>
      </c>
      <c r="F1027" s="77" t="s">
        <v>277</v>
      </c>
      <c r="G1027" s="77" t="n">
        <v>4</v>
      </c>
      <c r="H1027" s="77" t="n">
        <v>0</v>
      </c>
      <c r="I1027" s="76" t="n">
        <f aca="false">IF(AND(ISNUMBER(G1027),ISNUMBER(H1027)),MAX(G1027-H1027,0),"")</f>
        <v>4</v>
      </c>
      <c r="J1027" s="78" t="n">
        <f aca="false">IF(AND(ISNUMBER(G1027),ISNUMBER(H1027)),IF(G1027&gt;0,H1027/G1027,""),"")</f>
        <v>0</v>
      </c>
      <c r="K1027" s="77"/>
      <c r="L1027" s="76" t="str">
        <f aca="false">IF(OR(G1027="",H1027=""),"Data tidak lengkap",IF(AND(G1027=0,H1027=0),IF(AND(F1027="",K1027=""),"Tidak dibuka","Tutup"),IF(H1027&gt;G1027,"Lebih kapasitas",IF(H1027=G1027,"Penuh",IF(H1027=0,IF(F1027="","Slot kosong","Belum terisi"),"Sebagian")))))</f>
        <v>Belum terisi</v>
      </c>
      <c r="M1027" s="79" t="str">
        <f aca="false">IF(L1027="Tidak dibuka","–",IF(F1027="","(tanpa age group)",F1027)&amp;"  "&amp;IF(H1027="","?",H1027)&amp;"/"&amp;IF(G1027="","?",G1027)&amp;CHAR(10)&amp;IF(K1027="","coach: –","coach: "&amp;K1027))</f>
        <v>Little  0/4
coach: –</v>
      </c>
    </row>
    <row r="1028" customFormat="false" ht="22.35" hidden="false" customHeight="false" outlineLevel="0" collapsed="false">
      <c r="A1028" s="76" t="str">
        <f aca="false">B1028&amp;"|"&amp;C1028&amp;"|"&amp;D1028&amp;"|"&amp;E1028</f>
        <v>PML|3|Selasa|14:00</v>
      </c>
      <c r="B1028" s="76" t="s">
        <v>65</v>
      </c>
      <c r="C1028" s="76" t="n">
        <v>3</v>
      </c>
      <c r="D1028" s="76" t="s">
        <v>91</v>
      </c>
      <c r="E1028" s="76" t="s">
        <v>117</v>
      </c>
      <c r="F1028" s="77" t="s">
        <v>277</v>
      </c>
      <c r="G1028" s="77" t="n">
        <v>4</v>
      </c>
      <c r="H1028" s="77" t="n">
        <v>1</v>
      </c>
      <c r="I1028" s="76" t="n">
        <f aca="false">IF(AND(ISNUMBER(G1028),ISNUMBER(H1028)),MAX(G1028-H1028,0),"")</f>
        <v>3</v>
      </c>
      <c r="J1028" s="78" t="n">
        <f aca="false">IF(AND(ISNUMBER(G1028),ISNUMBER(H1028)),IF(G1028&gt;0,H1028/G1028,""),"")</f>
        <v>0.25</v>
      </c>
      <c r="K1028" s="77" t="s">
        <v>337</v>
      </c>
      <c r="L1028" s="76" t="str">
        <f aca="false">IF(OR(G1028="",H1028=""),"Data tidak lengkap",IF(AND(G1028=0,H1028=0),IF(AND(F1028="",K1028=""),"Tidak dibuka","Tutup"),IF(H1028&gt;G1028,"Lebih kapasitas",IF(H1028=G1028,"Penuh",IF(H1028=0,IF(F1028="","Slot kosong","Belum terisi"),"Sebagian")))))</f>
        <v>Sebagian</v>
      </c>
      <c r="M1028" s="79" t="str">
        <f aca="false">IF(L1028="Tidak dibuka","–",IF(F1028="","(tanpa age group)",F1028)&amp;"  "&amp;IF(H1028="","?",H1028)&amp;"/"&amp;IF(G1028="","?",G1028)&amp;CHAR(10)&amp;IF(K1028="","coach: –","coach: "&amp;K1028))</f>
        <v>Little  1/4
coach: Dadi</v>
      </c>
    </row>
    <row r="1029" customFormat="false" ht="22.35" hidden="false" customHeight="false" outlineLevel="0" collapsed="false">
      <c r="A1029" s="76" t="str">
        <f aca="false">B1029&amp;"|"&amp;C1029&amp;"|"&amp;D1029&amp;"|"&amp;E1029</f>
        <v>PML|3|Selasa|14:45</v>
      </c>
      <c r="B1029" s="76" t="s">
        <v>65</v>
      </c>
      <c r="C1029" s="76" t="n">
        <v>3</v>
      </c>
      <c r="D1029" s="76" t="s">
        <v>91</v>
      </c>
      <c r="E1029" s="76" t="s">
        <v>118</v>
      </c>
      <c r="F1029" s="77" t="s">
        <v>277</v>
      </c>
      <c r="G1029" s="77" t="n">
        <v>4</v>
      </c>
      <c r="H1029" s="77" t="n">
        <v>2</v>
      </c>
      <c r="I1029" s="76" t="n">
        <f aca="false">IF(AND(ISNUMBER(G1029),ISNUMBER(H1029)),MAX(G1029-H1029,0),"")</f>
        <v>2</v>
      </c>
      <c r="J1029" s="78" t="n">
        <f aca="false">IF(AND(ISNUMBER(G1029),ISNUMBER(H1029)),IF(G1029&gt;0,H1029/G1029,""),"")</f>
        <v>0.5</v>
      </c>
      <c r="K1029" s="77" t="s">
        <v>339</v>
      </c>
      <c r="L1029" s="76" t="str">
        <f aca="false">IF(OR(G1029="",H1029=""),"Data tidak lengkap",IF(AND(G1029=0,H1029=0),IF(AND(F1029="",K1029=""),"Tidak dibuka","Tutup"),IF(H1029&gt;G1029,"Lebih kapasitas",IF(H1029=G1029,"Penuh",IF(H1029=0,IF(F1029="","Slot kosong","Belum terisi"),"Sebagian")))))</f>
        <v>Sebagian</v>
      </c>
      <c r="M1029" s="79" t="str">
        <f aca="false">IF(L1029="Tidak dibuka","–",IF(F1029="","(tanpa age group)",F1029)&amp;"  "&amp;IF(H1029="","?",H1029)&amp;"/"&amp;IF(G1029="","?",G1029)&amp;CHAR(10)&amp;IF(K1029="","coach: –","coach: "&amp;K1029))</f>
        <v>Little  2/4
coach: Dyana</v>
      </c>
    </row>
    <row r="1030" customFormat="false" ht="22.35" hidden="false" customHeight="false" outlineLevel="0" collapsed="false">
      <c r="A1030" s="76" t="str">
        <f aca="false">B1030&amp;"|"&amp;C1030&amp;"|"&amp;D1030&amp;"|"&amp;E1030</f>
        <v>PML|3|Selasa|15:30</v>
      </c>
      <c r="B1030" s="76" t="s">
        <v>65</v>
      </c>
      <c r="C1030" s="76" t="n">
        <v>3</v>
      </c>
      <c r="D1030" s="76" t="s">
        <v>91</v>
      </c>
      <c r="E1030" s="76" t="s">
        <v>119</v>
      </c>
      <c r="F1030" s="77" t="s">
        <v>277</v>
      </c>
      <c r="G1030" s="77" t="n">
        <v>4</v>
      </c>
      <c r="H1030" s="77" t="n">
        <v>3</v>
      </c>
      <c r="I1030" s="76" t="n">
        <f aca="false">IF(AND(ISNUMBER(G1030),ISNUMBER(H1030)),MAX(G1030-H1030,0),"")</f>
        <v>1</v>
      </c>
      <c r="J1030" s="78" t="n">
        <f aca="false">IF(AND(ISNUMBER(G1030),ISNUMBER(H1030)),IF(G1030&gt;0,H1030/G1030,""),"")</f>
        <v>0.75</v>
      </c>
      <c r="K1030" s="77" t="s">
        <v>339</v>
      </c>
      <c r="L1030" s="76" t="str">
        <f aca="false">IF(OR(G1030="",H1030=""),"Data tidak lengkap",IF(AND(G1030=0,H1030=0),IF(AND(F1030="",K1030=""),"Tidak dibuka","Tutup"),IF(H1030&gt;G1030,"Lebih kapasitas",IF(H1030=G1030,"Penuh",IF(H1030=0,IF(F1030="","Slot kosong","Belum terisi"),"Sebagian")))))</f>
        <v>Sebagian</v>
      </c>
      <c r="M1030" s="79" t="str">
        <f aca="false">IF(L1030="Tidak dibuka","–",IF(F1030="","(tanpa age group)",F1030)&amp;"  "&amp;IF(H1030="","?",H1030)&amp;"/"&amp;IF(G1030="","?",G1030)&amp;CHAR(10)&amp;IF(K1030="","coach: –","coach: "&amp;K1030))</f>
        <v>Little  3/4
coach: Dyana</v>
      </c>
    </row>
    <row r="1031" customFormat="false" ht="22.35" hidden="false" customHeight="false" outlineLevel="0" collapsed="false">
      <c r="A1031" s="76" t="str">
        <f aca="false">B1031&amp;"|"&amp;C1031&amp;"|"&amp;D1031&amp;"|"&amp;E1031</f>
        <v>PML|3|Selasa|16:15</v>
      </c>
      <c r="B1031" s="76" t="s">
        <v>65</v>
      </c>
      <c r="C1031" s="76" t="n">
        <v>3</v>
      </c>
      <c r="D1031" s="76" t="s">
        <v>91</v>
      </c>
      <c r="E1031" s="76" t="s">
        <v>120</v>
      </c>
      <c r="F1031" s="77" t="s">
        <v>277</v>
      </c>
      <c r="G1031" s="77" t="n">
        <v>4</v>
      </c>
      <c r="H1031" s="77" t="n">
        <v>4</v>
      </c>
      <c r="I1031" s="76" t="n">
        <f aca="false">IF(AND(ISNUMBER(G1031),ISNUMBER(H1031)),MAX(G1031-H1031,0),"")</f>
        <v>0</v>
      </c>
      <c r="J1031" s="78" t="n">
        <f aca="false">IF(AND(ISNUMBER(G1031),ISNUMBER(H1031)),IF(G1031&gt;0,H1031/G1031,""),"")</f>
        <v>1</v>
      </c>
      <c r="K1031" s="77" t="s">
        <v>337</v>
      </c>
      <c r="L1031" s="76" t="str">
        <f aca="false">IF(OR(G1031="",H1031=""),"Data tidak lengkap",IF(AND(G1031=0,H1031=0),IF(AND(F1031="",K1031=""),"Tidak dibuka","Tutup"),IF(H1031&gt;G1031,"Lebih kapasitas",IF(H1031=G1031,"Penuh",IF(H1031=0,IF(F1031="","Slot kosong","Belum terisi"),"Sebagian")))))</f>
        <v>Penuh</v>
      </c>
      <c r="M1031" s="79" t="str">
        <f aca="false">IF(L1031="Tidak dibuka","–",IF(F1031="","(tanpa age group)",F1031)&amp;"  "&amp;IF(H1031="","?",H1031)&amp;"/"&amp;IF(G1031="","?",G1031)&amp;CHAR(10)&amp;IF(K1031="","coach: –","coach: "&amp;K1031))</f>
        <v>Little  4/4
coach: Dadi</v>
      </c>
    </row>
    <row r="1032" customFormat="false" ht="22.35" hidden="false" customHeight="false" outlineLevel="0" collapsed="false">
      <c r="A1032" s="76" t="str">
        <f aca="false">B1032&amp;"|"&amp;C1032&amp;"|"&amp;D1032&amp;"|"&amp;E1032</f>
        <v>PML|3|Selasa|17:00</v>
      </c>
      <c r="B1032" s="76" t="s">
        <v>65</v>
      </c>
      <c r="C1032" s="76" t="n">
        <v>3</v>
      </c>
      <c r="D1032" s="76" t="s">
        <v>91</v>
      </c>
      <c r="E1032" s="76" t="s">
        <v>121</v>
      </c>
      <c r="F1032" s="77" t="s">
        <v>277</v>
      </c>
      <c r="G1032" s="77" t="n">
        <v>4</v>
      </c>
      <c r="H1032" s="77" t="n">
        <v>1</v>
      </c>
      <c r="I1032" s="76" t="n">
        <f aca="false">IF(AND(ISNUMBER(G1032),ISNUMBER(H1032)),MAX(G1032-H1032,0),"")</f>
        <v>3</v>
      </c>
      <c r="J1032" s="78" t="n">
        <f aca="false">IF(AND(ISNUMBER(G1032),ISNUMBER(H1032)),IF(G1032&gt;0,H1032/G1032,""),"")</f>
        <v>0.25</v>
      </c>
      <c r="K1032" s="77" t="s">
        <v>337</v>
      </c>
      <c r="L1032" s="76" t="str">
        <f aca="false">IF(OR(G1032="",H1032=""),"Data tidak lengkap",IF(AND(G1032=0,H1032=0),IF(AND(F1032="",K1032=""),"Tidak dibuka","Tutup"),IF(H1032&gt;G1032,"Lebih kapasitas",IF(H1032=G1032,"Penuh",IF(H1032=0,IF(F1032="","Slot kosong","Belum terisi"),"Sebagian")))))</f>
        <v>Sebagian</v>
      </c>
      <c r="M1032" s="79" t="str">
        <f aca="false">IF(L1032="Tidak dibuka","–",IF(F1032="","(tanpa age group)",F1032)&amp;"  "&amp;IF(H1032="","?",H1032)&amp;"/"&amp;IF(G1032="","?",G1032)&amp;CHAR(10)&amp;IF(K1032="","coach: –","coach: "&amp;K1032))</f>
        <v>Little  1/4
coach: Dadi</v>
      </c>
    </row>
    <row r="1033" customFormat="false" ht="22.35" hidden="false" customHeight="false" outlineLevel="0" collapsed="false">
      <c r="A1033" s="76" t="str">
        <f aca="false">B1033&amp;"|"&amp;C1033&amp;"|"&amp;D1033&amp;"|"&amp;E1033</f>
        <v>PML|3|Rabu|08:00</v>
      </c>
      <c r="B1033" s="76" t="s">
        <v>65</v>
      </c>
      <c r="C1033" s="76" t="n">
        <v>3</v>
      </c>
      <c r="D1033" s="76" t="s">
        <v>92</v>
      </c>
      <c r="E1033" s="76" t="s">
        <v>110</v>
      </c>
      <c r="F1033" s="77" t="s">
        <v>277</v>
      </c>
      <c r="G1033" s="77" t="n">
        <v>0</v>
      </c>
      <c r="H1033" s="77" t="n">
        <v>0</v>
      </c>
      <c r="I1033" s="76" t="n">
        <f aca="false">IF(AND(ISNUMBER(G1033),ISNUMBER(H1033)),MAX(G1033-H1033,0),"")</f>
        <v>0</v>
      </c>
      <c r="J1033" s="78" t="str">
        <f aca="false">IF(AND(ISNUMBER(G1033),ISNUMBER(H1033)),IF(G1033&gt;0,H1033/G1033,""),"")</f>
        <v/>
      </c>
      <c r="K1033" s="77"/>
      <c r="L1033" s="76" t="str">
        <f aca="false">IF(OR(G1033="",H1033=""),"Data tidak lengkap",IF(AND(G1033=0,H1033=0),IF(AND(F1033="",K1033=""),"Tidak dibuka","Tutup"),IF(H1033&gt;G1033,"Lebih kapasitas",IF(H1033=G1033,"Penuh",IF(H1033=0,IF(F1033="","Slot kosong","Belum terisi"),"Sebagian")))))</f>
        <v>Tutup</v>
      </c>
      <c r="M1033" s="79" t="str">
        <f aca="false">IF(L1033="Tidak dibuka","–",IF(F1033="","(tanpa age group)",F1033)&amp;"  "&amp;IF(H1033="","?",H1033)&amp;"/"&amp;IF(G1033="","?",G1033)&amp;CHAR(10)&amp;IF(K1033="","coach: –","coach: "&amp;K1033))</f>
        <v>Little  0/0
coach: –</v>
      </c>
    </row>
    <row r="1034" customFormat="false" ht="22.35" hidden="false" customHeight="false" outlineLevel="0" collapsed="false">
      <c r="A1034" s="76" t="str">
        <f aca="false">B1034&amp;"|"&amp;C1034&amp;"|"&amp;D1034&amp;"|"&amp;E1034</f>
        <v>PML|3|Rabu|08:45</v>
      </c>
      <c r="B1034" s="76" t="s">
        <v>65</v>
      </c>
      <c r="C1034" s="76" t="n">
        <v>3</v>
      </c>
      <c r="D1034" s="76" t="s">
        <v>92</v>
      </c>
      <c r="E1034" s="76" t="s">
        <v>111</v>
      </c>
      <c r="F1034" s="77" t="s">
        <v>277</v>
      </c>
      <c r="G1034" s="77" t="n">
        <v>4</v>
      </c>
      <c r="H1034" s="77" t="n">
        <v>0</v>
      </c>
      <c r="I1034" s="76" t="n">
        <f aca="false">IF(AND(ISNUMBER(G1034),ISNUMBER(H1034)),MAX(G1034-H1034,0),"")</f>
        <v>4</v>
      </c>
      <c r="J1034" s="78" t="n">
        <f aca="false">IF(AND(ISNUMBER(G1034),ISNUMBER(H1034)),IF(G1034&gt;0,H1034/G1034,""),"")</f>
        <v>0</v>
      </c>
      <c r="K1034" s="77"/>
      <c r="L1034" s="76" t="str">
        <f aca="false">IF(OR(G1034="",H1034=""),"Data tidak lengkap",IF(AND(G1034=0,H1034=0),IF(AND(F1034="",K1034=""),"Tidak dibuka","Tutup"),IF(H1034&gt;G1034,"Lebih kapasitas",IF(H1034=G1034,"Penuh",IF(H1034=0,IF(F1034="","Slot kosong","Belum terisi"),"Sebagian")))))</f>
        <v>Belum terisi</v>
      </c>
      <c r="M1034" s="79" t="str">
        <f aca="false">IF(L1034="Tidak dibuka","–",IF(F1034="","(tanpa age group)",F1034)&amp;"  "&amp;IF(H1034="","?",H1034)&amp;"/"&amp;IF(G1034="","?",G1034)&amp;CHAR(10)&amp;IF(K1034="","coach: –","coach: "&amp;K1034))</f>
        <v>Little  0/4
coach: –</v>
      </c>
    </row>
    <row r="1035" customFormat="false" ht="22.35" hidden="false" customHeight="false" outlineLevel="0" collapsed="false">
      <c r="A1035" s="76" t="str">
        <f aca="false">B1035&amp;"|"&amp;C1035&amp;"|"&amp;D1035&amp;"|"&amp;E1035</f>
        <v>PML|3|Rabu|09:30</v>
      </c>
      <c r="B1035" s="76" t="s">
        <v>65</v>
      </c>
      <c r="C1035" s="76" t="n">
        <v>3</v>
      </c>
      <c r="D1035" s="76" t="s">
        <v>92</v>
      </c>
      <c r="E1035" s="76" t="s">
        <v>112</v>
      </c>
      <c r="F1035" s="77" t="s">
        <v>277</v>
      </c>
      <c r="G1035" s="77" t="n">
        <v>4</v>
      </c>
      <c r="H1035" s="77" t="n">
        <v>0</v>
      </c>
      <c r="I1035" s="76" t="n">
        <f aca="false">IF(AND(ISNUMBER(G1035),ISNUMBER(H1035)),MAX(G1035-H1035,0),"")</f>
        <v>4</v>
      </c>
      <c r="J1035" s="78" t="n">
        <f aca="false">IF(AND(ISNUMBER(G1035),ISNUMBER(H1035)),IF(G1035&gt;0,H1035/G1035,""),"")</f>
        <v>0</v>
      </c>
      <c r="K1035" s="77"/>
      <c r="L1035" s="76" t="str">
        <f aca="false">IF(OR(G1035="",H1035=""),"Data tidak lengkap",IF(AND(G1035=0,H1035=0),IF(AND(F1035="",K1035=""),"Tidak dibuka","Tutup"),IF(H1035&gt;G1035,"Lebih kapasitas",IF(H1035=G1035,"Penuh",IF(H1035=0,IF(F1035="","Slot kosong","Belum terisi"),"Sebagian")))))</f>
        <v>Belum terisi</v>
      </c>
      <c r="M1035" s="79" t="str">
        <f aca="false">IF(L1035="Tidak dibuka","–",IF(F1035="","(tanpa age group)",F1035)&amp;"  "&amp;IF(H1035="","?",H1035)&amp;"/"&amp;IF(G1035="","?",G1035)&amp;CHAR(10)&amp;IF(K1035="","coach: –","coach: "&amp;K1035))</f>
        <v>Little  0/4
coach: –</v>
      </c>
    </row>
    <row r="1036" customFormat="false" ht="22.35" hidden="false" customHeight="false" outlineLevel="0" collapsed="false">
      <c r="A1036" s="76" t="str">
        <f aca="false">B1036&amp;"|"&amp;C1036&amp;"|"&amp;D1036&amp;"|"&amp;E1036</f>
        <v>PML|3|Rabu|10:15</v>
      </c>
      <c r="B1036" s="76" t="s">
        <v>65</v>
      </c>
      <c r="C1036" s="76" t="n">
        <v>3</v>
      </c>
      <c r="D1036" s="76" t="s">
        <v>92</v>
      </c>
      <c r="E1036" s="76" t="s">
        <v>113</v>
      </c>
      <c r="F1036" s="77" t="s">
        <v>277</v>
      </c>
      <c r="G1036" s="77" t="n">
        <v>4</v>
      </c>
      <c r="H1036" s="77" t="n">
        <v>0</v>
      </c>
      <c r="I1036" s="76" t="n">
        <f aca="false">IF(AND(ISNUMBER(G1036),ISNUMBER(H1036)),MAX(G1036-H1036,0),"")</f>
        <v>4</v>
      </c>
      <c r="J1036" s="78" t="n">
        <f aca="false">IF(AND(ISNUMBER(G1036),ISNUMBER(H1036)),IF(G1036&gt;0,H1036/G1036,""),"")</f>
        <v>0</v>
      </c>
      <c r="K1036" s="77"/>
      <c r="L1036" s="76" t="str">
        <f aca="false">IF(OR(G1036="",H1036=""),"Data tidak lengkap",IF(AND(G1036=0,H1036=0),IF(AND(F1036="",K1036=""),"Tidak dibuka","Tutup"),IF(H1036&gt;G1036,"Lebih kapasitas",IF(H1036=G1036,"Penuh",IF(H1036=0,IF(F1036="","Slot kosong","Belum terisi"),"Sebagian")))))</f>
        <v>Belum terisi</v>
      </c>
      <c r="M1036" s="79" t="str">
        <f aca="false">IF(L1036="Tidak dibuka","–",IF(F1036="","(tanpa age group)",F1036)&amp;"  "&amp;IF(H1036="","?",H1036)&amp;"/"&amp;IF(G1036="","?",G1036)&amp;CHAR(10)&amp;IF(K1036="","coach: –","coach: "&amp;K1036))</f>
        <v>Little  0/4
coach: –</v>
      </c>
    </row>
    <row r="1037" customFormat="false" ht="22.35" hidden="false" customHeight="false" outlineLevel="0" collapsed="false">
      <c r="A1037" s="76" t="str">
        <f aca="false">B1037&amp;"|"&amp;C1037&amp;"|"&amp;D1037&amp;"|"&amp;E1037</f>
        <v>PML|3|Rabu|11:00</v>
      </c>
      <c r="B1037" s="76" t="s">
        <v>65</v>
      </c>
      <c r="C1037" s="76" t="n">
        <v>3</v>
      </c>
      <c r="D1037" s="76" t="s">
        <v>92</v>
      </c>
      <c r="E1037" s="76" t="s">
        <v>114</v>
      </c>
      <c r="F1037" s="77" t="s">
        <v>277</v>
      </c>
      <c r="G1037" s="77" t="n">
        <v>4</v>
      </c>
      <c r="H1037" s="77" t="n">
        <v>2</v>
      </c>
      <c r="I1037" s="76" t="n">
        <f aca="false">IF(AND(ISNUMBER(G1037),ISNUMBER(H1037)),MAX(G1037-H1037,0),"")</f>
        <v>2</v>
      </c>
      <c r="J1037" s="78" t="n">
        <f aca="false">IF(AND(ISNUMBER(G1037),ISNUMBER(H1037)),IF(G1037&gt;0,H1037/G1037,""),"")</f>
        <v>0.5</v>
      </c>
      <c r="K1037" s="77" t="s">
        <v>333</v>
      </c>
      <c r="L1037" s="76" t="str">
        <f aca="false">IF(OR(G1037="",H1037=""),"Data tidak lengkap",IF(AND(G1037=0,H1037=0),IF(AND(F1037="",K1037=""),"Tidak dibuka","Tutup"),IF(H1037&gt;G1037,"Lebih kapasitas",IF(H1037=G1037,"Penuh",IF(H1037=0,IF(F1037="","Slot kosong","Belum terisi"),"Sebagian")))))</f>
        <v>Sebagian</v>
      </c>
      <c r="M1037" s="79" t="str">
        <f aca="false">IF(L1037="Tidak dibuka","–",IF(F1037="","(tanpa age group)",F1037)&amp;"  "&amp;IF(H1037="","?",H1037)&amp;"/"&amp;IF(G1037="","?",G1037)&amp;CHAR(10)&amp;IF(K1037="","coach: –","coach: "&amp;K1037))</f>
        <v>Little  2/4
coach: Zidan</v>
      </c>
    </row>
    <row r="1038" customFormat="false" ht="22.35" hidden="false" customHeight="false" outlineLevel="0" collapsed="false">
      <c r="A1038" s="76" t="str">
        <f aca="false">B1038&amp;"|"&amp;C1038&amp;"|"&amp;D1038&amp;"|"&amp;E1038</f>
        <v>PML|3|Rabu|11:45</v>
      </c>
      <c r="B1038" s="76" t="s">
        <v>65</v>
      </c>
      <c r="C1038" s="76" t="n">
        <v>3</v>
      </c>
      <c r="D1038" s="76" t="s">
        <v>92</v>
      </c>
      <c r="E1038" s="76" t="s">
        <v>115</v>
      </c>
      <c r="F1038" s="77" t="s">
        <v>277</v>
      </c>
      <c r="G1038" s="77" t="n">
        <v>0</v>
      </c>
      <c r="H1038" s="77" t="n">
        <v>0</v>
      </c>
      <c r="I1038" s="76" t="n">
        <f aca="false">IF(AND(ISNUMBER(G1038),ISNUMBER(H1038)),MAX(G1038-H1038,0),"")</f>
        <v>0</v>
      </c>
      <c r="J1038" s="78" t="str">
        <f aca="false">IF(AND(ISNUMBER(G1038),ISNUMBER(H1038)),IF(G1038&gt;0,H1038/G1038,""),"")</f>
        <v/>
      </c>
      <c r="K1038" s="77"/>
      <c r="L1038" s="76" t="str">
        <f aca="false">IF(OR(G1038="",H1038=""),"Data tidak lengkap",IF(AND(G1038=0,H1038=0),IF(AND(F1038="",K1038=""),"Tidak dibuka","Tutup"),IF(H1038&gt;G1038,"Lebih kapasitas",IF(H1038=G1038,"Penuh",IF(H1038=0,IF(F1038="","Slot kosong","Belum terisi"),"Sebagian")))))</f>
        <v>Tutup</v>
      </c>
      <c r="M1038" s="79" t="str">
        <f aca="false">IF(L1038="Tidak dibuka","–",IF(F1038="","(tanpa age group)",F1038)&amp;"  "&amp;IF(H1038="","?",H1038)&amp;"/"&amp;IF(G1038="","?",G1038)&amp;CHAR(10)&amp;IF(K1038="","coach: –","coach: "&amp;K1038))</f>
        <v>Little  0/0
coach: –</v>
      </c>
    </row>
    <row r="1039" customFormat="false" ht="22.35" hidden="false" customHeight="false" outlineLevel="0" collapsed="false">
      <c r="A1039" s="76" t="str">
        <f aca="false">B1039&amp;"|"&amp;C1039&amp;"|"&amp;D1039&amp;"|"&amp;E1039</f>
        <v>PML|3|Rabu|13:15</v>
      </c>
      <c r="B1039" s="76" t="s">
        <v>65</v>
      </c>
      <c r="C1039" s="76" t="n">
        <v>3</v>
      </c>
      <c r="D1039" s="76" t="s">
        <v>92</v>
      </c>
      <c r="E1039" s="76" t="s">
        <v>116</v>
      </c>
      <c r="F1039" s="77" t="s">
        <v>277</v>
      </c>
      <c r="G1039" s="77" t="n">
        <v>4</v>
      </c>
      <c r="H1039" s="77" t="n">
        <v>0</v>
      </c>
      <c r="I1039" s="76" t="n">
        <f aca="false">IF(AND(ISNUMBER(G1039),ISNUMBER(H1039)),MAX(G1039-H1039,0),"")</f>
        <v>4</v>
      </c>
      <c r="J1039" s="78" t="n">
        <f aca="false">IF(AND(ISNUMBER(G1039),ISNUMBER(H1039)),IF(G1039&gt;0,H1039/G1039,""),"")</f>
        <v>0</v>
      </c>
      <c r="K1039" s="77"/>
      <c r="L1039" s="76" t="str">
        <f aca="false">IF(OR(G1039="",H1039=""),"Data tidak lengkap",IF(AND(G1039=0,H1039=0),IF(AND(F1039="",K1039=""),"Tidak dibuka","Tutup"),IF(H1039&gt;G1039,"Lebih kapasitas",IF(H1039=G1039,"Penuh",IF(H1039=0,IF(F1039="","Slot kosong","Belum terisi"),"Sebagian")))))</f>
        <v>Belum terisi</v>
      </c>
      <c r="M1039" s="79" t="str">
        <f aca="false">IF(L1039="Tidak dibuka","–",IF(F1039="","(tanpa age group)",F1039)&amp;"  "&amp;IF(H1039="","?",H1039)&amp;"/"&amp;IF(G1039="","?",G1039)&amp;CHAR(10)&amp;IF(K1039="","coach: –","coach: "&amp;K1039))</f>
        <v>Little  0/4
coach: –</v>
      </c>
    </row>
    <row r="1040" customFormat="false" ht="22.35" hidden="false" customHeight="false" outlineLevel="0" collapsed="false">
      <c r="A1040" s="76" t="str">
        <f aca="false">B1040&amp;"|"&amp;C1040&amp;"|"&amp;D1040&amp;"|"&amp;E1040</f>
        <v>PML|3|Rabu|14:00</v>
      </c>
      <c r="B1040" s="76" t="s">
        <v>65</v>
      </c>
      <c r="C1040" s="76" t="n">
        <v>3</v>
      </c>
      <c r="D1040" s="76" t="s">
        <v>92</v>
      </c>
      <c r="E1040" s="76" t="s">
        <v>117</v>
      </c>
      <c r="F1040" s="77" t="s">
        <v>277</v>
      </c>
      <c r="G1040" s="77" t="n">
        <v>4</v>
      </c>
      <c r="H1040" s="77" t="n">
        <v>4</v>
      </c>
      <c r="I1040" s="76" t="n">
        <f aca="false">IF(AND(ISNUMBER(G1040),ISNUMBER(H1040)),MAX(G1040-H1040,0),"")</f>
        <v>0</v>
      </c>
      <c r="J1040" s="78" t="n">
        <f aca="false">IF(AND(ISNUMBER(G1040),ISNUMBER(H1040)),IF(G1040&gt;0,H1040/G1040,""),"")</f>
        <v>1</v>
      </c>
      <c r="K1040" s="77" t="s">
        <v>330</v>
      </c>
      <c r="L1040" s="76" t="str">
        <f aca="false">IF(OR(G1040="",H1040=""),"Data tidak lengkap",IF(AND(G1040=0,H1040=0),IF(AND(F1040="",K1040=""),"Tidak dibuka","Tutup"),IF(H1040&gt;G1040,"Lebih kapasitas",IF(H1040=G1040,"Penuh",IF(H1040=0,IF(F1040="","Slot kosong","Belum terisi"),"Sebagian")))))</f>
        <v>Penuh</v>
      </c>
      <c r="M1040" s="79" t="str">
        <f aca="false">IF(L1040="Tidak dibuka","–",IF(F1040="","(tanpa age group)",F1040)&amp;"  "&amp;IF(H1040="","?",H1040)&amp;"/"&amp;IF(G1040="","?",G1040)&amp;CHAR(10)&amp;IF(K1040="","coach: –","coach: "&amp;K1040))</f>
        <v>Little  4/4
coach: Indah</v>
      </c>
    </row>
    <row r="1041" customFormat="false" ht="22.35" hidden="false" customHeight="false" outlineLevel="0" collapsed="false">
      <c r="A1041" s="76" t="str">
        <f aca="false">B1041&amp;"|"&amp;C1041&amp;"|"&amp;D1041&amp;"|"&amp;E1041</f>
        <v>PML|3|Rabu|14:45</v>
      </c>
      <c r="B1041" s="76" t="s">
        <v>65</v>
      </c>
      <c r="C1041" s="76" t="n">
        <v>3</v>
      </c>
      <c r="D1041" s="76" t="s">
        <v>92</v>
      </c>
      <c r="E1041" s="76" t="s">
        <v>118</v>
      </c>
      <c r="F1041" s="77" t="s">
        <v>277</v>
      </c>
      <c r="G1041" s="77" t="n">
        <v>0</v>
      </c>
      <c r="H1041" s="77" t="n">
        <v>3</v>
      </c>
      <c r="I1041" s="76" t="n">
        <f aca="false">IF(AND(ISNUMBER(G1041),ISNUMBER(H1041)),MAX(G1041-H1041,0),"")</f>
        <v>0</v>
      </c>
      <c r="J1041" s="78" t="str">
        <f aca="false">IF(AND(ISNUMBER(G1041),ISNUMBER(H1041)),IF(G1041&gt;0,H1041/G1041,""),"")</f>
        <v/>
      </c>
      <c r="K1041" s="77" t="s">
        <v>337</v>
      </c>
      <c r="L1041" s="76" t="str">
        <f aca="false">IF(OR(G1041="",H1041=""),"Data tidak lengkap",IF(AND(G1041=0,H1041=0),IF(AND(F1041="",K1041=""),"Tidak dibuka","Tutup"),IF(H1041&gt;G1041,"Lebih kapasitas",IF(H1041=G1041,"Penuh",IF(H1041=0,IF(F1041="","Slot kosong","Belum terisi"),"Sebagian")))))</f>
        <v>Lebih kapasitas</v>
      </c>
      <c r="M1041" s="79" t="str">
        <f aca="false">IF(L1041="Tidak dibuka","–",IF(F1041="","(tanpa age group)",F1041)&amp;"  "&amp;IF(H1041="","?",H1041)&amp;"/"&amp;IF(G1041="","?",G1041)&amp;CHAR(10)&amp;IF(K1041="","coach: –","coach: "&amp;K1041))</f>
        <v>Little  3/0
coach: Dadi</v>
      </c>
    </row>
    <row r="1042" customFormat="false" ht="22.35" hidden="false" customHeight="false" outlineLevel="0" collapsed="false">
      <c r="A1042" s="76" t="str">
        <f aca="false">B1042&amp;"|"&amp;C1042&amp;"|"&amp;D1042&amp;"|"&amp;E1042</f>
        <v>PML|3|Rabu|15:30</v>
      </c>
      <c r="B1042" s="76" t="s">
        <v>65</v>
      </c>
      <c r="C1042" s="76" t="n">
        <v>3</v>
      </c>
      <c r="D1042" s="76" t="s">
        <v>92</v>
      </c>
      <c r="E1042" s="76" t="s">
        <v>119</v>
      </c>
      <c r="F1042" s="77" t="s">
        <v>277</v>
      </c>
      <c r="G1042" s="77" t="n">
        <v>4</v>
      </c>
      <c r="H1042" s="77" t="n">
        <v>4</v>
      </c>
      <c r="I1042" s="76" t="n">
        <f aca="false">IF(AND(ISNUMBER(G1042),ISNUMBER(H1042)),MAX(G1042-H1042,0),"")</f>
        <v>0</v>
      </c>
      <c r="J1042" s="78" t="n">
        <f aca="false">IF(AND(ISNUMBER(G1042),ISNUMBER(H1042)),IF(G1042&gt;0,H1042/G1042,""),"")</f>
        <v>1</v>
      </c>
      <c r="K1042" s="77" t="s">
        <v>330</v>
      </c>
      <c r="L1042" s="76" t="str">
        <f aca="false">IF(OR(G1042="",H1042=""),"Data tidak lengkap",IF(AND(G1042=0,H1042=0),IF(AND(F1042="",K1042=""),"Tidak dibuka","Tutup"),IF(H1042&gt;G1042,"Lebih kapasitas",IF(H1042=G1042,"Penuh",IF(H1042=0,IF(F1042="","Slot kosong","Belum terisi"),"Sebagian")))))</f>
        <v>Penuh</v>
      </c>
      <c r="M1042" s="79" t="str">
        <f aca="false">IF(L1042="Tidak dibuka","–",IF(F1042="","(tanpa age group)",F1042)&amp;"  "&amp;IF(H1042="","?",H1042)&amp;"/"&amp;IF(G1042="","?",G1042)&amp;CHAR(10)&amp;IF(K1042="","coach: –","coach: "&amp;K1042))</f>
        <v>Little  4/4
coach: Indah</v>
      </c>
    </row>
    <row r="1043" customFormat="false" ht="22.35" hidden="false" customHeight="false" outlineLevel="0" collapsed="false">
      <c r="A1043" s="76" t="str">
        <f aca="false">B1043&amp;"|"&amp;C1043&amp;"|"&amp;D1043&amp;"|"&amp;E1043</f>
        <v>PML|3|Rabu|16:15</v>
      </c>
      <c r="B1043" s="76" t="s">
        <v>65</v>
      </c>
      <c r="C1043" s="76" t="n">
        <v>3</v>
      </c>
      <c r="D1043" s="76" t="s">
        <v>92</v>
      </c>
      <c r="E1043" s="76" t="s">
        <v>120</v>
      </c>
      <c r="F1043" s="77" t="s">
        <v>277</v>
      </c>
      <c r="G1043" s="77" t="n">
        <v>4</v>
      </c>
      <c r="H1043" s="77" t="n">
        <v>3</v>
      </c>
      <c r="I1043" s="76" t="n">
        <f aca="false">IF(AND(ISNUMBER(G1043),ISNUMBER(H1043)),MAX(G1043-H1043,0),"")</f>
        <v>1</v>
      </c>
      <c r="J1043" s="78" t="n">
        <f aca="false">IF(AND(ISNUMBER(G1043),ISNUMBER(H1043)),IF(G1043&gt;0,H1043/G1043,""),"")</f>
        <v>0.75</v>
      </c>
      <c r="K1043" s="77" t="s">
        <v>330</v>
      </c>
      <c r="L1043" s="76" t="str">
        <f aca="false">IF(OR(G1043="",H1043=""),"Data tidak lengkap",IF(AND(G1043=0,H1043=0),IF(AND(F1043="",K1043=""),"Tidak dibuka","Tutup"),IF(H1043&gt;G1043,"Lebih kapasitas",IF(H1043=G1043,"Penuh",IF(H1043=0,IF(F1043="","Slot kosong","Belum terisi"),"Sebagian")))))</f>
        <v>Sebagian</v>
      </c>
      <c r="M1043" s="79" t="str">
        <f aca="false">IF(L1043="Tidak dibuka","–",IF(F1043="","(tanpa age group)",F1043)&amp;"  "&amp;IF(H1043="","?",H1043)&amp;"/"&amp;IF(G1043="","?",G1043)&amp;CHAR(10)&amp;IF(K1043="","coach: –","coach: "&amp;K1043))</f>
        <v>Little  3/4
coach: Indah</v>
      </c>
    </row>
    <row r="1044" customFormat="false" ht="22.35" hidden="false" customHeight="false" outlineLevel="0" collapsed="false">
      <c r="A1044" s="76" t="str">
        <f aca="false">B1044&amp;"|"&amp;C1044&amp;"|"&amp;D1044&amp;"|"&amp;E1044</f>
        <v>PML|3|Rabu|17:00</v>
      </c>
      <c r="B1044" s="76" t="s">
        <v>65</v>
      </c>
      <c r="C1044" s="76" t="n">
        <v>3</v>
      </c>
      <c r="D1044" s="76" t="s">
        <v>92</v>
      </c>
      <c r="E1044" s="76" t="s">
        <v>121</v>
      </c>
      <c r="F1044" s="77" t="s">
        <v>277</v>
      </c>
      <c r="G1044" s="77" t="n">
        <v>4</v>
      </c>
      <c r="H1044" s="77" t="n">
        <v>3</v>
      </c>
      <c r="I1044" s="76" t="n">
        <f aca="false">IF(AND(ISNUMBER(G1044),ISNUMBER(H1044)),MAX(G1044-H1044,0),"")</f>
        <v>1</v>
      </c>
      <c r="J1044" s="78" t="n">
        <f aca="false">IF(AND(ISNUMBER(G1044),ISNUMBER(H1044)),IF(G1044&gt;0,H1044/G1044,""),"")</f>
        <v>0.75</v>
      </c>
      <c r="K1044" s="77" t="s">
        <v>337</v>
      </c>
      <c r="L1044" s="76" t="str">
        <f aca="false">IF(OR(G1044="",H1044=""),"Data tidak lengkap",IF(AND(G1044=0,H1044=0),IF(AND(F1044="",K1044=""),"Tidak dibuka","Tutup"),IF(H1044&gt;G1044,"Lebih kapasitas",IF(H1044=G1044,"Penuh",IF(H1044=0,IF(F1044="","Slot kosong","Belum terisi"),"Sebagian")))))</f>
        <v>Sebagian</v>
      </c>
      <c r="M1044" s="79" t="str">
        <f aca="false">IF(L1044="Tidak dibuka","–",IF(F1044="","(tanpa age group)",F1044)&amp;"  "&amp;IF(H1044="","?",H1044)&amp;"/"&amp;IF(G1044="","?",G1044)&amp;CHAR(10)&amp;IF(K1044="","coach: –","coach: "&amp;K1044))</f>
        <v>Little  3/4
coach: Dadi</v>
      </c>
    </row>
    <row r="1045" customFormat="false" ht="22.35" hidden="false" customHeight="false" outlineLevel="0" collapsed="false">
      <c r="A1045" s="76" t="str">
        <f aca="false">B1045&amp;"|"&amp;C1045&amp;"|"&amp;D1045&amp;"|"&amp;E1045</f>
        <v>PML|3|Kamis|08:00</v>
      </c>
      <c r="B1045" s="76" t="s">
        <v>65</v>
      </c>
      <c r="C1045" s="76" t="n">
        <v>3</v>
      </c>
      <c r="D1045" s="76" t="s">
        <v>93</v>
      </c>
      <c r="E1045" s="76" t="s">
        <v>110</v>
      </c>
      <c r="F1045" s="77" t="s">
        <v>277</v>
      </c>
      <c r="G1045" s="77" t="n">
        <v>0</v>
      </c>
      <c r="H1045" s="77" t="n">
        <v>0</v>
      </c>
      <c r="I1045" s="76" t="n">
        <f aca="false">IF(AND(ISNUMBER(G1045),ISNUMBER(H1045)),MAX(G1045-H1045,0),"")</f>
        <v>0</v>
      </c>
      <c r="J1045" s="78" t="str">
        <f aca="false">IF(AND(ISNUMBER(G1045),ISNUMBER(H1045)),IF(G1045&gt;0,H1045/G1045,""),"")</f>
        <v/>
      </c>
      <c r="K1045" s="77"/>
      <c r="L1045" s="76" t="str">
        <f aca="false">IF(OR(G1045="",H1045=""),"Data tidak lengkap",IF(AND(G1045=0,H1045=0),IF(AND(F1045="",K1045=""),"Tidak dibuka","Tutup"),IF(H1045&gt;G1045,"Lebih kapasitas",IF(H1045=G1045,"Penuh",IF(H1045=0,IF(F1045="","Slot kosong","Belum terisi"),"Sebagian")))))</f>
        <v>Tutup</v>
      </c>
      <c r="M1045" s="79" t="str">
        <f aca="false">IF(L1045="Tidak dibuka","–",IF(F1045="","(tanpa age group)",F1045)&amp;"  "&amp;IF(H1045="","?",H1045)&amp;"/"&amp;IF(G1045="","?",G1045)&amp;CHAR(10)&amp;IF(K1045="","coach: –","coach: "&amp;K1045))</f>
        <v>Little  0/0
coach: –</v>
      </c>
    </row>
    <row r="1046" customFormat="false" ht="22.35" hidden="false" customHeight="false" outlineLevel="0" collapsed="false">
      <c r="A1046" s="76" t="str">
        <f aca="false">B1046&amp;"|"&amp;C1046&amp;"|"&amp;D1046&amp;"|"&amp;E1046</f>
        <v>PML|3|Kamis|08:45</v>
      </c>
      <c r="B1046" s="76" t="s">
        <v>65</v>
      </c>
      <c r="C1046" s="76" t="n">
        <v>3</v>
      </c>
      <c r="D1046" s="76" t="s">
        <v>93</v>
      </c>
      <c r="E1046" s="76" t="s">
        <v>111</v>
      </c>
      <c r="F1046" s="77" t="s">
        <v>277</v>
      </c>
      <c r="G1046" s="77" t="n">
        <v>4</v>
      </c>
      <c r="H1046" s="77" t="n">
        <v>0</v>
      </c>
      <c r="I1046" s="76" t="n">
        <f aca="false">IF(AND(ISNUMBER(G1046),ISNUMBER(H1046)),MAX(G1046-H1046,0),"")</f>
        <v>4</v>
      </c>
      <c r="J1046" s="78" t="n">
        <f aca="false">IF(AND(ISNUMBER(G1046),ISNUMBER(H1046)),IF(G1046&gt;0,H1046/G1046,""),"")</f>
        <v>0</v>
      </c>
      <c r="K1046" s="77"/>
      <c r="L1046" s="76" t="str">
        <f aca="false">IF(OR(G1046="",H1046=""),"Data tidak lengkap",IF(AND(G1046=0,H1046=0),IF(AND(F1046="",K1046=""),"Tidak dibuka","Tutup"),IF(H1046&gt;G1046,"Lebih kapasitas",IF(H1046=G1046,"Penuh",IF(H1046=0,IF(F1046="","Slot kosong","Belum terisi"),"Sebagian")))))</f>
        <v>Belum terisi</v>
      </c>
      <c r="M1046" s="79" t="str">
        <f aca="false">IF(L1046="Tidak dibuka","–",IF(F1046="","(tanpa age group)",F1046)&amp;"  "&amp;IF(H1046="","?",H1046)&amp;"/"&amp;IF(G1046="","?",G1046)&amp;CHAR(10)&amp;IF(K1046="","coach: –","coach: "&amp;K1046))</f>
        <v>Little  0/4
coach: –</v>
      </c>
    </row>
    <row r="1047" customFormat="false" ht="22.35" hidden="false" customHeight="false" outlineLevel="0" collapsed="false">
      <c r="A1047" s="76" t="str">
        <f aca="false">B1047&amp;"|"&amp;C1047&amp;"|"&amp;D1047&amp;"|"&amp;E1047</f>
        <v>PML|3|Kamis|09:30</v>
      </c>
      <c r="B1047" s="76" t="s">
        <v>65</v>
      </c>
      <c r="C1047" s="76" t="n">
        <v>3</v>
      </c>
      <c r="D1047" s="76" t="s">
        <v>93</v>
      </c>
      <c r="E1047" s="76" t="s">
        <v>112</v>
      </c>
      <c r="F1047" s="77" t="s">
        <v>277</v>
      </c>
      <c r="G1047" s="77" t="n">
        <v>4</v>
      </c>
      <c r="H1047" s="77" t="n">
        <v>3</v>
      </c>
      <c r="I1047" s="76" t="n">
        <f aca="false">IF(AND(ISNUMBER(G1047),ISNUMBER(H1047)),MAX(G1047-H1047,0),"")</f>
        <v>1</v>
      </c>
      <c r="J1047" s="78" t="n">
        <f aca="false">IF(AND(ISNUMBER(G1047),ISNUMBER(H1047)),IF(G1047&gt;0,H1047/G1047,""),"")</f>
        <v>0.75</v>
      </c>
      <c r="K1047" s="77" t="s">
        <v>333</v>
      </c>
      <c r="L1047" s="76" t="str">
        <f aca="false">IF(OR(G1047="",H1047=""),"Data tidak lengkap",IF(AND(G1047=0,H1047=0),IF(AND(F1047="",K1047=""),"Tidak dibuka","Tutup"),IF(H1047&gt;G1047,"Lebih kapasitas",IF(H1047=G1047,"Penuh",IF(H1047=0,IF(F1047="","Slot kosong","Belum terisi"),"Sebagian")))))</f>
        <v>Sebagian</v>
      </c>
      <c r="M1047" s="79" t="str">
        <f aca="false">IF(L1047="Tidak dibuka","–",IF(F1047="","(tanpa age group)",F1047)&amp;"  "&amp;IF(H1047="","?",H1047)&amp;"/"&amp;IF(G1047="","?",G1047)&amp;CHAR(10)&amp;IF(K1047="","coach: –","coach: "&amp;K1047))</f>
        <v>Little  3/4
coach: Zidan</v>
      </c>
    </row>
    <row r="1048" customFormat="false" ht="22.35" hidden="false" customHeight="false" outlineLevel="0" collapsed="false">
      <c r="A1048" s="76" t="str">
        <f aca="false">B1048&amp;"|"&amp;C1048&amp;"|"&amp;D1048&amp;"|"&amp;E1048</f>
        <v>PML|3|Kamis|10:15</v>
      </c>
      <c r="B1048" s="76" t="s">
        <v>65</v>
      </c>
      <c r="C1048" s="76" t="n">
        <v>3</v>
      </c>
      <c r="D1048" s="76" t="s">
        <v>93</v>
      </c>
      <c r="E1048" s="76" t="s">
        <v>113</v>
      </c>
      <c r="F1048" s="77" t="s">
        <v>277</v>
      </c>
      <c r="G1048" s="77" t="n">
        <v>4</v>
      </c>
      <c r="H1048" s="77" t="n">
        <v>2</v>
      </c>
      <c r="I1048" s="76" t="n">
        <f aca="false">IF(AND(ISNUMBER(G1048),ISNUMBER(H1048)),MAX(G1048-H1048,0),"")</f>
        <v>2</v>
      </c>
      <c r="J1048" s="78" t="n">
        <f aca="false">IF(AND(ISNUMBER(G1048),ISNUMBER(H1048)),IF(G1048&gt;0,H1048/G1048,""),"")</f>
        <v>0.5</v>
      </c>
      <c r="K1048" s="77" t="s">
        <v>330</v>
      </c>
      <c r="L1048" s="76" t="str">
        <f aca="false">IF(OR(G1048="",H1048=""),"Data tidak lengkap",IF(AND(G1048=0,H1048=0),IF(AND(F1048="",K1048=""),"Tidak dibuka","Tutup"),IF(H1048&gt;G1048,"Lebih kapasitas",IF(H1048=G1048,"Penuh",IF(H1048=0,IF(F1048="","Slot kosong","Belum terisi"),"Sebagian")))))</f>
        <v>Sebagian</v>
      </c>
      <c r="M1048" s="79" t="str">
        <f aca="false">IF(L1048="Tidak dibuka","–",IF(F1048="","(tanpa age group)",F1048)&amp;"  "&amp;IF(H1048="","?",H1048)&amp;"/"&amp;IF(G1048="","?",G1048)&amp;CHAR(10)&amp;IF(K1048="","coach: –","coach: "&amp;K1048))</f>
        <v>Little  2/4
coach: Indah</v>
      </c>
    </row>
    <row r="1049" customFormat="false" ht="22.35" hidden="false" customHeight="false" outlineLevel="0" collapsed="false">
      <c r="A1049" s="76" t="str">
        <f aca="false">B1049&amp;"|"&amp;C1049&amp;"|"&amp;D1049&amp;"|"&amp;E1049</f>
        <v>PML|3|Kamis|11:00</v>
      </c>
      <c r="B1049" s="76" t="s">
        <v>65</v>
      </c>
      <c r="C1049" s="76" t="n">
        <v>3</v>
      </c>
      <c r="D1049" s="76" t="s">
        <v>93</v>
      </c>
      <c r="E1049" s="76" t="s">
        <v>114</v>
      </c>
      <c r="F1049" s="77" t="s">
        <v>277</v>
      </c>
      <c r="G1049" s="77" t="n">
        <v>4</v>
      </c>
      <c r="H1049" s="77" t="n">
        <v>2</v>
      </c>
      <c r="I1049" s="76" t="n">
        <f aca="false">IF(AND(ISNUMBER(G1049),ISNUMBER(H1049)),MAX(G1049-H1049,0),"")</f>
        <v>2</v>
      </c>
      <c r="J1049" s="78" t="n">
        <f aca="false">IF(AND(ISNUMBER(G1049),ISNUMBER(H1049)),IF(G1049&gt;0,H1049/G1049,""),"")</f>
        <v>0.5</v>
      </c>
      <c r="K1049" s="77" t="s">
        <v>330</v>
      </c>
      <c r="L1049" s="76" t="str">
        <f aca="false">IF(OR(G1049="",H1049=""),"Data tidak lengkap",IF(AND(G1049=0,H1049=0),IF(AND(F1049="",K1049=""),"Tidak dibuka","Tutup"),IF(H1049&gt;G1049,"Lebih kapasitas",IF(H1049=G1049,"Penuh",IF(H1049=0,IF(F1049="","Slot kosong","Belum terisi"),"Sebagian")))))</f>
        <v>Sebagian</v>
      </c>
      <c r="M1049" s="79" t="str">
        <f aca="false">IF(L1049="Tidak dibuka","–",IF(F1049="","(tanpa age group)",F1049)&amp;"  "&amp;IF(H1049="","?",H1049)&amp;"/"&amp;IF(G1049="","?",G1049)&amp;CHAR(10)&amp;IF(K1049="","coach: –","coach: "&amp;K1049))</f>
        <v>Little  2/4
coach: Indah</v>
      </c>
    </row>
    <row r="1050" customFormat="false" ht="22.35" hidden="false" customHeight="false" outlineLevel="0" collapsed="false">
      <c r="A1050" s="76" t="str">
        <f aca="false">B1050&amp;"|"&amp;C1050&amp;"|"&amp;D1050&amp;"|"&amp;E1050</f>
        <v>PML|3|Kamis|11:45</v>
      </c>
      <c r="B1050" s="76" t="s">
        <v>65</v>
      </c>
      <c r="C1050" s="76" t="n">
        <v>3</v>
      </c>
      <c r="D1050" s="76" t="s">
        <v>93</v>
      </c>
      <c r="E1050" s="76" t="s">
        <v>115</v>
      </c>
      <c r="F1050" s="77" t="s">
        <v>277</v>
      </c>
      <c r="G1050" s="77" t="n">
        <v>0</v>
      </c>
      <c r="H1050" s="77" t="n">
        <v>0</v>
      </c>
      <c r="I1050" s="76" t="n">
        <f aca="false">IF(AND(ISNUMBER(G1050),ISNUMBER(H1050)),MAX(G1050-H1050,0),"")</f>
        <v>0</v>
      </c>
      <c r="J1050" s="78" t="str">
        <f aca="false">IF(AND(ISNUMBER(G1050),ISNUMBER(H1050)),IF(G1050&gt;0,H1050/G1050,""),"")</f>
        <v/>
      </c>
      <c r="K1050" s="77"/>
      <c r="L1050" s="76" t="str">
        <f aca="false">IF(OR(G1050="",H1050=""),"Data tidak lengkap",IF(AND(G1050=0,H1050=0),IF(AND(F1050="",K1050=""),"Tidak dibuka","Tutup"),IF(H1050&gt;G1050,"Lebih kapasitas",IF(H1050=G1050,"Penuh",IF(H1050=0,IF(F1050="","Slot kosong","Belum terisi"),"Sebagian")))))</f>
        <v>Tutup</v>
      </c>
      <c r="M1050" s="79" t="str">
        <f aca="false">IF(L1050="Tidak dibuka","–",IF(F1050="","(tanpa age group)",F1050)&amp;"  "&amp;IF(H1050="","?",H1050)&amp;"/"&amp;IF(G1050="","?",G1050)&amp;CHAR(10)&amp;IF(K1050="","coach: –","coach: "&amp;K1050))</f>
        <v>Little  0/0
coach: –</v>
      </c>
    </row>
    <row r="1051" customFormat="false" ht="22.35" hidden="false" customHeight="false" outlineLevel="0" collapsed="false">
      <c r="A1051" s="76" t="str">
        <f aca="false">B1051&amp;"|"&amp;C1051&amp;"|"&amp;D1051&amp;"|"&amp;E1051</f>
        <v>PML|3|Kamis|13:15</v>
      </c>
      <c r="B1051" s="76" t="s">
        <v>65</v>
      </c>
      <c r="C1051" s="76" t="n">
        <v>3</v>
      </c>
      <c r="D1051" s="76" t="s">
        <v>93</v>
      </c>
      <c r="E1051" s="76" t="s">
        <v>116</v>
      </c>
      <c r="F1051" s="77" t="s">
        <v>277</v>
      </c>
      <c r="G1051" s="77" t="n">
        <v>4</v>
      </c>
      <c r="H1051" s="77" t="n">
        <v>0</v>
      </c>
      <c r="I1051" s="76" t="n">
        <f aca="false">IF(AND(ISNUMBER(G1051),ISNUMBER(H1051)),MAX(G1051-H1051,0),"")</f>
        <v>4</v>
      </c>
      <c r="J1051" s="78" t="n">
        <f aca="false">IF(AND(ISNUMBER(G1051),ISNUMBER(H1051)),IF(G1051&gt;0,H1051/G1051,""),"")</f>
        <v>0</v>
      </c>
      <c r="K1051" s="77"/>
      <c r="L1051" s="76" t="str">
        <f aca="false">IF(OR(G1051="",H1051=""),"Data tidak lengkap",IF(AND(G1051=0,H1051=0),IF(AND(F1051="",K1051=""),"Tidak dibuka","Tutup"),IF(H1051&gt;G1051,"Lebih kapasitas",IF(H1051=G1051,"Penuh",IF(H1051=0,IF(F1051="","Slot kosong","Belum terisi"),"Sebagian")))))</f>
        <v>Belum terisi</v>
      </c>
      <c r="M1051" s="79" t="str">
        <f aca="false">IF(L1051="Tidak dibuka","–",IF(F1051="","(tanpa age group)",F1051)&amp;"  "&amp;IF(H1051="","?",H1051)&amp;"/"&amp;IF(G1051="","?",G1051)&amp;CHAR(10)&amp;IF(K1051="","coach: –","coach: "&amp;K1051))</f>
        <v>Little  0/4
coach: –</v>
      </c>
    </row>
    <row r="1052" customFormat="false" ht="22.35" hidden="false" customHeight="false" outlineLevel="0" collapsed="false">
      <c r="A1052" s="76" t="str">
        <f aca="false">B1052&amp;"|"&amp;C1052&amp;"|"&amp;D1052&amp;"|"&amp;E1052</f>
        <v>PML|3|Kamis|14:00</v>
      </c>
      <c r="B1052" s="76" t="s">
        <v>65</v>
      </c>
      <c r="C1052" s="76" t="n">
        <v>3</v>
      </c>
      <c r="D1052" s="76" t="s">
        <v>93</v>
      </c>
      <c r="E1052" s="76" t="s">
        <v>117</v>
      </c>
      <c r="F1052" s="77" t="s">
        <v>277</v>
      </c>
      <c r="G1052" s="77" t="n">
        <v>4</v>
      </c>
      <c r="H1052" s="77" t="n">
        <v>2</v>
      </c>
      <c r="I1052" s="76" t="n">
        <f aca="false">IF(AND(ISNUMBER(G1052),ISNUMBER(H1052)),MAX(G1052-H1052,0),"")</f>
        <v>2</v>
      </c>
      <c r="J1052" s="78" t="n">
        <f aca="false">IF(AND(ISNUMBER(G1052),ISNUMBER(H1052)),IF(G1052&gt;0,H1052/G1052,""),"")</f>
        <v>0.5</v>
      </c>
      <c r="K1052" s="77" t="s">
        <v>333</v>
      </c>
      <c r="L1052" s="76" t="str">
        <f aca="false">IF(OR(G1052="",H1052=""),"Data tidak lengkap",IF(AND(G1052=0,H1052=0),IF(AND(F1052="",K1052=""),"Tidak dibuka","Tutup"),IF(H1052&gt;G1052,"Lebih kapasitas",IF(H1052=G1052,"Penuh",IF(H1052=0,IF(F1052="","Slot kosong","Belum terisi"),"Sebagian")))))</f>
        <v>Sebagian</v>
      </c>
      <c r="M1052" s="79" t="str">
        <f aca="false">IF(L1052="Tidak dibuka","–",IF(F1052="","(tanpa age group)",F1052)&amp;"  "&amp;IF(H1052="","?",H1052)&amp;"/"&amp;IF(G1052="","?",G1052)&amp;CHAR(10)&amp;IF(K1052="","coach: –","coach: "&amp;K1052))</f>
        <v>Little  2/4
coach: Zidan</v>
      </c>
    </row>
    <row r="1053" customFormat="false" ht="22.35" hidden="false" customHeight="false" outlineLevel="0" collapsed="false">
      <c r="A1053" s="76" t="str">
        <f aca="false">B1053&amp;"|"&amp;C1053&amp;"|"&amp;D1053&amp;"|"&amp;E1053</f>
        <v>PML|3|Kamis|14:45</v>
      </c>
      <c r="B1053" s="76" t="s">
        <v>65</v>
      </c>
      <c r="C1053" s="76" t="n">
        <v>3</v>
      </c>
      <c r="D1053" s="76" t="s">
        <v>93</v>
      </c>
      <c r="E1053" s="76" t="s">
        <v>118</v>
      </c>
      <c r="F1053" s="77" t="s">
        <v>277</v>
      </c>
      <c r="G1053" s="77" t="n">
        <v>0</v>
      </c>
      <c r="H1053" s="77" t="n">
        <v>2</v>
      </c>
      <c r="I1053" s="76" t="n">
        <f aca="false">IF(AND(ISNUMBER(G1053),ISNUMBER(H1053)),MAX(G1053-H1053,0),"")</f>
        <v>0</v>
      </c>
      <c r="J1053" s="78" t="str">
        <f aca="false">IF(AND(ISNUMBER(G1053),ISNUMBER(H1053)),IF(G1053&gt;0,H1053/G1053,""),"")</f>
        <v/>
      </c>
      <c r="K1053" s="77" t="s">
        <v>335</v>
      </c>
      <c r="L1053" s="76" t="str">
        <f aca="false">IF(OR(G1053="",H1053=""),"Data tidak lengkap",IF(AND(G1053=0,H1053=0),IF(AND(F1053="",K1053=""),"Tidak dibuka","Tutup"),IF(H1053&gt;G1053,"Lebih kapasitas",IF(H1053=G1053,"Penuh",IF(H1053=0,IF(F1053="","Slot kosong","Belum terisi"),"Sebagian")))))</f>
        <v>Lebih kapasitas</v>
      </c>
      <c r="M1053" s="79" t="str">
        <f aca="false">IF(L1053="Tidak dibuka","–",IF(F1053="","(tanpa age group)",F1053)&amp;"  "&amp;IF(H1053="","?",H1053)&amp;"/"&amp;IF(G1053="","?",G1053)&amp;CHAR(10)&amp;IF(K1053="","coach: –","coach: "&amp;K1053))</f>
        <v>Little  2/0
coach: Shofwan</v>
      </c>
    </row>
    <row r="1054" customFormat="false" ht="22.35" hidden="false" customHeight="false" outlineLevel="0" collapsed="false">
      <c r="A1054" s="76" t="str">
        <f aca="false">B1054&amp;"|"&amp;C1054&amp;"|"&amp;D1054&amp;"|"&amp;E1054</f>
        <v>PML|3|Kamis|15:30</v>
      </c>
      <c r="B1054" s="76" t="s">
        <v>65</v>
      </c>
      <c r="C1054" s="76" t="n">
        <v>3</v>
      </c>
      <c r="D1054" s="76" t="s">
        <v>93</v>
      </c>
      <c r="E1054" s="76" t="s">
        <v>119</v>
      </c>
      <c r="F1054" s="77" t="s">
        <v>277</v>
      </c>
      <c r="G1054" s="77" t="n">
        <v>4</v>
      </c>
      <c r="H1054" s="77" t="n">
        <v>3</v>
      </c>
      <c r="I1054" s="76" t="n">
        <f aca="false">IF(AND(ISNUMBER(G1054),ISNUMBER(H1054)),MAX(G1054-H1054,0),"")</f>
        <v>1</v>
      </c>
      <c r="J1054" s="78" t="n">
        <f aca="false">IF(AND(ISNUMBER(G1054),ISNUMBER(H1054)),IF(G1054&gt;0,H1054/G1054,""),"")</f>
        <v>0.75</v>
      </c>
      <c r="K1054" s="77" t="s">
        <v>333</v>
      </c>
      <c r="L1054" s="76" t="str">
        <f aca="false">IF(OR(G1054="",H1054=""),"Data tidak lengkap",IF(AND(G1054=0,H1054=0),IF(AND(F1054="",K1054=""),"Tidak dibuka","Tutup"),IF(H1054&gt;G1054,"Lebih kapasitas",IF(H1054=G1054,"Penuh",IF(H1054=0,IF(F1054="","Slot kosong","Belum terisi"),"Sebagian")))))</f>
        <v>Sebagian</v>
      </c>
      <c r="M1054" s="79" t="str">
        <f aca="false">IF(L1054="Tidak dibuka","–",IF(F1054="","(tanpa age group)",F1054)&amp;"  "&amp;IF(H1054="","?",H1054)&amp;"/"&amp;IF(G1054="","?",G1054)&amp;CHAR(10)&amp;IF(K1054="","coach: –","coach: "&amp;K1054))</f>
        <v>Little  3/4
coach: Zidan</v>
      </c>
    </row>
    <row r="1055" customFormat="false" ht="22.35" hidden="false" customHeight="false" outlineLevel="0" collapsed="false">
      <c r="A1055" s="76" t="str">
        <f aca="false">B1055&amp;"|"&amp;C1055&amp;"|"&amp;D1055&amp;"|"&amp;E1055</f>
        <v>PML|3|Kamis|16:15</v>
      </c>
      <c r="B1055" s="76" t="s">
        <v>65</v>
      </c>
      <c r="C1055" s="76" t="n">
        <v>3</v>
      </c>
      <c r="D1055" s="76" t="s">
        <v>93</v>
      </c>
      <c r="E1055" s="76" t="s">
        <v>120</v>
      </c>
      <c r="F1055" s="77" t="s">
        <v>277</v>
      </c>
      <c r="G1055" s="77" t="n">
        <v>4</v>
      </c>
      <c r="H1055" s="77" t="n">
        <v>4</v>
      </c>
      <c r="I1055" s="76" t="n">
        <f aca="false">IF(AND(ISNUMBER(G1055),ISNUMBER(H1055)),MAX(G1055-H1055,0),"")</f>
        <v>0</v>
      </c>
      <c r="J1055" s="78" t="n">
        <f aca="false">IF(AND(ISNUMBER(G1055),ISNUMBER(H1055)),IF(G1055&gt;0,H1055/G1055,""),"")</f>
        <v>1</v>
      </c>
      <c r="K1055" s="77" t="s">
        <v>333</v>
      </c>
      <c r="L1055" s="76" t="str">
        <f aca="false">IF(OR(G1055="",H1055=""),"Data tidak lengkap",IF(AND(G1055=0,H1055=0),IF(AND(F1055="",K1055=""),"Tidak dibuka","Tutup"),IF(H1055&gt;G1055,"Lebih kapasitas",IF(H1055=G1055,"Penuh",IF(H1055=0,IF(F1055="","Slot kosong","Belum terisi"),"Sebagian")))))</f>
        <v>Penuh</v>
      </c>
      <c r="M1055" s="79" t="str">
        <f aca="false">IF(L1055="Tidak dibuka","–",IF(F1055="","(tanpa age group)",F1055)&amp;"  "&amp;IF(H1055="","?",H1055)&amp;"/"&amp;IF(G1055="","?",G1055)&amp;CHAR(10)&amp;IF(K1055="","coach: –","coach: "&amp;K1055))</f>
        <v>Little  4/4
coach: Zidan</v>
      </c>
    </row>
    <row r="1056" customFormat="false" ht="22.35" hidden="false" customHeight="false" outlineLevel="0" collapsed="false">
      <c r="A1056" s="76" t="str">
        <f aca="false">B1056&amp;"|"&amp;C1056&amp;"|"&amp;D1056&amp;"|"&amp;E1056</f>
        <v>PML|3|Kamis|17:00</v>
      </c>
      <c r="B1056" s="76" t="s">
        <v>65</v>
      </c>
      <c r="C1056" s="76" t="n">
        <v>3</v>
      </c>
      <c r="D1056" s="76" t="s">
        <v>93</v>
      </c>
      <c r="E1056" s="76" t="s">
        <v>121</v>
      </c>
      <c r="F1056" s="77" t="s">
        <v>277</v>
      </c>
      <c r="G1056" s="77" t="n">
        <v>4</v>
      </c>
      <c r="H1056" s="77" t="n">
        <v>4</v>
      </c>
      <c r="I1056" s="76" t="n">
        <f aca="false">IF(AND(ISNUMBER(G1056),ISNUMBER(H1056)),MAX(G1056-H1056,0),"")</f>
        <v>0</v>
      </c>
      <c r="J1056" s="78" t="n">
        <f aca="false">IF(AND(ISNUMBER(G1056),ISNUMBER(H1056)),IF(G1056&gt;0,H1056/G1056,""),"")</f>
        <v>1</v>
      </c>
      <c r="K1056" s="77" t="s">
        <v>333</v>
      </c>
      <c r="L1056" s="76" t="str">
        <f aca="false">IF(OR(G1056="",H1056=""),"Data tidak lengkap",IF(AND(G1056=0,H1056=0),IF(AND(F1056="",K1056=""),"Tidak dibuka","Tutup"),IF(H1056&gt;G1056,"Lebih kapasitas",IF(H1056=G1056,"Penuh",IF(H1056=0,IF(F1056="","Slot kosong","Belum terisi"),"Sebagian")))))</f>
        <v>Penuh</v>
      </c>
      <c r="M1056" s="79" t="str">
        <f aca="false">IF(L1056="Tidak dibuka","–",IF(F1056="","(tanpa age group)",F1056)&amp;"  "&amp;IF(H1056="","?",H1056)&amp;"/"&amp;IF(G1056="","?",G1056)&amp;CHAR(10)&amp;IF(K1056="","coach: –","coach: "&amp;K1056))</f>
        <v>Little  4/4
coach: Zidan</v>
      </c>
    </row>
    <row r="1057" customFormat="false" ht="22.35" hidden="false" customHeight="false" outlineLevel="0" collapsed="false">
      <c r="A1057" s="76" t="str">
        <f aca="false">B1057&amp;"|"&amp;C1057&amp;"|"&amp;D1057&amp;"|"&amp;E1057</f>
        <v>PML|3|Jumat|08:00</v>
      </c>
      <c r="B1057" s="76" t="s">
        <v>65</v>
      </c>
      <c r="C1057" s="76" t="n">
        <v>3</v>
      </c>
      <c r="D1057" s="76" t="s">
        <v>94</v>
      </c>
      <c r="E1057" s="76" t="s">
        <v>110</v>
      </c>
      <c r="F1057" s="77" t="s">
        <v>277</v>
      </c>
      <c r="G1057" s="77" t="n">
        <v>0</v>
      </c>
      <c r="H1057" s="77" t="n">
        <v>0</v>
      </c>
      <c r="I1057" s="76" t="n">
        <f aca="false">IF(AND(ISNUMBER(G1057),ISNUMBER(H1057)),MAX(G1057-H1057,0),"")</f>
        <v>0</v>
      </c>
      <c r="J1057" s="78" t="str">
        <f aca="false">IF(AND(ISNUMBER(G1057),ISNUMBER(H1057)),IF(G1057&gt;0,H1057/G1057,""),"")</f>
        <v/>
      </c>
      <c r="K1057" s="77"/>
      <c r="L1057" s="76" t="str">
        <f aca="false">IF(OR(G1057="",H1057=""),"Data tidak lengkap",IF(AND(G1057=0,H1057=0),IF(AND(F1057="",K1057=""),"Tidak dibuka","Tutup"),IF(H1057&gt;G1057,"Lebih kapasitas",IF(H1057=G1057,"Penuh",IF(H1057=0,IF(F1057="","Slot kosong","Belum terisi"),"Sebagian")))))</f>
        <v>Tutup</v>
      </c>
      <c r="M1057" s="79" t="str">
        <f aca="false">IF(L1057="Tidak dibuka","–",IF(F1057="","(tanpa age group)",F1057)&amp;"  "&amp;IF(H1057="","?",H1057)&amp;"/"&amp;IF(G1057="","?",G1057)&amp;CHAR(10)&amp;IF(K1057="","coach: –","coach: "&amp;K1057))</f>
        <v>Little  0/0
coach: –</v>
      </c>
    </row>
    <row r="1058" customFormat="false" ht="22.35" hidden="false" customHeight="false" outlineLevel="0" collapsed="false">
      <c r="A1058" s="76" t="str">
        <f aca="false">B1058&amp;"|"&amp;C1058&amp;"|"&amp;D1058&amp;"|"&amp;E1058</f>
        <v>PML|3|Jumat|08:45</v>
      </c>
      <c r="B1058" s="76" t="s">
        <v>65</v>
      </c>
      <c r="C1058" s="76" t="n">
        <v>3</v>
      </c>
      <c r="D1058" s="76" t="s">
        <v>94</v>
      </c>
      <c r="E1058" s="76" t="s">
        <v>111</v>
      </c>
      <c r="F1058" s="77" t="s">
        <v>277</v>
      </c>
      <c r="G1058" s="77" t="n">
        <v>4</v>
      </c>
      <c r="H1058" s="77" t="n">
        <v>2</v>
      </c>
      <c r="I1058" s="76" t="n">
        <f aca="false">IF(AND(ISNUMBER(G1058),ISNUMBER(H1058)),MAX(G1058-H1058,0),"")</f>
        <v>2</v>
      </c>
      <c r="J1058" s="78" t="n">
        <f aca="false">IF(AND(ISNUMBER(G1058),ISNUMBER(H1058)),IF(G1058&gt;0,H1058/G1058,""),"")</f>
        <v>0.5</v>
      </c>
      <c r="K1058" s="77" t="s">
        <v>336</v>
      </c>
      <c r="L1058" s="76" t="str">
        <f aca="false">IF(OR(G1058="",H1058=""),"Data tidak lengkap",IF(AND(G1058=0,H1058=0),IF(AND(F1058="",K1058=""),"Tidak dibuka","Tutup"),IF(H1058&gt;G1058,"Lebih kapasitas",IF(H1058=G1058,"Penuh",IF(H1058=0,IF(F1058="","Slot kosong","Belum terisi"),"Sebagian")))))</f>
        <v>Sebagian</v>
      </c>
      <c r="M1058" s="79" t="str">
        <f aca="false">IF(L1058="Tidak dibuka","–",IF(F1058="","(tanpa age group)",F1058)&amp;"  "&amp;IF(H1058="","?",H1058)&amp;"/"&amp;IF(G1058="","?",G1058)&amp;CHAR(10)&amp;IF(K1058="","coach: –","coach: "&amp;K1058))</f>
        <v>Little  2/4
coach: Laksamana</v>
      </c>
    </row>
    <row r="1059" customFormat="false" ht="22.35" hidden="false" customHeight="false" outlineLevel="0" collapsed="false">
      <c r="A1059" s="76" t="str">
        <f aca="false">B1059&amp;"|"&amp;C1059&amp;"|"&amp;D1059&amp;"|"&amp;E1059</f>
        <v>PML|3|Jumat|09:30</v>
      </c>
      <c r="B1059" s="76" t="s">
        <v>65</v>
      </c>
      <c r="C1059" s="76" t="n">
        <v>3</v>
      </c>
      <c r="D1059" s="76" t="s">
        <v>94</v>
      </c>
      <c r="E1059" s="76" t="s">
        <v>112</v>
      </c>
      <c r="F1059" s="77" t="s">
        <v>277</v>
      </c>
      <c r="G1059" s="77" t="n">
        <v>4</v>
      </c>
      <c r="H1059" s="77" t="n">
        <v>4</v>
      </c>
      <c r="I1059" s="76" t="n">
        <f aca="false">IF(AND(ISNUMBER(G1059),ISNUMBER(H1059)),MAX(G1059-H1059,0),"")</f>
        <v>0</v>
      </c>
      <c r="J1059" s="78" t="n">
        <f aca="false">IF(AND(ISNUMBER(G1059),ISNUMBER(H1059)),IF(G1059&gt;0,H1059/G1059,""),"")</f>
        <v>1</v>
      </c>
      <c r="K1059" s="77" t="s">
        <v>330</v>
      </c>
      <c r="L1059" s="76" t="str">
        <f aca="false">IF(OR(G1059="",H1059=""),"Data tidak lengkap",IF(AND(G1059=0,H1059=0),IF(AND(F1059="",K1059=""),"Tidak dibuka","Tutup"),IF(H1059&gt;G1059,"Lebih kapasitas",IF(H1059=G1059,"Penuh",IF(H1059=0,IF(F1059="","Slot kosong","Belum terisi"),"Sebagian")))))</f>
        <v>Penuh</v>
      </c>
      <c r="M1059" s="79" t="str">
        <f aca="false">IF(L1059="Tidak dibuka","–",IF(F1059="","(tanpa age group)",F1059)&amp;"  "&amp;IF(H1059="","?",H1059)&amp;"/"&amp;IF(G1059="","?",G1059)&amp;CHAR(10)&amp;IF(K1059="","coach: –","coach: "&amp;K1059))</f>
        <v>Little  4/4
coach: Indah</v>
      </c>
    </row>
    <row r="1060" customFormat="false" ht="22.35" hidden="false" customHeight="false" outlineLevel="0" collapsed="false">
      <c r="A1060" s="76" t="str">
        <f aca="false">B1060&amp;"|"&amp;C1060&amp;"|"&amp;D1060&amp;"|"&amp;E1060</f>
        <v>PML|3|Jumat|10:15</v>
      </c>
      <c r="B1060" s="76" t="s">
        <v>65</v>
      </c>
      <c r="C1060" s="76" t="n">
        <v>3</v>
      </c>
      <c r="D1060" s="76" t="s">
        <v>94</v>
      </c>
      <c r="E1060" s="76" t="s">
        <v>113</v>
      </c>
      <c r="F1060" s="77" t="s">
        <v>277</v>
      </c>
      <c r="G1060" s="77" t="n">
        <v>4</v>
      </c>
      <c r="H1060" s="77" t="n">
        <v>3</v>
      </c>
      <c r="I1060" s="76" t="n">
        <f aca="false">IF(AND(ISNUMBER(G1060),ISNUMBER(H1060)),MAX(G1060-H1060,0),"")</f>
        <v>1</v>
      </c>
      <c r="J1060" s="78" t="n">
        <f aca="false">IF(AND(ISNUMBER(G1060),ISNUMBER(H1060)),IF(G1060&gt;0,H1060/G1060,""),"")</f>
        <v>0.75</v>
      </c>
      <c r="K1060" s="77" t="s">
        <v>331</v>
      </c>
      <c r="L1060" s="76" t="str">
        <f aca="false">IF(OR(G1060="",H1060=""),"Data tidak lengkap",IF(AND(G1060=0,H1060=0),IF(AND(F1060="",K1060=""),"Tidak dibuka","Tutup"),IF(H1060&gt;G1060,"Lebih kapasitas",IF(H1060=G1060,"Penuh",IF(H1060=0,IF(F1060="","Slot kosong","Belum terisi"),"Sebagian")))))</f>
        <v>Sebagian</v>
      </c>
      <c r="M1060" s="79" t="str">
        <f aca="false">IF(L1060="Tidak dibuka","–",IF(F1060="","(tanpa age group)",F1060)&amp;"  "&amp;IF(H1060="","?",H1060)&amp;"/"&amp;IF(G1060="","?",G1060)&amp;CHAR(10)&amp;IF(K1060="","coach: –","coach: "&amp;K1060))</f>
        <v>Little  3/4
coach: Damai</v>
      </c>
    </row>
    <row r="1061" customFormat="false" ht="22.35" hidden="false" customHeight="false" outlineLevel="0" collapsed="false">
      <c r="A1061" s="76" t="str">
        <f aca="false">B1061&amp;"|"&amp;C1061&amp;"|"&amp;D1061&amp;"|"&amp;E1061</f>
        <v>PML|3|Jumat|11:00</v>
      </c>
      <c r="B1061" s="76" t="s">
        <v>65</v>
      </c>
      <c r="C1061" s="76" t="n">
        <v>3</v>
      </c>
      <c r="D1061" s="76" t="s">
        <v>94</v>
      </c>
      <c r="E1061" s="76" t="s">
        <v>114</v>
      </c>
      <c r="F1061" s="77" t="s">
        <v>277</v>
      </c>
      <c r="G1061" s="77" t="n">
        <v>4</v>
      </c>
      <c r="H1061" s="77" t="n">
        <v>0</v>
      </c>
      <c r="I1061" s="76" t="n">
        <f aca="false">IF(AND(ISNUMBER(G1061),ISNUMBER(H1061)),MAX(G1061-H1061,0),"")</f>
        <v>4</v>
      </c>
      <c r="J1061" s="78" t="n">
        <f aca="false">IF(AND(ISNUMBER(G1061),ISNUMBER(H1061)),IF(G1061&gt;0,H1061/G1061,""),"")</f>
        <v>0</v>
      </c>
      <c r="K1061" s="77"/>
      <c r="L1061" s="76" t="str">
        <f aca="false">IF(OR(G1061="",H1061=""),"Data tidak lengkap",IF(AND(G1061=0,H1061=0),IF(AND(F1061="",K1061=""),"Tidak dibuka","Tutup"),IF(H1061&gt;G1061,"Lebih kapasitas",IF(H1061=G1061,"Penuh",IF(H1061=0,IF(F1061="","Slot kosong","Belum terisi"),"Sebagian")))))</f>
        <v>Belum terisi</v>
      </c>
      <c r="M1061" s="79" t="str">
        <f aca="false">IF(L1061="Tidak dibuka","–",IF(F1061="","(tanpa age group)",F1061)&amp;"  "&amp;IF(H1061="","?",H1061)&amp;"/"&amp;IF(G1061="","?",G1061)&amp;CHAR(10)&amp;IF(K1061="","coach: –","coach: "&amp;K1061))</f>
        <v>Little  0/4
coach: –</v>
      </c>
    </row>
    <row r="1062" customFormat="false" ht="22.35" hidden="false" customHeight="false" outlineLevel="0" collapsed="false">
      <c r="A1062" s="76" t="str">
        <f aca="false">B1062&amp;"|"&amp;C1062&amp;"|"&amp;D1062&amp;"|"&amp;E1062</f>
        <v>PML|3|Jumat|11:45</v>
      </c>
      <c r="B1062" s="76" t="s">
        <v>65</v>
      </c>
      <c r="C1062" s="76" t="n">
        <v>3</v>
      </c>
      <c r="D1062" s="76" t="s">
        <v>94</v>
      </c>
      <c r="E1062" s="76" t="s">
        <v>115</v>
      </c>
      <c r="F1062" s="77" t="s">
        <v>277</v>
      </c>
      <c r="G1062" s="77" t="n">
        <v>0</v>
      </c>
      <c r="H1062" s="77" t="n">
        <v>0</v>
      </c>
      <c r="I1062" s="76" t="n">
        <f aca="false">IF(AND(ISNUMBER(G1062),ISNUMBER(H1062)),MAX(G1062-H1062,0),"")</f>
        <v>0</v>
      </c>
      <c r="J1062" s="78" t="str">
        <f aca="false">IF(AND(ISNUMBER(G1062),ISNUMBER(H1062)),IF(G1062&gt;0,H1062/G1062,""),"")</f>
        <v/>
      </c>
      <c r="K1062" s="77"/>
      <c r="L1062" s="76" t="str">
        <f aca="false">IF(OR(G1062="",H1062=""),"Data tidak lengkap",IF(AND(G1062=0,H1062=0),IF(AND(F1062="",K1062=""),"Tidak dibuka","Tutup"),IF(H1062&gt;G1062,"Lebih kapasitas",IF(H1062=G1062,"Penuh",IF(H1062=0,IF(F1062="","Slot kosong","Belum terisi"),"Sebagian")))))</f>
        <v>Tutup</v>
      </c>
      <c r="M1062" s="79" t="str">
        <f aca="false">IF(L1062="Tidak dibuka","–",IF(F1062="","(tanpa age group)",F1062)&amp;"  "&amp;IF(H1062="","?",H1062)&amp;"/"&amp;IF(G1062="","?",G1062)&amp;CHAR(10)&amp;IF(K1062="","coach: –","coach: "&amp;K1062))</f>
        <v>Little  0/0
coach: –</v>
      </c>
    </row>
    <row r="1063" customFormat="false" ht="22.35" hidden="false" customHeight="false" outlineLevel="0" collapsed="false">
      <c r="A1063" s="76" t="str">
        <f aca="false">B1063&amp;"|"&amp;C1063&amp;"|"&amp;D1063&amp;"|"&amp;E1063</f>
        <v>PML|3|Jumat|13:15</v>
      </c>
      <c r="B1063" s="76" t="s">
        <v>65</v>
      </c>
      <c r="C1063" s="76" t="n">
        <v>3</v>
      </c>
      <c r="D1063" s="76" t="s">
        <v>94</v>
      </c>
      <c r="E1063" s="76" t="s">
        <v>116</v>
      </c>
      <c r="F1063" s="77" t="s">
        <v>277</v>
      </c>
      <c r="G1063" s="77" t="n">
        <v>0</v>
      </c>
      <c r="H1063" s="77" t="n">
        <v>0</v>
      </c>
      <c r="I1063" s="76" t="n">
        <f aca="false">IF(AND(ISNUMBER(G1063),ISNUMBER(H1063)),MAX(G1063-H1063,0),"")</f>
        <v>0</v>
      </c>
      <c r="J1063" s="78" t="str">
        <f aca="false">IF(AND(ISNUMBER(G1063),ISNUMBER(H1063)),IF(G1063&gt;0,H1063/G1063,""),"")</f>
        <v/>
      </c>
      <c r="K1063" s="77"/>
      <c r="L1063" s="76" t="str">
        <f aca="false">IF(OR(G1063="",H1063=""),"Data tidak lengkap",IF(AND(G1063=0,H1063=0),IF(AND(F1063="",K1063=""),"Tidak dibuka","Tutup"),IF(H1063&gt;G1063,"Lebih kapasitas",IF(H1063=G1063,"Penuh",IF(H1063=0,IF(F1063="","Slot kosong","Belum terisi"),"Sebagian")))))</f>
        <v>Tutup</v>
      </c>
      <c r="M1063" s="79" t="str">
        <f aca="false">IF(L1063="Tidak dibuka","–",IF(F1063="","(tanpa age group)",F1063)&amp;"  "&amp;IF(H1063="","?",H1063)&amp;"/"&amp;IF(G1063="","?",G1063)&amp;CHAR(10)&amp;IF(K1063="","coach: –","coach: "&amp;K1063))</f>
        <v>Little  0/0
coach: –</v>
      </c>
    </row>
    <row r="1064" customFormat="false" ht="22.35" hidden="false" customHeight="false" outlineLevel="0" collapsed="false">
      <c r="A1064" s="76" t="str">
        <f aca="false">B1064&amp;"|"&amp;C1064&amp;"|"&amp;D1064&amp;"|"&amp;E1064</f>
        <v>PML|3|Jumat|14:00</v>
      </c>
      <c r="B1064" s="76" t="s">
        <v>65</v>
      </c>
      <c r="C1064" s="76" t="n">
        <v>3</v>
      </c>
      <c r="D1064" s="76" t="s">
        <v>94</v>
      </c>
      <c r="E1064" s="76" t="s">
        <v>117</v>
      </c>
      <c r="F1064" s="77" t="s">
        <v>277</v>
      </c>
      <c r="G1064" s="77" t="n">
        <v>4</v>
      </c>
      <c r="H1064" s="77" t="n">
        <v>3</v>
      </c>
      <c r="I1064" s="76" t="n">
        <f aca="false">IF(AND(ISNUMBER(G1064),ISNUMBER(H1064)),MAX(G1064-H1064,0),"")</f>
        <v>1</v>
      </c>
      <c r="J1064" s="78" t="n">
        <f aca="false">IF(AND(ISNUMBER(G1064),ISNUMBER(H1064)),IF(G1064&gt;0,H1064/G1064,""),"")</f>
        <v>0.75</v>
      </c>
      <c r="K1064" s="77" t="s">
        <v>334</v>
      </c>
      <c r="L1064" s="76" t="str">
        <f aca="false">IF(OR(G1064="",H1064=""),"Data tidak lengkap",IF(AND(G1064=0,H1064=0),IF(AND(F1064="",K1064=""),"Tidak dibuka","Tutup"),IF(H1064&gt;G1064,"Lebih kapasitas",IF(H1064=G1064,"Penuh",IF(H1064=0,IF(F1064="","Slot kosong","Belum terisi"),"Sebagian")))))</f>
        <v>Sebagian</v>
      </c>
      <c r="M1064" s="79" t="str">
        <f aca="false">IF(L1064="Tidak dibuka","–",IF(F1064="","(tanpa age group)",F1064)&amp;"  "&amp;IF(H1064="","?",H1064)&amp;"/"&amp;IF(G1064="","?",G1064)&amp;CHAR(10)&amp;IF(K1064="","coach: –","coach: "&amp;K1064))</f>
        <v>Little  3/4
coach: Kamal</v>
      </c>
    </row>
    <row r="1065" customFormat="false" ht="22.35" hidden="false" customHeight="false" outlineLevel="0" collapsed="false">
      <c r="A1065" s="76" t="str">
        <f aca="false">B1065&amp;"|"&amp;C1065&amp;"|"&amp;D1065&amp;"|"&amp;E1065</f>
        <v>PML|3|Jumat|14:45</v>
      </c>
      <c r="B1065" s="76" t="s">
        <v>65</v>
      </c>
      <c r="C1065" s="76" t="n">
        <v>3</v>
      </c>
      <c r="D1065" s="76" t="s">
        <v>94</v>
      </c>
      <c r="E1065" s="76" t="s">
        <v>118</v>
      </c>
      <c r="F1065" s="77" t="s">
        <v>277</v>
      </c>
      <c r="G1065" s="77" t="n">
        <v>4</v>
      </c>
      <c r="H1065" s="77" t="n">
        <v>3</v>
      </c>
      <c r="I1065" s="76" t="n">
        <f aca="false">IF(AND(ISNUMBER(G1065),ISNUMBER(H1065)),MAX(G1065-H1065,0),"")</f>
        <v>1</v>
      </c>
      <c r="J1065" s="78" t="n">
        <f aca="false">IF(AND(ISNUMBER(G1065),ISNUMBER(H1065)),IF(G1065&gt;0,H1065/G1065,""),"")</f>
        <v>0.75</v>
      </c>
      <c r="K1065" s="77" t="s">
        <v>333</v>
      </c>
      <c r="L1065" s="76" t="str">
        <f aca="false">IF(OR(G1065="",H1065=""),"Data tidak lengkap",IF(AND(G1065=0,H1065=0),IF(AND(F1065="",K1065=""),"Tidak dibuka","Tutup"),IF(H1065&gt;G1065,"Lebih kapasitas",IF(H1065=G1065,"Penuh",IF(H1065=0,IF(F1065="","Slot kosong","Belum terisi"),"Sebagian")))))</f>
        <v>Sebagian</v>
      </c>
      <c r="M1065" s="79" t="str">
        <f aca="false">IF(L1065="Tidak dibuka","–",IF(F1065="","(tanpa age group)",F1065)&amp;"  "&amp;IF(H1065="","?",H1065)&amp;"/"&amp;IF(G1065="","?",G1065)&amp;CHAR(10)&amp;IF(K1065="","coach: –","coach: "&amp;K1065))</f>
        <v>Little  3/4
coach: Zidan</v>
      </c>
    </row>
    <row r="1066" customFormat="false" ht="22.35" hidden="false" customHeight="false" outlineLevel="0" collapsed="false">
      <c r="A1066" s="76" t="str">
        <f aca="false">B1066&amp;"|"&amp;C1066&amp;"|"&amp;D1066&amp;"|"&amp;E1066</f>
        <v>PML|3|Jumat|15:30</v>
      </c>
      <c r="B1066" s="76" t="s">
        <v>65</v>
      </c>
      <c r="C1066" s="76" t="n">
        <v>3</v>
      </c>
      <c r="D1066" s="76" t="s">
        <v>94</v>
      </c>
      <c r="E1066" s="76" t="s">
        <v>119</v>
      </c>
      <c r="F1066" s="77" t="s">
        <v>277</v>
      </c>
      <c r="G1066" s="77" t="n">
        <v>4</v>
      </c>
      <c r="H1066" s="77" t="n">
        <v>3</v>
      </c>
      <c r="I1066" s="76" t="n">
        <f aca="false">IF(AND(ISNUMBER(G1066),ISNUMBER(H1066)),MAX(G1066-H1066,0),"")</f>
        <v>1</v>
      </c>
      <c r="J1066" s="78" t="n">
        <f aca="false">IF(AND(ISNUMBER(G1066),ISNUMBER(H1066)),IF(G1066&gt;0,H1066/G1066,""),"")</f>
        <v>0.75</v>
      </c>
      <c r="K1066" s="77" t="s">
        <v>330</v>
      </c>
      <c r="L1066" s="76" t="str">
        <f aca="false">IF(OR(G1066="",H1066=""),"Data tidak lengkap",IF(AND(G1066=0,H1066=0),IF(AND(F1066="",K1066=""),"Tidak dibuka","Tutup"),IF(H1066&gt;G1066,"Lebih kapasitas",IF(H1066=G1066,"Penuh",IF(H1066=0,IF(F1066="","Slot kosong","Belum terisi"),"Sebagian")))))</f>
        <v>Sebagian</v>
      </c>
      <c r="M1066" s="79" t="str">
        <f aca="false">IF(L1066="Tidak dibuka","–",IF(F1066="","(tanpa age group)",F1066)&amp;"  "&amp;IF(H1066="","?",H1066)&amp;"/"&amp;IF(G1066="","?",G1066)&amp;CHAR(10)&amp;IF(K1066="","coach: –","coach: "&amp;K1066))</f>
        <v>Little  3/4
coach: Indah</v>
      </c>
    </row>
    <row r="1067" customFormat="false" ht="22.35" hidden="false" customHeight="false" outlineLevel="0" collapsed="false">
      <c r="A1067" s="76" t="str">
        <f aca="false">B1067&amp;"|"&amp;C1067&amp;"|"&amp;D1067&amp;"|"&amp;E1067</f>
        <v>PML|3|Jumat|16:15</v>
      </c>
      <c r="B1067" s="76" t="s">
        <v>65</v>
      </c>
      <c r="C1067" s="76" t="n">
        <v>3</v>
      </c>
      <c r="D1067" s="76" t="s">
        <v>94</v>
      </c>
      <c r="E1067" s="76" t="s">
        <v>120</v>
      </c>
      <c r="F1067" s="77" t="s">
        <v>277</v>
      </c>
      <c r="G1067" s="77" t="n">
        <v>4</v>
      </c>
      <c r="H1067" s="77" t="n">
        <v>4</v>
      </c>
      <c r="I1067" s="76" t="n">
        <f aca="false">IF(AND(ISNUMBER(G1067),ISNUMBER(H1067)),MAX(G1067-H1067,0),"")</f>
        <v>0</v>
      </c>
      <c r="J1067" s="78" t="n">
        <f aca="false">IF(AND(ISNUMBER(G1067),ISNUMBER(H1067)),IF(G1067&gt;0,H1067/G1067,""),"")</f>
        <v>1</v>
      </c>
      <c r="K1067" s="77" t="s">
        <v>334</v>
      </c>
      <c r="L1067" s="76" t="str">
        <f aca="false">IF(OR(G1067="",H1067=""),"Data tidak lengkap",IF(AND(G1067=0,H1067=0),IF(AND(F1067="",K1067=""),"Tidak dibuka","Tutup"),IF(H1067&gt;G1067,"Lebih kapasitas",IF(H1067=G1067,"Penuh",IF(H1067=0,IF(F1067="","Slot kosong","Belum terisi"),"Sebagian")))))</f>
        <v>Penuh</v>
      </c>
      <c r="M1067" s="79" t="str">
        <f aca="false">IF(L1067="Tidak dibuka","–",IF(F1067="","(tanpa age group)",F1067)&amp;"  "&amp;IF(H1067="","?",H1067)&amp;"/"&amp;IF(G1067="","?",G1067)&amp;CHAR(10)&amp;IF(K1067="","coach: –","coach: "&amp;K1067))</f>
        <v>Little  4/4
coach: Kamal</v>
      </c>
    </row>
    <row r="1068" customFormat="false" ht="22.35" hidden="false" customHeight="false" outlineLevel="0" collapsed="false">
      <c r="A1068" s="76" t="str">
        <f aca="false">B1068&amp;"|"&amp;C1068&amp;"|"&amp;D1068&amp;"|"&amp;E1068</f>
        <v>PML|3|Jumat|17:00</v>
      </c>
      <c r="B1068" s="76" t="s">
        <v>65</v>
      </c>
      <c r="C1068" s="76" t="n">
        <v>3</v>
      </c>
      <c r="D1068" s="76" t="s">
        <v>94</v>
      </c>
      <c r="E1068" s="76" t="s">
        <v>121</v>
      </c>
      <c r="F1068" s="77" t="s">
        <v>277</v>
      </c>
      <c r="G1068" s="77" t="n">
        <v>4</v>
      </c>
      <c r="H1068" s="77" t="n">
        <v>3</v>
      </c>
      <c r="I1068" s="76" t="n">
        <f aca="false">IF(AND(ISNUMBER(G1068),ISNUMBER(H1068)),MAX(G1068-H1068,0),"")</f>
        <v>1</v>
      </c>
      <c r="J1068" s="78" t="n">
        <f aca="false">IF(AND(ISNUMBER(G1068),ISNUMBER(H1068)),IF(G1068&gt;0,H1068/G1068,""),"")</f>
        <v>0.75</v>
      </c>
      <c r="K1068" s="77" t="s">
        <v>331</v>
      </c>
      <c r="L1068" s="76" t="str">
        <f aca="false">IF(OR(G1068="",H1068=""),"Data tidak lengkap",IF(AND(G1068=0,H1068=0),IF(AND(F1068="",K1068=""),"Tidak dibuka","Tutup"),IF(H1068&gt;G1068,"Lebih kapasitas",IF(H1068=G1068,"Penuh",IF(H1068=0,IF(F1068="","Slot kosong","Belum terisi"),"Sebagian")))))</f>
        <v>Sebagian</v>
      </c>
      <c r="M1068" s="79" t="str">
        <f aca="false">IF(L1068="Tidak dibuka","–",IF(F1068="","(tanpa age group)",F1068)&amp;"  "&amp;IF(H1068="","?",H1068)&amp;"/"&amp;IF(G1068="","?",G1068)&amp;CHAR(10)&amp;IF(K1068="","coach: –","coach: "&amp;K1068))</f>
        <v>Little  3/4
coach: Damai</v>
      </c>
    </row>
    <row r="1069" customFormat="false" ht="22.35" hidden="false" customHeight="false" outlineLevel="0" collapsed="false">
      <c r="A1069" s="76" t="str">
        <f aca="false">B1069&amp;"|"&amp;C1069&amp;"|"&amp;D1069&amp;"|"&amp;E1069</f>
        <v>PML|3|Sabtu|08:00</v>
      </c>
      <c r="B1069" s="76" t="s">
        <v>65</v>
      </c>
      <c r="C1069" s="76" t="n">
        <v>3</v>
      </c>
      <c r="D1069" s="76" t="s">
        <v>95</v>
      </c>
      <c r="E1069" s="76" t="s">
        <v>110</v>
      </c>
      <c r="F1069" s="77" t="s">
        <v>277</v>
      </c>
      <c r="G1069" s="77" t="n">
        <v>0</v>
      </c>
      <c r="H1069" s="77" t="n">
        <v>0</v>
      </c>
      <c r="I1069" s="76" t="n">
        <f aca="false">IF(AND(ISNUMBER(G1069),ISNUMBER(H1069)),MAX(G1069-H1069,0),"")</f>
        <v>0</v>
      </c>
      <c r="J1069" s="78" t="str">
        <f aca="false">IF(AND(ISNUMBER(G1069),ISNUMBER(H1069)),IF(G1069&gt;0,H1069/G1069,""),"")</f>
        <v/>
      </c>
      <c r="K1069" s="77"/>
      <c r="L1069" s="76" t="str">
        <f aca="false">IF(OR(G1069="",H1069=""),"Data tidak lengkap",IF(AND(G1069=0,H1069=0),IF(AND(F1069="",K1069=""),"Tidak dibuka","Tutup"),IF(H1069&gt;G1069,"Lebih kapasitas",IF(H1069=G1069,"Penuh",IF(H1069=0,IF(F1069="","Slot kosong","Belum terisi"),"Sebagian")))))</f>
        <v>Tutup</v>
      </c>
      <c r="M1069" s="79" t="str">
        <f aca="false">IF(L1069="Tidak dibuka","–",IF(F1069="","(tanpa age group)",F1069)&amp;"  "&amp;IF(H1069="","?",H1069)&amp;"/"&amp;IF(G1069="","?",G1069)&amp;CHAR(10)&amp;IF(K1069="","coach: –","coach: "&amp;K1069))</f>
        <v>Little  0/0
coach: –</v>
      </c>
    </row>
    <row r="1070" customFormat="false" ht="22.35" hidden="false" customHeight="false" outlineLevel="0" collapsed="false">
      <c r="A1070" s="76" t="str">
        <f aca="false">B1070&amp;"|"&amp;C1070&amp;"|"&amp;D1070&amp;"|"&amp;E1070</f>
        <v>PML|3|Sabtu|08:45</v>
      </c>
      <c r="B1070" s="76" t="s">
        <v>65</v>
      </c>
      <c r="C1070" s="76" t="n">
        <v>3</v>
      </c>
      <c r="D1070" s="76" t="s">
        <v>95</v>
      </c>
      <c r="E1070" s="76" t="s">
        <v>111</v>
      </c>
      <c r="F1070" s="77" t="s">
        <v>277</v>
      </c>
      <c r="G1070" s="77" t="n">
        <v>4</v>
      </c>
      <c r="H1070" s="77" t="n">
        <v>3</v>
      </c>
      <c r="I1070" s="76" t="n">
        <f aca="false">IF(AND(ISNUMBER(G1070),ISNUMBER(H1070)),MAX(G1070-H1070,0),"")</f>
        <v>1</v>
      </c>
      <c r="J1070" s="78" t="n">
        <f aca="false">IF(AND(ISNUMBER(G1070),ISNUMBER(H1070)),IF(G1070&gt;0,H1070/G1070,""),"")</f>
        <v>0.75</v>
      </c>
      <c r="K1070" s="77" t="s">
        <v>336</v>
      </c>
      <c r="L1070" s="76" t="str">
        <f aca="false">IF(OR(G1070="",H1070=""),"Data tidak lengkap",IF(AND(G1070=0,H1070=0),IF(AND(F1070="",K1070=""),"Tidak dibuka","Tutup"),IF(H1070&gt;G1070,"Lebih kapasitas",IF(H1070=G1070,"Penuh",IF(H1070=0,IF(F1070="","Slot kosong","Belum terisi"),"Sebagian")))))</f>
        <v>Sebagian</v>
      </c>
      <c r="M1070" s="79" t="str">
        <f aca="false">IF(L1070="Tidak dibuka","–",IF(F1070="","(tanpa age group)",F1070)&amp;"  "&amp;IF(H1070="","?",H1070)&amp;"/"&amp;IF(G1070="","?",G1070)&amp;CHAR(10)&amp;IF(K1070="","coach: –","coach: "&amp;K1070))</f>
        <v>Little  3/4
coach: Laksamana</v>
      </c>
    </row>
    <row r="1071" customFormat="false" ht="22.35" hidden="false" customHeight="false" outlineLevel="0" collapsed="false">
      <c r="A1071" s="76" t="str">
        <f aca="false">B1071&amp;"|"&amp;C1071&amp;"|"&amp;D1071&amp;"|"&amp;E1071</f>
        <v>PML|3|Sabtu|09:30</v>
      </c>
      <c r="B1071" s="76" t="s">
        <v>65</v>
      </c>
      <c r="C1071" s="76" t="n">
        <v>3</v>
      </c>
      <c r="D1071" s="76" t="s">
        <v>95</v>
      </c>
      <c r="E1071" s="76" t="s">
        <v>112</v>
      </c>
      <c r="F1071" s="77" t="s">
        <v>277</v>
      </c>
      <c r="G1071" s="77" t="n">
        <v>4</v>
      </c>
      <c r="H1071" s="77" t="n">
        <v>4</v>
      </c>
      <c r="I1071" s="76" t="n">
        <f aca="false">IF(AND(ISNUMBER(G1071),ISNUMBER(H1071)),MAX(G1071-H1071,0),"")</f>
        <v>0</v>
      </c>
      <c r="J1071" s="78" t="n">
        <f aca="false">IF(AND(ISNUMBER(G1071),ISNUMBER(H1071)),IF(G1071&gt;0,H1071/G1071,""),"")</f>
        <v>1</v>
      </c>
      <c r="K1071" s="77" t="s">
        <v>330</v>
      </c>
      <c r="L1071" s="76" t="str">
        <f aca="false">IF(OR(G1071="",H1071=""),"Data tidak lengkap",IF(AND(G1071=0,H1071=0),IF(AND(F1071="",K1071=""),"Tidak dibuka","Tutup"),IF(H1071&gt;G1071,"Lebih kapasitas",IF(H1071=G1071,"Penuh",IF(H1071=0,IF(F1071="","Slot kosong","Belum terisi"),"Sebagian")))))</f>
        <v>Penuh</v>
      </c>
      <c r="M1071" s="79" t="str">
        <f aca="false">IF(L1071="Tidak dibuka","–",IF(F1071="","(tanpa age group)",F1071)&amp;"  "&amp;IF(H1071="","?",H1071)&amp;"/"&amp;IF(G1071="","?",G1071)&amp;CHAR(10)&amp;IF(K1071="","coach: –","coach: "&amp;K1071))</f>
        <v>Little  4/4
coach: Indah</v>
      </c>
    </row>
    <row r="1072" customFormat="false" ht="22.35" hidden="false" customHeight="false" outlineLevel="0" collapsed="false">
      <c r="A1072" s="76" t="str">
        <f aca="false">B1072&amp;"|"&amp;C1072&amp;"|"&amp;D1072&amp;"|"&amp;E1072</f>
        <v>PML|3|Sabtu|10:15</v>
      </c>
      <c r="B1072" s="76" t="s">
        <v>65</v>
      </c>
      <c r="C1072" s="76" t="n">
        <v>3</v>
      </c>
      <c r="D1072" s="76" t="s">
        <v>95</v>
      </c>
      <c r="E1072" s="76" t="s">
        <v>113</v>
      </c>
      <c r="F1072" s="77" t="s">
        <v>277</v>
      </c>
      <c r="G1072" s="77" t="n">
        <v>4</v>
      </c>
      <c r="H1072" s="77" t="n">
        <v>4</v>
      </c>
      <c r="I1072" s="76" t="n">
        <f aca="false">IF(AND(ISNUMBER(G1072),ISNUMBER(H1072)),MAX(G1072-H1072,0),"")</f>
        <v>0</v>
      </c>
      <c r="J1072" s="78" t="n">
        <f aca="false">IF(AND(ISNUMBER(G1072),ISNUMBER(H1072)),IF(G1072&gt;0,H1072/G1072,""),"")</f>
        <v>1</v>
      </c>
      <c r="K1072" s="77" t="s">
        <v>335</v>
      </c>
      <c r="L1072" s="76" t="str">
        <f aca="false">IF(OR(G1072="",H1072=""),"Data tidak lengkap",IF(AND(G1072=0,H1072=0),IF(AND(F1072="",K1072=""),"Tidak dibuka","Tutup"),IF(H1072&gt;G1072,"Lebih kapasitas",IF(H1072=G1072,"Penuh",IF(H1072=0,IF(F1072="","Slot kosong","Belum terisi"),"Sebagian")))))</f>
        <v>Penuh</v>
      </c>
      <c r="M1072" s="79" t="str">
        <f aca="false">IF(L1072="Tidak dibuka","–",IF(F1072="","(tanpa age group)",F1072)&amp;"  "&amp;IF(H1072="","?",H1072)&amp;"/"&amp;IF(G1072="","?",G1072)&amp;CHAR(10)&amp;IF(K1072="","coach: –","coach: "&amp;K1072))</f>
        <v>Little  4/4
coach: Shofwan</v>
      </c>
    </row>
    <row r="1073" customFormat="false" ht="22.35" hidden="false" customHeight="false" outlineLevel="0" collapsed="false">
      <c r="A1073" s="76" t="str">
        <f aca="false">B1073&amp;"|"&amp;C1073&amp;"|"&amp;D1073&amp;"|"&amp;E1073</f>
        <v>PML|3|Sabtu|11:00</v>
      </c>
      <c r="B1073" s="76" t="s">
        <v>65</v>
      </c>
      <c r="C1073" s="76" t="n">
        <v>3</v>
      </c>
      <c r="D1073" s="76" t="s">
        <v>95</v>
      </c>
      <c r="E1073" s="76" t="s">
        <v>114</v>
      </c>
      <c r="F1073" s="77" t="s">
        <v>277</v>
      </c>
      <c r="G1073" s="77" t="n">
        <v>4</v>
      </c>
      <c r="H1073" s="77" t="n">
        <v>4</v>
      </c>
      <c r="I1073" s="76" t="n">
        <f aca="false">IF(AND(ISNUMBER(G1073),ISNUMBER(H1073)),MAX(G1073-H1073,0),"")</f>
        <v>0</v>
      </c>
      <c r="J1073" s="78" t="n">
        <f aca="false">IF(AND(ISNUMBER(G1073),ISNUMBER(H1073)),IF(G1073&gt;0,H1073/G1073,""),"")</f>
        <v>1</v>
      </c>
      <c r="K1073" s="77" t="s">
        <v>330</v>
      </c>
      <c r="L1073" s="76" t="str">
        <f aca="false">IF(OR(G1073="",H1073=""),"Data tidak lengkap",IF(AND(G1073=0,H1073=0),IF(AND(F1073="",K1073=""),"Tidak dibuka","Tutup"),IF(H1073&gt;G1073,"Lebih kapasitas",IF(H1073=G1073,"Penuh",IF(H1073=0,IF(F1073="","Slot kosong","Belum terisi"),"Sebagian")))))</f>
        <v>Penuh</v>
      </c>
      <c r="M1073" s="79" t="str">
        <f aca="false">IF(L1073="Tidak dibuka","–",IF(F1073="","(tanpa age group)",F1073)&amp;"  "&amp;IF(H1073="","?",H1073)&amp;"/"&amp;IF(G1073="","?",G1073)&amp;CHAR(10)&amp;IF(K1073="","coach: –","coach: "&amp;K1073))</f>
        <v>Little  4/4
coach: Indah</v>
      </c>
    </row>
    <row r="1074" customFormat="false" ht="22.35" hidden="false" customHeight="false" outlineLevel="0" collapsed="false">
      <c r="A1074" s="76" t="str">
        <f aca="false">B1074&amp;"|"&amp;C1074&amp;"|"&amp;D1074&amp;"|"&amp;E1074</f>
        <v>PML|3|Sabtu|11:45</v>
      </c>
      <c r="B1074" s="76" t="s">
        <v>65</v>
      </c>
      <c r="C1074" s="76" t="n">
        <v>3</v>
      </c>
      <c r="D1074" s="76" t="s">
        <v>95</v>
      </c>
      <c r="E1074" s="76" t="s">
        <v>115</v>
      </c>
      <c r="F1074" s="77" t="s">
        <v>277</v>
      </c>
      <c r="G1074" s="77" t="n">
        <v>4</v>
      </c>
      <c r="H1074" s="77" t="n">
        <v>4</v>
      </c>
      <c r="I1074" s="76" t="n">
        <f aca="false">IF(AND(ISNUMBER(G1074),ISNUMBER(H1074)),MAX(G1074-H1074,0),"")</f>
        <v>0</v>
      </c>
      <c r="J1074" s="78" t="n">
        <f aca="false">IF(AND(ISNUMBER(G1074),ISNUMBER(H1074)),IF(G1074&gt;0,H1074/G1074,""),"")</f>
        <v>1</v>
      </c>
      <c r="K1074" s="77" t="s">
        <v>333</v>
      </c>
      <c r="L1074" s="76" t="str">
        <f aca="false">IF(OR(G1074="",H1074=""),"Data tidak lengkap",IF(AND(G1074=0,H1074=0),IF(AND(F1074="",K1074=""),"Tidak dibuka","Tutup"),IF(H1074&gt;G1074,"Lebih kapasitas",IF(H1074=G1074,"Penuh",IF(H1074=0,IF(F1074="","Slot kosong","Belum terisi"),"Sebagian")))))</f>
        <v>Penuh</v>
      </c>
      <c r="M1074" s="79" t="str">
        <f aca="false">IF(L1074="Tidak dibuka","–",IF(F1074="","(tanpa age group)",F1074)&amp;"  "&amp;IF(H1074="","?",H1074)&amp;"/"&amp;IF(G1074="","?",G1074)&amp;CHAR(10)&amp;IF(K1074="","coach: –","coach: "&amp;K1074))</f>
        <v>Little  4/4
coach: Zidan</v>
      </c>
    </row>
    <row r="1075" customFormat="false" ht="22.35" hidden="false" customHeight="false" outlineLevel="0" collapsed="false">
      <c r="A1075" s="76" t="str">
        <f aca="false">B1075&amp;"|"&amp;C1075&amp;"|"&amp;D1075&amp;"|"&amp;E1075</f>
        <v>PML|3|Sabtu|13:15</v>
      </c>
      <c r="B1075" s="76" t="s">
        <v>65</v>
      </c>
      <c r="C1075" s="76" t="n">
        <v>3</v>
      </c>
      <c r="D1075" s="76" t="s">
        <v>95</v>
      </c>
      <c r="E1075" s="76" t="s">
        <v>116</v>
      </c>
      <c r="F1075" s="77" t="s">
        <v>277</v>
      </c>
      <c r="G1075" s="77" t="n">
        <v>4</v>
      </c>
      <c r="H1075" s="77" t="n">
        <v>0</v>
      </c>
      <c r="I1075" s="76" t="n">
        <f aca="false">IF(AND(ISNUMBER(G1075),ISNUMBER(H1075)),MAX(G1075-H1075,0),"")</f>
        <v>4</v>
      </c>
      <c r="J1075" s="78" t="n">
        <f aca="false">IF(AND(ISNUMBER(G1075),ISNUMBER(H1075)),IF(G1075&gt;0,H1075/G1075,""),"")</f>
        <v>0</v>
      </c>
      <c r="K1075" s="77"/>
      <c r="L1075" s="76" t="str">
        <f aca="false">IF(OR(G1075="",H1075=""),"Data tidak lengkap",IF(AND(G1075=0,H1075=0),IF(AND(F1075="",K1075=""),"Tidak dibuka","Tutup"),IF(H1075&gt;G1075,"Lebih kapasitas",IF(H1075=G1075,"Penuh",IF(H1075=0,IF(F1075="","Slot kosong","Belum terisi"),"Sebagian")))))</f>
        <v>Belum terisi</v>
      </c>
      <c r="M1075" s="79" t="str">
        <f aca="false">IF(L1075="Tidak dibuka","–",IF(F1075="","(tanpa age group)",F1075)&amp;"  "&amp;IF(H1075="","?",H1075)&amp;"/"&amp;IF(G1075="","?",G1075)&amp;CHAR(10)&amp;IF(K1075="","coach: –","coach: "&amp;K1075))</f>
        <v>Little  0/4
coach: –</v>
      </c>
    </row>
    <row r="1076" customFormat="false" ht="22.35" hidden="false" customHeight="false" outlineLevel="0" collapsed="false">
      <c r="A1076" s="76" t="str">
        <f aca="false">B1076&amp;"|"&amp;C1076&amp;"|"&amp;D1076&amp;"|"&amp;E1076</f>
        <v>PML|3|Sabtu|14:00</v>
      </c>
      <c r="B1076" s="76" t="s">
        <v>65</v>
      </c>
      <c r="C1076" s="76" t="n">
        <v>3</v>
      </c>
      <c r="D1076" s="76" t="s">
        <v>95</v>
      </c>
      <c r="E1076" s="76" t="s">
        <v>117</v>
      </c>
      <c r="F1076" s="77" t="s">
        <v>277</v>
      </c>
      <c r="G1076" s="77" t="n">
        <v>4</v>
      </c>
      <c r="H1076" s="77" t="n">
        <v>0</v>
      </c>
      <c r="I1076" s="76" t="n">
        <f aca="false">IF(AND(ISNUMBER(G1076),ISNUMBER(H1076)),MAX(G1076-H1076,0),"")</f>
        <v>4</v>
      </c>
      <c r="J1076" s="78" t="n">
        <f aca="false">IF(AND(ISNUMBER(G1076),ISNUMBER(H1076)),IF(G1076&gt;0,H1076/G1076,""),"")</f>
        <v>0</v>
      </c>
      <c r="K1076" s="77"/>
      <c r="L1076" s="76" t="str">
        <f aca="false">IF(OR(G1076="",H1076=""),"Data tidak lengkap",IF(AND(G1076=0,H1076=0),IF(AND(F1076="",K1076=""),"Tidak dibuka","Tutup"),IF(H1076&gt;G1076,"Lebih kapasitas",IF(H1076=G1076,"Penuh",IF(H1076=0,IF(F1076="","Slot kosong","Belum terisi"),"Sebagian")))))</f>
        <v>Belum terisi</v>
      </c>
      <c r="M1076" s="79" t="str">
        <f aca="false">IF(L1076="Tidak dibuka","–",IF(F1076="","(tanpa age group)",F1076)&amp;"  "&amp;IF(H1076="","?",H1076)&amp;"/"&amp;IF(G1076="","?",G1076)&amp;CHAR(10)&amp;IF(K1076="","coach: –","coach: "&amp;K1076))</f>
        <v>Little  0/4
coach: –</v>
      </c>
    </row>
    <row r="1077" customFormat="false" ht="22.35" hidden="false" customHeight="false" outlineLevel="0" collapsed="false">
      <c r="A1077" s="76" t="str">
        <f aca="false">B1077&amp;"|"&amp;C1077&amp;"|"&amp;D1077&amp;"|"&amp;E1077</f>
        <v>PML|3|Sabtu|14:45</v>
      </c>
      <c r="B1077" s="76" t="s">
        <v>65</v>
      </c>
      <c r="C1077" s="76" t="n">
        <v>3</v>
      </c>
      <c r="D1077" s="76" t="s">
        <v>95</v>
      </c>
      <c r="E1077" s="76" t="s">
        <v>118</v>
      </c>
      <c r="F1077" s="77" t="s">
        <v>277</v>
      </c>
      <c r="G1077" s="77" t="n">
        <v>4</v>
      </c>
      <c r="H1077" s="77" t="n">
        <v>3</v>
      </c>
      <c r="I1077" s="76" t="n">
        <f aca="false">IF(AND(ISNUMBER(G1077),ISNUMBER(H1077)),MAX(G1077-H1077,0),"")</f>
        <v>1</v>
      </c>
      <c r="J1077" s="78" t="n">
        <f aca="false">IF(AND(ISNUMBER(G1077),ISNUMBER(H1077)),IF(G1077&gt;0,H1077/G1077,""),"")</f>
        <v>0.75</v>
      </c>
      <c r="K1077" s="77" t="s">
        <v>331</v>
      </c>
      <c r="L1077" s="76" t="str">
        <f aca="false">IF(OR(G1077="",H1077=""),"Data tidak lengkap",IF(AND(G1077=0,H1077=0),IF(AND(F1077="",K1077=""),"Tidak dibuka","Tutup"),IF(H1077&gt;G1077,"Lebih kapasitas",IF(H1077=G1077,"Penuh",IF(H1077=0,IF(F1077="","Slot kosong","Belum terisi"),"Sebagian")))))</f>
        <v>Sebagian</v>
      </c>
      <c r="M1077" s="79" t="str">
        <f aca="false">IF(L1077="Tidak dibuka","–",IF(F1077="","(tanpa age group)",F1077)&amp;"  "&amp;IF(H1077="","?",H1077)&amp;"/"&amp;IF(G1077="","?",G1077)&amp;CHAR(10)&amp;IF(K1077="","coach: –","coach: "&amp;K1077))</f>
        <v>Little  3/4
coach: Damai</v>
      </c>
    </row>
    <row r="1078" customFormat="false" ht="22.35" hidden="false" customHeight="false" outlineLevel="0" collapsed="false">
      <c r="A1078" s="76" t="str">
        <f aca="false">B1078&amp;"|"&amp;C1078&amp;"|"&amp;D1078&amp;"|"&amp;E1078</f>
        <v>PML|3|Sabtu|15:30</v>
      </c>
      <c r="B1078" s="76" t="s">
        <v>65</v>
      </c>
      <c r="C1078" s="76" t="n">
        <v>3</v>
      </c>
      <c r="D1078" s="76" t="s">
        <v>95</v>
      </c>
      <c r="E1078" s="76" t="s">
        <v>119</v>
      </c>
      <c r="F1078" s="77" t="s">
        <v>277</v>
      </c>
      <c r="G1078" s="77" t="n">
        <v>4</v>
      </c>
      <c r="H1078" s="77" t="n">
        <v>4</v>
      </c>
      <c r="I1078" s="76" t="n">
        <f aca="false">IF(AND(ISNUMBER(G1078),ISNUMBER(H1078)),MAX(G1078-H1078,0),"")</f>
        <v>0</v>
      </c>
      <c r="J1078" s="78" t="n">
        <f aca="false">IF(AND(ISNUMBER(G1078),ISNUMBER(H1078)),IF(G1078&gt;0,H1078/G1078,""),"")</f>
        <v>1</v>
      </c>
      <c r="K1078" s="77" t="s">
        <v>334</v>
      </c>
      <c r="L1078" s="76" t="str">
        <f aca="false">IF(OR(G1078="",H1078=""),"Data tidak lengkap",IF(AND(G1078=0,H1078=0),IF(AND(F1078="",K1078=""),"Tidak dibuka","Tutup"),IF(H1078&gt;G1078,"Lebih kapasitas",IF(H1078=G1078,"Penuh",IF(H1078=0,IF(F1078="","Slot kosong","Belum terisi"),"Sebagian")))))</f>
        <v>Penuh</v>
      </c>
      <c r="M1078" s="79" t="str">
        <f aca="false">IF(L1078="Tidak dibuka","–",IF(F1078="","(tanpa age group)",F1078)&amp;"  "&amp;IF(H1078="","?",H1078)&amp;"/"&amp;IF(G1078="","?",G1078)&amp;CHAR(10)&amp;IF(K1078="","coach: –","coach: "&amp;K1078))</f>
        <v>Little  4/4
coach: Kamal</v>
      </c>
    </row>
    <row r="1079" customFormat="false" ht="22.35" hidden="false" customHeight="false" outlineLevel="0" collapsed="false">
      <c r="A1079" s="76" t="str">
        <f aca="false">B1079&amp;"|"&amp;C1079&amp;"|"&amp;D1079&amp;"|"&amp;E1079</f>
        <v>PML|3|Sabtu|16:15</v>
      </c>
      <c r="B1079" s="76" t="s">
        <v>65</v>
      </c>
      <c r="C1079" s="76" t="n">
        <v>3</v>
      </c>
      <c r="D1079" s="76" t="s">
        <v>95</v>
      </c>
      <c r="E1079" s="76" t="s">
        <v>120</v>
      </c>
      <c r="F1079" s="77" t="s">
        <v>277</v>
      </c>
      <c r="G1079" s="77" t="n">
        <v>4</v>
      </c>
      <c r="H1079" s="77" t="n">
        <v>4</v>
      </c>
      <c r="I1079" s="76" t="n">
        <f aca="false">IF(AND(ISNUMBER(G1079),ISNUMBER(H1079)),MAX(G1079-H1079,0),"")</f>
        <v>0</v>
      </c>
      <c r="J1079" s="78" t="n">
        <f aca="false">IF(AND(ISNUMBER(G1079),ISNUMBER(H1079)),IF(G1079&gt;0,H1079/G1079,""),"")</f>
        <v>1</v>
      </c>
      <c r="K1079" s="77" t="s">
        <v>334</v>
      </c>
      <c r="L1079" s="76" t="str">
        <f aca="false">IF(OR(G1079="",H1079=""),"Data tidak lengkap",IF(AND(G1079=0,H1079=0),IF(AND(F1079="",K1079=""),"Tidak dibuka","Tutup"),IF(H1079&gt;G1079,"Lebih kapasitas",IF(H1079=G1079,"Penuh",IF(H1079=0,IF(F1079="","Slot kosong","Belum terisi"),"Sebagian")))))</f>
        <v>Penuh</v>
      </c>
      <c r="M1079" s="79" t="str">
        <f aca="false">IF(L1079="Tidak dibuka","–",IF(F1079="","(tanpa age group)",F1079)&amp;"  "&amp;IF(H1079="","?",H1079)&amp;"/"&amp;IF(G1079="","?",G1079)&amp;CHAR(10)&amp;IF(K1079="","coach: –","coach: "&amp;K1079))</f>
        <v>Little  4/4
coach: Kamal</v>
      </c>
    </row>
    <row r="1080" customFormat="false" ht="22.35" hidden="false" customHeight="false" outlineLevel="0" collapsed="false">
      <c r="A1080" s="76" t="str">
        <f aca="false">B1080&amp;"|"&amp;C1080&amp;"|"&amp;D1080&amp;"|"&amp;E1080</f>
        <v>PML|3|Sabtu|17:00</v>
      </c>
      <c r="B1080" s="76" t="s">
        <v>65</v>
      </c>
      <c r="C1080" s="76" t="n">
        <v>3</v>
      </c>
      <c r="D1080" s="76" t="s">
        <v>95</v>
      </c>
      <c r="E1080" s="76" t="s">
        <v>121</v>
      </c>
      <c r="F1080" s="77" t="s">
        <v>277</v>
      </c>
      <c r="G1080" s="77" t="n">
        <v>4</v>
      </c>
      <c r="H1080" s="77" t="n">
        <v>0</v>
      </c>
      <c r="I1080" s="76" t="n">
        <f aca="false">IF(AND(ISNUMBER(G1080),ISNUMBER(H1080)),MAX(G1080-H1080,0),"")</f>
        <v>4</v>
      </c>
      <c r="J1080" s="78" t="n">
        <f aca="false">IF(AND(ISNUMBER(G1080),ISNUMBER(H1080)),IF(G1080&gt;0,H1080/G1080,""),"")</f>
        <v>0</v>
      </c>
      <c r="K1080" s="77"/>
      <c r="L1080" s="76" t="str">
        <f aca="false">IF(OR(G1080="",H1080=""),"Data tidak lengkap",IF(AND(G1080=0,H1080=0),IF(AND(F1080="",K1080=""),"Tidak dibuka","Tutup"),IF(H1080&gt;G1080,"Lebih kapasitas",IF(H1080=G1080,"Penuh",IF(H1080=0,IF(F1080="","Slot kosong","Belum terisi"),"Sebagian")))))</f>
        <v>Belum terisi</v>
      </c>
      <c r="M1080" s="79" t="str">
        <f aca="false">IF(L1080="Tidak dibuka","–",IF(F1080="","(tanpa age group)",F1080)&amp;"  "&amp;IF(H1080="","?",H1080)&amp;"/"&amp;IF(G1080="","?",G1080)&amp;CHAR(10)&amp;IF(K1080="","coach: –","coach: "&amp;K1080))</f>
        <v>Little  0/4
coach: –</v>
      </c>
    </row>
    <row r="1081" customFormat="false" ht="22.35" hidden="false" customHeight="false" outlineLevel="0" collapsed="false">
      <c r="A1081" s="76" t="str">
        <f aca="false">B1081&amp;"|"&amp;C1081&amp;"|"&amp;D1081&amp;"|"&amp;E1081</f>
        <v>PML|3|Minggu|08:00</v>
      </c>
      <c r="B1081" s="76" t="s">
        <v>65</v>
      </c>
      <c r="C1081" s="76" t="n">
        <v>3</v>
      </c>
      <c r="D1081" s="76" t="s">
        <v>78</v>
      </c>
      <c r="E1081" s="76" t="s">
        <v>110</v>
      </c>
      <c r="F1081" s="77" t="s">
        <v>277</v>
      </c>
      <c r="G1081" s="77" t="n">
        <v>0</v>
      </c>
      <c r="H1081" s="77" t="n">
        <v>0</v>
      </c>
      <c r="I1081" s="76" t="n">
        <f aca="false">IF(AND(ISNUMBER(G1081),ISNUMBER(H1081)),MAX(G1081-H1081,0),"")</f>
        <v>0</v>
      </c>
      <c r="J1081" s="78" t="str">
        <f aca="false">IF(AND(ISNUMBER(G1081),ISNUMBER(H1081)),IF(G1081&gt;0,H1081/G1081,""),"")</f>
        <v/>
      </c>
      <c r="K1081" s="77"/>
      <c r="L1081" s="76" t="str">
        <f aca="false">IF(OR(G1081="",H1081=""),"Data tidak lengkap",IF(AND(G1081=0,H1081=0),IF(AND(F1081="",K1081=""),"Tidak dibuka","Tutup"),IF(H1081&gt;G1081,"Lebih kapasitas",IF(H1081=G1081,"Penuh",IF(H1081=0,IF(F1081="","Slot kosong","Belum terisi"),"Sebagian")))))</f>
        <v>Tutup</v>
      </c>
      <c r="M1081" s="79" t="str">
        <f aca="false">IF(L1081="Tidak dibuka","–",IF(F1081="","(tanpa age group)",F1081)&amp;"  "&amp;IF(H1081="","?",H1081)&amp;"/"&amp;IF(G1081="","?",G1081)&amp;CHAR(10)&amp;IF(K1081="","coach: –","coach: "&amp;K1081))</f>
        <v>Little  0/0
coach: –</v>
      </c>
    </row>
    <row r="1082" customFormat="false" ht="22.35" hidden="false" customHeight="false" outlineLevel="0" collapsed="false">
      <c r="A1082" s="76" t="str">
        <f aca="false">B1082&amp;"|"&amp;C1082&amp;"|"&amp;D1082&amp;"|"&amp;E1082</f>
        <v>PML|3|Minggu|08:45</v>
      </c>
      <c r="B1082" s="76" t="s">
        <v>65</v>
      </c>
      <c r="C1082" s="76" t="n">
        <v>3</v>
      </c>
      <c r="D1082" s="76" t="s">
        <v>78</v>
      </c>
      <c r="E1082" s="76" t="s">
        <v>111</v>
      </c>
      <c r="F1082" s="77" t="s">
        <v>277</v>
      </c>
      <c r="G1082" s="77" t="n">
        <v>4</v>
      </c>
      <c r="H1082" s="77" t="n">
        <v>4</v>
      </c>
      <c r="I1082" s="76" t="n">
        <f aca="false">IF(AND(ISNUMBER(G1082),ISNUMBER(H1082)),MAX(G1082-H1082,0),"")</f>
        <v>0</v>
      </c>
      <c r="J1082" s="78" t="n">
        <f aca="false">IF(AND(ISNUMBER(G1082),ISNUMBER(H1082)),IF(G1082&gt;0,H1082/G1082,""),"")</f>
        <v>1</v>
      </c>
      <c r="K1082" s="77" t="s">
        <v>335</v>
      </c>
      <c r="L1082" s="76" t="str">
        <f aca="false">IF(OR(G1082="",H1082=""),"Data tidak lengkap",IF(AND(G1082=0,H1082=0),IF(AND(F1082="",K1082=""),"Tidak dibuka","Tutup"),IF(H1082&gt;G1082,"Lebih kapasitas",IF(H1082=G1082,"Penuh",IF(H1082=0,IF(F1082="","Slot kosong","Belum terisi"),"Sebagian")))))</f>
        <v>Penuh</v>
      </c>
      <c r="M1082" s="79" t="str">
        <f aca="false">IF(L1082="Tidak dibuka","–",IF(F1082="","(tanpa age group)",F1082)&amp;"  "&amp;IF(H1082="","?",H1082)&amp;"/"&amp;IF(G1082="","?",G1082)&amp;CHAR(10)&amp;IF(K1082="","coach: –","coach: "&amp;K1082))</f>
        <v>Little  4/4
coach: Shofwan</v>
      </c>
    </row>
    <row r="1083" customFormat="false" ht="22.35" hidden="false" customHeight="false" outlineLevel="0" collapsed="false">
      <c r="A1083" s="76" t="str">
        <f aca="false">B1083&amp;"|"&amp;C1083&amp;"|"&amp;D1083&amp;"|"&amp;E1083</f>
        <v>PML|3|Minggu|09:30</v>
      </c>
      <c r="B1083" s="76" t="s">
        <v>65</v>
      </c>
      <c r="C1083" s="76" t="n">
        <v>3</v>
      </c>
      <c r="D1083" s="76" t="s">
        <v>78</v>
      </c>
      <c r="E1083" s="76" t="s">
        <v>112</v>
      </c>
      <c r="F1083" s="77" t="s">
        <v>277</v>
      </c>
      <c r="G1083" s="77" t="n">
        <v>4</v>
      </c>
      <c r="H1083" s="77" t="n">
        <v>4</v>
      </c>
      <c r="I1083" s="76" t="n">
        <f aca="false">IF(AND(ISNUMBER(G1083),ISNUMBER(H1083)),MAX(G1083-H1083,0),"")</f>
        <v>0</v>
      </c>
      <c r="J1083" s="78" t="n">
        <f aca="false">IF(AND(ISNUMBER(G1083),ISNUMBER(H1083)),IF(G1083&gt;0,H1083/G1083,""),"")</f>
        <v>1</v>
      </c>
      <c r="K1083" s="77" t="s">
        <v>330</v>
      </c>
      <c r="L1083" s="76" t="str">
        <f aca="false">IF(OR(G1083="",H1083=""),"Data tidak lengkap",IF(AND(G1083=0,H1083=0),IF(AND(F1083="",K1083=""),"Tidak dibuka","Tutup"),IF(H1083&gt;G1083,"Lebih kapasitas",IF(H1083=G1083,"Penuh",IF(H1083=0,IF(F1083="","Slot kosong","Belum terisi"),"Sebagian")))))</f>
        <v>Penuh</v>
      </c>
      <c r="M1083" s="79" t="str">
        <f aca="false">IF(L1083="Tidak dibuka","–",IF(F1083="","(tanpa age group)",F1083)&amp;"  "&amp;IF(H1083="","?",H1083)&amp;"/"&amp;IF(G1083="","?",G1083)&amp;CHAR(10)&amp;IF(K1083="","coach: –","coach: "&amp;K1083))</f>
        <v>Little  4/4
coach: Indah</v>
      </c>
    </row>
    <row r="1084" customFormat="false" ht="22.35" hidden="false" customHeight="false" outlineLevel="0" collapsed="false">
      <c r="A1084" s="76" t="str">
        <f aca="false">B1084&amp;"|"&amp;C1084&amp;"|"&amp;D1084&amp;"|"&amp;E1084</f>
        <v>PML|3|Minggu|10:15</v>
      </c>
      <c r="B1084" s="76" t="s">
        <v>65</v>
      </c>
      <c r="C1084" s="76" t="n">
        <v>3</v>
      </c>
      <c r="D1084" s="76" t="s">
        <v>78</v>
      </c>
      <c r="E1084" s="76" t="s">
        <v>113</v>
      </c>
      <c r="F1084" s="77" t="s">
        <v>277</v>
      </c>
      <c r="G1084" s="77" t="n">
        <v>4</v>
      </c>
      <c r="H1084" s="77" t="n">
        <v>4</v>
      </c>
      <c r="I1084" s="76" t="n">
        <f aca="false">IF(AND(ISNUMBER(G1084),ISNUMBER(H1084)),MAX(G1084-H1084,0),"")</f>
        <v>0</v>
      </c>
      <c r="J1084" s="78" t="n">
        <f aca="false">IF(AND(ISNUMBER(G1084),ISNUMBER(H1084)),IF(G1084&gt;0,H1084/G1084,""),"")</f>
        <v>1</v>
      </c>
      <c r="K1084" s="77" t="s">
        <v>333</v>
      </c>
      <c r="L1084" s="76" t="str">
        <f aca="false">IF(OR(G1084="",H1084=""),"Data tidak lengkap",IF(AND(G1084=0,H1084=0),IF(AND(F1084="",K1084=""),"Tidak dibuka","Tutup"),IF(H1084&gt;G1084,"Lebih kapasitas",IF(H1084=G1084,"Penuh",IF(H1084=0,IF(F1084="","Slot kosong","Belum terisi"),"Sebagian")))))</f>
        <v>Penuh</v>
      </c>
      <c r="M1084" s="79" t="str">
        <f aca="false">IF(L1084="Tidak dibuka","–",IF(F1084="","(tanpa age group)",F1084)&amp;"  "&amp;IF(H1084="","?",H1084)&amp;"/"&amp;IF(G1084="","?",G1084)&amp;CHAR(10)&amp;IF(K1084="","coach: –","coach: "&amp;K1084))</f>
        <v>Little  4/4
coach: Zidan</v>
      </c>
    </row>
    <row r="1085" customFormat="false" ht="22.35" hidden="false" customHeight="false" outlineLevel="0" collapsed="false">
      <c r="A1085" s="76" t="str">
        <f aca="false">B1085&amp;"|"&amp;C1085&amp;"|"&amp;D1085&amp;"|"&amp;E1085</f>
        <v>PML|3|Minggu|11:00</v>
      </c>
      <c r="B1085" s="76" t="s">
        <v>65</v>
      </c>
      <c r="C1085" s="76" t="n">
        <v>3</v>
      </c>
      <c r="D1085" s="76" t="s">
        <v>78</v>
      </c>
      <c r="E1085" s="76" t="s">
        <v>114</v>
      </c>
      <c r="F1085" s="77" t="s">
        <v>277</v>
      </c>
      <c r="G1085" s="77" t="n">
        <v>4</v>
      </c>
      <c r="H1085" s="77" t="n">
        <v>4</v>
      </c>
      <c r="I1085" s="76" t="n">
        <f aca="false">IF(AND(ISNUMBER(G1085),ISNUMBER(H1085)),MAX(G1085-H1085,0),"")</f>
        <v>0</v>
      </c>
      <c r="J1085" s="78" t="n">
        <f aca="false">IF(AND(ISNUMBER(G1085),ISNUMBER(H1085)),IF(G1085&gt;0,H1085/G1085,""),"")</f>
        <v>1</v>
      </c>
      <c r="K1085" s="77" t="s">
        <v>333</v>
      </c>
      <c r="L1085" s="76" t="str">
        <f aca="false">IF(OR(G1085="",H1085=""),"Data tidak lengkap",IF(AND(G1085=0,H1085=0),IF(AND(F1085="",K1085=""),"Tidak dibuka","Tutup"),IF(H1085&gt;G1085,"Lebih kapasitas",IF(H1085=G1085,"Penuh",IF(H1085=0,IF(F1085="","Slot kosong","Belum terisi"),"Sebagian")))))</f>
        <v>Penuh</v>
      </c>
      <c r="M1085" s="79" t="str">
        <f aca="false">IF(L1085="Tidak dibuka","–",IF(F1085="","(tanpa age group)",F1085)&amp;"  "&amp;IF(H1085="","?",H1085)&amp;"/"&amp;IF(G1085="","?",G1085)&amp;CHAR(10)&amp;IF(K1085="","coach: –","coach: "&amp;K1085))</f>
        <v>Little  4/4
coach: Zidan</v>
      </c>
    </row>
    <row r="1086" customFormat="false" ht="22.35" hidden="false" customHeight="false" outlineLevel="0" collapsed="false">
      <c r="A1086" s="76" t="str">
        <f aca="false">B1086&amp;"|"&amp;C1086&amp;"|"&amp;D1086&amp;"|"&amp;E1086</f>
        <v>PML|3|Minggu|11:45</v>
      </c>
      <c r="B1086" s="76" t="s">
        <v>65</v>
      </c>
      <c r="C1086" s="76" t="n">
        <v>3</v>
      </c>
      <c r="D1086" s="76" t="s">
        <v>78</v>
      </c>
      <c r="E1086" s="76" t="s">
        <v>115</v>
      </c>
      <c r="F1086" s="77" t="s">
        <v>277</v>
      </c>
      <c r="G1086" s="77" t="n">
        <v>4</v>
      </c>
      <c r="H1086" s="77" t="n">
        <v>3</v>
      </c>
      <c r="I1086" s="76" t="n">
        <f aca="false">IF(AND(ISNUMBER(G1086),ISNUMBER(H1086)),MAX(G1086-H1086,0),"")</f>
        <v>1</v>
      </c>
      <c r="J1086" s="78" t="n">
        <f aca="false">IF(AND(ISNUMBER(G1086),ISNUMBER(H1086)),IF(G1086&gt;0,H1086/G1086,""),"")</f>
        <v>0.75</v>
      </c>
      <c r="K1086" s="77" t="s">
        <v>335</v>
      </c>
      <c r="L1086" s="76" t="str">
        <f aca="false">IF(OR(G1086="",H1086=""),"Data tidak lengkap",IF(AND(G1086=0,H1086=0),IF(AND(F1086="",K1086=""),"Tidak dibuka","Tutup"),IF(H1086&gt;G1086,"Lebih kapasitas",IF(H1086=G1086,"Penuh",IF(H1086=0,IF(F1086="","Slot kosong","Belum terisi"),"Sebagian")))))</f>
        <v>Sebagian</v>
      </c>
      <c r="M1086" s="79" t="str">
        <f aca="false">IF(L1086="Tidak dibuka","–",IF(F1086="","(tanpa age group)",F1086)&amp;"  "&amp;IF(H1086="","?",H1086)&amp;"/"&amp;IF(G1086="","?",G1086)&amp;CHAR(10)&amp;IF(K1086="","coach: –","coach: "&amp;K1086))</f>
        <v>Little  3/4
coach: Shofwan</v>
      </c>
    </row>
    <row r="1087" customFormat="false" ht="22.35" hidden="false" customHeight="false" outlineLevel="0" collapsed="false">
      <c r="A1087" s="76" t="str">
        <f aca="false">B1087&amp;"|"&amp;C1087&amp;"|"&amp;D1087&amp;"|"&amp;E1087</f>
        <v>PML|3|Minggu|13:15</v>
      </c>
      <c r="B1087" s="76" t="s">
        <v>65</v>
      </c>
      <c r="C1087" s="76" t="n">
        <v>3</v>
      </c>
      <c r="D1087" s="76" t="s">
        <v>78</v>
      </c>
      <c r="E1087" s="76" t="s">
        <v>116</v>
      </c>
      <c r="F1087" s="77" t="s">
        <v>277</v>
      </c>
      <c r="G1087" s="77" t="n">
        <v>4</v>
      </c>
      <c r="H1087" s="77" t="n">
        <v>3</v>
      </c>
      <c r="I1087" s="76" t="n">
        <f aca="false">IF(AND(ISNUMBER(G1087),ISNUMBER(H1087)),MAX(G1087-H1087,0),"")</f>
        <v>1</v>
      </c>
      <c r="J1087" s="78" t="n">
        <f aca="false">IF(AND(ISNUMBER(G1087),ISNUMBER(H1087)),IF(G1087&gt;0,H1087/G1087,""),"")</f>
        <v>0.75</v>
      </c>
      <c r="K1087" s="77" t="s">
        <v>336</v>
      </c>
      <c r="L1087" s="76" t="str">
        <f aca="false">IF(OR(G1087="",H1087=""),"Data tidak lengkap",IF(AND(G1087=0,H1087=0),IF(AND(F1087="",K1087=""),"Tidak dibuka","Tutup"),IF(H1087&gt;G1087,"Lebih kapasitas",IF(H1087=G1087,"Penuh",IF(H1087=0,IF(F1087="","Slot kosong","Belum terisi"),"Sebagian")))))</f>
        <v>Sebagian</v>
      </c>
      <c r="M1087" s="79" t="str">
        <f aca="false">IF(L1087="Tidak dibuka","–",IF(F1087="","(tanpa age group)",F1087)&amp;"  "&amp;IF(H1087="","?",H1087)&amp;"/"&amp;IF(G1087="","?",G1087)&amp;CHAR(10)&amp;IF(K1087="","coach: –","coach: "&amp;K1087))</f>
        <v>Little  3/4
coach: Laksamana</v>
      </c>
    </row>
    <row r="1088" customFormat="false" ht="22.35" hidden="false" customHeight="false" outlineLevel="0" collapsed="false">
      <c r="A1088" s="76" t="str">
        <f aca="false">B1088&amp;"|"&amp;C1088&amp;"|"&amp;D1088&amp;"|"&amp;E1088</f>
        <v>PML|3|Minggu|14:00</v>
      </c>
      <c r="B1088" s="76" t="s">
        <v>65</v>
      </c>
      <c r="C1088" s="76" t="n">
        <v>3</v>
      </c>
      <c r="D1088" s="76" t="s">
        <v>78</v>
      </c>
      <c r="E1088" s="76" t="s">
        <v>117</v>
      </c>
      <c r="F1088" s="77" t="s">
        <v>277</v>
      </c>
      <c r="G1088" s="77" t="n">
        <v>4</v>
      </c>
      <c r="H1088" s="77" t="n">
        <v>3</v>
      </c>
      <c r="I1088" s="76" t="n">
        <f aca="false">IF(AND(ISNUMBER(G1088),ISNUMBER(H1088)),MAX(G1088-H1088,0),"")</f>
        <v>1</v>
      </c>
      <c r="J1088" s="78" t="n">
        <f aca="false">IF(AND(ISNUMBER(G1088),ISNUMBER(H1088)),IF(G1088&gt;0,H1088/G1088,""),"")</f>
        <v>0.75</v>
      </c>
      <c r="K1088" s="77" t="s">
        <v>330</v>
      </c>
      <c r="L1088" s="76" t="str">
        <f aca="false">IF(OR(G1088="",H1088=""),"Data tidak lengkap",IF(AND(G1088=0,H1088=0),IF(AND(F1088="",K1088=""),"Tidak dibuka","Tutup"),IF(H1088&gt;G1088,"Lebih kapasitas",IF(H1088=G1088,"Penuh",IF(H1088=0,IF(F1088="","Slot kosong","Belum terisi"),"Sebagian")))))</f>
        <v>Sebagian</v>
      </c>
      <c r="M1088" s="79" t="str">
        <f aca="false">IF(L1088="Tidak dibuka","–",IF(F1088="","(tanpa age group)",F1088)&amp;"  "&amp;IF(H1088="","?",H1088)&amp;"/"&amp;IF(G1088="","?",G1088)&amp;CHAR(10)&amp;IF(K1088="","coach: –","coach: "&amp;K1088))</f>
        <v>Little  3/4
coach: Indah</v>
      </c>
    </row>
    <row r="1089" customFormat="false" ht="22.35" hidden="false" customHeight="false" outlineLevel="0" collapsed="false">
      <c r="A1089" s="76" t="str">
        <f aca="false">B1089&amp;"|"&amp;C1089&amp;"|"&amp;D1089&amp;"|"&amp;E1089</f>
        <v>PML|3|Minggu|14:45</v>
      </c>
      <c r="B1089" s="76" t="s">
        <v>65</v>
      </c>
      <c r="C1089" s="76" t="n">
        <v>3</v>
      </c>
      <c r="D1089" s="76" t="s">
        <v>78</v>
      </c>
      <c r="E1089" s="76" t="s">
        <v>118</v>
      </c>
      <c r="F1089" s="77" t="s">
        <v>277</v>
      </c>
      <c r="G1089" s="77" t="n">
        <v>4</v>
      </c>
      <c r="H1089" s="77" t="n">
        <v>2</v>
      </c>
      <c r="I1089" s="76" t="n">
        <f aca="false">IF(AND(ISNUMBER(G1089),ISNUMBER(H1089)),MAX(G1089-H1089,0),"")</f>
        <v>2</v>
      </c>
      <c r="J1089" s="78" t="n">
        <f aca="false">IF(AND(ISNUMBER(G1089),ISNUMBER(H1089)),IF(G1089&gt;0,H1089/G1089,""),"")</f>
        <v>0.5</v>
      </c>
      <c r="K1089" s="77" t="s">
        <v>336</v>
      </c>
      <c r="L1089" s="76" t="str">
        <f aca="false">IF(OR(G1089="",H1089=""),"Data tidak lengkap",IF(AND(G1089=0,H1089=0),IF(AND(F1089="",K1089=""),"Tidak dibuka","Tutup"),IF(H1089&gt;G1089,"Lebih kapasitas",IF(H1089=G1089,"Penuh",IF(H1089=0,IF(F1089="","Slot kosong","Belum terisi"),"Sebagian")))))</f>
        <v>Sebagian</v>
      </c>
      <c r="M1089" s="79" t="str">
        <f aca="false">IF(L1089="Tidak dibuka","–",IF(F1089="","(tanpa age group)",F1089)&amp;"  "&amp;IF(H1089="","?",H1089)&amp;"/"&amp;IF(G1089="","?",G1089)&amp;CHAR(10)&amp;IF(K1089="","coach: –","coach: "&amp;K1089))</f>
        <v>Little  2/4
coach: Laksamana</v>
      </c>
    </row>
    <row r="1090" customFormat="false" ht="22.35" hidden="false" customHeight="false" outlineLevel="0" collapsed="false">
      <c r="A1090" s="76" t="str">
        <f aca="false">B1090&amp;"|"&amp;C1090&amp;"|"&amp;D1090&amp;"|"&amp;E1090</f>
        <v>PML|3|Minggu|15:30</v>
      </c>
      <c r="B1090" s="76" t="s">
        <v>65</v>
      </c>
      <c r="C1090" s="76" t="n">
        <v>3</v>
      </c>
      <c r="D1090" s="76" t="s">
        <v>78</v>
      </c>
      <c r="E1090" s="76" t="s">
        <v>119</v>
      </c>
      <c r="F1090" s="77" t="s">
        <v>277</v>
      </c>
      <c r="G1090" s="77" t="n">
        <v>4</v>
      </c>
      <c r="H1090" s="77" t="n">
        <v>2</v>
      </c>
      <c r="I1090" s="76" t="n">
        <f aca="false">IF(AND(ISNUMBER(G1090),ISNUMBER(H1090)),MAX(G1090-H1090,0),"")</f>
        <v>2</v>
      </c>
      <c r="J1090" s="78" t="n">
        <f aca="false">IF(AND(ISNUMBER(G1090),ISNUMBER(H1090)),IF(G1090&gt;0,H1090/G1090,""),"")</f>
        <v>0.5</v>
      </c>
      <c r="K1090" s="77" t="s">
        <v>337</v>
      </c>
      <c r="L1090" s="76" t="str">
        <f aca="false">IF(OR(G1090="",H1090=""),"Data tidak lengkap",IF(AND(G1090=0,H1090=0),IF(AND(F1090="",K1090=""),"Tidak dibuka","Tutup"),IF(H1090&gt;G1090,"Lebih kapasitas",IF(H1090=G1090,"Penuh",IF(H1090=0,IF(F1090="","Slot kosong","Belum terisi"),"Sebagian")))))</f>
        <v>Sebagian</v>
      </c>
      <c r="M1090" s="79" t="str">
        <f aca="false">IF(L1090="Tidak dibuka","–",IF(F1090="","(tanpa age group)",F1090)&amp;"  "&amp;IF(H1090="","?",H1090)&amp;"/"&amp;IF(G1090="","?",G1090)&amp;CHAR(10)&amp;IF(K1090="","coach: –","coach: "&amp;K1090))</f>
        <v>Little  2/4
coach: Dadi</v>
      </c>
    </row>
    <row r="1091" customFormat="false" ht="22.35" hidden="false" customHeight="false" outlineLevel="0" collapsed="false">
      <c r="A1091" s="76" t="str">
        <f aca="false">B1091&amp;"|"&amp;C1091&amp;"|"&amp;D1091&amp;"|"&amp;E1091</f>
        <v>PML|3|Minggu|16:15</v>
      </c>
      <c r="B1091" s="76" t="s">
        <v>65</v>
      </c>
      <c r="C1091" s="76" t="n">
        <v>3</v>
      </c>
      <c r="D1091" s="76" t="s">
        <v>78</v>
      </c>
      <c r="E1091" s="76" t="s">
        <v>120</v>
      </c>
      <c r="F1091" s="77" t="s">
        <v>277</v>
      </c>
      <c r="G1091" s="77" t="n">
        <v>4</v>
      </c>
      <c r="H1091" s="77" t="n">
        <v>3</v>
      </c>
      <c r="I1091" s="76" t="n">
        <f aca="false">IF(AND(ISNUMBER(G1091),ISNUMBER(H1091)),MAX(G1091-H1091,0),"")</f>
        <v>1</v>
      </c>
      <c r="J1091" s="78" t="n">
        <f aca="false">IF(AND(ISNUMBER(G1091),ISNUMBER(H1091)),IF(G1091&gt;0,H1091/G1091,""),"")</f>
        <v>0.75</v>
      </c>
      <c r="K1091" s="77" t="s">
        <v>333</v>
      </c>
      <c r="L1091" s="76" t="str">
        <f aca="false">IF(OR(G1091="",H1091=""),"Data tidak lengkap",IF(AND(G1091=0,H1091=0),IF(AND(F1091="",K1091=""),"Tidak dibuka","Tutup"),IF(H1091&gt;G1091,"Lebih kapasitas",IF(H1091=G1091,"Penuh",IF(H1091=0,IF(F1091="","Slot kosong","Belum terisi"),"Sebagian")))))</f>
        <v>Sebagian</v>
      </c>
      <c r="M1091" s="79" t="str">
        <f aca="false">IF(L1091="Tidak dibuka","–",IF(F1091="","(tanpa age group)",F1091)&amp;"  "&amp;IF(H1091="","?",H1091)&amp;"/"&amp;IF(G1091="","?",G1091)&amp;CHAR(10)&amp;IF(K1091="","coach: –","coach: "&amp;K1091))</f>
        <v>Little  3/4
coach: Zidan</v>
      </c>
    </row>
    <row r="1092" customFormat="false" ht="22.35" hidden="false" customHeight="false" outlineLevel="0" collapsed="false">
      <c r="A1092" s="76" t="str">
        <f aca="false">B1092&amp;"|"&amp;C1092&amp;"|"&amp;D1092&amp;"|"&amp;E1092</f>
        <v>PML|3|Minggu|17:00</v>
      </c>
      <c r="B1092" s="76" t="s">
        <v>65</v>
      </c>
      <c r="C1092" s="76" t="n">
        <v>3</v>
      </c>
      <c r="D1092" s="76" t="s">
        <v>78</v>
      </c>
      <c r="E1092" s="76" t="s">
        <v>121</v>
      </c>
      <c r="F1092" s="77" t="s">
        <v>277</v>
      </c>
      <c r="G1092" s="77" t="n">
        <v>4</v>
      </c>
      <c r="H1092" s="77" t="n">
        <v>3</v>
      </c>
      <c r="I1092" s="76" t="n">
        <f aca="false">IF(AND(ISNUMBER(G1092),ISNUMBER(H1092)),MAX(G1092-H1092,0),"")</f>
        <v>1</v>
      </c>
      <c r="J1092" s="78" t="n">
        <f aca="false">IF(AND(ISNUMBER(G1092),ISNUMBER(H1092)),IF(G1092&gt;0,H1092/G1092,""),"")</f>
        <v>0.75</v>
      </c>
      <c r="K1092" s="77" t="s">
        <v>333</v>
      </c>
      <c r="L1092" s="76" t="str">
        <f aca="false">IF(OR(G1092="",H1092=""),"Data tidak lengkap",IF(AND(G1092=0,H1092=0),IF(AND(F1092="",K1092=""),"Tidak dibuka","Tutup"),IF(H1092&gt;G1092,"Lebih kapasitas",IF(H1092=G1092,"Penuh",IF(H1092=0,IF(F1092="","Slot kosong","Belum terisi"),"Sebagian")))))</f>
        <v>Sebagian</v>
      </c>
      <c r="M1092" s="79" t="str">
        <f aca="false">IF(L1092="Tidak dibuka","–",IF(F1092="","(tanpa age group)",F1092)&amp;"  "&amp;IF(H1092="","?",H1092)&amp;"/"&amp;IF(G1092="","?",G1092)&amp;CHAR(10)&amp;IF(K1092="","coach: –","coach: "&amp;K1092))</f>
        <v>Little  3/4
coach: Zidan</v>
      </c>
    </row>
    <row r="1093" customFormat="false" ht="22.35" hidden="false" customHeight="false" outlineLevel="0" collapsed="false">
      <c r="A1093" s="76" t="str">
        <f aca="false">B1093&amp;"|"&amp;C1093&amp;"|"&amp;D1093&amp;"|"&amp;E1093</f>
        <v>PML|4|Senin|08:00</v>
      </c>
      <c r="B1093" s="76" t="s">
        <v>65</v>
      </c>
      <c r="C1093" s="76" t="n">
        <v>4</v>
      </c>
      <c r="D1093" s="76" t="s">
        <v>90</v>
      </c>
      <c r="E1093" s="76" t="s">
        <v>110</v>
      </c>
      <c r="F1093" s="77" t="s">
        <v>210</v>
      </c>
      <c r="G1093" s="77" t="n">
        <v>0</v>
      </c>
      <c r="H1093" s="77" t="n">
        <v>0</v>
      </c>
      <c r="I1093" s="76" t="n">
        <f aca="false">IF(AND(ISNUMBER(G1093),ISNUMBER(H1093)),MAX(G1093-H1093,0),"")</f>
        <v>0</v>
      </c>
      <c r="J1093" s="78" t="str">
        <f aca="false">IF(AND(ISNUMBER(G1093),ISNUMBER(H1093)),IF(G1093&gt;0,H1093/G1093,""),"")</f>
        <v/>
      </c>
      <c r="K1093" s="77"/>
      <c r="L1093" s="76" t="str">
        <f aca="false">IF(OR(G1093="",H1093=""),"Data tidak lengkap",IF(AND(G1093=0,H1093=0),IF(AND(F1093="",K1093=""),"Tidak dibuka","Tutup"),IF(H1093&gt;G1093,"Lebih kapasitas",IF(H1093=G1093,"Penuh",IF(H1093=0,IF(F1093="","Slot kosong","Belum terisi"),"Sebagian")))))</f>
        <v>Tutup</v>
      </c>
      <c r="M1093" s="79" t="str">
        <f aca="false">IF(L1093="Tidak dibuka","–",IF(F1093="","(tanpa age group)",F1093)&amp;"  "&amp;IF(H1093="","?",H1093)&amp;"/"&amp;IF(G1093="","?",G1093)&amp;CHAR(10)&amp;IF(K1093="","coach: –","coach: "&amp;K1093))</f>
        <v>Kids  0/0
coach: –</v>
      </c>
    </row>
    <row r="1094" customFormat="false" ht="22.35" hidden="false" customHeight="false" outlineLevel="0" collapsed="false">
      <c r="A1094" s="76" t="str">
        <f aca="false">B1094&amp;"|"&amp;C1094&amp;"|"&amp;D1094&amp;"|"&amp;E1094</f>
        <v>PML|4|Senin|08:45</v>
      </c>
      <c r="B1094" s="76" t="s">
        <v>65</v>
      </c>
      <c r="C1094" s="76" t="n">
        <v>4</v>
      </c>
      <c r="D1094" s="76" t="s">
        <v>90</v>
      </c>
      <c r="E1094" s="76" t="s">
        <v>111</v>
      </c>
      <c r="F1094" s="77" t="s">
        <v>210</v>
      </c>
      <c r="G1094" s="77" t="n">
        <v>4</v>
      </c>
      <c r="H1094" s="77" t="n">
        <v>0</v>
      </c>
      <c r="I1094" s="76" t="n">
        <f aca="false">IF(AND(ISNUMBER(G1094),ISNUMBER(H1094)),MAX(G1094-H1094,0),"")</f>
        <v>4</v>
      </c>
      <c r="J1094" s="78" t="n">
        <f aca="false">IF(AND(ISNUMBER(G1094),ISNUMBER(H1094)),IF(G1094&gt;0,H1094/G1094,""),"")</f>
        <v>0</v>
      </c>
      <c r="K1094" s="77"/>
      <c r="L1094" s="76" t="str">
        <f aca="false">IF(OR(G1094="",H1094=""),"Data tidak lengkap",IF(AND(G1094=0,H1094=0),IF(AND(F1094="",K1094=""),"Tidak dibuka","Tutup"),IF(H1094&gt;G1094,"Lebih kapasitas",IF(H1094=G1094,"Penuh",IF(H1094=0,IF(F1094="","Slot kosong","Belum terisi"),"Sebagian")))))</f>
        <v>Belum terisi</v>
      </c>
      <c r="M1094" s="79" t="str">
        <f aca="false">IF(L1094="Tidak dibuka","–",IF(F1094="","(tanpa age group)",F1094)&amp;"  "&amp;IF(H1094="","?",H1094)&amp;"/"&amp;IF(G1094="","?",G1094)&amp;CHAR(10)&amp;IF(K1094="","coach: –","coach: "&amp;K1094))</f>
        <v>Kids  0/4
coach: –</v>
      </c>
    </row>
    <row r="1095" customFormat="false" ht="22.35" hidden="false" customHeight="false" outlineLevel="0" collapsed="false">
      <c r="A1095" s="76" t="str">
        <f aca="false">B1095&amp;"|"&amp;C1095&amp;"|"&amp;D1095&amp;"|"&amp;E1095</f>
        <v>PML|4|Senin|09:30</v>
      </c>
      <c r="B1095" s="76" t="s">
        <v>65</v>
      </c>
      <c r="C1095" s="76" t="n">
        <v>4</v>
      </c>
      <c r="D1095" s="76" t="s">
        <v>90</v>
      </c>
      <c r="E1095" s="76" t="s">
        <v>112</v>
      </c>
      <c r="F1095" s="77" t="s">
        <v>210</v>
      </c>
      <c r="G1095" s="77" t="n">
        <v>4</v>
      </c>
      <c r="H1095" s="77" t="n">
        <v>1</v>
      </c>
      <c r="I1095" s="76" t="n">
        <f aca="false">IF(AND(ISNUMBER(G1095),ISNUMBER(H1095)),MAX(G1095-H1095,0),"")</f>
        <v>3</v>
      </c>
      <c r="J1095" s="78" t="n">
        <f aca="false">IF(AND(ISNUMBER(G1095),ISNUMBER(H1095)),IF(G1095&gt;0,H1095/G1095,""),"")</f>
        <v>0.25</v>
      </c>
      <c r="K1095" s="77"/>
      <c r="L1095" s="76" t="str">
        <f aca="false">IF(OR(G1095="",H1095=""),"Data tidak lengkap",IF(AND(G1095=0,H1095=0),IF(AND(F1095="",K1095=""),"Tidak dibuka","Tutup"),IF(H1095&gt;G1095,"Lebih kapasitas",IF(H1095=G1095,"Penuh",IF(H1095=0,IF(F1095="","Slot kosong","Belum terisi"),"Sebagian")))))</f>
        <v>Sebagian</v>
      </c>
      <c r="M1095" s="79" t="str">
        <f aca="false">IF(L1095="Tidak dibuka","–",IF(F1095="","(tanpa age group)",F1095)&amp;"  "&amp;IF(H1095="","?",H1095)&amp;"/"&amp;IF(G1095="","?",G1095)&amp;CHAR(10)&amp;IF(K1095="","coach: –","coach: "&amp;K1095))</f>
        <v>Kids  1/4
coach: –</v>
      </c>
    </row>
    <row r="1096" customFormat="false" ht="22.35" hidden="false" customHeight="false" outlineLevel="0" collapsed="false">
      <c r="A1096" s="76" t="str">
        <f aca="false">B1096&amp;"|"&amp;C1096&amp;"|"&amp;D1096&amp;"|"&amp;E1096</f>
        <v>PML|4|Senin|10:15</v>
      </c>
      <c r="B1096" s="76" t="s">
        <v>65</v>
      </c>
      <c r="C1096" s="76" t="n">
        <v>4</v>
      </c>
      <c r="D1096" s="76" t="s">
        <v>90</v>
      </c>
      <c r="E1096" s="76" t="s">
        <v>113</v>
      </c>
      <c r="F1096" s="77" t="s">
        <v>210</v>
      </c>
      <c r="G1096" s="77" t="n">
        <v>4</v>
      </c>
      <c r="H1096" s="77" t="n">
        <v>0</v>
      </c>
      <c r="I1096" s="76" t="n">
        <f aca="false">IF(AND(ISNUMBER(G1096),ISNUMBER(H1096)),MAX(G1096-H1096,0),"")</f>
        <v>4</v>
      </c>
      <c r="J1096" s="78" t="n">
        <f aca="false">IF(AND(ISNUMBER(G1096),ISNUMBER(H1096)),IF(G1096&gt;0,H1096/G1096,""),"")</f>
        <v>0</v>
      </c>
      <c r="K1096" s="77"/>
      <c r="L1096" s="76" t="str">
        <f aca="false">IF(OR(G1096="",H1096=""),"Data tidak lengkap",IF(AND(G1096=0,H1096=0),IF(AND(F1096="",K1096=""),"Tidak dibuka","Tutup"),IF(H1096&gt;G1096,"Lebih kapasitas",IF(H1096=G1096,"Penuh",IF(H1096=0,IF(F1096="","Slot kosong","Belum terisi"),"Sebagian")))))</f>
        <v>Belum terisi</v>
      </c>
      <c r="M1096" s="79" t="str">
        <f aca="false">IF(L1096="Tidak dibuka","–",IF(F1096="","(tanpa age group)",F1096)&amp;"  "&amp;IF(H1096="","?",H1096)&amp;"/"&amp;IF(G1096="","?",G1096)&amp;CHAR(10)&amp;IF(K1096="","coach: –","coach: "&amp;K1096))</f>
        <v>Kids  0/4
coach: –</v>
      </c>
    </row>
    <row r="1097" customFormat="false" ht="22.35" hidden="false" customHeight="false" outlineLevel="0" collapsed="false">
      <c r="A1097" s="76" t="str">
        <f aca="false">B1097&amp;"|"&amp;C1097&amp;"|"&amp;D1097&amp;"|"&amp;E1097</f>
        <v>PML|4|Senin|11:00</v>
      </c>
      <c r="B1097" s="76" t="s">
        <v>65</v>
      </c>
      <c r="C1097" s="76" t="n">
        <v>4</v>
      </c>
      <c r="D1097" s="76" t="s">
        <v>90</v>
      </c>
      <c r="E1097" s="76" t="s">
        <v>114</v>
      </c>
      <c r="F1097" s="77" t="s">
        <v>210</v>
      </c>
      <c r="G1097" s="77" t="n">
        <v>4</v>
      </c>
      <c r="H1097" s="77" t="n">
        <v>0</v>
      </c>
      <c r="I1097" s="76" t="n">
        <f aca="false">IF(AND(ISNUMBER(G1097),ISNUMBER(H1097)),MAX(G1097-H1097,0),"")</f>
        <v>4</v>
      </c>
      <c r="J1097" s="78" t="n">
        <f aca="false">IF(AND(ISNUMBER(G1097),ISNUMBER(H1097)),IF(G1097&gt;0,H1097/G1097,""),"")</f>
        <v>0</v>
      </c>
      <c r="K1097" s="77"/>
      <c r="L1097" s="76" t="str">
        <f aca="false">IF(OR(G1097="",H1097=""),"Data tidak lengkap",IF(AND(G1097=0,H1097=0),IF(AND(F1097="",K1097=""),"Tidak dibuka","Tutup"),IF(H1097&gt;G1097,"Lebih kapasitas",IF(H1097=G1097,"Penuh",IF(H1097=0,IF(F1097="","Slot kosong","Belum terisi"),"Sebagian")))))</f>
        <v>Belum terisi</v>
      </c>
      <c r="M1097" s="79" t="str">
        <f aca="false">IF(L1097="Tidak dibuka","–",IF(F1097="","(tanpa age group)",F1097)&amp;"  "&amp;IF(H1097="","?",H1097)&amp;"/"&amp;IF(G1097="","?",G1097)&amp;CHAR(10)&amp;IF(K1097="","coach: –","coach: "&amp;K1097))</f>
        <v>Kids  0/4
coach: –</v>
      </c>
    </row>
    <row r="1098" customFormat="false" ht="22.35" hidden="false" customHeight="false" outlineLevel="0" collapsed="false">
      <c r="A1098" s="76" t="str">
        <f aca="false">B1098&amp;"|"&amp;C1098&amp;"|"&amp;D1098&amp;"|"&amp;E1098</f>
        <v>PML|4|Senin|11:45</v>
      </c>
      <c r="B1098" s="76" t="s">
        <v>65</v>
      </c>
      <c r="C1098" s="76" t="n">
        <v>4</v>
      </c>
      <c r="D1098" s="76" t="s">
        <v>90</v>
      </c>
      <c r="E1098" s="76" t="s">
        <v>115</v>
      </c>
      <c r="F1098" s="77" t="s">
        <v>210</v>
      </c>
      <c r="G1098" s="77" t="n">
        <v>0</v>
      </c>
      <c r="H1098" s="77" t="n">
        <v>0</v>
      </c>
      <c r="I1098" s="76" t="n">
        <f aca="false">IF(AND(ISNUMBER(G1098),ISNUMBER(H1098)),MAX(G1098-H1098,0),"")</f>
        <v>0</v>
      </c>
      <c r="J1098" s="78" t="str">
        <f aca="false">IF(AND(ISNUMBER(G1098),ISNUMBER(H1098)),IF(G1098&gt;0,H1098/G1098,""),"")</f>
        <v/>
      </c>
      <c r="K1098" s="77"/>
      <c r="L1098" s="76" t="str">
        <f aca="false">IF(OR(G1098="",H1098=""),"Data tidak lengkap",IF(AND(G1098=0,H1098=0),IF(AND(F1098="",K1098=""),"Tidak dibuka","Tutup"),IF(H1098&gt;G1098,"Lebih kapasitas",IF(H1098=G1098,"Penuh",IF(H1098=0,IF(F1098="","Slot kosong","Belum terisi"),"Sebagian")))))</f>
        <v>Tutup</v>
      </c>
      <c r="M1098" s="79" t="str">
        <f aca="false">IF(L1098="Tidak dibuka","–",IF(F1098="","(tanpa age group)",F1098)&amp;"  "&amp;IF(H1098="","?",H1098)&amp;"/"&amp;IF(G1098="","?",G1098)&amp;CHAR(10)&amp;IF(K1098="","coach: –","coach: "&amp;K1098))</f>
        <v>Kids  0/0
coach: –</v>
      </c>
    </row>
    <row r="1099" customFormat="false" ht="22.35" hidden="false" customHeight="false" outlineLevel="0" collapsed="false">
      <c r="A1099" s="76" t="str">
        <f aca="false">B1099&amp;"|"&amp;C1099&amp;"|"&amp;D1099&amp;"|"&amp;E1099</f>
        <v>PML|4|Senin|13:15</v>
      </c>
      <c r="B1099" s="76" t="s">
        <v>65</v>
      </c>
      <c r="C1099" s="76" t="n">
        <v>4</v>
      </c>
      <c r="D1099" s="76" t="s">
        <v>90</v>
      </c>
      <c r="E1099" s="76" t="s">
        <v>116</v>
      </c>
      <c r="F1099" s="77" t="s">
        <v>210</v>
      </c>
      <c r="G1099" s="77" t="n">
        <v>4</v>
      </c>
      <c r="H1099" s="77" t="n">
        <v>4</v>
      </c>
      <c r="I1099" s="76" t="n">
        <f aca="false">IF(AND(ISNUMBER(G1099),ISNUMBER(H1099)),MAX(G1099-H1099,0),"")</f>
        <v>0</v>
      </c>
      <c r="J1099" s="78" t="n">
        <f aca="false">IF(AND(ISNUMBER(G1099),ISNUMBER(H1099)),IF(G1099&gt;0,H1099/G1099,""),"")</f>
        <v>1</v>
      </c>
      <c r="K1099" s="77" t="s">
        <v>334</v>
      </c>
      <c r="L1099" s="76" t="str">
        <f aca="false">IF(OR(G1099="",H1099=""),"Data tidak lengkap",IF(AND(G1099=0,H1099=0),IF(AND(F1099="",K1099=""),"Tidak dibuka","Tutup"),IF(H1099&gt;G1099,"Lebih kapasitas",IF(H1099=G1099,"Penuh",IF(H1099=0,IF(F1099="","Slot kosong","Belum terisi"),"Sebagian")))))</f>
        <v>Penuh</v>
      </c>
      <c r="M1099" s="79" t="str">
        <f aca="false">IF(L1099="Tidak dibuka","–",IF(F1099="","(tanpa age group)",F1099)&amp;"  "&amp;IF(H1099="","?",H1099)&amp;"/"&amp;IF(G1099="","?",G1099)&amp;CHAR(10)&amp;IF(K1099="","coach: –","coach: "&amp;K1099))</f>
        <v>Kids  4/4
coach: Kamal</v>
      </c>
    </row>
    <row r="1100" customFormat="false" ht="22.35" hidden="false" customHeight="false" outlineLevel="0" collapsed="false">
      <c r="A1100" s="76" t="str">
        <f aca="false">B1100&amp;"|"&amp;C1100&amp;"|"&amp;D1100&amp;"|"&amp;E1100</f>
        <v>PML|4|Senin|14:00</v>
      </c>
      <c r="B1100" s="76" t="s">
        <v>65</v>
      </c>
      <c r="C1100" s="76" t="n">
        <v>4</v>
      </c>
      <c r="D1100" s="76" t="s">
        <v>90</v>
      </c>
      <c r="E1100" s="76" t="s">
        <v>117</v>
      </c>
      <c r="F1100" s="77" t="s">
        <v>210</v>
      </c>
      <c r="G1100" s="77" t="n">
        <v>4</v>
      </c>
      <c r="H1100" s="77" t="n">
        <v>4</v>
      </c>
      <c r="I1100" s="76" t="n">
        <f aca="false">IF(AND(ISNUMBER(G1100),ISNUMBER(H1100)),MAX(G1100-H1100,0),"")</f>
        <v>0</v>
      </c>
      <c r="J1100" s="78" t="n">
        <f aca="false">IF(AND(ISNUMBER(G1100),ISNUMBER(H1100)),IF(G1100&gt;0,H1100/G1100,""),"")</f>
        <v>1</v>
      </c>
      <c r="K1100" s="77" t="s">
        <v>331</v>
      </c>
      <c r="L1100" s="76" t="str">
        <f aca="false">IF(OR(G1100="",H1100=""),"Data tidak lengkap",IF(AND(G1100=0,H1100=0),IF(AND(F1100="",K1100=""),"Tidak dibuka","Tutup"),IF(H1100&gt;G1100,"Lebih kapasitas",IF(H1100=G1100,"Penuh",IF(H1100=0,IF(F1100="","Slot kosong","Belum terisi"),"Sebagian")))))</f>
        <v>Penuh</v>
      </c>
      <c r="M1100" s="79" t="str">
        <f aca="false">IF(L1100="Tidak dibuka","–",IF(F1100="","(tanpa age group)",F1100)&amp;"  "&amp;IF(H1100="","?",H1100)&amp;"/"&amp;IF(G1100="","?",G1100)&amp;CHAR(10)&amp;IF(K1100="","coach: –","coach: "&amp;K1100))</f>
        <v>Kids  4/4
coach: Damai</v>
      </c>
    </row>
    <row r="1101" customFormat="false" ht="22.35" hidden="false" customHeight="false" outlineLevel="0" collapsed="false">
      <c r="A1101" s="76" t="str">
        <f aca="false">B1101&amp;"|"&amp;C1101&amp;"|"&amp;D1101&amp;"|"&amp;E1101</f>
        <v>PML|4|Senin|14:45</v>
      </c>
      <c r="B1101" s="76" t="s">
        <v>65</v>
      </c>
      <c r="C1101" s="76" t="n">
        <v>4</v>
      </c>
      <c r="D1101" s="76" t="s">
        <v>90</v>
      </c>
      <c r="E1101" s="76" t="s">
        <v>118</v>
      </c>
      <c r="F1101" s="77" t="s">
        <v>210</v>
      </c>
      <c r="G1101" s="77" t="n">
        <v>4</v>
      </c>
      <c r="H1101" s="77" t="n">
        <v>3</v>
      </c>
      <c r="I1101" s="76" t="n">
        <f aca="false">IF(AND(ISNUMBER(G1101),ISNUMBER(H1101)),MAX(G1101-H1101,0),"")</f>
        <v>1</v>
      </c>
      <c r="J1101" s="78" t="n">
        <f aca="false">IF(AND(ISNUMBER(G1101),ISNUMBER(H1101)),IF(G1101&gt;0,H1101/G1101,""),"")</f>
        <v>0.75</v>
      </c>
      <c r="K1101" s="77" t="s">
        <v>334</v>
      </c>
      <c r="L1101" s="76" t="str">
        <f aca="false">IF(OR(G1101="",H1101=""),"Data tidak lengkap",IF(AND(G1101=0,H1101=0),IF(AND(F1101="",K1101=""),"Tidak dibuka","Tutup"),IF(H1101&gt;G1101,"Lebih kapasitas",IF(H1101=G1101,"Penuh",IF(H1101=0,IF(F1101="","Slot kosong","Belum terisi"),"Sebagian")))))</f>
        <v>Sebagian</v>
      </c>
      <c r="M1101" s="79" t="str">
        <f aca="false">IF(L1101="Tidak dibuka","–",IF(F1101="","(tanpa age group)",F1101)&amp;"  "&amp;IF(H1101="","?",H1101)&amp;"/"&amp;IF(G1101="","?",G1101)&amp;CHAR(10)&amp;IF(K1101="","coach: –","coach: "&amp;K1101))</f>
        <v>Kids  3/4
coach: Kamal</v>
      </c>
    </row>
    <row r="1102" customFormat="false" ht="22.35" hidden="false" customHeight="false" outlineLevel="0" collapsed="false">
      <c r="A1102" s="76" t="str">
        <f aca="false">B1102&amp;"|"&amp;C1102&amp;"|"&amp;D1102&amp;"|"&amp;E1102</f>
        <v>PML|4|Senin|15:30</v>
      </c>
      <c r="B1102" s="76" t="s">
        <v>65</v>
      </c>
      <c r="C1102" s="76" t="n">
        <v>4</v>
      </c>
      <c r="D1102" s="76" t="s">
        <v>90</v>
      </c>
      <c r="E1102" s="76" t="s">
        <v>119</v>
      </c>
      <c r="F1102" s="77" t="s">
        <v>210</v>
      </c>
      <c r="G1102" s="77" t="n">
        <v>4</v>
      </c>
      <c r="H1102" s="77" t="n">
        <v>4</v>
      </c>
      <c r="I1102" s="76" t="n">
        <f aca="false">IF(AND(ISNUMBER(G1102),ISNUMBER(H1102)),MAX(G1102-H1102,0),"")</f>
        <v>0</v>
      </c>
      <c r="J1102" s="78" t="n">
        <f aca="false">IF(AND(ISNUMBER(G1102),ISNUMBER(H1102)),IF(G1102&gt;0,H1102/G1102,""),"")</f>
        <v>1</v>
      </c>
      <c r="K1102" s="77" t="s">
        <v>337</v>
      </c>
      <c r="L1102" s="76" t="str">
        <f aca="false">IF(OR(G1102="",H1102=""),"Data tidak lengkap",IF(AND(G1102=0,H1102=0),IF(AND(F1102="",K1102=""),"Tidak dibuka","Tutup"),IF(H1102&gt;G1102,"Lebih kapasitas",IF(H1102=G1102,"Penuh",IF(H1102=0,IF(F1102="","Slot kosong","Belum terisi"),"Sebagian")))))</f>
        <v>Penuh</v>
      </c>
      <c r="M1102" s="79" t="str">
        <f aca="false">IF(L1102="Tidak dibuka","–",IF(F1102="","(tanpa age group)",F1102)&amp;"  "&amp;IF(H1102="","?",H1102)&amp;"/"&amp;IF(G1102="","?",G1102)&amp;CHAR(10)&amp;IF(K1102="","coach: –","coach: "&amp;K1102))</f>
        <v>Kids  4/4
coach: Dadi</v>
      </c>
    </row>
    <row r="1103" customFormat="false" ht="22.35" hidden="false" customHeight="false" outlineLevel="0" collapsed="false">
      <c r="A1103" s="76" t="str">
        <f aca="false">B1103&amp;"|"&amp;C1103&amp;"|"&amp;D1103&amp;"|"&amp;E1103</f>
        <v>PML|4|Senin|16:15</v>
      </c>
      <c r="B1103" s="76" t="s">
        <v>65</v>
      </c>
      <c r="C1103" s="76" t="n">
        <v>4</v>
      </c>
      <c r="D1103" s="76" t="s">
        <v>90</v>
      </c>
      <c r="E1103" s="76" t="s">
        <v>120</v>
      </c>
      <c r="F1103" s="77" t="s">
        <v>210</v>
      </c>
      <c r="G1103" s="77" t="n">
        <v>4</v>
      </c>
      <c r="H1103" s="77" t="n">
        <v>4</v>
      </c>
      <c r="I1103" s="76" t="n">
        <f aca="false">IF(AND(ISNUMBER(G1103),ISNUMBER(H1103)),MAX(G1103-H1103,0),"")</f>
        <v>0</v>
      </c>
      <c r="J1103" s="78" t="n">
        <f aca="false">IF(AND(ISNUMBER(G1103),ISNUMBER(H1103)),IF(G1103&gt;0,H1103/G1103,""),"")</f>
        <v>1</v>
      </c>
      <c r="K1103" s="77" t="s">
        <v>331</v>
      </c>
      <c r="L1103" s="76" t="str">
        <f aca="false">IF(OR(G1103="",H1103=""),"Data tidak lengkap",IF(AND(G1103=0,H1103=0),IF(AND(F1103="",K1103=""),"Tidak dibuka","Tutup"),IF(H1103&gt;G1103,"Lebih kapasitas",IF(H1103=G1103,"Penuh",IF(H1103=0,IF(F1103="","Slot kosong","Belum terisi"),"Sebagian")))))</f>
        <v>Penuh</v>
      </c>
      <c r="M1103" s="79" t="str">
        <f aca="false">IF(L1103="Tidak dibuka","–",IF(F1103="","(tanpa age group)",F1103)&amp;"  "&amp;IF(H1103="","?",H1103)&amp;"/"&amp;IF(G1103="","?",G1103)&amp;CHAR(10)&amp;IF(K1103="","coach: –","coach: "&amp;K1103))</f>
        <v>Kids  4/4
coach: Damai</v>
      </c>
    </row>
    <row r="1104" customFormat="false" ht="22.35" hidden="false" customHeight="false" outlineLevel="0" collapsed="false">
      <c r="A1104" s="76" t="str">
        <f aca="false">B1104&amp;"|"&amp;C1104&amp;"|"&amp;D1104&amp;"|"&amp;E1104</f>
        <v>PML|4|Senin|17:00</v>
      </c>
      <c r="B1104" s="76" t="s">
        <v>65</v>
      </c>
      <c r="C1104" s="76" t="n">
        <v>4</v>
      </c>
      <c r="D1104" s="76" t="s">
        <v>90</v>
      </c>
      <c r="E1104" s="76" t="s">
        <v>121</v>
      </c>
      <c r="F1104" s="77" t="s">
        <v>210</v>
      </c>
      <c r="G1104" s="77" t="n">
        <v>4</v>
      </c>
      <c r="H1104" s="77" t="n">
        <v>4</v>
      </c>
      <c r="I1104" s="76" t="n">
        <f aca="false">IF(AND(ISNUMBER(G1104),ISNUMBER(H1104)),MAX(G1104-H1104,0),"")</f>
        <v>0</v>
      </c>
      <c r="J1104" s="78" t="n">
        <f aca="false">IF(AND(ISNUMBER(G1104),ISNUMBER(H1104)),IF(G1104&gt;0,H1104/G1104,""),"")</f>
        <v>1</v>
      </c>
      <c r="K1104" s="77" t="s">
        <v>331</v>
      </c>
      <c r="L1104" s="76" t="str">
        <f aca="false">IF(OR(G1104="",H1104=""),"Data tidak lengkap",IF(AND(G1104=0,H1104=0),IF(AND(F1104="",K1104=""),"Tidak dibuka","Tutup"),IF(H1104&gt;G1104,"Lebih kapasitas",IF(H1104=G1104,"Penuh",IF(H1104=0,IF(F1104="","Slot kosong","Belum terisi"),"Sebagian")))))</f>
        <v>Penuh</v>
      </c>
      <c r="M1104" s="79" t="str">
        <f aca="false">IF(L1104="Tidak dibuka","–",IF(F1104="","(tanpa age group)",F1104)&amp;"  "&amp;IF(H1104="","?",H1104)&amp;"/"&amp;IF(G1104="","?",G1104)&amp;CHAR(10)&amp;IF(K1104="","coach: –","coach: "&amp;K1104))</f>
        <v>Kids  4/4
coach: Damai</v>
      </c>
    </row>
    <row r="1105" customFormat="false" ht="22.35" hidden="false" customHeight="false" outlineLevel="0" collapsed="false">
      <c r="A1105" s="76" t="str">
        <f aca="false">B1105&amp;"|"&amp;C1105&amp;"|"&amp;D1105&amp;"|"&amp;E1105</f>
        <v>PML|4|Selasa|08:00</v>
      </c>
      <c r="B1105" s="76" t="s">
        <v>65</v>
      </c>
      <c r="C1105" s="76" t="n">
        <v>4</v>
      </c>
      <c r="D1105" s="76" t="s">
        <v>91</v>
      </c>
      <c r="E1105" s="76" t="s">
        <v>110</v>
      </c>
      <c r="F1105" s="77" t="s">
        <v>210</v>
      </c>
      <c r="G1105" s="77" t="n">
        <v>0</v>
      </c>
      <c r="H1105" s="77" t="n">
        <v>0</v>
      </c>
      <c r="I1105" s="76" t="n">
        <f aca="false">IF(AND(ISNUMBER(G1105),ISNUMBER(H1105)),MAX(G1105-H1105,0),"")</f>
        <v>0</v>
      </c>
      <c r="J1105" s="78" t="str">
        <f aca="false">IF(AND(ISNUMBER(G1105),ISNUMBER(H1105)),IF(G1105&gt;0,H1105/G1105,""),"")</f>
        <v/>
      </c>
      <c r="K1105" s="77"/>
      <c r="L1105" s="76" t="str">
        <f aca="false">IF(OR(G1105="",H1105=""),"Data tidak lengkap",IF(AND(G1105=0,H1105=0),IF(AND(F1105="",K1105=""),"Tidak dibuka","Tutup"),IF(H1105&gt;G1105,"Lebih kapasitas",IF(H1105=G1105,"Penuh",IF(H1105=0,IF(F1105="","Slot kosong","Belum terisi"),"Sebagian")))))</f>
        <v>Tutup</v>
      </c>
      <c r="M1105" s="79" t="str">
        <f aca="false">IF(L1105="Tidak dibuka","–",IF(F1105="","(tanpa age group)",F1105)&amp;"  "&amp;IF(H1105="","?",H1105)&amp;"/"&amp;IF(G1105="","?",G1105)&amp;CHAR(10)&amp;IF(K1105="","coach: –","coach: "&amp;K1105))</f>
        <v>Kids  0/0
coach: –</v>
      </c>
    </row>
    <row r="1106" customFormat="false" ht="22.35" hidden="false" customHeight="false" outlineLevel="0" collapsed="false">
      <c r="A1106" s="76" t="str">
        <f aca="false">B1106&amp;"|"&amp;C1106&amp;"|"&amp;D1106&amp;"|"&amp;E1106</f>
        <v>PML|4|Selasa|08:45</v>
      </c>
      <c r="B1106" s="76" t="s">
        <v>65</v>
      </c>
      <c r="C1106" s="76" t="n">
        <v>4</v>
      </c>
      <c r="D1106" s="76" t="s">
        <v>91</v>
      </c>
      <c r="E1106" s="76" t="s">
        <v>111</v>
      </c>
      <c r="F1106" s="77" t="s">
        <v>210</v>
      </c>
      <c r="G1106" s="77" t="n">
        <v>4</v>
      </c>
      <c r="H1106" s="77" t="n">
        <v>0</v>
      </c>
      <c r="I1106" s="76" t="n">
        <f aca="false">IF(AND(ISNUMBER(G1106),ISNUMBER(H1106)),MAX(G1106-H1106,0),"")</f>
        <v>4</v>
      </c>
      <c r="J1106" s="78" t="n">
        <f aca="false">IF(AND(ISNUMBER(G1106),ISNUMBER(H1106)),IF(G1106&gt;0,H1106/G1106,""),"")</f>
        <v>0</v>
      </c>
      <c r="K1106" s="77"/>
      <c r="L1106" s="76" t="str">
        <f aca="false">IF(OR(G1106="",H1106=""),"Data tidak lengkap",IF(AND(G1106=0,H1106=0),IF(AND(F1106="",K1106=""),"Tidak dibuka","Tutup"),IF(H1106&gt;G1106,"Lebih kapasitas",IF(H1106=G1106,"Penuh",IF(H1106=0,IF(F1106="","Slot kosong","Belum terisi"),"Sebagian")))))</f>
        <v>Belum terisi</v>
      </c>
      <c r="M1106" s="79" t="str">
        <f aca="false">IF(L1106="Tidak dibuka","–",IF(F1106="","(tanpa age group)",F1106)&amp;"  "&amp;IF(H1106="","?",H1106)&amp;"/"&amp;IF(G1106="","?",G1106)&amp;CHAR(10)&amp;IF(K1106="","coach: –","coach: "&amp;K1106))</f>
        <v>Kids  0/4
coach: –</v>
      </c>
    </row>
    <row r="1107" customFormat="false" ht="22.35" hidden="false" customHeight="false" outlineLevel="0" collapsed="false">
      <c r="A1107" s="76" t="str">
        <f aca="false">B1107&amp;"|"&amp;C1107&amp;"|"&amp;D1107&amp;"|"&amp;E1107</f>
        <v>PML|4|Selasa|09:30</v>
      </c>
      <c r="B1107" s="76" t="s">
        <v>65</v>
      </c>
      <c r="C1107" s="76" t="n">
        <v>4</v>
      </c>
      <c r="D1107" s="76" t="s">
        <v>91</v>
      </c>
      <c r="E1107" s="76" t="s">
        <v>112</v>
      </c>
      <c r="F1107" s="77" t="s">
        <v>210</v>
      </c>
      <c r="G1107" s="77" t="n">
        <v>4</v>
      </c>
      <c r="H1107" s="77" t="n">
        <v>0</v>
      </c>
      <c r="I1107" s="76" t="n">
        <f aca="false">IF(AND(ISNUMBER(G1107),ISNUMBER(H1107)),MAX(G1107-H1107,0),"")</f>
        <v>4</v>
      </c>
      <c r="J1107" s="78" t="n">
        <f aca="false">IF(AND(ISNUMBER(G1107),ISNUMBER(H1107)),IF(G1107&gt;0,H1107/G1107,""),"")</f>
        <v>0</v>
      </c>
      <c r="K1107" s="77"/>
      <c r="L1107" s="76" t="str">
        <f aca="false">IF(OR(G1107="",H1107=""),"Data tidak lengkap",IF(AND(G1107=0,H1107=0),IF(AND(F1107="",K1107=""),"Tidak dibuka","Tutup"),IF(H1107&gt;G1107,"Lebih kapasitas",IF(H1107=G1107,"Penuh",IF(H1107=0,IF(F1107="","Slot kosong","Belum terisi"),"Sebagian")))))</f>
        <v>Belum terisi</v>
      </c>
      <c r="M1107" s="79" t="str">
        <f aca="false">IF(L1107="Tidak dibuka","–",IF(F1107="","(tanpa age group)",F1107)&amp;"  "&amp;IF(H1107="","?",H1107)&amp;"/"&amp;IF(G1107="","?",G1107)&amp;CHAR(10)&amp;IF(K1107="","coach: –","coach: "&amp;K1107))</f>
        <v>Kids  0/4
coach: –</v>
      </c>
    </row>
    <row r="1108" customFormat="false" ht="22.35" hidden="false" customHeight="false" outlineLevel="0" collapsed="false">
      <c r="A1108" s="76" t="str">
        <f aca="false">B1108&amp;"|"&amp;C1108&amp;"|"&amp;D1108&amp;"|"&amp;E1108</f>
        <v>PML|4|Selasa|10:15</v>
      </c>
      <c r="B1108" s="76" t="s">
        <v>65</v>
      </c>
      <c r="C1108" s="76" t="n">
        <v>4</v>
      </c>
      <c r="D1108" s="76" t="s">
        <v>91</v>
      </c>
      <c r="E1108" s="76" t="s">
        <v>113</v>
      </c>
      <c r="F1108" s="77" t="s">
        <v>210</v>
      </c>
      <c r="G1108" s="77" t="n">
        <v>4</v>
      </c>
      <c r="H1108" s="77" t="n">
        <v>3</v>
      </c>
      <c r="I1108" s="76" t="n">
        <f aca="false">IF(AND(ISNUMBER(G1108),ISNUMBER(H1108)),MAX(G1108-H1108,0),"")</f>
        <v>1</v>
      </c>
      <c r="J1108" s="78" t="n">
        <f aca="false">IF(AND(ISNUMBER(G1108),ISNUMBER(H1108)),IF(G1108&gt;0,H1108/G1108,""),"")</f>
        <v>0.75</v>
      </c>
      <c r="K1108" s="77" t="s">
        <v>337</v>
      </c>
      <c r="L1108" s="76" t="str">
        <f aca="false">IF(OR(G1108="",H1108=""),"Data tidak lengkap",IF(AND(G1108=0,H1108=0),IF(AND(F1108="",K1108=""),"Tidak dibuka","Tutup"),IF(H1108&gt;G1108,"Lebih kapasitas",IF(H1108=G1108,"Penuh",IF(H1108=0,IF(F1108="","Slot kosong","Belum terisi"),"Sebagian")))))</f>
        <v>Sebagian</v>
      </c>
      <c r="M1108" s="79" t="str">
        <f aca="false">IF(L1108="Tidak dibuka","–",IF(F1108="","(tanpa age group)",F1108)&amp;"  "&amp;IF(H1108="","?",H1108)&amp;"/"&amp;IF(G1108="","?",G1108)&amp;CHAR(10)&amp;IF(K1108="","coach: –","coach: "&amp;K1108))</f>
        <v>Kids  3/4
coach: Dadi</v>
      </c>
    </row>
    <row r="1109" customFormat="false" ht="22.35" hidden="false" customHeight="false" outlineLevel="0" collapsed="false">
      <c r="A1109" s="76" t="str">
        <f aca="false">B1109&amp;"|"&amp;C1109&amp;"|"&amp;D1109&amp;"|"&amp;E1109</f>
        <v>PML|4|Selasa|11:00</v>
      </c>
      <c r="B1109" s="76" t="s">
        <v>65</v>
      </c>
      <c r="C1109" s="76" t="n">
        <v>4</v>
      </c>
      <c r="D1109" s="76" t="s">
        <v>91</v>
      </c>
      <c r="E1109" s="76" t="s">
        <v>114</v>
      </c>
      <c r="F1109" s="77" t="s">
        <v>210</v>
      </c>
      <c r="G1109" s="77" t="n">
        <v>4</v>
      </c>
      <c r="H1109" s="77" t="n">
        <v>0</v>
      </c>
      <c r="I1109" s="76" t="n">
        <f aca="false">IF(AND(ISNUMBER(G1109),ISNUMBER(H1109)),MAX(G1109-H1109,0),"")</f>
        <v>4</v>
      </c>
      <c r="J1109" s="78" t="n">
        <f aca="false">IF(AND(ISNUMBER(G1109),ISNUMBER(H1109)),IF(G1109&gt;0,H1109/G1109,""),"")</f>
        <v>0</v>
      </c>
      <c r="K1109" s="77"/>
      <c r="L1109" s="76" t="str">
        <f aca="false">IF(OR(G1109="",H1109=""),"Data tidak lengkap",IF(AND(G1109=0,H1109=0),IF(AND(F1109="",K1109=""),"Tidak dibuka","Tutup"),IF(H1109&gt;G1109,"Lebih kapasitas",IF(H1109=G1109,"Penuh",IF(H1109=0,IF(F1109="","Slot kosong","Belum terisi"),"Sebagian")))))</f>
        <v>Belum terisi</v>
      </c>
      <c r="M1109" s="79" t="str">
        <f aca="false">IF(L1109="Tidak dibuka","–",IF(F1109="","(tanpa age group)",F1109)&amp;"  "&amp;IF(H1109="","?",H1109)&amp;"/"&amp;IF(G1109="","?",G1109)&amp;CHAR(10)&amp;IF(K1109="","coach: –","coach: "&amp;K1109))</f>
        <v>Kids  0/4
coach: –</v>
      </c>
    </row>
    <row r="1110" customFormat="false" ht="22.35" hidden="false" customHeight="false" outlineLevel="0" collapsed="false">
      <c r="A1110" s="76" t="str">
        <f aca="false">B1110&amp;"|"&amp;C1110&amp;"|"&amp;D1110&amp;"|"&amp;E1110</f>
        <v>PML|4|Selasa|11:45</v>
      </c>
      <c r="B1110" s="76" t="s">
        <v>65</v>
      </c>
      <c r="C1110" s="76" t="n">
        <v>4</v>
      </c>
      <c r="D1110" s="76" t="s">
        <v>91</v>
      </c>
      <c r="E1110" s="76" t="s">
        <v>115</v>
      </c>
      <c r="F1110" s="77" t="s">
        <v>210</v>
      </c>
      <c r="G1110" s="77" t="n">
        <v>0</v>
      </c>
      <c r="H1110" s="77" t="n">
        <v>0</v>
      </c>
      <c r="I1110" s="76" t="n">
        <f aca="false">IF(AND(ISNUMBER(G1110),ISNUMBER(H1110)),MAX(G1110-H1110,0),"")</f>
        <v>0</v>
      </c>
      <c r="J1110" s="78" t="str">
        <f aca="false">IF(AND(ISNUMBER(G1110),ISNUMBER(H1110)),IF(G1110&gt;0,H1110/G1110,""),"")</f>
        <v/>
      </c>
      <c r="K1110" s="77"/>
      <c r="L1110" s="76" t="str">
        <f aca="false">IF(OR(G1110="",H1110=""),"Data tidak lengkap",IF(AND(G1110=0,H1110=0),IF(AND(F1110="",K1110=""),"Tidak dibuka","Tutup"),IF(H1110&gt;G1110,"Lebih kapasitas",IF(H1110=G1110,"Penuh",IF(H1110=0,IF(F1110="","Slot kosong","Belum terisi"),"Sebagian")))))</f>
        <v>Tutup</v>
      </c>
      <c r="M1110" s="79" t="str">
        <f aca="false">IF(L1110="Tidak dibuka","–",IF(F1110="","(tanpa age group)",F1110)&amp;"  "&amp;IF(H1110="","?",H1110)&amp;"/"&amp;IF(G1110="","?",G1110)&amp;CHAR(10)&amp;IF(K1110="","coach: –","coach: "&amp;K1110))</f>
        <v>Kids  0/0
coach: –</v>
      </c>
    </row>
    <row r="1111" customFormat="false" ht="22.35" hidden="false" customHeight="false" outlineLevel="0" collapsed="false">
      <c r="A1111" s="76" t="str">
        <f aca="false">B1111&amp;"|"&amp;C1111&amp;"|"&amp;D1111&amp;"|"&amp;E1111</f>
        <v>PML|4|Selasa|13:15</v>
      </c>
      <c r="B1111" s="76" t="s">
        <v>65</v>
      </c>
      <c r="C1111" s="76" t="n">
        <v>4</v>
      </c>
      <c r="D1111" s="76" t="s">
        <v>91</v>
      </c>
      <c r="E1111" s="76" t="s">
        <v>116</v>
      </c>
      <c r="F1111" s="77" t="s">
        <v>210</v>
      </c>
      <c r="G1111" s="77" t="n">
        <v>4</v>
      </c>
      <c r="H1111" s="77" t="n">
        <v>2</v>
      </c>
      <c r="I1111" s="76" t="n">
        <f aca="false">IF(AND(ISNUMBER(G1111),ISNUMBER(H1111)),MAX(G1111-H1111,0),"")</f>
        <v>2</v>
      </c>
      <c r="J1111" s="78" t="n">
        <f aca="false">IF(AND(ISNUMBER(G1111),ISNUMBER(H1111)),IF(G1111&gt;0,H1111/G1111,""),"")</f>
        <v>0.5</v>
      </c>
      <c r="K1111" s="77" t="s">
        <v>331</v>
      </c>
      <c r="L1111" s="76" t="str">
        <f aca="false">IF(OR(G1111="",H1111=""),"Data tidak lengkap",IF(AND(G1111=0,H1111=0),IF(AND(F1111="",K1111=""),"Tidak dibuka","Tutup"),IF(H1111&gt;G1111,"Lebih kapasitas",IF(H1111=G1111,"Penuh",IF(H1111=0,IF(F1111="","Slot kosong","Belum terisi"),"Sebagian")))))</f>
        <v>Sebagian</v>
      </c>
      <c r="M1111" s="79" t="str">
        <f aca="false">IF(L1111="Tidak dibuka","–",IF(F1111="","(tanpa age group)",F1111)&amp;"  "&amp;IF(H1111="","?",H1111)&amp;"/"&amp;IF(G1111="","?",G1111)&amp;CHAR(10)&amp;IF(K1111="","coach: –","coach: "&amp;K1111))</f>
        <v>Kids  2/4
coach: Damai</v>
      </c>
    </row>
    <row r="1112" customFormat="false" ht="22.35" hidden="false" customHeight="false" outlineLevel="0" collapsed="false">
      <c r="A1112" s="76" t="str">
        <f aca="false">B1112&amp;"|"&amp;C1112&amp;"|"&amp;D1112&amp;"|"&amp;E1112</f>
        <v>PML|4|Selasa|14:00</v>
      </c>
      <c r="B1112" s="76" t="s">
        <v>65</v>
      </c>
      <c r="C1112" s="76" t="n">
        <v>4</v>
      </c>
      <c r="D1112" s="76" t="s">
        <v>91</v>
      </c>
      <c r="E1112" s="76" t="s">
        <v>117</v>
      </c>
      <c r="F1112" s="77" t="s">
        <v>210</v>
      </c>
      <c r="G1112" s="77" t="n">
        <v>4</v>
      </c>
      <c r="H1112" s="77" t="n">
        <v>3</v>
      </c>
      <c r="I1112" s="76" t="n">
        <f aca="false">IF(AND(ISNUMBER(G1112),ISNUMBER(H1112)),MAX(G1112-H1112,0),"")</f>
        <v>1</v>
      </c>
      <c r="J1112" s="78" t="n">
        <f aca="false">IF(AND(ISNUMBER(G1112),ISNUMBER(H1112)),IF(G1112&gt;0,H1112/G1112,""),"")</f>
        <v>0.75</v>
      </c>
      <c r="K1112" s="77" t="s">
        <v>335</v>
      </c>
      <c r="L1112" s="76" t="str">
        <f aca="false">IF(OR(G1112="",H1112=""),"Data tidak lengkap",IF(AND(G1112=0,H1112=0),IF(AND(F1112="",K1112=""),"Tidak dibuka","Tutup"),IF(H1112&gt;G1112,"Lebih kapasitas",IF(H1112=G1112,"Penuh",IF(H1112=0,IF(F1112="","Slot kosong","Belum terisi"),"Sebagian")))))</f>
        <v>Sebagian</v>
      </c>
      <c r="M1112" s="79" t="str">
        <f aca="false">IF(L1112="Tidak dibuka","–",IF(F1112="","(tanpa age group)",F1112)&amp;"  "&amp;IF(H1112="","?",H1112)&amp;"/"&amp;IF(G1112="","?",G1112)&amp;CHAR(10)&amp;IF(K1112="","coach: –","coach: "&amp;K1112))</f>
        <v>Kids  3/4
coach: Shofwan</v>
      </c>
    </row>
    <row r="1113" customFormat="false" ht="22.35" hidden="false" customHeight="false" outlineLevel="0" collapsed="false">
      <c r="A1113" s="76" t="str">
        <f aca="false">B1113&amp;"|"&amp;C1113&amp;"|"&amp;D1113&amp;"|"&amp;E1113</f>
        <v>PML|4|Selasa|14:45</v>
      </c>
      <c r="B1113" s="76" t="s">
        <v>65</v>
      </c>
      <c r="C1113" s="76" t="n">
        <v>4</v>
      </c>
      <c r="D1113" s="76" t="s">
        <v>91</v>
      </c>
      <c r="E1113" s="76" t="s">
        <v>118</v>
      </c>
      <c r="F1113" s="77" t="s">
        <v>210</v>
      </c>
      <c r="G1113" s="77" t="n">
        <v>4</v>
      </c>
      <c r="H1113" s="77" t="n">
        <v>4</v>
      </c>
      <c r="I1113" s="76" t="n">
        <f aca="false">IF(AND(ISNUMBER(G1113),ISNUMBER(H1113)),MAX(G1113-H1113,0),"")</f>
        <v>0</v>
      </c>
      <c r="J1113" s="78" t="n">
        <f aca="false">IF(AND(ISNUMBER(G1113),ISNUMBER(H1113)),IF(G1113&gt;0,H1113/G1113,""),"")</f>
        <v>1</v>
      </c>
      <c r="K1113" s="77" t="s">
        <v>337</v>
      </c>
      <c r="L1113" s="76" t="str">
        <f aca="false">IF(OR(G1113="",H1113=""),"Data tidak lengkap",IF(AND(G1113=0,H1113=0),IF(AND(F1113="",K1113=""),"Tidak dibuka","Tutup"),IF(H1113&gt;G1113,"Lebih kapasitas",IF(H1113=G1113,"Penuh",IF(H1113=0,IF(F1113="","Slot kosong","Belum terisi"),"Sebagian")))))</f>
        <v>Penuh</v>
      </c>
      <c r="M1113" s="79" t="str">
        <f aca="false">IF(L1113="Tidak dibuka","–",IF(F1113="","(tanpa age group)",F1113)&amp;"  "&amp;IF(H1113="","?",H1113)&amp;"/"&amp;IF(G1113="","?",G1113)&amp;CHAR(10)&amp;IF(K1113="","coach: –","coach: "&amp;K1113))</f>
        <v>Kids  4/4
coach: Dadi</v>
      </c>
    </row>
    <row r="1114" customFormat="false" ht="22.35" hidden="false" customHeight="false" outlineLevel="0" collapsed="false">
      <c r="A1114" s="76" t="str">
        <f aca="false">B1114&amp;"|"&amp;C1114&amp;"|"&amp;D1114&amp;"|"&amp;E1114</f>
        <v>PML|4|Selasa|15:30</v>
      </c>
      <c r="B1114" s="76" t="s">
        <v>65</v>
      </c>
      <c r="C1114" s="76" t="n">
        <v>4</v>
      </c>
      <c r="D1114" s="76" t="s">
        <v>91</v>
      </c>
      <c r="E1114" s="76" t="s">
        <v>119</v>
      </c>
      <c r="F1114" s="77" t="s">
        <v>210</v>
      </c>
      <c r="G1114" s="77" t="n">
        <v>4</v>
      </c>
      <c r="H1114" s="77" t="n">
        <v>3</v>
      </c>
      <c r="I1114" s="76" t="n">
        <f aca="false">IF(AND(ISNUMBER(G1114),ISNUMBER(H1114)),MAX(G1114-H1114,0),"")</f>
        <v>1</v>
      </c>
      <c r="J1114" s="78" t="n">
        <f aca="false">IF(AND(ISNUMBER(G1114),ISNUMBER(H1114)),IF(G1114&gt;0,H1114/G1114,""),"")</f>
        <v>0.75</v>
      </c>
      <c r="K1114" s="77" t="s">
        <v>331</v>
      </c>
      <c r="L1114" s="76" t="str">
        <f aca="false">IF(OR(G1114="",H1114=""),"Data tidak lengkap",IF(AND(G1114=0,H1114=0),IF(AND(F1114="",K1114=""),"Tidak dibuka","Tutup"),IF(H1114&gt;G1114,"Lebih kapasitas",IF(H1114=G1114,"Penuh",IF(H1114=0,IF(F1114="","Slot kosong","Belum terisi"),"Sebagian")))))</f>
        <v>Sebagian</v>
      </c>
      <c r="M1114" s="79" t="str">
        <f aca="false">IF(L1114="Tidak dibuka","–",IF(F1114="","(tanpa age group)",F1114)&amp;"  "&amp;IF(H1114="","?",H1114)&amp;"/"&amp;IF(G1114="","?",G1114)&amp;CHAR(10)&amp;IF(K1114="","coach: –","coach: "&amp;K1114))</f>
        <v>Kids  3/4
coach: Damai</v>
      </c>
    </row>
    <row r="1115" customFormat="false" ht="22.35" hidden="false" customHeight="false" outlineLevel="0" collapsed="false">
      <c r="A1115" s="76" t="str">
        <f aca="false">B1115&amp;"|"&amp;C1115&amp;"|"&amp;D1115&amp;"|"&amp;E1115</f>
        <v>PML|4|Selasa|16:15</v>
      </c>
      <c r="B1115" s="76" t="s">
        <v>65</v>
      </c>
      <c r="C1115" s="76" t="n">
        <v>4</v>
      </c>
      <c r="D1115" s="76" t="s">
        <v>91</v>
      </c>
      <c r="E1115" s="76" t="s">
        <v>120</v>
      </c>
      <c r="F1115" s="77" t="s">
        <v>210</v>
      </c>
      <c r="G1115" s="77" t="n">
        <v>4</v>
      </c>
      <c r="H1115" s="77" t="n">
        <v>4</v>
      </c>
      <c r="I1115" s="76" t="n">
        <f aca="false">IF(AND(ISNUMBER(G1115),ISNUMBER(H1115)),MAX(G1115-H1115,0),"")</f>
        <v>0</v>
      </c>
      <c r="J1115" s="78" t="n">
        <f aca="false">IF(AND(ISNUMBER(G1115),ISNUMBER(H1115)),IF(G1115&gt;0,H1115/G1115,""),"")</f>
        <v>1</v>
      </c>
      <c r="K1115" s="77" t="s">
        <v>339</v>
      </c>
      <c r="L1115" s="76" t="str">
        <f aca="false">IF(OR(G1115="",H1115=""),"Data tidak lengkap",IF(AND(G1115=0,H1115=0),IF(AND(F1115="",K1115=""),"Tidak dibuka","Tutup"),IF(H1115&gt;G1115,"Lebih kapasitas",IF(H1115=G1115,"Penuh",IF(H1115=0,IF(F1115="","Slot kosong","Belum terisi"),"Sebagian")))))</f>
        <v>Penuh</v>
      </c>
      <c r="M1115" s="79" t="str">
        <f aca="false">IF(L1115="Tidak dibuka","–",IF(F1115="","(tanpa age group)",F1115)&amp;"  "&amp;IF(H1115="","?",H1115)&amp;"/"&amp;IF(G1115="","?",G1115)&amp;CHAR(10)&amp;IF(K1115="","coach: –","coach: "&amp;K1115))</f>
        <v>Kids  4/4
coach: Dyana</v>
      </c>
    </row>
    <row r="1116" customFormat="false" ht="22.35" hidden="false" customHeight="false" outlineLevel="0" collapsed="false">
      <c r="A1116" s="76" t="str">
        <f aca="false">B1116&amp;"|"&amp;C1116&amp;"|"&amp;D1116&amp;"|"&amp;E1116</f>
        <v>PML|4|Selasa|17:00</v>
      </c>
      <c r="B1116" s="76" t="s">
        <v>65</v>
      </c>
      <c r="C1116" s="76" t="n">
        <v>4</v>
      </c>
      <c r="D1116" s="76" t="s">
        <v>91</v>
      </c>
      <c r="E1116" s="76" t="s">
        <v>121</v>
      </c>
      <c r="F1116" s="77" t="s">
        <v>210</v>
      </c>
      <c r="G1116" s="77" t="n">
        <v>4</v>
      </c>
      <c r="H1116" s="77" t="n">
        <v>4</v>
      </c>
      <c r="I1116" s="76" t="n">
        <f aca="false">IF(AND(ISNUMBER(G1116),ISNUMBER(H1116)),MAX(G1116-H1116,0),"")</f>
        <v>0</v>
      </c>
      <c r="J1116" s="78" t="n">
        <f aca="false">IF(AND(ISNUMBER(G1116),ISNUMBER(H1116)),IF(G1116&gt;0,H1116/G1116,""),"")</f>
        <v>1</v>
      </c>
      <c r="K1116" s="77" t="s">
        <v>331</v>
      </c>
      <c r="L1116" s="76" t="str">
        <f aca="false">IF(OR(G1116="",H1116=""),"Data tidak lengkap",IF(AND(G1116=0,H1116=0),IF(AND(F1116="",K1116=""),"Tidak dibuka","Tutup"),IF(H1116&gt;G1116,"Lebih kapasitas",IF(H1116=G1116,"Penuh",IF(H1116=0,IF(F1116="","Slot kosong","Belum terisi"),"Sebagian")))))</f>
        <v>Penuh</v>
      </c>
      <c r="M1116" s="79" t="str">
        <f aca="false">IF(L1116="Tidak dibuka","–",IF(F1116="","(tanpa age group)",F1116)&amp;"  "&amp;IF(H1116="","?",H1116)&amp;"/"&amp;IF(G1116="","?",G1116)&amp;CHAR(10)&amp;IF(K1116="","coach: –","coach: "&amp;K1116))</f>
        <v>Kids  4/4
coach: Damai</v>
      </c>
    </row>
    <row r="1117" customFormat="false" ht="22.35" hidden="false" customHeight="false" outlineLevel="0" collapsed="false">
      <c r="A1117" s="76" t="str">
        <f aca="false">B1117&amp;"|"&amp;C1117&amp;"|"&amp;D1117&amp;"|"&amp;E1117</f>
        <v>PML|4|Rabu|08:00</v>
      </c>
      <c r="B1117" s="76" t="s">
        <v>65</v>
      </c>
      <c r="C1117" s="76" t="n">
        <v>4</v>
      </c>
      <c r="D1117" s="76" t="s">
        <v>92</v>
      </c>
      <c r="E1117" s="76" t="s">
        <v>110</v>
      </c>
      <c r="F1117" s="77" t="s">
        <v>210</v>
      </c>
      <c r="G1117" s="77" t="n">
        <v>0</v>
      </c>
      <c r="H1117" s="77" t="n">
        <v>0</v>
      </c>
      <c r="I1117" s="76" t="n">
        <f aca="false">IF(AND(ISNUMBER(G1117),ISNUMBER(H1117)),MAX(G1117-H1117,0),"")</f>
        <v>0</v>
      </c>
      <c r="J1117" s="78" t="str">
        <f aca="false">IF(AND(ISNUMBER(G1117),ISNUMBER(H1117)),IF(G1117&gt;0,H1117/G1117,""),"")</f>
        <v/>
      </c>
      <c r="K1117" s="77"/>
      <c r="L1117" s="76" t="str">
        <f aca="false">IF(OR(G1117="",H1117=""),"Data tidak lengkap",IF(AND(G1117=0,H1117=0),IF(AND(F1117="",K1117=""),"Tidak dibuka","Tutup"),IF(H1117&gt;G1117,"Lebih kapasitas",IF(H1117=G1117,"Penuh",IF(H1117=0,IF(F1117="","Slot kosong","Belum terisi"),"Sebagian")))))</f>
        <v>Tutup</v>
      </c>
      <c r="M1117" s="79" t="str">
        <f aca="false">IF(L1117="Tidak dibuka","–",IF(F1117="","(tanpa age group)",F1117)&amp;"  "&amp;IF(H1117="","?",H1117)&amp;"/"&amp;IF(G1117="","?",G1117)&amp;CHAR(10)&amp;IF(K1117="","coach: –","coach: "&amp;K1117))</f>
        <v>Kids  0/0
coach: –</v>
      </c>
    </row>
    <row r="1118" customFormat="false" ht="22.35" hidden="false" customHeight="false" outlineLevel="0" collapsed="false">
      <c r="A1118" s="76" t="str">
        <f aca="false">B1118&amp;"|"&amp;C1118&amp;"|"&amp;D1118&amp;"|"&amp;E1118</f>
        <v>PML|4|Rabu|08:45</v>
      </c>
      <c r="B1118" s="76" t="s">
        <v>65</v>
      </c>
      <c r="C1118" s="76" t="n">
        <v>4</v>
      </c>
      <c r="D1118" s="76" t="s">
        <v>92</v>
      </c>
      <c r="E1118" s="76" t="s">
        <v>111</v>
      </c>
      <c r="F1118" s="77" t="s">
        <v>210</v>
      </c>
      <c r="G1118" s="77" t="n">
        <v>4</v>
      </c>
      <c r="H1118" s="77" t="n">
        <v>0</v>
      </c>
      <c r="I1118" s="76" t="n">
        <f aca="false">IF(AND(ISNUMBER(G1118),ISNUMBER(H1118)),MAX(G1118-H1118,0),"")</f>
        <v>4</v>
      </c>
      <c r="J1118" s="78" t="n">
        <f aca="false">IF(AND(ISNUMBER(G1118),ISNUMBER(H1118)),IF(G1118&gt;0,H1118/G1118,""),"")</f>
        <v>0</v>
      </c>
      <c r="K1118" s="77"/>
      <c r="L1118" s="76" t="str">
        <f aca="false">IF(OR(G1118="",H1118=""),"Data tidak lengkap",IF(AND(G1118=0,H1118=0),IF(AND(F1118="",K1118=""),"Tidak dibuka","Tutup"),IF(H1118&gt;G1118,"Lebih kapasitas",IF(H1118=G1118,"Penuh",IF(H1118=0,IF(F1118="","Slot kosong","Belum terisi"),"Sebagian")))))</f>
        <v>Belum terisi</v>
      </c>
      <c r="M1118" s="79" t="str">
        <f aca="false">IF(L1118="Tidak dibuka","–",IF(F1118="","(tanpa age group)",F1118)&amp;"  "&amp;IF(H1118="","?",H1118)&amp;"/"&amp;IF(G1118="","?",G1118)&amp;CHAR(10)&amp;IF(K1118="","coach: –","coach: "&amp;K1118))</f>
        <v>Kids  0/4
coach: –</v>
      </c>
    </row>
    <row r="1119" customFormat="false" ht="22.35" hidden="false" customHeight="false" outlineLevel="0" collapsed="false">
      <c r="A1119" s="76" t="str">
        <f aca="false">B1119&amp;"|"&amp;C1119&amp;"|"&amp;D1119&amp;"|"&amp;E1119</f>
        <v>PML|4|Rabu|09:30</v>
      </c>
      <c r="B1119" s="76" t="s">
        <v>65</v>
      </c>
      <c r="C1119" s="76" t="n">
        <v>4</v>
      </c>
      <c r="D1119" s="76" t="s">
        <v>92</v>
      </c>
      <c r="E1119" s="76" t="s">
        <v>112</v>
      </c>
      <c r="F1119" s="77" t="s">
        <v>210</v>
      </c>
      <c r="G1119" s="77" t="n">
        <v>4</v>
      </c>
      <c r="H1119" s="77" t="n">
        <v>0</v>
      </c>
      <c r="I1119" s="76" t="n">
        <f aca="false">IF(AND(ISNUMBER(G1119),ISNUMBER(H1119)),MAX(G1119-H1119,0),"")</f>
        <v>4</v>
      </c>
      <c r="J1119" s="78" t="n">
        <f aca="false">IF(AND(ISNUMBER(G1119),ISNUMBER(H1119)),IF(G1119&gt;0,H1119/G1119,""),"")</f>
        <v>0</v>
      </c>
      <c r="K1119" s="77"/>
      <c r="L1119" s="76" t="str">
        <f aca="false">IF(OR(G1119="",H1119=""),"Data tidak lengkap",IF(AND(G1119=0,H1119=0),IF(AND(F1119="",K1119=""),"Tidak dibuka","Tutup"),IF(H1119&gt;G1119,"Lebih kapasitas",IF(H1119=G1119,"Penuh",IF(H1119=0,IF(F1119="","Slot kosong","Belum terisi"),"Sebagian")))))</f>
        <v>Belum terisi</v>
      </c>
      <c r="M1119" s="79" t="str">
        <f aca="false">IF(L1119="Tidak dibuka","–",IF(F1119="","(tanpa age group)",F1119)&amp;"  "&amp;IF(H1119="","?",H1119)&amp;"/"&amp;IF(G1119="","?",G1119)&amp;CHAR(10)&amp;IF(K1119="","coach: –","coach: "&amp;K1119))</f>
        <v>Kids  0/4
coach: –</v>
      </c>
    </row>
    <row r="1120" customFormat="false" ht="22.35" hidden="false" customHeight="false" outlineLevel="0" collapsed="false">
      <c r="A1120" s="76" t="str">
        <f aca="false">B1120&amp;"|"&amp;C1120&amp;"|"&amp;D1120&amp;"|"&amp;E1120</f>
        <v>PML|4|Rabu|10:15</v>
      </c>
      <c r="B1120" s="76" t="s">
        <v>65</v>
      </c>
      <c r="C1120" s="76" t="n">
        <v>4</v>
      </c>
      <c r="D1120" s="76" t="s">
        <v>92</v>
      </c>
      <c r="E1120" s="76" t="s">
        <v>113</v>
      </c>
      <c r="F1120" s="77" t="s">
        <v>210</v>
      </c>
      <c r="G1120" s="77" t="n">
        <v>4</v>
      </c>
      <c r="H1120" s="77" t="n">
        <v>0</v>
      </c>
      <c r="I1120" s="76" t="n">
        <f aca="false">IF(AND(ISNUMBER(G1120),ISNUMBER(H1120)),MAX(G1120-H1120,0),"")</f>
        <v>4</v>
      </c>
      <c r="J1120" s="78" t="n">
        <f aca="false">IF(AND(ISNUMBER(G1120),ISNUMBER(H1120)),IF(G1120&gt;0,H1120/G1120,""),"")</f>
        <v>0</v>
      </c>
      <c r="K1120" s="77"/>
      <c r="L1120" s="76" t="str">
        <f aca="false">IF(OR(G1120="",H1120=""),"Data tidak lengkap",IF(AND(G1120=0,H1120=0),IF(AND(F1120="",K1120=""),"Tidak dibuka","Tutup"),IF(H1120&gt;G1120,"Lebih kapasitas",IF(H1120=G1120,"Penuh",IF(H1120=0,IF(F1120="","Slot kosong","Belum terisi"),"Sebagian")))))</f>
        <v>Belum terisi</v>
      </c>
      <c r="M1120" s="79" t="str">
        <f aca="false">IF(L1120="Tidak dibuka","–",IF(F1120="","(tanpa age group)",F1120)&amp;"  "&amp;IF(H1120="","?",H1120)&amp;"/"&amp;IF(G1120="","?",G1120)&amp;CHAR(10)&amp;IF(K1120="","coach: –","coach: "&amp;K1120))</f>
        <v>Kids  0/4
coach: –</v>
      </c>
    </row>
    <row r="1121" customFormat="false" ht="22.35" hidden="false" customHeight="false" outlineLevel="0" collapsed="false">
      <c r="A1121" s="76" t="str">
        <f aca="false">B1121&amp;"|"&amp;C1121&amp;"|"&amp;D1121&amp;"|"&amp;E1121</f>
        <v>PML|4|Rabu|11:00</v>
      </c>
      <c r="B1121" s="76" t="s">
        <v>65</v>
      </c>
      <c r="C1121" s="76" t="n">
        <v>4</v>
      </c>
      <c r="D1121" s="76" t="s">
        <v>92</v>
      </c>
      <c r="E1121" s="76" t="s">
        <v>114</v>
      </c>
      <c r="F1121" s="77" t="s">
        <v>210</v>
      </c>
      <c r="G1121" s="77" t="n">
        <v>4</v>
      </c>
      <c r="H1121" s="77" t="n">
        <v>3</v>
      </c>
      <c r="I1121" s="76" t="n">
        <f aca="false">IF(AND(ISNUMBER(G1121),ISNUMBER(H1121)),MAX(G1121-H1121,0),"")</f>
        <v>1</v>
      </c>
      <c r="J1121" s="78" t="n">
        <f aca="false">IF(AND(ISNUMBER(G1121),ISNUMBER(H1121)),IF(G1121&gt;0,H1121/G1121,""),"")</f>
        <v>0.75</v>
      </c>
      <c r="K1121" s="77" t="s">
        <v>330</v>
      </c>
      <c r="L1121" s="76" t="str">
        <f aca="false">IF(OR(G1121="",H1121=""),"Data tidak lengkap",IF(AND(G1121=0,H1121=0),IF(AND(F1121="",K1121=""),"Tidak dibuka","Tutup"),IF(H1121&gt;G1121,"Lebih kapasitas",IF(H1121=G1121,"Penuh",IF(H1121=0,IF(F1121="","Slot kosong","Belum terisi"),"Sebagian")))))</f>
        <v>Sebagian</v>
      </c>
      <c r="M1121" s="79" t="str">
        <f aca="false">IF(L1121="Tidak dibuka","–",IF(F1121="","(tanpa age group)",F1121)&amp;"  "&amp;IF(H1121="","?",H1121)&amp;"/"&amp;IF(G1121="","?",G1121)&amp;CHAR(10)&amp;IF(K1121="","coach: –","coach: "&amp;K1121))</f>
        <v>Kids  3/4
coach: Indah</v>
      </c>
    </row>
    <row r="1122" customFormat="false" ht="22.35" hidden="false" customHeight="false" outlineLevel="0" collapsed="false">
      <c r="A1122" s="76" t="str">
        <f aca="false">B1122&amp;"|"&amp;C1122&amp;"|"&amp;D1122&amp;"|"&amp;E1122</f>
        <v>PML|4|Rabu|11:45</v>
      </c>
      <c r="B1122" s="76" t="s">
        <v>65</v>
      </c>
      <c r="C1122" s="76" t="n">
        <v>4</v>
      </c>
      <c r="D1122" s="76" t="s">
        <v>92</v>
      </c>
      <c r="E1122" s="76" t="s">
        <v>115</v>
      </c>
      <c r="F1122" s="77" t="s">
        <v>210</v>
      </c>
      <c r="G1122" s="77" t="n">
        <v>0</v>
      </c>
      <c r="H1122" s="77" t="n">
        <v>0</v>
      </c>
      <c r="I1122" s="76" t="n">
        <f aca="false">IF(AND(ISNUMBER(G1122),ISNUMBER(H1122)),MAX(G1122-H1122,0),"")</f>
        <v>0</v>
      </c>
      <c r="J1122" s="78" t="str">
        <f aca="false">IF(AND(ISNUMBER(G1122),ISNUMBER(H1122)),IF(G1122&gt;0,H1122/G1122,""),"")</f>
        <v/>
      </c>
      <c r="K1122" s="77"/>
      <c r="L1122" s="76" t="str">
        <f aca="false">IF(OR(G1122="",H1122=""),"Data tidak lengkap",IF(AND(G1122=0,H1122=0),IF(AND(F1122="",K1122=""),"Tidak dibuka","Tutup"),IF(H1122&gt;G1122,"Lebih kapasitas",IF(H1122=G1122,"Penuh",IF(H1122=0,IF(F1122="","Slot kosong","Belum terisi"),"Sebagian")))))</f>
        <v>Tutup</v>
      </c>
      <c r="M1122" s="79" t="str">
        <f aca="false">IF(L1122="Tidak dibuka","–",IF(F1122="","(tanpa age group)",F1122)&amp;"  "&amp;IF(H1122="","?",H1122)&amp;"/"&amp;IF(G1122="","?",G1122)&amp;CHAR(10)&amp;IF(K1122="","coach: –","coach: "&amp;K1122))</f>
        <v>Kids  0/0
coach: –</v>
      </c>
    </row>
    <row r="1123" customFormat="false" ht="22.35" hidden="false" customHeight="false" outlineLevel="0" collapsed="false">
      <c r="A1123" s="76" t="str">
        <f aca="false">B1123&amp;"|"&amp;C1123&amp;"|"&amp;D1123&amp;"|"&amp;E1123</f>
        <v>PML|4|Rabu|13:15</v>
      </c>
      <c r="B1123" s="76" t="s">
        <v>65</v>
      </c>
      <c r="C1123" s="76" t="n">
        <v>4</v>
      </c>
      <c r="D1123" s="76" t="s">
        <v>92</v>
      </c>
      <c r="E1123" s="76" t="s">
        <v>116</v>
      </c>
      <c r="F1123" s="77" t="s">
        <v>210</v>
      </c>
      <c r="G1123" s="77" t="n">
        <v>4</v>
      </c>
      <c r="H1123" s="77" t="n">
        <v>4</v>
      </c>
      <c r="I1123" s="76" t="n">
        <f aca="false">IF(AND(ISNUMBER(G1123),ISNUMBER(H1123)),MAX(G1123-H1123,0),"")</f>
        <v>0</v>
      </c>
      <c r="J1123" s="78" t="n">
        <f aca="false">IF(AND(ISNUMBER(G1123),ISNUMBER(H1123)),IF(G1123&gt;0,H1123/G1123,""),"")</f>
        <v>1</v>
      </c>
      <c r="K1123" s="77" t="s">
        <v>333</v>
      </c>
      <c r="L1123" s="76" t="str">
        <f aca="false">IF(OR(G1123="",H1123=""),"Data tidak lengkap",IF(AND(G1123=0,H1123=0),IF(AND(F1123="",K1123=""),"Tidak dibuka","Tutup"),IF(H1123&gt;G1123,"Lebih kapasitas",IF(H1123=G1123,"Penuh",IF(H1123=0,IF(F1123="","Slot kosong","Belum terisi"),"Sebagian")))))</f>
        <v>Penuh</v>
      </c>
      <c r="M1123" s="79" t="str">
        <f aca="false">IF(L1123="Tidak dibuka","–",IF(F1123="","(tanpa age group)",F1123)&amp;"  "&amp;IF(H1123="","?",H1123)&amp;"/"&amp;IF(G1123="","?",G1123)&amp;CHAR(10)&amp;IF(K1123="","coach: –","coach: "&amp;K1123))</f>
        <v>Kids  4/4
coach: Zidan</v>
      </c>
    </row>
    <row r="1124" customFormat="false" ht="22.35" hidden="false" customHeight="false" outlineLevel="0" collapsed="false">
      <c r="A1124" s="76" t="str">
        <f aca="false">B1124&amp;"|"&amp;C1124&amp;"|"&amp;D1124&amp;"|"&amp;E1124</f>
        <v>PML|4|Rabu|14:00</v>
      </c>
      <c r="B1124" s="76" t="s">
        <v>65</v>
      </c>
      <c r="C1124" s="76" t="n">
        <v>4</v>
      </c>
      <c r="D1124" s="76" t="s">
        <v>92</v>
      </c>
      <c r="E1124" s="76" t="s">
        <v>117</v>
      </c>
      <c r="F1124" s="77" t="s">
        <v>210</v>
      </c>
      <c r="G1124" s="77" t="n">
        <v>4</v>
      </c>
      <c r="H1124" s="77" t="n">
        <v>4</v>
      </c>
      <c r="I1124" s="76" t="n">
        <f aca="false">IF(AND(ISNUMBER(G1124),ISNUMBER(H1124)),MAX(G1124-H1124,0),"")</f>
        <v>0</v>
      </c>
      <c r="J1124" s="78" t="n">
        <f aca="false">IF(AND(ISNUMBER(G1124),ISNUMBER(H1124)),IF(G1124&gt;0,H1124/G1124,""),"")</f>
        <v>1</v>
      </c>
      <c r="K1124" s="77" t="s">
        <v>333</v>
      </c>
      <c r="L1124" s="76" t="str">
        <f aca="false">IF(OR(G1124="",H1124=""),"Data tidak lengkap",IF(AND(G1124=0,H1124=0),IF(AND(F1124="",K1124=""),"Tidak dibuka","Tutup"),IF(H1124&gt;G1124,"Lebih kapasitas",IF(H1124=G1124,"Penuh",IF(H1124=0,IF(F1124="","Slot kosong","Belum terisi"),"Sebagian")))))</f>
        <v>Penuh</v>
      </c>
      <c r="M1124" s="79" t="str">
        <f aca="false">IF(L1124="Tidak dibuka","–",IF(F1124="","(tanpa age group)",F1124)&amp;"  "&amp;IF(H1124="","?",H1124)&amp;"/"&amp;IF(G1124="","?",G1124)&amp;CHAR(10)&amp;IF(K1124="","coach: –","coach: "&amp;K1124))</f>
        <v>Kids  4/4
coach: Zidan</v>
      </c>
    </row>
    <row r="1125" customFormat="false" ht="22.35" hidden="false" customHeight="false" outlineLevel="0" collapsed="false">
      <c r="A1125" s="76" t="str">
        <f aca="false">B1125&amp;"|"&amp;C1125&amp;"|"&amp;D1125&amp;"|"&amp;E1125</f>
        <v>PML|4|Rabu|14:45</v>
      </c>
      <c r="B1125" s="76" t="s">
        <v>65</v>
      </c>
      <c r="C1125" s="76" t="n">
        <v>4</v>
      </c>
      <c r="D1125" s="76" t="s">
        <v>92</v>
      </c>
      <c r="E1125" s="76" t="s">
        <v>118</v>
      </c>
      <c r="F1125" s="77" t="s">
        <v>210</v>
      </c>
      <c r="G1125" s="77" t="n">
        <v>4</v>
      </c>
      <c r="H1125" s="77" t="n">
        <v>4</v>
      </c>
      <c r="I1125" s="76" t="n">
        <f aca="false">IF(AND(ISNUMBER(G1125),ISNUMBER(H1125)),MAX(G1125-H1125,0),"")</f>
        <v>0</v>
      </c>
      <c r="J1125" s="78" t="n">
        <f aca="false">IF(AND(ISNUMBER(G1125),ISNUMBER(H1125)),IF(G1125&gt;0,H1125/G1125,""),"")</f>
        <v>1</v>
      </c>
      <c r="K1125" s="77" t="s">
        <v>330</v>
      </c>
      <c r="L1125" s="76" t="str">
        <f aca="false">IF(OR(G1125="",H1125=""),"Data tidak lengkap",IF(AND(G1125=0,H1125=0),IF(AND(F1125="",K1125=""),"Tidak dibuka","Tutup"),IF(H1125&gt;G1125,"Lebih kapasitas",IF(H1125=G1125,"Penuh",IF(H1125=0,IF(F1125="","Slot kosong","Belum terisi"),"Sebagian")))))</f>
        <v>Penuh</v>
      </c>
      <c r="M1125" s="79" t="str">
        <f aca="false">IF(L1125="Tidak dibuka","–",IF(F1125="","(tanpa age group)",F1125)&amp;"  "&amp;IF(H1125="","?",H1125)&amp;"/"&amp;IF(G1125="","?",G1125)&amp;CHAR(10)&amp;IF(K1125="","coach: –","coach: "&amp;K1125))</f>
        <v>Kids  4/4
coach: Indah</v>
      </c>
    </row>
    <row r="1126" customFormat="false" ht="22.35" hidden="false" customHeight="false" outlineLevel="0" collapsed="false">
      <c r="A1126" s="76" t="str">
        <f aca="false">B1126&amp;"|"&amp;C1126&amp;"|"&amp;D1126&amp;"|"&amp;E1126</f>
        <v>PML|4|Rabu|15:30</v>
      </c>
      <c r="B1126" s="76" t="s">
        <v>65</v>
      </c>
      <c r="C1126" s="76" t="n">
        <v>4</v>
      </c>
      <c r="D1126" s="76" t="s">
        <v>92</v>
      </c>
      <c r="E1126" s="76" t="s">
        <v>119</v>
      </c>
      <c r="F1126" s="77" t="s">
        <v>210</v>
      </c>
      <c r="G1126" s="77" t="n">
        <v>4</v>
      </c>
      <c r="H1126" s="77" t="n">
        <v>4</v>
      </c>
      <c r="I1126" s="76" t="n">
        <f aca="false">IF(AND(ISNUMBER(G1126),ISNUMBER(H1126)),MAX(G1126-H1126,0),"")</f>
        <v>0</v>
      </c>
      <c r="J1126" s="78" t="n">
        <f aca="false">IF(AND(ISNUMBER(G1126),ISNUMBER(H1126)),IF(G1126&gt;0,H1126/G1126,""),"")</f>
        <v>1</v>
      </c>
      <c r="K1126" s="77" t="s">
        <v>333</v>
      </c>
      <c r="L1126" s="76" t="str">
        <f aca="false">IF(OR(G1126="",H1126=""),"Data tidak lengkap",IF(AND(G1126=0,H1126=0),IF(AND(F1126="",K1126=""),"Tidak dibuka","Tutup"),IF(H1126&gt;G1126,"Lebih kapasitas",IF(H1126=G1126,"Penuh",IF(H1126=0,IF(F1126="","Slot kosong","Belum terisi"),"Sebagian")))))</f>
        <v>Penuh</v>
      </c>
      <c r="M1126" s="79" t="str">
        <f aca="false">IF(L1126="Tidak dibuka","–",IF(F1126="","(tanpa age group)",F1126)&amp;"  "&amp;IF(H1126="","?",H1126)&amp;"/"&amp;IF(G1126="","?",G1126)&amp;CHAR(10)&amp;IF(K1126="","coach: –","coach: "&amp;K1126))</f>
        <v>Kids  4/4
coach: Zidan</v>
      </c>
    </row>
    <row r="1127" customFormat="false" ht="22.35" hidden="false" customHeight="false" outlineLevel="0" collapsed="false">
      <c r="A1127" s="76" t="str">
        <f aca="false">B1127&amp;"|"&amp;C1127&amp;"|"&amp;D1127&amp;"|"&amp;E1127</f>
        <v>PML|4|Rabu|16:15</v>
      </c>
      <c r="B1127" s="76" t="s">
        <v>65</v>
      </c>
      <c r="C1127" s="76" t="n">
        <v>4</v>
      </c>
      <c r="D1127" s="76" t="s">
        <v>92</v>
      </c>
      <c r="E1127" s="76" t="s">
        <v>120</v>
      </c>
      <c r="F1127" s="77" t="s">
        <v>210</v>
      </c>
      <c r="G1127" s="77" t="n">
        <v>4</v>
      </c>
      <c r="H1127" s="77" t="n">
        <v>4</v>
      </c>
      <c r="I1127" s="76" t="n">
        <f aca="false">IF(AND(ISNUMBER(G1127),ISNUMBER(H1127)),MAX(G1127-H1127,0),"")</f>
        <v>0</v>
      </c>
      <c r="J1127" s="78" t="n">
        <f aca="false">IF(AND(ISNUMBER(G1127),ISNUMBER(H1127)),IF(G1127&gt;0,H1127/G1127,""),"")</f>
        <v>1</v>
      </c>
      <c r="K1127" s="77" t="s">
        <v>333</v>
      </c>
      <c r="L1127" s="76" t="str">
        <f aca="false">IF(OR(G1127="",H1127=""),"Data tidak lengkap",IF(AND(G1127=0,H1127=0),IF(AND(F1127="",K1127=""),"Tidak dibuka","Tutup"),IF(H1127&gt;G1127,"Lebih kapasitas",IF(H1127=G1127,"Penuh",IF(H1127=0,IF(F1127="","Slot kosong","Belum terisi"),"Sebagian")))))</f>
        <v>Penuh</v>
      </c>
      <c r="M1127" s="79" t="str">
        <f aca="false">IF(L1127="Tidak dibuka","–",IF(F1127="","(tanpa age group)",F1127)&amp;"  "&amp;IF(H1127="","?",H1127)&amp;"/"&amp;IF(G1127="","?",G1127)&amp;CHAR(10)&amp;IF(K1127="","coach: –","coach: "&amp;K1127))</f>
        <v>Kids  4/4
coach: Zidan</v>
      </c>
    </row>
    <row r="1128" customFormat="false" ht="22.35" hidden="false" customHeight="false" outlineLevel="0" collapsed="false">
      <c r="A1128" s="76" t="str">
        <f aca="false">B1128&amp;"|"&amp;C1128&amp;"|"&amp;D1128&amp;"|"&amp;E1128</f>
        <v>PML|4|Rabu|17:00</v>
      </c>
      <c r="B1128" s="76" t="s">
        <v>65</v>
      </c>
      <c r="C1128" s="76" t="n">
        <v>4</v>
      </c>
      <c r="D1128" s="76" t="s">
        <v>92</v>
      </c>
      <c r="E1128" s="76" t="s">
        <v>121</v>
      </c>
      <c r="F1128" s="77" t="s">
        <v>210</v>
      </c>
      <c r="G1128" s="77" t="n">
        <v>4</v>
      </c>
      <c r="H1128" s="77" t="n">
        <v>4</v>
      </c>
      <c r="I1128" s="76" t="n">
        <f aca="false">IF(AND(ISNUMBER(G1128),ISNUMBER(H1128)),MAX(G1128-H1128,0),"")</f>
        <v>0</v>
      </c>
      <c r="J1128" s="78" t="n">
        <f aca="false">IF(AND(ISNUMBER(G1128),ISNUMBER(H1128)),IF(G1128&gt;0,H1128/G1128,""),"")</f>
        <v>1</v>
      </c>
      <c r="K1128" s="77" t="s">
        <v>336</v>
      </c>
      <c r="L1128" s="76" t="str">
        <f aca="false">IF(OR(G1128="",H1128=""),"Data tidak lengkap",IF(AND(G1128=0,H1128=0),IF(AND(F1128="",K1128=""),"Tidak dibuka","Tutup"),IF(H1128&gt;G1128,"Lebih kapasitas",IF(H1128=G1128,"Penuh",IF(H1128=0,IF(F1128="","Slot kosong","Belum terisi"),"Sebagian")))))</f>
        <v>Penuh</v>
      </c>
      <c r="M1128" s="79" t="str">
        <f aca="false">IF(L1128="Tidak dibuka","–",IF(F1128="","(tanpa age group)",F1128)&amp;"  "&amp;IF(H1128="","?",H1128)&amp;"/"&amp;IF(G1128="","?",G1128)&amp;CHAR(10)&amp;IF(K1128="","coach: –","coach: "&amp;K1128))</f>
        <v>Kids  4/4
coach: Laksamana</v>
      </c>
    </row>
    <row r="1129" customFormat="false" ht="22.35" hidden="false" customHeight="false" outlineLevel="0" collapsed="false">
      <c r="A1129" s="76" t="str">
        <f aca="false">B1129&amp;"|"&amp;C1129&amp;"|"&amp;D1129&amp;"|"&amp;E1129</f>
        <v>PML|4|Kamis|08:00</v>
      </c>
      <c r="B1129" s="76" t="s">
        <v>65</v>
      </c>
      <c r="C1129" s="76" t="n">
        <v>4</v>
      </c>
      <c r="D1129" s="76" t="s">
        <v>93</v>
      </c>
      <c r="E1129" s="76" t="s">
        <v>110</v>
      </c>
      <c r="F1129" s="77" t="s">
        <v>210</v>
      </c>
      <c r="G1129" s="77" t="n">
        <v>0</v>
      </c>
      <c r="H1129" s="77" t="n">
        <v>0</v>
      </c>
      <c r="I1129" s="76" t="n">
        <f aca="false">IF(AND(ISNUMBER(G1129),ISNUMBER(H1129)),MAX(G1129-H1129,0),"")</f>
        <v>0</v>
      </c>
      <c r="J1129" s="78" t="str">
        <f aca="false">IF(AND(ISNUMBER(G1129),ISNUMBER(H1129)),IF(G1129&gt;0,H1129/G1129,""),"")</f>
        <v/>
      </c>
      <c r="K1129" s="77"/>
      <c r="L1129" s="76" t="str">
        <f aca="false">IF(OR(G1129="",H1129=""),"Data tidak lengkap",IF(AND(G1129=0,H1129=0),IF(AND(F1129="",K1129=""),"Tidak dibuka","Tutup"),IF(H1129&gt;G1129,"Lebih kapasitas",IF(H1129=G1129,"Penuh",IF(H1129=0,IF(F1129="","Slot kosong","Belum terisi"),"Sebagian")))))</f>
        <v>Tutup</v>
      </c>
      <c r="M1129" s="79" t="str">
        <f aca="false">IF(L1129="Tidak dibuka","–",IF(F1129="","(tanpa age group)",F1129)&amp;"  "&amp;IF(H1129="","?",H1129)&amp;"/"&amp;IF(G1129="","?",G1129)&amp;CHAR(10)&amp;IF(K1129="","coach: –","coach: "&amp;K1129))</f>
        <v>Kids  0/0
coach: –</v>
      </c>
    </row>
    <row r="1130" customFormat="false" ht="22.35" hidden="false" customHeight="false" outlineLevel="0" collapsed="false">
      <c r="A1130" s="76" t="str">
        <f aca="false">B1130&amp;"|"&amp;C1130&amp;"|"&amp;D1130&amp;"|"&amp;E1130</f>
        <v>PML|4|Kamis|08:45</v>
      </c>
      <c r="B1130" s="76" t="s">
        <v>65</v>
      </c>
      <c r="C1130" s="76" t="n">
        <v>4</v>
      </c>
      <c r="D1130" s="76" t="s">
        <v>93</v>
      </c>
      <c r="E1130" s="76" t="s">
        <v>111</v>
      </c>
      <c r="F1130" s="77" t="s">
        <v>210</v>
      </c>
      <c r="G1130" s="77" t="n">
        <v>4</v>
      </c>
      <c r="H1130" s="77" t="n">
        <v>0</v>
      </c>
      <c r="I1130" s="76" t="n">
        <f aca="false">IF(AND(ISNUMBER(G1130),ISNUMBER(H1130)),MAX(G1130-H1130,0),"")</f>
        <v>4</v>
      </c>
      <c r="J1130" s="78" t="n">
        <f aca="false">IF(AND(ISNUMBER(G1130),ISNUMBER(H1130)),IF(G1130&gt;0,H1130/G1130,""),"")</f>
        <v>0</v>
      </c>
      <c r="K1130" s="77"/>
      <c r="L1130" s="76" t="str">
        <f aca="false">IF(OR(G1130="",H1130=""),"Data tidak lengkap",IF(AND(G1130=0,H1130=0),IF(AND(F1130="",K1130=""),"Tidak dibuka","Tutup"),IF(H1130&gt;G1130,"Lebih kapasitas",IF(H1130=G1130,"Penuh",IF(H1130=0,IF(F1130="","Slot kosong","Belum terisi"),"Sebagian")))))</f>
        <v>Belum terisi</v>
      </c>
      <c r="M1130" s="79" t="str">
        <f aca="false">IF(L1130="Tidak dibuka","–",IF(F1130="","(tanpa age group)",F1130)&amp;"  "&amp;IF(H1130="","?",H1130)&amp;"/"&amp;IF(G1130="","?",G1130)&amp;CHAR(10)&amp;IF(K1130="","coach: –","coach: "&amp;K1130))</f>
        <v>Kids  0/4
coach: –</v>
      </c>
    </row>
    <row r="1131" customFormat="false" ht="22.35" hidden="false" customHeight="false" outlineLevel="0" collapsed="false">
      <c r="A1131" s="76" t="str">
        <f aca="false">B1131&amp;"|"&amp;C1131&amp;"|"&amp;D1131&amp;"|"&amp;E1131</f>
        <v>PML|4|Kamis|09:30</v>
      </c>
      <c r="B1131" s="76" t="s">
        <v>65</v>
      </c>
      <c r="C1131" s="76" t="n">
        <v>4</v>
      </c>
      <c r="D1131" s="76" t="s">
        <v>93</v>
      </c>
      <c r="E1131" s="76" t="s">
        <v>112</v>
      </c>
      <c r="F1131" s="77" t="s">
        <v>210</v>
      </c>
      <c r="G1131" s="77" t="n">
        <v>4</v>
      </c>
      <c r="H1131" s="77" t="n">
        <v>0</v>
      </c>
      <c r="I1131" s="76" t="n">
        <f aca="false">IF(AND(ISNUMBER(G1131),ISNUMBER(H1131)),MAX(G1131-H1131,0),"")</f>
        <v>4</v>
      </c>
      <c r="J1131" s="78" t="n">
        <f aca="false">IF(AND(ISNUMBER(G1131),ISNUMBER(H1131)),IF(G1131&gt;0,H1131/G1131,""),"")</f>
        <v>0</v>
      </c>
      <c r="K1131" s="77"/>
      <c r="L1131" s="76" t="str">
        <f aca="false">IF(OR(G1131="",H1131=""),"Data tidak lengkap",IF(AND(G1131=0,H1131=0),IF(AND(F1131="",K1131=""),"Tidak dibuka","Tutup"),IF(H1131&gt;G1131,"Lebih kapasitas",IF(H1131=G1131,"Penuh",IF(H1131=0,IF(F1131="","Slot kosong","Belum terisi"),"Sebagian")))))</f>
        <v>Belum terisi</v>
      </c>
      <c r="M1131" s="79" t="str">
        <f aca="false">IF(L1131="Tidak dibuka","–",IF(F1131="","(tanpa age group)",F1131)&amp;"  "&amp;IF(H1131="","?",H1131)&amp;"/"&amp;IF(G1131="","?",G1131)&amp;CHAR(10)&amp;IF(K1131="","coach: –","coach: "&amp;K1131))</f>
        <v>Kids  0/4
coach: –</v>
      </c>
    </row>
    <row r="1132" customFormat="false" ht="22.35" hidden="false" customHeight="false" outlineLevel="0" collapsed="false">
      <c r="A1132" s="76" t="str">
        <f aca="false">B1132&amp;"|"&amp;C1132&amp;"|"&amp;D1132&amp;"|"&amp;E1132</f>
        <v>PML|4|Kamis|10:15</v>
      </c>
      <c r="B1132" s="76" t="s">
        <v>65</v>
      </c>
      <c r="C1132" s="76" t="n">
        <v>4</v>
      </c>
      <c r="D1132" s="76" t="s">
        <v>93</v>
      </c>
      <c r="E1132" s="76" t="s">
        <v>113</v>
      </c>
      <c r="F1132" s="77" t="s">
        <v>210</v>
      </c>
      <c r="G1132" s="77" t="n">
        <v>4</v>
      </c>
      <c r="H1132" s="77" t="n">
        <v>0</v>
      </c>
      <c r="I1132" s="76" t="n">
        <f aca="false">IF(AND(ISNUMBER(G1132),ISNUMBER(H1132)),MAX(G1132-H1132,0),"")</f>
        <v>4</v>
      </c>
      <c r="J1132" s="78" t="n">
        <f aca="false">IF(AND(ISNUMBER(G1132),ISNUMBER(H1132)),IF(G1132&gt;0,H1132/G1132,""),"")</f>
        <v>0</v>
      </c>
      <c r="K1132" s="77"/>
      <c r="L1132" s="76" t="str">
        <f aca="false">IF(OR(G1132="",H1132=""),"Data tidak lengkap",IF(AND(G1132=0,H1132=0),IF(AND(F1132="",K1132=""),"Tidak dibuka","Tutup"),IF(H1132&gt;G1132,"Lebih kapasitas",IF(H1132=G1132,"Penuh",IF(H1132=0,IF(F1132="","Slot kosong","Belum terisi"),"Sebagian")))))</f>
        <v>Belum terisi</v>
      </c>
      <c r="M1132" s="79" t="str">
        <f aca="false">IF(L1132="Tidak dibuka","–",IF(F1132="","(tanpa age group)",F1132)&amp;"  "&amp;IF(H1132="","?",H1132)&amp;"/"&amp;IF(G1132="","?",G1132)&amp;CHAR(10)&amp;IF(K1132="","coach: –","coach: "&amp;K1132))</f>
        <v>Kids  0/4
coach: –</v>
      </c>
    </row>
    <row r="1133" customFormat="false" ht="22.35" hidden="false" customHeight="false" outlineLevel="0" collapsed="false">
      <c r="A1133" s="76" t="str">
        <f aca="false">B1133&amp;"|"&amp;C1133&amp;"|"&amp;D1133&amp;"|"&amp;E1133</f>
        <v>PML|4|Kamis|11:00</v>
      </c>
      <c r="B1133" s="76" t="s">
        <v>65</v>
      </c>
      <c r="C1133" s="76" t="n">
        <v>4</v>
      </c>
      <c r="D1133" s="76" t="s">
        <v>93</v>
      </c>
      <c r="E1133" s="76" t="s">
        <v>114</v>
      </c>
      <c r="F1133" s="77" t="s">
        <v>210</v>
      </c>
      <c r="G1133" s="77" t="n">
        <v>4</v>
      </c>
      <c r="H1133" s="77" t="n">
        <v>0</v>
      </c>
      <c r="I1133" s="76" t="n">
        <f aca="false">IF(AND(ISNUMBER(G1133),ISNUMBER(H1133)),MAX(G1133-H1133,0),"")</f>
        <v>4</v>
      </c>
      <c r="J1133" s="78" t="n">
        <f aca="false">IF(AND(ISNUMBER(G1133),ISNUMBER(H1133)),IF(G1133&gt;0,H1133/G1133,""),"")</f>
        <v>0</v>
      </c>
      <c r="K1133" s="77"/>
      <c r="L1133" s="76" t="str">
        <f aca="false">IF(OR(G1133="",H1133=""),"Data tidak lengkap",IF(AND(G1133=0,H1133=0),IF(AND(F1133="",K1133=""),"Tidak dibuka","Tutup"),IF(H1133&gt;G1133,"Lebih kapasitas",IF(H1133=G1133,"Penuh",IF(H1133=0,IF(F1133="","Slot kosong","Belum terisi"),"Sebagian")))))</f>
        <v>Belum terisi</v>
      </c>
      <c r="M1133" s="79" t="str">
        <f aca="false">IF(L1133="Tidak dibuka","–",IF(F1133="","(tanpa age group)",F1133)&amp;"  "&amp;IF(H1133="","?",H1133)&amp;"/"&amp;IF(G1133="","?",G1133)&amp;CHAR(10)&amp;IF(K1133="","coach: –","coach: "&amp;K1133))</f>
        <v>Kids  0/4
coach: –</v>
      </c>
    </row>
    <row r="1134" customFormat="false" ht="22.35" hidden="false" customHeight="false" outlineLevel="0" collapsed="false">
      <c r="A1134" s="76" t="str">
        <f aca="false">B1134&amp;"|"&amp;C1134&amp;"|"&amp;D1134&amp;"|"&amp;E1134</f>
        <v>PML|4|Kamis|11:45</v>
      </c>
      <c r="B1134" s="76" t="s">
        <v>65</v>
      </c>
      <c r="C1134" s="76" t="n">
        <v>4</v>
      </c>
      <c r="D1134" s="76" t="s">
        <v>93</v>
      </c>
      <c r="E1134" s="76" t="s">
        <v>115</v>
      </c>
      <c r="F1134" s="77" t="s">
        <v>210</v>
      </c>
      <c r="G1134" s="77" t="n">
        <v>0</v>
      </c>
      <c r="H1134" s="77" t="n">
        <v>0</v>
      </c>
      <c r="I1134" s="76" t="n">
        <f aca="false">IF(AND(ISNUMBER(G1134),ISNUMBER(H1134)),MAX(G1134-H1134,0),"")</f>
        <v>0</v>
      </c>
      <c r="J1134" s="78" t="str">
        <f aca="false">IF(AND(ISNUMBER(G1134),ISNUMBER(H1134)),IF(G1134&gt;0,H1134/G1134,""),"")</f>
        <v/>
      </c>
      <c r="K1134" s="77"/>
      <c r="L1134" s="76" t="str">
        <f aca="false">IF(OR(G1134="",H1134=""),"Data tidak lengkap",IF(AND(G1134=0,H1134=0),IF(AND(F1134="",K1134=""),"Tidak dibuka","Tutup"),IF(H1134&gt;G1134,"Lebih kapasitas",IF(H1134=G1134,"Penuh",IF(H1134=0,IF(F1134="","Slot kosong","Belum terisi"),"Sebagian")))))</f>
        <v>Tutup</v>
      </c>
      <c r="M1134" s="79" t="str">
        <f aca="false">IF(L1134="Tidak dibuka","–",IF(F1134="","(tanpa age group)",F1134)&amp;"  "&amp;IF(H1134="","?",H1134)&amp;"/"&amp;IF(G1134="","?",G1134)&amp;CHAR(10)&amp;IF(K1134="","coach: –","coach: "&amp;K1134))</f>
        <v>Kids  0/0
coach: –</v>
      </c>
    </row>
    <row r="1135" customFormat="false" ht="22.35" hidden="false" customHeight="false" outlineLevel="0" collapsed="false">
      <c r="A1135" s="76" t="str">
        <f aca="false">B1135&amp;"|"&amp;C1135&amp;"|"&amp;D1135&amp;"|"&amp;E1135</f>
        <v>PML|4|Kamis|13:15</v>
      </c>
      <c r="B1135" s="76" t="s">
        <v>65</v>
      </c>
      <c r="C1135" s="76" t="n">
        <v>4</v>
      </c>
      <c r="D1135" s="76" t="s">
        <v>93</v>
      </c>
      <c r="E1135" s="76" t="s">
        <v>116</v>
      </c>
      <c r="F1135" s="77" t="s">
        <v>210</v>
      </c>
      <c r="G1135" s="77" t="n">
        <v>4</v>
      </c>
      <c r="H1135" s="77" t="n">
        <v>0</v>
      </c>
      <c r="I1135" s="76" t="n">
        <f aca="false">IF(AND(ISNUMBER(G1135),ISNUMBER(H1135)),MAX(G1135-H1135,0),"")</f>
        <v>4</v>
      </c>
      <c r="J1135" s="78" t="n">
        <f aca="false">IF(AND(ISNUMBER(G1135),ISNUMBER(H1135)),IF(G1135&gt;0,H1135/G1135,""),"")</f>
        <v>0</v>
      </c>
      <c r="K1135" s="77"/>
      <c r="L1135" s="76" t="str">
        <f aca="false">IF(OR(G1135="",H1135=""),"Data tidak lengkap",IF(AND(G1135=0,H1135=0),IF(AND(F1135="",K1135=""),"Tidak dibuka","Tutup"),IF(H1135&gt;G1135,"Lebih kapasitas",IF(H1135=G1135,"Penuh",IF(H1135=0,IF(F1135="","Slot kosong","Belum terisi"),"Sebagian")))))</f>
        <v>Belum terisi</v>
      </c>
      <c r="M1135" s="79" t="str">
        <f aca="false">IF(L1135="Tidak dibuka","–",IF(F1135="","(tanpa age group)",F1135)&amp;"  "&amp;IF(H1135="","?",H1135)&amp;"/"&amp;IF(G1135="","?",G1135)&amp;CHAR(10)&amp;IF(K1135="","coach: –","coach: "&amp;K1135))</f>
        <v>Kids  0/4
coach: –</v>
      </c>
    </row>
    <row r="1136" customFormat="false" ht="22.35" hidden="false" customHeight="false" outlineLevel="0" collapsed="false">
      <c r="A1136" s="76" t="str">
        <f aca="false">B1136&amp;"|"&amp;C1136&amp;"|"&amp;D1136&amp;"|"&amp;E1136</f>
        <v>PML|4|Kamis|14:00</v>
      </c>
      <c r="B1136" s="76" t="s">
        <v>65</v>
      </c>
      <c r="C1136" s="76" t="n">
        <v>4</v>
      </c>
      <c r="D1136" s="76" t="s">
        <v>93</v>
      </c>
      <c r="E1136" s="76" t="s">
        <v>117</v>
      </c>
      <c r="F1136" s="77" t="s">
        <v>210</v>
      </c>
      <c r="G1136" s="77" t="n">
        <v>4</v>
      </c>
      <c r="H1136" s="77" t="n">
        <v>4</v>
      </c>
      <c r="I1136" s="76" t="n">
        <f aca="false">IF(AND(ISNUMBER(G1136),ISNUMBER(H1136)),MAX(G1136-H1136,0),"")</f>
        <v>0</v>
      </c>
      <c r="J1136" s="78" t="n">
        <f aca="false">IF(AND(ISNUMBER(G1136),ISNUMBER(H1136)),IF(G1136&gt;0,H1136/G1136,""),"")</f>
        <v>1</v>
      </c>
      <c r="K1136" s="77" t="s">
        <v>334</v>
      </c>
      <c r="L1136" s="76" t="str">
        <f aca="false">IF(OR(G1136="",H1136=""),"Data tidak lengkap",IF(AND(G1136=0,H1136=0),IF(AND(F1136="",K1136=""),"Tidak dibuka","Tutup"),IF(H1136&gt;G1136,"Lebih kapasitas",IF(H1136=G1136,"Penuh",IF(H1136=0,IF(F1136="","Slot kosong","Belum terisi"),"Sebagian")))))</f>
        <v>Penuh</v>
      </c>
      <c r="M1136" s="79" t="str">
        <f aca="false">IF(L1136="Tidak dibuka","–",IF(F1136="","(tanpa age group)",F1136)&amp;"  "&amp;IF(H1136="","?",H1136)&amp;"/"&amp;IF(G1136="","?",G1136)&amp;CHAR(10)&amp;IF(K1136="","coach: –","coach: "&amp;K1136))</f>
        <v>Kids  4/4
coach: Kamal</v>
      </c>
    </row>
    <row r="1137" customFormat="false" ht="22.35" hidden="false" customHeight="false" outlineLevel="0" collapsed="false">
      <c r="A1137" s="76" t="str">
        <f aca="false">B1137&amp;"|"&amp;C1137&amp;"|"&amp;D1137&amp;"|"&amp;E1137</f>
        <v>PML|4|Kamis|14:45</v>
      </c>
      <c r="B1137" s="76" t="s">
        <v>65</v>
      </c>
      <c r="C1137" s="76" t="n">
        <v>4</v>
      </c>
      <c r="D1137" s="76" t="s">
        <v>93</v>
      </c>
      <c r="E1137" s="76" t="s">
        <v>118</v>
      </c>
      <c r="F1137" s="77" t="s">
        <v>210</v>
      </c>
      <c r="G1137" s="77" t="n">
        <v>4</v>
      </c>
      <c r="H1137" s="77" t="n">
        <v>4</v>
      </c>
      <c r="I1137" s="76" t="n">
        <f aca="false">IF(AND(ISNUMBER(G1137),ISNUMBER(H1137)),MAX(G1137-H1137,0),"")</f>
        <v>0</v>
      </c>
      <c r="J1137" s="78" t="n">
        <f aca="false">IF(AND(ISNUMBER(G1137),ISNUMBER(H1137)),IF(G1137&gt;0,H1137/G1137,""),"")</f>
        <v>1</v>
      </c>
      <c r="K1137" s="77" t="s">
        <v>330</v>
      </c>
      <c r="L1137" s="76" t="str">
        <f aca="false">IF(OR(G1137="",H1137=""),"Data tidak lengkap",IF(AND(G1137=0,H1137=0),IF(AND(F1137="",K1137=""),"Tidak dibuka","Tutup"),IF(H1137&gt;G1137,"Lebih kapasitas",IF(H1137=G1137,"Penuh",IF(H1137=0,IF(F1137="","Slot kosong","Belum terisi"),"Sebagian")))))</f>
        <v>Penuh</v>
      </c>
      <c r="M1137" s="79" t="str">
        <f aca="false">IF(L1137="Tidak dibuka","–",IF(F1137="","(tanpa age group)",F1137)&amp;"  "&amp;IF(H1137="","?",H1137)&amp;"/"&amp;IF(G1137="","?",G1137)&amp;CHAR(10)&amp;IF(K1137="","coach: –","coach: "&amp;K1137))</f>
        <v>Kids  4/4
coach: Indah</v>
      </c>
    </row>
    <row r="1138" customFormat="false" ht="22.35" hidden="false" customHeight="false" outlineLevel="0" collapsed="false">
      <c r="A1138" s="76" t="str">
        <f aca="false">B1138&amp;"|"&amp;C1138&amp;"|"&amp;D1138&amp;"|"&amp;E1138</f>
        <v>PML|4|Kamis|15:30</v>
      </c>
      <c r="B1138" s="76" t="s">
        <v>65</v>
      </c>
      <c r="C1138" s="76" t="n">
        <v>4</v>
      </c>
      <c r="D1138" s="76" t="s">
        <v>93</v>
      </c>
      <c r="E1138" s="76" t="s">
        <v>119</v>
      </c>
      <c r="F1138" s="77" t="s">
        <v>210</v>
      </c>
      <c r="G1138" s="77" t="n">
        <v>4</v>
      </c>
      <c r="H1138" s="77" t="n">
        <v>4</v>
      </c>
      <c r="I1138" s="76" t="n">
        <f aca="false">IF(AND(ISNUMBER(G1138),ISNUMBER(H1138)),MAX(G1138-H1138,0),"")</f>
        <v>0</v>
      </c>
      <c r="J1138" s="78" t="n">
        <f aca="false">IF(AND(ISNUMBER(G1138),ISNUMBER(H1138)),IF(G1138&gt;0,H1138/G1138,""),"")</f>
        <v>1</v>
      </c>
      <c r="K1138" s="77" t="s">
        <v>334</v>
      </c>
      <c r="L1138" s="76" t="str">
        <f aca="false">IF(OR(G1138="",H1138=""),"Data tidak lengkap",IF(AND(G1138=0,H1138=0),IF(AND(F1138="",K1138=""),"Tidak dibuka","Tutup"),IF(H1138&gt;G1138,"Lebih kapasitas",IF(H1138=G1138,"Penuh",IF(H1138=0,IF(F1138="","Slot kosong","Belum terisi"),"Sebagian")))))</f>
        <v>Penuh</v>
      </c>
      <c r="M1138" s="79" t="str">
        <f aca="false">IF(L1138="Tidak dibuka","–",IF(F1138="","(tanpa age group)",F1138)&amp;"  "&amp;IF(H1138="","?",H1138)&amp;"/"&amp;IF(G1138="","?",G1138)&amp;CHAR(10)&amp;IF(K1138="","coach: –","coach: "&amp;K1138))</f>
        <v>Kids  4/4
coach: Kamal</v>
      </c>
    </row>
    <row r="1139" customFormat="false" ht="22.35" hidden="false" customHeight="false" outlineLevel="0" collapsed="false">
      <c r="A1139" s="76" t="str">
        <f aca="false">B1139&amp;"|"&amp;C1139&amp;"|"&amp;D1139&amp;"|"&amp;E1139</f>
        <v>PML|4|Kamis|16:15</v>
      </c>
      <c r="B1139" s="76" t="s">
        <v>65</v>
      </c>
      <c r="C1139" s="76" t="n">
        <v>4</v>
      </c>
      <c r="D1139" s="76" t="s">
        <v>93</v>
      </c>
      <c r="E1139" s="76" t="s">
        <v>120</v>
      </c>
      <c r="F1139" s="77" t="s">
        <v>210</v>
      </c>
      <c r="G1139" s="77" t="n">
        <v>4</v>
      </c>
      <c r="H1139" s="77" t="n">
        <v>4</v>
      </c>
      <c r="I1139" s="76" t="n">
        <f aca="false">IF(AND(ISNUMBER(G1139),ISNUMBER(H1139)),MAX(G1139-H1139,0),"")</f>
        <v>0</v>
      </c>
      <c r="J1139" s="78" t="n">
        <f aca="false">IF(AND(ISNUMBER(G1139),ISNUMBER(H1139)),IF(G1139&gt;0,H1139/G1139,""),"")</f>
        <v>1</v>
      </c>
      <c r="K1139" s="77" t="s">
        <v>334</v>
      </c>
      <c r="L1139" s="76" t="str">
        <f aca="false">IF(OR(G1139="",H1139=""),"Data tidak lengkap",IF(AND(G1139=0,H1139=0),IF(AND(F1139="",K1139=""),"Tidak dibuka","Tutup"),IF(H1139&gt;G1139,"Lebih kapasitas",IF(H1139=G1139,"Penuh",IF(H1139=0,IF(F1139="","Slot kosong","Belum terisi"),"Sebagian")))))</f>
        <v>Penuh</v>
      </c>
      <c r="M1139" s="79" t="str">
        <f aca="false">IF(L1139="Tidak dibuka","–",IF(F1139="","(tanpa age group)",F1139)&amp;"  "&amp;IF(H1139="","?",H1139)&amp;"/"&amp;IF(G1139="","?",G1139)&amp;CHAR(10)&amp;IF(K1139="","coach: –","coach: "&amp;K1139))</f>
        <v>Kids  4/4
coach: Kamal</v>
      </c>
    </row>
    <row r="1140" customFormat="false" ht="22.35" hidden="false" customHeight="false" outlineLevel="0" collapsed="false">
      <c r="A1140" s="76" t="str">
        <f aca="false">B1140&amp;"|"&amp;C1140&amp;"|"&amp;D1140&amp;"|"&amp;E1140</f>
        <v>PML|4|Kamis|17:00</v>
      </c>
      <c r="B1140" s="76" t="s">
        <v>65</v>
      </c>
      <c r="C1140" s="76" t="n">
        <v>4</v>
      </c>
      <c r="D1140" s="76" t="s">
        <v>93</v>
      </c>
      <c r="E1140" s="76" t="s">
        <v>121</v>
      </c>
      <c r="F1140" s="77" t="s">
        <v>210</v>
      </c>
      <c r="G1140" s="77" t="n">
        <v>4</v>
      </c>
      <c r="H1140" s="77" t="n">
        <v>3</v>
      </c>
      <c r="I1140" s="76" t="n">
        <f aca="false">IF(AND(ISNUMBER(G1140),ISNUMBER(H1140)),MAX(G1140-H1140,0),"")</f>
        <v>1</v>
      </c>
      <c r="J1140" s="78" t="n">
        <f aca="false">IF(AND(ISNUMBER(G1140),ISNUMBER(H1140)),IF(G1140&gt;0,H1140/G1140,""),"")</f>
        <v>0.75</v>
      </c>
      <c r="K1140" s="77" t="s">
        <v>334</v>
      </c>
      <c r="L1140" s="76" t="str">
        <f aca="false">IF(OR(G1140="",H1140=""),"Data tidak lengkap",IF(AND(G1140=0,H1140=0),IF(AND(F1140="",K1140=""),"Tidak dibuka","Tutup"),IF(H1140&gt;G1140,"Lebih kapasitas",IF(H1140=G1140,"Penuh",IF(H1140=0,IF(F1140="","Slot kosong","Belum terisi"),"Sebagian")))))</f>
        <v>Sebagian</v>
      </c>
      <c r="M1140" s="79" t="str">
        <f aca="false">IF(L1140="Tidak dibuka","–",IF(F1140="","(tanpa age group)",F1140)&amp;"  "&amp;IF(H1140="","?",H1140)&amp;"/"&amp;IF(G1140="","?",G1140)&amp;CHAR(10)&amp;IF(K1140="","coach: –","coach: "&amp;K1140))</f>
        <v>Kids  3/4
coach: Kamal</v>
      </c>
    </row>
    <row r="1141" customFormat="false" ht="22.35" hidden="false" customHeight="false" outlineLevel="0" collapsed="false">
      <c r="A1141" s="76" t="str">
        <f aca="false">B1141&amp;"|"&amp;C1141&amp;"|"&amp;D1141&amp;"|"&amp;E1141</f>
        <v>PML|4|Jumat|08:00</v>
      </c>
      <c r="B1141" s="76" t="s">
        <v>65</v>
      </c>
      <c r="C1141" s="76" t="n">
        <v>4</v>
      </c>
      <c r="D1141" s="76" t="s">
        <v>94</v>
      </c>
      <c r="E1141" s="76" t="s">
        <v>110</v>
      </c>
      <c r="F1141" s="77" t="s">
        <v>210</v>
      </c>
      <c r="G1141" s="77" t="n">
        <v>0</v>
      </c>
      <c r="H1141" s="77" t="n">
        <v>0</v>
      </c>
      <c r="I1141" s="76" t="n">
        <f aca="false">IF(AND(ISNUMBER(G1141),ISNUMBER(H1141)),MAX(G1141-H1141,0),"")</f>
        <v>0</v>
      </c>
      <c r="J1141" s="78" t="str">
        <f aca="false">IF(AND(ISNUMBER(G1141),ISNUMBER(H1141)),IF(G1141&gt;0,H1141/G1141,""),"")</f>
        <v/>
      </c>
      <c r="K1141" s="77"/>
      <c r="L1141" s="76" t="str">
        <f aca="false">IF(OR(G1141="",H1141=""),"Data tidak lengkap",IF(AND(G1141=0,H1141=0),IF(AND(F1141="",K1141=""),"Tidak dibuka","Tutup"),IF(H1141&gt;G1141,"Lebih kapasitas",IF(H1141=G1141,"Penuh",IF(H1141=0,IF(F1141="","Slot kosong","Belum terisi"),"Sebagian")))))</f>
        <v>Tutup</v>
      </c>
      <c r="M1141" s="79" t="str">
        <f aca="false">IF(L1141="Tidak dibuka","–",IF(F1141="","(tanpa age group)",F1141)&amp;"  "&amp;IF(H1141="","?",H1141)&amp;"/"&amp;IF(G1141="","?",G1141)&amp;CHAR(10)&amp;IF(K1141="","coach: –","coach: "&amp;K1141))</f>
        <v>Kids  0/0
coach: –</v>
      </c>
    </row>
    <row r="1142" customFormat="false" ht="22.35" hidden="false" customHeight="false" outlineLevel="0" collapsed="false">
      <c r="A1142" s="76" t="str">
        <f aca="false">B1142&amp;"|"&amp;C1142&amp;"|"&amp;D1142&amp;"|"&amp;E1142</f>
        <v>PML|4|Jumat|08:45</v>
      </c>
      <c r="B1142" s="76" t="s">
        <v>65</v>
      </c>
      <c r="C1142" s="76" t="n">
        <v>4</v>
      </c>
      <c r="D1142" s="76" t="s">
        <v>94</v>
      </c>
      <c r="E1142" s="76" t="s">
        <v>111</v>
      </c>
      <c r="F1142" s="77" t="s">
        <v>210</v>
      </c>
      <c r="G1142" s="77" t="n">
        <v>4</v>
      </c>
      <c r="H1142" s="77" t="n">
        <v>0</v>
      </c>
      <c r="I1142" s="76" t="n">
        <f aca="false">IF(AND(ISNUMBER(G1142),ISNUMBER(H1142)),MAX(G1142-H1142,0),"")</f>
        <v>4</v>
      </c>
      <c r="J1142" s="78" t="n">
        <f aca="false">IF(AND(ISNUMBER(G1142),ISNUMBER(H1142)),IF(G1142&gt;0,H1142/G1142,""),"")</f>
        <v>0</v>
      </c>
      <c r="K1142" s="77"/>
      <c r="L1142" s="76" t="str">
        <f aca="false">IF(OR(G1142="",H1142=""),"Data tidak lengkap",IF(AND(G1142=0,H1142=0),IF(AND(F1142="",K1142=""),"Tidak dibuka","Tutup"),IF(H1142&gt;G1142,"Lebih kapasitas",IF(H1142=G1142,"Penuh",IF(H1142=0,IF(F1142="","Slot kosong","Belum terisi"),"Sebagian")))))</f>
        <v>Belum terisi</v>
      </c>
      <c r="M1142" s="79" t="str">
        <f aca="false">IF(L1142="Tidak dibuka","–",IF(F1142="","(tanpa age group)",F1142)&amp;"  "&amp;IF(H1142="","?",H1142)&amp;"/"&amp;IF(G1142="","?",G1142)&amp;CHAR(10)&amp;IF(K1142="","coach: –","coach: "&amp;K1142))</f>
        <v>Kids  0/4
coach: –</v>
      </c>
    </row>
    <row r="1143" customFormat="false" ht="22.35" hidden="false" customHeight="false" outlineLevel="0" collapsed="false">
      <c r="A1143" s="76" t="str">
        <f aca="false">B1143&amp;"|"&amp;C1143&amp;"|"&amp;D1143&amp;"|"&amp;E1143</f>
        <v>PML|4|Jumat|09:30</v>
      </c>
      <c r="B1143" s="76" t="s">
        <v>65</v>
      </c>
      <c r="C1143" s="76" t="n">
        <v>4</v>
      </c>
      <c r="D1143" s="76" t="s">
        <v>94</v>
      </c>
      <c r="E1143" s="76" t="s">
        <v>112</v>
      </c>
      <c r="F1143" s="77" t="s">
        <v>210</v>
      </c>
      <c r="G1143" s="77" t="n">
        <v>4</v>
      </c>
      <c r="H1143" s="77" t="n">
        <v>2</v>
      </c>
      <c r="I1143" s="76" t="n">
        <f aca="false">IF(AND(ISNUMBER(G1143),ISNUMBER(H1143)),MAX(G1143-H1143,0),"")</f>
        <v>2</v>
      </c>
      <c r="J1143" s="78" t="n">
        <f aca="false">IF(AND(ISNUMBER(G1143),ISNUMBER(H1143)),IF(G1143&gt;0,H1143/G1143,""),"")</f>
        <v>0.5</v>
      </c>
      <c r="K1143" s="77" t="s">
        <v>336</v>
      </c>
      <c r="L1143" s="76" t="str">
        <f aca="false">IF(OR(G1143="",H1143=""),"Data tidak lengkap",IF(AND(G1143=0,H1143=0),IF(AND(F1143="",K1143=""),"Tidak dibuka","Tutup"),IF(H1143&gt;G1143,"Lebih kapasitas",IF(H1143=G1143,"Penuh",IF(H1143=0,IF(F1143="","Slot kosong","Belum terisi"),"Sebagian")))))</f>
        <v>Sebagian</v>
      </c>
      <c r="M1143" s="79" t="str">
        <f aca="false">IF(L1143="Tidak dibuka","–",IF(F1143="","(tanpa age group)",F1143)&amp;"  "&amp;IF(H1143="","?",H1143)&amp;"/"&amp;IF(G1143="","?",G1143)&amp;CHAR(10)&amp;IF(K1143="","coach: –","coach: "&amp;K1143))</f>
        <v>Kids  2/4
coach: Laksamana</v>
      </c>
    </row>
    <row r="1144" customFormat="false" ht="22.35" hidden="false" customHeight="false" outlineLevel="0" collapsed="false">
      <c r="A1144" s="76" t="str">
        <f aca="false">B1144&amp;"|"&amp;C1144&amp;"|"&amp;D1144&amp;"|"&amp;E1144</f>
        <v>PML|4|Jumat|10:15</v>
      </c>
      <c r="B1144" s="76" t="s">
        <v>65</v>
      </c>
      <c r="C1144" s="76" t="n">
        <v>4</v>
      </c>
      <c r="D1144" s="76" t="s">
        <v>94</v>
      </c>
      <c r="E1144" s="76" t="s">
        <v>113</v>
      </c>
      <c r="F1144" s="77" t="s">
        <v>210</v>
      </c>
      <c r="G1144" s="77" t="n">
        <v>4</v>
      </c>
      <c r="H1144" s="77" t="n">
        <v>0</v>
      </c>
      <c r="I1144" s="76" t="n">
        <f aca="false">IF(AND(ISNUMBER(G1144),ISNUMBER(H1144)),MAX(G1144-H1144,0),"")</f>
        <v>4</v>
      </c>
      <c r="J1144" s="78" t="n">
        <f aca="false">IF(AND(ISNUMBER(G1144),ISNUMBER(H1144)),IF(G1144&gt;0,H1144/G1144,""),"")</f>
        <v>0</v>
      </c>
      <c r="K1144" s="77"/>
      <c r="L1144" s="76" t="str">
        <f aca="false">IF(OR(G1144="",H1144=""),"Data tidak lengkap",IF(AND(G1144=0,H1144=0),IF(AND(F1144="",K1144=""),"Tidak dibuka","Tutup"),IF(H1144&gt;G1144,"Lebih kapasitas",IF(H1144=G1144,"Penuh",IF(H1144=0,IF(F1144="","Slot kosong","Belum terisi"),"Sebagian")))))</f>
        <v>Belum terisi</v>
      </c>
      <c r="M1144" s="79" t="str">
        <f aca="false">IF(L1144="Tidak dibuka","–",IF(F1144="","(tanpa age group)",F1144)&amp;"  "&amp;IF(H1144="","?",H1144)&amp;"/"&amp;IF(G1144="","?",G1144)&amp;CHAR(10)&amp;IF(K1144="","coach: –","coach: "&amp;K1144))</f>
        <v>Kids  0/4
coach: –</v>
      </c>
    </row>
    <row r="1145" customFormat="false" ht="22.35" hidden="false" customHeight="false" outlineLevel="0" collapsed="false">
      <c r="A1145" s="76" t="str">
        <f aca="false">B1145&amp;"|"&amp;C1145&amp;"|"&amp;D1145&amp;"|"&amp;E1145</f>
        <v>PML|4|Jumat|11:00</v>
      </c>
      <c r="B1145" s="76" t="s">
        <v>65</v>
      </c>
      <c r="C1145" s="76" t="n">
        <v>4</v>
      </c>
      <c r="D1145" s="76" t="s">
        <v>94</v>
      </c>
      <c r="E1145" s="76" t="s">
        <v>114</v>
      </c>
      <c r="F1145" s="77" t="s">
        <v>210</v>
      </c>
      <c r="G1145" s="77" t="n">
        <v>4</v>
      </c>
      <c r="H1145" s="77" t="n">
        <v>3</v>
      </c>
      <c r="I1145" s="76" t="n">
        <f aca="false">IF(AND(ISNUMBER(G1145),ISNUMBER(H1145)),MAX(G1145-H1145,0),"")</f>
        <v>1</v>
      </c>
      <c r="J1145" s="78" t="n">
        <f aca="false">IF(AND(ISNUMBER(G1145),ISNUMBER(H1145)),IF(G1145&gt;0,H1145/G1145,""),"")</f>
        <v>0.75</v>
      </c>
      <c r="K1145" s="77" t="s">
        <v>330</v>
      </c>
      <c r="L1145" s="76" t="str">
        <f aca="false">IF(OR(G1145="",H1145=""),"Data tidak lengkap",IF(AND(G1145=0,H1145=0),IF(AND(F1145="",K1145=""),"Tidak dibuka","Tutup"),IF(H1145&gt;G1145,"Lebih kapasitas",IF(H1145=G1145,"Penuh",IF(H1145=0,IF(F1145="","Slot kosong","Belum terisi"),"Sebagian")))))</f>
        <v>Sebagian</v>
      </c>
      <c r="M1145" s="79" t="str">
        <f aca="false">IF(L1145="Tidak dibuka","–",IF(F1145="","(tanpa age group)",F1145)&amp;"  "&amp;IF(H1145="","?",H1145)&amp;"/"&amp;IF(G1145="","?",G1145)&amp;CHAR(10)&amp;IF(K1145="","coach: –","coach: "&amp;K1145))</f>
        <v>Kids  3/4
coach: Indah</v>
      </c>
    </row>
    <row r="1146" customFormat="false" ht="22.35" hidden="false" customHeight="false" outlineLevel="0" collapsed="false">
      <c r="A1146" s="76" t="str">
        <f aca="false">B1146&amp;"|"&amp;C1146&amp;"|"&amp;D1146&amp;"|"&amp;E1146</f>
        <v>PML|4|Jumat|11:45</v>
      </c>
      <c r="B1146" s="76" t="s">
        <v>65</v>
      </c>
      <c r="C1146" s="76" t="n">
        <v>4</v>
      </c>
      <c r="D1146" s="76" t="s">
        <v>94</v>
      </c>
      <c r="E1146" s="76" t="s">
        <v>115</v>
      </c>
      <c r="F1146" s="77" t="s">
        <v>210</v>
      </c>
      <c r="G1146" s="77" t="n">
        <v>0</v>
      </c>
      <c r="H1146" s="77" t="n">
        <v>0</v>
      </c>
      <c r="I1146" s="76" t="n">
        <f aca="false">IF(AND(ISNUMBER(G1146),ISNUMBER(H1146)),MAX(G1146-H1146,0),"")</f>
        <v>0</v>
      </c>
      <c r="J1146" s="78" t="str">
        <f aca="false">IF(AND(ISNUMBER(G1146),ISNUMBER(H1146)),IF(G1146&gt;0,H1146/G1146,""),"")</f>
        <v/>
      </c>
      <c r="K1146" s="77"/>
      <c r="L1146" s="76" t="str">
        <f aca="false">IF(OR(G1146="",H1146=""),"Data tidak lengkap",IF(AND(G1146=0,H1146=0),IF(AND(F1146="",K1146=""),"Tidak dibuka","Tutup"),IF(H1146&gt;G1146,"Lebih kapasitas",IF(H1146=G1146,"Penuh",IF(H1146=0,IF(F1146="","Slot kosong","Belum terisi"),"Sebagian")))))</f>
        <v>Tutup</v>
      </c>
      <c r="M1146" s="79" t="str">
        <f aca="false">IF(L1146="Tidak dibuka","–",IF(F1146="","(tanpa age group)",F1146)&amp;"  "&amp;IF(H1146="","?",H1146)&amp;"/"&amp;IF(G1146="","?",G1146)&amp;CHAR(10)&amp;IF(K1146="","coach: –","coach: "&amp;K1146))</f>
        <v>Kids  0/0
coach: –</v>
      </c>
    </row>
    <row r="1147" customFormat="false" ht="22.35" hidden="false" customHeight="false" outlineLevel="0" collapsed="false">
      <c r="A1147" s="76" t="str">
        <f aca="false">B1147&amp;"|"&amp;C1147&amp;"|"&amp;D1147&amp;"|"&amp;E1147</f>
        <v>PML|4|Jumat|13:15</v>
      </c>
      <c r="B1147" s="76" t="s">
        <v>65</v>
      </c>
      <c r="C1147" s="76" t="n">
        <v>4</v>
      </c>
      <c r="D1147" s="76" t="s">
        <v>94</v>
      </c>
      <c r="E1147" s="76" t="s">
        <v>116</v>
      </c>
      <c r="F1147" s="77" t="s">
        <v>210</v>
      </c>
      <c r="G1147" s="77" t="n">
        <v>4</v>
      </c>
      <c r="H1147" s="77" t="n">
        <v>0</v>
      </c>
      <c r="I1147" s="76" t="n">
        <f aca="false">IF(AND(ISNUMBER(G1147),ISNUMBER(H1147)),MAX(G1147-H1147,0),"")</f>
        <v>4</v>
      </c>
      <c r="J1147" s="78" t="n">
        <f aca="false">IF(AND(ISNUMBER(G1147),ISNUMBER(H1147)),IF(G1147&gt;0,H1147/G1147,""),"")</f>
        <v>0</v>
      </c>
      <c r="K1147" s="77"/>
      <c r="L1147" s="76" t="str">
        <f aca="false">IF(OR(G1147="",H1147=""),"Data tidak lengkap",IF(AND(G1147=0,H1147=0),IF(AND(F1147="",K1147=""),"Tidak dibuka","Tutup"),IF(H1147&gt;G1147,"Lebih kapasitas",IF(H1147=G1147,"Penuh",IF(H1147=0,IF(F1147="","Slot kosong","Belum terisi"),"Sebagian")))))</f>
        <v>Belum terisi</v>
      </c>
      <c r="M1147" s="79" t="str">
        <f aca="false">IF(L1147="Tidak dibuka","–",IF(F1147="","(tanpa age group)",F1147)&amp;"  "&amp;IF(H1147="","?",H1147)&amp;"/"&amp;IF(G1147="","?",G1147)&amp;CHAR(10)&amp;IF(K1147="","coach: –","coach: "&amp;K1147))</f>
        <v>Kids  0/4
coach: –</v>
      </c>
    </row>
    <row r="1148" customFormat="false" ht="22.35" hidden="false" customHeight="false" outlineLevel="0" collapsed="false">
      <c r="A1148" s="76" t="str">
        <f aca="false">B1148&amp;"|"&amp;C1148&amp;"|"&amp;D1148&amp;"|"&amp;E1148</f>
        <v>PML|4|Jumat|14:00</v>
      </c>
      <c r="B1148" s="76" t="s">
        <v>65</v>
      </c>
      <c r="C1148" s="76" t="n">
        <v>4</v>
      </c>
      <c r="D1148" s="76" t="s">
        <v>94</v>
      </c>
      <c r="E1148" s="76" t="s">
        <v>117</v>
      </c>
      <c r="F1148" s="77" t="s">
        <v>210</v>
      </c>
      <c r="G1148" s="77" t="n">
        <v>4</v>
      </c>
      <c r="H1148" s="77" t="n">
        <v>4</v>
      </c>
      <c r="I1148" s="76" t="n">
        <f aca="false">IF(AND(ISNUMBER(G1148),ISNUMBER(H1148)),MAX(G1148-H1148,0),"")</f>
        <v>0</v>
      </c>
      <c r="J1148" s="78" t="n">
        <f aca="false">IF(AND(ISNUMBER(G1148),ISNUMBER(H1148)),IF(G1148&gt;0,H1148/G1148,""),"")</f>
        <v>1</v>
      </c>
      <c r="K1148" s="77" t="s">
        <v>333</v>
      </c>
      <c r="L1148" s="76" t="str">
        <f aca="false">IF(OR(G1148="",H1148=""),"Data tidak lengkap",IF(AND(G1148=0,H1148=0),IF(AND(F1148="",K1148=""),"Tidak dibuka","Tutup"),IF(H1148&gt;G1148,"Lebih kapasitas",IF(H1148=G1148,"Penuh",IF(H1148=0,IF(F1148="","Slot kosong","Belum terisi"),"Sebagian")))))</f>
        <v>Penuh</v>
      </c>
      <c r="M1148" s="79" t="str">
        <f aca="false">IF(L1148="Tidak dibuka","–",IF(F1148="","(tanpa age group)",F1148)&amp;"  "&amp;IF(H1148="","?",H1148)&amp;"/"&amp;IF(G1148="","?",G1148)&amp;CHAR(10)&amp;IF(K1148="","coach: –","coach: "&amp;K1148))</f>
        <v>Kids  4/4
coach: Zidan</v>
      </c>
    </row>
    <row r="1149" customFormat="false" ht="22.35" hidden="false" customHeight="false" outlineLevel="0" collapsed="false">
      <c r="A1149" s="76" t="str">
        <f aca="false">B1149&amp;"|"&amp;C1149&amp;"|"&amp;D1149&amp;"|"&amp;E1149</f>
        <v>PML|4|Jumat|14:45</v>
      </c>
      <c r="B1149" s="76" t="s">
        <v>65</v>
      </c>
      <c r="C1149" s="76" t="n">
        <v>4</v>
      </c>
      <c r="D1149" s="76" t="s">
        <v>94</v>
      </c>
      <c r="E1149" s="76" t="s">
        <v>118</v>
      </c>
      <c r="F1149" s="77" t="s">
        <v>210</v>
      </c>
      <c r="G1149" s="77" t="n">
        <v>4</v>
      </c>
      <c r="H1149" s="77" t="n">
        <v>4</v>
      </c>
      <c r="I1149" s="76" t="n">
        <f aca="false">IF(AND(ISNUMBER(G1149),ISNUMBER(H1149)),MAX(G1149-H1149,0),"")</f>
        <v>0</v>
      </c>
      <c r="J1149" s="78" t="n">
        <f aca="false">IF(AND(ISNUMBER(G1149),ISNUMBER(H1149)),IF(G1149&gt;0,H1149/G1149,""),"")</f>
        <v>1</v>
      </c>
      <c r="K1149" s="77" t="s">
        <v>331</v>
      </c>
      <c r="L1149" s="76" t="str">
        <f aca="false">IF(OR(G1149="",H1149=""),"Data tidak lengkap",IF(AND(G1149=0,H1149=0),IF(AND(F1149="",K1149=""),"Tidak dibuka","Tutup"),IF(H1149&gt;G1149,"Lebih kapasitas",IF(H1149=G1149,"Penuh",IF(H1149=0,IF(F1149="","Slot kosong","Belum terisi"),"Sebagian")))))</f>
        <v>Penuh</v>
      </c>
      <c r="M1149" s="79" t="str">
        <f aca="false">IF(L1149="Tidak dibuka","–",IF(F1149="","(tanpa age group)",F1149)&amp;"  "&amp;IF(H1149="","?",H1149)&amp;"/"&amp;IF(G1149="","?",G1149)&amp;CHAR(10)&amp;IF(K1149="","coach: –","coach: "&amp;K1149))</f>
        <v>Kids  4/4
coach: Damai</v>
      </c>
    </row>
    <row r="1150" customFormat="false" ht="22.35" hidden="false" customHeight="false" outlineLevel="0" collapsed="false">
      <c r="A1150" s="76" t="str">
        <f aca="false">B1150&amp;"|"&amp;C1150&amp;"|"&amp;D1150&amp;"|"&amp;E1150</f>
        <v>PML|4|Jumat|15:30</v>
      </c>
      <c r="B1150" s="76" t="s">
        <v>65</v>
      </c>
      <c r="C1150" s="76" t="n">
        <v>4</v>
      </c>
      <c r="D1150" s="76" t="s">
        <v>94</v>
      </c>
      <c r="E1150" s="76" t="s">
        <v>119</v>
      </c>
      <c r="F1150" s="77" t="s">
        <v>210</v>
      </c>
      <c r="G1150" s="77" t="n">
        <v>4</v>
      </c>
      <c r="H1150" s="77" t="n">
        <v>4</v>
      </c>
      <c r="I1150" s="76" t="n">
        <f aca="false">IF(AND(ISNUMBER(G1150),ISNUMBER(H1150)),MAX(G1150-H1150,0),"")</f>
        <v>0</v>
      </c>
      <c r="J1150" s="78" t="n">
        <f aca="false">IF(AND(ISNUMBER(G1150),ISNUMBER(H1150)),IF(G1150&gt;0,H1150/G1150,""),"")</f>
        <v>1</v>
      </c>
      <c r="K1150" s="77" t="s">
        <v>333</v>
      </c>
      <c r="L1150" s="76" t="str">
        <f aca="false">IF(OR(G1150="",H1150=""),"Data tidak lengkap",IF(AND(G1150=0,H1150=0),IF(AND(F1150="",K1150=""),"Tidak dibuka","Tutup"),IF(H1150&gt;G1150,"Lebih kapasitas",IF(H1150=G1150,"Penuh",IF(H1150=0,IF(F1150="","Slot kosong","Belum terisi"),"Sebagian")))))</f>
        <v>Penuh</v>
      </c>
      <c r="M1150" s="79" t="str">
        <f aca="false">IF(L1150="Tidak dibuka","–",IF(F1150="","(tanpa age group)",F1150)&amp;"  "&amp;IF(H1150="","?",H1150)&amp;"/"&amp;IF(G1150="","?",G1150)&amp;CHAR(10)&amp;IF(K1150="","coach: –","coach: "&amp;K1150))</f>
        <v>Kids  4/4
coach: Zidan</v>
      </c>
    </row>
    <row r="1151" customFormat="false" ht="22.35" hidden="false" customHeight="false" outlineLevel="0" collapsed="false">
      <c r="A1151" s="76" t="str">
        <f aca="false">B1151&amp;"|"&amp;C1151&amp;"|"&amp;D1151&amp;"|"&amp;E1151</f>
        <v>PML|4|Jumat|16:15</v>
      </c>
      <c r="B1151" s="76" t="s">
        <v>65</v>
      </c>
      <c r="C1151" s="76" t="n">
        <v>4</v>
      </c>
      <c r="D1151" s="76" t="s">
        <v>94</v>
      </c>
      <c r="E1151" s="76" t="s">
        <v>120</v>
      </c>
      <c r="F1151" s="77" t="s">
        <v>210</v>
      </c>
      <c r="G1151" s="77" t="n">
        <v>4</v>
      </c>
      <c r="H1151" s="77" t="n">
        <v>4</v>
      </c>
      <c r="I1151" s="76" t="n">
        <f aca="false">IF(AND(ISNUMBER(G1151),ISNUMBER(H1151)),MAX(G1151-H1151,0),"")</f>
        <v>0</v>
      </c>
      <c r="J1151" s="78" t="n">
        <f aca="false">IF(AND(ISNUMBER(G1151),ISNUMBER(H1151)),IF(G1151&gt;0,H1151/G1151,""),"")</f>
        <v>1</v>
      </c>
      <c r="K1151" s="77" t="s">
        <v>330</v>
      </c>
      <c r="L1151" s="76" t="str">
        <f aca="false">IF(OR(G1151="",H1151=""),"Data tidak lengkap",IF(AND(G1151=0,H1151=0),IF(AND(F1151="",K1151=""),"Tidak dibuka","Tutup"),IF(H1151&gt;G1151,"Lebih kapasitas",IF(H1151=G1151,"Penuh",IF(H1151=0,IF(F1151="","Slot kosong","Belum terisi"),"Sebagian")))))</f>
        <v>Penuh</v>
      </c>
      <c r="M1151" s="79" t="str">
        <f aca="false">IF(L1151="Tidak dibuka","–",IF(F1151="","(tanpa age group)",F1151)&amp;"  "&amp;IF(H1151="","?",H1151)&amp;"/"&amp;IF(G1151="","?",G1151)&amp;CHAR(10)&amp;IF(K1151="","coach: –","coach: "&amp;K1151))</f>
        <v>Kids  4/4
coach: Indah</v>
      </c>
    </row>
    <row r="1152" customFormat="false" ht="22.35" hidden="false" customHeight="false" outlineLevel="0" collapsed="false">
      <c r="A1152" s="76" t="str">
        <f aca="false">B1152&amp;"|"&amp;C1152&amp;"|"&amp;D1152&amp;"|"&amp;E1152</f>
        <v>PML|4|Jumat|17:00</v>
      </c>
      <c r="B1152" s="76" t="s">
        <v>65</v>
      </c>
      <c r="C1152" s="76" t="n">
        <v>4</v>
      </c>
      <c r="D1152" s="76" t="s">
        <v>94</v>
      </c>
      <c r="E1152" s="76" t="s">
        <v>121</v>
      </c>
      <c r="F1152" s="77" t="s">
        <v>210</v>
      </c>
      <c r="G1152" s="77" t="n">
        <v>4</v>
      </c>
      <c r="H1152" s="77" t="n">
        <v>4</v>
      </c>
      <c r="I1152" s="76" t="n">
        <f aca="false">IF(AND(ISNUMBER(G1152),ISNUMBER(H1152)),MAX(G1152-H1152,0),"")</f>
        <v>0</v>
      </c>
      <c r="J1152" s="78" t="n">
        <f aca="false">IF(AND(ISNUMBER(G1152),ISNUMBER(H1152)),IF(G1152&gt;0,H1152/G1152,""),"")</f>
        <v>1</v>
      </c>
      <c r="K1152" s="77" t="s">
        <v>333</v>
      </c>
      <c r="L1152" s="76" t="str">
        <f aca="false">IF(OR(G1152="",H1152=""),"Data tidak lengkap",IF(AND(G1152=0,H1152=0),IF(AND(F1152="",K1152=""),"Tidak dibuka","Tutup"),IF(H1152&gt;G1152,"Lebih kapasitas",IF(H1152=G1152,"Penuh",IF(H1152=0,IF(F1152="","Slot kosong","Belum terisi"),"Sebagian")))))</f>
        <v>Penuh</v>
      </c>
      <c r="M1152" s="79" t="str">
        <f aca="false">IF(L1152="Tidak dibuka","–",IF(F1152="","(tanpa age group)",F1152)&amp;"  "&amp;IF(H1152="","?",H1152)&amp;"/"&amp;IF(G1152="","?",G1152)&amp;CHAR(10)&amp;IF(K1152="","coach: –","coach: "&amp;K1152))</f>
        <v>Kids  4/4
coach: Zidan</v>
      </c>
    </row>
    <row r="1153" customFormat="false" ht="22.35" hidden="false" customHeight="false" outlineLevel="0" collapsed="false">
      <c r="A1153" s="76" t="str">
        <f aca="false">B1153&amp;"|"&amp;C1153&amp;"|"&amp;D1153&amp;"|"&amp;E1153</f>
        <v>PML|4|Sabtu|08:00</v>
      </c>
      <c r="B1153" s="76" t="s">
        <v>65</v>
      </c>
      <c r="C1153" s="76" t="n">
        <v>4</v>
      </c>
      <c r="D1153" s="76" t="s">
        <v>95</v>
      </c>
      <c r="E1153" s="76" t="s">
        <v>110</v>
      </c>
      <c r="F1153" s="77" t="s">
        <v>210</v>
      </c>
      <c r="G1153" s="77" t="n">
        <v>0</v>
      </c>
      <c r="H1153" s="77" t="n">
        <v>0</v>
      </c>
      <c r="I1153" s="76" t="n">
        <f aca="false">IF(AND(ISNUMBER(G1153),ISNUMBER(H1153)),MAX(G1153-H1153,0),"")</f>
        <v>0</v>
      </c>
      <c r="J1153" s="78" t="str">
        <f aca="false">IF(AND(ISNUMBER(G1153),ISNUMBER(H1153)),IF(G1153&gt;0,H1153/G1153,""),"")</f>
        <v/>
      </c>
      <c r="K1153" s="77"/>
      <c r="L1153" s="76" t="str">
        <f aca="false">IF(OR(G1153="",H1153=""),"Data tidak lengkap",IF(AND(G1153=0,H1153=0),IF(AND(F1153="",K1153=""),"Tidak dibuka","Tutup"),IF(H1153&gt;G1153,"Lebih kapasitas",IF(H1153=G1153,"Penuh",IF(H1153=0,IF(F1153="","Slot kosong","Belum terisi"),"Sebagian")))))</f>
        <v>Tutup</v>
      </c>
      <c r="M1153" s="79" t="str">
        <f aca="false">IF(L1153="Tidak dibuka","–",IF(F1153="","(tanpa age group)",F1153)&amp;"  "&amp;IF(H1153="","?",H1153)&amp;"/"&amp;IF(G1153="","?",G1153)&amp;CHAR(10)&amp;IF(K1153="","coach: –","coach: "&amp;K1153))</f>
        <v>Kids  0/0
coach: –</v>
      </c>
    </row>
    <row r="1154" customFormat="false" ht="22.35" hidden="false" customHeight="false" outlineLevel="0" collapsed="false">
      <c r="A1154" s="76" t="str">
        <f aca="false">B1154&amp;"|"&amp;C1154&amp;"|"&amp;D1154&amp;"|"&amp;E1154</f>
        <v>PML|4|Sabtu|08:45</v>
      </c>
      <c r="B1154" s="76" t="s">
        <v>65</v>
      </c>
      <c r="C1154" s="76" t="n">
        <v>4</v>
      </c>
      <c r="D1154" s="76" t="s">
        <v>95</v>
      </c>
      <c r="E1154" s="76" t="s">
        <v>111</v>
      </c>
      <c r="F1154" s="77" t="s">
        <v>210</v>
      </c>
      <c r="G1154" s="77" t="n">
        <v>4</v>
      </c>
      <c r="H1154" s="77" t="n">
        <v>4</v>
      </c>
      <c r="I1154" s="76" t="n">
        <f aca="false">IF(AND(ISNUMBER(G1154),ISNUMBER(H1154)),MAX(G1154-H1154,0),"")</f>
        <v>0</v>
      </c>
      <c r="J1154" s="78" t="n">
        <f aca="false">IF(AND(ISNUMBER(G1154),ISNUMBER(H1154)),IF(G1154&gt;0,H1154/G1154,""),"")</f>
        <v>1</v>
      </c>
      <c r="K1154" s="77" t="s">
        <v>330</v>
      </c>
      <c r="L1154" s="76" t="str">
        <f aca="false">IF(OR(G1154="",H1154=""),"Data tidak lengkap",IF(AND(G1154=0,H1154=0),IF(AND(F1154="",K1154=""),"Tidak dibuka","Tutup"),IF(H1154&gt;G1154,"Lebih kapasitas",IF(H1154=G1154,"Penuh",IF(H1154=0,IF(F1154="","Slot kosong","Belum terisi"),"Sebagian")))))</f>
        <v>Penuh</v>
      </c>
      <c r="M1154" s="79" t="str">
        <f aca="false">IF(L1154="Tidak dibuka","–",IF(F1154="","(tanpa age group)",F1154)&amp;"  "&amp;IF(H1154="","?",H1154)&amp;"/"&amp;IF(G1154="","?",G1154)&amp;CHAR(10)&amp;IF(K1154="","coach: –","coach: "&amp;K1154))</f>
        <v>Kids  4/4
coach: Indah</v>
      </c>
    </row>
    <row r="1155" customFormat="false" ht="22.35" hidden="false" customHeight="false" outlineLevel="0" collapsed="false">
      <c r="A1155" s="76" t="str">
        <f aca="false">B1155&amp;"|"&amp;C1155&amp;"|"&amp;D1155&amp;"|"&amp;E1155</f>
        <v>PML|4|Sabtu|09:30</v>
      </c>
      <c r="B1155" s="76" t="s">
        <v>65</v>
      </c>
      <c r="C1155" s="76" t="n">
        <v>4</v>
      </c>
      <c r="D1155" s="76" t="s">
        <v>95</v>
      </c>
      <c r="E1155" s="76" t="s">
        <v>112</v>
      </c>
      <c r="F1155" s="77" t="s">
        <v>210</v>
      </c>
      <c r="G1155" s="77" t="n">
        <v>4</v>
      </c>
      <c r="H1155" s="77" t="n">
        <v>4</v>
      </c>
      <c r="I1155" s="76" t="n">
        <f aca="false">IF(AND(ISNUMBER(G1155),ISNUMBER(H1155)),MAX(G1155-H1155,0),"")</f>
        <v>0</v>
      </c>
      <c r="J1155" s="78" t="n">
        <f aca="false">IF(AND(ISNUMBER(G1155),ISNUMBER(H1155)),IF(G1155&gt;0,H1155/G1155,""),"")</f>
        <v>1</v>
      </c>
      <c r="K1155" s="77" t="s">
        <v>333</v>
      </c>
      <c r="L1155" s="76" t="str">
        <f aca="false">IF(OR(G1155="",H1155=""),"Data tidak lengkap",IF(AND(G1155=0,H1155=0),IF(AND(F1155="",K1155=""),"Tidak dibuka","Tutup"),IF(H1155&gt;G1155,"Lebih kapasitas",IF(H1155=G1155,"Penuh",IF(H1155=0,IF(F1155="","Slot kosong","Belum terisi"),"Sebagian")))))</f>
        <v>Penuh</v>
      </c>
      <c r="M1155" s="79" t="str">
        <f aca="false">IF(L1155="Tidak dibuka","–",IF(F1155="","(tanpa age group)",F1155)&amp;"  "&amp;IF(H1155="","?",H1155)&amp;"/"&amp;IF(G1155="","?",G1155)&amp;CHAR(10)&amp;IF(K1155="","coach: –","coach: "&amp;K1155))</f>
        <v>Kids  4/4
coach: Zidan</v>
      </c>
    </row>
    <row r="1156" customFormat="false" ht="22.35" hidden="false" customHeight="false" outlineLevel="0" collapsed="false">
      <c r="A1156" s="76" t="str">
        <f aca="false">B1156&amp;"|"&amp;C1156&amp;"|"&amp;D1156&amp;"|"&amp;E1156</f>
        <v>PML|4|Sabtu|10:15</v>
      </c>
      <c r="B1156" s="76" t="s">
        <v>65</v>
      </c>
      <c r="C1156" s="76" t="n">
        <v>4</v>
      </c>
      <c r="D1156" s="76" t="s">
        <v>95</v>
      </c>
      <c r="E1156" s="76" t="s">
        <v>113</v>
      </c>
      <c r="F1156" s="77" t="s">
        <v>210</v>
      </c>
      <c r="G1156" s="77" t="n">
        <v>4</v>
      </c>
      <c r="H1156" s="77" t="n">
        <v>4</v>
      </c>
      <c r="I1156" s="76" t="n">
        <f aca="false">IF(AND(ISNUMBER(G1156),ISNUMBER(H1156)),MAX(G1156-H1156,0),"")</f>
        <v>0</v>
      </c>
      <c r="J1156" s="78" t="n">
        <f aca="false">IF(AND(ISNUMBER(G1156),ISNUMBER(H1156)),IF(G1156&gt;0,H1156/G1156,""),"")</f>
        <v>1</v>
      </c>
      <c r="K1156" s="77" t="s">
        <v>333</v>
      </c>
      <c r="L1156" s="76" t="str">
        <f aca="false">IF(OR(G1156="",H1156=""),"Data tidak lengkap",IF(AND(G1156=0,H1156=0),IF(AND(F1156="",K1156=""),"Tidak dibuka","Tutup"),IF(H1156&gt;G1156,"Lebih kapasitas",IF(H1156=G1156,"Penuh",IF(H1156=0,IF(F1156="","Slot kosong","Belum terisi"),"Sebagian")))))</f>
        <v>Penuh</v>
      </c>
      <c r="M1156" s="79" t="str">
        <f aca="false">IF(L1156="Tidak dibuka","–",IF(F1156="","(tanpa age group)",F1156)&amp;"  "&amp;IF(H1156="","?",H1156)&amp;"/"&amp;IF(G1156="","?",G1156)&amp;CHAR(10)&amp;IF(K1156="","coach: –","coach: "&amp;K1156))</f>
        <v>Kids  4/4
coach: Zidan</v>
      </c>
    </row>
    <row r="1157" customFormat="false" ht="22.35" hidden="false" customHeight="false" outlineLevel="0" collapsed="false">
      <c r="A1157" s="76" t="str">
        <f aca="false">B1157&amp;"|"&amp;C1157&amp;"|"&amp;D1157&amp;"|"&amp;E1157</f>
        <v>PML|4|Sabtu|11:00</v>
      </c>
      <c r="B1157" s="76" t="s">
        <v>65</v>
      </c>
      <c r="C1157" s="76" t="n">
        <v>4</v>
      </c>
      <c r="D1157" s="76" t="s">
        <v>95</v>
      </c>
      <c r="E1157" s="76" t="s">
        <v>114</v>
      </c>
      <c r="F1157" s="77" t="s">
        <v>210</v>
      </c>
      <c r="G1157" s="77" t="n">
        <v>4</v>
      </c>
      <c r="H1157" s="77" t="n">
        <v>4</v>
      </c>
      <c r="I1157" s="76" t="n">
        <f aca="false">IF(AND(ISNUMBER(G1157),ISNUMBER(H1157)),MAX(G1157-H1157,0),"")</f>
        <v>0</v>
      </c>
      <c r="J1157" s="78" t="n">
        <f aca="false">IF(AND(ISNUMBER(G1157),ISNUMBER(H1157)),IF(G1157&gt;0,H1157/G1157,""),"")</f>
        <v>1</v>
      </c>
      <c r="K1157" s="77" t="s">
        <v>334</v>
      </c>
      <c r="L1157" s="76" t="str">
        <f aca="false">IF(OR(G1157="",H1157=""),"Data tidak lengkap",IF(AND(G1157=0,H1157=0),IF(AND(F1157="",K1157=""),"Tidak dibuka","Tutup"),IF(H1157&gt;G1157,"Lebih kapasitas",IF(H1157=G1157,"Penuh",IF(H1157=0,IF(F1157="","Slot kosong","Belum terisi"),"Sebagian")))))</f>
        <v>Penuh</v>
      </c>
      <c r="M1157" s="79" t="str">
        <f aca="false">IF(L1157="Tidak dibuka","–",IF(F1157="","(tanpa age group)",F1157)&amp;"  "&amp;IF(H1157="","?",H1157)&amp;"/"&amp;IF(G1157="","?",G1157)&amp;CHAR(10)&amp;IF(K1157="","coach: –","coach: "&amp;K1157))</f>
        <v>Kids  4/4
coach: Kamal</v>
      </c>
    </row>
    <row r="1158" customFormat="false" ht="22.35" hidden="false" customHeight="false" outlineLevel="0" collapsed="false">
      <c r="A1158" s="76" t="str">
        <f aca="false">B1158&amp;"|"&amp;C1158&amp;"|"&amp;D1158&amp;"|"&amp;E1158</f>
        <v>PML|4|Sabtu|11:45</v>
      </c>
      <c r="B1158" s="76" t="s">
        <v>65</v>
      </c>
      <c r="C1158" s="76" t="n">
        <v>4</v>
      </c>
      <c r="D1158" s="76" t="s">
        <v>95</v>
      </c>
      <c r="E1158" s="76" t="s">
        <v>115</v>
      </c>
      <c r="F1158" s="77" t="s">
        <v>210</v>
      </c>
      <c r="G1158" s="77" t="n">
        <v>4</v>
      </c>
      <c r="H1158" s="77" t="n">
        <v>3</v>
      </c>
      <c r="I1158" s="76" t="n">
        <f aca="false">IF(AND(ISNUMBER(G1158),ISNUMBER(H1158)),MAX(G1158-H1158,0),"")</f>
        <v>1</v>
      </c>
      <c r="J1158" s="78" t="n">
        <f aca="false">IF(AND(ISNUMBER(G1158),ISNUMBER(H1158)),IF(G1158&gt;0,H1158/G1158,""),"")</f>
        <v>0.75</v>
      </c>
      <c r="K1158" s="77" t="s">
        <v>334</v>
      </c>
      <c r="L1158" s="76" t="str">
        <f aca="false">IF(OR(G1158="",H1158=""),"Data tidak lengkap",IF(AND(G1158=0,H1158=0),IF(AND(F1158="",K1158=""),"Tidak dibuka","Tutup"),IF(H1158&gt;G1158,"Lebih kapasitas",IF(H1158=G1158,"Penuh",IF(H1158=0,IF(F1158="","Slot kosong","Belum terisi"),"Sebagian")))))</f>
        <v>Sebagian</v>
      </c>
      <c r="M1158" s="79" t="str">
        <f aca="false">IF(L1158="Tidak dibuka","–",IF(F1158="","(tanpa age group)",F1158)&amp;"  "&amp;IF(H1158="","?",H1158)&amp;"/"&amp;IF(G1158="","?",G1158)&amp;CHAR(10)&amp;IF(K1158="","coach: –","coach: "&amp;K1158))</f>
        <v>Kids  3/4
coach: Kamal</v>
      </c>
    </row>
    <row r="1159" customFormat="false" ht="22.35" hidden="false" customHeight="false" outlineLevel="0" collapsed="false">
      <c r="A1159" s="76" t="str">
        <f aca="false">B1159&amp;"|"&amp;C1159&amp;"|"&amp;D1159&amp;"|"&amp;E1159</f>
        <v>PML|4|Sabtu|13:15</v>
      </c>
      <c r="B1159" s="76" t="s">
        <v>65</v>
      </c>
      <c r="C1159" s="76" t="n">
        <v>4</v>
      </c>
      <c r="D1159" s="76" t="s">
        <v>95</v>
      </c>
      <c r="E1159" s="76" t="s">
        <v>116</v>
      </c>
      <c r="F1159" s="77" t="s">
        <v>210</v>
      </c>
      <c r="G1159" s="77" t="n">
        <v>4</v>
      </c>
      <c r="H1159" s="77" t="n">
        <v>0</v>
      </c>
      <c r="I1159" s="76" t="n">
        <f aca="false">IF(AND(ISNUMBER(G1159),ISNUMBER(H1159)),MAX(G1159-H1159,0),"")</f>
        <v>4</v>
      </c>
      <c r="J1159" s="78" t="n">
        <f aca="false">IF(AND(ISNUMBER(G1159),ISNUMBER(H1159)),IF(G1159&gt;0,H1159/G1159,""),"")</f>
        <v>0</v>
      </c>
      <c r="K1159" s="77"/>
      <c r="L1159" s="76" t="str">
        <f aca="false">IF(OR(G1159="",H1159=""),"Data tidak lengkap",IF(AND(G1159=0,H1159=0),IF(AND(F1159="",K1159=""),"Tidak dibuka","Tutup"),IF(H1159&gt;G1159,"Lebih kapasitas",IF(H1159=G1159,"Penuh",IF(H1159=0,IF(F1159="","Slot kosong","Belum terisi"),"Sebagian")))))</f>
        <v>Belum terisi</v>
      </c>
      <c r="M1159" s="79" t="str">
        <f aca="false">IF(L1159="Tidak dibuka","–",IF(F1159="","(tanpa age group)",F1159)&amp;"  "&amp;IF(H1159="","?",H1159)&amp;"/"&amp;IF(G1159="","?",G1159)&amp;CHAR(10)&amp;IF(K1159="","coach: –","coach: "&amp;K1159))</f>
        <v>Kids  0/4
coach: –</v>
      </c>
    </row>
    <row r="1160" customFormat="false" ht="22.35" hidden="false" customHeight="false" outlineLevel="0" collapsed="false">
      <c r="A1160" s="76" t="str">
        <f aca="false">B1160&amp;"|"&amp;C1160&amp;"|"&amp;D1160&amp;"|"&amp;E1160</f>
        <v>PML|4|Sabtu|14:00</v>
      </c>
      <c r="B1160" s="76" t="s">
        <v>65</v>
      </c>
      <c r="C1160" s="76" t="n">
        <v>4</v>
      </c>
      <c r="D1160" s="76" t="s">
        <v>95</v>
      </c>
      <c r="E1160" s="76" t="s">
        <v>117</v>
      </c>
      <c r="F1160" s="77" t="s">
        <v>210</v>
      </c>
      <c r="G1160" s="77" t="n">
        <v>4</v>
      </c>
      <c r="H1160" s="77" t="n">
        <v>4</v>
      </c>
      <c r="I1160" s="76" t="n">
        <f aca="false">IF(AND(ISNUMBER(G1160),ISNUMBER(H1160)),MAX(G1160-H1160,0),"")</f>
        <v>0</v>
      </c>
      <c r="J1160" s="78" t="n">
        <f aca="false">IF(AND(ISNUMBER(G1160),ISNUMBER(H1160)),IF(G1160&gt;0,H1160/G1160,""),"")</f>
        <v>1</v>
      </c>
      <c r="K1160" s="77" t="s">
        <v>330</v>
      </c>
      <c r="L1160" s="76" t="str">
        <f aca="false">IF(OR(G1160="",H1160=""),"Data tidak lengkap",IF(AND(G1160=0,H1160=0),IF(AND(F1160="",K1160=""),"Tidak dibuka","Tutup"),IF(H1160&gt;G1160,"Lebih kapasitas",IF(H1160=G1160,"Penuh",IF(H1160=0,IF(F1160="","Slot kosong","Belum terisi"),"Sebagian")))))</f>
        <v>Penuh</v>
      </c>
      <c r="M1160" s="79" t="str">
        <f aca="false">IF(L1160="Tidak dibuka","–",IF(F1160="","(tanpa age group)",F1160)&amp;"  "&amp;IF(H1160="","?",H1160)&amp;"/"&amp;IF(G1160="","?",G1160)&amp;CHAR(10)&amp;IF(K1160="","coach: –","coach: "&amp;K1160))</f>
        <v>Kids  4/4
coach: Indah</v>
      </c>
    </row>
    <row r="1161" customFormat="false" ht="22.35" hidden="false" customHeight="false" outlineLevel="0" collapsed="false">
      <c r="A1161" s="76" t="str">
        <f aca="false">B1161&amp;"|"&amp;C1161&amp;"|"&amp;D1161&amp;"|"&amp;E1161</f>
        <v>PML|4|Sabtu|14:45</v>
      </c>
      <c r="B1161" s="76" t="s">
        <v>65</v>
      </c>
      <c r="C1161" s="76" t="n">
        <v>4</v>
      </c>
      <c r="D1161" s="76" t="s">
        <v>95</v>
      </c>
      <c r="E1161" s="76" t="s">
        <v>118</v>
      </c>
      <c r="F1161" s="77" t="s">
        <v>210</v>
      </c>
      <c r="G1161" s="77" t="n">
        <v>4</v>
      </c>
      <c r="H1161" s="77" t="n">
        <v>3</v>
      </c>
      <c r="I1161" s="76" t="n">
        <f aca="false">IF(AND(ISNUMBER(G1161),ISNUMBER(H1161)),MAX(G1161-H1161,0),"")</f>
        <v>1</v>
      </c>
      <c r="J1161" s="78" t="n">
        <f aca="false">IF(AND(ISNUMBER(G1161),ISNUMBER(H1161)),IF(G1161&gt;0,H1161/G1161,""),"")</f>
        <v>0.75</v>
      </c>
      <c r="K1161" s="77" t="s">
        <v>333</v>
      </c>
      <c r="L1161" s="76" t="str">
        <f aca="false">IF(OR(G1161="",H1161=""),"Data tidak lengkap",IF(AND(G1161=0,H1161=0),IF(AND(F1161="",K1161=""),"Tidak dibuka","Tutup"),IF(H1161&gt;G1161,"Lebih kapasitas",IF(H1161=G1161,"Penuh",IF(H1161=0,IF(F1161="","Slot kosong","Belum terisi"),"Sebagian")))))</f>
        <v>Sebagian</v>
      </c>
      <c r="M1161" s="79" t="str">
        <f aca="false">IF(L1161="Tidak dibuka","–",IF(F1161="","(tanpa age group)",F1161)&amp;"  "&amp;IF(H1161="","?",H1161)&amp;"/"&amp;IF(G1161="","?",G1161)&amp;CHAR(10)&amp;IF(K1161="","coach: –","coach: "&amp;K1161))</f>
        <v>Kids  3/4
coach: Zidan</v>
      </c>
    </row>
    <row r="1162" customFormat="false" ht="22.35" hidden="false" customHeight="false" outlineLevel="0" collapsed="false">
      <c r="A1162" s="76" t="str">
        <f aca="false">B1162&amp;"|"&amp;C1162&amp;"|"&amp;D1162&amp;"|"&amp;E1162</f>
        <v>PML|4|Sabtu|15:30</v>
      </c>
      <c r="B1162" s="76" t="s">
        <v>65</v>
      </c>
      <c r="C1162" s="76" t="n">
        <v>4</v>
      </c>
      <c r="D1162" s="76" t="s">
        <v>95</v>
      </c>
      <c r="E1162" s="76" t="s">
        <v>119</v>
      </c>
      <c r="F1162" s="77" t="s">
        <v>210</v>
      </c>
      <c r="G1162" s="77" t="n">
        <v>4</v>
      </c>
      <c r="H1162" s="77" t="n">
        <v>4</v>
      </c>
      <c r="I1162" s="76" t="n">
        <f aca="false">IF(AND(ISNUMBER(G1162),ISNUMBER(H1162)),MAX(G1162-H1162,0),"")</f>
        <v>0</v>
      </c>
      <c r="J1162" s="78" t="n">
        <f aca="false">IF(AND(ISNUMBER(G1162),ISNUMBER(H1162)),IF(G1162&gt;0,H1162/G1162,""),"")</f>
        <v>1</v>
      </c>
      <c r="K1162" s="77" t="s">
        <v>331</v>
      </c>
      <c r="L1162" s="76" t="str">
        <f aca="false">IF(OR(G1162="",H1162=""),"Data tidak lengkap",IF(AND(G1162=0,H1162=0),IF(AND(F1162="",K1162=""),"Tidak dibuka","Tutup"),IF(H1162&gt;G1162,"Lebih kapasitas",IF(H1162=G1162,"Penuh",IF(H1162=0,IF(F1162="","Slot kosong","Belum terisi"),"Sebagian")))))</f>
        <v>Penuh</v>
      </c>
      <c r="M1162" s="79" t="str">
        <f aca="false">IF(L1162="Tidak dibuka","–",IF(F1162="","(tanpa age group)",F1162)&amp;"  "&amp;IF(H1162="","?",H1162)&amp;"/"&amp;IF(G1162="","?",G1162)&amp;CHAR(10)&amp;IF(K1162="","coach: –","coach: "&amp;K1162))</f>
        <v>Kids  4/4
coach: Damai</v>
      </c>
    </row>
    <row r="1163" customFormat="false" ht="22.35" hidden="false" customHeight="false" outlineLevel="0" collapsed="false">
      <c r="A1163" s="76" t="str">
        <f aca="false">B1163&amp;"|"&amp;C1163&amp;"|"&amp;D1163&amp;"|"&amp;E1163</f>
        <v>PML|4|Sabtu|16:15</v>
      </c>
      <c r="B1163" s="76" t="s">
        <v>65</v>
      </c>
      <c r="C1163" s="76" t="n">
        <v>4</v>
      </c>
      <c r="D1163" s="76" t="s">
        <v>95</v>
      </c>
      <c r="E1163" s="76" t="s">
        <v>120</v>
      </c>
      <c r="F1163" s="77" t="s">
        <v>210</v>
      </c>
      <c r="G1163" s="77" t="n">
        <v>4</v>
      </c>
      <c r="H1163" s="77" t="n">
        <v>4</v>
      </c>
      <c r="I1163" s="76" t="n">
        <f aca="false">IF(AND(ISNUMBER(G1163),ISNUMBER(H1163)),MAX(G1163-H1163,0),"")</f>
        <v>0</v>
      </c>
      <c r="J1163" s="78" t="n">
        <f aca="false">IF(AND(ISNUMBER(G1163),ISNUMBER(H1163)),IF(G1163&gt;0,H1163/G1163,""),"")</f>
        <v>1</v>
      </c>
      <c r="K1163" s="77" t="s">
        <v>336</v>
      </c>
      <c r="L1163" s="76" t="str">
        <f aca="false">IF(OR(G1163="",H1163=""),"Data tidak lengkap",IF(AND(G1163=0,H1163=0),IF(AND(F1163="",K1163=""),"Tidak dibuka","Tutup"),IF(H1163&gt;G1163,"Lebih kapasitas",IF(H1163=G1163,"Penuh",IF(H1163=0,IF(F1163="","Slot kosong","Belum terisi"),"Sebagian")))))</f>
        <v>Penuh</v>
      </c>
      <c r="M1163" s="79" t="str">
        <f aca="false">IF(L1163="Tidak dibuka","–",IF(F1163="","(tanpa age group)",F1163)&amp;"  "&amp;IF(H1163="","?",H1163)&amp;"/"&amp;IF(G1163="","?",G1163)&amp;CHAR(10)&amp;IF(K1163="","coach: –","coach: "&amp;K1163))</f>
        <v>Kids  4/4
coach: Laksamana</v>
      </c>
    </row>
    <row r="1164" customFormat="false" ht="22.35" hidden="false" customHeight="false" outlineLevel="0" collapsed="false">
      <c r="A1164" s="76" t="str">
        <f aca="false">B1164&amp;"|"&amp;C1164&amp;"|"&amp;D1164&amp;"|"&amp;E1164</f>
        <v>PML|4|Sabtu|17:00</v>
      </c>
      <c r="B1164" s="76" t="s">
        <v>65</v>
      </c>
      <c r="C1164" s="76" t="n">
        <v>4</v>
      </c>
      <c r="D1164" s="76" t="s">
        <v>95</v>
      </c>
      <c r="E1164" s="76" t="s">
        <v>121</v>
      </c>
      <c r="F1164" s="77" t="s">
        <v>210</v>
      </c>
      <c r="G1164" s="77" t="n">
        <v>4</v>
      </c>
      <c r="H1164" s="77" t="n">
        <v>4</v>
      </c>
      <c r="I1164" s="76" t="n">
        <f aca="false">IF(AND(ISNUMBER(G1164),ISNUMBER(H1164)),MAX(G1164-H1164,0),"")</f>
        <v>0</v>
      </c>
      <c r="J1164" s="78" t="n">
        <f aca="false">IF(AND(ISNUMBER(G1164),ISNUMBER(H1164)),IF(G1164&gt;0,H1164/G1164,""),"")</f>
        <v>1</v>
      </c>
      <c r="K1164" s="77" t="s">
        <v>331</v>
      </c>
      <c r="L1164" s="76" t="str">
        <f aca="false">IF(OR(G1164="",H1164=""),"Data tidak lengkap",IF(AND(G1164=0,H1164=0),IF(AND(F1164="",K1164=""),"Tidak dibuka","Tutup"),IF(H1164&gt;G1164,"Lebih kapasitas",IF(H1164=G1164,"Penuh",IF(H1164=0,IF(F1164="","Slot kosong","Belum terisi"),"Sebagian")))))</f>
        <v>Penuh</v>
      </c>
      <c r="M1164" s="79" t="str">
        <f aca="false">IF(L1164="Tidak dibuka","–",IF(F1164="","(tanpa age group)",F1164)&amp;"  "&amp;IF(H1164="","?",H1164)&amp;"/"&amp;IF(G1164="","?",G1164)&amp;CHAR(10)&amp;IF(K1164="","coach: –","coach: "&amp;K1164))</f>
        <v>Kids  4/4
coach: Damai</v>
      </c>
    </row>
    <row r="1165" customFormat="false" ht="22.35" hidden="false" customHeight="false" outlineLevel="0" collapsed="false">
      <c r="A1165" s="76" t="str">
        <f aca="false">B1165&amp;"|"&amp;C1165&amp;"|"&amp;D1165&amp;"|"&amp;E1165</f>
        <v>PML|4|Minggu|08:00</v>
      </c>
      <c r="B1165" s="76" t="s">
        <v>65</v>
      </c>
      <c r="C1165" s="76" t="n">
        <v>4</v>
      </c>
      <c r="D1165" s="76" t="s">
        <v>78</v>
      </c>
      <c r="E1165" s="76" t="s">
        <v>110</v>
      </c>
      <c r="F1165" s="77" t="s">
        <v>210</v>
      </c>
      <c r="G1165" s="77" t="n">
        <v>0</v>
      </c>
      <c r="H1165" s="77" t="n">
        <v>0</v>
      </c>
      <c r="I1165" s="76" t="n">
        <f aca="false">IF(AND(ISNUMBER(G1165),ISNUMBER(H1165)),MAX(G1165-H1165,0),"")</f>
        <v>0</v>
      </c>
      <c r="J1165" s="78" t="str">
        <f aca="false">IF(AND(ISNUMBER(G1165),ISNUMBER(H1165)),IF(G1165&gt;0,H1165/G1165,""),"")</f>
        <v/>
      </c>
      <c r="K1165" s="77"/>
      <c r="L1165" s="76" t="str">
        <f aca="false">IF(OR(G1165="",H1165=""),"Data tidak lengkap",IF(AND(G1165=0,H1165=0),IF(AND(F1165="",K1165=""),"Tidak dibuka","Tutup"),IF(H1165&gt;G1165,"Lebih kapasitas",IF(H1165=G1165,"Penuh",IF(H1165=0,IF(F1165="","Slot kosong","Belum terisi"),"Sebagian")))))</f>
        <v>Tutup</v>
      </c>
      <c r="M1165" s="79" t="str">
        <f aca="false">IF(L1165="Tidak dibuka","–",IF(F1165="","(tanpa age group)",F1165)&amp;"  "&amp;IF(H1165="","?",H1165)&amp;"/"&amp;IF(G1165="","?",G1165)&amp;CHAR(10)&amp;IF(K1165="","coach: –","coach: "&amp;K1165))</f>
        <v>Kids  0/0
coach: –</v>
      </c>
    </row>
    <row r="1166" customFormat="false" ht="22.35" hidden="false" customHeight="false" outlineLevel="0" collapsed="false">
      <c r="A1166" s="76" t="str">
        <f aca="false">B1166&amp;"|"&amp;C1166&amp;"|"&amp;D1166&amp;"|"&amp;E1166</f>
        <v>PML|4|Minggu|08:45</v>
      </c>
      <c r="B1166" s="76" t="s">
        <v>65</v>
      </c>
      <c r="C1166" s="76" t="n">
        <v>4</v>
      </c>
      <c r="D1166" s="76" t="s">
        <v>78</v>
      </c>
      <c r="E1166" s="76" t="s">
        <v>111</v>
      </c>
      <c r="F1166" s="77" t="s">
        <v>210</v>
      </c>
      <c r="G1166" s="77" t="n">
        <v>4</v>
      </c>
      <c r="H1166" s="77" t="n">
        <v>4</v>
      </c>
      <c r="I1166" s="76" t="n">
        <f aca="false">IF(AND(ISNUMBER(G1166),ISNUMBER(H1166)),MAX(G1166-H1166,0),"")</f>
        <v>0</v>
      </c>
      <c r="J1166" s="78" t="n">
        <f aca="false">IF(AND(ISNUMBER(G1166),ISNUMBER(H1166)),IF(G1166&gt;0,H1166/G1166,""),"")</f>
        <v>1</v>
      </c>
      <c r="K1166" s="77" t="s">
        <v>334</v>
      </c>
      <c r="L1166" s="76" t="str">
        <f aca="false">IF(OR(G1166="",H1166=""),"Data tidak lengkap",IF(AND(G1166=0,H1166=0),IF(AND(F1166="",K1166=""),"Tidak dibuka","Tutup"),IF(H1166&gt;G1166,"Lebih kapasitas",IF(H1166=G1166,"Penuh",IF(H1166=0,IF(F1166="","Slot kosong","Belum terisi"),"Sebagian")))))</f>
        <v>Penuh</v>
      </c>
      <c r="M1166" s="79" t="str">
        <f aca="false">IF(L1166="Tidak dibuka","–",IF(F1166="","(tanpa age group)",F1166)&amp;"  "&amp;IF(H1166="","?",H1166)&amp;"/"&amp;IF(G1166="","?",G1166)&amp;CHAR(10)&amp;IF(K1166="","coach: –","coach: "&amp;K1166))</f>
        <v>Kids  4/4
coach: Kamal</v>
      </c>
    </row>
    <row r="1167" customFormat="false" ht="22.35" hidden="false" customHeight="false" outlineLevel="0" collapsed="false">
      <c r="A1167" s="76" t="str">
        <f aca="false">B1167&amp;"|"&amp;C1167&amp;"|"&amp;D1167&amp;"|"&amp;E1167</f>
        <v>PML|4|Minggu|09:30</v>
      </c>
      <c r="B1167" s="76" t="s">
        <v>65</v>
      </c>
      <c r="C1167" s="76" t="n">
        <v>4</v>
      </c>
      <c r="D1167" s="76" t="s">
        <v>78</v>
      </c>
      <c r="E1167" s="76" t="s">
        <v>112</v>
      </c>
      <c r="F1167" s="77" t="s">
        <v>210</v>
      </c>
      <c r="G1167" s="77" t="n">
        <v>4</v>
      </c>
      <c r="H1167" s="77" t="n">
        <v>4</v>
      </c>
      <c r="I1167" s="76" t="n">
        <f aca="false">IF(AND(ISNUMBER(G1167),ISNUMBER(H1167)),MAX(G1167-H1167,0),"")</f>
        <v>0</v>
      </c>
      <c r="J1167" s="78" t="n">
        <f aca="false">IF(AND(ISNUMBER(G1167),ISNUMBER(H1167)),IF(G1167&gt;0,H1167/G1167,""),"")</f>
        <v>1</v>
      </c>
      <c r="K1167" s="77" t="s">
        <v>334</v>
      </c>
      <c r="L1167" s="76" t="str">
        <f aca="false">IF(OR(G1167="",H1167=""),"Data tidak lengkap",IF(AND(G1167=0,H1167=0),IF(AND(F1167="",K1167=""),"Tidak dibuka","Tutup"),IF(H1167&gt;G1167,"Lebih kapasitas",IF(H1167=G1167,"Penuh",IF(H1167=0,IF(F1167="","Slot kosong","Belum terisi"),"Sebagian")))))</f>
        <v>Penuh</v>
      </c>
      <c r="M1167" s="79" t="str">
        <f aca="false">IF(L1167="Tidak dibuka","–",IF(F1167="","(tanpa age group)",F1167)&amp;"  "&amp;IF(H1167="","?",H1167)&amp;"/"&amp;IF(G1167="","?",G1167)&amp;CHAR(10)&amp;IF(K1167="","coach: –","coach: "&amp;K1167))</f>
        <v>Kids  4/4
coach: Kamal</v>
      </c>
    </row>
    <row r="1168" customFormat="false" ht="22.35" hidden="false" customHeight="false" outlineLevel="0" collapsed="false">
      <c r="A1168" s="76" t="str">
        <f aca="false">B1168&amp;"|"&amp;C1168&amp;"|"&amp;D1168&amp;"|"&amp;E1168</f>
        <v>PML|4|Minggu|10:15</v>
      </c>
      <c r="B1168" s="76" t="s">
        <v>65</v>
      </c>
      <c r="C1168" s="76" t="n">
        <v>4</v>
      </c>
      <c r="D1168" s="76" t="s">
        <v>78</v>
      </c>
      <c r="E1168" s="76" t="s">
        <v>113</v>
      </c>
      <c r="F1168" s="77" t="s">
        <v>210</v>
      </c>
      <c r="G1168" s="77" t="n">
        <v>4</v>
      </c>
      <c r="H1168" s="77" t="n">
        <v>4</v>
      </c>
      <c r="I1168" s="76" t="n">
        <f aca="false">IF(AND(ISNUMBER(G1168),ISNUMBER(H1168)),MAX(G1168-H1168,0),"")</f>
        <v>0</v>
      </c>
      <c r="J1168" s="78" t="n">
        <f aca="false">IF(AND(ISNUMBER(G1168),ISNUMBER(H1168)),IF(G1168&gt;0,H1168/G1168,""),"")</f>
        <v>1</v>
      </c>
      <c r="K1168" s="77" t="s">
        <v>335</v>
      </c>
      <c r="L1168" s="76" t="str">
        <f aca="false">IF(OR(G1168="",H1168=""),"Data tidak lengkap",IF(AND(G1168=0,H1168=0),IF(AND(F1168="",K1168=""),"Tidak dibuka","Tutup"),IF(H1168&gt;G1168,"Lebih kapasitas",IF(H1168=G1168,"Penuh",IF(H1168=0,IF(F1168="","Slot kosong","Belum terisi"),"Sebagian")))))</f>
        <v>Penuh</v>
      </c>
      <c r="M1168" s="79" t="str">
        <f aca="false">IF(L1168="Tidak dibuka","–",IF(F1168="","(tanpa age group)",F1168)&amp;"  "&amp;IF(H1168="","?",H1168)&amp;"/"&amp;IF(G1168="","?",G1168)&amp;CHAR(10)&amp;IF(K1168="","coach: –","coach: "&amp;K1168))</f>
        <v>Kids  4/4
coach: Shofwan</v>
      </c>
    </row>
    <row r="1169" customFormat="false" ht="22.35" hidden="false" customHeight="false" outlineLevel="0" collapsed="false">
      <c r="A1169" s="76" t="str">
        <f aca="false">B1169&amp;"|"&amp;C1169&amp;"|"&amp;D1169&amp;"|"&amp;E1169</f>
        <v>PML|4|Minggu|11:00</v>
      </c>
      <c r="B1169" s="76" t="s">
        <v>65</v>
      </c>
      <c r="C1169" s="76" t="n">
        <v>4</v>
      </c>
      <c r="D1169" s="76" t="s">
        <v>78</v>
      </c>
      <c r="E1169" s="76" t="s">
        <v>114</v>
      </c>
      <c r="F1169" s="77" t="s">
        <v>210</v>
      </c>
      <c r="G1169" s="77" t="n">
        <v>4</v>
      </c>
      <c r="H1169" s="77" t="n">
        <v>0</v>
      </c>
      <c r="I1169" s="76" t="n">
        <f aca="false">IF(AND(ISNUMBER(G1169),ISNUMBER(H1169)),MAX(G1169-H1169,0),"")</f>
        <v>4</v>
      </c>
      <c r="J1169" s="78" t="n">
        <f aca="false">IF(AND(ISNUMBER(G1169),ISNUMBER(H1169)),IF(G1169&gt;0,H1169/G1169,""),"")</f>
        <v>0</v>
      </c>
      <c r="K1169" s="77"/>
      <c r="L1169" s="76" t="str">
        <f aca="false">IF(OR(G1169="",H1169=""),"Data tidak lengkap",IF(AND(G1169=0,H1169=0),IF(AND(F1169="",K1169=""),"Tidak dibuka","Tutup"),IF(H1169&gt;G1169,"Lebih kapasitas",IF(H1169=G1169,"Penuh",IF(H1169=0,IF(F1169="","Slot kosong","Belum terisi"),"Sebagian")))))</f>
        <v>Belum terisi</v>
      </c>
      <c r="M1169" s="79" t="str">
        <f aca="false">IF(L1169="Tidak dibuka","–",IF(F1169="","(tanpa age group)",F1169)&amp;"  "&amp;IF(H1169="","?",H1169)&amp;"/"&amp;IF(G1169="","?",G1169)&amp;CHAR(10)&amp;IF(K1169="","coach: –","coach: "&amp;K1169))</f>
        <v>Kids  0/4
coach: –</v>
      </c>
    </row>
    <row r="1170" customFormat="false" ht="22.35" hidden="false" customHeight="false" outlineLevel="0" collapsed="false">
      <c r="A1170" s="76" t="str">
        <f aca="false">B1170&amp;"|"&amp;C1170&amp;"|"&amp;D1170&amp;"|"&amp;E1170</f>
        <v>PML|4|Minggu|11:45</v>
      </c>
      <c r="B1170" s="76" t="s">
        <v>65</v>
      </c>
      <c r="C1170" s="76" t="n">
        <v>4</v>
      </c>
      <c r="D1170" s="76" t="s">
        <v>78</v>
      </c>
      <c r="E1170" s="76" t="s">
        <v>115</v>
      </c>
      <c r="F1170" s="77" t="s">
        <v>210</v>
      </c>
      <c r="G1170" s="77" t="n">
        <v>4</v>
      </c>
      <c r="H1170" s="77" t="n">
        <v>3</v>
      </c>
      <c r="I1170" s="76" t="n">
        <f aca="false">IF(AND(ISNUMBER(G1170),ISNUMBER(H1170)),MAX(G1170-H1170,0),"")</f>
        <v>1</v>
      </c>
      <c r="J1170" s="78" t="n">
        <f aca="false">IF(AND(ISNUMBER(G1170),ISNUMBER(H1170)),IF(G1170&gt;0,H1170/G1170,""),"")</f>
        <v>0.75</v>
      </c>
      <c r="K1170" s="77" t="s">
        <v>333</v>
      </c>
      <c r="L1170" s="76" t="str">
        <f aca="false">IF(OR(G1170="",H1170=""),"Data tidak lengkap",IF(AND(G1170=0,H1170=0),IF(AND(F1170="",K1170=""),"Tidak dibuka","Tutup"),IF(H1170&gt;G1170,"Lebih kapasitas",IF(H1170=G1170,"Penuh",IF(H1170=0,IF(F1170="","Slot kosong","Belum terisi"),"Sebagian")))))</f>
        <v>Sebagian</v>
      </c>
      <c r="M1170" s="79" t="str">
        <f aca="false">IF(L1170="Tidak dibuka","–",IF(F1170="","(tanpa age group)",F1170)&amp;"  "&amp;IF(H1170="","?",H1170)&amp;"/"&amp;IF(G1170="","?",G1170)&amp;CHAR(10)&amp;IF(K1170="","coach: –","coach: "&amp;K1170))</f>
        <v>Kids  3/4
coach: Zidan</v>
      </c>
    </row>
    <row r="1171" customFormat="false" ht="22.35" hidden="false" customHeight="false" outlineLevel="0" collapsed="false">
      <c r="A1171" s="76" t="str">
        <f aca="false">B1171&amp;"|"&amp;C1171&amp;"|"&amp;D1171&amp;"|"&amp;E1171</f>
        <v>PML|4|Minggu|13:15</v>
      </c>
      <c r="B1171" s="76" t="s">
        <v>65</v>
      </c>
      <c r="C1171" s="76" t="n">
        <v>4</v>
      </c>
      <c r="D1171" s="76" t="s">
        <v>78</v>
      </c>
      <c r="E1171" s="76" t="s">
        <v>116</v>
      </c>
      <c r="F1171" s="77" t="s">
        <v>210</v>
      </c>
      <c r="G1171" s="77" t="n">
        <v>4</v>
      </c>
      <c r="H1171" s="77" t="n">
        <v>4</v>
      </c>
      <c r="I1171" s="76" t="n">
        <f aca="false">IF(AND(ISNUMBER(G1171),ISNUMBER(H1171)),MAX(G1171-H1171,0),"")</f>
        <v>0</v>
      </c>
      <c r="J1171" s="78" t="n">
        <f aca="false">IF(AND(ISNUMBER(G1171),ISNUMBER(H1171)),IF(G1171&gt;0,H1171/G1171,""),"")</f>
        <v>1</v>
      </c>
      <c r="K1171" s="77" t="s">
        <v>330</v>
      </c>
      <c r="L1171" s="76" t="str">
        <f aca="false">IF(OR(G1171="",H1171=""),"Data tidak lengkap",IF(AND(G1171=0,H1171=0),IF(AND(F1171="",K1171=""),"Tidak dibuka","Tutup"),IF(H1171&gt;G1171,"Lebih kapasitas",IF(H1171=G1171,"Penuh",IF(H1171=0,IF(F1171="","Slot kosong","Belum terisi"),"Sebagian")))))</f>
        <v>Penuh</v>
      </c>
      <c r="M1171" s="79" t="str">
        <f aca="false">IF(L1171="Tidak dibuka","–",IF(F1171="","(tanpa age group)",F1171)&amp;"  "&amp;IF(H1171="","?",H1171)&amp;"/"&amp;IF(G1171="","?",G1171)&amp;CHAR(10)&amp;IF(K1171="","coach: –","coach: "&amp;K1171))</f>
        <v>Kids  4/4
coach: Indah</v>
      </c>
    </row>
    <row r="1172" customFormat="false" ht="22.35" hidden="false" customHeight="false" outlineLevel="0" collapsed="false">
      <c r="A1172" s="76" t="str">
        <f aca="false">B1172&amp;"|"&amp;C1172&amp;"|"&amp;D1172&amp;"|"&amp;E1172</f>
        <v>PML|4|Minggu|14:00</v>
      </c>
      <c r="B1172" s="76" t="s">
        <v>65</v>
      </c>
      <c r="C1172" s="76" t="n">
        <v>4</v>
      </c>
      <c r="D1172" s="76" t="s">
        <v>78</v>
      </c>
      <c r="E1172" s="76" t="s">
        <v>117</v>
      </c>
      <c r="F1172" s="77" t="s">
        <v>210</v>
      </c>
      <c r="G1172" s="77" t="n">
        <v>4</v>
      </c>
      <c r="H1172" s="77" t="n">
        <v>3</v>
      </c>
      <c r="I1172" s="76" t="n">
        <f aca="false">IF(AND(ISNUMBER(G1172),ISNUMBER(H1172)),MAX(G1172-H1172,0),"")</f>
        <v>1</v>
      </c>
      <c r="J1172" s="78" t="n">
        <f aca="false">IF(AND(ISNUMBER(G1172),ISNUMBER(H1172)),IF(G1172&gt;0,H1172/G1172,""),"")</f>
        <v>0.75</v>
      </c>
      <c r="K1172" s="77" t="s">
        <v>331</v>
      </c>
      <c r="L1172" s="76" t="str">
        <f aca="false">IF(OR(G1172="",H1172=""),"Data tidak lengkap",IF(AND(G1172=0,H1172=0),IF(AND(F1172="",K1172=""),"Tidak dibuka","Tutup"),IF(H1172&gt;G1172,"Lebih kapasitas",IF(H1172=G1172,"Penuh",IF(H1172=0,IF(F1172="","Slot kosong","Belum terisi"),"Sebagian")))))</f>
        <v>Sebagian</v>
      </c>
      <c r="M1172" s="79" t="str">
        <f aca="false">IF(L1172="Tidak dibuka","–",IF(F1172="","(tanpa age group)",F1172)&amp;"  "&amp;IF(H1172="","?",H1172)&amp;"/"&amp;IF(G1172="","?",G1172)&amp;CHAR(10)&amp;IF(K1172="","coach: –","coach: "&amp;K1172))</f>
        <v>Kids  3/4
coach: Damai</v>
      </c>
    </row>
    <row r="1173" customFormat="false" ht="22.35" hidden="false" customHeight="false" outlineLevel="0" collapsed="false">
      <c r="A1173" s="76" t="str">
        <f aca="false">B1173&amp;"|"&amp;C1173&amp;"|"&amp;D1173&amp;"|"&amp;E1173</f>
        <v>PML|4|Minggu|14:45</v>
      </c>
      <c r="B1173" s="76" t="s">
        <v>65</v>
      </c>
      <c r="C1173" s="76" t="n">
        <v>4</v>
      </c>
      <c r="D1173" s="76" t="s">
        <v>78</v>
      </c>
      <c r="E1173" s="76" t="s">
        <v>118</v>
      </c>
      <c r="F1173" s="77" t="s">
        <v>210</v>
      </c>
      <c r="G1173" s="77" t="n">
        <v>4</v>
      </c>
      <c r="H1173" s="77" t="n">
        <v>4</v>
      </c>
      <c r="I1173" s="76" t="n">
        <f aca="false">IF(AND(ISNUMBER(G1173),ISNUMBER(H1173)),MAX(G1173-H1173,0),"")</f>
        <v>0</v>
      </c>
      <c r="J1173" s="78" t="n">
        <f aca="false">IF(AND(ISNUMBER(G1173),ISNUMBER(H1173)),IF(G1173&gt;0,H1173/G1173,""),"")</f>
        <v>1</v>
      </c>
      <c r="K1173" s="77" t="s">
        <v>334</v>
      </c>
      <c r="L1173" s="76" t="str">
        <f aca="false">IF(OR(G1173="",H1173=""),"Data tidak lengkap",IF(AND(G1173=0,H1173=0),IF(AND(F1173="",K1173=""),"Tidak dibuka","Tutup"),IF(H1173&gt;G1173,"Lebih kapasitas",IF(H1173=G1173,"Penuh",IF(H1173=0,IF(F1173="","Slot kosong","Belum terisi"),"Sebagian")))))</f>
        <v>Penuh</v>
      </c>
      <c r="M1173" s="79" t="str">
        <f aca="false">IF(L1173="Tidak dibuka","–",IF(F1173="","(tanpa age group)",F1173)&amp;"  "&amp;IF(H1173="","?",H1173)&amp;"/"&amp;IF(G1173="","?",G1173)&amp;CHAR(10)&amp;IF(K1173="","coach: –","coach: "&amp;K1173))</f>
        <v>Kids  4/4
coach: Kamal</v>
      </c>
    </row>
    <row r="1174" customFormat="false" ht="22.35" hidden="false" customHeight="false" outlineLevel="0" collapsed="false">
      <c r="A1174" s="76" t="str">
        <f aca="false">B1174&amp;"|"&amp;C1174&amp;"|"&amp;D1174&amp;"|"&amp;E1174</f>
        <v>PML|4|Minggu|15:30</v>
      </c>
      <c r="B1174" s="76" t="s">
        <v>65</v>
      </c>
      <c r="C1174" s="76" t="n">
        <v>4</v>
      </c>
      <c r="D1174" s="76" t="s">
        <v>78</v>
      </c>
      <c r="E1174" s="76" t="s">
        <v>119</v>
      </c>
      <c r="F1174" s="77" t="s">
        <v>210</v>
      </c>
      <c r="G1174" s="77" t="n">
        <v>4</v>
      </c>
      <c r="H1174" s="77" t="n">
        <v>4</v>
      </c>
      <c r="I1174" s="76" t="n">
        <f aca="false">IF(AND(ISNUMBER(G1174),ISNUMBER(H1174)),MAX(G1174-H1174,0),"")</f>
        <v>0</v>
      </c>
      <c r="J1174" s="78" t="n">
        <f aca="false">IF(AND(ISNUMBER(G1174),ISNUMBER(H1174)),IF(G1174&gt;0,H1174/G1174,""),"")</f>
        <v>1</v>
      </c>
      <c r="K1174" s="77" t="s">
        <v>333</v>
      </c>
      <c r="L1174" s="76" t="str">
        <f aca="false">IF(OR(G1174="",H1174=""),"Data tidak lengkap",IF(AND(G1174=0,H1174=0),IF(AND(F1174="",K1174=""),"Tidak dibuka","Tutup"),IF(H1174&gt;G1174,"Lebih kapasitas",IF(H1174=G1174,"Penuh",IF(H1174=0,IF(F1174="","Slot kosong","Belum terisi"),"Sebagian")))))</f>
        <v>Penuh</v>
      </c>
      <c r="M1174" s="79" t="str">
        <f aca="false">IF(L1174="Tidak dibuka","–",IF(F1174="","(tanpa age group)",F1174)&amp;"  "&amp;IF(H1174="","?",H1174)&amp;"/"&amp;IF(G1174="","?",G1174)&amp;CHAR(10)&amp;IF(K1174="","coach: –","coach: "&amp;K1174))</f>
        <v>Kids  4/4
coach: Zidan</v>
      </c>
    </row>
    <row r="1175" customFormat="false" ht="22.35" hidden="false" customHeight="false" outlineLevel="0" collapsed="false">
      <c r="A1175" s="76" t="str">
        <f aca="false">B1175&amp;"|"&amp;C1175&amp;"|"&amp;D1175&amp;"|"&amp;E1175</f>
        <v>PML|4|Minggu|16:15</v>
      </c>
      <c r="B1175" s="76" t="s">
        <v>65</v>
      </c>
      <c r="C1175" s="76" t="n">
        <v>4</v>
      </c>
      <c r="D1175" s="76" t="s">
        <v>78</v>
      </c>
      <c r="E1175" s="76" t="s">
        <v>120</v>
      </c>
      <c r="F1175" s="77" t="s">
        <v>210</v>
      </c>
      <c r="G1175" s="77" t="n">
        <v>4</v>
      </c>
      <c r="H1175" s="77" t="n">
        <v>3</v>
      </c>
      <c r="I1175" s="76" t="n">
        <f aca="false">IF(AND(ISNUMBER(G1175),ISNUMBER(H1175)),MAX(G1175-H1175,0),"")</f>
        <v>1</v>
      </c>
      <c r="J1175" s="78" t="n">
        <f aca="false">IF(AND(ISNUMBER(G1175),ISNUMBER(H1175)),IF(G1175&gt;0,H1175/G1175,""),"")</f>
        <v>0.75</v>
      </c>
      <c r="K1175" s="77" t="s">
        <v>335</v>
      </c>
      <c r="L1175" s="76" t="str">
        <f aca="false">IF(OR(G1175="",H1175=""),"Data tidak lengkap",IF(AND(G1175=0,H1175=0),IF(AND(F1175="",K1175=""),"Tidak dibuka","Tutup"),IF(H1175&gt;G1175,"Lebih kapasitas",IF(H1175=G1175,"Penuh",IF(H1175=0,IF(F1175="","Slot kosong","Belum terisi"),"Sebagian")))))</f>
        <v>Sebagian</v>
      </c>
      <c r="M1175" s="79" t="str">
        <f aca="false">IF(L1175="Tidak dibuka","–",IF(F1175="","(tanpa age group)",F1175)&amp;"  "&amp;IF(H1175="","?",H1175)&amp;"/"&amp;IF(G1175="","?",G1175)&amp;CHAR(10)&amp;IF(K1175="","coach: –","coach: "&amp;K1175))</f>
        <v>Kids  3/4
coach: Shofwan</v>
      </c>
    </row>
    <row r="1176" customFormat="false" ht="15" hidden="false" customHeight="false" outlineLevel="0" collapsed="false">
      <c r="A1176" s="76" t="str">
        <f aca="false">B1176&amp;"|"&amp;C1176&amp;"|"&amp;D1176&amp;"|"&amp;E1176</f>
        <v>PML|4|Minggu|17:00</v>
      </c>
      <c r="B1176" s="76" t="s">
        <v>65</v>
      </c>
      <c r="C1176" s="76" t="n">
        <v>4</v>
      </c>
      <c r="D1176" s="76" t="s">
        <v>78</v>
      </c>
      <c r="E1176" s="76" t="s">
        <v>121</v>
      </c>
      <c r="F1176" s="77"/>
      <c r="G1176" s="77" t="n">
        <v>0</v>
      </c>
      <c r="H1176" s="77" t="n">
        <v>0</v>
      </c>
      <c r="I1176" s="76" t="n">
        <f aca="false">IF(AND(ISNUMBER(G1176),ISNUMBER(H1176)),MAX(G1176-H1176,0),"")</f>
        <v>0</v>
      </c>
      <c r="J1176" s="78" t="str">
        <f aca="false">IF(AND(ISNUMBER(G1176),ISNUMBER(H1176)),IF(G1176&gt;0,H1176/G1176,""),"")</f>
        <v/>
      </c>
      <c r="K1176" s="77"/>
      <c r="L1176" s="76" t="str">
        <f aca="false">IF(OR(G1176="",H1176=""),"Data tidak lengkap",IF(AND(G1176=0,H1176=0),IF(AND(F1176="",K1176=""),"Tidak dibuka","Tutup"),IF(H1176&gt;G1176,"Lebih kapasitas",IF(H1176=G1176,"Penuh",IF(H1176=0,IF(F1176="","Slot kosong","Belum terisi"),"Sebagian")))))</f>
        <v>Tidak dibuka</v>
      </c>
      <c r="M1176" s="76" t="str">
        <f aca="false">IF(L1176="Tidak dibuka","–",IF(F1176="","(tanpa age group)",F1176)&amp;"  "&amp;IF(H1176="","?",H1176)&amp;"/"&amp;IF(G1176="","?",G1176)&amp;CHAR(10)&amp;IF(K1176="","coach: –","coach: "&amp;K1176))</f>
        <v>–</v>
      </c>
    </row>
    <row r="1177" customFormat="false" ht="15" hidden="false" customHeight="false" outlineLevel="0" collapsed="false">
      <c r="A1177" s="76" t="str">
        <f aca="false">B1177&amp;"|"&amp;C1177&amp;"|"&amp;D1177&amp;"|"&amp;E1177</f>
        <v>PML|5|Senin|08:00</v>
      </c>
      <c r="B1177" s="76" t="s">
        <v>65</v>
      </c>
      <c r="C1177" s="76" t="n">
        <v>5</v>
      </c>
      <c r="D1177" s="76" t="s">
        <v>90</v>
      </c>
      <c r="E1177" s="76" t="s">
        <v>110</v>
      </c>
      <c r="F1177" s="77"/>
      <c r="G1177" s="77" t="n">
        <v>0</v>
      </c>
      <c r="H1177" s="77" t="n">
        <v>0</v>
      </c>
      <c r="I1177" s="76" t="n">
        <f aca="false">IF(AND(ISNUMBER(G1177),ISNUMBER(H1177)),MAX(G1177-H1177,0),"")</f>
        <v>0</v>
      </c>
      <c r="J1177" s="78" t="str">
        <f aca="false">IF(AND(ISNUMBER(G1177),ISNUMBER(H1177)),IF(G1177&gt;0,H1177/G1177,""),"")</f>
        <v/>
      </c>
      <c r="K1177" s="77"/>
      <c r="L1177" s="76" t="str">
        <f aca="false">IF(OR(G1177="",H1177=""),"Data tidak lengkap",IF(AND(G1177=0,H1177=0),IF(AND(F1177="",K1177=""),"Tidak dibuka","Tutup"),IF(H1177&gt;G1177,"Lebih kapasitas",IF(H1177=G1177,"Penuh",IF(H1177=0,IF(F1177="","Slot kosong","Belum terisi"),"Sebagian")))))</f>
        <v>Tidak dibuka</v>
      </c>
      <c r="M1177" s="76" t="str">
        <f aca="false">IF(L1177="Tidak dibuka","–",IF(F1177="","(tanpa age group)",F1177)&amp;"  "&amp;IF(H1177="","?",H1177)&amp;"/"&amp;IF(G1177="","?",G1177)&amp;CHAR(10)&amp;IF(K1177="","coach: –","coach: "&amp;K1177))</f>
        <v>–</v>
      </c>
    </row>
    <row r="1178" customFormat="false" ht="15" hidden="false" customHeight="false" outlineLevel="0" collapsed="false">
      <c r="A1178" s="76" t="str">
        <f aca="false">B1178&amp;"|"&amp;C1178&amp;"|"&amp;D1178&amp;"|"&amp;E1178</f>
        <v>PML|5|Senin|08:45</v>
      </c>
      <c r="B1178" s="76" t="s">
        <v>65</v>
      </c>
      <c r="C1178" s="76" t="n">
        <v>5</v>
      </c>
      <c r="D1178" s="76" t="s">
        <v>90</v>
      </c>
      <c r="E1178" s="76" t="s">
        <v>111</v>
      </c>
      <c r="F1178" s="77"/>
      <c r="G1178" s="77" t="n">
        <v>0</v>
      </c>
      <c r="H1178" s="77" t="n">
        <v>0</v>
      </c>
      <c r="I1178" s="76" t="n">
        <f aca="false">IF(AND(ISNUMBER(G1178),ISNUMBER(H1178)),MAX(G1178-H1178,0),"")</f>
        <v>0</v>
      </c>
      <c r="J1178" s="78" t="str">
        <f aca="false">IF(AND(ISNUMBER(G1178),ISNUMBER(H1178)),IF(G1178&gt;0,H1178/G1178,""),"")</f>
        <v/>
      </c>
      <c r="K1178" s="77"/>
      <c r="L1178" s="76" t="str">
        <f aca="false">IF(OR(G1178="",H1178=""),"Data tidak lengkap",IF(AND(G1178=0,H1178=0),IF(AND(F1178="",K1178=""),"Tidak dibuka","Tutup"),IF(H1178&gt;G1178,"Lebih kapasitas",IF(H1178=G1178,"Penuh",IF(H1178=0,IF(F1178="","Slot kosong","Belum terisi"),"Sebagian")))))</f>
        <v>Tidak dibuka</v>
      </c>
      <c r="M1178" s="76" t="str">
        <f aca="false">IF(L1178="Tidak dibuka","–",IF(F1178="","(tanpa age group)",F1178)&amp;"  "&amp;IF(H1178="","?",H1178)&amp;"/"&amp;IF(G1178="","?",G1178)&amp;CHAR(10)&amp;IF(K1178="","coach: –","coach: "&amp;K1178))</f>
        <v>–</v>
      </c>
    </row>
    <row r="1179" customFormat="false" ht="15" hidden="false" customHeight="false" outlineLevel="0" collapsed="false">
      <c r="A1179" s="76" t="str">
        <f aca="false">B1179&amp;"|"&amp;C1179&amp;"|"&amp;D1179&amp;"|"&amp;E1179</f>
        <v>PML|5|Senin|09:30</v>
      </c>
      <c r="B1179" s="76" t="s">
        <v>65</v>
      </c>
      <c r="C1179" s="76" t="n">
        <v>5</v>
      </c>
      <c r="D1179" s="76" t="s">
        <v>90</v>
      </c>
      <c r="E1179" s="76" t="s">
        <v>112</v>
      </c>
      <c r="F1179" s="77"/>
      <c r="G1179" s="77" t="n">
        <v>0</v>
      </c>
      <c r="H1179" s="77" t="n">
        <v>0</v>
      </c>
      <c r="I1179" s="76" t="n">
        <f aca="false">IF(AND(ISNUMBER(G1179),ISNUMBER(H1179)),MAX(G1179-H1179,0),"")</f>
        <v>0</v>
      </c>
      <c r="J1179" s="78" t="str">
        <f aca="false">IF(AND(ISNUMBER(G1179),ISNUMBER(H1179)),IF(G1179&gt;0,H1179/G1179,""),"")</f>
        <v/>
      </c>
      <c r="K1179" s="77"/>
      <c r="L1179" s="76" t="str">
        <f aca="false">IF(OR(G1179="",H1179=""),"Data tidak lengkap",IF(AND(G1179=0,H1179=0),IF(AND(F1179="",K1179=""),"Tidak dibuka","Tutup"),IF(H1179&gt;G1179,"Lebih kapasitas",IF(H1179=G1179,"Penuh",IF(H1179=0,IF(F1179="","Slot kosong","Belum terisi"),"Sebagian")))))</f>
        <v>Tidak dibuka</v>
      </c>
      <c r="M1179" s="76" t="str">
        <f aca="false">IF(L1179="Tidak dibuka","–",IF(F1179="","(tanpa age group)",F1179)&amp;"  "&amp;IF(H1179="","?",H1179)&amp;"/"&amp;IF(G1179="","?",G1179)&amp;CHAR(10)&amp;IF(K1179="","coach: –","coach: "&amp;K1179))</f>
        <v>–</v>
      </c>
    </row>
    <row r="1180" customFormat="false" ht="15" hidden="false" customHeight="false" outlineLevel="0" collapsed="false">
      <c r="A1180" s="76" t="str">
        <f aca="false">B1180&amp;"|"&amp;C1180&amp;"|"&amp;D1180&amp;"|"&amp;E1180</f>
        <v>PML|5|Senin|10:15</v>
      </c>
      <c r="B1180" s="76" t="s">
        <v>65</v>
      </c>
      <c r="C1180" s="76" t="n">
        <v>5</v>
      </c>
      <c r="D1180" s="76" t="s">
        <v>90</v>
      </c>
      <c r="E1180" s="76" t="s">
        <v>113</v>
      </c>
      <c r="F1180" s="77"/>
      <c r="G1180" s="77" t="n">
        <v>0</v>
      </c>
      <c r="H1180" s="77" t="n">
        <v>0</v>
      </c>
      <c r="I1180" s="76" t="n">
        <f aca="false">IF(AND(ISNUMBER(G1180),ISNUMBER(H1180)),MAX(G1180-H1180,0),"")</f>
        <v>0</v>
      </c>
      <c r="J1180" s="78" t="str">
        <f aca="false">IF(AND(ISNUMBER(G1180),ISNUMBER(H1180)),IF(G1180&gt;0,H1180/G1180,""),"")</f>
        <v/>
      </c>
      <c r="K1180" s="77"/>
      <c r="L1180" s="76" t="str">
        <f aca="false">IF(OR(G1180="",H1180=""),"Data tidak lengkap",IF(AND(G1180=0,H1180=0),IF(AND(F1180="",K1180=""),"Tidak dibuka","Tutup"),IF(H1180&gt;G1180,"Lebih kapasitas",IF(H1180=G1180,"Penuh",IF(H1180=0,IF(F1180="","Slot kosong","Belum terisi"),"Sebagian")))))</f>
        <v>Tidak dibuka</v>
      </c>
      <c r="M1180" s="76" t="str">
        <f aca="false">IF(L1180="Tidak dibuka","–",IF(F1180="","(tanpa age group)",F1180)&amp;"  "&amp;IF(H1180="","?",H1180)&amp;"/"&amp;IF(G1180="","?",G1180)&amp;CHAR(10)&amp;IF(K1180="","coach: –","coach: "&amp;K1180))</f>
        <v>–</v>
      </c>
    </row>
    <row r="1181" customFormat="false" ht="15" hidden="false" customHeight="false" outlineLevel="0" collapsed="false">
      <c r="A1181" s="76" t="str">
        <f aca="false">B1181&amp;"|"&amp;C1181&amp;"|"&amp;D1181&amp;"|"&amp;E1181</f>
        <v>PML|5|Senin|11:00</v>
      </c>
      <c r="B1181" s="76" t="s">
        <v>65</v>
      </c>
      <c r="C1181" s="76" t="n">
        <v>5</v>
      </c>
      <c r="D1181" s="76" t="s">
        <v>90</v>
      </c>
      <c r="E1181" s="76" t="s">
        <v>114</v>
      </c>
      <c r="F1181" s="77"/>
      <c r="G1181" s="77" t="n">
        <v>0</v>
      </c>
      <c r="H1181" s="77" t="n">
        <v>0</v>
      </c>
      <c r="I1181" s="76" t="n">
        <f aca="false">IF(AND(ISNUMBER(G1181),ISNUMBER(H1181)),MAX(G1181-H1181,0),"")</f>
        <v>0</v>
      </c>
      <c r="J1181" s="78" t="str">
        <f aca="false">IF(AND(ISNUMBER(G1181),ISNUMBER(H1181)),IF(G1181&gt;0,H1181/G1181,""),"")</f>
        <v/>
      </c>
      <c r="K1181" s="77"/>
      <c r="L1181" s="76" t="str">
        <f aca="false">IF(OR(G1181="",H1181=""),"Data tidak lengkap",IF(AND(G1181=0,H1181=0),IF(AND(F1181="",K1181=""),"Tidak dibuka","Tutup"),IF(H1181&gt;G1181,"Lebih kapasitas",IF(H1181=G1181,"Penuh",IF(H1181=0,IF(F1181="","Slot kosong","Belum terisi"),"Sebagian")))))</f>
        <v>Tidak dibuka</v>
      </c>
      <c r="M1181" s="76" t="str">
        <f aca="false">IF(L1181="Tidak dibuka","–",IF(F1181="","(tanpa age group)",F1181)&amp;"  "&amp;IF(H1181="","?",H1181)&amp;"/"&amp;IF(G1181="","?",G1181)&amp;CHAR(10)&amp;IF(K1181="","coach: –","coach: "&amp;K1181))</f>
        <v>–</v>
      </c>
    </row>
    <row r="1182" customFormat="false" ht="15" hidden="false" customHeight="false" outlineLevel="0" collapsed="false">
      <c r="A1182" s="76" t="str">
        <f aca="false">B1182&amp;"|"&amp;C1182&amp;"|"&amp;D1182&amp;"|"&amp;E1182</f>
        <v>PML|5|Senin|11:45</v>
      </c>
      <c r="B1182" s="76" t="s">
        <v>65</v>
      </c>
      <c r="C1182" s="76" t="n">
        <v>5</v>
      </c>
      <c r="D1182" s="76" t="s">
        <v>90</v>
      </c>
      <c r="E1182" s="76" t="s">
        <v>115</v>
      </c>
      <c r="F1182" s="77"/>
      <c r="G1182" s="77" t="n">
        <v>0</v>
      </c>
      <c r="H1182" s="77" t="n">
        <v>0</v>
      </c>
      <c r="I1182" s="76" t="n">
        <f aca="false">IF(AND(ISNUMBER(G1182),ISNUMBER(H1182)),MAX(G1182-H1182,0),"")</f>
        <v>0</v>
      </c>
      <c r="J1182" s="78" t="str">
        <f aca="false">IF(AND(ISNUMBER(G1182),ISNUMBER(H1182)),IF(G1182&gt;0,H1182/G1182,""),"")</f>
        <v/>
      </c>
      <c r="K1182" s="77"/>
      <c r="L1182" s="76" t="str">
        <f aca="false">IF(OR(G1182="",H1182=""),"Data tidak lengkap",IF(AND(G1182=0,H1182=0),IF(AND(F1182="",K1182=""),"Tidak dibuka","Tutup"),IF(H1182&gt;G1182,"Lebih kapasitas",IF(H1182=G1182,"Penuh",IF(H1182=0,IF(F1182="","Slot kosong","Belum terisi"),"Sebagian")))))</f>
        <v>Tidak dibuka</v>
      </c>
      <c r="M1182" s="76" t="str">
        <f aca="false">IF(L1182="Tidak dibuka","–",IF(F1182="","(tanpa age group)",F1182)&amp;"  "&amp;IF(H1182="","?",H1182)&amp;"/"&amp;IF(G1182="","?",G1182)&amp;CHAR(10)&amp;IF(K1182="","coach: –","coach: "&amp;K1182))</f>
        <v>–</v>
      </c>
    </row>
    <row r="1183" customFormat="false" ht="15" hidden="false" customHeight="false" outlineLevel="0" collapsed="false">
      <c r="A1183" s="76" t="str">
        <f aca="false">B1183&amp;"|"&amp;C1183&amp;"|"&amp;D1183&amp;"|"&amp;E1183</f>
        <v>PML|5|Senin|13:15</v>
      </c>
      <c r="B1183" s="76" t="s">
        <v>65</v>
      </c>
      <c r="C1183" s="76" t="n">
        <v>5</v>
      </c>
      <c r="D1183" s="76" t="s">
        <v>90</v>
      </c>
      <c r="E1183" s="76" t="s">
        <v>116</v>
      </c>
      <c r="F1183" s="77"/>
      <c r="G1183" s="77" t="n">
        <v>0</v>
      </c>
      <c r="H1183" s="77" t="n">
        <v>0</v>
      </c>
      <c r="I1183" s="76" t="n">
        <f aca="false">IF(AND(ISNUMBER(G1183),ISNUMBER(H1183)),MAX(G1183-H1183,0),"")</f>
        <v>0</v>
      </c>
      <c r="J1183" s="78" t="str">
        <f aca="false">IF(AND(ISNUMBER(G1183),ISNUMBER(H1183)),IF(G1183&gt;0,H1183/G1183,""),"")</f>
        <v/>
      </c>
      <c r="K1183" s="77"/>
      <c r="L1183" s="76" t="str">
        <f aca="false">IF(OR(G1183="",H1183=""),"Data tidak lengkap",IF(AND(G1183=0,H1183=0),IF(AND(F1183="",K1183=""),"Tidak dibuka","Tutup"),IF(H1183&gt;G1183,"Lebih kapasitas",IF(H1183=G1183,"Penuh",IF(H1183=0,IF(F1183="","Slot kosong","Belum terisi"),"Sebagian")))))</f>
        <v>Tidak dibuka</v>
      </c>
      <c r="M1183" s="76" t="str">
        <f aca="false">IF(L1183="Tidak dibuka","–",IF(F1183="","(tanpa age group)",F1183)&amp;"  "&amp;IF(H1183="","?",H1183)&amp;"/"&amp;IF(G1183="","?",G1183)&amp;CHAR(10)&amp;IF(K1183="","coach: –","coach: "&amp;K1183))</f>
        <v>–</v>
      </c>
    </row>
    <row r="1184" customFormat="false" ht="15" hidden="false" customHeight="false" outlineLevel="0" collapsed="false">
      <c r="A1184" s="76" t="str">
        <f aca="false">B1184&amp;"|"&amp;C1184&amp;"|"&amp;D1184&amp;"|"&amp;E1184</f>
        <v>PML|5|Senin|14:00</v>
      </c>
      <c r="B1184" s="76" t="s">
        <v>65</v>
      </c>
      <c r="C1184" s="76" t="n">
        <v>5</v>
      </c>
      <c r="D1184" s="76" t="s">
        <v>90</v>
      </c>
      <c r="E1184" s="76" t="s">
        <v>117</v>
      </c>
      <c r="F1184" s="77"/>
      <c r="G1184" s="77" t="n">
        <v>0</v>
      </c>
      <c r="H1184" s="77" t="n">
        <v>0</v>
      </c>
      <c r="I1184" s="76" t="n">
        <f aca="false">IF(AND(ISNUMBER(G1184),ISNUMBER(H1184)),MAX(G1184-H1184,0),"")</f>
        <v>0</v>
      </c>
      <c r="J1184" s="78" t="str">
        <f aca="false">IF(AND(ISNUMBER(G1184),ISNUMBER(H1184)),IF(G1184&gt;0,H1184/G1184,""),"")</f>
        <v/>
      </c>
      <c r="K1184" s="77"/>
      <c r="L1184" s="76" t="str">
        <f aca="false">IF(OR(G1184="",H1184=""),"Data tidak lengkap",IF(AND(G1184=0,H1184=0),IF(AND(F1184="",K1184=""),"Tidak dibuka","Tutup"),IF(H1184&gt;G1184,"Lebih kapasitas",IF(H1184=G1184,"Penuh",IF(H1184=0,IF(F1184="","Slot kosong","Belum terisi"),"Sebagian")))))</f>
        <v>Tidak dibuka</v>
      </c>
      <c r="M1184" s="76" t="str">
        <f aca="false">IF(L1184="Tidak dibuka","–",IF(F1184="","(tanpa age group)",F1184)&amp;"  "&amp;IF(H1184="","?",H1184)&amp;"/"&amp;IF(G1184="","?",G1184)&amp;CHAR(10)&amp;IF(K1184="","coach: –","coach: "&amp;K1184))</f>
        <v>–</v>
      </c>
    </row>
    <row r="1185" customFormat="false" ht="15" hidden="false" customHeight="false" outlineLevel="0" collapsed="false">
      <c r="A1185" s="76" t="str">
        <f aca="false">B1185&amp;"|"&amp;C1185&amp;"|"&amp;D1185&amp;"|"&amp;E1185</f>
        <v>PML|5|Senin|14:45</v>
      </c>
      <c r="B1185" s="76" t="s">
        <v>65</v>
      </c>
      <c r="C1185" s="76" t="n">
        <v>5</v>
      </c>
      <c r="D1185" s="76" t="s">
        <v>90</v>
      </c>
      <c r="E1185" s="76" t="s">
        <v>118</v>
      </c>
      <c r="F1185" s="77"/>
      <c r="G1185" s="77" t="n">
        <v>0</v>
      </c>
      <c r="H1185" s="77" t="n">
        <v>0</v>
      </c>
      <c r="I1185" s="76" t="n">
        <f aca="false">IF(AND(ISNUMBER(G1185),ISNUMBER(H1185)),MAX(G1185-H1185,0),"")</f>
        <v>0</v>
      </c>
      <c r="J1185" s="78" t="str">
        <f aca="false">IF(AND(ISNUMBER(G1185),ISNUMBER(H1185)),IF(G1185&gt;0,H1185/G1185,""),"")</f>
        <v/>
      </c>
      <c r="K1185" s="77"/>
      <c r="L1185" s="76" t="str">
        <f aca="false">IF(OR(G1185="",H1185=""),"Data tidak lengkap",IF(AND(G1185=0,H1185=0),IF(AND(F1185="",K1185=""),"Tidak dibuka","Tutup"),IF(H1185&gt;G1185,"Lebih kapasitas",IF(H1185=G1185,"Penuh",IF(H1185=0,IF(F1185="","Slot kosong","Belum terisi"),"Sebagian")))))</f>
        <v>Tidak dibuka</v>
      </c>
      <c r="M1185" s="76" t="str">
        <f aca="false">IF(L1185="Tidak dibuka","–",IF(F1185="","(tanpa age group)",F1185)&amp;"  "&amp;IF(H1185="","?",H1185)&amp;"/"&amp;IF(G1185="","?",G1185)&amp;CHAR(10)&amp;IF(K1185="","coach: –","coach: "&amp;K1185))</f>
        <v>–</v>
      </c>
    </row>
    <row r="1186" customFormat="false" ht="15" hidden="false" customHeight="false" outlineLevel="0" collapsed="false">
      <c r="A1186" s="76" t="str">
        <f aca="false">B1186&amp;"|"&amp;C1186&amp;"|"&amp;D1186&amp;"|"&amp;E1186</f>
        <v>PML|5|Senin|15:30</v>
      </c>
      <c r="B1186" s="76" t="s">
        <v>65</v>
      </c>
      <c r="C1186" s="76" t="n">
        <v>5</v>
      </c>
      <c r="D1186" s="76" t="s">
        <v>90</v>
      </c>
      <c r="E1186" s="76" t="s">
        <v>119</v>
      </c>
      <c r="F1186" s="77"/>
      <c r="G1186" s="77" t="n">
        <v>0</v>
      </c>
      <c r="H1186" s="77" t="n">
        <v>0</v>
      </c>
      <c r="I1186" s="76" t="n">
        <f aca="false">IF(AND(ISNUMBER(G1186),ISNUMBER(H1186)),MAX(G1186-H1186,0),"")</f>
        <v>0</v>
      </c>
      <c r="J1186" s="78" t="str">
        <f aca="false">IF(AND(ISNUMBER(G1186),ISNUMBER(H1186)),IF(G1186&gt;0,H1186/G1186,""),"")</f>
        <v/>
      </c>
      <c r="K1186" s="77"/>
      <c r="L1186" s="76" t="str">
        <f aca="false">IF(OR(G1186="",H1186=""),"Data tidak lengkap",IF(AND(G1186=0,H1186=0),IF(AND(F1186="",K1186=""),"Tidak dibuka","Tutup"),IF(H1186&gt;G1186,"Lebih kapasitas",IF(H1186=G1186,"Penuh",IF(H1186=0,IF(F1186="","Slot kosong","Belum terisi"),"Sebagian")))))</f>
        <v>Tidak dibuka</v>
      </c>
      <c r="M1186" s="76" t="str">
        <f aca="false">IF(L1186="Tidak dibuka","–",IF(F1186="","(tanpa age group)",F1186)&amp;"  "&amp;IF(H1186="","?",H1186)&amp;"/"&amp;IF(G1186="","?",G1186)&amp;CHAR(10)&amp;IF(K1186="","coach: –","coach: "&amp;K1186))</f>
        <v>–</v>
      </c>
    </row>
    <row r="1187" customFormat="false" ht="22.35" hidden="false" customHeight="false" outlineLevel="0" collapsed="false">
      <c r="A1187" s="76" t="str">
        <f aca="false">B1187&amp;"|"&amp;C1187&amp;"|"&amp;D1187&amp;"|"&amp;E1187</f>
        <v>PML|5|Senin|16:15</v>
      </c>
      <c r="B1187" s="76" t="s">
        <v>65</v>
      </c>
      <c r="C1187" s="76" t="n">
        <v>5</v>
      </c>
      <c r="D1187" s="76" t="s">
        <v>90</v>
      </c>
      <c r="E1187" s="76" t="s">
        <v>120</v>
      </c>
      <c r="F1187" s="77" t="s">
        <v>210</v>
      </c>
      <c r="G1187" s="77" t="n">
        <v>4</v>
      </c>
      <c r="H1187" s="77" t="n">
        <v>1</v>
      </c>
      <c r="I1187" s="76" t="n">
        <f aca="false">IF(AND(ISNUMBER(G1187),ISNUMBER(H1187)),MAX(G1187-H1187,0),"")</f>
        <v>3</v>
      </c>
      <c r="J1187" s="78" t="n">
        <f aca="false">IF(AND(ISNUMBER(G1187),ISNUMBER(H1187)),IF(G1187&gt;0,H1187/G1187,""),"")</f>
        <v>0.25</v>
      </c>
      <c r="K1187" s="77" t="s">
        <v>337</v>
      </c>
      <c r="L1187" s="76" t="str">
        <f aca="false">IF(OR(G1187="",H1187=""),"Data tidak lengkap",IF(AND(G1187=0,H1187=0),IF(AND(F1187="",K1187=""),"Tidak dibuka","Tutup"),IF(H1187&gt;G1187,"Lebih kapasitas",IF(H1187=G1187,"Penuh",IF(H1187=0,IF(F1187="","Slot kosong","Belum terisi"),"Sebagian")))))</f>
        <v>Sebagian</v>
      </c>
      <c r="M1187" s="79" t="str">
        <f aca="false">IF(L1187="Tidak dibuka","–",IF(F1187="","(tanpa age group)",F1187)&amp;"  "&amp;IF(H1187="","?",H1187)&amp;"/"&amp;IF(G1187="","?",G1187)&amp;CHAR(10)&amp;IF(K1187="","coach: –","coach: "&amp;K1187))</f>
        <v>Kids  1/4
coach: Dadi</v>
      </c>
    </row>
    <row r="1188" customFormat="false" ht="22.35" hidden="false" customHeight="false" outlineLevel="0" collapsed="false">
      <c r="A1188" s="76" t="str">
        <f aca="false">B1188&amp;"|"&amp;C1188&amp;"|"&amp;D1188&amp;"|"&amp;E1188</f>
        <v>PML|5|Senin|17:00</v>
      </c>
      <c r="B1188" s="76" t="s">
        <v>65</v>
      </c>
      <c r="C1188" s="76" t="n">
        <v>5</v>
      </c>
      <c r="D1188" s="76" t="s">
        <v>90</v>
      </c>
      <c r="E1188" s="76" t="s">
        <v>121</v>
      </c>
      <c r="F1188" s="77" t="s">
        <v>210</v>
      </c>
      <c r="G1188" s="77" t="n">
        <v>4</v>
      </c>
      <c r="H1188" s="77" t="n">
        <v>1</v>
      </c>
      <c r="I1188" s="76" t="n">
        <f aca="false">IF(AND(ISNUMBER(G1188),ISNUMBER(H1188)),MAX(G1188-H1188,0),"")</f>
        <v>3</v>
      </c>
      <c r="J1188" s="78" t="n">
        <f aca="false">IF(AND(ISNUMBER(G1188),ISNUMBER(H1188)),IF(G1188&gt;0,H1188/G1188,""),"")</f>
        <v>0.25</v>
      </c>
      <c r="K1188" s="77" t="s">
        <v>337</v>
      </c>
      <c r="L1188" s="76" t="str">
        <f aca="false">IF(OR(G1188="",H1188=""),"Data tidak lengkap",IF(AND(G1188=0,H1188=0),IF(AND(F1188="",K1188=""),"Tidak dibuka","Tutup"),IF(H1188&gt;G1188,"Lebih kapasitas",IF(H1188=G1188,"Penuh",IF(H1188=0,IF(F1188="","Slot kosong","Belum terisi"),"Sebagian")))))</f>
        <v>Sebagian</v>
      </c>
      <c r="M1188" s="79" t="str">
        <f aca="false">IF(L1188="Tidak dibuka","–",IF(F1188="","(tanpa age group)",F1188)&amp;"  "&amp;IF(H1188="","?",H1188)&amp;"/"&amp;IF(G1188="","?",G1188)&amp;CHAR(10)&amp;IF(K1188="","coach: –","coach: "&amp;K1188))</f>
        <v>Kids  1/4
coach: Dadi</v>
      </c>
    </row>
    <row r="1189" customFormat="false" ht="15" hidden="false" customHeight="false" outlineLevel="0" collapsed="false">
      <c r="A1189" s="76" t="str">
        <f aca="false">B1189&amp;"|"&amp;C1189&amp;"|"&amp;D1189&amp;"|"&amp;E1189</f>
        <v>PML|5|Selasa|08:00</v>
      </c>
      <c r="B1189" s="76" t="s">
        <v>65</v>
      </c>
      <c r="C1189" s="76" t="n">
        <v>5</v>
      </c>
      <c r="D1189" s="76" t="s">
        <v>91</v>
      </c>
      <c r="E1189" s="76" t="s">
        <v>110</v>
      </c>
      <c r="F1189" s="77"/>
      <c r="G1189" s="77" t="n">
        <v>0</v>
      </c>
      <c r="H1189" s="77" t="n">
        <v>0</v>
      </c>
      <c r="I1189" s="76" t="n">
        <f aca="false">IF(AND(ISNUMBER(G1189),ISNUMBER(H1189)),MAX(G1189-H1189,0),"")</f>
        <v>0</v>
      </c>
      <c r="J1189" s="78" t="str">
        <f aca="false">IF(AND(ISNUMBER(G1189),ISNUMBER(H1189)),IF(G1189&gt;0,H1189/G1189,""),"")</f>
        <v/>
      </c>
      <c r="K1189" s="77"/>
      <c r="L1189" s="76" t="str">
        <f aca="false">IF(OR(G1189="",H1189=""),"Data tidak lengkap",IF(AND(G1189=0,H1189=0),IF(AND(F1189="",K1189=""),"Tidak dibuka","Tutup"),IF(H1189&gt;G1189,"Lebih kapasitas",IF(H1189=G1189,"Penuh",IF(H1189=0,IF(F1189="","Slot kosong","Belum terisi"),"Sebagian")))))</f>
        <v>Tidak dibuka</v>
      </c>
      <c r="M1189" s="76" t="str">
        <f aca="false">IF(L1189="Tidak dibuka","–",IF(F1189="","(tanpa age group)",F1189)&amp;"  "&amp;IF(H1189="","?",H1189)&amp;"/"&amp;IF(G1189="","?",G1189)&amp;CHAR(10)&amp;IF(K1189="","coach: –","coach: "&amp;K1189))</f>
        <v>–</v>
      </c>
    </row>
    <row r="1190" customFormat="false" ht="15" hidden="false" customHeight="false" outlineLevel="0" collapsed="false">
      <c r="A1190" s="76" t="str">
        <f aca="false">B1190&amp;"|"&amp;C1190&amp;"|"&amp;D1190&amp;"|"&amp;E1190</f>
        <v>PML|5|Selasa|08:45</v>
      </c>
      <c r="B1190" s="76" t="s">
        <v>65</v>
      </c>
      <c r="C1190" s="76" t="n">
        <v>5</v>
      </c>
      <c r="D1190" s="76" t="s">
        <v>91</v>
      </c>
      <c r="E1190" s="76" t="s">
        <v>111</v>
      </c>
      <c r="F1190" s="77"/>
      <c r="G1190" s="77" t="n">
        <v>0</v>
      </c>
      <c r="H1190" s="77" t="n">
        <v>0</v>
      </c>
      <c r="I1190" s="76" t="n">
        <f aca="false">IF(AND(ISNUMBER(G1190),ISNUMBER(H1190)),MAX(G1190-H1190,0),"")</f>
        <v>0</v>
      </c>
      <c r="J1190" s="78" t="str">
        <f aca="false">IF(AND(ISNUMBER(G1190),ISNUMBER(H1190)),IF(G1190&gt;0,H1190/G1190,""),"")</f>
        <v/>
      </c>
      <c r="K1190" s="77"/>
      <c r="L1190" s="76" t="str">
        <f aca="false">IF(OR(G1190="",H1190=""),"Data tidak lengkap",IF(AND(G1190=0,H1190=0),IF(AND(F1190="",K1190=""),"Tidak dibuka","Tutup"),IF(H1190&gt;G1190,"Lebih kapasitas",IF(H1190=G1190,"Penuh",IF(H1190=0,IF(F1190="","Slot kosong","Belum terisi"),"Sebagian")))))</f>
        <v>Tidak dibuka</v>
      </c>
      <c r="M1190" s="76" t="str">
        <f aca="false">IF(L1190="Tidak dibuka","–",IF(F1190="","(tanpa age group)",F1190)&amp;"  "&amp;IF(H1190="","?",H1190)&amp;"/"&amp;IF(G1190="","?",G1190)&amp;CHAR(10)&amp;IF(K1190="","coach: –","coach: "&amp;K1190))</f>
        <v>–</v>
      </c>
    </row>
    <row r="1191" customFormat="false" ht="15" hidden="false" customHeight="false" outlineLevel="0" collapsed="false">
      <c r="A1191" s="76" t="str">
        <f aca="false">B1191&amp;"|"&amp;C1191&amp;"|"&amp;D1191&amp;"|"&amp;E1191</f>
        <v>PML|5|Selasa|09:30</v>
      </c>
      <c r="B1191" s="76" t="s">
        <v>65</v>
      </c>
      <c r="C1191" s="76" t="n">
        <v>5</v>
      </c>
      <c r="D1191" s="76" t="s">
        <v>91</v>
      </c>
      <c r="E1191" s="76" t="s">
        <v>112</v>
      </c>
      <c r="F1191" s="77"/>
      <c r="G1191" s="77" t="n">
        <v>0</v>
      </c>
      <c r="H1191" s="77" t="n">
        <v>0</v>
      </c>
      <c r="I1191" s="76" t="n">
        <f aca="false">IF(AND(ISNUMBER(G1191),ISNUMBER(H1191)),MAX(G1191-H1191,0),"")</f>
        <v>0</v>
      </c>
      <c r="J1191" s="78" t="str">
        <f aca="false">IF(AND(ISNUMBER(G1191),ISNUMBER(H1191)),IF(G1191&gt;0,H1191/G1191,""),"")</f>
        <v/>
      </c>
      <c r="K1191" s="77"/>
      <c r="L1191" s="76" t="str">
        <f aca="false">IF(OR(G1191="",H1191=""),"Data tidak lengkap",IF(AND(G1191=0,H1191=0),IF(AND(F1191="",K1191=""),"Tidak dibuka","Tutup"),IF(H1191&gt;G1191,"Lebih kapasitas",IF(H1191=G1191,"Penuh",IF(H1191=0,IF(F1191="","Slot kosong","Belum terisi"),"Sebagian")))))</f>
        <v>Tidak dibuka</v>
      </c>
      <c r="M1191" s="76" t="str">
        <f aca="false">IF(L1191="Tidak dibuka","–",IF(F1191="","(tanpa age group)",F1191)&amp;"  "&amp;IF(H1191="","?",H1191)&amp;"/"&amp;IF(G1191="","?",G1191)&amp;CHAR(10)&amp;IF(K1191="","coach: –","coach: "&amp;K1191))</f>
        <v>–</v>
      </c>
    </row>
    <row r="1192" customFormat="false" ht="15" hidden="false" customHeight="false" outlineLevel="0" collapsed="false">
      <c r="A1192" s="76" t="str">
        <f aca="false">B1192&amp;"|"&amp;C1192&amp;"|"&amp;D1192&amp;"|"&amp;E1192</f>
        <v>PML|5|Selasa|10:15</v>
      </c>
      <c r="B1192" s="76" t="s">
        <v>65</v>
      </c>
      <c r="C1192" s="76" t="n">
        <v>5</v>
      </c>
      <c r="D1192" s="76" t="s">
        <v>91</v>
      </c>
      <c r="E1192" s="76" t="s">
        <v>113</v>
      </c>
      <c r="F1192" s="77"/>
      <c r="G1192" s="77" t="n">
        <v>0</v>
      </c>
      <c r="H1192" s="77" t="n">
        <v>0</v>
      </c>
      <c r="I1192" s="76" t="n">
        <f aca="false">IF(AND(ISNUMBER(G1192),ISNUMBER(H1192)),MAX(G1192-H1192,0),"")</f>
        <v>0</v>
      </c>
      <c r="J1192" s="78" t="str">
        <f aca="false">IF(AND(ISNUMBER(G1192),ISNUMBER(H1192)),IF(G1192&gt;0,H1192/G1192,""),"")</f>
        <v/>
      </c>
      <c r="K1192" s="77"/>
      <c r="L1192" s="76" t="str">
        <f aca="false">IF(OR(G1192="",H1192=""),"Data tidak lengkap",IF(AND(G1192=0,H1192=0),IF(AND(F1192="",K1192=""),"Tidak dibuka","Tutup"),IF(H1192&gt;G1192,"Lebih kapasitas",IF(H1192=G1192,"Penuh",IF(H1192=0,IF(F1192="","Slot kosong","Belum terisi"),"Sebagian")))))</f>
        <v>Tidak dibuka</v>
      </c>
      <c r="M1192" s="76" t="str">
        <f aca="false">IF(L1192="Tidak dibuka","–",IF(F1192="","(tanpa age group)",F1192)&amp;"  "&amp;IF(H1192="","?",H1192)&amp;"/"&amp;IF(G1192="","?",G1192)&amp;CHAR(10)&amp;IF(K1192="","coach: –","coach: "&amp;K1192))</f>
        <v>–</v>
      </c>
    </row>
    <row r="1193" customFormat="false" ht="15" hidden="false" customHeight="false" outlineLevel="0" collapsed="false">
      <c r="A1193" s="76" t="str">
        <f aca="false">B1193&amp;"|"&amp;C1193&amp;"|"&amp;D1193&amp;"|"&amp;E1193</f>
        <v>PML|5|Selasa|11:00</v>
      </c>
      <c r="B1193" s="76" t="s">
        <v>65</v>
      </c>
      <c r="C1193" s="76" t="n">
        <v>5</v>
      </c>
      <c r="D1193" s="76" t="s">
        <v>91</v>
      </c>
      <c r="E1193" s="76" t="s">
        <v>114</v>
      </c>
      <c r="F1193" s="77"/>
      <c r="G1193" s="77" t="n">
        <v>0</v>
      </c>
      <c r="H1193" s="77" t="n">
        <v>0</v>
      </c>
      <c r="I1193" s="76" t="n">
        <f aca="false">IF(AND(ISNUMBER(G1193),ISNUMBER(H1193)),MAX(G1193-H1193,0),"")</f>
        <v>0</v>
      </c>
      <c r="J1193" s="78" t="str">
        <f aca="false">IF(AND(ISNUMBER(G1193),ISNUMBER(H1193)),IF(G1193&gt;0,H1193/G1193,""),"")</f>
        <v/>
      </c>
      <c r="K1193" s="77"/>
      <c r="L1193" s="76" t="str">
        <f aca="false">IF(OR(G1193="",H1193=""),"Data tidak lengkap",IF(AND(G1193=0,H1193=0),IF(AND(F1193="",K1193=""),"Tidak dibuka","Tutup"),IF(H1193&gt;G1193,"Lebih kapasitas",IF(H1193=G1193,"Penuh",IF(H1193=0,IF(F1193="","Slot kosong","Belum terisi"),"Sebagian")))))</f>
        <v>Tidak dibuka</v>
      </c>
      <c r="M1193" s="76" t="str">
        <f aca="false">IF(L1193="Tidak dibuka","–",IF(F1193="","(tanpa age group)",F1193)&amp;"  "&amp;IF(H1193="","?",H1193)&amp;"/"&amp;IF(G1193="","?",G1193)&amp;CHAR(10)&amp;IF(K1193="","coach: –","coach: "&amp;K1193))</f>
        <v>–</v>
      </c>
    </row>
    <row r="1194" customFormat="false" ht="15" hidden="false" customHeight="false" outlineLevel="0" collapsed="false">
      <c r="A1194" s="76" t="str">
        <f aca="false">B1194&amp;"|"&amp;C1194&amp;"|"&amp;D1194&amp;"|"&amp;E1194</f>
        <v>PML|5|Selasa|11:45</v>
      </c>
      <c r="B1194" s="76" t="s">
        <v>65</v>
      </c>
      <c r="C1194" s="76" t="n">
        <v>5</v>
      </c>
      <c r="D1194" s="76" t="s">
        <v>91</v>
      </c>
      <c r="E1194" s="76" t="s">
        <v>115</v>
      </c>
      <c r="F1194" s="77"/>
      <c r="G1194" s="77" t="n">
        <v>0</v>
      </c>
      <c r="H1194" s="77" t="n">
        <v>0</v>
      </c>
      <c r="I1194" s="76" t="n">
        <f aca="false">IF(AND(ISNUMBER(G1194),ISNUMBER(H1194)),MAX(G1194-H1194,0),"")</f>
        <v>0</v>
      </c>
      <c r="J1194" s="78" t="str">
        <f aca="false">IF(AND(ISNUMBER(G1194),ISNUMBER(H1194)),IF(G1194&gt;0,H1194/G1194,""),"")</f>
        <v/>
      </c>
      <c r="K1194" s="77"/>
      <c r="L1194" s="76" t="str">
        <f aca="false">IF(OR(G1194="",H1194=""),"Data tidak lengkap",IF(AND(G1194=0,H1194=0),IF(AND(F1194="",K1194=""),"Tidak dibuka","Tutup"),IF(H1194&gt;G1194,"Lebih kapasitas",IF(H1194=G1194,"Penuh",IF(H1194=0,IF(F1194="","Slot kosong","Belum terisi"),"Sebagian")))))</f>
        <v>Tidak dibuka</v>
      </c>
      <c r="M1194" s="76" t="str">
        <f aca="false">IF(L1194="Tidak dibuka","–",IF(F1194="","(tanpa age group)",F1194)&amp;"  "&amp;IF(H1194="","?",H1194)&amp;"/"&amp;IF(G1194="","?",G1194)&amp;CHAR(10)&amp;IF(K1194="","coach: –","coach: "&amp;K1194))</f>
        <v>–</v>
      </c>
    </row>
    <row r="1195" customFormat="false" ht="15" hidden="false" customHeight="false" outlineLevel="0" collapsed="false">
      <c r="A1195" s="76" t="str">
        <f aca="false">B1195&amp;"|"&amp;C1195&amp;"|"&amp;D1195&amp;"|"&amp;E1195</f>
        <v>PML|5|Selasa|13:15</v>
      </c>
      <c r="B1195" s="76" t="s">
        <v>65</v>
      </c>
      <c r="C1195" s="76" t="n">
        <v>5</v>
      </c>
      <c r="D1195" s="76" t="s">
        <v>91</v>
      </c>
      <c r="E1195" s="76" t="s">
        <v>116</v>
      </c>
      <c r="F1195" s="77"/>
      <c r="G1195" s="77" t="n">
        <v>0</v>
      </c>
      <c r="H1195" s="77" t="n">
        <v>0</v>
      </c>
      <c r="I1195" s="76" t="n">
        <f aca="false">IF(AND(ISNUMBER(G1195),ISNUMBER(H1195)),MAX(G1195-H1195,0),"")</f>
        <v>0</v>
      </c>
      <c r="J1195" s="78" t="str">
        <f aca="false">IF(AND(ISNUMBER(G1195),ISNUMBER(H1195)),IF(G1195&gt;0,H1195/G1195,""),"")</f>
        <v/>
      </c>
      <c r="K1195" s="77"/>
      <c r="L1195" s="76" t="str">
        <f aca="false">IF(OR(G1195="",H1195=""),"Data tidak lengkap",IF(AND(G1195=0,H1195=0),IF(AND(F1195="",K1195=""),"Tidak dibuka","Tutup"),IF(H1195&gt;G1195,"Lebih kapasitas",IF(H1195=G1195,"Penuh",IF(H1195=0,IF(F1195="","Slot kosong","Belum terisi"),"Sebagian")))))</f>
        <v>Tidak dibuka</v>
      </c>
      <c r="M1195" s="76" t="str">
        <f aca="false">IF(L1195="Tidak dibuka","–",IF(F1195="","(tanpa age group)",F1195)&amp;"  "&amp;IF(H1195="","?",H1195)&amp;"/"&amp;IF(G1195="","?",G1195)&amp;CHAR(10)&amp;IF(K1195="","coach: –","coach: "&amp;K1195))</f>
        <v>–</v>
      </c>
    </row>
    <row r="1196" customFormat="false" ht="15" hidden="false" customHeight="false" outlineLevel="0" collapsed="false">
      <c r="A1196" s="76" t="str">
        <f aca="false">B1196&amp;"|"&amp;C1196&amp;"|"&amp;D1196&amp;"|"&amp;E1196</f>
        <v>PML|5|Selasa|14:00</v>
      </c>
      <c r="B1196" s="76" t="s">
        <v>65</v>
      </c>
      <c r="C1196" s="76" t="n">
        <v>5</v>
      </c>
      <c r="D1196" s="76" t="s">
        <v>91</v>
      </c>
      <c r="E1196" s="76" t="s">
        <v>117</v>
      </c>
      <c r="F1196" s="77"/>
      <c r="G1196" s="77" t="n">
        <v>0</v>
      </c>
      <c r="H1196" s="77" t="n">
        <v>0</v>
      </c>
      <c r="I1196" s="76" t="n">
        <f aca="false">IF(AND(ISNUMBER(G1196),ISNUMBER(H1196)),MAX(G1196-H1196,0),"")</f>
        <v>0</v>
      </c>
      <c r="J1196" s="78" t="str">
        <f aca="false">IF(AND(ISNUMBER(G1196),ISNUMBER(H1196)),IF(G1196&gt;0,H1196/G1196,""),"")</f>
        <v/>
      </c>
      <c r="K1196" s="77"/>
      <c r="L1196" s="76" t="str">
        <f aca="false">IF(OR(G1196="",H1196=""),"Data tidak lengkap",IF(AND(G1196=0,H1196=0),IF(AND(F1196="",K1196=""),"Tidak dibuka","Tutup"),IF(H1196&gt;G1196,"Lebih kapasitas",IF(H1196=G1196,"Penuh",IF(H1196=0,IF(F1196="","Slot kosong","Belum terisi"),"Sebagian")))))</f>
        <v>Tidak dibuka</v>
      </c>
      <c r="M1196" s="76" t="str">
        <f aca="false">IF(L1196="Tidak dibuka","–",IF(F1196="","(tanpa age group)",F1196)&amp;"  "&amp;IF(H1196="","?",H1196)&amp;"/"&amp;IF(G1196="","?",G1196)&amp;CHAR(10)&amp;IF(K1196="","coach: –","coach: "&amp;K1196))</f>
        <v>–</v>
      </c>
    </row>
    <row r="1197" customFormat="false" ht="15" hidden="false" customHeight="false" outlineLevel="0" collapsed="false">
      <c r="A1197" s="76" t="str">
        <f aca="false">B1197&amp;"|"&amp;C1197&amp;"|"&amp;D1197&amp;"|"&amp;E1197</f>
        <v>PML|5|Selasa|14:45</v>
      </c>
      <c r="B1197" s="76" t="s">
        <v>65</v>
      </c>
      <c r="C1197" s="76" t="n">
        <v>5</v>
      </c>
      <c r="D1197" s="76" t="s">
        <v>91</v>
      </c>
      <c r="E1197" s="76" t="s">
        <v>118</v>
      </c>
      <c r="F1197" s="77"/>
      <c r="G1197" s="77" t="n">
        <v>0</v>
      </c>
      <c r="H1197" s="77" t="n">
        <v>0</v>
      </c>
      <c r="I1197" s="76" t="n">
        <f aca="false">IF(AND(ISNUMBER(G1197),ISNUMBER(H1197)),MAX(G1197-H1197,0),"")</f>
        <v>0</v>
      </c>
      <c r="J1197" s="78" t="str">
        <f aca="false">IF(AND(ISNUMBER(G1197),ISNUMBER(H1197)),IF(G1197&gt;0,H1197/G1197,""),"")</f>
        <v/>
      </c>
      <c r="K1197" s="77"/>
      <c r="L1197" s="76" t="str">
        <f aca="false">IF(OR(G1197="",H1197=""),"Data tidak lengkap",IF(AND(G1197=0,H1197=0),IF(AND(F1197="",K1197=""),"Tidak dibuka","Tutup"),IF(H1197&gt;G1197,"Lebih kapasitas",IF(H1197=G1197,"Penuh",IF(H1197=0,IF(F1197="","Slot kosong","Belum terisi"),"Sebagian")))))</f>
        <v>Tidak dibuka</v>
      </c>
      <c r="M1197" s="76" t="str">
        <f aca="false">IF(L1197="Tidak dibuka","–",IF(F1197="","(tanpa age group)",F1197)&amp;"  "&amp;IF(H1197="","?",H1197)&amp;"/"&amp;IF(G1197="","?",G1197)&amp;CHAR(10)&amp;IF(K1197="","coach: –","coach: "&amp;K1197))</f>
        <v>–</v>
      </c>
    </row>
    <row r="1198" customFormat="false" ht="15" hidden="false" customHeight="false" outlineLevel="0" collapsed="false">
      <c r="A1198" s="76" t="str">
        <f aca="false">B1198&amp;"|"&amp;C1198&amp;"|"&amp;D1198&amp;"|"&amp;E1198</f>
        <v>PML|5|Selasa|15:30</v>
      </c>
      <c r="B1198" s="76" t="s">
        <v>65</v>
      </c>
      <c r="C1198" s="76" t="n">
        <v>5</v>
      </c>
      <c r="D1198" s="76" t="s">
        <v>91</v>
      </c>
      <c r="E1198" s="76" t="s">
        <v>119</v>
      </c>
      <c r="F1198" s="77"/>
      <c r="G1198" s="77" t="n">
        <v>0</v>
      </c>
      <c r="H1198" s="77" t="n">
        <v>0</v>
      </c>
      <c r="I1198" s="76" t="n">
        <f aca="false">IF(AND(ISNUMBER(G1198),ISNUMBER(H1198)),MAX(G1198-H1198,0),"")</f>
        <v>0</v>
      </c>
      <c r="J1198" s="78" t="str">
        <f aca="false">IF(AND(ISNUMBER(G1198),ISNUMBER(H1198)),IF(G1198&gt;0,H1198/G1198,""),"")</f>
        <v/>
      </c>
      <c r="K1198" s="77"/>
      <c r="L1198" s="76" t="str">
        <f aca="false">IF(OR(G1198="",H1198=""),"Data tidak lengkap",IF(AND(G1198=0,H1198=0),IF(AND(F1198="",K1198=""),"Tidak dibuka","Tutup"),IF(H1198&gt;G1198,"Lebih kapasitas",IF(H1198=G1198,"Penuh",IF(H1198=0,IF(F1198="","Slot kosong","Belum terisi"),"Sebagian")))))</f>
        <v>Tidak dibuka</v>
      </c>
      <c r="M1198" s="76" t="str">
        <f aca="false">IF(L1198="Tidak dibuka","–",IF(F1198="","(tanpa age group)",F1198)&amp;"  "&amp;IF(H1198="","?",H1198)&amp;"/"&amp;IF(G1198="","?",G1198)&amp;CHAR(10)&amp;IF(K1198="","coach: –","coach: "&amp;K1198))</f>
        <v>–</v>
      </c>
    </row>
    <row r="1199" customFormat="false" ht="22.35" hidden="false" customHeight="false" outlineLevel="0" collapsed="false">
      <c r="A1199" s="76" t="str">
        <f aca="false">B1199&amp;"|"&amp;C1199&amp;"|"&amp;D1199&amp;"|"&amp;E1199</f>
        <v>PML|5|Selasa|16:15</v>
      </c>
      <c r="B1199" s="76" t="s">
        <v>65</v>
      </c>
      <c r="C1199" s="76" t="n">
        <v>5</v>
      </c>
      <c r="D1199" s="76" t="s">
        <v>91</v>
      </c>
      <c r="E1199" s="76" t="s">
        <v>120</v>
      </c>
      <c r="F1199" s="77" t="s">
        <v>210</v>
      </c>
      <c r="G1199" s="77" t="n">
        <v>0</v>
      </c>
      <c r="H1199" s="77" t="n">
        <v>4</v>
      </c>
      <c r="I1199" s="76" t="n">
        <f aca="false">IF(AND(ISNUMBER(G1199),ISNUMBER(H1199)),MAX(G1199-H1199,0),"")</f>
        <v>0</v>
      </c>
      <c r="J1199" s="78" t="str">
        <f aca="false">IF(AND(ISNUMBER(G1199),ISNUMBER(H1199)),IF(G1199&gt;0,H1199/G1199,""),"")</f>
        <v/>
      </c>
      <c r="K1199" s="77" t="s">
        <v>335</v>
      </c>
      <c r="L1199" s="76" t="str">
        <f aca="false">IF(OR(G1199="",H1199=""),"Data tidak lengkap",IF(AND(G1199=0,H1199=0),IF(AND(F1199="",K1199=""),"Tidak dibuka","Tutup"),IF(H1199&gt;G1199,"Lebih kapasitas",IF(H1199=G1199,"Penuh",IF(H1199=0,IF(F1199="","Slot kosong","Belum terisi"),"Sebagian")))))</f>
        <v>Lebih kapasitas</v>
      </c>
      <c r="M1199" s="79" t="str">
        <f aca="false">IF(L1199="Tidak dibuka","–",IF(F1199="","(tanpa age group)",F1199)&amp;"  "&amp;IF(H1199="","?",H1199)&amp;"/"&amp;IF(G1199="","?",G1199)&amp;CHAR(10)&amp;IF(K1199="","coach: –","coach: "&amp;K1199))</f>
        <v>Kids  4/0
coach: Shofwan</v>
      </c>
    </row>
    <row r="1200" customFormat="false" ht="22.35" hidden="false" customHeight="false" outlineLevel="0" collapsed="false">
      <c r="A1200" s="76" t="str">
        <f aca="false">B1200&amp;"|"&amp;C1200&amp;"|"&amp;D1200&amp;"|"&amp;E1200</f>
        <v>PML|5|Selasa|17:00</v>
      </c>
      <c r="B1200" s="76" t="s">
        <v>65</v>
      </c>
      <c r="C1200" s="76" t="n">
        <v>5</v>
      </c>
      <c r="D1200" s="76" t="s">
        <v>91</v>
      </c>
      <c r="E1200" s="76" t="s">
        <v>121</v>
      </c>
      <c r="F1200" s="77" t="s">
        <v>210</v>
      </c>
      <c r="G1200" s="77" t="n">
        <v>0</v>
      </c>
      <c r="H1200" s="77" t="n">
        <v>1</v>
      </c>
      <c r="I1200" s="76" t="n">
        <f aca="false">IF(AND(ISNUMBER(G1200),ISNUMBER(H1200)),MAX(G1200-H1200,0),"")</f>
        <v>0</v>
      </c>
      <c r="J1200" s="78" t="str">
        <f aca="false">IF(AND(ISNUMBER(G1200),ISNUMBER(H1200)),IF(G1200&gt;0,H1200/G1200,""),"")</f>
        <v/>
      </c>
      <c r="K1200" s="77" t="s">
        <v>335</v>
      </c>
      <c r="L1200" s="76" t="str">
        <f aca="false">IF(OR(G1200="",H1200=""),"Data tidak lengkap",IF(AND(G1200=0,H1200=0),IF(AND(F1200="",K1200=""),"Tidak dibuka","Tutup"),IF(H1200&gt;G1200,"Lebih kapasitas",IF(H1200=G1200,"Penuh",IF(H1200=0,IF(F1200="","Slot kosong","Belum terisi"),"Sebagian")))))</f>
        <v>Lebih kapasitas</v>
      </c>
      <c r="M1200" s="79" t="str">
        <f aca="false">IF(L1200="Tidak dibuka","–",IF(F1200="","(tanpa age group)",F1200)&amp;"  "&amp;IF(H1200="","?",H1200)&amp;"/"&amp;IF(G1200="","?",G1200)&amp;CHAR(10)&amp;IF(K1200="","coach: –","coach: "&amp;K1200))</f>
        <v>Kids  1/0
coach: Shofwan</v>
      </c>
    </row>
    <row r="1201" customFormat="false" ht="15" hidden="false" customHeight="false" outlineLevel="0" collapsed="false">
      <c r="A1201" s="76" t="str">
        <f aca="false">B1201&amp;"|"&amp;C1201&amp;"|"&amp;D1201&amp;"|"&amp;E1201</f>
        <v>PML|5|Rabu|08:00</v>
      </c>
      <c r="B1201" s="76" t="s">
        <v>65</v>
      </c>
      <c r="C1201" s="76" t="n">
        <v>5</v>
      </c>
      <c r="D1201" s="76" t="s">
        <v>92</v>
      </c>
      <c r="E1201" s="76" t="s">
        <v>110</v>
      </c>
      <c r="F1201" s="77"/>
      <c r="G1201" s="77" t="n">
        <v>0</v>
      </c>
      <c r="H1201" s="77" t="n">
        <v>0</v>
      </c>
      <c r="I1201" s="76" t="n">
        <f aca="false">IF(AND(ISNUMBER(G1201),ISNUMBER(H1201)),MAX(G1201-H1201,0),"")</f>
        <v>0</v>
      </c>
      <c r="J1201" s="78" t="str">
        <f aca="false">IF(AND(ISNUMBER(G1201),ISNUMBER(H1201)),IF(G1201&gt;0,H1201/G1201,""),"")</f>
        <v/>
      </c>
      <c r="K1201" s="77"/>
      <c r="L1201" s="76" t="str">
        <f aca="false">IF(OR(G1201="",H1201=""),"Data tidak lengkap",IF(AND(G1201=0,H1201=0),IF(AND(F1201="",K1201=""),"Tidak dibuka","Tutup"),IF(H1201&gt;G1201,"Lebih kapasitas",IF(H1201=G1201,"Penuh",IF(H1201=0,IF(F1201="","Slot kosong","Belum terisi"),"Sebagian")))))</f>
        <v>Tidak dibuka</v>
      </c>
      <c r="M1201" s="76" t="str">
        <f aca="false">IF(L1201="Tidak dibuka","–",IF(F1201="","(tanpa age group)",F1201)&amp;"  "&amp;IF(H1201="","?",H1201)&amp;"/"&amp;IF(G1201="","?",G1201)&amp;CHAR(10)&amp;IF(K1201="","coach: –","coach: "&amp;K1201))</f>
        <v>–</v>
      </c>
    </row>
    <row r="1202" customFormat="false" ht="15" hidden="false" customHeight="false" outlineLevel="0" collapsed="false">
      <c r="A1202" s="76" t="str">
        <f aca="false">B1202&amp;"|"&amp;C1202&amp;"|"&amp;D1202&amp;"|"&amp;E1202</f>
        <v>PML|5|Rabu|08:45</v>
      </c>
      <c r="B1202" s="76" t="s">
        <v>65</v>
      </c>
      <c r="C1202" s="76" t="n">
        <v>5</v>
      </c>
      <c r="D1202" s="76" t="s">
        <v>92</v>
      </c>
      <c r="E1202" s="76" t="s">
        <v>111</v>
      </c>
      <c r="F1202" s="77"/>
      <c r="G1202" s="77" t="n">
        <v>0</v>
      </c>
      <c r="H1202" s="77" t="n">
        <v>0</v>
      </c>
      <c r="I1202" s="76" t="n">
        <f aca="false">IF(AND(ISNUMBER(G1202),ISNUMBER(H1202)),MAX(G1202-H1202,0),"")</f>
        <v>0</v>
      </c>
      <c r="J1202" s="78" t="str">
        <f aca="false">IF(AND(ISNUMBER(G1202),ISNUMBER(H1202)),IF(G1202&gt;0,H1202/G1202,""),"")</f>
        <v/>
      </c>
      <c r="K1202" s="77"/>
      <c r="L1202" s="76" t="str">
        <f aca="false">IF(OR(G1202="",H1202=""),"Data tidak lengkap",IF(AND(G1202=0,H1202=0),IF(AND(F1202="",K1202=""),"Tidak dibuka","Tutup"),IF(H1202&gt;G1202,"Lebih kapasitas",IF(H1202=G1202,"Penuh",IF(H1202=0,IF(F1202="","Slot kosong","Belum terisi"),"Sebagian")))))</f>
        <v>Tidak dibuka</v>
      </c>
      <c r="M1202" s="76" t="str">
        <f aca="false">IF(L1202="Tidak dibuka","–",IF(F1202="","(tanpa age group)",F1202)&amp;"  "&amp;IF(H1202="","?",H1202)&amp;"/"&amp;IF(G1202="","?",G1202)&amp;CHAR(10)&amp;IF(K1202="","coach: –","coach: "&amp;K1202))</f>
        <v>–</v>
      </c>
    </row>
    <row r="1203" customFormat="false" ht="15" hidden="false" customHeight="false" outlineLevel="0" collapsed="false">
      <c r="A1203" s="76" t="str">
        <f aca="false">B1203&amp;"|"&amp;C1203&amp;"|"&amp;D1203&amp;"|"&amp;E1203</f>
        <v>PML|5|Rabu|09:30</v>
      </c>
      <c r="B1203" s="76" t="s">
        <v>65</v>
      </c>
      <c r="C1203" s="76" t="n">
        <v>5</v>
      </c>
      <c r="D1203" s="76" t="s">
        <v>92</v>
      </c>
      <c r="E1203" s="76" t="s">
        <v>112</v>
      </c>
      <c r="F1203" s="77"/>
      <c r="G1203" s="77" t="n">
        <v>0</v>
      </c>
      <c r="H1203" s="77" t="n">
        <v>0</v>
      </c>
      <c r="I1203" s="76" t="n">
        <f aca="false">IF(AND(ISNUMBER(G1203),ISNUMBER(H1203)),MAX(G1203-H1203,0),"")</f>
        <v>0</v>
      </c>
      <c r="J1203" s="78" t="str">
        <f aca="false">IF(AND(ISNUMBER(G1203),ISNUMBER(H1203)),IF(G1203&gt;0,H1203/G1203,""),"")</f>
        <v/>
      </c>
      <c r="K1203" s="77"/>
      <c r="L1203" s="76" t="str">
        <f aca="false">IF(OR(G1203="",H1203=""),"Data tidak lengkap",IF(AND(G1203=0,H1203=0),IF(AND(F1203="",K1203=""),"Tidak dibuka","Tutup"),IF(H1203&gt;G1203,"Lebih kapasitas",IF(H1203=G1203,"Penuh",IF(H1203=0,IF(F1203="","Slot kosong","Belum terisi"),"Sebagian")))))</f>
        <v>Tidak dibuka</v>
      </c>
      <c r="M1203" s="76" t="str">
        <f aca="false">IF(L1203="Tidak dibuka","–",IF(F1203="","(tanpa age group)",F1203)&amp;"  "&amp;IF(H1203="","?",H1203)&amp;"/"&amp;IF(G1203="","?",G1203)&amp;CHAR(10)&amp;IF(K1203="","coach: –","coach: "&amp;K1203))</f>
        <v>–</v>
      </c>
    </row>
    <row r="1204" customFormat="false" ht="15" hidden="false" customHeight="false" outlineLevel="0" collapsed="false">
      <c r="A1204" s="76" t="str">
        <f aca="false">B1204&amp;"|"&amp;C1204&amp;"|"&amp;D1204&amp;"|"&amp;E1204</f>
        <v>PML|5|Rabu|10:15</v>
      </c>
      <c r="B1204" s="76" t="s">
        <v>65</v>
      </c>
      <c r="C1204" s="76" t="n">
        <v>5</v>
      </c>
      <c r="D1204" s="76" t="s">
        <v>92</v>
      </c>
      <c r="E1204" s="76" t="s">
        <v>113</v>
      </c>
      <c r="F1204" s="77"/>
      <c r="G1204" s="77" t="n">
        <v>0</v>
      </c>
      <c r="H1204" s="77" t="n">
        <v>0</v>
      </c>
      <c r="I1204" s="76" t="n">
        <f aca="false">IF(AND(ISNUMBER(G1204),ISNUMBER(H1204)),MAX(G1204-H1204,0),"")</f>
        <v>0</v>
      </c>
      <c r="J1204" s="78" t="str">
        <f aca="false">IF(AND(ISNUMBER(G1204),ISNUMBER(H1204)),IF(G1204&gt;0,H1204/G1204,""),"")</f>
        <v/>
      </c>
      <c r="K1204" s="77"/>
      <c r="L1204" s="76" t="str">
        <f aca="false">IF(OR(G1204="",H1204=""),"Data tidak lengkap",IF(AND(G1204=0,H1204=0),IF(AND(F1204="",K1204=""),"Tidak dibuka","Tutup"),IF(H1204&gt;G1204,"Lebih kapasitas",IF(H1204=G1204,"Penuh",IF(H1204=0,IF(F1204="","Slot kosong","Belum terisi"),"Sebagian")))))</f>
        <v>Tidak dibuka</v>
      </c>
      <c r="M1204" s="76" t="str">
        <f aca="false">IF(L1204="Tidak dibuka","–",IF(F1204="","(tanpa age group)",F1204)&amp;"  "&amp;IF(H1204="","?",H1204)&amp;"/"&amp;IF(G1204="","?",G1204)&amp;CHAR(10)&amp;IF(K1204="","coach: –","coach: "&amp;K1204))</f>
        <v>–</v>
      </c>
    </row>
    <row r="1205" customFormat="false" ht="15" hidden="false" customHeight="false" outlineLevel="0" collapsed="false">
      <c r="A1205" s="76" t="str">
        <f aca="false">B1205&amp;"|"&amp;C1205&amp;"|"&amp;D1205&amp;"|"&amp;E1205</f>
        <v>PML|5|Rabu|11:00</v>
      </c>
      <c r="B1205" s="76" t="s">
        <v>65</v>
      </c>
      <c r="C1205" s="76" t="n">
        <v>5</v>
      </c>
      <c r="D1205" s="76" t="s">
        <v>92</v>
      </c>
      <c r="E1205" s="76" t="s">
        <v>114</v>
      </c>
      <c r="F1205" s="77"/>
      <c r="G1205" s="77" t="n">
        <v>0</v>
      </c>
      <c r="H1205" s="77" t="n">
        <v>0</v>
      </c>
      <c r="I1205" s="76" t="n">
        <f aca="false">IF(AND(ISNUMBER(G1205),ISNUMBER(H1205)),MAX(G1205-H1205,0),"")</f>
        <v>0</v>
      </c>
      <c r="J1205" s="78" t="str">
        <f aca="false">IF(AND(ISNUMBER(G1205),ISNUMBER(H1205)),IF(G1205&gt;0,H1205/G1205,""),"")</f>
        <v/>
      </c>
      <c r="K1205" s="77"/>
      <c r="L1205" s="76" t="str">
        <f aca="false">IF(OR(G1205="",H1205=""),"Data tidak lengkap",IF(AND(G1205=0,H1205=0),IF(AND(F1205="",K1205=""),"Tidak dibuka","Tutup"),IF(H1205&gt;G1205,"Lebih kapasitas",IF(H1205=G1205,"Penuh",IF(H1205=0,IF(F1205="","Slot kosong","Belum terisi"),"Sebagian")))))</f>
        <v>Tidak dibuka</v>
      </c>
      <c r="M1205" s="76" t="str">
        <f aca="false">IF(L1205="Tidak dibuka","–",IF(F1205="","(tanpa age group)",F1205)&amp;"  "&amp;IF(H1205="","?",H1205)&amp;"/"&amp;IF(G1205="","?",G1205)&amp;CHAR(10)&amp;IF(K1205="","coach: –","coach: "&amp;K1205))</f>
        <v>–</v>
      </c>
    </row>
    <row r="1206" customFormat="false" ht="15" hidden="false" customHeight="false" outlineLevel="0" collapsed="false">
      <c r="A1206" s="76" t="str">
        <f aca="false">B1206&amp;"|"&amp;C1206&amp;"|"&amp;D1206&amp;"|"&amp;E1206</f>
        <v>PML|5|Rabu|11:45</v>
      </c>
      <c r="B1206" s="76" t="s">
        <v>65</v>
      </c>
      <c r="C1206" s="76" t="n">
        <v>5</v>
      </c>
      <c r="D1206" s="76" t="s">
        <v>92</v>
      </c>
      <c r="E1206" s="76" t="s">
        <v>115</v>
      </c>
      <c r="F1206" s="77"/>
      <c r="G1206" s="77" t="n">
        <v>0</v>
      </c>
      <c r="H1206" s="77" t="n">
        <v>0</v>
      </c>
      <c r="I1206" s="76" t="n">
        <f aca="false">IF(AND(ISNUMBER(G1206),ISNUMBER(H1206)),MAX(G1206-H1206,0),"")</f>
        <v>0</v>
      </c>
      <c r="J1206" s="78" t="str">
        <f aca="false">IF(AND(ISNUMBER(G1206),ISNUMBER(H1206)),IF(G1206&gt;0,H1206/G1206,""),"")</f>
        <v/>
      </c>
      <c r="K1206" s="77"/>
      <c r="L1206" s="76" t="str">
        <f aca="false">IF(OR(G1206="",H1206=""),"Data tidak lengkap",IF(AND(G1206=0,H1206=0),IF(AND(F1206="",K1206=""),"Tidak dibuka","Tutup"),IF(H1206&gt;G1206,"Lebih kapasitas",IF(H1206=G1206,"Penuh",IF(H1206=0,IF(F1206="","Slot kosong","Belum terisi"),"Sebagian")))))</f>
        <v>Tidak dibuka</v>
      </c>
      <c r="M1206" s="76" t="str">
        <f aca="false">IF(L1206="Tidak dibuka","–",IF(F1206="","(tanpa age group)",F1206)&amp;"  "&amp;IF(H1206="","?",H1206)&amp;"/"&amp;IF(G1206="","?",G1206)&amp;CHAR(10)&amp;IF(K1206="","coach: –","coach: "&amp;K1206))</f>
        <v>–</v>
      </c>
    </row>
    <row r="1207" customFormat="false" ht="15" hidden="false" customHeight="false" outlineLevel="0" collapsed="false">
      <c r="A1207" s="76" t="str">
        <f aca="false">B1207&amp;"|"&amp;C1207&amp;"|"&amp;D1207&amp;"|"&amp;E1207</f>
        <v>PML|5|Rabu|13:15</v>
      </c>
      <c r="B1207" s="76" t="s">
        <v>65</v>
      </c>
      <c r="C1207" s="76" t="n">
        <v>5</v>
      </c>
      <c r="D1207" s="76" t="s">
        <v>92</v>
      </c>
      <c r="E1207" s="76" t="s">
        <v>116</v>
      </c>
      <c r="F1207" s="77"/>
      <c r="G1207" s="77" t="n">
        <v>0</v>
      </c>
      <c r="H1207" s="77" t="n">
        <v>0</v>
      </c>
      <c r="I1207" s="76" t="n">
        <f aca="false">IF(AND(ISNUMBER(G1207),ISNUMBER(H1207)),MAX(G1207-H1207,0),"")</f>
        <v>0</v>
      </c>
      <c r="J1207" s="78" t="str">
        <f aca="false">IF(AND(ISNUMBER(G1207),ISNUMBER(H1207)),IF(G1207&gt;0,H1207/G1207,""),"")</f>
        <v/>
      </c>
      <c r="K1207" s="77"/>
      <c r="L1207" s="76" t="str">
        <f aca="false">IF(OR(G1207="",H1207=""),"Data tidak lengkap",IF(AND(G1207=0,H1207=0),IF(AND(F1207="",K1207=""),"Tidak dibuka","Tutup"),IF(H1207&gt;G1207,"Lebih kapasitas",IF(H1207=G1207,"Penuh",IF(H1207=0,IF(F1207="","Slot kosong","Belum terisi"),"Sebagian")))))</f>
        <v>Tidak dibuka</v>
      </c>
      <c r="M1207" s="76" t="str">
        <f aca="false">IF(L1207="Tidak dibuka","–",IF(F1207="","(tanpa age group)",F1207)&amp;"  "&amp;IF(H1207="","?",H1207)&amp;"/"&amp;IF(G1207="","?",G1207)&amp;CHAR(10)&amp;IF(K1207="","coach: –","coach: "&amp;K1207))</f>
        <v>–</v>
      </c>
    </row>
    <row r="1208" customFormat="false" ht="22.35" hidden="false" customHeight="false" outlineLevel="0" collapsed="false">
      <c r="A1208" s="76" t="str">
        <f aca="false">B1208&amp;"|"&amp;C1208&amp;"|"&amp;D1208&amp;"|"&amp;E1208</f>
        <v>PML|5|Rabu|14:00</v>
      </c>
      <c r="B1208" s="76" t="s">
        <v>65</v>
      </c>
      <c r="C1208" s="76" t="n">
        <v>5</v>
      </c>
      <c r="D1208" s="76" t="s">
        <v>92</v>
      </c>
      <c r="E1208" s="76" t="s">
        <v>117</v>
      </c>
      <c r="F1208" s="77" t="s">
        <v>210</v>
      </c>
      <c r="G1208" s="77" t="n">
        <v>0</v>
      </c>
      <c r="H1208" s="77" t="n">
        <v>1</v>
      </c>
      <c r="I1208" s="76" t="n">
        <f aca="false">IF(AND(ISNUMBER(G1208),ISNUMBER(H1208)),MAX(G1208-H1208,0),"")</f>
        <v>0</v>
      </c>
      <c r="J1208" s="78" t="str">
        <f aca="false">IF(AND(ISNUMBER(G1208),ISNUMBER(H1208)),IF(G1208&gt;0,H1208/G1208,""),"")</f>
        <v/>
      </c>
      <c r="K1208" s="77" t="s">
        <v>337</v>
      </c>
      <c r="L1208" s="76" t="str">
        <f aca="false">IF(OR(G1208="",H1208=""),"Data tidak lengkap",IF(AND(G1208=0,H1208=0),IF(AND(F1208="",K1208=""),"Tidak dibuka","Tutup"),IF(H1208&gt;G1208,"Lebih kapasitas",IF(H1208=G1208,"Penuh",IF(H1208=0,IF(F1208="","Slot kosong","Belum terisi"),"Sebagian")))))</f>
        <v>Lebih kapasitas</v>
      </c>
      <c r="M1208" s="79" t="str">
        <f aca="false">IF(L1208="Tidak dibuka","–",IF(F1208="","(tanpa age group)",F1208)&amp;"  "&amp;IF(H1208="","?",H1208)&amp;"/"&amp;IF(G1208="","?",G1208)&amp;CHAR(10)&amp;IF(K1208="","coach: –","coach: "&amp;K1208))</f>
        <v>Kids  1/0
coach: Dadi</v>
      </c>
    </row>
    <row r="1209" customFormat="false" ht="22.35" hidden="false" customHeight="false" outlineLevel="0" collapsed="false">
      <c r="A1209" s="76" t="str">
        <f aca="false">B1209&amp;"|"&amp;C1209&amp;"|"&amp;D1209&amp;"|"&amp;E1209</f>
        <v>PML|5|Rabu|14:45</v>
      </c>
      <c r="B1209" s="76" t="s">
        <v>65</v>
      </c>
      <c r="C1209" s="76" t="n">
        <v>5</v>
      </c>
      <c r="D1209" s="76" t="s">
        <v>92</v>
      </c>
      <c r="E1209" s="76" t="s">
        <v>118</v>
      </c>
      <c r="F1209" s="77" t="s">
        <v>277</v>
      </c>
      <c r="G1209" s="77" t="n">
        <v>0</v>
      </c>
      <c r="H1209" s="77" t="n">
        <v>1</v>
      </c>
      <c r="I1209" s="76" t="n">
        <f aca="false">IF(AND(ISNUMBER(G1209),ISNUMBER(H1209)),MAX(G1209-H1209,0),"")</f>
        <v>0</v>
      </c>
      <c r="J1209" s="78" t="str">
        <f aca="false">IF(AND(ISNUMBER(G1209),ISNUMBER(H1209)),IF(G1209&gt;0,H1209/G1209,""),"")</f>
        <v/>
      </c>
      <c r="K1209" s="77" t="s">
        <v>336</v>
      </c>
      <c r="L1209" s="76" t="str">
        <f aca="false">IF(OR(G1209="",H1209=""),"Data tidak lengkap",IF(AND(G1209=0,H1209=0),IF(AND(F1209="",K1209=""),"Tidak dibuka","Tutup"),IF(H1209&gt;G1209,"Lebih kapasitas",IF(H1209=G1209,"Penuh",IF(H1209=0,IF(F1209="","Slot kosong","Belum terisi"),"Sebagian")))))</f>
        <v>Lebih kapasitas</v>
      </c>
      <c r="M1209" s="79" t="str">
        <f aca="false">IF(L1209="Tidak dibuka","–",IF(F1209="","(tanpa age group)",F1209)&amp;"  "&amp;IF(H1209="","?",H1209)&amp;"/"&amp;IF(G1209="","?",G1209)&amp;CHAR(10)&amp;IF(K1209="","coach: –","coach: "&amp;K1209))</f>
        <v>Little  1/0
coach: Laksamana</v>
      </c>
    </row>
    <row r="1210" customFormat="false" ht="22.35" hidden="false" customHeight="false" outlineLevel="0" collapsed="false">
      <c r="A1210" s="76" t="str">
        <f aca="false">B1210&amp;"|"&amp;C1210&amp;"|"&amp;D1210&amp;"|"&amp;E1210</f>
        <v>PML|5|Rabu|15:30</v>
      </c>
      <c r="B1210" s="76" t="s">
        <v>65</v>
      </c>
      <c r="C1210" s="76" t="n">
        <v>5</v>
      </c>
      <c r="D1210" s="76" t="s">
        <v>92</v>
      </c>
      <c r="E1210" s="76" t="s">
        <v>119</v>
      </c>
      <c r="F1210" s="77" t="s">
        <v>210</v>
      </c>
      <c r="G1210" s="77" t="n">
        <v>4</v>
      </c>
      <c r="H1210" s="77" t="n">
        <v>4</v>
      </c>
      <c r="I1210" s="76" t="n">
        <f aca="false">IF(AND(ISNUMBER(G1210),ISNUMBER(H1210)),MAX(G1210-H1210,0),"")</f>
        <v>0</v>
      </c>
      <c r="J1210" s="78" t="n">
        <f aca="false">IF(AND(ISNUMBER(G1210),ISNUMBER(H1210)),IF(G1210&gt;0,H1210/G1210,""),"")</f>
        <v>1</v>
      </c>
      <c r="K1210" s="77" t="s">
        <v>336</v>
      </c>
      <c r="L1210" s="76" t="str">
        <f aca="false">IF(OR(G1210="",H1210=""),"Data tidak lengkap",IF(AND(G1210=0,H1210=0),IF(AND(F1210="",K1210=""),"Tidak dibuka","Tutup"),IF(H1210&gt;G1210,"Lebih kapasitas",IF(H1210=G1210,"Penuh",IF(H1210=0,IF(F1210="","Slot kosong","Belum terisi"),"Sebagian")))))</f>
        <v>Penuh</v>
      </c>
      <c r="M1210" s="79" t="str">
        <f aca="false">IF(L1210="Tidak dibuka","–",IF(F1210="","(tanpa age group)",F1210)&amp;"  "&amp;IF(H1210="","?",H1210)&amp;"/"&amp;IF(G1210="","?",G1210)&amp;CHAR(10)&amp;IF(K1210="","coach: –","coach: "&amp;K1210))</f>
        <v>Kids  4/4
coach: Laksamana</v>
      </c>
    </row>
    <row r="1211" customFormat="false" ht="15" hidden="false" customHeight="false" outlineLevel="0" collapsed="false">
      <c r="A1211" s="76" t="str">
        <f aca="false">B1211&amp;"|"&amp;C1211&amp;"|"&amp;D1211&amp;"|"&amp;E1211</f>
        <v>PML|5|Rabu|16:15</v>
      </c>
      <c r="B1211" s="76" t="s">
        <v>65</v>
      </c>
      <c r="C1211" s="76" t="n">
        <v>5</v>
      </c>
      <c r="D1211" s="76" t="s">
        <v>92</v>
      </c>
      <c r="E1211" s="76" t="s">
        <v>120</v>
      </c>
      <c r="F1211" s="77"/>
      <c r="G1211" s="77" t="n">
        <v>0</v>
      </c>
      <c r="H1211" s="77" t="n">
        <v>0</v>
      </c>
      <c r="I1211" s="76" t="n">
        <f aca="false">IF(AND(ISNUMBER(G1211),ISNUMBER(H1211)),MAX(G1211-H1211,0),"")</f>
        <v>0</v>
      </c>
      <c r="J1211" s="78" t="str">
        <f aca="false">IF(AND(ISNUMBER(G1211),ISNUMBER(H1211)),IF(G1211&gt;0,H1211/G1211,""),"")</f>
        <v/>
      </c>
      <c r="K1211" s="77"/>
      <c r="L1211" s="76" t="str">
        <f aca="false">IF(OR(G1211="",H1211=""),"Data tidak lengkap",IF(AND(G1211=0,H1211=0),IF(AND(F1211="",K1211=""),"Tidak dibuka","Tutup"),IF(H1211&gt;G1211,"Lebih kapasitas",IF(H1211=G1211,"Penuh",IF(H1211=0,IF(F1211="","Slot kosong","Belum terisi"),"Sebagian")))))</f>
        <v>Tidak dibuka</v>
      </c>
      <c r="M1211" s="76" t="str">
        <f aca="false">IF(L1211="Tidak dibuka","–",IF(F1211="","(tanpa age group)",F1211)&amp;"  "&amp;IF(H1211="","?",H1211)&amp;"/"&amp;IF(G1211="","?",G1211)&amp;CHAR(10)&amp;IF(K1211="","coach: –","coach: "&amp;K1211))</f>
        <v>–</v>
      </c>
    </row>
    <row r="1212" customFormat="false" ht="15" hidden="false" customHeight="false" outlineLevel="0" collapsed="false">
      <c r="A1212" s="76" t="str">
        <f aca="false">B1212&amp;"|"&amp;C1212&amp;"|"&amp;D1212&amp;"|"&amp;E1212</f>
        <v>PML|5|Rabu|17:00</v>
      </c>
      <c r="B1212" s="76" t="s">
        <v>65</v>
      </c>
      <c r="C1212" s="76" t="n">
        <v>5</v>
      </c>
      <c r="D1212" s="76" t="s">
        <v>92</v>
      </c>
      <c r="E1212" s="76" t="s">
        <v>121</v>
      </c>
      <c r="F1212" s="77"/>
      <c r="G1212" s="77" t="n">
        <v>0</v>
      </c>
      <c r="H1212" s="77" t="n">
        <v>0</v>
      </c>
      <c r="I1212" s="76" t="n">
        <f aca="false">IF(AND(ISNUMBER(G1212),ISNUMBER(H1212)),MAX(G1212-H1212,0),"")</f>
        <v>0</v>
      </c>
      <c r="J1212" s="78" t="str">
        <f aca="false">IF(AND(ISNUMBER(G1212),ISNUMBER(H1212)),IF(G1212&gt;0,H1212/G1212,""),"")</f>
        <v/>
      </c>
      <c r="K1212" s="77"/>
      <c r="L1212" s="76" t="str">
        <f aca="false">IF(OR(G1212="",H1212=""),"Data tidak lengkap",IF(AND(G1212=0,H1212=0),IF(AND(F1212="",K1212=""),"Tidak dibuka","Tutup"),IF(H1212&gt;G1212,"Lebih kapasitas",IF(H1212=G1212,"Penuh",IF(H1212=0,IF(F1212="","Slot kosong","Belum terisi"),"Sebagian")))))</f>
        <v>Tidak dibuka</v>
      </c>
      <c r="M1212" s="76" t="str">
        <f aca="false">IF(L1212="Tidak dibuka","–",IF(F1212="","(tanpa age group)",F1212)&amp;"  "&amp;IF(H1212="","?",H1212)&amp;"/"&amp;IF(G1212="","?",G1212)&amp;CHAR(10)&amp;IF(K1212="","coach: –","coach: "&amp;K1212))</f>
        <v>–</v>
      </c>
    </row>
    <row r="1213" customFormat="false" ht="15" hidden="false" customHeight="false" outlineLevel="0" collapsed="false">
      <c r="A1213" s="76" t="str">
        <f aca="false">B1213&amp;"|"&amp;C1213&amp;"|"&amp;D1213&amp;"|"&amp;E1213</f>
        <v>PML|5|Kamis|08:00</v>
      </c>
      <c r="B1213" s="76" t="s">
        <v>65</v>
      </c>
      <c r="C1213" s="76" t="n">
        <v>5</v>
      </c>
      <c r="D1213" s="76" t="s">
        <v>93</v>
      </c>
      <c r="E1213" s="76" t="s">
        <v>110</v>
      </c>
      <c r="F1213" s="77"/>
      <c r="G1213" s="77" t="n">
        <v>0</v>
      </c>
      <c r="H1213" s="77" t="n">
        <v>0</v>
      </c>
      <c r="I1213" s="76" t="n">
        <f aca="false">IF(AND(ISNUMBER(G1213),ISNUMBER(H1213)),MAX(G1213-H1213,0),"")</f>
        <v>0</v>
      </c>
      <c r="J1213" s="78" t="str">
        <f aca="false">IF(AND(ISNUMBER(G1213),ISNUMBER(H1213)),IF(G1213&gt;0,H1213/G1213,""),"")</f>
        <v/>
      </c>
      <c r="K1213" s="77"/>
      <c r="L1213" s="76" t="str">
        <f aca="false">IF(OR(G1213="",H1213=""),"Data tidak lengkap",IF(AND(G1213=0,H1213=0),IF(AND(F1213="",K1213=""),"Tidak dibuka","Tutup"),IF(H1213&gt;G1213,"Lebih kapasitas",IF(H1213=G1213,"Penuh",IF(H1213=0,IF(F1213="","Slot kosong","Belum terisi"),"Sebagian")))))</f>
        <v>Tidak dibuka</v>
      </c>
      <c r="M1213" s="76" t="str">
        <f aca="false">IF(L1213="Tidak dibuka","–",IF(F1213="","(tanpa age group)",F1213)&amp;"  "&amp;IF(H1213="","?",H1213)&amp;"/"&amp;IF(G1213="","?",G1213)&amp;CHAR(10)&amp;IF(K1213="","coach: –","coach: "&amp;K1213))</f>
        <v>–</v>
      </c>
    </row>
    <row r="1214" customFormat="false" ht="15" hidden="false" customHeight="false" outlineLevel="0" collapsed="false">
      <c r="A1214" s="76" t="str">
        <f aca="false">B1214&amp;"|"&amp;C1214&amp;"|"&amp;D1214&amp;"|"&amp;E1214</f>
        <v>PML|5|Kamis|08:45</v>
      </c>
      <c r="B1214" s="76" t="s">
        <v>65</v>
      </c>
      <c r="C1214" s="76" t="n">
        <v>5</v>
      </c>
      <c r="D1214" s="76" t="s">
        <v>93</v>
      </c>
      <c r="E1214" s="76" t="s">
        <v>111</v>
      </c>
      <c r="F1214" s="77"/>
      <c r="G1214" s="77" t="n">
        <v>0</v>
      </c>
      <c r="H1214" s="77" t="n">
        <v>0</v>
      </c>
      <c r="I1214" s="76" t="n">
        <f aca="false">IF(AND(ISNUMBER(G1214),ISNUMBER(H1214)),MAX(G1214-H1214,0),"")</f>
        <v>0</v>
      </c>
      <c r="J1214" s="78" t="str">
        <f aca="false">IF(AND(ISNUMBER(G1214),ISNUMBER(H1214)),IF(G1214&gt;0,H1214/G1214,""),"")</f>
        <v/>
      </c>
      <c r="K1214" s="77"/>
      <c r="L1214" s="76" t="str">
        <f aca="false">IF(OR(G1214="",H1214=""),"Data tidak lengkap",IF(AND(G1214=0,H1214=0),IF(AND(F1214="",K1214=""),"Tidak dibuka","Tutup"),IF(H1214&gt;G1214,"Lebih kapasitas",IF(H1214=G1214,"Penuh",IF(H1214=0,IF(F1214="","Slot kosong","Belum terisi"),"Sebagian")))))</f>
        <v>Tidak dibuka</v>
      </c>
      <c r="M1214" s="76" t="str">
        <f aca="false">IF(L1214="Tidak dibuka","–",IF(F1214="","(tanpa age group)",F1214)&amp;"  "&amp;IF(H1214="","?",H1214)&amp;"/"&amp;IF(G1214="","?",G1214)&amp;CHAR(10)&amp;IF(K1214="","coach: –","coach: "&amp;K1214))</f>
        <v>–</v>
      </c>
    </row>
    <row r="1215" customFormat="false" ht="15" hidden="false" customHeight="false" outlineLevel="0" collapsed="false">
      <c r="A1215" s="76" t="str">
        <f aca="false">B1215&amp;"|"&amp;C1215&amp;"|"&amp;D1215&amp;"|"&amp;E1215</f>
        <v>PML|5|Kamis|09:30</v>
      </c>
      <c r="B1215" s="76" t="s">
        <v>65</v>
      </c>
      <c r="C1215" s="76" t="n">
        <v>5</v>
      </c>
      <c r="D1215" s="76" t="s">
        <v>93</v>
      </c>
      <c r="E1215" s="76" t="s">
        <v>112</v>
      </c>
      <c r="F1215" s="77"/>
      <c r="G1215" s="77" t="n">
        <v>0</v>
      </c>
      <c r="H1215" s="77" t="n">
        <v>0</v>
      </c>
      <c r="I1215" s="76" t="n">
        <f aca="false">IF(AND(ISNUMBER(G1215),ISNUMBER(H1215)),MAX(G1215-H1215,0),"")</f>
        <v>0</v>
      </c>
      <c r="J1215" s="78" t="str">
        <f aca="false">IF(AND(ISNUMBER(G1215),ISNUMBER(H1215)),IF(G1215&gt;0,H1215/G1215,""),"")</f>
        <v/>
      </c>
      <c r="K1215" s="77"/>
      <c r="L1215" s="76" t="str">
        <f aca="false">IF(OR(G1215="",H1215=""),"Data tidak lengkap",IF(AND(G1215=0,H1215=0),IF(AND(F1215="",K1215=""),"Tidak dibuka","Tutup"),IF(H1215&gt;G1215,"Lebih kapasitas",IF(H1215=G1215,"Penuh",IF(H1215=0,IF(F1215="","Slot kosong","Belum terisi"),"Sebagian")))))</f>
        <v>Tidak dibuka</v>
      </c>
      <c r="M1215" s="76" t="str">
        <f aca="false">IF(L1215="Tidak dibuka","–",IF(F1215="","(tanpa age group)",F1215)&amp;"  "&amp;IF(H1215="","?",H1215)&amp;"/"&amp;IF(G1215="","?",G1215)&amp;CHAR(10)&amp;IF(K1215="","coach: –","coach: "&amp;K1215))</f>
        <v>–</v>
      </c>
    </row>
    <row r="1216" customFormat="false" ht="15" hidden="false" customHeight="false" outlineLevel="0" collapsed="false">
      <c r="A1216" s="76" t="str">
        <f aca="false">B1216&amp;"|"&amp;C1216&amp;"|"&amp;D1216&amp;"|"&amp;E1216</f>
        <v>PML|5|Kamis|10:15</v>
      </c>
      <c r="B1216" s="76" t="s">
        <v>65</v>
      </c>
      <c r="C1216" s="76" t="n">
        <v>5</v>
      </c>
      <c r="D1216" s="76" t="s">
        <v>93</v>
      </c>
      <c r="E1216" s="76" t="s">
        <v>113</v>
      </c>
      <c r="F1216" s="77"/>
      <c r="G1216" s="77" t="n">
        <v>0</v>
      </c>
      <c r="H1216" s="77" t="n">
        <v>0</v>
      </c>
      <c r="I1216" s="76" t="n">
        <f aca="false">IF(AND(ISNUMBER(G1216),ISNUMBER(H1216)),MAX(G1216-H1216,0),"")</f>
        <v>0</v>
      </c>
      <c r="J1216" s="78" t="str">
        <f aca="false">IF(AND(ISNUMBER(G1216),ISNUMBER(H1216)),IF(G1216&gt;0,H1216/G1216,""),"")</f>
        <v/>
      </c>
      <c r="K1216" s="77"/>
      <c r="L1216" s="76" t="str">
        <f aca="false">IF(OR(G1216="",H1216=""),"Data tidak lengkap",IF(AND(G1216=0,H1216=0),IF(AND(F1216="",K1216=""),"Tidak dibuka","Tutup"),IF(H1216&gt;G1216,"Lebih kapasitas",IF(H1216=G1216,"Penuh",IF(H1216=0,IF(F1216="","Slot kosong","Belum terisi"),"Sebagian")))))</f>
        <v>Tidak dibuka</v>
      </c>
      <c r="M1216" s="76" t="str">
        <f aca="false">IF(L1216="Tidak dibuka","–",IF(F1216="","(tanpa age group)",F1216)&amp;"  "&amp;IF(H1216="","?",H1216)&amp;"/"&amp;IF(G1216="","?",G1216)&amp;CHAR(10)&amp;IF(K1216="","coach: –","coach: "&amp;K1216))</f>
        <v>–</v>
      </c>
    </row>
    <row r="1217" customFormat="false" ht="22.35" hidden="false" customHeight="false" outlineLevel="0" collapsed="false">
      <c r="A1217" s="76" t="str">
        <f aca="false">B1217&amp;"|"&amp;C1217&amp;"|"&amp;D1217&amp;"|"&amp;E1217</f>
        <v>PML|5|Kamis|11:00</v>
      </c>
      <c r="B1217" s="76" t="s">
        <v>65</v>
      </c>
      <c r="C1217" s="76" t="n">
        <v>5</v>
      </c>
      <c r="D1217" s="76" t="s">
        <v>93</v>
      </c>
      <c r="E1217" s="76" t="s">
        <v>114</v>
      </c>
      <c r="F1217" s="77" t="s">
        <v>277</v>
      </c>
      <c r="G1217" s="77" t="n">
        <v>0</v>
      </c>
      <c r="H1217" s="77" t="n">
        <v>1</v>
      </c>
      <c r="I1217" s="76" t="n">
        <f aca="false">IF(AND(ISNUMBER(G1217),ISNUMBER(H1217)),MAX(G1217-H1217,0),"")</f>
        <v>0</v>
      </c>
      <c r="J1217" s="78" t="str">
        <f aca="false">IF(AND(ISNUMBER(G1217),ISNUMBER(H1217)),IF(G1217&gt;0,H1217/G1217,""),"")</f>
        <v/>
      </c>
      <c r="K1217" s="77" t="s">
        <v>333</v>
      </c>
      <c r="L1217" s="76" t="str">
        <f aca="false">IF(OR(G1217="",H1217=""),"Data tidak lengkap",IF(AND(G1217=0,H1217=0),IF(AND(F1217="",K1217=""),"Tidak dibuka","Tutup"),IF(H1217&gt;G1217,"Lebih kapasitas",IF(H1217=G1217,"Penuh",IF(H1217=0,IF(F1217="","Slot kosong","Belum terisi"),"Sebagian")))))</f>
        <v>Lebih kapasitas</v>
      </c>
      <c r="M1217" s="79" t="str">
        <f aca="false">IF(L1217="Tidak dibuka","–",IF(F1217="","(tanpa age group)",F1217)&amp;"  "&amp;IF(H1217="","?",H1217)&amp;"/"&amp;IF(G1217="","?",G1217)&amp;CHAR(10)&amp;IF(K1217="","coach: –","coach: "&amp;K1217))</f>
        <v>Little  1/0
coach: Zidan</v>
      </c>
    </row>
    <row r="1218" customFormat="false" ht="15" hidden="false" customHeight="false" outlineLevel="0" collapsed="false">
      <c r="A1218" s="76" t="str">
        <f aca="false">B1218&amp;"|"&amp;C1218&amp;"|"&amp;D1218&amp;"|"&amp;E1218</f>
        <v>PML|5|Kamis|11:45</v>
      </c>
      <c r="B1218" s="76" t="s">
        <v>65</v>
      </c>
      <c r="C1218" s="76" t="n">
        <v>5</v>
      </c>
      <c r="D1218" s="76" t="s">
        <v>93</v>
      </c>
      <c r="E1218" s="76" t="s">
        <v>115</v>
      </c>
      <c r="F1218" s="77"/>
      <c r="G1218" s="77" t="n">
        <v>0</v>
      </c>
      <c r="H1218" s="77" t="n">
        <v>0</v>
      </c>
      <c r="I1218" s="76" t="n">
        <f aca="false">IF(AND(ISNUMBER(G1218),ISNUMBER(H1218)),MAX(G1218-H1218,0),"")</f>
        <v>0</v>
      </c>
      <c r="J1218" s="78" t="str">
        <f aca="false">IF(AND(ISNUMBER(G1218),ISNUMBER(H1218)),IF(G1218&gt;0,H1218/G1218,""),"")</f>
        <v/>
      </c>
      <c r="K1218" s="77"/>
      <c r="L1218" s="76" t="str">
        <f aca="false">IF(OR(G1218="",H1218=""),"Data tidak lengkap",IF(AND(G1218=0,H1218=0),IF(AND(F1218="",K1218=""),"Tidak dibuka","Tutup"),IF(H1218&gt;G1218,"Lebih kapasitas",IF(H1218=G1218,"Penuh",IF(H1218=0,IF(F1218="","Slot kosong","Belum terisi"),"Sebagian")))))</f>
        <v>Tidak dibuka</v>
      </c>
      <c r="M1218" s="76" t="str">
        <f aca="false">IF(L1218="Tidak dibuka","–",IF(F1218="","(tanpa age group)",F1218)&amp;"  "&amp;IF(H1218="","?",H1218)&amp;"/"&amp;IF(G1218="","?",G1218)&amp;CHAR(10)&amp;IF(K1218="","coach: –","coach: "&amp;K1218))</f>
        <v>–</v>
      </c>
    </row>
    <row r="1219" customFormat="false" ht="15" hidden="false" customHeight="false" outlineLevel="0" collapsed="false">
      <c r="A1219" s="76" t="str">
        <f aca="false">B1219&amp;"|"&amp;C1219&amp;"|"&amp;D1219&amp;"|"&amp;E1219</f>
        <v>PML|5|Kamis|13:15</v>
      </c>
      <c r="B1219" s="76" t="s">
        <v>65</v>
      </c>
      <c r="C1219" s="76" t="n">
        <v>5</v>
      </c>
      <c r="D1219" s="76" t="s">
        <v>93</v>
      </c>
      <c r="E1219" s="76" t="s">
        <v>116</v>
      </c>
      <c r="F1219" s="77"/>
      <c r="G1219" s="77" t="n">
        <v>0</v>
      </c>
      <c r="H1219" s="77" t="n">
        <v>0</v>
      </c>
      <c r="I1219" s="76" t="n">
        <f aca="false">IF(AND(ISNUMBER(G1219),ISNUMBER(H1219)),MAX(G1219-H1219,0),"")</f>
        <v>0</v>
      </c>
      <c r="J1219" s="78" t="str">
        <f aca="false">IF(AND(ISNUMBER(G1219),ISNUMBER(H1219)),IF(G1219&gt;0,H1219/G1219,""),"")</f>
        <v/>
      </c>
      <c r="K1219" s="77"/>
      <c r="L1219" s="76" t="str">
        <f aca="false">IF(OR(G1219="",H1219=""),"Data tidak lengkap",IF(AND(G1219=0,H1219=0),IF(AND(F1219="",K1219=""),"Tidak dibuka","Tutup"),IF(H1219&gt;G1219,"Lebih kapasitas",IF(H1219=G1219,"Penuh",IF(H1219=0,IF(F1219="","Slot kosong","Belum terisi"),"Sebagian")))))</f>
        <v>Tidak dibuka</v>
      </c>
      <c r="M1219" s="76" t="str">
        <f aca="false">IF(L1219="Tidak dibuka","–",IF(F1219="","(tanpa age group)",F1219)&amp;"  "&amp;IF(H1219="","?",H1219)&amp;"/"&amp;IF(G1219="","?",G1219)&amp;CHAR(10)&amp;IF(K1219="","coach: –","coach: "&amp;K1219))</f>
        <v>–</v>
      </c>
    </row>
    <row r="1220" customFormat="false" ht="15" hidden="false" customHeight="false" outlineLevel="0" collapsed="false">
      <c r="A1220" s="76" t="str">
        <f aca="false">B1220&amp;"|"&amp;C1220&amp;"|"&amp;D1220&amp;"|"&amp;E1220</f>
        <v>PML|5|Kamis|14:00</v>
      </c>
      <c r="B1220" s="76" t="s">
        <v>65</v>
      </c>
      <c r="C1220" s="76" t="n">
        <v>5</v>
      </c>
      <c r="D1220" s="76" t="s">
        <v>93</v>
      </c>
      <c r="E1220" s="76" t="s">
        <v>117</v>
      </c>
      <c r="F1220" s="77"/>
      <c r="G1220" s="77" t="n">
        <v>0</v>
      </c>
      <c r="H1220" s="77" t="n">
        <v>0</v>
      </c>
      <c r="I1220" s="76" t="n">
        <f aca="false">IF(AND(ISNUMBER(G1220),ISNUMBER(H1220)),MAX(G1220-H1220,0),"")</f>
        <v>0</v>
      </c>
      <c r="J1220" s="78" t="str">
        <f aca="false">IF(AND(ISNUMBER(G1220),ISNUMBER(H1220)),IF(G1220&gt;0,H1220/G1220,""),"")</f>
        <v/>
      </c>
      <c r="K1220" s="77"/>
      <c r="L1220" s="76" t="str">
        <f aca="false">IF(OR(G1220="",H1220=""),"Data tidak lengkap",IF(AND(G1220=0,H1220=0),IF(AND(F1220="",K1220=""),"Tidak dibuka","Tutup"),IF(H1220&gt;G1220,"Lebih kapasitas",IF(H1220=G1220,"Penuh",IF(H1220=0,IF(F1220="","Slot kosong","Belum terisi"),"Sebagian")))))</f>
        <v>Tidak dibuka</v>
      </c>
      <c r="M1220" s="76" t="str">
        <f aca="false">IF(L1220="Tidak dibuka","–",IF(F1220="","(tanpa age group)",F1220)&amp;"  "&amp;IF(H1220="","?",H1220)&amp;"/"&amp;IF(G1220="","?",G1220)&amp;CHAR(10)&amp;IF(K1220="","coach: –","coach: "&amp;K1220))</f>
        <v>–</v>
      </c>
    </row>
    <row r="1221" customFormat="false" ht="15" hidden="false" customHeight="false" outlineLevel="0" collapsed="false">
      <c r="A1221" s="76" t="str">
        <f aca="false">B1221&amp;"|"&amp;C1221&amp;"|"&amp;D1221&amp;"|"&amp;E1221</f>
        <v>PML|5|Kamis|14:45</v>
      </c>
      <c r="B1221" s="76" t="s">
        <v>65</v>
      </c>
      <c r="C1221" s="76" t="n">
        <v>5</v>
      </c>
      <c r="D1221" s="76" t="s">
        <v>93</v>
      </c>
      <c r="E1221" s="76" t="s">
        <v>118</v>
      </c>
      <c r="F1221" s="77"/>
      <c r="G1221" s="77" t="n">
        <v>0</v>
      </c>
      <c r="H1221" s="77" t="n">
        <v>0</v>
      </c>
      <c r="I1221" s="76" t="n">
        <f aca="false">IF(AND(ISNUMBER(G1221),ISNUMBER(H1221)),MAX(G1221-H1221,0),"")</f>
        <v>0</v>
      </c>
      <c r="J1221" s="78" t="str">
        <f aca="false">IF(AND(ISNUMBER(G1221),ISNUMBER(H1221)),IF(G1221&gt;0,H1221/G1221,""),"")</f>
        <v/>
      </c>
      <c r="K1221" s="77"/>
      <c r="L1221" s="76" t="str">
        <f aca="false">IF(OR(G1221="",H1221=""),"Data tidak lengkap",IF(AND(G1221=0,H1221=0),IF(AND(F1221="",K1221=""),"Tidak dibuka","Tutup"),IF(H1221&gt;G1221,"Lebih kapasitas",IF(H1221=G1221,"Penuh",IF(H1221=0,IF(F1221="","Slot kosong","Belum terisi"),"Sebagian")))))</f>
        <v>Tidak dibuka</v>
      </c>
      <c r="M1221" s="76" t="str">
        <f aca="false">IF(L1221="Tidak dibuka","–",IF(F1221="","(tanpa age group)",F1221)&amp;"  "&amp;IF(H1221="","?",H1221)&amp;"/"&amp;IF(G1221="","?",G1221)&amp;CHAR(10)&amp;IF(K1221="","coach: –","coach: "&amp;K1221))</f>
        <v>–</v>
      </c>
    </row>
    <row r="1222" customFormat="false" ht="15" hidden="false" customHeight="false" outlineLevel="0" collapsed="false">
      <c r="A1222" s="76" t="str">
        <f aca="false">B1222&amp;"|"&amp;C1222&amp;"|"&amp;D1222&amp;"|"&amp;E1222</f>
        <v>PML|5|Kamis|15:30</v>
      </c>
      <c r="B1222" s="76" t="s">
        <v>65</v>
      </c>
      <c r="C1222" s="76" t="n">
        <v>5</v>
      </c>
      <c r="D1222" s="76" t="s">
        <v>93</v>
      </c>
      <c r="E1222" s="76" t="s">
        <v>119</v>
      </c>
      <c r="F1222" s="77"/>
      <c r="G1222" s="77" t="n">
        <v>0</v>
      </c>
      <c r="H1222" s="77" t="n">
        <v>0</v>
      </c>
      <c r="I1222" s="76" t="n">
        <f aca="false">IF(AND(ISNUMBER(G1222),ISNUMBER(H1222)),MAX(G1222-H1222,0),"")</f>
        <v>0</v>
      </c>
      <c r="J1222" s="78" t="str">
        <f aca="false">IF(AND(ISNUMBER(G1222),ISNUMBER(H1222)),IF(G1222&gt;0,H1222/G1222,""),"")</f>
        <v/>
      </c>
      <c r="K1222" s="77"/>
      <c r="L1222" s="76" t="str">
        <f aca="false">IF(OR(G1222="",H1222=""),"Data tidak lengkap",IF(AND(G1222=0,H1222=0),IF(AND(F1222="",K1222=""),"Tidak dibuka","Tutup"),IF(H1222&gt;G1222,"Lebih kapasitas",IF(H1222=G1222,"Penuh",IF(H1222=0,IF(F1222="","Slot kosong","Belum terisi"),"Sebagian")))))</f>
        <v>Tidak dibuka</v>
      </c>
      <c r="M1222" s="76" t="str">
        <f aca="false">IF(L1222="Tidak dibuka","–",IF(F1222="","(tanpa age group)",F1222)&amp;"  "&amp;IF(H1222="","?",H1222)&amp;"/"&amp;IF(G1222="","?",G1222)&amp;CHAR(10)&amp;IF(K1222="","coach: –","coach: "&amp;K1222))</f>
        <v>–</v>
      </c>
    </row>
    <row r="1223" customFormat="false" ht="22.35" hidden="false" customHeight="false" outlineLevel="0" collapsed="false">
      <c r="A1223" s="76" t="str">
        <f aca="false">B1223&amp;"|"&amp;C1223&amp;"|"&amp;D1223&amp;"|"&amp;E1223</f>
        <v>PML|5|Kamis|16:15</v>
      </c>
      <c r="B1223" s="76" t="s">
        <v>65</v>
      </c>
      <c r="C1223" s="76" t="n">
        <v>5</v>
      </c>
      <c r="D1223" s="76" t="s">
        <v>93</v>
      </c>
      <c r="E1223" s="76" t="s">
        <v>120</v>
      </c>
      <c r="F1223" s="77" t="s">
        <v>210</v>
      </c>
      <c r="G1223" s="77" t="n">
        <v>0</v>
      </c>
      <c r="H1223" s="77" t="n">
        <v>4</v>
      </c>
      <c r="I1223" s="76" t="n">
        <f aca="false">IF(AND(ISNUMBER(G1223),ISNUMBER(H1223)),MAX(G1223-H1223,0),"")</f>
        <v>0</v>
      </c>
      <c r="J1223" s="78" t="str">
        <f aca="false">IF(AND(ISNUMBER(G1223),ISNUMBER(H1223)),IF(G1223&gt;0,H1223/G1223,""),"")</f>
        <v/>
      </c>
      <c r="K1223" s="77" t="s">
        <v>330</v>
      </c>
      <c r="L1223" s="76" t="str">
        <f aca="false">IF(OR(G1223="",H1223=""),"Data tidak lengkap",IF(AND(G1223=0,H1223=0),IF(AND(F1223="",K1223=""),"Tidak dibuka","Tutup"),IF(H1223&gt;G1223,"Lebih kapasitas",IF(H1223=G1223,"Penuh",IF(H1223=0,IF(F1223="","Slot kosong","Belum terisi"),"Sebagian")))))</f>
        <v>Lebih kapasitas</v>
      </c>
      <c r="M1223" s="79" t="str">
        <f aca="false">IF(L1223="Tidak dibuka","–",IF(F1223="","(tanpa age group)",F1223)&amp;"  "&amp;IF(H1223="","?",H1223)&amp;"/"&amp;IF(G1223="","?",G1223)&amp;CHAR(10)&amp;IF(K1223="","coach: –","coach: "&amp;K1223))</f>
        <v>Kids  4/0
coach: Indah</v>
      </c>
    </row>
    <row r="1224" customFormat="false" ht="22.35" hidden="false" customHeight="false" outlineLevel="0" collapsed="false">
      <c r="A1224" s="76" t="str">
        <f aca="false">B1224&amp;"|"&amp;C1224&amp;"|"&amp;D1224&amp;"|"&amp;E1224</f>
        <v>PML|5|Kamis|17:00</v>
      </c>
      <c r="B1224" s="76" t="s">
        <v>65</v>
      </c>
      <c r="C1224" s="76" t="n">
        <v>5</v>
      </c>
      <c r="D1224" s="76" t="s">
        <v>93</v>
      </c>
      <c r="E1224" s="76" t="s">
        <v>121</v>
      </c>
      <c r="F1224" s="77" t="s">
        <v>210</v>
      </c>
      <c r="G1224" s="77" t="n">
        <v>0</v>
      </c>
      <c r="H1224" s="77" t="n">
        <v>4</v>
      </c>
      <c r="I1224" s="76" t="n">
        <f aca="false">IF(AND(ISNUMBER(G1224),ISNUMBER(H1224)),MAX(G1224-H1224,0),"")</f>
        <v>0</v>
      </c>
      <c r="J1224" s="78" t="str">
        <f aca="false">IF(AND(ISNUMBER(G1224),ISNUMBER(H1224)),IF(G1224&gt;0,H1224/G1224,""),"")</f>
        <v/>
      </c>
      <c r="K1224" s="77" t="s">
        <v>330</v>
      </c>
      <c r="L1224" s="76" t="str">
        <f aca="false">IF(OR(G1224="",H1224=""),"Data tidak lengkap",IF(AND(G1224=0,H1224=0),IF(AND(F1224="",K1224=""),"Tidak dibuka","Tutup"),IF(H1224&gt;G1224,"Lebih kapasitas",IF(H1224=G1224,"Penuh",IF(H1224=0,IF(F1224="","Slot kosong","Belum terisi"),"Sebagian")))))</f>
        <v>Lebih kapasitas</v>
      </c>
      <c r="M1224" s="79" t="str">
        <f aca="false">IF(L1224="Tidak dibuka","–",IF(F1224="","(tanpa age group)",F1224)&amp;"  "&amp;IF(H1224="","?",H1224)&amp;"/"&amp;IF(G1224="","?",G1224)&amp;CHAR(10)&amp;IF(K1224="","coach: –","coach: "&amp;K1224))</f>
        <v>Kids  4/0
coach: Indah</v>
      </c>
    </row>
    <row r="1225" customFormat="false" ht="15" hidden="false" customHeight="false" outlineLevel="0" collapsed="false">
      <c r="A1225" s="76" t="str">
        <f aca="false">B1225&amp;"|"&amp;C1225&amp;"|"&amp;D1225&amp;"|"&amp;E1225</f>
        <v>PML|5|Jumat|08:00</v>
      </c>
      <c r="B1225" s="76" t="s">
        <v>65</v>
      </c>
      <c r="C1225" s="76" t="n">
        <v>5</v>
      </c>
      <c r="D1225" s="76" t="s">
        <v>94</v>
      </c>
      <c r="E1225" s="76" t="s">
        <v>110</v>
      </c>
      <c r="F1225" s="77"/>
      <c r="G1225" s="77" t="n">
        <v>0</v>
      </c>
      <c r="H1225" s="77" t="n">
        <v>0</v>
      </c>
      <c r="I1225" s="76" t="n">
        <f aca="false">IF(AND(ISNUMBER(G1225),ISNUMBER(H1225)),MAX(G1225-H1225,0),"")</f>
        <v>0</v>
      </c>
      <c r="J1225" s="78" t="str">
        <f aca="false">IF(AND(ISNUMBER(G1225),ISNUMBER(H1225)),IF(G1225&gt;0,H1225/G1225,""),"")</f>
        <v/>
      </c>
      <c r="K1225" s="77"/>
      <c r="L1225" s="76" t="str">
        <f aca="false">IF(OR(G1225="",H1225=""),"Data tidak lengkap",IF(AND(G1225=0,H1225=0),IF(AND(F1225="",K1225=""),"Tidak dibuka","Tutup"),IF(H1225&gt;G1225,"Lebih kapasitas",IF(H1225=G1225,"Penuh",IF(H1225=0,IF(F1225="","Slot kosong","Belum terisi"),"Sebagian")))))</f>
        <v>Tidak dibuka</v>
      </c>
      <c r="M1225" s="76" t="str">
        <f aca="false">IF(L1225="Tidak dibuka","–",IF(F1225="","(tanpa age group)",F1225)&amp;"  "&amp;IF(H1225="","?",H1225)&amp;"/"&amp;IF(G1225="","?",G1225)&amp;CHAR(10)&amp;IF(K1225="","coach: –","coach: "&amp;K1225))</f>
        <v>–</v>
      </c>
    </row>
    <row r="1226" customFormat="false" ht="22.35" hidden="false" customHeight="false" outlineLevel="0" collapsed="false">
      <c r="A1226" s="76" t="str">
        <f aca="false">B1226&amp;"|"&amp;C1226&amp;"|"&amp;D1226&amp;"|"&amp;E1226</f>
        <v>PML|5|Jumat|08:45</v>
      </c>
      <c r="B1226" s="76" t="s">
        <v>65</v>
      </c>
      <c r="C1226" s="76" t="n">
        <v>5</v>
      </c>
      <c r="D1226" s="76" t="s">
        <v>94</v>
      </c>
      <c r="E1226" s="76" t="s">
        <v>111</v>
      </c>
      <c r="F1226" s="77" t="s">
        <v>242</v>
      </c>
      <c r="G1226" s="77" t="n">
        <v>4</v>
      </c>
      <c r="H1226" s="77" t="n">
        <v>1</v>
      </c>
      <c r="I1226" s="76" t="n">
        <f aca="false">IF(AND(ISNUMBER(G1226),ISNUMBER(H1226)),MAX(G1226-H1226,0),"")</f>
        <v>3</v>
      </c>
      <c r="J1226" s="78" t="n">
        <f aca="false">IF(AND(ISNUMBER(G1226),ISNUMBER(H1226)),IF(G1226&gt;0,H1226/G1226,""),"")</f>
        <v>0.25</v>
      </c>
      <c r="K1226" s="77" t="s">
        <v>335</v>
      </c>
      <c r="L1226" s="76" t="str">
        <f aca="false">IF(OR(G1226="",H1226=""),"Data tidak lengkap",IF(AND(G1226=0,H1226=0),IF(AND(F1226="",K1226=""),"Tidak dibuka","Tutup"),IF(H1226&gt;G1226,"Lebih kapasitas",IF(H1226=G1226,"Penuh",IF(H1226=0,IF(F1226="","Slot kosong","Belum terisi"),"Sebagian")))))</f>
        <v>Sebagian</v>
      </c>
      <c r="M1226" s="79" t="str">
        <f aca="false">IF(L1226="Tidak dibuka","–",IF(F1226="","(tanpa age group)",F1226)&amp;"  "&amp;IF(H1226="","?",H1226)&amp;"/"&amp;IF(G1226="","?",G1226)&amp;CHAR(10)&amp;IF(K1226="","coach: –","coach: "&amp;K1226))</f>
        <v>Baby  1/4
coach: Shofwan</v>
      </c>
    </row>
    <row r="1227" customFormat="false" ht="22.35" hidden="false" customHeight="false" outlineLevel="0" collapsed="false">
      <c r="A1227" s="76" t="str">
        <f aca="false">B1227&amp;"|"&amp;C1227&amp;"|"&amp;D1227&amp;"|"&amp;E1227</f>
        <v>PML|5|Jumat|09:30</v>
      </c>
      <c r="B1227" s="76" t="s">
        <v>65</v>
      </c>
      <c r="C1227" s="76" t="n">
        <v>5</v>
      </c>
      <c r="D1227" s="76" t="s">
        <v>94</v>
      </c>
      <c r="E1227" s="76" t="s">
        <v>112</v>
      </c>
      <c r="F1227" s="77"/>
      <c r="G1227" s="77" t="n">
        <v>4</v>
      </c>
      <c r="H1227" s="77" t="n">
        <v>0</v>
      </c>
      <c r="I1227" s="76" t="n">
        <f aca="false">IF(AND(ISNUMBER(G1227),ISNUMBER(H1227)),MAX(G1227-H1227,0),"")</f>
        <v>4</v>
      </c>
      <c r="J1227" s="78" t="n">
        <f aca="false">IF(AND(ISNUMBER(G1227),ISNUMBER(H1227)),IF(G1227&gt;0,H1227/G1227,""),"")</f>
        <v>0</v>
      </c>
      <c r="K1227" s="77"/>
      <c r="L1227" s="76" t="str">
        <f aca="false">IF(OR(G1227="",H1227=""),"Data tidak lengkap",IF(AND(G1227=0,H1227=0),IF(AND(F1227="",K1227=""),"Tidak dibuka","Tutup"),IF(H1227&gt;G1227,"Lebih kapasitas",IF(H1227=G1227,"Penuh",IF(H1227=0,IF(F1227="","Slot kosong","Belum terisi"),"Sebagian")))))</f>
        <v>Slot kosong</v>
      </c>
      <c r="M1227" s="79" t="str">
        <f aca="false">IF(L1227="Tidak dibuka","–",IF(F1227="","(tanpa age group)",F1227)&amp;"  "&amp;IF(H1227="","?",H1227)&amp;"/"&amp;IF(G1227="","?",G1227)&amp;CHAR(10)&amp;IF(K1227="","coach: –","coach: "&amp;K1227))</f>
        <v>(tanpa age group)  0/4
coach: –</v>
      </c>
    </row>
    <row r="1228" customFormat="false" ht="22.35" hidden="false" customHeight="false" outlineLevel="0" collapsed="false">
      <c r="A1228" s="76" t="str">
        <f aca="false">B1228&amp;"|"&amp;C1228&amp;"|"&amp;D1228&amp;"|"&amp;E1228</f>
        <v>PML|5|Jumat|10:15</v>
      </c>
      <c r="B1228" s="76" t="s">
        <v>65</v>
      </c>
      <c r="C1228" s="76" t="n">
        <v>5</v>
      </c>
      <c r="D1228" s="76" t="s">
        <v>94</v>
      </c>
      <c r="E1228" s="76" t="s">
        <v>113</v>
      </c>
      <c r="F1228" s="77"/>
      <c r="G1228" s="77" t="n">
        <v>4</v>
      </c>
      <c r="H1228" s="77" t="n">
        <v>0</v>
      </c>
      <c r="I1228" s="76" t="n">
        <f aca="false">IF(AND(ISNUMBER(G1228),ISNUMBER(H1228)),MAX(G1228-H1228,0),"")</f>
        <v>4</v>
      </c>
      <c r="J1228" s="78" t="n">
        <f aca="false">IF(AND(ISNUMBER(G1228),ISNUMBER(H1228)),IF(G1228&gt;0,H1228/G1228,""),"")</f>
        <v>0</v>
      </c>
      <c r="K1228" s="77"/>
      <c r="L1228" s="76" t="str">
        <f aca="false">IF(OR(G1228="",H1228=""),"Data tidak lengkap",IF(AND(G1228=0,H1228=0),IF(AND(F1228="",K1228=""),"Tidak dibuka","Tutup"),IF(H1228&gt;G1228,"Lebih kapasitas",IF(H1228=G1228,"Penuh",IF(H1228=0,IF(F1228="","Slot kosong","Belum terisi"),"Sebagian")))))</f>
        <v>Slot kosong</v>
      </c>
      <c r="M1228" s="79" t="str">
        <f aca="false">IF(L1228="Tidak dibuka","–",IF(F1228="","(tanpa age group)",F1228)&amp;"  "&amp;IF(H1228="","?",H1228)&amp;"/"&amp;IF(G1228="","?",G1228)&amp;CHAR(10)&amp;IF(K1228="","coach: –","coach: "&amp;K1228))</f>
        <v>(tanpa age group)  0/4
coach: –</v>
      </c>
    </row>
    <row r="1229" customFormat="false" ht="22.35" hidden="false" customHeight="false" outlineLevel="0" collapsed="false">
      <c r="A1229" s="76" t="str">
        <f aca="false">B1229&amp;"|"&amp;C1229&amp;"|"&amp;D1229&amp;"|"&amp;E1229</f>
        <v>PML|5|Jumat|11:00</v>
      </c>
      <c r="B1229" s="76" t="s">
        <v>65</v>
      </c>
      <c r="C1229" s="76" t="n">
        <v>5</v>
      </c>
      <c r="D1229" s="76" t="s">
        <v>94</v>
      </c>
      <c r="E1229" s="76" t="s">
        <v>114</v>
      </c>
      <c r="F1229" s="77"/>
      <c r="G1229" s="77" t="n">
        <v>4</v>
      </c>
      <c r="H1229" s="77" t="n">
        <v>0</v>
      </c>
      <c r="I1229" s="76" t="n">
        <f aca="false">IF(AND(ISNUMBER(G1229),ISNUMBER(H1229)),MAX(G1229-H1229,0),"")</f>
        <v>4</v>
      </c>
      <c r="J1229" s="78" t="n">
        <f aca="false">IF(AND(ISNUMBER(G1229),ISNUMBER(H1229)),IF(G1229&gt;0,H1229/G1229,""),"")</f>
        <v>0</v>
      </c>
      <c r="K1229" s="77"/>
      <c r="L1229" s="76" t="str">
        <f aca="false">IF(OR(G1229="",H1229=""),"Data tidak lengkap",IF(AND(G1229=0,H1229=0),IF(AND(F1229="",K1229=""),"Tidak dibuka","Tutup"),IF(H1229&gt;G1229,"Lebih kapasitas",IF(H1229=G1229,"Penuh",IF(H1229=0,IF(F1229="","Slot kosong","Belum terisi"),"Sebagian")))))</f>
        <v>Slot kosong</v>
      </c>
      <c r="M1229" s="79" t="str">
        <f aca="false">IF(L1229="Tidak dibuka","–",IF(F1229="","(tanpa age group)",F1229)&amp;"  "&amp;IF(H1229="","?",H1229)&amp;"/"&amp;IF(G1229="","?",G1229)&amp;CHAR(10)&amp;IF(K1229="","coach: –","coach: "&amp;K1229))</f>
        <v>(tanpa age group)  0/4
coach: –</v>
      </c>
    </row>
    <row r="1230" customFormat="false" ht="22.35" hidden="false" customHeight="false" outlineLevel="0" collapsed="false">
      <c r="A1230" s="76" t="str">
        <f aca="false">B1230&amp;"|"&amp;C1230&amp;"|"&amp;D1230&amp;"|"&amp;E1230</f>
        <v>PML|5|Jumat|11:45</v>
      </c>
      <c r="B1230" s="76" t="s">
        <v>65</v>
      </c>
      <c r="C1230" s="76" t="n">
        <v>5</v>
      </c>
      <c r="D1230" s="76" t="s">
        <v>94</v>
      </c>
      <c r="E1230" s="76" t="s">
        <v>115</v>
      </c>
      <c r="F1230" s="77"/>
      <c r="G1230" s="77" t="n">
        <v>4</v>
      </c>
      <c r="H1230" s="77" t="n">
        <v>0</v>
      </c>
      <c r="I1230" s="76" t="n">
        <f aca="false">IF(AND(ISNUMBER(G1230),ISNUMBER(H1230)),MAX(G1230-H1230,0),"")</f>
        <v>4</v>
      </c>
      <c r="J1230" s="78" t="n">
        <f aca="false">IF(AND(ISNUMBER(G1230),ISNUMBER(H1230)),IF(G1230&gt;0,H1230/G1230,""),"")</f>
        <v>0</v>
      </c>
      <c r="K1230" s="77"/>
      <c r="L1230" s="76" t="str">
        <f aca="false">IF(OR(G1230="",H1230=""),"Data tidak lengkap",IF(AND(G1230=0,H1230=0),IF(AND(F1230="",K1230=""),"Tidak dibuka","Tutup"),IF(H1230&gt;G1230,"Lebih kapasitas",IF(H1230=G1230,"Penuh",IF(H1230=0,IF(F1230="","Slot kosong","Belum terisi"),"Sebagian")))))</f>
        <v>Slot kosong</v>
      </c>
      <c r="M1230" s="79" t="str">
        <f aca="false">IF(L1230="Tidak dibuka","–",IF(F1230="","(tanpa age group)",F1230)&amp;"  "&amp;IF(H1230="","?",H1230)&amp;"/"&amp;IF(G1230="","?",G1230)&amp;CHAR(10)&amp;IF(K1230="","coach: –","coach: "&amp;K1230))</f>
        <v>(tanpa age group)  0/4
coach: –</v>
      </c>
    </row>
    <row r="1231" customFormat="false" ht="22.35" hidden="false" customHeight="false" outlineLevel="0" collapsed="false">
      <c r="A1231" s="76" t="str">
        <f aca="false">B1231&amp;"|"&amp;C1231&amp;"|"&amp;D1231&amp;"|"&amp;E1231</f>
        <v>PML|5|Jumat|13:15</v>
      </c>
      <c r="B1231" s="76" t="s">
        <v>65</v>
      </c>
      <c r="C1231" s="76" t="n">
        <v>5</v>
      </c>
      <c r="D1231" s="76" t="s">
        <v>94</v>
      </c>
      <c r="E1231" s="76" t="s">
        <v>116</v>
      </c>
      <c r="F1231" s="77"/>
      <c r="G1231" s="77" t="n">
        <v>4</v>
      </c>
      <c r="H1231" s="77" t="n">
        <v>0</v>
      </c>
      <c r="I1231" s="76" t="n">
        <f aca="false">IF(AND(ISNUMBER(G1231),ISNUMBER(H1231)),MAX(G1231-H1231,0),"")</f>
        <v>4</v>
      </c>
      <c r="J1231" s="78" t="n">
        <f aca="false">IF(AND(ISNUMBER(G1231),ISNUMBER(H1231)),IF(G1231&gt;0,H1231/G1231,""),"")</f>
        <v>0</v>
      </c>
      <c r="K1231" s="77"/>
      <c r="L1231" s="76" t="str">
        <f aca="false">IF(OR(G1231="",H1231=""),"Data tidak lengkap",IF(AND(G1231=0,H1231=0),IF(AND(F1231="",K1231=""),"Tidak dibuka","Tutup"),IF(H1231&gt;G1231,"Lebih kapasitas",IF(H1231=G1231,"Penuh",IF(H1231=0,IF(F1231="","Slot kosong","Belum terisi"),"Sebagian")))))</f>
        <v>Slot kosong</v>
      </c>
      <c r="M1231" s="79" t="str">
        <f aca="false">IF(L1231="Tidak dibuka","–",IF(F1231="","(tanpa age group)",F1231)&amp;"  "&amp;IF(H1231="","?",H1231)&amp;"/"&amp;IF(G1231="","?",G1231)&amp;CHAR(10)&amp;IF(K1231="","coach: –","coach: "&amp;K1231))</f>
        <v>(tanpa age group)  0/4
coach: –</v>
      </c>
    </row>
    <row r="1232" customFormat="false" ht="22.35" hidden="false" customHeight="false" outlineLevel="0" collapsed="false">
      <c r="A1232" s="76" t="str">
        <f aca="false">B1232&amp;"|"&amp;C1232&amp;"|"&amp;D1232&amp;"|"&amp;E1232</f>
        <v>PML|5|Jumat|14:00</v>
      </c>
      <c r="B1232" s="76" t="s">
        <v>65</v>
      </c>
      <c r="C1232" s="76" t="n">
        <v>5</v>
      </c>
      <c r="D1232" s="76" t="s">
        <v>94</v>
      </c>
      <c r="E1232" s="76" t="s">
        <v>117</v>
      </c>
      <c r="F1232" s="77" t="s">
        <v>210</v>
      </c>
      <c r="G1232" s="77" t="n">
        <v>4</v>
      </c>
      <c r="H1232" s="77" t="n">
        <v>1</v>
      </c>
      <c r="I1232" s="76" t="n">
        <f aca="false">IF(AND(ISNUMBER(G1232),ISNUMBER(H1232)),MAX(G1232-H1232,0),"")</f>
        <v>3</v>
      </c>
      <c r="J1232" s="78" t="n">
        <f aca="false">IF(AND(ISNUMBER(G1232),ISNUMBER(H1232)),IF(G1232&gt;0,H1232/G1232,""),"")</f>
        <v>0.25</v>
      </c>
      <c r="K1232" s="77" t="s">
        <v>335</v>
      </c>
      <c r="L1232" s="76" t="str">
        <f aca="false">IF(OR(G1232="",H1232=""),"Data tidak lengkap",IF(AND(G1232=0,H1232=0),IF(AND(F1232="",K1232=""),"Tidak dibuka","Tutup"),IF(H1232&gt;G1232,"Lebih kapasitas",IF(H1232=G1232,"Penuh",IF(H1232=0,IF(F1232="","Slot kosong","Belum terisi"),"Sebagian")))))</f>
        <v>Sebagian</v>
      </c>
      <c r="M1232" s="79" t="str">
        <f aca="false">IF(L1232="Tidak dibuka","–",IF(F1232="","(tanpa age group)",F1232)&amp;"  "&amp;IF(H1232="","?",H1232)&amp;"/"&amp;IF(G1232="","?",G1232)&amp;CHAR(10)&amp;IF(K1232="","coach: –","coach: "&amp;K1232))</f>
        <v>Kids  1/4
coach: Shofwan</v>
      </c>
    </row>
    <row r="1233" customFormat="false" ht="22.35" hidden="false" customHeight="false" outlineLevel="0" collapsed="false">
      <c r="A1233" s="76" t="str">
        <f aca="false">B1233&amp;"|"&amp;C1233&amp;"|"&amp;D1233&amp;"|"&amp;E1233</f>
        <v>PML|5|Jumat|14:45</v>
      </c>
      <c r="B1233" s="76" t="s">
        <v>65</v>
      </c>
      <c r="C1233" s="76" t="n">
        <v>5</v>
      </c>
      <c r="D1233" s="76" t="s">
        <v>94</v>
      </c>
      <c r="E1233" s="76" t="s">
        <v>118</v>
      </c>
      <c r="F1233" s="77" t="s">
        <v>210</v>
      </c>
      <c r="G1233" s="77" t="n">
        <v>4</v>
      </c>
      <c r="H1233" s="77" t="n">
        <v>4</v>
      </c>
      <c r="I1233" s="76" t="n">
        <f aca="false">IF(AND(ISNUMBER(G1233),ISNUMBER(H1233)),MAX(G1233-H1233,0),"")</f>
        <v>0</v>
      </c>
      <c r="J1233" s="78" t="n">
        <f aca="false">IF(AND(ISNUMBER(G1233),ISNUMBER(H1233)),IF(G1233&gt;0,H1233/G1233,""),"")</f>
        <v>1</v>
      </c>
      <c r="K1233" s="77" t="s">
        <v>335</v>
      </c>
      <c r="L1233" s="76" t="str">
        <f aca="false">IF(OR(G1233="",H1233=""),"Data tidak lengkap",IF(AND(G1233=0,H1233=0),IF(AND(F1233="",K1233=""),"Tidak dibuka","Tutup"),IF(H1233&gt;G1233,"Lebih kapasitas",IF(H1233=G1233,"Penuh",IF(H1233=0,IF(F1233="","Slot kosong","Belum terisi"),"Sebagian")))))</f>
        <v>Penuh</v>
      </c>
      <c r="M1233" s="79" t="str">
        <f aca="false">IF(L1233="Tidak dibuka","–",IF(F1233="","(tanpa age group)",F1233)&amp;"  "&amp;IF(H1233="","?",H1233)&amp;"/"&amp;IF(G1233="","?",G1233)&amp;CHAR(10)&amp;IF(K1233="","coach: –","coach: "&amp;K1233))</f>
        <v>Kids  4/4
coach: Shofwan</v>
      </c>
    </row>
    <row r="1234" customFormat="false" ht="22.35" hidden="false" customHeight="false" outlineLevel="0" collapsed="false">
      <c r="A1234" s="76" t="str">
        <f aca="false">B1234&amp;"|"&amp;C1234&amp;"|"&amp;D1234&amp;"|"&amp;E1234</f>
        <v>PML|5|Jumat|15:30</v>
      </c>
      <c r="B1234" s="76" t="s">
        <v>65</v>
      </c>
      <c r="C1234" s="76" t="n">
        <v>5</v>
      </c>
      <c r="D1234" s="76" t="s">
        <v>94</v>
      </c>
      <c r="E1234" s="76" t="s">
        <v>119</v>
      </c>
      <c r="F1234" s="77" t="s">
        <v>210</v>
      </c>
      <c r="G1234" s="77" t="n">
        <v>4</v>
      </c>
      <c r="H1234" s="77" t="n">
        <v>4</v>
      </c>
      <c r="I1234" s="76" t="n">
        <f aca="false">IF(AND(ISNUMBER(G1234),ISNUMBER(H1234)),MAX(G1234-H1234,0),"")</f>
        <v>0</v>
      </c>
      <c r="J1234" s="78" t="n">
        <f aca="false">IF(AND(ISNUMBER(G1234),ISNUMBER(H1234)),IF(G1234&gt;0,H1234/G1234,""),"")</f>
        <v>1</v>
      </c>
      <c r="K1234" s="77" t="s">
        <v>336</v>
      </c>
      <c r="L1234" s="76" t="str">
        <f aca="false">IF(OR(G1234="",H1234=""),"Data tidak lengkap",IF(AND(G1234=0,H1234=0),IF(AND(F1234="",K1234=""),"Tidak dibuka","Tutup"),IF(H1234&gt;G1234,"Lebih kapasitas",IF(H1234=G1234,"Penuh",IF(H1234=0,IF(F1234="","Slot kosong","Belum terisi"),"Sebagian")))))</f>
        <v>Penuh</v>
      </c>
      <c r="M1234" s="79" t="str">
        <f aca="false">IF(L1234="Tidak dibuka","–",IF(F1234="","(tanpa age group)",F1234)&amp;"  "&amp;IF(H1234="","?",H1234)&amp;"/"&amp;IF(G1234="","?",G1234)&amp;CHAR(10)&amp;IF(K1234="","coach: –","coach: "&amp;K1234))</f>
        <v>Kids  4/4
coach: Laksamana</v>
      </c>
    </row>
    <row r="1235" customFormat="false" ht="22.35" hidden="false" customHeight="false" outlineLevel="0" collapsed="false">
      <c r="A1235" s="76" t="str">
        <f aca="false">B1235&amp;"|"&amp;C1235&amp;"|"&amp;D1235&amp;"|"&amp;E1235</f>
        <v>PML|5|Jumat|16:15</v>
      </c>
      <c r="B1235" s="76" t="s">
        <v>65</v>
      </c>
      <c r="C1235" s="76" t="n">
        <v>5</v>
      </c>
      <c r="D1235" s="76" t="s">
        <v>94</v>
      </c>
      <c r="E1235" s="76" t="s">
        <v>120</v>
      </c>
      <c r="F1235" s="77" t="s">
        <v>210</v>
      </c>
      <c r="G1235" s="77" t="n">
        <v>4</v>
      </c>
      <c r="H1235" s="77" t="n">
        <v>4</v>
      </c>
      <c r="I1235" s="76" t="n">
        <f aca="false">IF(AND(ISNUMBER(G1235),ISNUMBER(H1235)),MAX(G1235-H1235,0),"")</f>
        <v>0</v>
      </c>
      <c r="J1235" s="78" t="n">
        <f aca="false">IF(AND(ISNUMBER(G1235),ISNUMBER(H1235)),IF(G1235&gt;0,H1235/G1235,""),"")</f>
        <v>1</v>
      </c>
      <c r="K1235" s="77" t="s">
        <v>333</v>
      </c>
      <c r="L1235" s="76" t="str">
        <f aca="false">IF(OR(G1235="",H1235=""),"Data tidak lengkap",IF(AND(G1235=0,H1235=0),IF(AND(F1235="",K1235=""),"Tidak dibuka","Tutup"),IF(H1235&gt;G1235,"Lebih kapasitas",IF(H1235=G1235,"Penuh",IF(H1235=0,IF(F1235="","Slot kosong","Belum terisi"),"Sebagian")))))</f>
        <v>Penuh</v>
      </c>
      <c r="M1235" s="79" t="str">
        <f aca="false">IF(L1235="Tidak dibuka","–",IF(F1235="","(tanpa age group)",F1235)&amp;"  "&amp;IF(H1235="","?",H1235)&amp;"/"&amp;IF(G1235="","?",G1235)&amp;CHAR(10)&amp;IF(K1235="","coach: –","coach: "&amp;K1235))</f>
        <v>Kids  4/4
coach: Zidan</v>
      </c>
    </row>
    <row r="1236" customFormat="false" ht="22.35" hidden="false" customHeight="false" outlineLevel="0" collapsed="false">
      <c r="A1236" s="76" t="str">
        <f aca="false">B1236&amp;"|"&amp;C1236&amp;"|"&amp;D1236&amp;"|"&amp;E1236</f>
        <v>PML|5|Jumat|17:00</v>
      </c>
      <c r="B1236" s="76" t="s">
        <v>65</v>
      </c>
      <c r="C1236" s="76" t="n">
        <v>5</v>
      </c>
      <c r="D1236" s="76" t="s">
        <v>94</v>
      </c>
      <c r="E1236" s="76" t="s">
        <v>121</v>
      </c>
      <c r="F1236" s="77" t="s">
        <v>210</v>
      </c>
      <c r="G1236" s="77" t="n">
        <v>4</v>
      </c>
      <c r="H1236" s="77" t="n">
        <v>3</v>
      </c>
      <c r="I1236" s="76" t="n">
        <f aca="false">IF(AND(ISNUMBER(G1236),ISNUMBER(H1236)),MAX(G1236-H1236,0),"")</f>
        <v>1</v>
      </c>
      <c r="J1236" s="78" t="n">
        <f aca="false">IF(AND(ISNUMBER(G1236),ISNUMBER(H1236)),IF(G1236&gt;0,H1236/G1236,""),"")</f>
        <v>0.75</v>
      </c>
      <c r="K1236" s="77" t="s">
        <v>334</v>
      </c>
      <c r="L1236" s="76" t="str">
        <f aca="false">IF(OR(G1236="",H1236=""),"Data tidak lengkap",IF(AND(G1236=0,H1236=0),IF(AND(F1236="",K1236=""),"Tidak dibuka","Tutup"),IF(H1236&gt;G1236,"Lebih kapasitas",IF(H1236=G1236,"Penuh",IF(H1236=0,IF(F1236="","Slot kosong","Belum terisi"),"Sebagian")))))</f>
        <v>Sebagian</v>
      </c>
      <c r="M1236" s="79" t="str">
        <f aca="false">IF(L1236="Tidak dibuka","–",IF(F1236="","(tanpa age group)",F1236)&amp;"  "&amp;IF(H1236="","?",H1236)&amp;"/"&amp;IF(G1236="","?",G1236)&amp;CHAR(10)&amp;IF(K1236="","coach: –","coach: "&amp;K1236))</f>
        <v>Kids  3/4
coach: Kamal</v>
      </c>
    </row>
    <row r="1237" customFormat="false" ht="15" hidden="false" customHeight="false" outlineLevel="0" collapsed="false">
      <c r="A1237" s="76" t="str">
        <f aca="false">B1237&amp;"|"&amp;C1237&amp;"|"&amp;D1237&amp;"|"&amp;E1237</f>
        <v>PML|5|Sabtu|08:00</v>
      </c>
      <c r="B1237" s="76" t="s">
        <v>65</v>
      </c>
      <c r="C1237" s="76" t="n">
        <v>5</v>
      </c>
      <c r="D1237" s="76" t="s">
        <v>95</v>
      </c>
      <c r="E1237" s="76" t="s">
        <v>110</v>
      </c>
      <c r="F1237" s="77"/>
      <c r="G1237" s="77" t="n">
        <v>0</v>
      </c>
      <c r="H1237" s="77" t="n">
        <v>0</v>
      </c>
      <c r="I1237" s="76" t="n">
        <f aca="false">IF(AND(ISNUMBER(G1237),ISNUMBER(H1237)),MAX(G1237-H1237,0),"")</f>
        <v>0</v>
      </c>
      <c r="J1237" s="78" t="str">
        <f aca="false">IF(AND(ISNUMBER(G1237),ISNUMBER(H1237)),IF(G1237&gt;0,H1237/G1237,""),"")</f>
        <v/>
      </c>
      <c r="K1237" s="77"/>
      <c r="L1237" s="76" t="str">
        <f aca="false">IF(OR(G1237="",H1237=""),"Data tidak lengkap",IF(AND(G1237=0,H1237=0),IF(AND(F1237="",K1237=""),"Tidak dibuka","Tutup"),IF(H1237&gt;G1237,"Lebih kapasitas",IF(H1237=G1237,"Penuh",IF(H1237=0,IF(F1237="","Slot kosong","Belum terisi"),"Sebagian")))))</f>
        <v>Tidak dibuka</v>
      </c>
      <c r="M1237" s="76" t="str">
        <f aca="false">IF(L1237="Tidak dibuka","–",IF(F1237="","(tanpa age group)",F1237)&amp;"  "&amp;IF(H1237="","?",H1237)&amp;"/"&amp;IF(G1237="","?",G1237)&amp;CHAR(10)&amp;IF(K1237="","coach: –","coach: "&amp;K1237))</f>
        <v>–</v>
      </c>
    </row>
    <row r="1238" customFormat="false" ht="22.35" hidden="false" customHeight="false" outlineLevel="0" collapsed="false">
      <c r="A1238" s="76" t="str">
        <f aca="false">B1238&amp;"|"&amp;C1238&amp;"|"&amp;D1238&amp;"|"&amp;E1238</f>
        <v>PML|5|Sabtu|08:45</v>
      </c>
      <c r="B1238" s="76" t="s">
        <v>65</v>
      </c>
      <c r="C1238" s="76" t="n">
        <v>5</v>
      </c>
      <c r="D1238" s="76" t="s">
        <v>95</v>
      </c>
      <c r="E1238" s="76" t="s">
        <v>111</v>
      </c>
      <c r="F1238" s="77" t="s">
        <v>210</v>
      </c>
      <c r="G1238" s="77" t="n">
        <v>4</v>
      </c>
      <c r="H1238" s="77" t="n">
        <v>4</v>
      </c>
      <c r="I1238" s="76" t="n">
        <f aca="false">IF(AND(ISNUMBER(G1238),ISNUMBER(H1238)),MAX(G1238-H1238,0),"")</f>
        <v>0</v>
      </c>
      <c r="J1238" s="78" t="n">
        <f aca="false">IF(AND(ISNUMBER(G1238),ISNUMBER(H1238)),IF(G1238&gt;0,H1238/G1238,""),"")</f>
        <v>1</v>
      </c>
      <c r="K1238" s="77" t="s">
        <v>333</v>
      </c>
      <c r="L1238" s="76" t="str">
        <f aca="false">IF(OR(G1238="",H1238=""),"Data tidak lengkap",IF(AND(G1238=0,H1238=0),IF(AND(F1238="",K1238=""),"Tidak dibuka","Tutup"),IF(H1238&gt;G1238,"Lebih kapasitas",IF(H1238=G1238,"Penuh",IF(H1238=0,IF(F1238="","Slot kosong","Belum terisi"),"Sebagian")))))</f>
        <v>Penuh</v>
      </c>
      <c r="M1238" s="79" t="str">
        <f aca="false">IF(L1238="Tidak dibuka","–",IF(F1238="","(tanpa age group)",F1238)&amp;"  "&amp;IF(H1238="","?",H1238)&amp;"/"&amp;IF(G1238="","?",G1238)&amp;CHAR(10)&amp;IF(K1238="","coach: –","coach: "&amp;K1238))</f>
        <v>Kids  4/4
coach: Zidan</v>
      </c>
    </row>
    <row r="1239" customFormat="false" ht="22.35" hidden="false" customHeight="false" outlineLevel="0" collapsed="false">
      <c r="A1239" s="76" t="str">
        <f aca="false">B1239&amp;"|"&amp;C1239&amp;"|"&amp;D1239&amp;"|"&amp;E1239</f>
        <v>PML|5|Sabtu|09:30</v>
      </c>
      <c r="B1239" s="76" t="s">
        <v>65</v>
      </c>
      <c r="C1239" s="76" t="n">
        <v>5</v>
      </c>
      <c r="D1239" s="76" t="s">
        <v>95</v>
      </c>
      <c r="E1239" s="76" t="s">
        <v>112</v>
      </c>
      <c r="F1239" s="77" t="s">
        <v>210</v>
      </c>
      <c r="G1239" s="77" t="n">
        <v>4</v>
      </c>
      <c r="H1239" s="77" t="n">
        <v>4</v>
      </c>
      <c r="I1239" s="76" t="n">
        <f aca="false">IF(AND(ISNUMBER(G1239),ISNUMBER(H1239)),MAX(G1239-H1239,0),"")</f>
        <v>0</v>
      </c>
      <c r="J1239" s="78" t="n">
        <f aca="false">IF(AND(ISNUMBER(G1239),ISNUMBER(H1239)),IF(G1239&gt;0,H1239/G1239,""),"")</f>
        <v>1</v>
      </c>
      <c r="K1239" s="77" t="s">
        <v>335</v>
      </c>
      <c r="L1239" s="76" t="str">
        <f aca="false">IF(OR(G1239="",H1239=""),"Data tidak lengkap",IF(AND(G1239=0,H1239=0),IF(AND(F1239="",K1239=""),"Tidak dibuka","Tutup"),IF(H1239&gt;G1239,"Lebih kapasitas",IF(H1239=G1239,"Penuh",IF(H1239=0,IF(F1239="","Slot kosong","Belum terisi"),"Sebagian")))))</f>
        <v>Penuh</v>
      </c>
      <c r="M1239" s="79" t="str">
        <f aca="false">IF(L1239="Tidak dibuka","–",IF(F1239="","(tanpa age group)",F1239)&amp;"  "&amp;IF(H1239="","?",H1239)&amp;"/"&amp;IF(G1239="","?",G1239)&amp;CHAR(10)&amp;IF(K1239="","coach: –","coach: "&amp;K1239))</f>
        <v>Kids  4/4
coach: Shofwan</v>
      </c>
    </row>
    <row r="1240" customFormat="false" ht="22.35" hidden="false" customHeight="false" outlineLevel="0" collapsed="false">
      <c r="A1240" s="76" t="str">
        <f aca="false">B1240&amp;"|"&amp;C1240&amp;"|"&amp;D1240&amp;"|"&amp;E1240</f>
        <v>PML|5|Sabtu|10:15</v>
      </c>
      <c r="B1240" s="76" t="s">
        <v>65</v>
      </c>
      <c r="C1240" s="76" t="n">
        <v>5</v>
      </c>
      <c r="D1240" s="76" t="s">
        <v>95</v>
      </c>
      <c r="E1240" s="76" t="s">
        <v>113</v>
      </c>
      <c r="F1240" s="77" t="s">
        <v>210</v>
      </c>
      <c r="G1240" s="77" t="n">
        <v>4</v>
      </c>
      <c r="H1240" s="77" t="n">
        <v>4</v>
      </c>
      <c r="I1240" s="76" t="n">
        <f aca="false">IF(AND(ISNUMBER(G1240),ISNUMBER(H1240)),MAX(G1240-H1240,0),"")</f>
        <v>0</v>
      </c>
      <c r="J1240" s="78" t="n">
        <f aca="false">IF(AND(ISNUMBER(G1240),ISNUMBER(H1240)),IF(G1240&gt;0,H1240/G1240,""),"")</f>
        <v>1</v>
      </c>
      <c r="K1240" s="77" t="s">
        <v>336</v>
      </c>
      <c r="L1240" s="76" t="str">
        <f aca="false">IF(OR(G1240="",H1240=""),"Data tidak lengkap",IF(AND(G1240=0,H1240=0),IF(AND(F1240="",K1240=""),"Tidak dibuka","Tutup"),IF(H1240&gt;G1240,"Lebih kapasitas",IF(H1240=G1240,"Penuh",IF(H1240=0,IF(F1240="","Slot kosong","Belum terisi"),"Sebagian")))))</f>
        <v>Penuh</v>
      </c>
      <c r="M1240" s="79" t="str">
        <f aca="false">IF(L1240="Tidak dibuka","–",IF(F1240="","(tanpa age group)",F1240)&amp;"  "&amp;IF(H1240="","?",H1240)&amp;"/"&amp;IF(G1240="","?",G1240)&amp;CHAR(10)&amp;IF(K1240="","coach: –","coach: "&amp;K1240))</f>
        <v>Kids  4/4
coach: Laksamana</v>
      </c>
    </row>
    <row r="1241" customFormat="false" ht="22.35" hidden="false" customHeight="false" outlineLevel="0" collapsed="false">
      <c r="A1241" s="76" t="str">
        <f aca="false">B1241&amp;"|"&amp;C1241&amp;"|"&amp;D1241&amp;"|"&amp;E1241</f>
        <v>PML|5|Sabtu|11:00</v>
      </c>
      <c r="B1241" s="76" t="s">
        <v>65</v>
      </c>
      <c r="C1241" s="76" t="n">
        <v>5</v>
      </c>
      <c r="D1241" s="76" t="s">
        <v>95</v>
      </c>
      <c r="E1241" s="76" t="s">
        <v>114</v>
      </c>
      <c r="F1241" s="77" t="s">
        <v>277</v>
      </c>
      <c r="G1241" s="77" t="n">
        <v>4</v>
      </c>
      <c r="H1241" s="77" t="n">
        <v>3</v>
      </c>
      <c r="I1241" s="76" t="n">
        <f aca="false">IF(AND(ISNUMBER(G1241),ISNUMBER(H1241)),MAX(G1241-H1241,0),"")</f>
        <v>1</v>
      </c>
      <c r="J1241" s="78" t="n">
        <f aca="false">IF(AND(ISNUMBER(G1241),ISNUMBER(H1241)),IF(G1241&gt;0,H1241/G1241,""),"")</f>
        <v>0.75</v>
      </c>
      <c r="K1241" s="77" t="s">
        <v>335</v>
      </c>
      <c r="L1241" s="76" t="str">
        <f aca="false">IF(OR(G1241="",H1241=""),"Data tidak lengkap",IF(AND(G1241=0,H1241=0),IF(AND(F1241="",K1241=""),"Tidak dibuka","Tutup"),IF(H1241&gt;G1241,"Lebih kapasitas",IF(H1241=G1241,"Penuh",IF(H1241=0,IF(F1241="","Slot kosong","Belum terisi"),"Sebagian")))))</f>
        <v>Sebagian</v>
      </c>
      <c r="M1241" s="79" t="str">
        <f aca="false">IF(L1241="Tidak dibuka","–",IF(F1241="","(tanpa age group)",F1241)&amp;"  "&amp;IF(H1241="","?",H1241)&amp;"/"&amp;IF(G1241="","?",G1241)&amp;CHAR(10)&amp;IF(K1241="","coach: –","coach: "&amp;K1241))</f>
        <v>Little  3/4
coach: Shofwan</v>
      </c>
    </row>
    <row r="1242" customFormat="false" ht="22.35" hidden="false" customHeight="false" outlineLevel="0" collapsed="false">
      <c r="A1242" s="76" t="str">
        <f aca="false">B1242&amp;"|"&amp;C1242&amp;"|"&amp;D1242&amp;"|"&amp;E1242</f>
        <v>PML|5|Sabtu|11:45</v>
      </c>
      <c r="B1242" s="76" t="s">
        <v>65</v>
      </c>
      <c r="C1242" s="76" t="n">
        <v>5</v>
      </c>
      <c r="D1242" s="76" t="s">
        <v>95</v>
      </c>
      <c r="E1242" s="76" t="s">
        <v>115</v>
      </c>
      <c r="F1242" s="77" t="s">
        <v>210</v>
      </c>
      <c r="G1242" s="77" t="n">
        <v>4</v>
      </c>
      <c r="H1242" s="77" t="n">
        <v>1</v>
      </c>
      <c r="I1242" s="76" t="n">
        <f aca="false">IF(AND(ISNUMBER(G1242),ISNUMBER(H1242)),MAX(G1242-H1242,0),"")</f>
        <v>3</v>
      </c>
      <c r="J1242" s="78" t="n">
        <f aca="false">IF(AND(ISNUMBER(G1242),ISNUMBER(H1242)),IF(G1242&gt;0,H1242/G1242,""),"")</f>
        <v>0.25</v>
      </c>
      <c r="K1242" s="77" t="s">
        <v>337</v>
      </c>
      <c r="L1242" s="76" t="str">
        <f aca="false">IF(OR(G1242="",H1242=""),"Data tidak lengkap",IF(AND(G1242=0,H1242=0),IF(AND(F1242="",K1242=""),"Tidak dibuka","Tutup"),IF(H1242&gt;G1242,"Lebih kapasitas",IF(H1242=G1242,"Penuh",IF(H1242=0,IF(F1242="","Slot kosong","Belum terisi"),"Sebagian")))))</f>
        <v>Sebagian</v>
      </c>
      <c r="M1242" s="79" t="str">
        <f aca="false">IF(L1242="Tidak dibuka","–",IF(F1242="","(tanpa age group)",F1242)&amp;"  "&amp;IF(H1242="","?",H1242)&amp;"/"&amp;IF(G1242="","?",G1242)&amp;CHAR(10)&amp;IF(K1242="","coach: –","coach: "&amp;K1242))</f>
        <v>Kids  1/4
coach: Dadi</v>
      </c>
    </row>
    <row r="1243" customFormat="false" ht="22.35" hidden="false" customHeight="false" outlineLevel="0" collapsed="false">
      <c r="A1243" s="76" t="str">
        <f aca="false">B1243&amp;"|"&amp;C1243&amp;"|"&amp;D1243&amp;"|"&amp;E1243</f>
        <v>PML|5|Sabtu|13:15</v>
      </c>
      <c r="B1243" s="76" t="s">
        <v>65</v>
      </c>
      <c r="C1243" s="76" t="n">
        <v>5</v>
      </c>
      <c r="D1243" s="76" t="s">
        <v>95</v>
      </c>
      <c r="E1243" s="76" t="s">
        <v>116</v>
      </c>
      <c r="F1243" s="77"/>
      <c r="G1243" s="77" t="n">
        <v>4</v>
      </c>
      <c r="H1243" s="77" t="n">
        <v>0</v>
      </c>
      <c r="I1243" s="76" t="n">
        <f aca="false">IF(AND(ISNUMBER(G1243),ISNUMBER(H1243)),MAX(G1243-H1243,0),"")</f>
        <v>4</v>
      </c>
      <c r="J1243" s="78" t="n">
        <f aca="false">IF(AND(ISNUMBER(G1243),ISNUMBER(H1243)),IF(G1243&gt;0,H1243/G1243,""),"")</f>
        <v>0</v>
      </c>
      <c r="K1243" s="77"/>
      <c r="L1243" s="76" t="str">
        <f aca="false">IF(OR(G1243="",H1243=""),"Data tidak lengkap",IF(AND(G1243=0,H1243=0),IF(AND(F1243="",K1243=""),"Tidak dibuka","Tutup"),IF(H1243&gt;G1243,"Lebih kapasitas",IF(H1243=G1243,"Penuh",IF(H1243=0,IF(F1243="","Slot kosong","Belum terisi"),"Sebagian")))))</f>
        <v>Slot kosong</v>
      </c>
      <c r="M1243" s="79" t="str">
        <f aca="false">IF(L1243="Tidak dibuka","–",IF(F1243="","(tanpa age group)",F1243)&amp;"  "&amp;IF(H1243="","?",H1243)&amp;"/"&amp;IF(G1243="","?",G1243)&amp;CHAR(10)&amp;IF(K1243="","coach: –","coach: "&amp;K1243))</f>
        <v>(tanpa age group)  0/4
coach: –</v>
      </c>
    </row>
    <row r="1244" customFormat="false" ht="22.35" hidden="false" customHeight="false" outlineLevel="0" collapsed="false">
      <c r="A1244" s="76" t="str">
        <f aca="false">B1244&amp;"|"&amp;C1244&amp;"|"&amp;D1244&amp;"|"&amp;E1244</f>
        <v>PML|5|Sabtu|14:00</v>
      </c>
      <c r="B1244" s="76" t="s">
        <v>65</v>
      </c>
      <c r="C1244" s="76" t="n">
        <v>5</v>
      </c>
      <c r="D1244" s="76" t="s">
        <v>95</v>
      </c>
      <c r="E1244" s="76" t="s">
        <v>117</v>
      </c>
      <c r="F1244" s="77" t="s">
        <v>210</v>
      </c>
      <c r="G1244" s="77" t="n">
        <v>4</v>
      </c>
      <c r="H1244" s="77" t="n">
        <v>4</v>
      </c>
      <c r="I1244" s="76" t="n">
        <f aca="false">IF(AND(ISNUMBER(G1244),ISNUMBER(H1244)),MAX(G1244-H1244,0),"")</f>
        <v>0</v>
      </c>
      <c r="J1244" s="78" t="n">
        <f aca="false">IF(AND(ISNUMBER(G1244),ISNUMBER(H1244)),IF(G1244&gt;0,H1244/G1244,""),"")</f>
        <v>1</v>
      </c>
      <c r="K1244" s="77" t="s">
        <v>331</v>
      </c>
      <c r="L1244" s="76" t="str">
        <f aca="false">IF(OR(G1244="",H1244=""),"Data tidak lengkap",IF(AND(G1244=0,H1244=0),IF(AND(F1244="",K1244=""),"Tidak dibuka","Tutup"),IF(H1244&gt;G1244,"Lebih kapasitas",IF(H1244=G1244,"Penuh",IF(H1244=0,IF(F1244="","Slot kosong","Belum terisi"),"Sebagian")))))</f>
        <v>Penuh</v>
      </c>
      <c r="M1244" s="79" t="str">
        <f aca="false">IF(L1244="Tidak dibuka","–",IF(F1244="","(tanpa age group)",F1244)&amp;"  "&amp;IF(H1244="","?",H1244)&amp;"/"&amp;IF(G1244="","?",G1244)&amp;CHAR(10)&amp;IF(K1244="","coach: –","coach: "&amp;K1244))</f>
        <v>Kids  4/4
coach: Damai</v>
      </c>
    </row>
    <row r="1245" customFormat="false" ht="22.35" hidden="false" customHeight="false" outlineLevel="0" collapsed="false">
      <c r="A1245" s="76" t="str">
        <f aca="false">B1245&amp;"|"&amp;C1245&amp;"|"&amp;D1245&amp;"|"&amp;E1245</f>
        <v>PML|5|Sabtu|14:45</v>
      </c>
      <c r="B1245" s="76" t="s">
        <v>65</v>
      </c>
      <c r="C1245" s="76" t="n">
        <v>5</v>
      </c>
      <c r="D1245" s="76" t="s">
        <v>95</v>
      </c>
      <c r="E1245" s="76" t="s">
        <v>118</v>
      </c>
      <c r="F1245" s="77"/>
      <c r="G1245" s="77" t="n">
        <v>4</v>
      </c>
      <c r="H1245" s="77" t="n">
        <v>0</v>
      </c>
      <c r="I1245" s="76" t="n">
        <f aca="false">IF(AND(ISNUMBER(G1245),ISNUMBER(H1245)),MAX(G1245-H1245,0),"")</f>
        <v>4</v>
      </c>
      <c r="J1245" s="78" t="n">
        <f aca="false">IF(AND(ISNUMBER(G1245),ISNUMBER(H1245)),IF(G1245&gt;0,H1245/G1245,""),"")</f>
        <v>0</v>
      </c>
      <c r="K1245" s="77"/>
      <c r="L1245" s="76" t="str">
        <f aca="false">IF(OR(G1245="",H1245=""),"Data tidak lengkap",IF(AND(G1245=0,H1245=0),IF(AND(F1245="",K1245=""),"Tidak dibuka","Tutup"),IF(H1245&gt;G1245,"Lebih kapasitas",IF(H1245=G1245,"Penuh",IF(H1245=0,IF(F1245="","Slot kosong","Belum terisi"),"Sebagian")))))</f>
        <v>Slot kosong</v>
      </c>
      <c r="M1245" s="79" t="str">
        <f aca="false">IF(L1245="Tidak dibuka","–",IF(F1245="","(tanpa age group)",F1245)&amp;"  "&amp;IF(H1245="","?",H1245)&amp;"/"&amp;IF(G1245="","?",G1245)&amp;CHAR(10)&amp;IF(K1245="","coach: –","coach: "&amp;K1245))</f>
        <v>(tanpa age group)  0/4
coach: –</v>
      </c>
    </row>
    <row r="1246" customFormat="false" ht="22.35" hidden="false" customHeight="false" outlineLevel="0" collapsed="false">
      <c r="A1246" s="76" t="str">
        <f aca="false">B1246&amp;"|"&amp;C1246&amp;"|"&amp;D1246&amp;"|"&amp;E1246</f>
        <v>PML|5|Sabtu|15:30</v>
      </c>
      <c r="B1246" s="76" t="s">
        <v>65</v>
      </c>
      <c r="C1246" s="76" t="n">
        <v>5</v>
      </c>
      <c r="D1246" s="76" t="s">
        <v>95</v>
      </c>
      <c r="E1246" s="76" t="s">
        <v>119</v>
      </c>
      <c r="F1246" s="77" t="s">
        <v>277</v>
      </c>
      <c r="G1246" s="77" t="n">
        <v>4</v>
      </c>
      <c r="H1246" s="77" t="n">
        <v>1</v>
      </c>
      <c r="I1246" s="76" t="n">
        <f aca="false">IF(AND(ISNUMBER(G1246),ISNUMBER(H1246)),MAX(G1246-H1246,0),"")</f>
        <v>3</v>
      </c>
      <c r="J1246" s="78" t="n">
        <f aca="false">IF(AND(ISNUMBER(G1246),ISNUMBER(H1246)),IF(G1246&gt;0,H1246/G1246,""),"")</f>
        <v>0.25</v>
      </c>
      <c r="K1246" s="77" t="s">
        <v>337</v>
      </c>
      <c r="L1246" s="76" t="str">
        <f aca="false">IF(OR(G1246="",H1246=""),"Data tidak lengkap",IF(AND(G1246=0,H1246=0),IF(AND(F1246="",K1246=""),"Tidak dibuka","Tutup"),IF(H1246&gt;G1246,"Lebih kapasitas",IF(H1246=G1246,"Penuh",IF(H1246=0,IF(F1246="","Slot kosong","Belum terisi"),"Sebagian")))))</f>
        <v>Sebagian</v>
      </c>
      <c r="M1246" s="79" t="str">
        <f aca="false">IF(L1246="Tidak dibuka","–",IF(F1246="","(tanpa age group)",F1246)&amp;"  "&amp;IF(H1246="","?",H1246)&amp;"/"&amp;IF(G1246="","?",G1246)&amp;CHAR(10)&amp;IF(K1246="","coach: –","coach: "&amp;K1246))</f>
        <v>Little  1/4
coach: Dadi</v>
      </c>
    </row>
    <row r="1247" customFormat="false" ht="22.35" hidden="false" customHeight="false" outlineLevel="0" collapsed="false">
      <c r="A1247" s="76" t="str">
        <f aca="false">B1247&amp;"|"&amp;C1247&amp;"|"&amp;D1247&amp;"|"&amp;E1247</f>
        <v>PML|5|Sabtu|16:15</v>
      </c>
      <c r="B1247" s="76" t="s">
        <v>65</v>
      </c>
      <c r="C1247" s="76" t="n">
        <v>5</v>
      </c>
      <c r="D1247" s="76" t="s">
        <v>95</v>
      </c>
      <c r="E1247" s="76" t="s">
        <v>120</v>
      </c>
      <c r="F1247" s="77"/>
      <c r="G1247" s="77" t="n">
        <v>4</v>
      </c>
      <c r="H1247" s="77" t="n">
        <v>0</v>
      </c>
      <c r="I1247" s="76" t="n">
        <f aca="false">IF(AND(ISNUMBER(G1247),ISNUMBER(H1247)),MAX(G1247-H1247,0),"")</f>
        <v>4</v>
      </c>
      <c r="J1247" s="78" t="n">
        <f aca="false">IF(AND(ISNUMBER(G1247),ISNUMBER(H1247)),IF(G1247&gt;0,H1247/G1247,""),"")</f>
        <v>0</v>
      </c>
      <c r="K1247" s="77"/>
      <c r="L1247" s="76" t="str">
        <f aca="false">IF(OR(G1247="",H1247=""),"Data tidak lengkap",IF(AND(G1247=0,H1247=0),IF(AND(F1247="",K1247=""),"Tidak dibuka","Tutup"),IF(H1247&gt;G1247,"Lebih kapasitas",IF(H1247=G1247,"Penuh",IF(H1247=0,IF(F1247="","Slot kosong","Belum terisi"),"Sebagian")))))</f>
        <v>Slot kosong</v>
      </c>
      <c r="M1247" s="79" t="str">
        <f aca="false">IF(L1247="Tidak dibuka","–",IF(F1247="","(tanpa age group)",F1247)&amp;"  "&amp;IF(H1247="","?",H1247)&amp;"/"&amp;IF(G1247="","?",G1247)&amp;CHAR(10)&amp;IF(K1247="","coach: –","coach: "&amp;K1247))</f>
        <v>(tanpa age group)  0/4
coach: –</v>
      </c>
    </row>
    <row r="1248" customFormat="false" ht="22.35" hidden="false" customHeight="false" outlineLevel="0" collapsed="false">
      <c r="A1248" s="76" t="str">
        <f aca="false">B1248&amp;"|"&amp;C1248&amp;"|"&amp;D1248&amp;"|"&amp;E1248</f>
        <v>PML|5|Sabtu|17:00</v>
      </c>
      <c r="B1248" s="76" t="s">
        <v>65</v>
      </c>
      <c r="C1248" s="76" t="n">
        <v>5</v>
      </c>
      <c r="D1248" s="76" t="s">
        <v>95</v>
      </c>
      <c r="E1248" s="76" t="s">
        <v>121</v>
      </c>
      <c r="F1248" s="77" t="s">
        <v>210</v>
      </c>
      <c r="G1248" s="77" t="n">
        <v>4</v>
      </c>
      <c r="H1248" s="77" t="n">
        <v>3</v>
      </c>
      <c r="I1248" s="76" t="n">
        <f aca="false">IF(AND(ISNUMBER(G1248),ISNUMBER(H1248)),MAX(G1248-H1248,0),"")</f>
        <v>1</v>
      </c>
      <c r="J1248" s="78" t="n">
        <f aca="false">IF(AND(ISNUMBER(G1248),ISNUMBER(H1248)),IF(G1248&gt;0,H1248/G1248,""),"")</f>
        <v>0.75</v>
      </c>
      <c r="K1248" s="77" t="s">
        <v>337</v>
      </c>
      <c r="L1248" s="76" t="str">
        <f aca="false">IF(OR(G1248="",H1248=""),"Data tidak lengkap",IF(AND(G1248=0,H1248=0),IF(AND(F1248="",K1248=""),"Tidak dibuka","Tutup"),IF(H1248&gt;G1248,"Lebih kapasitas",IF(H1248=G1248,"Penuh",IF(H1248=0,IF(F1248="","Slot kosong","Belum terisi"),"Sebagian")))))</f>
        <v>Sebagian</v>
      </c>
      <c r="M1248" s="79" t="str">
        <f aca="false">IF(L1248="Tidak dibuka","–",IF(F1248="","(tanpa age group)",F1248)&amp;"  "&amp;IF(H1248="","?",H1248)&amp;"/"&amp;IF(G1248="","?",G1248)&amp;CHAR(10)&amp;IF(K1248="","coach: –","coach: "&amp;K1248))</f>
        <v>Kids  3/4
coach: Dadi</v>
      </c>
    </row>
    <row r="1249" customFormat="false" ht="15" hidden="false" customHeight="false" outlineLevel="0" collapsed="false">
      <c r="A1249" s="76" t="str">
        <f aca="false">B1249&amp;"|"&amp;C1249&amp;"|"&amp;D1249&amp;"|"&amp;E1249</f>
        <v>PML|5|Minggu|08:00</v>
      </c>
      <c r="B1249" s="76" t="s">
        <v>65</v>
      </c>
      <c r="C1249" s="76" t="n">
        <v>5</v>
      </c>
      <c r="D1249" s="76" t="s">
        <v>78</v>
      </c>
      <c r="E1249" s="76" t="s">
        <v>110</v>
      </c>
      <c r="F1249" s="77"/>
      <c r="G1249" s="77" t="n">
        <v>0</v>
      </c>
      <c r="H1249" s="77" t="n">
        <v>0</v>
      </c>
      <c r="I1249" s="76" t="n">
        <f aca="false">IF(AND(ISNUMBER(G1249),ISNUMBER(H1249)),MAX(G1249-H1249,0),"")</f>
        <v>0</v>
      </c>
      <c r="J1249" s="78" t="str">
        <f aca="false">IF(AND(ISNUMBER(G1249),ISNUMBER(H1249)),IF(G1249&gt;0,H1249/G1249,""),"")</f>
        <v/>
      </c>
      <c r="K1249" s="77"/>
      <c r="L1249" s="76" t="str">
        <f aca="false">IF(OR(G1249="",H1249=""),"Data tidak lengkap",IF(AND(G1249=0,H1249=0),IF(AND(F1249="",K1249=""),"Tidak dibuka","Tutup"),IF(H1249&gt;G1249,"Lebih kapasitas",IF(H1249=G1249,"Penuh",IF(H1249=0,IF(F1249="","Slot kosong","Belum terisi"),"Sebagian")))))</f>
        <v>Tidak dibuka</v>
      </c>
      <c r="M1249" s="76" t="str">
        <f aca="false">IF(L1249="Tidak dibuka","–",IF(F1249="","(tanpa age group)",F1249)&amp;"  "&amp;IF(H1249="","?",H1249)&amp;"/"&amp;IF(G1249="","?",G1249)&amp;CHAR(10)&amp;IF(K1249="","coach: –","coach: "&amp;K1249))</f>
        <v>–</v>
      </c>
    </row>
    <row r="1250" customFormat="false" ht="22.35" hidden="false" customHeight="false" outlineLevel="0" collapsed="false">
      <c r="A1250" s="76" t="str">
        <f aca="false">B1250&amp;"|"&amp;C1250&amp;"|"&amp;D1250&amp;"|"&amp;E1250</f>
        <v>PML|5|Minggu|08:45</v>
      </c>
      <c r="B1250" s="76" t="s">
        <v>65</v>
      </c>
      <c r="C1250" s="76" t="n">
        <v>5</v>
      </c>
      <c r="D1250" s="76" t="s">
        <v>78</v>
      </c>
      <c r="E1250" s="76" t="s">
        <v>111</v>
      </c>
      <c r="F1250" s="77"/>
      <c r="G1250" s="77" t="n">
        <v>4</v>
      </c>
      <c r="H1250" s="77" t="n">
        <v>0</v>
      </c>
      <c r="I1250" s="76" t="n">
        <f aca="false">IF(AND(ISNUMBER(G1250),ISNUMBER(H1250)),MAX(G1250-H1250,0),"")</f>
        <v>4</v>
      </c>
      <c r="J1250" s="78" t="n">
        <f aca="false">IF(AND(ISNUMBER(G1250),ISNUMBER(H1250)),IF(G1250&gt;0,H1250/G1250,""),"")</f>
        <v>0</v>
      </c>
      <c r="K1250" s="77"/>
      <c r="L1250" s="76" t="str">
        <f aca="false">IF(OR(G1250="",H1250=""),"Data tidak lengkap",IF(AND(G1250=0,H1250=0),IF(AND(F1250="",K1250=""),"Tidak dibuka","Tutup"),IF(H1250&gt;G1250,"Lebih kapasitas",IF(H1250=G1250,"Penuh",IF(H1250=0,IF(F1250="","Slot kosong","Belum terisi"),"Sebagian")))))</f>
        <v>Slot kosong</v>
      </c>
      <c r="M1250" s="79" t="str">
        <f aca="false">IF(L1250="Tidak dibuka","–",IF(F1250="","(tanpa age group)",F1250)&amp;"  "&amp;IF(H1250="","?",H1250)&amp;"/"&amp;IF(G1250="","?",G1250)&amp;CHAR(10)&amp;IF(K1250="","coach: –","coach: "&amp;K1250))</f>
        <v>(tanpa age group)  0/4
coach: –</v>
      </c>
    </row>
    <row r="1251" customFormat="false" ht="22.35" hidden="false" customHeight="false" outlineLevel="0" collapsed="false">
      <c r="A1251" s="76" t="str">
        <f aca="false">B1251&amp;"|"&amp;C1251&amp;"|"&amp;D1251&amp;"|"&amp;E1251</f>
        <v>PML|5|Minggu|09:30</v>
      </c>
      <c r="B1251" s="76" t="s">
        <v>65</v>
      </c>
      <c r="C1251" s="76" t="n">
        <v>5</v>
      </c>
      <c r="D1251" s="76" t="s">
        <v>78</v>
      </c>
      <c r="E1251" s="76" t="s">
        <v>112</v>
      </c>
      <c r="F1251" s="77" t="s">
        <v>210</v>
      </c>
      <c r="G1251" s="77" t="n">
        <v>4</v>
      </c>
      <c r="H1251" s="77" t="n">
        <v>4</v>
      </c>
      <c r="I1251" s="76" t="n">
        <f aca="false">IF(AND(ISNUMBER(G1251),ISNUMBER(H1251)),MAX(G1251-H1251,0),"")</f>
        <v>0</v>
      </c>
      <c r="J1251" s="78" t="n">
        <f aca="false">IF(AND(ISNUMBER(G1251),ISNUMBER(H1251)),IF(G1251&gt;0,H1251/G1251,""),"")</f>
        <v>1</v>
      </c>
      <c r="K1251" s="77" t="s">
        <v>336</v>
      </c>
      <c r="L1251" s="76" t="str">
        <f aca="false">IF(OR(G1251="",H1251=""),"Data tidak lengkap",IF(AND(G1251=0,H1251=0),IF(AND(F1251="",K1251=""),"Tidak dibuka","Tutup"),IF(H1251&gt;G1251,"Lebih kapasitas",IF(H1251=G1251,"Penuh",IF(H1251=0,IF(F1251="","Slot kosong","Belum terisi"),"Sebagian")))))</f>
        <v>Penuh</v>
      </c>
      <c r="M1251" s="79" t="str">
        <f aca="false">IF(L1251="Tidak dibuka","–",IF(F1251="","(tanpa age group)",F1251)&amp;"  "&amp;IF(H1251="","?",H1251)&amp;"/"&amp;IF(G1251="","?",G1251)&amp;CHAR(10)&amp;IF(K1251="","coach: –","coach: "&amp;K1251))</f>
        <v>Kids  4/4
coach: Laksamana</v>
      </c>
    </row>
    <row r="1252" customFormat="false" ht="22.35" hidden="false" customHeight="false" outlineLevel="0" collapsed="false">
      <c r="A1252" s="76" t="str">
        <f aca="false">B1252&amp;"|"&amp;C1252&amp;"|"&amp;D1252&amp;"|"&amp;E1252</f>
        <v>PML|5|Minggu|10:15</v>
      </c>
      <c r="B1252" s="76" t="s">
        <v>65</v>
      </c>
      <c r="C1252" s="76" t="n">
        <v>5</v>
      </c>
      <c r="D1252" s="76" t="s">
        <v>78</v>
      </c>
      <c r="E1252" s="76" t="s">
        <v>113</v>
      </c>
      <c r="F1252" s="77" t="s">
        <v>210</v>
      </c>
      <c r="G1252" s="77" t="n">
        <v>4</v>
      </c>
      <c r="H1252" s="77" t="n">
        <v>3</v>
      </c>
      <c r="I1252" s="76" t="n">
        <f aca="false">IF(AND(ISNUMBER(G1252),ISNUMBER(H1252)),MAX(G1252-H1252,0),"")</f>
        <v>1</v>
      </c>
      <c r="J1252" s="78" t="n">
        <f aca="false">IF(AND(ISNUMBER(G1252),ISNUMBER(H1252)),IF(G1252&gt;0,H1252/G1252,""),"")</f>
        <v>0.75</v>
      </c>
      <c r="K1252" s="77" t="s">
        <v>330</v>
      </c>
      <c r="L1252" s="76" t="str">
        <f aca="false">IF(OR(G1252="",H1252=""),"Data tidak lengkap",IF(AND(G1252=0,H1252=0),IF(AND(F1252="",K1252=""),"Tidak dibuka","Tutup"),IF(H1252&gt;G1252,"Lebih kapasitas",IF(H1252=G1252,"Penuh",IF(H1252=0,IF(F1252="","Slot kosong","Belum terisi"),"Sebagian")))))</f>
        <v>Sebagian</v>
      </c>
      <c r="M1252" s="79" t="str">
        <f aca="false">IF(L1252="Tidak dibuka","–",IF(F1252="","(tanpa age group)",F1252)&amp;"  "&amp;IF(H1252="","?",H1252)&amp;"/"&amp;IF(G1252="","?",G1252)&amp;CHAR(10)&amp;IF(K1252="","coach: –","coach: "&amp;K1252))</f>
        <v>Kids  3/4
coach: Indah</v>
      </c>
    </row>
    <row r="1253" customFormat="false" ht="22.35" hidden="false" customHeight="false" outlineLevel="0" collapsed="false">
      <c r="A1253" s="76" t="str">
        <f aca="false">B1253&amp;"|"&amp;C1253&amp;"|"&amp;D1253&amp;"|"&amp;E1253</f>
        <v>PML|5|Minggu|11:00</v>
      </c>
      <c r="B1253" s="76" t="s">
        <v>65</v>
      </c>
      <c r="C1253" s="76" t="n">
        <v>5</v>
      </c>
      <c r="D1253" s="76" t="s">
        <v>78</v>
      </c>
      <c r="E1253" s="76" t="s">
        <v>114</v>
      </c>
      <c r="F1253" s="77"/>
      <c r="G1253" s="77" t="n">
        <v>4</v>
      </c>
      <c r="H1253" s="77" t="n">
        <v>0</v>
      </c>
      <c r="I1253" s="76" t="n">
        <f aca="false">IF(AND(ISNUMBER(G1253),ISNUMBER(H1253)),MAX(G1253-H1253,0),"")</f>
        <v>4</v>
      </c>
      <c r="J1253" s="78" t="n">
        <f aca="false">IF(AND(ISNUMBER(G1253),ISNUMBER(H1253)),IF(G1253&gt;0,H1253/G1253,""),"")</f>
        <v>0</v>
      </c>
      <c r="K1253" s="77"/>
      <c r="L1253" s="76" t="str">
        <f aca="false">IF(OR(G1253="",H1253=""),"Data tidak lengkap",IF(AND(G1253=0,H1253=0),IF(AND(F1253="",K1253=""),"Tidak dibuka","Tutup"),IF(H1253&gt;G1253,"Lebih kapasitas",IF(H1253=G1253,"Penuh",IF(H1253=0,IF(F1253="","Slot kosong","Belum terisi"),"Sebagian")))))</f>
        <v>Slot kosong</v>
      </c>
      <c r="M1253" s="79" t="str">
        <f aca="false">IF(L1253="Tidak dibuka","–",IF(F1253="","(tanpa age group)",F1253)&amp;"  "&amp;IF(H1253="","?",H1253)&amp;"/"&amp;IF(G1253="","?",G1253)&amp;CHAR(10)&amp;IF(K1253="","coach: –","coach: "&amp;K1253))</f>
        <v>(tanpa age group)  0/4
coach: –</v>
      </c>
    </row>
    <row r="1254" customFormat="false" ht="22.35" hidden="false" customHeight="false" outlineLevel="0" collapsed="false">
      <c r="A1254" s="76" t="str">
        <f aca="false">B1254&amp;"|"&amp;C1254&amp;"|"&amp;D1254&amp;"|"&amp;E1254</f>
        <v>PML|5|Minggu|11:45</v>
      </c>
      <c r="B1254" s="76" t="s">
        <v>65</v>
      </c>
      <c r="C1254" s="76" t="n">
        <v>5</v>
      </c>
      <c r="D1254" s="76" t="s">
        <v>78</v>
      </c>
      <c r="E1254" s="76" t="s">
        <v>115</v>
      </c>
      <c r="F1254" s="77"/>
      <c r="G1254" s="77" t="n">
        <v>4</v>
      </c>
      <c r="H1254" s="77" t="n">
        <v>0</v>
      </c>
      <c r="I1254" s="76" t="n">
        <f aca="false">IF(AND(ISNUMBER(G1254),ISNUMBER(H1254)),MAX(G1254-H1254,0),"")</f>
        <v>4</v>
      </c>
      <c r="J1254" s="78" t="n">
        <f aca="false">IF(AND(ISNUMBER(G1254),ISNUMBER(H1254)),IF(G1254&gt;0,H1254/G1254,""),"")</f>
        <v>0</v>
      </c>
      <c r="K1254" s="77"/>
      <c r="L1254" s="76" t="str">
        <f aca="false">IF(OR(G1254="",H1254=""),"Data tidak lengkap",IF(AND(G1254=0,H1254=0),IF(AND(F1254="",K1254=""),"Tidak dibuka","Tutup"),IF(H1254&gt;G1254,"Lebih kapasitas",IF(H1254=G1254,"Penuh",IF(H1254=0,IF(F1254="","Slot kosong","Belum terisi"),"Sebagian")))))</f>
        <v>Slot kosong</v>
      </c>
      <c r="M1254" s="79" t="str">
        <f aca="false">IF(L1254="Tidak dibuka","–",IF(F1254="","(tanpa age group)",F1254)&amp;"  "&amp;IF(H1254="","?",H1254)&amp;"/"&amp;IF(G1254="","?",G1254)&amp;CHAR(10)&amp;IF(K1254="","coach: –","coach: "&amp;K1254))</f>
        <v>(tanpa age group)  0/4
coach: –</v>
      </c>
    </row>
    <row r="1255" customFormat="false" ht="22.35" hidden="false" customHeight="false" outlineLevel="0" collapsed="false">
      <c r="A1255" s="76" t="str">
        <f aca="false">B1255&amp;"|"&amp;C1255&amp;"|"&amp;D1255&amp;"|"&amp;E1255</f>
        <v>PML|5|Minggu|13:15</v>
      </c>
      <c r="B1255" s="76" t="s">
        <v>65</v>
      </c>
      <c r="C1255" s="76" t="n">
        <v>5</v>
      </c>
      <c r="D1255" s="76" t="s">
        <v>78</v>
      </c>
      <c r="E1255" s="76" t="s">
        <v>116</v>
      </c>
      <c r="F1255" s="77"/>
      <c r="G1255" s="77" t="n">
        <v>4</v>
      </c>
      <c r="H1255" s="77" t="n">
        <v>0</v>
      </c>
      <c r="I1255" s="76" t="n">
        <f aca="false">IF(AND(ISNUMBER(G1255),ISNUMBER(H1255)),MAX(G1255-H1255,0),"")</f>
        <v>4</v>
      </c>
      <c r="J1255" s="78" t="n">
        <f aca="false">IF(AND(ISNUMBER(G1255),ISNUMBER(H1255)),IF(G1255&gt;0,H1255/G1255,""),"")</f>
        <v>0</v>
      </c>
      <c r="K1255" s="77"/>
      <c r="L1255" s="76" t="str">
        <f aca="false">IF(OR(G1255="",H1255=""),"Data tidak lengkap",IF(AND(G1255=0,H1255=0),IF(AND(F1255="",K1255=""),"Tidak dibuka","Tutup"),IF(H1255&gt;G1255,"Lebih kapasitas",IF(H1255=G1255,"Penuh",IF(H1255=0,IF(F1255="","Slot kosong","Belum terisi"),"Sebagian")))))</f>
        <v>Slot kosong</v>
      </c>
      <c r="M1255" s="79" t="str">
        <f aca="false">IF(L1255="Tidak dibuka","–",IF(F1255="","(tanpa age group)",F1255)&amp;"  "&amp;IF(H1255="","?",H1255)&amp;"/"&amp;IF(G1255="","?",G1255)&amp;CHAR(10)&amp;IF(K1255="","coach: –","coach: "&amp;K1255))</f>
        <v>(tanpa age group)  0/4
coach: –</v>
      </c>
    </row>
    <row r="1256" customFormat="false" ht="22.35" hidden="false" customHeight="false" outlineLevel="0" collapsed="false">
      <c r="A1256" s="76" t="str">
        <f aca="false">B1256&amp;"|"&amp;C1256&amp;"|"&amp;D1256&amp;"|"&amp;E1256</f>
        <v>PML|5|Minggu|14:00</v>
      </c>
      <c r="B1256" s="76" t="s">
        <v>65</v>
      </c>
      <c r="C1256" s="76" t="n">
        <v>5</v>
      </c>
      <c r="D1256" s="76" t="s">
        <v>78</v>
      </c>
      <c r="E1256" s="76" t="s">
        <v>117</v>
      </c>
      <c r="F1256" s="77"/>
      <c r="G1256" s="77" t="n">
        <v>4</v>
      </c>
      <c r="H1256" s="77" t="n">
        <v>0</v>
      </c>
      <c r="I1256" s="76" t="n">
        <f aca="false">IF(AND(ISNUMBER(G1256),ISNUMBER(H1256)),MAX(G1256-H1256,0),"")</f>
        <v>4</v>
      </c>
      <c r="J1256" s="78" t="n">
        <f aca="false">IF(AND(ISNUMBER(G1256),ISNUMBER(H1256)),IF(G1256&gt;0,H1256/G1256,""),"")</f>
        <v>0</v>
      </c>
      <c r="K1256" s="77"/>
      <c r="L1256" s="76" t="str">
        <f aca="false">IF(OR(G1256="",H1256=""),"Data tidak lengkap",IF(AND(G1256=0,H1256=0),IF(AND(F1256="",K1256=""),"Tidak dibuka","Tutup"),IF(H1256&gt;G1256,"Lebih kapasitas",IF(H1256=G1256,"Penuh",IF(H1256=0,IF(F1256="","Slot kosong","Belum terisi"),"Sebagian")))))</f>
        <v>Slot kosong</v>
      </c>
      <c r="M1256" s="79" t="str">
        <f aca="false">IF(L1256="Tidak dibuka","–",IF(F1256="","(tanpa age group)",F1256)&amp;"  "&amp;IF(H1256="","?",H1256)&amp;"/"&amp;IF(G1256="","?",G1256)&amp;CHAR(10)&amp;IF(K1256="","coach: –","coach: "&amp;K1256))</f>
        <v>(tanpa age group)  0/4
coach: –</v>
      </c>
    </row>
    <row r="1257" customFormat="false" ht="22.35" hidden="false" customHeight="false" outlineLevel="0" collapsed="false">
      <c r="A1257" s="76" t="str">
        <f aca="false">B1257&amp;"|"&amp;C1257&amp;"|"&amp;D1257&amp;"|"&amp;E1257</f>
        <v>PML|5|Minggu|14:45</v>
      </c>
      <c r="B1257" s="76" t="s">
        <v>65</v>
      </c>
      <c r="C1257" s="76" t="n">
        <v>5</v>
      </c>
      <c r="D1257" s="76" t="s">
        <v>78</v>
      </c>
      <c r="E1257" s="76" t="s">
        <v>118</v>
      </c>
      <c r="F1257" s="77"/>
      <c r="G1257" s="77" t="n">
        <v>4</v>
      </c>
      <c r="H1257" s="77" t="n">
        <v>0</v>
      </c>
      <c r="I1257" s="76" t="n">
        <f aca="false">IF(AND(ISNUMBER(G1257),ISNUMBER(H1257)),MAX(G1257-H1257,0),"")</f>
        <v>4</v>
      </c>
      <c r="J1257" s="78" t="n">
        <f aca="false">IF(AND(ISNUMBER(G1257),ISNUMBER(H1257)),IF(G1257&gt;0,H1257/G1257,""),"")</f>
        <v>0</v>
      </c>
      <c r="K1257" s="77"/>
      <c r="L1257" s="76" t="str">
        <f aca="false">IF(OR(G1257="",H1257=""),"Data tidak lengkap",IF(AND(G1257=0,H1257=0),IF(AND(F1257="",K1257=""),"Tidak dibuka","Tutup"),IF(H1257&gt;G1257,"Lebih kapasitas",IF(H1257=G1257,"Penuh",IF(H1257=0,IF(F1257="","Slot kosong","Belum terisi"),"Sebagian")))))</f>
        <v>Slot kosong</v>
      </c>
      <c r="M1257" s="79" t="str">
        <f aca="false">IF(L1257="Tidak dibuka","–",IF(F1257="","(tanpa age group)",F1257)&amp;"  "&amp;IF(H1257="","?",H1257)&amp;"/"&amp;IF(G1257="","?",G1257)&amp;CHAR(10)&amp;IF(K1257="","coach: –","coach: "&amp;K1257))</f>
        <v>(tanpa age group)  0/4
coach: –</v>
      </c>
    </row>
    <row r="1258" customFormat="false" ht="22.35" hidden="false" customHeight="false" outlineLevel="0" collapsed="false">
      <c r="A1258" s="76" t="str">
        <f aca="false">B1258&amp;"|"&amp;C1258&amp;"|"&amp;D1258&amp;"|"&amp;E1258</f>
        <v>PML|5|Minggu|15:30</v>
      </c>
      <c r="B1258" s="76" t="s">
        <v>65</v>
      </c>
      <c r="C1258" s="76" t="n">
        <v>5</v>
      </c>
      <c r="D1258" s="76" t="s">
        <v>78</v>
      </c>
      <c r="E1258" s="76" t="s">
        <v>119</v>
      </c>
      <c r="F1258" s="77"/>
      <c r="G1258" s="77" t="n">
        <v>4</v>
      </c>
      <c r="H1258" s="77" t="n">
        <v>0</v>
      </c>
      <c r="I1258" s="76" t="n">
        <f aca="false">IF(AND(ISNUMBER(G1258),ISNUMBER(H1258)),MAX(G1258-H1258,0),"")</f>
        <v>4</v>
      </c>
      <c r="J1258" s="78" t="n">
        <f aca="false">IF(AND(ISNUMBER(G1258),ISNUMBER(H1258)),IF(G1258&gt;0,H1258/G1258,""),"")</f>
        <v>0</v>
      </c>
      <c r="K1258" s="77"/>
      <c r="L1258" s="76" t="str">
        <f aca="false">IF(OR(G1258="",H1258=""),"Data tidak lengkap",IF(AND(G1258=0,H1258=0),IF(AND(F1258="",K1258=""),"Tidak dibuka","Tutup"),IF(H1258&gt;G1258,"Lebih kapasitas",IF(H1258=G1258,"Penuh",IF(H1258=0,IF(F1258="","Slot kosong","Belum terisi"),"Sebagian")))))</f>
        <v>Slot kosong</v>
      </c>
      <c r="M1258" s="79" t="str">
        <f aca="false">IF(L1258="Tidak dibuka","–",IF(F1258="","(tanpa age group)",F1258)&amp;"  "&amp;IF(H1258="","?",H1258)&amp;"/"&amp;IF(G1258="","?",G1258)&amp;CHAR(10)&amp;IF(K1258="","coach: –","coach: "&amp;K1258))</f>
        <v>(tanpa age group)  0/4
coach: –</v>
      </c>
    </row>
    <row r="1259" customFormat="false" ht="22.35" hidden="false" customHeight="false" outlineLevel="0" collapsed="false">
      <c r="A1259" s="76" t="str">
        <f aca="false">B1259&amp;"|"&amp;C1259&amp;"|"&amp;D1259&amp;"|"&amp;E1259</f>
        <v>PML|5|Minggu|16:15</v>
      </c>
      <c r="B1259" s="76" t="s">
        <v>65</v>
      </c>
      <c r="C1259" s="76" t="n">
        <v>5</v>
      </c>
      <c r="D1259" s="76" t="s">
        <v>78</v>
      </c>
      <c r="E1259" s="76" t="s">
        <v>120</v>
      </c>
      <c r="F1259" s="77" t="s">
        <v>210</v>
      </c>
      <c r="G1259" s="77" t="n">
        <v>4</v>
      </c>
      <c r="H1259" s="77" t="n">
        <v>4</v>
      </c>
      <c r="I1259" s="76" t="n">
        <f aca="false">IF(AND(ISNUMBER(G1259),ISNUMBER(H1259)),MAX(G1259-H1259,0),"")</f>
        <v>0</v>
      </c>
      <c r="J1259" s="78" t="n">
        <f aca="false">IF(AND(ISNUMBER(G1259),ISNUMBER(H1259)),IF(G1259&gt;0,H1259/G1259,""),"")</f>
        <v>1</v>
      </c>
      <c r="K1259" s="77" t="s">
        <v>330</v>
      </c>
      <c r="L1259" s="76" t="str">
        <f aca="false">IF(OR(G1259="",H1259=""),"Data tidak lengkap",IF(AND(G1259=0,H1259=0),IF(AND(F1259="",K1259=""),"Tidak dibuka","Tutup"),IF(H1259&gt;G1259,"Lebih kapasitas",IF(H1259=G1259,"Penuh",IF(H1259=0,IF(F1259="","Slot kosong","Belum terisi"),"Sebagian")))))</f>
        <v>Penuh</v>
      </c>
      <c r="M1259" s="79" t="str">
        <f aca="false">IF(L1259="Tidak dibuka","–",IF(F1259="","(tanpa age group)",F1259)&amp;"  "&amp;IF(H1259="","?",H1259)&amp;"/"&amp;IF(G1259="","?",G1259)&amp;CHAR(10)&amp;IF(K1259="","coach: –","coach: "&amp;K1259))</f>
        <v>Kids  4/4
coach: Indah</v>
      </c>
    </row>
    <row r="1260" customFormat="false" ht="22.35" hidden="false" customHeight="false" outlineLevel="0" collapsed="false">
      <c r="A1260" s="76" t="str">
        <f aca="false">B1260&amp;"|"&amp;C1260&amp;"|"&amp;D1260&amp;"|"&amp;E1260</f>
        <v>PML|5|Minggu|17:00</v>
      </c>
      <c r="B1260" s="76" t="s">
        <v>65</v>
      </c>
      <c r="C1260" s="76" t="n">
        <v>5</v>
      </c>
      <c r="D1260" s="76" t="s">
        <v>78</v>
      </c>
      <c r="E1260" s="76" t="s">
        <v>121</v>
      </c>
      <c r="F1260" s="77"/>
      <c r="G1260" s="77" t="n">
        <v>4</v>
      </c>
      <c r="H1260" s="77" t="n">
        <v>0</v>
      </c>
      <c r="I1260" s="76" t="n">
        <f aca="false">IF(AND(ISNUMBER(G1260),ISNUMBER(H1260)),MAX(G1260-H1260,0),"")</f>
        <v>4</v>
      </c>
      <c r="J1260" s="78" t="n">
        <f aca="false">IF(AND(ISNUMBER(G1260),ISNUMBER(H1260)),IF(G1260&gt;0,H1260/G1260,""),"")</f>
        <v>0</v>
      </c>
      <c r="K1260" s="77"/>
      <c r="L1260" s="76" t="str">
        <f aca="false">IF(OR(G1260="",H1260=""),"Data tidak lengkap",IF(AND(G1260=0,H1260=0),IF(AND(F1260="",K1260=""),"Tidak dibuka","Tutup"),IF(H1260&gt;G1260,"Lebih kapasitas",IF(H1260=G1260,"Penuh",IF(H1260=0,IF(F1260="","Slot kosong","Belum terisi"),"Sebagian")))))</f>
        <v>Slot kosong</v>
      </c>
      <c r="M1260" s="79" t="str">
        <f aca="false">IF(L1260="Tidak dibuka","–",IF(F1260="","(tanpa age group)",F1260)&amp;"  "&amp;IF(H1260="","?",H1260)&amp;"/"&amp;IF(G1260="","?",G1260)&amp;CHAR(10)&amp;IF(K1260="","coach: –","coach: "&amp;K1260))</f>
        <v>(tanpa age group)  0/4
coach: –</v>
      </c>
    </row>
    <row r="1261" customFormat="false" ht="22.35" hidden="false" customHeight="false" outlineLevel="0" collapsed="false">
      <c r="A1261" s="76" t="str">
        <f aca="false">B1261&amp;"|"&amp;C1261&amp;"|"&amp;D1261&amp;"|"&amp;E1261</f>
        <v>TMP|1|Senin|08:00</v>
      </c>
      <c r="B1261" s="76" t="s">
        <v>67</v>
      </c>
      <c r="C1261" s="76" t="n">
        <v>1</v>
      </c>
      <c r="D1261" s="76" t="s">
        <v>90</v>
      </c>
      <c r="E1261" s="76" t="s">
        <v>110</v>
      </c>
      <c r="F1261" s="77" t="s">
        <v>42</v>
      </c>
      <c r="G1261" s="77" t="n">
        <v>5</v>
      </c>
      <c r="H1261" s="77" t="n">
        <v>0</v>
      </c>
      <c r="I1261" s="76" t="n">
        <f aca="false">IF(AND(ISNUMBER(G1261),ISNUMBER(H1261)),MAX(G1261-H1261,0),"")</f>
        <v>5</v>
      </c>
      <c r="J1261" s="78" t="n">
        <f aca="false">IF(AND(ISNUMBER(G1261),ISNUMBER(H1261)),IF(G1261&gt;0,H1261/G1261,""),"")</f>
        <v>0</v>
      </c>
      <c r="K1261" s="77"/>
      <c r="L1261" s="76" t="str">
        <f aca="false">IF(OR(G1261="",H1261=""),"Data tidak lengkap",IF(AND(G1261=0,H1261=0),IF(AND(F1261="",K1261=""),"Tidak dibuka","Tutup"),IF(H1261&gt;G1261,"Lebih kapasitas",IF(H1261=G1261,"Penuh",IF(H1261=0,IF(F1261="","Slot kosong","Belum terisi"),"Sebagian")))))</f>
        <v>Belum terisi</v>
      </c>
      <c r="M1261" s="79" t="str">
        <f aca="false">IF(L1261="Tidak dibuka","–",IF(F1261="","(tanpa age group)",F1261)&amp;"  "&amp;IF(H1261="","?",H1261)&amp;"/"&amp;IF(G1261="","?",G1261)&amp;CHAR(10)&amp;IF(K1261="","coach: –","coach: "&amp;K1261))</f>
        <v>Tiny  0/5
coach: –</v>
      </c>
    </row>
    <row r="1262" customFormat="false" ht="22.35" hidden="false" customHeight="false" outlineLevel="0" collapsed="false">
      <c r="A1262" s="76" t="str">
        <f aca="false">B1262&amp;"|"&amp;C1262&amp;"|"&amp;D1262&amp;"|"&amp;E1262</f>
        <v>TMP|1|Senin|08:45</v>
      </c>
      <c r="B1262" s="76" t="s">
        <v>67</v>
      </c>
      <c r="C1262" s="76" t="n">
        <v>1</v>
      </c>
      <c r="D1262" s="76" t="s">
        <v>90</v>
      </c>
      <c r="E1262" s="76" t="s">
        <v>111</v>
      </c>
      <c r="F1262" s="77" t="s">
        <v>242</v>
      </c>
      <c r="G1262" s="77" t="n">
        <v>5</v>
      </c>
      <c r="H1262" s="77" t="n">
        <v>0</v>
      </c>
      <c r="I1262" s="76" t="n">
        <f aca="false">IF(AND(ISNUMBER(G1262),ISNUMBER(H1262)),MAX(G1262-H1262,0),"")</f>
        <v>5</v>
      </c>
      <c r="J1262" s="78" t="n">
        <f aca="false">IF(AND(ISNUMBER(G1262),ISNUMBER(H1262)),IF(G1262&gt;0,H1262/G1262,""),"")</f>
        <v>0</v>
      </c>
      <c r="K1262" s="77"/>
      <c r="L1262" s="76" t="str">
        <f aca="false">IF(OR(G1262="",H1262=""),"Data tidak lengkap",IF(AND(G1262=0,H1262=0),IF(AND(F1262="",K1262=""),"Tidak dibuka","Tutup"),IF(H1262&gt;G1262,"Lebih kapasitas",IF(H1262=G1262,"Penuh",IF(H1262=0,IF(F1262="","Slot kosong","Belum terisi"),"Sebagian")))))</f>
        <v>Belum terisi</v>
      </c>
      <c r="M1262" s="79" t="str">
        <f aca="false">IF(L1262="Tidak dibuka","–",IF(F1262="","(tanpa age group)",F1262)&amp;"  "&amp;IF(H1262="","?",H1262)&amp;"/"&amp;IF(G1262="","?",G1262)&amp;CHAR(10)&amp;IF(K1262="","coach: –","coach: "&amp;K1262))</f>
        <v>Baby  0/5
coach: –</v>
      </c>
    </row>
    <row r="1263" customFormat="false" ht="22.35" hidden="false" customHeight="false" outlineLevel="0" collapsed="false">
      <c r="A1263" s="76" t="str">
        <f aca="false">B1263&amp;"|"&amp;C1263&amp;"|"&amp;D1263&amp;"|"&amp;E1263</f>
        <v>TMP|1|Senin|09:30</v>
      </c>
      <c r="B1263" s="76" t="s">
        <v>67</v>
      </c>
      <c r="C1263" s="76" t="n">
        <v>1</v>
      </c>
      <c r="D1263" s="76" t="s">
        <v>90</v>
      </c>
      <c r="E1263" s="76" t="s">
        <v>112</v>
      </c>
      <c r="F1263" s="77" t="s">
        <v>42</v>
      </c>
      <c r="G1263" s="77" t="n">
        <v>5</v>
      </c>
      <c r="H1263" s="77" t="n">
        <v>0</v>
      </c>
      <c r="I1263" s="76" t="n">
        <f aca="false">IF(AND(ISNUMBER(G1263),ISNUMBER(H1263)),MAX(G1263-H1263,0),"")</f>
        <v>5</v>
      </c>
      <c r="J1263" s="78" t="n">
        <f aca="false">IF(AND(ISNUMBER(G1263),ISNUMBER(H1263)),IF(G1263&gt;0,H1263/G1263,""),"")</f>
        <v>0</v>
      </c>
      <c r="K1263" s="77"/>
      <c r="L1263" s="76" t="str">
        <f aca="false">IF(OR(G1263="",H1263=""),"Data tidak lengkap",IF(AND(G1263=0,H1263=0),IF(AND(F1263="",K1263=""),"Tidak dibuka","Tutup"),IF(H1263&gt;G1263,"Lebih kapasitas",IF(H1263=G1263,"Penuh",IF(H1263=0,IF(F1263="","Slot kosong","Belum terisi"),"Sebagian")))))</f>
        <v>Belum terisi</v>
      </c>
      <c r="M1263" s="79" t="str">
        <f aca="false">IF(L1263="Tidak dibuka","–",IF(F1263="","(tanpa age group)",F1263)&amp;"  "&amp;IF(H1263="","?",H1263)&amp;"/"&amp;IF(G1263="","?",G1263)&amp;CHAR(10)&amp;IF(K1263="","coach: –","coach: "&amp;K1263))</f>
        <v>Tiny  0/5
coach: –</v>
      </c>
    </row>
    <row r="1264" customFormat="false" ht="22.35" hidden="false" customHeight="false" outlineLevel="0" collapsed="false">
      <c r="A1264" s="76" t="str">
        <f aca="false">B1264&amp;"|"&amp;C1264&amp;"|"&amp;D1264&amp;"|"&amp;E1264</f>
        <v>TMP|1|Senin|10:15</v>
      </c>
      <c r="B1264" s="76" t="s">
        <v>67</v>
      </c>
      <c r="C1264" s="76" t="n">
        <v>1</v>
      </c>
      <c r="D1264" s="76" t="s">
        <v>90</v>
      </c>
      <c r="E1264" s="76" t="s">
        <v>113</v>
      </c>
      <c r="F1264" s="77" t="s">
        <v>242</v>
      </c>
      <c r="G1264" s="77" t="n">
        <v>5</v>
      </c>
      <c r="H1264" s="77" t="n">
        <v>0</v>
      </c>
      <c r="I1264" s="76" t="n">
        <f aca="false">IF(AND(ISNUMBER(G1264),ISNUMBER(H1264)),MAX(G1264-H1264,0),"")</f>
        <v>5</v>
      </c>
      <c r="J1264" s="78" t="n">
        <f aca="false">IF(AND(ISNUMBER(G1264),ISNUMBER(H1264)),IF(G1264&gt;0,H1264/G1264,""),"")</f>
        <v>0</v>
      </c>
      <c r="K1264" s="77"/>
      <c r="L1264" s="76" t="str">
        <f aca="false">IF(OR(G1264="",H1264=""),"Data tidak lengkap",IF(AND(G1264=0,H1264=0),IF(AND(F1264="",K1264=""),"Tidak dibuka","Tutup"),IF(H1264&gt;G1264,"Lebih kapasitas",IF(H1264=G1264,"Penuh",IF(H1264=0,IF(F1264="","Slot kosong","Belum terisi"),"Sebagian")))))</f>
        <v>Belum terisi</v>
      </c>
      <c r="M1264" s="79" t="str">
        <f aca="false">IF(L1264="Tidak dibuka","–",IF(F1264="","(tanpa age group)",F1264)&amp;"  "&amp;IF(H1264="","?",H1264)&amp;"/"&amp;IF(G1264="","?",G1264)&amp;CHAR(10)&amp;IF(K1264="","coach: –","coach: "&amp;K1264))</f>
        <v>Baby  0/5
coach: –</v>
      </c>
    </row>
    <row r="1265" customFormat="false" ht="22.35" hidden="false" customHeight="false" outlineLevel="0" collapsed="false">
      <c r="A1265" s="76" t="str">
        <f aca="false">B1265&amp;"|"&amp;C1265&amp;"|"&amp;D1265&amp;"|"&amp;E1265</f>
        <v>TMP|1|Senin|11:00</v>
      </c>
      <c r="B1265" s="76" t="s">
        <v>67</v>
      </c>
      <c r="C1265" s="76" t="n">
        <v>1</v>
      </c>
      <c r="D1265" s="76" t="s">
        <v>90</v>
      </c>
      <c r="E1265" s="76" t="s">
        <v>114</v>
      </c>
      <c r="F1265" s="77" t="s">
        <v>42</v>
      </c>
      <c r="G1265" s="77" t="n">
        <v>5</v>
      </c>
      <c r="H1265" s="77" t="n">
        <v>0</v>
      </c>
      <c r="I1265" s="76" t="n">
        <f aca="false">IF(AND(ISNUMBER(G1265),ISNUMBER(H1265)),MAX(G1265-H1265,0),"")</f>
        <v>5</v>
      </c>
      <c r="J1265" s="78" t="n">
        <f aca="false">IF(AND(ISNUMBER(G1265),ISNUMBER(H1265)),IF(G1265&gt;0,H1265/G1265,""),"")</f>
        <v>0</v>
      </c>
      <c r="K1265" s="77"/>
      <c r="L1265" s="76" t="str">
        <f aca="false">IF(OR(G1265="",H1265=""),"Data tidak lengkap",IF(AND(G1265=0,H1265=0),IF(AND(F1265="",K1265=""),"Tidak dibuka","Tutup"),IF(H1265&gt;G1265,"Lebih kapasitas",IF(H1265=G1265,"Penuh",IF(H1265=0,IF(F1265="","Slot kosong","Belum terisi"),"Sebagian")))))</f>
        <v>Belum terisi</v>
      </c>
      <c r="M1265" s="79" t="str">
        <f aca="false">IF(L1265="Tidak dibuka","–",IF(F1265="","(tanpa age group)",F1265)&amp;"  "&amp;IF(H1265="","?",H1265)&amp;"/"&amp;IF(G1265="","?",G1265)&amp;CHAR(10)&amp;IF(K1265="","coach: –","coach: "&amp;K1265))</f>
        <v>Tiny  0/5
coach: –</v>
      </c>
    </row>
    <row r="1266" customFormat="false" ht="22.35" hidden="false" customHeight="false" outlineLevel="0" collapsed="false">
      <c r="A1266" s="76" t="str">
        <f aca="false">B1266&amp;"|"&amp;C1266&amp;"|"&amp;D1266&amp;"|"&amp;E1266</f>
        <v>TMP|1|Senin|11:45</v>
      </c>
      <c r="B1266" s="76" t="s">
        <v>67</v>
      </c>
      <c r="C1266" s="76" t="n">
        <v>1</v>
      </c>
      <c r="D1266" s="76" t="s">
        <v>90</v>
      </c>
      <c r="E1266" s="76" t="s">
        <v>115</v>
      </c>
      <c r="F1266" s="77" t="s">
        <v>242</v>
      </c>
      <c r="G1266" s="77" t="n">
        <v>5</v>
      </c>
      <c r="H1266" s="77" t="n">
        <v>0</v>
      </c>
      <c r="I1266" s="76" t="n">
        <f aca="false">IF(AND(ISNUMBER(G1266),ISNUMBER(H1266)),MAX(G1266-H1266,0),"")</f>
        <v>5</v>
      </c>
      <c r="J1266" s="78" t="n">
        <f aca="false">IF(AND(ISNUMBER(G1266),ISNUMBER(H1266)),IF(G1266&gt;0,H1266/G1266,""),"")</f>
        <v>0</v>
      </c>
      <c r="K1266" s="77"/>
      <c r="L1266" s="76" t="str">
        <f aca="false">IF(OR(G1266="",H1266=""),"Data tidak lengkap",IF(AND(G1266=0,H1266=0),IF(AND(F1266="",K1266=""),"Tidak dibuka","Tutup"),IF(H1266&gt;G1266,"Lebih kapasitas",IF(H1266=G1266,"Penuh",IF(H1266=0,IF(F1266="","Slot kosong","Belum terisi"),"Sebagian")))))</f>
        <v>Belum terisi</v>
      </c>
      <c r="M1266" s="79" t="str">
        <f aca="false">IF(L1266="Tidak dibuka","–",IF(F1266="","(tanpa age group)",F1266)&amp;"  "&amp;IF(H1266="","?",H1266)&amp;"/"&amp;IF(G1266="","?",G1266)&amp;CHAR(10)&amp;IF(K1266="","coach: –","coach: "&amp;K1266))</f>
        <v>Baby  0/5
coach: –</v>
      </c>
    </row>
    <row r="1267" customFormat="false" ht="22.35" hidden="false" customHeight="false" outlineLevel="0" collapsed="false">
      <c r="A1267" s="76" t="str">
        <f aca="false">B1267&amp;"|"&amp;C1267&amp;"|"&amp;D1267&amp;"|"&amp;E1267</f>
        <v>TMP|1|Senin|13:15</v>
      </c>
      <c r="B1267" s="76" t="s">
        <v>67</v>
      </c>
      <c r="C1267" s="76" t="n">
        <v>1</v>
      </c>
      <c r="D1267" s="76" t="s">
        <v>90</v>
      </c>
      <c r="E1267" s="76" t="s">
        <v>116</v>
      </c>
      <c r="F1267" s="77" t="s">
        <v>42</v>
      </c>
      <c r="G1267" s="77" t="n">
        <v>5</v>
      </c>
      <c r="H1267" s="77" t="n">
        <v>0</v>
      </c>
      <c r="I1267" s="76" t="n">
        <f aca="false">IF(AND(ISNUMBER(G1267),ISNUMBER(H1267)),MAX(G1267-H1267,0),"")</f>
        <v>5</v>
      </c>
      <c r="J1267" s="78" t="n">
        <f aca="false">IF(AND(ISNUMBER(G1267),ISNUMBER(H1267)),IF(G1267&gt;0,H1267/G1267,""),"")</f>
        <v>0</v>
      </c>
      <c r="K1267" s="77"/>
      <c r="L1267" s="76" t="str">
        <f aca="false">IF(OR(G1267="",H1267=""),"Data tidak lengkap",IF(AND(G1267=0,H1267=0),IF(AND(F1267="",K1267=""),"Tidak dibuka","Tutup"),IF(H1267&gt;G1267,"Lebih kapasitas",IF(H1267=G1267,"Penuh",IF(H1267=0,IF(F1267="","Slot kosong","Belum terisi"),"Sebagian")))))</f>
        <v>Belum terisi</v>
      </c>
      <c r="M1267" s="79" t="str">
        <f aca="false">IF(L1267="Tidak dibuka","–",IF(F1267="","(tanpa age group)",F1267)&amp;"  "&amp;IF(H1267="","?",H1267)&amp;"/"&amp;IF(G1267="","?",G1267)&amp;CHAR(10)&amp;IF(K1267="","coach: –","coach: "&amp;K1267))</f>
        <v>Tiny  0/5
coach: –</v>
      </c>
    </row>
    <row r="1268" customFormat="false" ht="22.35" hidden="false" customHeight="false" outlineLevel="0" collapsed="false">
      <c r="A1268" s="76" t="str">
        <f aca="false">B1268&amp;"|"&amp;C1268&amp;"|"&amp;D1268&amp;"|"&amp;E1268</f>
        <v>TMP|1|Senin|14:00</v>
      </c>
      <c r="B1268" s="76" t="s">
        <v>67</v>
      </c>
      <c r="C1268" s="76" t="n">
        <v>1</v>
      </c>
      <c r="D1268" s="76" t="s">
        <v>90</v>
      </c>
      <c r="E1268" s="76" t="s">
        <v>117</v>
      </c>
      <c r="F1268" s="77" t="s">
        <v>242</v>
      </c>
      <c r="G1268" s="77" t="n">
        <v>5</v>
      </c>
      <c r="H1268" s="77" t="n">
        <v>0</v>
      </c>
      <c r="I1268" s="76" t="n">
        <f aca="false">IF(AND(ISNUMBER(G1268),ISNUMBER(H1268)),MAX(G1268-H1268,0),"")</f>
        <v>5</v>
      </c>
      <c r="J1268" s="78" t="n">
        <f aca="false">IF(AND(ISNUMBER(G1268),ISNUMBER(H1268)),IF(G1268&gt;0,H1268/G1268,""),"")</f>
        <v>0</v>
      </c>
      <c r="K1268" s="77"/>
      <c r="L1268" s="76" t="str">
        <f aca="false">IF(OR(G1268="",H1268=""),"Data tidak lengkap",IF(AND(G1268=0,H1268=0),IF(AND(F1268="",K1268=""),"Tidak dibuka","Tutup"),IF(H1268&gt;G1268,"Lebih kapasitas",IF(H1268=G1268,"Penuh",IF(H1268=0,IF(F1268="","Slot kosong","Belum terisi"),"Sebagian")))))</f>
        <v>Belum terisi</v>
      </c>
      <c r="M1268" s="79" t="str">
        <f aca="false">IF(L1268="Tidak dibuka","–",IF(F1268="","(tanpa age group)",F1268)&amp;"  "&amp;IF(H1268="","?",H1268)&amp;"/"&amp;IF(G1268="","?",G1268)&amp;CHAR(10)&amp;IF(K1268="","coach: –","coach: "&amp;K1268))</f>
        <v>Baby  0/5
coach: –</v>
      </c>
    </row>
    <row r="1269" customFormat="false" ht="22.35" hidden="false" customHeight="false" outlineLevel="0" collapsed="false">
      <c r="A1269" s="76" t="str">
        <f aca="false">B1269&amp;"|"&amp;C1269&amp;"|"&amp;D1269&amp;"|"&amp;E1269</f>
        <v>TMP|1|Senin|14:45</v>
      </c>
      <c r="B1269" s="76" t="s">
        <v>67</v>
      </c>
      <c r="C1269" s="76" t="n">
        <v>1</v>
      </c>
      <c r="D1269" s="76" t="s">
        <v>90</v>
      </c>
      <c r="E1269" s="76" t="s">
        <v>118</v>
      </c>
      <c r="F1269" s="77" t="s">
        <v>42</v>
      </c>
      <c r="G1269" s="77" t="n">
        <v>5</v>
      </c>
      <c r="H1269" s="77" t="n">
        <v>0</v>
      </c>
      <c r="I1269" s="76" t="n">
        <f aca="false">IF(AND(ISNUMBER(G1269),ISNUMBER(H1269)),MAX(G1269-H1269,0),"")</f>
        <v>5</v>
      </c>
      <c r="J1269" s="78" t="n">
        <f aca="false">IF(AND(ISNUMBER(G1269),ISNUMBER(H1269)),IF(G1269&gt;0,H1269/G1269,""),"")</f>
        <v>0</v>
      </c>
      <c r="K1269" s="77"/>
      <c r="L1269" s="76" t="str">
        <f aca="false">IF(OR(G1269="",H1269=""),"Data tidak lengkap",IF(AND(G1269=0,H1269=0),IF(AND(F1269="",K1269=""),"Tidak dibuka","Tutup"),IF(H1269&gt;G1269,"Lebih kapasitas",IF(H1269=G1269,"Penuh",IF(H1269=0,IF(F1269="","Slot kosong","Belum terisi"),"Sebagian")))))</f>
        <v>Belum terisi</v>
      </c>
      <c r="M1269" s="79" t="str">
        <f aca="false">IF(L1269="Tidak dibuka","–",IF(F1269="","(tanpa age group)",F1269)&amp;"  "&amp;IF(H1269="","?",H1269)&amp;"/"&amp;IF(G1269="","?",G1269)&amp;CHAR(10)&amp;IF(K1269="","coach: –","coach: "&amp;K1269))</f>
        <v>Tiny  0/5
coach: –</v>
      </c>
    </row>
    <row r="1270" customFormat="false" ht="22.35" hidden="false" customHeight="false" outlineLevel="0" collapsed="false">
      <c r="A1270" s="76" t="str">
        <f aca="false">B1270&amp;"|"&amp;C1270&amp;"|"&amp;D1270&amp;"|"&amp;E1270</f>
        <v>TMP|1|Senin|15:30</v>
      </c>
      <c r="B1270" s="76" t="s">
        <v>67</v>
      </c>
      <c r="C1270" s="76" t="n">
        <v>1</v>
      </c>
      <c r="D1270" s="76" t="s">
        <v>90</v>
      </c>
      <c r="E1270" s="76" t="s">
        <v>119</v>
      </c>
      <c r="F1270" s="77" t="s">
        <v>242</v>
      </c>
      <c r="G1270" s="77" t="n">
        <v>5</v>
      </c>
      <c r="H1270" s="77" t="n">
        <v>0</v>
      </c>
      <c r="I1270" s="76" t="n">
        <f aca="false">IF(AND(ISNUMBER(G1270),ISNUMBER(H1270)),MAX(G1270-H1270,0),"")</f>
        <v>5</v>
      </c>
      <c r="J1270" s="78" t="n">
        <f aca="false">IF(AND(ISNUMBER(G1270),ISNUMBER(H1270)),IF(G1270&gt;0,H1270/G1270,""),"")</f>
        <v>0</v>
      </c>
      <c r="K1270" s="77"/>
      <c r="L1270" s="76" t="str">
        <f aca="false">IF(OR(G1270="",H1270=""),"Data tidak lengkap",IF(AND(G1270=0,H1270=0),IF(AND(F1270="",K1270=""),"Tidak dibuka","Tutup"),IF(H1270&gt;G1270,"Lebih kapasitas",IF(H1270=G1270,"Penuh",IF(H1270=0,IF(F1270="","Slot kosong","Belum terisi"),"Sebagian")))))</f>
        <v>Belum terisi</v>
      </c>
      <c r="M1270" s="79" t="str">
        <f aca="false">IF(L1270="Tidak dibuka","–",IF(F1270="","(tanpa age group)",F1270)&amp;"  "&amp;IF(H1270="","?",H1270)&amp;"/"&amp;IF(G1270="","?",G1270)&amp;CHAR(10)&amp;IF(K1270="","coach: –","coach: "&amp;K1270))</f>
        <v>Baby  0/5
coach: –</v>
      </c>
    </row>
    <row r="1271" customFormat="false" ht="22.35" hidden="false" customHeight="false" outlineLevel="0" collapsed="false">
      <c r="A1271" s="76" t="str">
        <f aca="false">B1271&amp;"|"&amp;C1271&amp;"|"&amp;D1271&amp;"|"&amp;E1271</f>
        <v>TMP|1|Senin|16:15</v>
      </c>
      <c r="B1271" s="76" t="s">
        <v>67</v>
      </c>
      <c r="C1271" s="76" t="n">
        <v>1</v>
      </c>
      <c r="D1271" s="76" t="s">
        <v>90</v>
      </c>
      <c r="E1271" s="76" t="s">
        <v>120</v>
      </c>
      <c r="F1271" s="77" t="s">
        <v>42</v>
      </c>
      <c r="G1271" s="77" t="n">
        <v>5</v>
      </c>
      <c r="H1271" s="77" t="n">
        <v>0</v>
      </c>
      <c r="I1271" s="76" t="n">
        <f aca="false">IF(AND(ISNUMBER(G1271),ISNUMBER(H1271)),MAX(G1271-H1271,0),"")</f>
        <v>5</v>
      </c>
      <c r="J1271" s="78" t="n">
        <f aca="false">IF(AND(ISNUMBER(G1271),ISNUMBER(H1271)),IF(G1271&gt;0,H1271/G1271,""),"")</f>
        <v>0</v>
      </c>
      <c r="K1271" s="77"/>
      <c r="L1271" s="76" t="str">
        <f aca="false">IF(OR(G1271="",H1271=""),"Data tidak lengkap",IF(AND(G1271=0,H1271=0),IF(AND(F1271="",K1271=""),"Tidak dibuka","Tutup"),IF(H1271&gt;G1271,"Lebih kapasitas",IF(H1271=G1271,"Penuh",IF(H1271=0,IF(F1271="","Slot kosong","Belum terisi"),"Sebagian")))))</f>
        <v>Belum terisi</v>
      </c>
      <c r="M1271" s="79" t="str">
        <f aca="false">IF(L1271="Tidak dibuka","–",IF(F1271="","(tanpa age group)",F1271)&amp;"  "&amp;IF(H1271="","?",H1271)&amp;"/"&amp;IF(G1271="","?",G1271)&amp;CHAR(10)&amp;IF(K1271="","coach: –","coach: "&amp;K1271))</f>
        <v>Tiny  0/5
coach: –</v>
      </c>
    </row>
    <row r="1272" customFormat="false" ht="22.35" hidden="false" customHeight="false" outlineLevel="0" collapsed="false">
      <c r="A1272" s="76" t="str">
        <f aca="false">B1272&amp;"|"&amp;C1272&amp;"|"&amp;D1272&amp;"|"&amp;E1272</f>
        <v>TMP|1|Senin|17:00</v>
      </c>
      <c r="B1272" s="76" t="s">
        <v>67</v>
      </c>
      <c r="C1272" s="76" t="n">
        <v>1</v>
      </c>
      <c r="D1272" s="76" t="s">
        <v>90</v>
      </c>
      <c r="E1272" s="76" t="s">
        <v>121</v>
      </c>
      <c r="F1272" s="77" t="s">
        <v>242</v>
      </c>
      <c r="G1272" s="77" t="n">
        <v>5</v>
      </c>
      <c r="H1272" s="77" t="n">
        <v>0</v>
      </c>
      <c r="I1272" s="76" t="n">
        <f aca="false">IF(AND(ISNUMBER(G1272),ISNUMBER(H1272)),MAX(G1272-H1272,0),"")</f>
        <v>5</v>
      </c>
      <c r="J1272" s="78" t="n">
        <f aca="false">IF(AND(ISNUMBER(G1272),ISNUMBER(H1272)),IF(G1272&gt;0,H1272/G1272,""),"")</f>
        <v>0</v>
      </c>
      <c r="K1272" s="77"/>
      <c r="L1272" s="76" t="str">
        <f aca="false">IF(OR(G1272="",H1272=""),"Data tidak lengkap",IF(AND(G1272=0,H1272=0),IF(AND(F1272="",K1272=""),"Tidak dibuka","Tutup"),IF(H1272&gt;G1272,"Lebih kapasitas",IF(H1272=G1272,"Penuh",IF(H1272=0,IF(F1272="","Slot kosong","Belum terisi"),"Sebagian")))))</f>
        <v>Belum terisi</v>
      </c>
      <c r="M1272" s="79" t="str">
        <f aca="false">IF(L1272="Tidak dibuka","–",IF(F1272="","(tanpa age group)",F1272)&amp;"  "&amp;IF(H1272="","?",H1272)&amp;"/"&amp;IF(G1272="","?",G1272)&amp;CHAR(10)&amp;IF(K1272="","coach: –","coach: "&amp;K1272))</f>
        <v>Baby  0/5
coach: –</v>
      </c>
    </row>
    <row r="1273" customFormat="false" ht="22.35" hidden="false" customHeight="false" outlineLevel="0" collapsed="false">
      <c r="A1273" s="76" t="str">
        <f aca="false">B1273&amp;"|"&amp;C1273&amp;"|"&amp;D1273&amp;"|"&amp;E1273</f>
        <v>TMP|1|Selasa|08:00</v>
      </c>
      <c r="B1273" s="76" t="s">
        <v>67</v>
      </c>
      <c r="C1273" s="76" t="n">
        <v>1</v>
      </c>
      <c r="D1273" s="76" t="s">
        <v>91</v>
      </c>
      <c r="E1273" s="76" t="s">
        <v>110</v>
      </c>
      <c r="F1273" s="77" t="s">
        <v>42</v>
      </c>
      <c r="G1273" s="77" t="n">
        <v>5</v>
      </c>
      <c r="H1273" s="77" t="n">
        <v>0</v>
      </c>
      <c r="I1273" s="76" t="n">
        <f aca="false">IF(AND(ISNUMBER(G1273),ISNUMBER(H1273)),MAX(G1273-H1273,0),"")</f>
        <v>5</v>
      </c>
      <c r="J1273" s="78" t="n">
        <f aca="false">IF(AND(ISNUMBER(G1273),ISNUMBER(H1273)),IF(G1273&gt;0,H1273/G1273,""),"")</f>
        <v>0</v>
      </c>
      <c r="K1273" s="77"/>
      <c r="L1273" s="76" t="str">
        <f aca="false">IF(OR(G1273="",H1273=""),"Data tidak lengkap",IF(AND(G1273=0,H1273=0),IF(AND(F1273="",K1273=""),"Tidak dibuka","Tutup"),IF(H1273&gt;G1273,"Lebih kapasitas",IF(H1273=G1273,"Penuh",IF(H1273=0,IF(F1273="","Slot kosong","Belum terisi"),"Sebagian")))))</f>
        <v>Belum terisi</v>
      </c>
      <c r="M1273" s="79" t="str">
        <f aca="false">IF(L1273="Tidak dibuka","–",IF(F1273="","(tanpa age group)",F1273)&amp;"  "&amp;IF(H1273="","?",H1273)&amp;"/"&amp;IF(G1273="","?",G1273)&amp;CHAR(10)&amp;IF(K1273="","coach: –","coach: "&amp;K1273))</f>
        <v>Tiny  0/5
coach: –</v>
      </c>
    </row>
    <row r="1274" customFormat="false" ht="22.35" hidden="false" customHeight="false" outlineLevel="0" collapsed="false">
      <c r="A1274" s="76" t="str">
        <f aca="false">B1274&amp;"|"&amp;C1274&amp;"|"&amp;D1274&amp;"|"&amp;E1274</f>
        <v>TMP|1|Selasa|08:45</v>
      </c>
      <c r="B1274" s="76" t="s">
        <v>67</v>
      </c>
      <c r="C1274" s="76" t="n">
        <v>1</v>
      </c>
      <c r="D1274" s="76" t="s">
        <v>91</v>
      </c>
      <c r="E1274" s="76" t="s">
        <v>111</v>
      </c>
      <c r="F1274" s="77" t="s">
        <v>242</v>
      </c>
      <c r="G1274" s="77" t="n">
        <v>5</v>
      </c>
      <c r="H1274" s="77" t="n">
        <v>0</v>
      </c>
      <c r="I1274" s="76" t="n">
        <f aca="false">IF(AND(ISNUMBER(G1274),ISNUMBER(H1274)),MAX(G1274-H1274,0),"")</f>
        <v>5</v>
      </c>
      <c r="J1274" s="78" t="n">
        <f aca="false">IF(AND(ISNUMBER(G1274),ISNUMBER(H1274)),IF(G1274&gt;0,H1274/G1274,""),"")</f>
        <v>0</v>
      </c>
      <c r="K1274" s="77"/>
      <c r="L1274" s="76" t="str">
        <f aca="false">IF(OR(G1274="",H1274=""),"Data tidak lengkap",IF(AND(G1274=0,H1274=0),IF(AND(F1274="",K1274=""),"Tidak dibuka","Tutup"),IF(H1274&gt;G1274,"Lebih kapasitas",IF(H1274=G1274,"Penuh",IF(H1274=0,IF(F1274="","Slot kosong","Belum terisi"),"Sebagian")))))</f>
        <v>Belum terisi</v>
      </c>
      <c r="M1274" s="79" t="str">
        <f aca="false">IF(L1274="Tidak dibuka","–",IF(F1274="","(tanpa age group)",F1274)&amp;"  "&amp;IF(H1274="","?",H1274)&amp;"/"&amp;IF(G1274="","?",G1274)&amp;CHAR(10)&amp;IF(K1274="","coach: –","coach: "&amp;K1274))</f>
        <v>Baby  0/5
coach: –</v>
      </c>
    </row>
    <row r="1275" customFormat="false" ht="22.35" hidden="false" customHeight="false" outlineLevel="0" collapsed="false">
      <c r="A1275" s="76" t="str">
        <f aca="false">B1275&amp;"|"&amp;C1275&amp;"|"&amp;D1275&amp;"|"&amp;E1275</f>
        <v>TMP|1|Selasa|09:30</v>
      </c>
      <c r="B1275" s="76" t="s">
        <v>67</v>
      </c>
      <c r="C1275" s="76" t="n">
        <v>1</v>
      </c>
      <c r="D1275" s="76" t="s">
        <v>91</v>
      </c>
      <c r="E1275" s="76" t="s">
        <v>112</v>
      </c>
      <c r="F1275" s="77" t="s">
        <v>42</v>
      </c>
      <c r="G1275" s="77" t="n">
        <v>5</v>
      </c>
      <c r="H1275" s="77" t="n">
        <v>0</v>
      </c>
      <c r="I1275" s="76" t="n">
        <f aca="false">IF(AND(ISNUMBER(G1275),ISNUMBER(H1275)),MAX(G1275-H1275,0),"")</f>
        <v>5</v>
      </c>
      <c r="J1275" s="78" t="n">
        <f aca="false">IF(AND(ISNUMBER(G1275),ISNUMBER(H1275)),IF(G1275&gt;0,H1275/G1275,""),"")</f>
        <v>0</v>
      </c>
      <c r="K1275" s="77"/>
      <c r="L1275" s="76" t="str">
        <f aca="false">IF(OR(G1275="",H1275=""),"Data tidak lengkap",IF(AND(G1275=0,H1275=0),IF(AND(F1275="",K1275=""),"Tidak dibuka","Tutup"),IF(H1275&gt;G1275,"Lebih kapasitas",IF(H1275=G1275,"Penuh",IF(H1275=0,IF(F1275="","Slot kosong","Belum terisi"),"Sebagian")))))</f>
        <v>Belum terisi</v>
      </c>
      <c r="M1275" s="79" t="str">
        <f aca="false">IF(L1275="Tidak dibuka","–",IF(F1275="","(tanpa age group)",F1275)&amp;"  "&amp;IF(H1275="","?",H1275)&amp;"/"&amp;IF(G1275="","?",G1275)&amp;CHAR(10)&amp;IF(K1275="","coach: –","coach: "&amp;K1275))</f>
        <v>Tiny  0/5
coach: –</v>
      </c>
    </row>
    <row r="1276" customFormat="false" ht="22.35" hidden="false" customHeight="false" outlineLevel="0" collapsed="false">
      <c r="A1276" s="76" t="str">
        <f aca="false">B1276&amp;"|"&amp;C1276&amp;"|"&amp;D1276&amp;"|"&amp;E1276</f>
        <v>TMP|1|Selasa|10:15</v>
      </c>
      <c r="B1276" s="76" t="s">
        <v>67</v>
      </c>
      <c r="C1276" s="76" t="n">
        <v>1</v>
      </c>
      <c r="D1276" s="76" t="s">
        <v>91</v>
      </c>
      <c r="E1276" s="76" t="s">
        <v>113</v>
      </c>
      <c r="F1276" s="77" t="s">
        <v>242</v>
      </c>
      <c r="G1276" s="77" t="n">
        <v>5</v>
      </c>
      <c r="H1276" s="77" t="n">
        <v>2</v>
      </c>
      <c r="I1276" s="76" t="n">
        <f aca="false">IF(AND(ISNUMBER(G1276),ISNUMBER(H1276)),MAX(G1276-H1276,0),"")</f>
        <v>3</v>
      </c>
      <c r="J1276" s="78" t="n">
        <f aca="false">IF(AND(ISNUMBER(G1276),ISNUMBER(H1276)),IF(G1276&gt;0,H1276/G1276,""),"")</f>
        <v>0.4</v>
      </c>
      <c r="K1276" s="77" t="s">
        <v>375</v>
      </c>
      <c r="L1276" s="76" t="str">
        <f aca="false">IF(OR(G1276="",H1276=""),"Data tidak lengkap",IF(AND(G1276=0,H1276=0),IF(AND(F1276="",K1276=""),"Tidak dibuka","Tutup"),IF(H1276&gt;G1276,"Lebih kapasitas",IF(H1276=G1276,"Penuh",IF(H1276=0,IF(F1276="","Slot kosong","Belum terisi"),"Sebagian")))))</f>
        <v>Sebagian</v>
      </c>
      <c r="M1276" s="79" t="str">
        <f aca="false">IF(L1276="Tidak dibuka","–",IF(F1276="","(tanpa age group)",F1276)&amp;"  "&amp;IF(H1276="","?",H1276)&amp;"/"&amp;IF(G1276="","?",G1276)&amp;CHAR(10)&amp;IF(K1276="","coach: –","coach: "&amp;K1276))</f>
        <v>Baby  2/5
coach: Iqbal</v>
      </c>
    </row>
    <row r="1277" customFormat="false" ht="22.35" hidden="false" customHeight="false" outlineLevel="0" collapsed="false">
      <c r="A1277" s="76" t="str">
        <f aca="false">B1277&amp;"|"&amp;C1277&amp;"|"&amp;D1277&amp;"|"&amp;E1277</f>
        <v>TMP|1|Selasa|11:00</v>
      </c>
      <c r="B1277" s="76" t="s">
        <v>67</v>
      </c>
      <c r="C1277" s="76" t="n">
        <v>1</v>
      </c>
      <c r="D1277" s="76" t="s">
        <v>91</v>
      </c>
      <c r="E1277" s="76" t="s">
        <v>114</v>
      </c>
      <c r="F1277" s="77" t="s">
        <v>42</v>
      </c>
      <c r="G1277" s="77" t="n">
        <v>5</v>
      </c>
      <c r="H1277" s="77" t="n">
        <v>0</v>
      </c>
      <c r="I1277" s="76" t="n">
        <f aca="false">IF(AND(ISNUMBER(G1277),ISNUMBER(H1277)),MAX(G1277-H1277,0),"")</f>
        <v>5</v>
      </c>
      <c r="J1277" s="78" t="n">
        <f aca="false">IF(AND(ISNUMBER(G1277),ISNUMBER(H1277)),IF(G1277&gt;0,H1277/G1277,""),"")</f>
        <v>0</v>
      </c>
      <c r="K1277" s="77"/>
      <c r="L1277" s="76" t="str">
        <f aca="false">IF(OR(G1277="",H1277=""),"Data tidak lengkap",IF(AND(G1277=0,H1277=0),IF(AND(F1277="",K1277=""),"Tidak dibuka","Tutup"),IF(H1277&gt;G1277,"Lebih kapasitas",IF(H1277=G1277,"Penuh",IF(H1277=0,IF(F1277="","Slot kosong","Belum terisi"),"Sebagian")))))</f>
        <v>Belum terisi</v>
      </c>
      <c r="M1277" s="79" t="str">
        <f aca="false">IF(L1277="Tidak dibuka","–",IF(F1277="","(tanpa age group)",F1277)&amp;"  "&amp;IF(H1277="","?",H1277)&amp;"/"&amp;IF(G1277="","?",G1277)&amp;CHAR(10)&amp;IF(K1277="","coach: –","coach: "&amp;K1277))</f>
        <v>Tiny  0/5
coach: –</v>
      </c>
    </row>
    <row r="1278" customFormat="false" ht="22.35" hidden="false" customHeight="false" outlineLevel="0" collapsed="false">
      <c r="A1278" s="76" t="str">
        <f aca="false">B1278&amp;"|"&amp;C1278&amp;"|"&amp;D1278&amp;"|"&amp;E1278</f>
        <v>TMP|1|Selasa|11:45</v>
      </c>
      <c r="B1278" s="76" t="s">
        <v>67</v>
      </c>
      <c r="C1278" s="76" t="n">
        <v>1</v>
      </c>
      <c r="D1278" s="76" t="s">
        <v>91</v>
      </c>
      <c r="E1278" s="76" t="s">
        <v>115</v>
      </c>
      <c r="F1278" s="77" t="s">
        <v>242</v>
      </c>
      <c r="G1278" s="77" t="n">
        <v>5</v>
      </c>
      <c r="H1278" s="77" t="n">
        <v>0</v>
      </c>
      <c r="I1278" s="76" t="n">
        <f aca="false">IF(AND(ISNUMBER(G1278),ISNUMBER(H1278)),MAX(G1278-H1278,0),"")</f>
        <v>5</v>
      </c>
      <c r="J1278" s="78" t="n">
        <f aca="false">IF(AND(ISNUMBER(G1278),ISNUMBER(H1278)),IF(G1278&gt;0,H1278/G1278,""),"")</f>
        <v>0</v>
      </c>
      <c r="K1278" s="77"/>
      <c r="L1278" s="76" t="str">
        <f aca="false">IF(OR(G1278="",H1278=""),"Data tidak lengkap",IF(AND(G1278=0,H1278=0),IF(AND(F1278="",K1278=""),"Tidak dibuka","Tutup"),IF(H1278&gt;G1278,"Lebih kapasitas",IF(H1278=G1278,"Penuh",IF(H1278=0,IF(F1278="","Slot kosong","Belum terisi"),"Sebagian")))))</f>
        <v>Belum terisi</v>
      </c>
      <c r="M1278" s="79" t="str">
        <f aca="false">IF(L1278="Tidak dibuka","–",IF(F1278="","(tanpa age group)",F1278)&amp;"  "&amp;IF(H1278="","?",H1278)&amp;"/"&amp;IF(G1278="","?",G1278)&amp;CHAR(10)&amp;IF(K1278="","coach: –","coach: "&amp;K1278))</f>
        <v>Baby  0/5
coach: –</v>
      </c>
    </row>
    <row r="1279" customFormat="false" ht="22.35" hidden="false" customHeight="false" outlineLevel="0" collapsed="false">
      <c r="A1279" s="76" t="str">
        <f aca="false">B1279&amp;"|"&amp;C1279&amp;"|"&amp;D1279&amp;"|"&amp;E1279</f>
        <v>TMP|1|Selasa|13:15</v>
      </c>
      <c r="B1279" s="76" t="s">
        <v>67</v>
      </c>
      <c r="C1279" s="76" t="n">
        <v>1</v>
      </c>
      <c r="D1279" s="76" t="s">
        <v>91</v>
      </c>
      <c r="E1279" s="76" t="s">
        <v>116</v>
      </c>
      <c r="F1279" s="77" t="s">
        <v>42</v>
      </c>
      <c r="G1279" s="77" t="n">
        <v>5</v>
      </c>
      <c r="H1279" s="77" t="n">
        <v>0</v>
      </c>
      <c r="I1279" s="76" t="n">
        <f aca="false">IF(AND(ISNUMBER(G1279),ISNUMBER(H1279)),MAX(G1279-H1279,0),"")</f>
        <v>5</v>
      </c>
      <c r="J1279" s="78" t="n">
        <f aca="false">IF(AND(ISNUMBER(G1279),ISNUMBER(H1279)),IF(G1279&gt;0,H1279/G1279,""),"")</f>
        <v>0</v>
      </c>
      <c r="K1279" s="77"/>
      <c r="L1279" s="76" t="str">
        <f aca="false">IF(OR(G1279="",H1279=""),"Data tidak lengkap",IF(AND(G1279=0,H1279=0),IF(AND(F1279="",K1279=""),"Tidak dibuka","Tutup"),IF(H1279&gt;G1279,"Lebih kapasitas",IF(H1279=G1279,"Penuh",IF(H1279=0,IF(F1279="","Slot kosong","Belum terisi"),"Sebagian")))))</f>
        <v>Belum terisi</v>
      </c>
      <c r="M1279" s="79" t="str">
        <f aca="false">IF(L1279="Tidak dibuka","–",IF(F1279="","(tanpa age group)",F1279)&amp;"  "&amp;IF(H1279="","?",H1279)&amp;"/"&amp;IF(G1279="","?",G1279)&amp;CHAR(10)&amp;IF(K1279="","coach: –","coach: "&amp;K1279))</f>
        <v>Tiny  0/5
coach: –</v>
      </c>
    </row>
    <row r="1280" customFormat="false" ht="22.35" hidden="false" customHeight="false" outlineLevel="0" collapsed="false">
      <c r="A1280" s="76" t="str">
        <f aca="false">B1280&amp;"|"&amp;C1280&amp;"|"&amp;D1280&amp;"|"&amp;E1280</f>
        <v>TMP|1|Selasa|14:00</v>
      </c>
      <c r="B1280" s="76" t="s">
        <v>67</v>
      </c>
      <c r="C1280" s="76" t="n">
        <v>1</v>
      </c>
      <c r="D1280" s="76" t="s">
        <v>91</v>
      </c>
      <c r="E1280" s="76" t="s">
        <v>117</v>
      </c>
      <c r="F1280" s="77" t="s">
        <v>242</v>
      </c>
      <c r="G1280" s="77" t="n">
        <v>5</v>
      </c>
      <c r="H1280" s="77" t="n">
        <v>0</v>
      </c>
      <c r="I1280" s="76" t="n">
        <f aca="false">IF(AND(ISNUMBER(G1280),ISNUMBER(H1280)),MAX(G1280-H1280,0),"")</f>
        <v>5</v>
      </c>
      <c r="J1280" s="78" t="n">
        <f aca="false">IF(AND(ISNUMBER(G1280),ISNUMBER(H1280)),IF(G1280&gt;0,H1280/G1280,""),"")</f>
        <v>0</v>
      </c>
      <c r="K1280" s="77"/>
      <c r="L1280" s="76" t="str">
        <f aca="false">IF(OR(G1280="",H1280=""),"Data tidak lengkap",IF(AND(G1280=0,H1280=0),IF(AND(F1280="",K1280=""),"Tidak dibuka","Tutup"),IF(H1280&gt;G1280,"Lebih kapasitas",IF(H1280=G1280,"Penuh",IF(H1280=0,IF(F1280="","Slot kosong","Belum terisi"),"Sebagian")))))</f>
        <v>Belum terisi</v>
      </c>
      <c r="M1280" s="79" t="str">
        <f aca="false">IF(L1280="Tidak dibuka","–",IF(F1280="","(tanpa age group)",F1280)&amp;"  "&amp;IF(H1280="","?",H1280)&amp;"/"&amp;IF(G1280="","?",G1280)&amp;CHAR(10)&amp;IF(K1280="","coach: –","coach: "&amp;K1280))</f>
        <v>Baby  0/5
coach: –</v>
      </c>
    </row>
    <row r="1281" customFormat="false" ht="22.35" hidden="false" customHeight="false" outlineLevel="0" collapsed="false">
      <c r="A1281" s="76" t="str">
        <f aca="false">B1281&amp;"|"&amp;C1281&amp;"|"&amp;D1281&amp;"|"&amp;E1281</f>
        <v>TMP|1|Selasa|14:45</v>
      </c>
      <c r="B1281" s="76" t="s">
        <v>67</v>
      </c>
      <c r="C1281" s="76" t="n">
        <v>1</v>
      </c>
      <c r="D1281" s="76" t="s">
        <v>91</v>
      </c>
      <c r="E1281" s="76" t="s">
        <v>118</v>
      </c>
      <c r="F1281" s="77" t="s">
        <v>42</v>
      </c>
      <c r="G1281" s="77" t="n">
        <v>5</v>
      </c>
      <c r="H1281" s="77" t="n">
        <v>0</v>
      </c>
      <c r="I1281" s="76" t="n">
        <f aca="false">IF(AND(ISNUMBER(G1281),ISNUMBER(H1281)),MAX(G1281-H1281,0),"")</f>
        <v>5</v>
      </c>
      <c r="J1281" s="78" t="n">
        <f aca="false">IF(AND(ISNUMBER(G1281),ISNUMBER(H1281)),IF(G1281&gt;0,H1281/G1281,""),"")</f>
        <v>0</v>
      </c>
      <c r="K1281" s="77"/>
      <c r="L1281" s="76" t="str">
        <f aca="false">IF(OR(G1281="",H1281=""),"Data tidak lengkap",IF(AND(G1281=0,H1281=0),IF(AND(F1281="",K1281=""),"Tidak dibuka","Tutup"),IF(H1281&gt;G1281,"Lebih kapasitas",IF(H1281=G1281,"Penuh",IF(H1281=0,IF(F1281="","Slot kosong","Belum terisi"),"Sebagian")))))</f>
        <v>Belum terisi</v>
      </c>
      <c r="M1281" s="79" t="str">
        <f aca="false">IF(L1281="Tidak dibuka","–",IF(F1281="","(tanpa age group)",F1281)&amp;"  "&amp;IF(H1281="","?",H1281)&amp;"/"&amp;IF(G1281="","?",G1281)&amp;CHAR(10)&amp;IF(K1281="","coach: –","coach: "&amp;K1281))</f>
        <v>Tiny  0/5
coach: –</v>
      </c>
    </row>
    <row r="1282" customFormat="false" ht="22.35" hidden="false" customHeight="false" outlineLevel="0" collapsed="false">
      <c r="A1282" s="76" t="str">
        <f aca="false">B1282&amp;"|"&amp;C1282&amp;"|"&amp;D1282&amp;"|"&amp;E1282</f>
        <v>TMP|1|Selasa|15:30</v>
      </c>
      <c r="B1282" s="76" t="s">
        <v>67</v>
      </c>
      <c r="C1282" s="76" t="n">
        <v>1</v>
      </c>
      <c r="D1282" s="76" t="s">
        <v>91</v>
      </c>
      <c r="E1282" s="76" t="s">
        <v>119</v>
      </c>
      <c r="F1282" s="77" t="s">
        <v>242</v>
      </c>
      <c r="G1282" s="77" t="n">
        <v>5</v>
      </c>
      <c r="H1282" s="77" t="n">
        <v>0</v>
      </c>
      <c r="I1282" s="76" t="n">
        <f aca="false">IF(AND(ISNUMBER(G1282),ISNUMBER(H1282)),MAX(G1282-H1282,0),"")</f>
        <v>5</v>
      </c>
      <c r="J1282" s="78" t="n">
        <f aca="false">IF(AND(ISNUMBER(G1282),ISNUMBER(H1282)),IF(G1282&gt;0,H1282/G1282,""),"")</f>
        <v>0</v>
      </c>
      <c r="K1282" s="77"/>
      <c r="L1282" s="76" t="str">
        <f aca="false">IF(OR(G1282="",H1282=""),"Data tidak lengkap",IF(AND(G1282=0,H1282=0),IF(AND(F1282="",K1282=""),"Tidak dibuka","Tutup"),IF(H1282&gt;G1282,"Lebih kapasitas",IF(H1282=G1282,"Penuh",IF(H1282=0,IF(F1282="","Slot kosong","Belum terisi"),"Sebagian")))))</f>
        <v>Belum terisi</v>
      </c>
      <c r="M1282" s="79" t="str">
        <f aca="false">IF(L1282="Tidak dibuka","–",IF(F1282="","(tanpa age group)",F1282)&amp;"  "&amp;IF(H1282="","?",H1282)&amp;"/"&amp;IF(G1282="","?",G1282)&amp;CHAR(10)&amp;IF(K1282="","coach: –","coach: "&amp;K1282))</f>
        <v>Baby  0/5
coach: –</v>
      </c>
    </row>
    <row r="1283" customFormat="false" ht="22.35" hidden="false" customHeight="false" outlineLevel="0" collapsed="false">
      <c r="A1283" s="76" t="str">
        <f aca="false">B1283&amp;"|"&amp;C1283&amp;"|"&amp;D1283&amp;"|"&amp;E1283</f>
        <v>TMP|1|Selasa|16:15</v>
      </c>
      <c r="B1283" s="76" t="s">
        <v>67</v>
      </c>
      <c r="C1283" s="76" t="n">
        <v>1</v>
      </c>
      <c r="D1283" s="76" t="s">
        <v>91</v>
      </c>
      <c r="E1283" s="76" t="s">
        <v>120</v>
      </c>
      <c r="F1283" s="77" t="s">
        <v>42</v>
      </c>
      <c r="G1283" s="77" t="n">
        <v>5</v>
      </c>
      <c r="H1283" s="77" t="n">
        <v>0</v>
      </c>
      <c r="I1283" s="76" t="n">
        <f aca="false">IF(AND(ISNUMBER(G1283),ISNUMBER(H1283)),MAX(G1283-H1283,0),"")</f>
        <v>5</v>
      </c>
      <c r="J1283" s="78" t="n">
        <f aca="false">IF(AND(ISNUMBER(G1283),ISNUMBER(H1283)),IF(G1283&gt;0,H1283/G1283,""),"")</f>
        <v>0</v>
      </c>
      <c r="K1283" s="77"/>
      <c r="L1283" s="76" t="str">
        <f aca="false">IF(OR(G1283="",H1283=""),"Data tidak lengkap",IF(AND(G1283=0,H1283=0),IF(AND(F1283="",K1283=""),"Tidak dibuka","Tutup"),IF(H1283&gt;G1283,"Lebih kapasitas",IF(H1283=G1283,"Penuh",IF(H1283=0,IF(F1283="","Slot kosong","Belum terisi"),"Sebagian")))))</f>
        <v>Belum terisi</v>
      </c>
      <c r="M1283" s="79" t="str">
        <f aca="false">IF(L1283="Tidak dibuka","–",IF(F1283="","(tanpa age group)",F1283)&amp;"  "&amp;IF(H1283="","?",H1283)&amp;"/"&amp;IF(G1283="","?",G1283)&amp;CHAR(10)&amp;IF(K1283="","coach: –","coach: "&amp;K1283))</f>
        <v>Tiny  0/5
coach: –</v>
      </c>
    </row>
    <row r="1284" customFormat="false" ht="22.35" hidden="false" customHeight="false" outlineLevel="0" collapsed="false">
      <c r="A1284" s="76" t="str">
        <f aca="false">B1284&amp;"|"&amp;C1284&amp;"|"&amp;D1284&amp;"|"&amp;E1284</f>
        <v>TMP|1|Selasa|17:00</v>
      </c>
      <c r="B1284" s="76" t="s">
        <v>67</v>
      </c>
      <c r="C1284" s="76" t="n">
        <v>1</v>
      </c>
      <c r="D1284" s="76" t="s">
        <v>91</v>
      </c>
      <c r="E1284" s="76" t="s">
        <v>121</v>
      </c>
      <c r="F1284" s="77" t="s">
        <v>242</v>
      </c>
      <c r="G1284" s="77" t="n">
        <v>5</v>
      </c>
      <c r="H1284" s="77" t="n">
        <v>0</v>
      </c>
      <c r="I1284" s="76" t="n">
        <f aca="false">IF(AND(ISNUMBER(G1284),ISNUMBER(H1284)),MAX(G1284-H1284,0),"")</f>
        <v>5</v>
      </c>
      <c r="J1284" s="78" t="n">
        <f aca="false">IF(AND(ISNUMBER(G1284),ISNUMBER(H1284)),IF(G1284&gt;0,H1284/G1284,""),"")</f>
        <v>0</v>
      </c>
      <c r="K1284" s="77"/>
      <c r="L1284" s="76" t="str">
        <f aca="false">IF(OR(G1284="",H1284=""),"Data tidak lengkap",IF(AND(G1284=0,H1284=0),IF(AND(F1284="",K1284=""),"Tidak dibuka","Tutup"),IF(H1284&gt;G1284,"Lebih kapasitas",IF(H1284=G1284,"Penuh",IF(H1284=0,IF(F1284="","Slot kosong","Belum terisi"),"Sebagian")))))</f>
        <v>Belum terisi</v>
      </c>
      <c r="M1284" s="79" t="str">
        <f aca="false">IF(L1284="Tidak dibuka","–",IF(F1284="","(tanpa age group)",F1284)&amp;"  "&amp;IF(H1284="","?",H1284)&amp;"/"&amp;IF(G1284="","?",G1284)&amp;CHAR(10)&amp;IF(K1284="","coach: –","coach: "&amp;K1284))</f>
        <v>Baby  0/5
coach: –</v>
      </c>
    </row>
    <row r="1285" customFormat="false" ht="22.35" hidden="false" customHeight="false" outlineLevel="0" collapsed="false">
      <c r="A1285" s="76" t="str">
        <f aca="false">B1285&amp;"|"&amp;C1285&amp;"|"&amp;D1285&amp;"|"&amp;E1285</f>
        <v>TMP|1|Rabu|08:00</v>
      </c>
      <c r="B1285" s="76" t="s">
        <v>67</v>
      </c>
      <c r="C1285" s="76" t="n">
        <v>1</v>
      </c>
      <c r="D1285" s="76" t="s">
        <v>92</v>
      </c>
      <c r="E1285" s="76" t="s">
        <v>110</v>
      </c>
      <c r="F1285" s="77" t="s">
        <v>42</v>
      </c>
      <c r="G1285" s="77" t="n">
        <v>5</v>
      </c>
      <c r="H1285" s="77" t="n">
        <v>0</v>
      </c>
      <c r="I1285" s="76" t="n">
        <f aca="false">IF(AND(ISNUMBER(G1285),ISNUMBER(H1285)),MAX(G1285-H1285,0),"")</f>
        <v>5</v>
      </c>
      <c r="J1285" s="78" t="n">
        <f aca="false">IF(AND(ISNUMBER(G1285),ISNUMBER(H1285)),IF(G1285&gt;0,H1285/G1285,""),"")</f>
        <v>0</v>
      </c>
      <c r="K1285" s="77"/>
      <c r="L1285" s="76" t="str">
        <f aca="false">IF(OR(G1285="",H1285=""),"Data tidak lengkap",IF(AND(G1285=0,H1285=0),IF(AND(F1285="",K1285=""),"Tidak dibuka","Tutup"),IF(H1285&gt;G1285,"Lebih kapasitas",IF(H1285=G1285,"Penuh",IF(H1285=0,IF(F1285="","Slot kosong","Belum terisi"),"Sebagian")))))</f>
        <v>Belum terisi</v>
      </c>
      <c r="M1285" s="79" t="str">
        <f aca="false">IF(L1285="Tidak dibuka","–",IF(F1285="","(tanpa age group)",F1285)&amp;"  "&amp;IF(H1285="","?",H1285)&amp;"/"&amp;IF(G1285="","?",G1285)&amp;CHAR(10)&amp;IF(K1285="","coach: –","coach: "&amp;K1285))</f>
        <v>Tiny  0/5
coach: –</v>
      </c>
    </row>
    <row r="1286" customFormat="false" ht="22.35" hidden="false" customHeight="false" outlineLevel="0" collapsed="false">
      <c r="A1286" s="76" t="str">
        <f aca="false">B1286&amp;"|"&amp;C1286&amp;"|"&amp;D1286&amp;"|"&amp;E1286</f>
        <v>TMP|1|Rabu|08:45</v>
      </c>
      <c r="B1286" s="76" t="s">
        <v>67</v>
      </c>
      <c r="C1286" s="76" t="n">
        <v>1</v>
      </c>
      <c r="D1286" s="76" t="s">
        <v>92</v>
      </c>
      <c r="E1286" s="76" t="s">
        <v>111</v>
      </c>
      <c r="F1286" s="77" t="s">
        <v>242</v>
      </c>
      <c r="G1286" s="77" t="n">
        <v>5</v>
      </c>
      <c r="H1286" s="77" t="n">
        <v>2</v>
      </c>
      <c r="I1286" s="76" t="n">
        <f aca="false">IF(AND(ISNUMBER(G1286),ISNUMBER(H1286)),MAX(G1286-H1286,0),"")</f>
        <v>3</v>
      </c>
      <c r="J1286" s="78" t="n">
        <f aca="false">IF(AND(ISNUMBER(G1286),ISNUMBER(H1286)),IF(G1286&gt;0,H1286/G1286,""),"")</f>
        <v>0.4</v>
      </c>
      <c r="K1286" s="77" t="s">
        <v>374</v>
      </c>
      <c r="L1286" s="76" t="str">
        <f aca="false">IF(OR(G1286="",H1286=""),"Data tidak lengkap",IF(AND(G1286=0,H1286=0),IF(AND(F1286="",K1286=""),"Tidak dibuka","Tutup"),IF(H1286&gt;G1286,"Lebih kapasitas",IF(H1286=G1286,"Penuh",IF(H1286=0,IF(F1286="","Slot kosong","Belum terisi"),"Sebagian")))))</f>
        <v>Sebagian</v>
      </c>
      <c r="M1286" s="79" t="str">
        <f aca="false">IF(L1286="Tidak dibuka","–",IF(F1286="","(tanpa age group)",F1286)&amp;"  "&amp;IF(H1286="","?",H1286)&amp;"/"&amp;IF(G1286="","?",G1286)&amp;CHAR(10)&amp;IF(K1286="","coach: –","coach: "&amp;K1286))</f>
        <v>Baby  2/5
coach: Adam</v>
      </c>
    </row>
    <row r="1287" customFormat="false" ht="22.35" hidden="false" customHeight="false" outlineLevel="0" collapsed="false">
      <c r="A1287" s="76" t="str">
        <f aca="false">B1287&amp;"|"&amp;C1287&amp;"|"&amp;D1287&amp;"|"&amp;E1287</f>
        <v>TMP|1|Rabu|09:30</v>
      </c>
      <c r="B1287" s="76" t="s">
        <v>67</v>
      </c>
      <c r="C1287" s="76" t="n">
        <v>1</v>
      </c>
      <c r="D1287" s="76" t="s">
        <v>92</v>
      </c>
      <c r="E1287" s="76" t="s">
        <v>112</v>
      </c>
      <c r="F1287" s="77" t="s">
        <v>42</v>
      </c>
      <c r="G1287" s="77" t="n">
        <v>5</v>
      </c>
      <c r="H1287" s="77" t="n">
        <v>2</v>
      </c>
      <c r="I1287" s="76" t="n">
        <f aca="false">IF(AND(ISNUMBER(G1287),ISNUMBER(H1287)),MAX(G1287-H1287,0),"")</f>
        <v>3</v>
      </c>
      <c r="J1287" s="78" t="n">
        <f aca="false">IF(AND(ISNUMBER(G1287),ISNUMBER(H1287)),IF(G1287&gt;0,H1287/G1287,""),"")</f>
        <v>0.4</v>
      </c>
      <c r="K1287" s="77" t="s">
        <v>374</v>
      </c>
      <c r="L1287" s="76" t="str">
        <f aca="false">IF(OR(G1287="",H1287=""),"Data tidak lengkap",IF(AND(G1287=0,H1287=0),IF(AND(F1287="",K1287=""),"Tidak dibuka","Tutup"),IF(H1287&gt;G1287,"Lebih kapasitas",IF(H1287=G1287,"Penuh",IF(H1287=0,IF(F1287="","Slot kosong","Belum terisi"),"Sebagian")))))</f>
        <v>Sebagian</v>
      </c>
      <c r="M1287" s="79" t="str">
        <f aca="false">IF(L1287="Tidak dibuka","–",IF(F1287="","(tanpa age group)",F1287)&amp;"  "&amp;IF(H1287="","?",H1287)&amp;"/"&amp;IF(G1287="","?",G1287)&amp;CHAR(10)&amp;IF(K1287="","coach: –","coach: "&amp;K1287))</f>
        <v>Tiny  2/5
coach: Adam</v>
      </c>
    </row>
    <row r="1288" customFormat="false" ht="22.35" hidden="false" customHeight="false" outlineLevel="0" collapsed="false">
      <c r="A1288" s="76" t="str">
        <f aca="false">B1288&amp;"|"&amp;C1288&amp;"|"&amp;D1288&amp;"|"&amp;E1288</f>
        <v>TMP|1|Rabu|10:15</v>
      </c>
      <c r="B1288" s="76" t="s">
        <v>67</v>
      </c>
      <c r="C1288" s="76" t="n">
        <v>1</v>
      </c>
      <c r="D1288" s="76" t="s">
        <v>92</v>
      </c>
      <c r="E1288" s="76" t="s">
        <v>113</v>
      </c>
      <c r="F1288" s="77" t="s">
        <v>242</v>
      </c>
      <c r="G1288" s="77" t="n">
        <v>5</v>
      </c>
      <c r="H1288" s="77" t="n">
        <v>0</v>
      </c>
      <c r="I1288" s="76" t="n">
        <f aca="false">IF(AND(ISNUMBER(G1288),ISNUMBER(H1288)),MAX(G1288-H1288,0),"")</f>
        <v>5</v>
      </c>
      <c r="J1288" s="78" t="n">
        <f aca="false">IF(AND(ISNUMBER(G1288),ISNUMBER(H1288)),IF(G1288&gt;0,H1288/G1288,""),"")</f>
        <v>0</v>
      </c>
      <c r="K1288" s="77"/>
      <c r="L1288" s="76" t="str">
        <f aca="false">IF(OR(G1288="",H1288=""),"Data tidak lengkap",IF(AND(G1288=0,H1288=0),IF(AND(F1288="",K1288=""),"Tidak dibuka","Tutup"),IF(H1288&gt;G1288,"Lebih kapasitas",IF(H1288=G1288,"Penuh",IF(H1288=0,IF(F1288="","Slot kosong","Belum terisi"),"Sebagian")))))</f>
        <v>Belum terisi</v>
      </c>
      <c r="M1288" s="79" t="str">
        <f aca="false">IF(L1288="Tidak dibuka","–",IF(F1288="","(tanpa age group)",F1288)&amp;"  "&amp;IF(H1288="","?",H1288)&amp;"/"&amp;IF(G1288="","?",G1288)&amp;CHAR(10)&amp;IF(K1288="","coach: –","coach: "&amp;K1288))</f>
        <v>Baby  0/5
coach: –</v>
      </c>
    </row>
    <row r="1289" customFormat="false" ht="22.35" hidden="false" customHeight="false" outlineLevel="0" collapsed="false">
      <c r="A1289" s="76" t="str">
        <f aca="false">B1289&amp;"|"&amp;C1289&amp;"|"&amp;D1289&amp;"|"&amp;E1289</f>
        <v>TMP|1|Rabu|11:00</v>
      </c>
      <c r="B1289" s="76" t="s">
        <v>67</v>
      </c>
      <c r="C1289" s="76" t="n">
        <v>1</v>
      </c>
      <c r="D1289" s="76" t="s">
        <v>92</v>
      </c>
      <c r="E1289" s="76" t="s">
        <v>114</v>
      </c>
      <c r="F1289" s="77" t="s">
        <v>42</v>
      </c>
      <c r="G1289" s="77" t="n">
        <v>5</v>
      </c>
      <c r="H1289" s="77" t="n">
        <v>0</v>
      </c>
      <c r="I1289" s="76" t="n">
        <f aca="false">IF(AND(ISNUMBER(G1289),ISNUMBER(H1289)),MAX(G1289-H1289,0),"")</f>
        <v>5</v>
      </c>
      <c r="J1289" s="78" t="n">
        <f aca="false">IF(AND(ISNUMBER(G1289),ISNUMBER(H1289)),IF(G1289&gt;0,H1289/G1289,""),"")</f>
        <v>0</v>
      </c>
      <c r="K1289" s="77"/>
      <c r="L1289" s="76" t="str">
        <f aca="false">IF(OR(G1289="",H1289=""),"Data tidak lengkap",IF(AND(G1289=0,H1289=0),IF(AND(F1289="",K1289=""),"Tidak dibuka","Tutup"),IF(H1289&gt;G1289,"Lebih kapasitas",IF(H1289=G1289,"Penuh",IF(H1289=0,IF(F1289="","Slot kosong","Belum terisi"),"Sebagian")))))</f>
        <v>Belum terisi</v>
      </c>
      <c r="M1289" s="79" t="str">
        <f aca="false">IF(L1289="Tidak dibuka","–",IF(F1289="","(tanpa age group)",F1289)&amp;"  "&amp;IF(H1289="","?",H1289)&amp;"/"&amp;IF(G1289="","?",G1289)&amp;CHAR(10)&amp;IF(K1289="","coach: –","coach: "&amp;K1289))</f>
        <v>Tiny  0/5
coach: –</v>
      </c>
    </row>
    <row r="1290" customFormat="false" ht="22.35" hidden="false" customHeight="false" outlineLevel="0" collapsed="false">
      <c r="A1290" s="76" t="str">
        <f aca="false">B1290&amp;"|"&amp;C1290&amp;"|"&amp;D1290&amp;"|"&amp;E1290</f>
        <v>TMP|1|Rabu|11:45</v>
      </c>
      <c r="B1290" s="76" t="s">
        <v>67</v>
      </c>
      <c r="C1290" s="76" t="n">
        <v>1</v>
      </c>
      <c r="D1290" s="76" t="s">
        <v>92</v>
      </c>
      <c r="E1290" s="76" t="s">
        <v>115</v>
      </c>
      <c r="F1290" s="77" t="s">
        <v>242</v>
      </c>
      <c r="G1290" s="77" t="n">
        <v>5</v>
      </c>
      <c r="H1290" s="77" t="n">
        <v>0</v>
      </c>
      <c r="I1290" s="76" t="n">
        <f aca="false">IF(AND(ISNUMBER(G1290),ISNUMBER(H1290)),MAX(G1290-H1290,0),"")</f>
        <v>5</v>
      </c>
      <c r="J1290" s="78" t="n">
        <f aca="false">IF(AND(ISNUMBER(G1290),ISNUMBER(H1290)),IF(G1290&gt;0,H1290/G1290,""),"")</f>
        <v>0</v>
      </c>
      <c r="K1290" s="77"/>
      <c r="L1290" s="76" t="str">
        <f aca="false">IF(OR(G1290="",H1290=""),"Data tidak lengkap",IF(AND(G1290=0,H1290=0),IF(AND(F1290="",K1290=""),"Tidak dibuka","Tutup"),IF(H1290&gt;G1290,"Lebih kapasitas",IF(H1290=G1290,"Penuh",IF(H1290=0,IF(F1290="","Slot kosong","Belum terisi"),"Sebagian")))))</f>
        <v>Belum terisi</v>
      </c>
      <c r="M1290" s="79" t="str">
        <f aca="false">IF(L1290="Tidak dibuka","–",IF(F1290="","(tanpa age group)",F1290)&amp;"  "&amp;IF(H1290="","?",H1290)&amp;"/"&amp;IF(G1290="","?",G1290)&amp;CHAR(10)&amp;IF(K1290="","coach: –","coach: "&amp;K1290))</f>
        <v>Baby  0/5
coach: –</v>
      </c>
    </row>
    <row r="1291" customFormat="false" ht="22.35" hidden="false" customHeight="false" outlineLevel="0" collapsed="false">
      <c r="A1291" s="76" t="str">
        <f aca="false">B1291&amp;"|"&amp;C1291&amp;"|"&amp;D1291&amp;"|"&amp;E1291</f>
        <v>TMP|1|Rabu|13:15</v>
      </c>
      <c r="B1291" s="76" t="s">
        <v>67</v>
      </c>
      <c r="C1291" s="76" t="n">
        <v>1</v>
      </c>
      <c r="D1291" s="76" t="s">
        <v>92</v>
      </c>
      <c r="E1291" s="76" t="s">
        <v>116</v>
      </c>
      <c r="F1291" s="77" t="s">
        <v>42</v>
      </c>
      <c r="G1291" s="77" t="n">
        <v>5</v>
      </c>
      <c r="H1291" s="77" t="n">
        <v>0</v>
      </c>
      <c r="I1291" s="76" t="n">
        <f aca="false">IF(AND(ISNUMBER(G1291),ISNUMBER(H1291)),MAX(G1291-H1291,0),"")</f>
        <v>5</v>
      </c>
      <c r="J1291" s="78" t="n">
        <f aca="false">IF(AND(ISNUMBER(G1291),ISNUMBER(H1291)),IF(G1291&gt;0,H1291/G1291,""),"")</f>
        <v>0</v>
      </c>
      <c r="K1291" s="77"/>
      <c r="L1291" s="76" t="str">
        <f aca="false">IF(OR(G1291="",H1291=""),"Data tidak lengkap",IF(AND(G1291=0,H1291=0),IF(AND(F1291="",K1291=""),"Tidak dibuka","Tutup"),IF(H1291&gt;G1291,"Lebih kapasitas",IF(H1291=G1291,"Penuh",IF(H1291=0,IF(F1291="","Slot kosong","Belum terisi"),"Sebagian")))))</f>
        <v>Belum terisi</v>
      </c>
      <c r="M1291" s="79" t="str">
        <f aca="false">IF(L1291="Tidak dibuka","–",IF(F1291="","(tanpa age group)",F1291)&amp;"  "&amp;IF(H1291="","?",H1291)&amp;"/"&amp;IF(G1291="","?",G1291)&amp;CHAR(10)&amp;IF(K1291="","coach: –","coach: "&amp;K1291))</f>
        <v>Tiny  0/5
coach: –</v>
      </c>
    </row>
    <row r="1292" customFormat="false" ht="22.35" hidden="false" customHeight="false" outlineLevel="0" collapsed="false">
      <c r="A1292" s="76" t="str">
        <f aca="false">B1292&amp;"|"&amp;C1292&amp;"|"&amp;D1292&amp;"|"&amp;E1292</f>
        <v>TMP|1|Rabu|14:00</v>
      </c>
      <c r="B1292" s="76" t="s">
        <v>67</v>
      </c>
      <c r="C1292" s="76" t="n">
        <v>1</v>
      </c>
      <c r="D1292" s="76" t="s">
        <v>92</v>
      </c>
      <c r="E1292" s="76" t="s">
        <v>117</v>
      </c>
      <c r="F1292" s="77" t="s">
        <v>242</v>
      </c>
      <c r="G1292" s="77" t="n">
        <v>5</v>
      </c>
      <c r="H1292" s="77" t="n">
        <v>0</v>
      </c>
      <c r="I1292" s="76" t="n">
        <f aca="false">IF(AND(ISNUMBER(G1292),ISNUMBER(H1292)),MAX(G1292-H1292,0),"")</f>
        <v>5</v>
      </c>
      <c r="J1292" s="78" t="n">
        <f aca="false">IF(AND(ISNUMBER(G1292),ISNUMBER(H1292)),IF(G1292&gt;0,H1292/G1292,""),"")</f>
        <v>0</v>
      </c>
      <c r="K1292" s="77"/>
      <c r="L1292" s="76" t="str">
        <f aca="false">IF(OR(G1292="",H1292=""),"Data tidak lengkap",IF(AND(G1292=0,H1292=0),IF(AND(F1292="",K1292=""),"Tidak dibuka","Tutup"),IF(H1292&gt;G1292,"Lebih kapasitas",IF(H1292=G1292,"Penuh",IF(H1292=0,IF(F1292="","Slot kosong","Belum terisi"),"Sebagian")))))</f>
        <v>Belum terisi</v>
      </c>
      <c r="M1292" s="79" t="str">
        <f aca="false">IF(L1292="Tidak dibuka","–",IF(F1292="","(tanpa age group)",F1292)&amp;"  "&amp;IF(H1292="","?",H1292)&amp;"/"&amp;IF(G1292="","?",G1292)&amp;CHAR(10)&amp;IF(K1292="","coach: –","coach: "&amp;K1292))</f>
        <v>Baby  0/5
coach: –</v>
      </c>
    </row>
    <row r="1293" customFormat="false" ht="22.35" hidden="false" customHeight="false" outlineLevel="0" collapsed="false">
      <c r="A1293" s="76" t="str">
        <f aca="false">B1293&amp;"|"&amp;C1293&amp;"|"&amp;D1293&amp;"|"&amp;E1293</f>
        <v>TMP|1|Rabu|14:45</v>
      </c>
      <c r="B1293" s="76" t="s">
        <v>67</v>
      </c>
      <c r="C1293" s="76" t="n">
        <v>1</v>
      </c>
      <c r="D1293" s="76" t="s">
        <v>92</v>
      </c>
      <c r="E1293" s="76" t="s">
        <v>118</v>
      </c>
      <c r="F1293" s="77" t="s">
        <v>42</v>
      </c>
      <c r="G1293" s="77" t="n">
        <v>5</v>
      </c>
      <c r="H1293" s="77" t="n">
        <v>0</v>
      </c>
      <c r="I1293" s="76" t="n">
        <f aca="false">IF(AND(ISNUMBER(G1293),ISNUMBER(H1293)),MAX(G1293-H1293,0),"")</f>
        <v>5</v>
      </c>
      <c r="J1293" s="78" t="n">
        <f aca="false">IF(AND(ISNUMBER(G1293),ISNUMBER(H1293)),IF(G1293&gt;0,H1293/G1293,""),"")</f>
        <v>0</v>
      </c>
      <c r="K1293" s="77"/>
      <c r="L1293" s="76" t="str">
        <f aca="false">IF(OR(G1293="",H1293=""),"Data tidak lengkap",IF(AND(G1293=0,H1293=0),IF(AND(F1293="",K1293=""),"Tidak dibuka","Tutup"),IF(H1293&gt;G1293,"Lebih kapasitas",IF(H1293=G1293,"Penuh",IF(H1293=0,IF(F1293="","Slot kosong","Belum terisi"),"Sebagian")))))</f>
        <v>Belum terisi</v>
      </c>
      <c r="M1293" s="79" t="str">
        <f aca="false">IF(L1293="Tidak dibuka","–",IF(F1293="","(tanpa age group)",F1293)&amp;"  "&amp;IF(H1293="","?",H1293)&amp;"/"&amp;IF(G1293="","?",G1293)&amp;CHAR(10)&amp;IF(K1293="","coach: –","coach: "&amp;K1293))</f>
        <v>Tiny  0/5
coach: –</v>
      </c>
    </row>
    <row r="1294" customFormat="false" ht="22.35" hidden="false" customHeight="false" outlineLevel="0" collapsed="false">
      <c r="A1294" s="76" t="str">
        <f aca="false">B1294&amp;"|"&amp;C1294&amp;"|"&amp;D1294&amp;"|"&amp;E1294</f>
        <v>TMP|1|Rabu|15:30</v>
      </c>
      <c r="B1294" s="76" t="s">
        <v>67</v>
      </c>
      <c r="C1294" s="76" t="n">
        <v>1</v>
      </c>
      <c r="D1294" s="76" t="s">
        <v>92</v>
      </c>
      <c r="E1294" s="76" t="s">
        <v>119</v>
      </c>
      <c r="F1294" s="77" t="s">
        <v>242</v>
      </c>
      <c r="G1294" s="77" t="n">
        <v>5</v>
      </c>
      <c r="H1294" s="77" t="n">
        <v>0</v>
      </c>
      <c r="I1294" s="76" t="n">
        <f aca="false">IF(AND(ISNUMBER(G1294),ISNUMBER(H1294)),MAX(G1294-H1294,0),"")</f>
        <v>5</v>
      </c>
      <c r="J1294" s="78" t="n">
        <f aca="false">IF(AND(ISNUMBER(G1294),ISNUMBER(H1294)),IF(G1294&gt;0,H1294/G1294,""),"")</f>
        <v>0</v>
      </c>
      <c r="K1294" s="77"/>
      <c r="L1294" s="76" t="str">
        <f aca="false">IF(OR(G1294="",H1294=""),"Data tidak lengkap",IF(AND(G1294=0,H1294=0),IF(AND(F1294="",K1294=""),"Tidak dibuka","Tutup"),IF(H1294&gt;G1294,"Lebih kapasitas",IF(H1294=G1294,"Penuh",IF(H1294=0,IF(F1294="","Slot kosong","Belum terisi"),"Sebagian")))))</f>
        <v>Belum terisi</v>
      </c>
      <c r="M1294" s="79" t="str">
        <f aca="false">IF(L1294="Tidak dibuka","–",IF(F1294="","(tanpa age group)",F1294)&amp;"  "&amp;IF(H1294="","?",H1294)&amp;"/"&amp;IF(G1294="","?",G1294)&amp;CHAR(10)&amp;IF(K1294="","coach: –","coach: "&amp;K1294))</f>
        <v>Baby  0/5
coach: –</v>
      </c>
    </row>
    <row r="1295" customFormat="false" ht="22.35" hidden="false" customHeight="false" outlineLevel="0" collapsed="false">
      <c r="A1295" s="76" t="str">
        <f aca="false">B1295&amp;"|"&amp;C1295&amp;"|"&amp;D1295&amp;"|"&amp;E1295</f>
        <v>TMP|1|Rabu|16:15</v>
      </c>
      <c r="B1295" s="76" t="s">
        <v>67</v>
      </c>
      <c r="C1295" s="76" t="n">
        <v>1</v>
      </c>
      <c r="D1295" s="76" t="s">
        <v>92</v>
      </c>
      <c r="E1295" s="76" t="s">
        <v>120</v>
      </c>
      <c r="F1295" s="77" t="s">
        <v>42</v>
      </c>
      <c r="G1295" s="77" t="n">
        <v>5</v>
      </c>
      <c r="H1295" s="77" t="n">
        <v>1</v>
      </c>
      <c r="I1295" s="76" t="n">
        <f aca="false">IF(AND(ISNUMBER(G1295),ISNUMBER(H1295)),MAX(G1295-H1295,0),"")</f>
        <v>4</v>
      </c>
      <c r="J1295" s="78" t="n">
        <f aca="false">IF(AND(ISNUMBER(G1295),ISNUMBER(H1295)),IF(G1295&gt;0,H1295/G1295,""),"")</f>
        <v>0.2</v>
      </c>
      <c r="K1295" s="77" t="s">
        <v>374</v>
      </c>
      <c r="L1295" s="76" t="str">
        <f aca="false">IF(OR(G1295="",H1295=""),"Data tidak lengkap",IF(AND(G1295=0,H1295=0),IF(AND(F1295="",K1295=""),"Tidak dibuka","Tutup"),IF(H1295&gt;G1295,"Lebih kapasitas",IF(H1295=G1295,"Penuh",IF(H1295=0,IF(F1295="","Slot kosong","Belum terisi"),"Sebagian")))))</f>
        <v>Sebagian</v>
      </c>
      <c r="M1295" s="79" t="str">
        <f aca="false">IF(L1295="Tidak dibuka","–",IF(F1295="","(tanpa age group)",F1295)&amp;"  "&amp;IF(H1295="","?",H1295)&amp;"/"&amp;IF(G1295="","?",G1295)&amp;CHAR(10)&amp;IF(K1295="","coach: –","coach: "&amp;K1295))</f>
        <v>Tiny  1/5
coach: Adam</v>
      </c>
    </row>
    <row r="1296" customFormat="false" ht="22.35" hidden="false" customHeight="false" outlineLevel="0" collapsed="false">
      <c r="A1296" s="76" t="str">
        <f aca="false">B1296&amp;"|"&amp;C1296&amp;"|"&amp;D1296&amp;"|"&amp;E1296</f>
        <v>TMP|1|Rabu|17:00</v>
      </c>
      <c r="B1296" s="76" t="s">
        <v>67</v>
      </c>
      <c r="C1296" s="76" t="n">
        <v>1</v>
      </c>
      <c r="D1296" s="76" t="s">
        <v>92</v>
      </c>
      <c r="E1296" s="76" t="s">
        <v>121</v>
      </c>
      <c r="F1296" s="77" t="s">
        <v>242</v>
      </c>
      <c r="G1296" s="77" t="n">
        <v>5</v>
      </c>
      <c r="H1296" s="77" t="n">
        <v>0</v>
      </c>
      <c r="I1296" s="76" t="n">
        <f aca="false">IF(AND(ISNUMBER(G1296),ISNUMBER(H1296)),MAX(G1296-H1296,0),"")</f>
        <v>5</v>
      </c>
      <c r="J1296" s="78" t="n">
        <f aca="false">IF(AND(ISNUMBER(G1296),ISNUMBER(H1296)),IF(G1296&gt;0,H1296/G1296,""),"")</f>
        <v>0</v>
      </c>
      <c r="K1296" s="77"/>
      <c r="L1296" s="76" t="str">
        <f aca="false">IF(OR(G1296="",H1296=""),"Data tidak lengkap",IF(AND(G1296=0,H1296=0),IF(AND(F1296="",K1296=""),"Tidak dibuka","Tutup"),IF(H1296&gt;G1296,"Lebih kapasitas",IF(H1296=G1296,"Penuh",IF(H1296=0,IF(F1296="","Slot kosong","Belum terisi"),"Sebagian")))))</f>
        <v>Belum terisi</v>
      </c>
      <c r="M1296" s="79" t="str">
        <f aca="false">IF(L1296="Tidak dibuka","–",IF(F1296="","(tanpa age group)",F1296)&amp;"  "&amp;IF(H1296="","?",H1296)&amp;"/"&amp;IF(G1296="","?",G1296)&amp;CHAR(10)&amp;IF(K1296="","coach: –","coach: "&amp;K1296))</f>
        <v>Baby  0/5
coach: –</v>
      </c>
    </row>
    <row r="1297" customFormat="false" ht="22.35" hidden="false" customHeight="false" outlineLevel="0" collapsed="false">
      <c r="A1297" s="76" t="str">
        <f aca="false">B1297&amp;"|"&amp;C1297&amp;"|"&amp;D1297&amp;"|"&amp;E1297</f>
        <v>TMP|1|Kamis|08:00</v>
      </c>
      <c r="B1297" s="76" t="s">
        <v>67</v>
      </c>
      <c r="C1297" s="76" t="n">
        <v>1</v>
      </c>
      <c r="D1297" s="76" t="s">
        <v>93</v>
      </c>
      <c r="E1297" s="76" t="s">
        <v>110</v>
      </c>
      <c r="F1297" s="77" t="s">
        <v>42</v>
      </c>
      <c r="G1297" s="77" t="n">
        <v>5</v>
      </c>
      <c r="H1297" s="77" t="n">
        <v>0</v>
      </c>
      <c r="I1297" s="76" t="n">
        <f aca="false">IF(AND(ISNUMBER(G1297),ISNUMBER(H1297)),MAX(G1297-H1297,0),"")</f>
        <v>5</v>
      </c>
      <c r="J1297" s="78" t="n">
        <f aca="false">IF(AND(ISNUMBER(G1297),ISNUMBER(H1297)),IF(G1297&gt;0,H1297/G1297,""),"")</f>
        <v>0</v>
      </c>
      <c r="K1297" s="77"/>
      <c r="L1297" s="76" t="str">
        <f aca="false">IF(OR(G1297="",H1297=""),"Data tidak lengkap",IF(AND(G1297=0,H1297=0),IF(AND(F1297="",K1297=""),"Tidak dibuka","Tutup"),IF(H1297&gt;G1297,"Lebih kapasitas",IF(H1297=G1297,"Penuh",IF(H1297=0,IF(F1297="","Slot kosong","Belum terisi"),"Sebagian")))))</f>
        <v>Belum terisi</v>
      </c>
      <c r="M1297" s="79" t="str">
        <f aca="false">IF(L1297="Tidak dibuka","–",IF(F1297="","(tanpa age group)",F1297)&amp;"  "&amp;IF(H1297="","?",H1297)&amp;"/"&amp;IF(G1297="","?",G1297)&amp;CHAR(10)&amp;IF(K1297="","coach: –","coach: "&amp;K1297))</f>
        <v>Tiny  0/5
coach: –</v>
      </c>
    </row>
    <row r="1298" customFormat="false" ht="22.35" hidden="false" customHeight="false" outlineLevel="0" collapsed="false">
      <c r="A1298" s="76" t="str">
        <f aca="false">B1298&amp;"|"&amp;C1298&amp;"|"&amp;D1298&amp;"|"&amp;E1298</f>
        <v>TMP|1|Kamis|08:45</v>
      </c>
      <c r="B1298" s="76" t="s">
        <v>67</v>
      </c>
      <c r="C1298" s="76" t="n">
        <v>1</v>
      </c>
      <c r="D1298" s="76" t="s">
        <v>93</v>
      </c>
      <c r="E1298" s="76" t="s">
        <v>111</v>
      </c>
      <c r="F1298" s="77" t="s">
        <v>242</v>
      </c>
      <c r="G1298" s="77" t="n">
        <v>5</v>
      </c>
      <c r="H1298" s="77" t="n">
        <v>0</v>
      </c>
      <c r="I1298" s="76" t="n">
        <f aca="false">IF(AND(ISNUMBER(G1298),ISNUMBER(H1298)),MAX(G1298-H1298,0),"")</f>
        <v>5</v>
      </c>
      <c r="J1298" s="78" t="n">
        <f aca="false">IF(AND(ISNUMBER(G1298),ISNUMBER(H1298)),IF(G1298&gt;0,H1298/G1298,""),"")</f>
        <v>0</v>
      </c>
      <c r="K1298" s="77"/>
      <c r="L1298" s="76" t="str">
        <f aca="false">IF(OR(G1298="",H1298=""),"Data tidak lengkap",IF(AND(G1298=0,H1298=0),IF(AND(F1298="",K1298=""),"Tidak dibuka","Tutup"),IF(H1298&gt;G1298,"Lebih kapasitas",IF(H1298=G1298,"Penuh",IF(H1298=0,IF(F1298="","Slot kosong","Belum terisi"),"Sebagian")))))</f>
        <v>Belum terisi</v>
      </c>
      <c r="M1298" s="79" t="str">
        <f aca="false">IF(L1298="Tidak dibuka","–",IF(F1298="","(tanpa age group)",F1298)&amp;"  "&amp;IF(H1298="","?",H1298)&amp;"/"&amp;IF(G1298="","?",G1298)&amp;CHAR(10)&amp;IF(K1298="","coach: –","coach: "&amp;K1298))</f>
        <v>Baby  0/5
coach: –</v>
      </c>
    </row>
    <row r="1299" customFormat="false" ht="22.35" hidden="false" customHeight="false" outlineLevel="0" collapsed="false">
      <c r="A1299" s="76" t="str">
        <f aca="false">B1299&amp;"|"&amp;C1299&amp;"|"&amp;D1299&amp;"|"&amp;E1299</f>
        <v>TMP|1|Kamis|09:30</v>
      </c>
      <c r="B1299" s="76" t="s">
        <v>67</v>
      </c>
      <c r="C1299" s="76" t="n">
        <v>1</v>
      </c>
      <c r="D1299" s="76" t="s">
        <v>93</v>
      </c>
      <c r="E1299" s="76" t="s">
        <v>112</v>
      </c>
      <c r="F1299" s="77" t="s">
        <v>42</v>
      </c>
      <c r="G1299" s="77" t="n">
        <v>5</v>
      </c>
      <c r="H1299" s="77" t="n">
        <v>0</v>
      </c>
      <c r="I1299" s="76" t="n">
        <f aca="false">IF(AND(ISNUMBER(G1299),ISNUMBER(H1299)),MAX(G1299-H1299,0),"")</f>
        <v>5</v>
      </c>
      <c r="J1299" s="78" t="n">
        <f aca="false">IF(AND(ISNUMBER(G1299),ISNUMBER(H1299)),IF(G1299&gt;0,H1299/G1299,""),"")</f>
        <v>0</v>
      </c>
      <c r="K1299" s="77"/>
      <c r="L1299" s="76" t="str">
        <f aca="false">IF(OR(G1299="",H1299=""),"Data tidak lengkap",IF(AND(G1299=0,H1299=0),IF(AND(F1299="",K1299=""),"Tidak dibuka","Tutup"),IF(H1299&gt;G1299,"Lebih kapasitas",IF(H1299=G1299,"Penuh",IF(H1299=0,IF(F1299="","Slot kosong","Belum terisi"),"Sebagian")))))</f>
        <v>Belum terisi</v>
      </c>
      <c r="M1299" s="79" t="str">
        <f aca="false">IF(L1299="Tidak dibuka","–",IF(F1299="","(tanpa age group)",F1299)&amp;"  "&amp;IF(H1299="","?",H1299)&amp;"/"&amp;IF(G1299="","?",G1299)&amp;CHAR(10)&amp;IF(K1299="","coach: –","coach: "&amp;K1299))</f>
        <v>Tiny  0/5
coach: –</v>
      </c>
    </row>
    <row r="1300" customFormat="false" ht="22.35" hidden="false" customHeight="false" outlineLevel="0" collapsed="false">
      <c r="A1300" s="76" t="str">
        <f aca="false">B1300&amp;"|"&amp;C1300&amp;"|"&amp;D1300&amp;"|"&amp;E1300</f>
        <v>TMP|1|Kamis|10:15</v>
      </c>
      <c r="B1300" s="76" t="s">
        <v>67</v>
      </c>
      <c r="C1300" s="76" t="n">
        <v>1</v>
      </c>
      <c r="D1300" s="76" t="s">
        <v>93</v>
      </c>
      <c r="E1300" s="76" t="s">
        <v>113</v>
      </c>
      <c r="F1300" s="77" t="s">
        <v>242</v>
      </c>
      <c r="G1300" s="77" t="n">
        <v>5</v>
      </c>
      <c r="H1300" s="77" t="n">
        <v>0</v>
      </c>
      <c r="I1300" s="76" t="n">
        <f aca="false">IF(AND(ISNUMBER(G1300),ISNUMBER(H1300)),MAX(G1300-H1300,0),"")</f>
        <v>5</v>
      </c>
      <c r="J1300" s="78" t="n">
        <f aca="false">IF(AND(ISNUMBER(G1300),ISNUMBER(H1300)),IF(G1300&gt;0,H1300/G1300,""),"")</f>
        <v>0</v>
      </c>
      <c r="K1300" s="77"/>
      <c r="L1300" s="76" t="str">
        <f aca="false">IF(OR(G1300="",H1300=""),"Data tidak lengkap",IF(AND(G1300=0,H1300=0),IF(AND(F1300="",K1300=""),"Tidak dibuka","Tutup"),IF(H1300&gt;G1300,"Lebih kapasitas",IF(H1300=G1300,"Penuh",IF(H1300=0,IF(F1300="","Slot kosong","Belum terisi"),"Sebagian")))))</f>
        <v>Belum terisi</v>
      </c>
      <c r="M1300" s="79" t="str">
        <f aca="false">IF(L1300="Tidak dibuka","–",IF(F1300="","(tanpa age group)",F1300)&amp;"  "&amp;IF(H1300="","?",H1300)&amp;"/"&amp;IF(G1300="","?",G1300)&amp;CHAR(10)&amp;IF(K1300="","coach: –","coach: "&amp;K1300))</f>
        <v>Baby  0/5
coach: –</v>
      </c>
    </row>
    <row r="1301" customFormat="false" ht="22.35" hidden="false" customHeight="false" outlineLevel="0" collapsed="false">
      <c r="A1301" s="76" t="str">
        <f aca="false">B1301&amp;"|"&amp;C1301&amp;"|"&amp;D1301&amp;"|"&amp;E1301</f>
        <v>TMP|1|Kamis|11:00</v>
      </c>
      <c r="B1301" s="76" t="s">
        <v>67</v>
      </c>
      <c r="C1301" s="76" t="n">
        <v>1</v>
      </c>
      <c r="D1301" s="76" t="s">
        <v>93</v>
      </c>
      <c r="E1301" s="76" t="s">
        <v>114</v>
      </c>
      <c r="F1301" s="77" t="s">
        <v>42</v>
      </c>
      <c r="G1301" s="77" t="n">
        <v>5</v>
      </c>
      <c r="H1301" s="77" t="n">
        <v>1</v>
      </c>
      <c r="I1301" s="76" t="n">
        <f aca="false">IF(AND(ISNUMBER(G1301),ISNUMBER(H1301)),MAX(G1301-H1301,0),"")</f>
        <v>4</v>
      </c>
      <c r="J1301" s="78" t="n">
        <f aca="false">IF(AND(ISNUMBER(G1301),ISNUMBER(H1301)),IF(G1301&gt;0,H1301/G1301,""),"")</f>
        <v>0.2</v>
      </c>
      <c r="K1301" s="77" t="s">
        <v>374</v>
      </c>
      <c r="L1301" s="76" t="str">
        <f aca="false">IF(OR(G1301="",H1301=""),"Data tidak lengkap",IF(AND(G1301=0,H1301=0),IF(AND(F1301="",K1301=""),"Tidak dibuka","Tutup"),IF(H1301&gt;G1301,"Lebih kapasitas",IF(H1301=G1301,"Penuh",IF(H1301=0,IF(F1301="","Slot kosong","Belum terisi"),"Sebagian")))))</f>
        <v>Sebagian</v>
      </c>
      <c r="M1301" s="79" t="str">
        <f aca="false">IF(L1301="Tidak dibuka","–",IF(F1301="","(tanpa age group)",F1301)&amp;"  "&amp;IF(H1301="","?",H1301)&amp;"/"&amp;IF(G1301="","?",G1301)&amp;CHAR(10)&amp;IF(K1301="","coach: –","coach: "&amp;K1301))</f>
        <v>Tiny  1/5
coach: Adam</v>
      </c>
    </row>
    <row r="1302" customFormat="false" ht="22.35" hidden="false" customHeight="false" outlineLevel="0" collapsed="false">
      <c r="A1302" s="76" t="str">
        <f aca="false">B1302&amp;"|"&amp;C1302&amp;"|"&amp;D1302&amp;"|"&amp;E1302</f>
        <v>TMP|1|Kamis|11:45</v>
      </c>
      <c r="B1302" s="76" t="s">
        <v>67</v>
      </c>
      <c r="C1302" s="76" t="n">
        <v>1</v>
      </c>
      <c r="D1302" s="76" t="s">
        <v>93</v>
      </c>
      <c r="E1302" s="76" t="s">
        <v>115</v>
      </c>
      <c r="F1302" s="77" t="s">
        <v>242</v>
      </c>
      <c r="G1302" s="77" t="n">
        <v>5</v>
      </c>
      <c r="H1302" s="77" t="n">
        <v>0</v>
      </c>
      <c r="I1302" s="76" t="n">
        <f aca="false">IF(AND(ISNUMBER(G1302),ISNUMBER(H1302)),MAX(G1302-H1302,0),"")</f>
        <v>5</v>
      </c>
      <c r="J1302" s="78" t="n">
        <f aca="false">IF(AND(ISNUMBER(G1302),ISNUMBER(H1302)),IF(G1302&gt;0,H1302/G1302,""),"")</f>
        <v>0</v>
      </c>
      <c r="K1302" s="77"/>
      <c r="L1302" s="76" t="str">
        <f aca="false">IF(OR(G1302="",H1302=""),"Data tidak lengkap",IF(AND(G1302=0,H1302=0),IF(AND(F1302="",K1302=""),"Tidak dibuka","Tutup"),IF(H1302&gt;G1302,"Lebih kapasitas",IF(H1302=G1302,"Penuh",IF(H1302=0,IF(F1302="","Slot kosong","Belum terisi"),"Sebagian")))))</f>
        <v>Belum terisi</v>
      </c>
      <c r="M1302" s="79" t="str">
        <f aca="false">IF(L1302="Tidak dibuka","–",IF(F1302="","(tanpa age group)",F1302)&amp;"  "&amp;IF(H1302="","?",H1302)&amp;"/"&amp;IF(G1302="","?",G1302)&amp;CHAR(10)&amp;IF(K1302="","coach: –","coach: "&amp;K1302))</f>
        <v>Baby  0/5
coach: –</v>
      </c>
    </row>
    <row r="1303" customFormat="false" ht="22.35" hidden="false" customHeight="false" outlineLevel="0" collapsed="false">
      <c r="A1303" s="76" t="str">
        <f aca="false">B1303&amp;"|"&amp;C1303&amp;"|"&amp;D1303&amp;"|"&amp;E1303</f>
        <v>TMP|1|Kamis|13:15</v>
      </c>
      <c r="B1303" s="76" t="s">
        <v>67</v>
      </c>
      <c r="C1303" s="76" t="n">
        <v>1</v>
      </c>
      <c r="D1303" s="76" t="s">
        <v>93</v>
      </c>
      <c r="E1303" s="76" t="s">
        <v>116</v>
      </c>
      <c r="F1303" s="77" t="s">
        <v>42</v>
      </c>
      <c r="G1303" s="77" t="n">
        <v>5</v>
      </c>
      <c r="H1303" s="77" t="n">
        <v>0</v>
      </c>
      <c r="I1303" s="76" t="n">
        <f aca="false">IF(AND(ISNUMBER(G1303),ISNUMBER(H1303)),MAX(G1303-H1303,0),"")</f>
        <v>5</v>
      </c>
      <c r="J1303" s="78" t="n">
        <f aca="false">IF(AND(ISNUMBER(G1303),ISNUMBER(H1303)),IF(G1303&gt;0,H1303/G1303,""),"")</f>
        <v>0</v>
      </c>
      <c r="K1303" s="77"/>
      <c r="L1303" s="76" t="str">
        <f aca="false">IF(OR(G1303="",H1303=""),"Data tidak lengkap",IF(AND(G1303=0,H1303=0),IF(AND(F1303="",K1303=""),"Tidak dibuka","Tutup"),IF(H1303&gt;G1303,"Lebih kapasitas",IF(H1303=G1303,"Penuh",IF(H1303=0,IF(F1303="","Slot kosong","Belum terisi"),"Sebagian")))))</f>
        <v>Belum terisi</v>
      </c>
      <c r="M1303" s="79" t="str">
        <f aca="false">IF(L1303="Tidak dibuka","–",IF(F1303="","(tanpa age group)",F1303)&amp;"  "&amp;IF(H1303="","?",H1303)&amp;"/"&amp;IF(G1303="","?",G1303)&amp;CHAR(10)&amp;IF(K1303="","coach: –","coach: "&amp;K1303))</f>
        <v>Tiny  0/5
coach: –</v>
      </c>
    </row>
    <row r="1304" customFormat="false" ht="22.35" hidden="false" customHeight="false" outlineLevel="0" collapsed="false">
      <c r="A1304" s="76" t="str">
        <f aca="false">B1304&amp;"|"&amp;C1304&amp;"|"&amp;D1304&amp;"|"&amp;E1304</f>
        <v>TMP|1|Kamis|14:00</v>
      </c>
      <c r="B1304" s="76" t="s">
        <v>67</v>
      </c>
      <c r="C1304" s="76" t="n">
        <v>1</v>
      </c>
      <c r="D1304" s="76" t="s">
        <v>93</v>
      </c>
      <c r="E1304" s="76" t="s">
        <v>117</v>
      </c>
      <c r="F1304" s="77" t="s">
        <v>242</v>
      </c>
      <c r="G1304" s="77" t="n">
        <v>5</v>
      </c>
      <c r="H1304" s="77" t="n">
        <v>0</v>
      </c>
      <c r="I1304" s="76" t="n">
        <f aca="false">IF(AND(ISNUMBER(G1304),ISNUMBER(H1304)),MAX(G1304-H1304,0),"")</f>
        <v>5</v>
      </c>
      <c r="J1304" s="78" t="n">
        <f aca="false">IF(AND(ISNUMBER(G1304),ISNUMBER(H1304)),IF(G1304&gt;0,H1304/G1304,""),"")</f>
        <v>0</v>
      </c>
      <c r="K1304" s="77"/>
      <c r="L1304" s="76" t="str">
        <f aca="false">IF(OR(G1304="",H1304=""),"Data tidak lengkap",IF(AND(G1304=0,H1304=0),IF(AND(F1304="",K1304=""),"Tidak dibuka","Tutup"),IF(H1304&gt;G1304,"Lebih kapasitas",IF(H1304=G1304,"Penuh",IF(H1304=0,IF(F1304="","Slot kosong","Belum terisi"),"Sebagian")))))</f>
        <v>Belum terisi</v>
      </c>
      <c r="M1304" s="79" t="str">
        <f aca="false">IF(L1304="Tidak dibuka","–",IF(F1304="","(tanpa age group)",F1304)&amp;"  "&amp;IF(H1304="","?",H1304)&amp;"/"&amp;IF(G1304="","?",G1304)&amp;CHAR(10)&amp;IF(K1304="","coach: –","coach: "&amp;K1304))</f>
        <v>Baby  0/5
coach: –</v>
      </c>
    </row>
    <row r="1305" customFormat="false" ht="22.35" hidden="false" customHeight="false" outlineLevel="0" collapsed="false">
      <c r="A1305" s="76" t="str">
        <f aca="false">B1305&amp;"|"&amp;C1305&amp;"|"&amp;D1305&amp;"|"&amp;E1305</f>
        <v>TMP|1|Kamis|14:45</v>
      </c>
      <c r="B1305" s="76" t="s">
        <v>67</v>
      </c>
      <c r="C1305" s="76" t="n">
        <v>1</v>
      </c>
      <c r="D1305" s="76" t="s">
        <v>93</v>
      </c>
      <c r="E1305" s="76" t="s">
        <v>118</v>
      </c>
      <c r="F1305" s="77" t="s">
        <v>42</v>
      </c>
      <c r="G1305" s="77" t="n">
        <v>5</v>
      </c>
      <c r="H1305" s="77" t="n">
        <v>0</v>
      </c>
      <c r="I1305" s="76" t="n">
        <f aca="false">IF(AND(ISNUMBER(G1305),ISNUMBER(H1305)),MAX(G1305-H1305,0),"")</f>
        <v>5</v>
      </c>
      <c r="J1305" s="78" t="n">
        <f aca="false">IF(AND(ISNUMBER(G1305),ISNUMBER(H1305)),IF(G1305&gt;0,H1305/G1305,""),"")</f>
        <v>0</v>
      </c>
      <c r="K1305" s="77"/>
      <c r="L1305" s="76" t="str">
        <f aca="false">IF(OR(G1305="",H1305=""),"Data tidak lengkap",IF(AND(G1305=0,H1305=0),IF(AND(F1305="",K1305=""),"Tidak dibuka","Tutup"),IF(H1305&gt;G1305,"Lebih kapasitas",IF(H1305=G1305,"Penuh",IF(H1305=0,IF(F1305="","Slot kosong","Belum terisi"),"Sebagian")))))</f>
        <v>Belum terisi</v>
      </c>
      <c r="M1305" s="79" t="str">
        <f aca="false">IF(L1305="Tidak dibuka","–",IF(F1305="","(tanpa age group)",F1305)&amp;"  "&amp;IF(H1305="","?",H1305)&amp;"/"&amp;IF(G1305="","?",G1305)&amp;CHAR(10)&amp;IF(K1305="","coach: –","coach: "&amp;K1305))</f>
        <v>Tiny  0/5
coach: –</v>
      </c>
    </row>
    <row r="1306" customFormat="false" ht="22.35" hidden="false" customHeight="false" outlineLevel="0" collapsed="false">
      <c r="A1306" s="76" t="str">
        <f aca="false">B1306&amp;"|"&amp;C1306&amp;"|"&amp;D1306&amp;"|"&amp;E1306</f>
        <v>TMP|1|Kamis|15:30</v>
      </c>
      <c r="B1306" s="76" t="s">
        <v>67</v>
      </c>
      <c r="C1306" s="76" t="n">
        <v>1</v>
      </c>
      <c r="D1306" s="76" t="s">
        <v>93</v>
      </c>
      <c r="E1306" s="76" t="s">
        <v>119</v>
      </c>
      <c r="F1306" s="77" t="s">
        <v>242</v>
      </c>
      <c r="G1306" s="77" t="n">
        <v>5</v>
      </c>
      <c r="H1306" s="77" t="n">
        <v>0</v>
      </c>
      <c r="I1306" s="76" t="n">
        <f aca="false">IF(AND(ISNUMBER(G1306),ISNUMBER(H1306)),MAX(G1306-H1306,0),"")</f>
        <v>5</v>
      </c>
      <c r="J1306" s="78" t="n">
        <f aca="false">IF(AND(ISNUMBER(G1306),ISNUMBER(H1306)),IF(G1306&gt;0,H1306/G1306,""),"")</f>
        <v>0</v>
      </c>
      <c r="K1306" s="77"/>
      <c r="L1306" s="76" t="str">
        <f aca="false">IF(OR(G1306="",H1306=""),"Data tidak lengkap",IF(AND(G1306=0,H1306=0),IF(AND(F1306="",K1306=""),"Tidak dibuka","Tutup"),IF(H1306&gt;G1306,"Lebih kapasitas",IF(H1306=G1306,"Penuh",IF(H1306=0,IF(F1306="","Slot kosong","Belum terisi"),"Sebagian")))))</f>
        <v>Belum terisi</v>
      </c>
      <c r="M1306" s="79" t="str">
        <f aca="false">IF(L1306="Tidak dibuka","–",IF(F1306="","(tanpa age group)",F1306)&amp;"  "&amp;IF(H1306="","?",H1306)&amp;"/"&amp;IF(G1306="","?",G1306)&amp;CHAR(10)&amp;IF(K1306="","coach: –","coach: "&amp;K1306))</f>
        <v>Baby  0/5
coach: –</v>
      </c>
    </row>
    <row r="1307" customFormat="false" ht="22.35" hidden="false" customHeight="false" outlineLevel="0" collapsed="false">
      <c r="A1307" s="76" t="str">
        <f aca="false">B1307&amp;"|"&amp;C1307&amp;"|"&amp;D1307&amp;"|"&amp;E1307</f>
        <v>TMP|1|Kamis|16:15</v>
      </c>
      <c r="B1307" s="76" t="s">
        <v>67</v>
      </c>
      <c r="C1307" s="76" t="n">
        <v>1</v>
      </c>
      <c r="D1307" s="76" t="s">
        <v>93</v>
      </c>
      <c r="E1307" s="76" t="s">
        <v>120</v>
      </c>
      <c r="F1307" s="77" t="s">
        <v>42</v>
      </c>
      <c r="G1307" s="77" t="n">
        <v>5</v>
      </c>
      <c r="H1307" s="77" t="n">
        <v>0</v>
      </c>
      <c r="I1307" s="76" t="n">
        <f aca="false">IF(AND(ISNUMBER(G1307),ISNUMBER(H1307)),MAX(G1307-H1307,0),"")</f>
        <v>5</v>
      </c>
      <c r="J1307" s="78" t="n">
        <f aca="false">IF(AND(ISNUMBER(G1307),ISNUMBER(H1307)),IF(G1307&gt;0,H1307/G1307,""),"")</f>
        <v>0</v>
      </c>
      <c r="K1307" s="77"/>
      <c r="L1307" s="76" t="str">
        <f aca="false">IF(OR(G1307="",H1307=""),"Data tidak lengkap",IF(AND(G1307=0,H1307=0),IF(AND(F1307="",K1307=""),"Tidak dibuka","Tutup"),IF(H1307&gt;G1307,"Lebih kapasitas",IF(H1307=G1307,"Penuh",IF(H1307=0,IF(F1307="","Slot kosong","Belum terisi"),"Sebagian")))))</f>
        <v>Belum terisi</v>
      </c>
      <c r="M1307" s="79" t="str">
        <f aca="false">IF(L1307="Tidak dibuka","–",IF(F1307="","(tanpa age group)",F1307)&amp;"  "&amp;IF(H1307="","?",H1307)&amp;"/"&amp;IF(G1307="","?",G1307)&amp;CHAR(10)&amp;IF(K1307="","coach: –","coach: "&amp;K1307))</f>
        <v>Tiny  0/5
coach: –</v>
      </c>
    </row>
    <row r="1308" customFormat="false" ht="22.35" hidden="false" customHeight="false" outlineLevel="0" collapsed="false">
      <c r="A1308" s="76" t="str">
        <f aca="false">B1308&amp;"|"&amp;C1308&amp;"|"&amp;D1308&amp;"|"&amp;E1308</f>
        <v>TMP|1|Kamis|17:00</v>
      </c>
      <c r="B1308" s="76" t="s">
        <v>67</v>
      </c>
      <c r="C1308" s="76" t="n">
        <v>1</v>
      </c>
      <c r="D1308" s="76" t="s">
        <v>93</v>
      </c>
      <c r="E1308" s="76" t="s">
        <v>121</v>
      </c>
      <c r="F1308" s="77" t="s">
        <v>242</v>
      </c>
      <c r="G1308" s="77" t="n">
        <v>5</v>
      </c>
      <c r="H1308" s="77" t="n">
        <v>0</v>
      </c>
      <c r="I1308" s="76" t="n">
        <f aca="false">IF(AND(ISNUMBER(G1308),ISNUMBER(H1308)),MAX(G1308-H1308,0),"")</f>
        <v>5</v>
      </c>
      <c r="J1308" s="78" t="n">
        <f aca="false">IF(AND(ISNUMBER(G1308),ISNUMBER(H1308)),IF(G1308&gt;0,H1308/G1308,""),"")</f>
        <v>0</v>
      </c>
      <c r="K1308" s="77"/>
      <c r="L1308" s="76" t="str">
        <f aca="false">IF(OR(G1308="",H1308=""),"Data tidak lengkap",IF(AND(G1308=0,H1308=0),IF(AND(F1308="",K1308=""),"Tidak dibuka","Tutup"),IF(H1308&gt;G1308,"Lebih kapasitas",IF(H1308=G1308,"Penuh",IF(H1308=0,IF(F1308="","Slot kosong","Belum terisi"),"Sebagian")))))</f>
        <v>Belum terisi</v>
      </c>
      <c r="M1308" s="79" t="str">
        <f aca="false">IF(L1308="Tidak dibuka","–",IF(F1308="","(tanpa age group)",F1308)&amp;"  "&amp;IF(H1308="","?",H1308)&amp;"/"&amp;IF(G1308="","?",G1308)&amp;CHAR(10)&amp;IF(K1308="","coach: –","coach: "&amp;K1308))</f>
        <v>Baby  0/5
coach: –</v>
      </c>
    </row>
    <row r="1309" customFormat="false" ht="22.35" hidden="false" customHeight="false" outlineLevel="0" collapsed="false">
      <c r="A1309" s="76" t="str">
        <f aca="false">B1309&amp;"|"&amp;C1309&amp;"|"&amp;D1309&amp;"|"&amp;E1309</f>
        <v>TMP|1|Jumat|08:00</v>
      </c>
      <c r="B1309" s="76" t="s">
        <v>67</v>
      </c>
      <c r="C1309" s="76" t="n">
        <v>1</v>
      </c>
      <c r="D1309" s="76" t="s">
        <v>94</v>
      </c>
      <c r="E1309" s="76" t="s">
        <v>110</v>
      </c>
      <c r="F1309" s="77" t="s">
        <v>42</v>
      </c>
      <c r="G1309" s="77" t="n">
        <v>5</v>
      </c>
      <c r="H1309" s="77" t="n">
        <v>0</v>
      </c>
      <c r="I1309" s="76" t="n">
        <f aca="false">IF(AND(ISNUMBER(G1309),ISNUMBER(H1309)),MAX(G1309-H1309,0),"")</f>
        <v>5</v>
      </c>
      <c r="J1309" s="78" t="n">
        <f aca="false">IF(AND(ISNUMBER(G1309),ISNUMBER(H1309)),IF(G1309&gt;0,H1309/G1309,""),"")</f>
        <v>0</v>
      </c>
      <c r="K1309" s="77"/>
      <c r="L1309" s="76" t="str">
        <f aca="false">IF(OR(G1309="",H1309=""),"Data tidak lengkap",IF(AND(G1309=0,H1309=0),IF(AND(F1309="",K1309=""),"Tidak dibuka","Tutup"),IF(H1309&gt;G1309,"Lebih kapasitas",IF(H1309=G1309,"Penuh",IF(H1309=0,IF(F1309="","Slot kosong","Belum terisi"),"Sebagian")))))</f>
        <v>Belum terisi</v>
      </c>
      <c r="M1309" s="79" t="str">
        <f aca="false">IF(L1309="Tidak dibuka","–",IF(F1309="","(tanpa age group)",F1309)&amp;"  "&amp;IF(H1309="","?",H1309)&amp;"/"&amp;IF(G1309="","?",G1309)&amp;CHAR(10)&amp;IF(K1309="","coach: –","coach: "&amp;K1309))</f>
        <v>Tiny  0/5
coach: –</v>
      </c>
    </row>
    <row r="1310" customFormat="false" ht="22.35" hidden="false" customHeight="false" outlineLevel="0" collapsed="false">
      <c r="A1310" s="76" t="str">
        <f aca="false">B1310&amp;"|"&amp;C1310&amp;"|"&amp;D1310&amp;"|"&amp;E1310</f>
        <v>TMP|1|Jumat|08:45</v>
      </c>
      <c r="B1310" s="76" t="s">
        <v>67</v>
      </c>
      <c r="C1310" s="76" t="n">
        <v>1</v>
      </c>
      <c r="D1310" s="76" t="s">
        <v>94</v>
      </c>
      <c r="E1310" s="76" t="s">
        <v>111</v>
      </c>
      <c r="F1310" s="77" t="s">
        <v>242</v>
      </c>
      <c r="G1310" s="77" t="n">
        <v>5</v>
      </c>
      <c r="H1310" s="77" t="n">
        <v>1</v>
      </c>
      <c r="I1310" s="76" t="n">
        <f aca="false">IF(AND(ISNUMBER(G1310),ISNUMBER(H1310)),MAX(G1310-H1310,0),"")</f>
        <v>4</v>
      </c>
      <c r="J1310" s="78" t="n">
        <f aca="false">IF(AND(ISNUMBER(G1310),ISNUMBER(H1310)),IF(G1310&gt;0,H1310/G1310,""),"")</f>
        <v>0.2</v>
      </c>
      <c r="K1310" s="77" t="s">
        <v>374</v>
      </c>
      <c r="L1310" s="76" t="str">
        <f aca="false">IF(OR(G1310="",H1310=""),"Data tidak lengkap",IF(AND(G1310=0,H1310=0),IF(AND(F1310="",K1310=""),"Tidak dibuka","Tutup"),IF(H1310&gt;G1310,"Lebih kapasitas",IF(H1310=G1310,"Penuh",IF(H1310=0,IF(F1310="","Slot kosong","Belum terisi"),"Sebagian")))))</f>
        <v>Sebagian</v>
      </c>
      <c r="M1310" s="79" t="str">
        <f aca="false">IF(L1310="Tidak dibuka","–",IF(F1310="","(tanpa age group)",F1310)&amp;"  "&amp;IF(H1310="","?",H1310)&amp;"/"&amp;IF(G1310="","?",G1310)&amp;CHAR(10)&amp;IF(K1310="","coach: –","coach: "&amp;K1310))</f>
        <v>Baby  1/5
coach: Adam</v>
      </c>
    </row>
    <row r="1311" customFormat="false" ht="22.35" hidden="false" customHeight="false" outlineLevel="0" collapsed="false">
      <c r="A1311" s="76" t="str">
        <f aca="false">B1311&amp;"|"&amp;C1311&amp;"|"&amp;D1311&amp;"|"&amp;E1311</f>
        <v>TMP|1|Jumat|09:30</v>
      </c>
      <c r="B1311" s="76" t="s">
        <v>67</v>
      </c>
      <c r="C1311" s="76" t="n">
        <v>1</v>
      </c>
      <c r="D1311" s="76" t="s">
        <v>94</v>
      </c>
      <c r="E1311" s="76" t="s">
        <v>112</v>
      </c>
      <c r="F1311" s="77" t="s">
        <v>42</v>
      </c>
      <c r="G1311" s="77" t="n">
        <v>5</v>
      </c>
      <c r="H1311" s="77" t="n">
        <v>0</v>
      </c>
      <c r="I1311" s="76" t="n">
        <f aca="false">IF(AND(ISNUMBER(G1311),ISNUMBER(H1311)),MAX(G1311-H1311,0),"")</f>
        <v>5</v>
      </c>
      <c r="J1311" s="78" t="n">
        <f aca="false">IF(AND(ISNUMBER(G1311),ISNUMBER(H1311)),IF(G1311&gt;0,H1311/G1311,""),"")</f>
        <v>0</v>
      </c>
      <c r="K1311" s="77"/>
      <c r="L1311" s="76" t="str">
        <f aca="false">IF(OR(G1311="",H1311=""),"Data tidak lengkap",IF(AND(G1311=0,H1311=0),IF(AND(F1311="",K1311=""),"Tidak dibuka","Tutup"),IF(H1311&gt;G1311,"Lebih kapasitas",IF(H1311=G1311,"Penuh",IF(H1311=0,IF(F1311="","Slot kosong","Belum terisi"),"Sebagian")))))</f>
        <v>Belum terisi</v>
      </c>
      <c r="M1311" s="79" t="str">
        <f aca="false">IF(L1311="Tidak dibuka","–",IF(F1311="","(tanpa age group)",F1311)&amp;"  "&amp;IF(H1311="","?",H1311)&amp;"/"&amp;IF(G1311="","?",G1311)&amp;CHAR(10)&amp;IF(K1311="","coach: –","coach: "&amp;K1311))</f>
        <v>Tiny  0/5
coach: –</v>
      </c>
    </row>
    <row r="1312" customFormat="false" ht="22.35" hidden="false" customHeight="false" outlineLevel="0" collapsed="false">
      <c r="A1312" s="76" t="str">
        <f aca="false">B1312&amp;"|"&amp;C1312&amp;"|"&amp;D1312&amp;"|"&amp;E1312</f>
        <v>TMP|1|Jumat|10:15</v>
      </c>
      <c r="B1312" s="76" t="s">
        <v>67</v>
      </c>
      <c r="C1312" s="76" t="n">
        <v>1</v>
      </c>
      <c r="D1312" s="76" t="s">
        <v>94</v>
      </c>
      <c r="E1312" s="76" t="s">
        <v>113</v>
      </c>
      <c r="F1312" s="77" t="s">
        <v>242</v>
      </c>
      <c r="G1312" s="77" t="n">
        <v>5</v>
      </c>
      <c r="H1312" s="77" t="n">
        <v>1</v>
      </c>
      <c r="I1312" s="76" t="n">
        <f aca="false">IF(AND(ISNUMBER(G1312),ISNUMBER(H1312)),MAX(G1312-H1312,0),"")</f>
        <v>4</v>
      </c>
      <c r="J1312" s="78" t="n">
        <f aca="false">IF(AND(ISNUMBER(G1312),ISNUMBER(H1312)),IF(G1312&gt;0,H1312/G1312,""),"")</f>
        <v>0.2</v>
      </c>
      <c r="K1312" s="77" t="s">
        <v>374</v>
      </c>
      <c r="L1312" s="76" t="str">
        <f aca="false">IF(OR(G1312="",H1312=""),"Data tidak lengkap",IF(AND(G1312=0,H1312=0),IF(AND(F1312="",K1312=""),"Tidak dibuka","Tutup"),IF(H1312&gt;G1312,"Lebih kapasitas",IF(H1312=G1312,"Penuh",IF(H1312=0,IF(F1312="","Slot kosong","Belum terisi"),"Sebagian")))))</f>
        <v>Sebagian</v>
      </c>
      <c r="M1312" s="79" t="str">
        <f aca="false">IF(L1312="Tidak dibuka","–",IF(F1312="","(tanpa age group)",F1312)&amp;"  "&amp;IF(H1312="","?",H1312)&amp;"/"&amp;IF(G1312="","?",G1312)&amp;CHAR(10)&amp;IF(K1312="","coach: –","coach: "&amp;K1312))</f>
        <v>Baby  1/5
coach: Adam</v>
      </c>
    </row>
    <row r="1313" customFormat="false" ht="22.35" hidden="false" customHeight="false" outlineLevel="0" collapsed="false">
      <c r="A1313" s="76" t="str">
        <f aca="false">B1313&amp;"|"&amp;C1313&amp;"|"&amp;D1313&amp;"|"&amp;E1313</f>
        <v>TMP|1|Jumat|11:00</v>
      </c>
      <c r="B1313" s="76" t="s">
        <v>67</v>
      </c>
      <c r="C1313" s="76" t="n">
        <v>1</v>
      </c>
      <c r="D1313" s="76" t="s">
        <v>94</v>
      </c>
      <c r="E1313" s="76" t="s">
        <v>114</v>
      </c>
      <c r="F1313" s="77" t="s">
        <v>42</v>
      </c>
      <c r="G1313" s="77" t="n">
        <v>5</v>
      </c>
      <c r="H1313" s="77" t="n">
        <v>0</v>
      </c>
      <c r="I1313" s="76" t="n">
        <f aca="false">IF(AND(ISNUMBER(G1313),ISNUMBER(H1313)),MAX(G1313-H1313,0),"")</f>
        <v>5</v>
      </c>
      <c r="J1313" s="78" t="n">
        <f aca="false">IF(AND(ISNUMBER(G1313),ISNUMBER(H1313)),IF(G1313&gt;0,H1313/G1313,""),"")</f>
        <v>0</v>
      </c>
      <c r="K1313" s="77"/>
      <c r="L1313" s="76" t="str">
        <f aca="false">IF(OR(G1313="",H1313=""),"Data tidak lengkap",IF(AND(G1313=0,H1313=0),IF(AND(F1313="",K1313=""),"Tidak dibuka","Tutup"),IF(H1313&gt;G1313,"Lebih kapasitas",IF(H1313=G1313,"Penuh",IF(H1313=0,IF(F1313="","Slot kosong","Belum terisi"),"Sebagian")))))</f>
        <v>Belum terisi</v>
      </c>
      <c r="M1313" s="79" t="str">
        <f aca="false">IF(L1313="Tidak dibuka","–",IF(F1313="","(tanpa age group)",F1313)&amp;"  "&amp;IF(H1313="","?",H1313)&amp;"/"&amp;IF(G1313="","?",G1313)&amp;CHAR(10)&amp;IF(K1313="","coach: –","coach: "&amp;K1313))</f>
        <v>Tiny  0/5
coach: –</v>
      </c>
    </row>
    <row r="1314" customFormat="false" ht="22.35" hidden="false" customHeight="false" outlineLevel="0" collapsed="false">
      <c r="A1314" s="76" t="str">
        <f aca="false">B1314&amp;"|"&amp;C1314&amp;"|"&amp;D1314&amp;"|"&amp;E1314</f>
        <v>TMP|1|Jumat|11:45</v>
      </c>
      <c r="B1314" s="76" t="s">
        <v>67</v>
      </c>
      <c r="C1314" s="76" t="n">
        <v>1</v>
      </c>
      <c r="D1314" s="76" t="s">
        <v>94</v>
      </c>
      <c r="E1314" s="76" t="s">
        <v>115</v>
      </c>
      <c r="F1314" s="77" t="s">
        <v>242</v>
      </c>
      <c r="G1314" s="77" t="n">
        <v>5</v>
      </c>
      <c r="H1314" s="77" t="n">
        <v>0</v>
      </c>
      <c r="I1314" s="76" t="n">
        <f aca="false">IF(AND(ISNUMBER(G1314),ISNUMBER(H1314)),MAX(G1314-H1314,0),"")</f>
        <v>5</v>
      </c>
      <c r="J1314" s="78" t="n">
        <f aca="false">IF(AND(ISNUMBER(G1314),ISNUMBER(H1314)),IF(G1314&gt;0,H1314/G1314,""),"")</f>
        <v>0</v>
      </c>
      <c r="K1314" s="77"/>
      <c r="L1314" s="76" t="str">
        <f aca="false">IF(OR(G1314="",H1314=""),"Data tidak lengkap",IF(AND(G1314=0,H1314=0),IF(AND(F1314="",K1314=""),"Tidak dibuka","Tutup"),IF(H1314&gt;G1314,"Lebih kapasitas",IF(H1314=G1314,"Penuh",IF(H1314=0,IF(F1314="","Slot kosong","Belum terisi"),"Sebagian")))))</f>
        <v>Belum terisi</v>
      </c>
      <c r="M1314" s="79" t="str">
        <f aca="false">IF(L1314="Tidak dibuka","–",IF(F1314="","(tanpa age group)",F1314)&amp;"  "&amp;IF(H1314="","?",H1314)&amp;"/"&amp;IF(G1314="","?",G1314)&amp;CHAR(10)&amp;IF(K1314="","coach: –","coach: "&amp;K1314))</f>
        <v>Baby  0/5
coach: –</v>
      </c>
    </row>
    <row r="1315" customFormat="false" ht="22.35" hidden="false" customHeight="false" outlineLevel="0" collapsed="false">
      <c r="A1315" s="76" t="str">
        <f aca="false">B1315&amp;"|"&amp;C1315&amp;"|"&amp;D1315&amp;"|"&amp;E1315</f>
        <v>TMP|1|Jumat|13:15</v>
      </c>
      <c r="B1315" s="76" t="s">
        <v>67</v>
      </c>
      <c r="C1315" s="76" t="n">
        <v>1</v>
      </c>
      <c r="D1315" s="76" t="s">
        <v>94</v>
      </c>
      <c r="E1315" s="76" t="s">
        <v>116</v>
      </c>
      <c r="F1315" s="77" t="s">
        <v>42</v>
      </c>
      <c r="G1315" s="77" t="n">
        <v>5</v>
      </c>
      <c r="H1315" s="77" t="n">
        <v>0</v>
      </c>
      <c r="I1315" s="76" t="n">
        <f aca="false">IF(AND(ISNUMBER(G1315),ISNUMBER(H1315)),MAX(G1315-H1315,0),"")</f>
        <v>5</v>
      </c>
      <c r="J1315" s="78" t="n">
        <f aca="false">IF(AND(ISNUMBER(G1315),ISNUMBER(H1315)),IF(G1315&gt;0,H1315/G1315,""),"")</f>
        <v>0</v>
      </c>
      <c r="K1315" s="77"/>
      <c r="L1315" s="76" t="str">
        <f aca="false">IF(OR(G1315="",H1315=""),"Data tidak lengkap",IF(AND(G1315=0,H1315=0),IF(AND(F1315="",K1315=""),"Tidak dibuka","Tutup"),IF(H1315&gt;G1315,"Lebih kapasitas",IF(H1315=G1315,"Penuh",IF(H1315=0,IF(F1315="","Slot kosong","Belum terisi"),"Sebagian")))))</f>
        <v>Belum terisi</v>
      </c>
      <c r="M1315" s="79" t="str">
        <f aca="false">IF(L1315="Tidak dibuka","–",IF(F1315="","(tanpa age group)",F1315)&amp;"  "&amp;IF(H1315="","?",H1315)&amp;"/"&amp;IF(G1315="","?",G1315)&amp;CHAR(10)&amp;IF(K1315="","coach: –","coach: "&amp;K1315))</f>
        <v>Tiny  0/5
coach: –</v>
      </c>
    </row>
    <row r="1316" customFormat="false" ht="22.35" hidden="false" customHeight="false" outlineLevel="0" collapsed="false">
      <c r="A1316" s="76" t="str">
        <f aca="false">B1316&amp;"|"&amp;C1316&amp;"|"&amp;D1316&amp;"|"&amp;E1316</f>
        <v>TMP|1|Jumat|14:00</v>
      </c>
      <c r="B1316" s="76" t="s">
        <v>67</v>
      </c>
      <c r="C1316" s="76" t="n">
        <v>1</v>
      </c>
      <c r="D1316" s="76" t="s">
        <v>94</v>
      </c>
      <c r="E1316" s="76" t="s">
        <v>117</v>
      </c>
      <c r="F1316" s="77" t="s">
        <v>242</v>
      </c>
      <c r="G1316" s="77" t="n">
        <v>5</v>
      </c>
      <c r="H1316" s="77" t="n">
        <v>1</v>
      </c>
      <c r="I1316" s="76" t="n">
        <f aca="false">IF(AND(ISNUMBER(G1316),ISNUMBER(H1316)),MAX(G1316-H1316,0),"")</f>
        <v>4</v>
      </c>
      <c r="J1316" s="78" t="n">
        <f aca="false">IF(AND(ISNUMBER(G1316),ISNUMBER(H1316)),IF(G1316&gt;0,H1316/G1316,""),"")</f>
        <v>0.2</v>
      </c>
      <c r="K1316" s="77" t="s">
        <v>374</v>
      </c>
      <c r="L1316" s="76" t="str">
        <f aca="false">IF(OR(G1316="",H1316=""),"Data tidak lengkap",IF(AND(G1316=0,H1316=0),IF(AND(F1316="",K1316=""),"Tidak dibuka","Tutup"),IF(H1316&gt;G1316,"Lebih kapasitas",IF(H1316=G1316,"Penuh",IF(H1316=0,IF(F1316="","Slot kosong","Belum terisi"),"Sebagian")))))</f>
        <v>Sebagian</v>
      </c>
      <c r="M1316" s="79" t="str">
        <f aca="false">IF(L1316="Tidak dibuka","–",IF(F1316="","(tanpa age group)",F1316)&amp;"  "&amp;IF(H1316="","?",H1316)&amp;"/"&amp;IF(G1316="","?",G1316)&amp;CHAR(10)&amp;IF(K1316="","coach: –","coach: "&amp;K1316))</f>
        <v>Baby  1/5
coach: Adam</v>
      </c>
    </row>
    <row r="1317" customFormat="false" ht="22.35" hidden="false" customHeight="false" outlineLevel="0" collapsed="false">
      <c r="A1317" s="76" t="str">
        <f aca="false">B1317&amp;"|"&amp;C1317&amp;"|"&amp;D1317&amp;"|"&amp;E1317</f>
        <v>TMP|1|Jumat|14:45</v>
      </c>
      <c r="B1317" s="76" t="s">
        <v>67</v>
      </c>
      <c r="C1317" s="76" t="n">
        <v>1</v>
      </c>
      <c r="D1317" s="76" t="s">
        <v>94</v>
      </c>
      <c r="E1317" s="76" t="s">
        <v>118</v>
      </c>
      <c r="F1317" s="77" t="s">
        <v>42</v>
      </c>
      <c r="G1317" s="77" t="n">
        <v>5</v>
      </c>
      <c r="H1317" s="77" t="n">
        <v>3</v>
      </c>
      <c r="I1317" s="76" t="n">
        <f aca="false">IF(AND(ISNUMBER(G1317),ISNUMBER(H1317)),MAX(G1317-H1317,0),"")</f>
        <v>2</v>
      </c>
      <c r="J1317" s="78" t="n">
        <f aca="false">IF(AND(ISNUMBER(G1317),ISNUMBER(H1317)),IF(G1317&gt;0,H1317/G1317,""),"")</f>
        <v>0.6</v>
      </c>
      <c r="K1317" s="77" t="s">
        <v>378</v>
      </c>
      <c r="L1317" s="76" t="str">
        <f aca="false">IF(OR(G1317="",H1317=""),"Data tidak lengkap",IF(AND(G1317=0,H1317=0),IF(AND(F1317="",K1317=""),"Tidak dibuka","Tutup"),IF(H1317&gt;G1317,"Lebih kapasitas",IF(H1317=G1317,"Penuh",IF(H1317=0,IF(F1317="","Slot kosong","Belum terisi"),"Sebagian")))))</f>
        <v>Sebagian</v>
      </c>
      <c r="M1317" s="79" t="str">
        <f aca="false">IF(L1317="Tidak dibuka","–",IF(F1317="","(tanpa age group)",F1317)&amp;"  "&amp;IF(H1317="","?",H1317)&amp;"/"&amp;IF(G1317="","?",G1317)&amp;CHAR(10)&amp;IF(K1317="","coach: –","coach: "&amp;K1317))</f>
        <v>Tiny  3/5
coach: Agas</v>
      </c>
    </row>
    <row r="1318" customFormat="false" ht="22.35" hidden="false" customHeight="false" outlineLevel="0" collapsed="false">
      <c r="A1318" s="76" t="str">
        <f aca="false">B1318&amp;"|"&amp;C1318&amp;"|"&amp;D1318&amp;"|"&amp;E1318</f>
        <v>TMP|1|Jumat|15:30</v>
      </c>
      <c r="B1318" s="76" t="s">
        <v>67</v>
      </c>
      <c r="C1318" s="76" t="n">
        <v>1</v>
      </c>
      <c r="D1318" s="76" t="s">
        <v>94</v>
      </c>
      <c r="E1318" s="76" t="s">
        <v>119</v>
      </c>
      <c r="F1318" s="77" t="s">
        <v>242</v>
      </c>
      <c r="G1318" s="77" t="n">
        <v>5</v>
      </c>
      <c r="H1318" s="77" t="n">
        <v>0</v>
      </c>
      <c r="I1318" s="76" t="n">
        <f aca="false">IF(AND(ISNUMBER(G1318),ISNUMBER(H1318)),MAX(G1318-H1318,0),"")</f>
        <v>5</v>
      </c>
      <c r="J1318" s="78" t="n">
        <f aca="false">IF(AND(ISNUMBER(G1318),ISNUMBER(H1318)),IF(G1318&gt;0,H1318/G1318,""),"")</f>
        <v>0</v>
      </c>
      <c r="K1318" s="77"/>
      <c r="L1318" s="76" t="str">
        <f aca="false">IF(OR(G1318="",H1318=""),"Data tidak lengkap",IF(AND(G1318=0,H1318=0),IF(AND(F1318="",K1318=""),"Tidak dibuka","Tutup"),IF(H1318&gt;G1318,"Lebih kapasitas",IF(H1318=G1318,"Penuh",IF(H1318=0,IF(F1318="","Slot kosong","Belum terisi"),"Sebagian")))))</f>
        <v>Belum terisi</v>
      </c>
      <c r="M1318" s="79" t="str">
        <f aca="false">IF(L1318="Tidak dibuka","–",IF(F1318="","(tanpa age group)",F1318)&amp;"  "&amp;IF(H1318="","?",H1318)&amp;"/"&amp;IF(G1318="","?",G1318)&amp;CHAR(10)&amp;IF(K1318="","coach: –","coach: "&amp;K1318))</f>
        <v>Baby  0/5
coach: –</v>
      </c>
    </row>
    <row r="1319" customFormat="false" ht="22.35" hidden="false" customHeight="false" outlineLevel="0" collapsed="false">
      <c r="A1319" s="76" t="str">
        <f aca="false">B1319&amp;"|"&amp;C1319&amp;"|"&amp;D1319&amp;"|"&amp;E1319</f>
        <v>TMP|1|Jumat|16:15</v>
      </c>
      <c r="B1319" s="76" t="s">
        <v>67</v>
      </c>
      <c r="C1319" s="76" t="n">
        <v>1</v>
      </c>
      <c r="D1319" s="76" t="s">
        <v>94</v>
      </c>
      <c r="E1319" s="76" t="s">
        <v>120</v>
      </c>
      <c r="F1319" s="77" t="s">
        <v>42</v>
      </c>
      <c r="G1319" s="77" t="n">
        <v>5</v>
      </c>
      <c r="H1319" s="77" t="n">
        <v>0</v>
      </c>
      <c r="I1319" s="76" t="n">
        <f aca="false">IF(AND(ISNUMBER(G1319),ISNUMBER(H1319)),MAX(G1319-H1319,0),"")</f>
        <v>5</v>
      </c>
      <c r="J1319" s="78" t="n">
        <f aca="false">IF(AND(ISNUMBER(G1319),ISNUMBER(H1319)),IF(G1319&gt;0,H1319/G1319,""),"")</f>
        <v>0</v>
      </c>
      <c r="K1319" s="77"/>
      <c r="L1319" s="76" t="str">
        <f aca="false">IF(OR(G1319="",H1319=""),"Data tidak lengkap",IF(AND(G1319=0,H1319=0),IF(AND(F1319="",K1319=""),"Tidak dibuka","Tutup"),IF(H1319&gt;G1319,"Lebih kapasitas",IF(H1319=G1319,"Penuh",IF(H1319=0,IF(F1319="","Slot kosong","Belum terisi"),"Sebagian")))))</f>
        <v>Belum terisi</v>
      </c>
      <c r="M1319" s="79" t="str">
        <f aca="false">IF(L1319="Tidak dibuka","–",IF(F1319="","(tanpa age group)",F1319)&amp;"  "&amp;IF(H1319="","?",H1319)&amp;"/"&amp;IF(G1319="","?",G1319)&amp;CHAR(10)&amp;IF(K1319="","coach: –","coach: "&amp;K1319))</f>
        <v>Tiny  0/5
coach: –</v>
      </c>
    </row>
    <row r="1320" customFormat="false" ht="22.35" hidden="false" customHeight="false" outlineLevel="0" collapsed="false">
      <c r="A1320" s="76" t="str">
        <f aca="false">B1320&amp;"|"&amp;C1320&amp;"|"&amp;D1320&amp;"|"&amp;E1320</f>
        <v>TMP|1|Jumat|17:00</v>
      </c>
      <c r="B1320" s="76" t="s">
        <v>67</v>
      </c>
      <c r="C1320" s="76" t="n">
        <v>1</v>
      </c>
      <c r="D1320" s="76" t="s">
        <v>94</v>
      </c>
      <c r="E1320" s="76" t="s">
        <v>121</v>
      </c>
      <c r="F1320" s="77" t="s">
        <v>242</v>
      </c>
      <c r="G1320" s="77" t="n">
        <v>5</v>
      </c>
      <c r="H1320" s="77" t="n">
        <v>0</v>
      </c>
      <c r="I1320" s="76" t="n">
        <f aca="false">IF(AND(ISNUMBER(G1320),ISNUMBER(H1320)),MAX(G1320-H1320,0),"")</f>
        <v>5</v>
      </c>
      <c r="J1320" s="78" t="n">
        <f aca="false">IF(AND(ISNUMBER(G1320),ISNUMBER(H1320)),IF(G1320&gt;0,H1320/G1320,""),"")</f>
        <v>0</v>
      </c>
      <c r="K1320" s="77"/>
      <c r="L1320" s="76" t="str">
        <f aca="false">IF(OR(G1320="",H1320=""),"Data tidak lengkap",IF(AND(G1320=0,H1320=0),IF(AND(F1320="",K1320=""),"Tidak dibuka","Tutup"),IF(H1320&gt;G1320,"Lebih kapasitas",IF(H1320=G1320,"Penuh",IF(H1320=0,IF(F1320="","Slot kosong","Belum terisi"),"Sebagian")))))</f>
        <v>Belum terisi</v>
      </c>
      <c r="M1320" s="79" t="str">
        <f aca="false">IF(L1320="Tidak dibuka","–",IF(F1320="","(tanpa age group)",F1320)&amp;"  "&amp;IF(H1320="","?",H1320)&amp;"/"&amp;IF(G1320="","?",G1320)&amp;CHAR(10)&amp;IF(K1320="","coach: –","coach: "&amp;K1320))</f>
        <v>Baby  0/5
coach: –</v>
      </c>
    </row>
    <row r="1321" customFormat="false" ht="22.35" hidden="false" customHeight="false" outlineLevel="0" collapsed="false">
      <c r="A1321" s="76" t="str">
        <f aca="false">B1321&amp;"|"&amp;C1321&amp;"|"&amp;D1321&amp;"|"&amp;E1321</f>
        <v>TMP|1|Sabtu|08:00</v>
      </c>
      <c r="B1321" s="76" t="s">
        <v>67</v>
      </c>
      <c r="C1321" s="76" t="n">
        <v>1</v>
      </c>
      <c r="D1321" s="76" t="s">
        <v>95</v>
      </c>
      <c r="E1321" s="76" t="s">
        <v>110</v>
      </c>
      <c r="F1321" s="77" t="s">
        <v>42</v>
      </c>
      <c r="G1321" s="77" t="n">
        <v>5</v>
      </c>
      <c r="H1321" s="77" t="n">
        <v>0</v>
      </c>
      <c r="I1321" s="76" t="n">
        <f aca="false">IF(AND(ISNUMBER(G1321),ISNUMBER(H1321)),MAX(G1321-H1321,0),"")</f>
        <v>5</v>
      </c>
      <c r="J1321" s="78" t="n">
        <f aca="false">IF(AND(ISNUMBER(G1321),ISNUMBER(H1321)),IF(G1321&gt;0,H1321/G1321,""),"")</f>
        <v>0</v>
      </c>
      <c r="K1321" s="77"/>
      <c r="L1321" s="76" t="str">
        <f aca="false">IF(OR(G1321="",H1321=""),"Data tidak lengkap",IF(AND(G1321=0,H1321=0),IF(AND(F1321="",K1321=""),"Tidak dibuka","Tutup"),IF(H1321&gt;G1321,"Lebih kapasitas",IF(H1321=G1321,"Penuh",IF(H1321=0,IF(F1321="","Slot kosong","Belum terisi"),"Sebagian")))))</f>
        <v>Belum terisi</v>
      </c>
      <c r="M1321" s="79" t="str">
        <f aca="false">IF(L1321="Tidak dibuka","–",IF(F1321="","(tanpa age group)",F1321)&amp;"  "&amp;IF(H1321="","?",H1321)&amp;"/"&amp;IF(G1321="","?",G1321)&amp;CHAR(10)&amp;IF(K1321="","coach: –","coach: "&amp;K1321))</f>
        <v>Tiny  0/5
coach: –</v>
      </c>
    </row>
    <row r="1322" customFormat="false" ht="22.35" hidden="false" customHeight="false" outlineLevel="0" collapsed="false">
      <c r="A1322" s="76" t="str">
        <f aca="false">B1322&amp;"|"&amp;C1322&amp;"|"&amp;D1322&amp;"|"&amp;E1322</f>
        <v>TMP|1|Sabtu|08:45</v>
      </c>
      <c r="B1322" s="76" t="s">
        <v>67</v>
      </c>
      <c r="C1322" s="76" t="n">
        <v>1</v>
      </c>
      <c r="D1322" s="76" t="s">
        <v>95</v>
      </c>
      <c r="E1322" s="76" t="s">
        <v>111</v>
      </c>
      <c r="F1322" s="77" t="s">
        <v>242</v>
      </c>
      <c r="G1322" s="77" t="n">
        <v>5</v>
      </c>
      <c r="H1322" s="77" t="n">
        <v>0</v>
      </c>
      <c r="I1322" s="76" t="n">
        <f aca="false">IF(AND(ISNUMBER(G1322),ISNUMBER(H1322)),MAX(G1322-H1322,0),"")</f>
        <v>5</v>
      </c>
      <c r="J1322" s="78" t="n">
        <f aca="false">IF(AND(ISNUMBER(G1322),ISNUMBER(H1322)),IF(G1322&gt;0,H1322/G1322,""),"")</f>
        <v>0</v>
      </c>
      <c r="K1322" s="77"/>
      <c r="L1322" s="76" t="str">
        <f aca="false">IF(OR(G1322="",H1322=""),"Data tidak lengkap",IF(AND(G1322=0,H1322=0),IF(AND(F1322="",K1322=""),"Tidak dibuka","Tutup"),IF(H1322&gt;G1322,"Lebih kapasitas",IF(H1322=G1322,"Penuh",IF(H1322=0,IF(F1322="","Slot kosong","Belum terisi"),"Sebagian")))))</f>
        <v>Belum terisi</v>
      </c>
      <c r="M1322" s="79" t="str">
        <f aca="false">IF(L1322="Tidak dibuka","–",IF(F1322="","(tanpa age group)",F1322)&amp;"  "&amp;IF(H1322="","?",H1322)&amp;"/"&amp;IF(G1322="","?",G1322)&amp;CHAR(10)&amp;IF(K1322="","coach: –","coach: "&amp;K1322))</f>
        <v>Baby  0/5
coach: –</v>
      </c>
    </row>
    <row r="1323" customFormat="false" ht="22.35" hidden="false" customHeight="false" outlineLevel="0" collapsed="false">
      <c r="A1323" s="76" t="str">
        <f aca="false">B1323&amp;"|"&amp;C1323&amp;"|"&amp;D1323&amp;"|"&amp;E1323</f>
        <v>TMP|1|Sabtu|09:30</v>
      </c>
      <c r="B1323" s="76" t="s">
        <v>67</v>
      </c>
      <c r="C1323" s="76" t="n">
        <v>1</v>
      </c>
      <c r="D1323" s="76" t="s">
        <v>95</v>
      </c>
      <c r="E1323" s="76" t="s">
        <v>112</v>
      </c>
      <c r="F1323" s="77" t="s">
        <v>42</v>
      </c>
      <c r="G1323" s="77" t="n">
        <v>5</v>
      </c>
      <c r="H1323" s="77" t="n">
        <v>4</v>
      </c>
      <c r="I1323" s="76" t="n">
        <f aca="false">IF(AND(ISNUMBER(G1323),ISNUMBER(H1323)),MAX(G1323-H1323,0),"")</f>
        <v>1</v>
      </c>
      <c r="J1323" s="78" t="n">
        <f aca="false">IF(AND(ISNUMBER(G1323),ISNUMBER(H1323)),IF(G1323&gt;0,H1323/G1323,""),"")</f>
        <v>0.8</v>
      </c>
      <c r="K1323" s="77" t="s">
        <v>374</v>
      </c>
      <c r="L1323" s="76" t="str">
        <f aca="false">IF(OR(G1323="",H1323=""),"Data tidak lengkap",IF(AND(G1323=0,H1323=0),IF(AND(F1323="",K1323=""),"Tidak dibuka","Tutup"),IF(H1323&gt;G1323,"Lebih kapasitas",IF(H1323=G1323,"Penuh",IF(H1323=0,IF(F1323="","Slot kosong","Belum terisi"),"Sebagian")))))</f>
        <v>Sebagian</v>
      </c>
      <c r="M1323" s="79" t="str">
        <f aca="false">IF(L1323="Tidak dibuka","–",IF(F1323="","(tanpa age group)",F1323)&amp;"  "&amp;IF(H1323="","?",H1323)&amp;"/"&amp;IF(G1323="","?",G1323)&amp;CHAR(10)&amp;IF(K1323="","coach: –","coach: "&amp;K1323))</f>
        <v>Tiny  4/5
coach: Adam</v>
      </c>
    </row>
    <row r="1324" customFormat="false" ht="22.35" hidden="false" customHeight="false" outlineLevel="0" collapsed="false">
      <c r="A1324" s="76" t="str">
        <f aca="false">B1324&amp;"|"&amp;C1324&amp;"|"&amp;D1324&amp;"|"&amp;E1324</f>
        <v>TMP|1|Sabtu|10:15</v>
      </c>
      <c r="B1324" s="76" t="s">
        <v>67</v>
      </c>
      <c r="C1324" s="76" t="n">
        <v>1</v>
      </c>
      <c r="D1324" s="76" t="s">
        <v>95</v>
      </c>
      <c r="E1324" s="76" t="s">
        <v>113</v>
      </c>
      <c r="F1324" s="77" t="s">
        <v>242</v>
      </c>
      <c r="G1324" s="77" t="n">
        <v>5</v>
      </c>
      <c r="H1324" s="77" t="n">
        <v>5</v>
      </c>
      <c r="I1324" s="76" t="n">
        <f aca="false">IF(AND(ISNUMBER(G1324),ISNUMBER(H1324)),MAX(G1324-H1324,0),"")</f>
        <v>0</v>
      </c>
      <c r="J1324" s="78" t="n">
        <f aca="false">IF(AND(ISNUMBER(G1324),ISNUMBER(H1324)),IF(G1324&gt;0,H1324/G1324,""),"")</f>
        <v>1</v>
      </c>
      <c r="K1324" s="77" t="s">
        <v>374</v>
      </c>
      <c r="L1324" s="76" t="str">
        <f aca="false">IF(OR(G1324="",H1324=""),"Data tidak lengkap",IF(AND(G1324=0,H1324=0),IF(AND(F1324="",K1324=""),"Tidak dibuka","Tutup"),IF(H1324&gt;G1324,"Lebih kapasitas",IF(H1324=G1324,"Penuh",IF(H1324=0,IF(F1324="","Slot kosong","Belum terisi"),"Sebagian")))))</f>
        <v>Penuh</v>
      </c>
      <c r="M1324" s="79" t="str">
        <f aca="false">IF(L1324="Tidak dibuka","–",IF(F1324="","(tanpa age group)",F1324)&amp;"  "&amp;IF(H1324="","?",H1324)&amp;"/"&amp;IF(G1324="","?",G1324)&amp;CHAR(10)&amp;IF(K1324="","coach: –","coach: "&amp;K1324))</f>
        <v>Baby  5/5
coach: Adam</v>
      </c>
    </row>
    <row r="1325" customFormat="false" ht="22.35" hidden="false" customHeight="false" outlineLevel="0" collapsed="false">
      <c r="A1325" s="76" t="str">
        <f aca="false">B1325&amp;"|"&amp;C1325&amp;"|"&amp;D1325&amp;"|"&amp;E1325</f>
        <v>TMP|1|Sabtu|11:00</v>
      </c>
      <c r="B1325" s="76" t="s">
        <v>67</v>
      </c>
      <c r="C1325" s="76" t="n">
        <v>1</v>
      </c>
      <c r="D1325" s="76" t="s">
        <v>95</v>
      </c>
      <c r="E1325" s="76" t="s">
        <v>114</v>
      </c>
      <c r="F1325" s="77" t="s">
        <v>42</v>
      </c>
      <c r="G1325" s="77" t="n">
        <v>5</v>
      </c>
      <c r="H1325" s="77" t="n">
        <v>3</v>
      </c>
      <c r="I1325" s="76" t="n">
        <f aca="false">IF(AND(ISNUMBER(G1325),ISNUMBER(H1325)),MAX(G1325-H1325,0),"")</f>
        <v>2</v>
      </c>
      <c r="J1325" s="78" t="n">
        <f aca="false">IF(AND(ISNUMBER(G1325),ISNUMBER(H1325)),IF(G1325&gt;0,H1325/G1325,""),"")</f>
        <v>0.6</v>
      </c>
      <c r="K1325" s="77" t="s">
        <v>374</v>
      </c>
      <c r="L1325" s="76" t="str">
        <f aca="false">IF(OR(G1325="",H1325=""),"Data tidak lengkap",IF(AND(G1325=0,H1325=0),IF(AND(F1325="",K1325=""),"Tidak dibuka","Tutup"),IF(H1325&gt;G1325,"Lebih kapasitas",IF(H1325=G1325,"Penuh",IF(H1325=0,IF(F1325="","Slot kosong","Belum terisi"),"Sebagian")))))</f>
        <v>Sebagian</v>
      </c>
      <c r="M1325" s="79" t="str">
        <f aca="false">IF(L1325="Tidak dibuka","–",IF(F1325="","(tanpa age group)",F1325)&amp;"  "&amp;IF(H1325="","?",H1325)&amp;"/"&amp;IF(G1325="","?",G1325)&amp;CHAR(10)&amp;IF(K1325="","coach: –","coach: "&amp;K1325))</f>
        <v>Tiny  3/5
coach: Adam</v>
      </c>
    </row>
    <row r="1326" customFormat="false" ht="22.35" hidden="false" customHeight="false" outlineLevel="0" collapsed="false">
      <c r="A1326" s="76" t="str">
        <f aca="false">B1326&amp;"|"&amp;C1326&amp;"|"&amp;D1326&amp;"|"&amp;E1326</f>
        <v>TMP|1|Sabtu|11:45</v>
      </c>
      <c r="B1326" s="76" t="s">
        <v>67</v>
      </c>
      <c r="C1326" s="76" t="n">
        <v>1</v>
      </c>
      <c r="D1326" s="76" t="s">
        <v>95</v>
      </c>
      <c r="E1326" s="76" t="s">
        <v>115</v>
      </c>
      <c r="F1326" s="77" t="s">
        <v>242</v>
      </c>
      <c r="G1326" s="77" t="n">
        <v>5</v>
      </c>
      <c r="H1326" s="77" t="n">
        <v>0</v>
      </c>
      <c r="I1326" s="76" t="n">
        <f aca="false">IF(AND(ISNUMBER(G1326),ISNUMBER(H1326)),MAX(G1326-H1326,0),"")</f>
        <v>5</v>
      </c>
      <c r="J1326" s="78" t="n">
        <f aca="false">IF(AND(ISNUMBER(G1326),ISNUMBER(H1326)),IF(G1326&gt;0,H1326/G1326,""),"")</f>
        <v>0</v>
      </c>
      <c r="K1326" s="77"/>
      <c r="L1326" s="76" t="str">
        <f aca="false">IF(OR(G1326="",H1326=""),"Data tidak lengkap",IF(AND(G1326=0,H1326=0),IF(AND(F1326="",K1326=""),"Tidak dibuka","Tutup"),IF(H1326&gt;G1326,"Lebih kapasitas",IF(H1326=G1326,"Penuh",IF(H1326=0,IF(F1326="","Slot kosong","Belum terisi"),"Sebagian")))))</f>
        <v>Belum terisi</v>
      </c>
      <c r="M1326" s="79" t="str">
        <f aca="false">IF(L1326="Tidak dibuka","–",IF(F1326="","(tanpa age group)",F1326)&amp;"  "&amp;IF(H1326="","?",H1326)&amp;"/"&amp;IF(G1326="","?",G1326)&amp;CHAR(10)&amp;IF(K1326="","coach: –","coach: "&amp;K1326))</f>
        <v>Baby  0/5
coach: –</v>
      </c>
    </row>
    <row r="1327" customFormat="false" ht="22.35" hidden="false" customHeight="false" outlineLevel="0" collapsed="false">
      <c r="A1327" s="76" t="str">
        <f aca="false">B1327&amp;"|"&amp;C1327&amp;"|"&amp;D1327&amp;"|"&amp;E1327</f>
        <v>TMP|1|Sabtu|13:15</v>
      </c>
      <c r="B1327" s="76" t="s">
        <v>67</v>
      </c>
      <c r="C1327" s="76" t="n">
        <v>1</v>
      </c>
      <c r="D1327" s="76" t="s">
        <v>95</v>
      </c>
      <c r="E1327" s="76" t="s">
        <v>116</v>
      </c>
      <c r="F1327" s="77" t="s">
        <v>42</v>
      </c>
      <c r="G1327" s="77" t="n">
        <v>5</v>
      </c>
      <c r="H1327" s="77" t="n">
        <v>0</v>
      </c>
      <c r="I1327" s="76" t="n">
        <f aca="false">IF(AND(ISNUMBER(G1327),ISNUMBER(H1327)),MAX(G1327-H1327,0),"")</f>
        <v>5</v>
      </c>
      <c r="J1327" s="78" t="n">
        <f aca="false">IF(AND(ISNUMBER(G1327),ISNUMBER(H1327)),IF(G1327&gt;0,H1327/G1327,""),"")</f>
        <v>0</v>
      </c>
      <c r="K1327" s="77"/>
      <c r="L1327" s="76" t="str">
        <f aca="false">IF(OR(G1327="",H1327=""),"Data tidak lengkap",IF(AND(G1327=0,H1327=0),IF(AND(F1327="",K1327=""),"Tidak dibuka","Tutup"),IF(H1327&gt;G1327,"Lebih kapasitas",IF(H1327=G1327,"Penuh",IF(H1327=0,IF(F1327="","Slot kosong","Belum terisi"),"Sebagian")))))</f>
        <v>Belum terisi</v>
      </c>
      <c r="M1327" s="79" t="str">
        <f aca="false">IF(L1327="Tidak dibuka","–",IF(F1327="","(tanpa age group)",F1327)&amp;"  "&amp;IF(H1327="","?",H1327)&amp;"/"&amp;IF(G1327="","?",G1327)&amp;CHAR(10)&amp;IF(K1327="","coach: –","coach: "&amp;K1327))</f>
        <v>Tiny  0/5
coach: –</v>
      </c>
    </row>
    <row r="1328" customFormat="false" ht="22.35" hidden="false" customHeight="false" outlineLevel="0" collapsed="false">
      <c r="A1328" s="76" t="str">
        <f aca="false">B1328&amp;"|"&amp;C1328&amp;"|"&amp;D1328&amp;"|"&amp;E1328</f>
        <v>TMP|1|Sabtu|14:00</v>
      </c>
      <c r="B1328" s="76" t="s">
        <v>67</v>
      </c>
      <c r="C1328" s="76" t="n">
        <v>1</v>
      </c>
      <c r="D1328" s="76" t="s">
        <v>95</v>
      </c>
      <c r="E1328" s="76" t="s">
        <v>117</v>
      </c>
      <c r="F1328" s="77" t="s">
        <v>242</v>
      </c>
      <c r="G1328" s="77" t="n">
        <v>5</v>
      </c>
      <c r="H1328" s="77" t="n">
        <v>2</v>
      </c>
      <c r="I1328" s="76" t="n">
        <f aca="false">IF(AND(ISNUMBER(G1328),ISNUMBER(H1328)),MAX(G1328-H1328,0),"")</f>
        <v>3</v>
      </c>
      <c r="J1328" s="78" t="n">
        <f aca="false">IF(AND(ISNUMBER(G1328),ISNUMBER(H1328)),IF(G1328&gt;0,H1328/G1328,""),"")</f>
        <v>0.4</v>
      </c>
      <c r="K1328" s="77" t="s">
        <v>374</v>
      </c>
      <c r="L1328" s="76" t="str">
        <f aca="false">IF(OR(G1328="",H1328=""),"Data tidak lengkap",IF(AND(G1328=0,H1328=0),IF(AND(F1328="",K1328=""),"Tidak dibuka","Tutup"),IF(H1328&gt;G1328,"Lebih kapasitas",IF(H1328=G1328,"Penuh",IF(H1328=0,IF(F1328="","Slot kosong","Belum terisi"),"Sebagian")))))</f>
        <v>Sebagian</v>
      </c>
      <c r="M1328" s="79" t="str">
        <f aca="false">IF(L1328="Tidak dibuka","–",IF(F1328="","(tanpa age group)",F1328)&amp;"  "&amp;IF(H1328="","?",H1328)&amp;"/"&amp;IF(G1328="","?",G1328)&amp;CHAR(10)&amp;IF(K1328="","coach: –","coach: "&amp;K1328))</f>
        <v>Baby  2/5
coach: Adam</v>
      </c>
    </row>
    <row r="1329" customFormat="false" ht="22.35" hidden="false" customHeight="false" outlineLevel="0" collapsed="false">
      <c r="A1329" s="76" t="str">
        <f aca="false">B1329&amp;"|"&amp;C1329&amp;"|"&amp;D1329&amp;"|"&amp;E1329</f>
        <v>TMP|1|Sabtu|14:45</v>
      </c>
      <c r="B1329" s="76" t="s">
        <v>67</v>
      </c>
      <c r="C1329" s="76" t="n">
        <v>1</v>
      </c>
      <c r="D1329" s="76" t="s">
        <v>95</v>
      </c>
      <c r="E1329" s="76" t="s">
        <v>118</v>
      </c>
      <c r="F1329" s="77" t="s">
        <v>42</v>
      </c>
      <c r="G1329" s="77" t="n">
        <v>5</v>
      </c>
      <c r="H1329" s="77" t="n">
        <v>0</v>
      </c>
      <c r="I1329" s="76" t="n">
        <f aca="false">IF(AND(ISNUMBER(G1329),ISNUMBER(H1329)),MAX(G1329-H1329,0),"")</f>
        <v>5</v>
      </c>
      <c r="J1329" s="78" t="n">
        <f aca="false">IF(AND(ISNUMBER(G1329),ISNUMBER(H1329)),IF(G1329&gt;0,H1329/G1329,""),"")</f>
        <v>0</v>
      </c>
      <c r="K1329" s="77"/>
      <c r="L1329" s="76" t="str">
        <f aca="false">IF(OR(G1329="",H1329=""),"Data tidak lengkap",IF(AND(G1329=0,H1329=0),IF(AND(F1329="",K1329=""),"Tidak dibuka","Tutup"),IF(H1329&gt;G1329,"Lebih kapasitas",IF(H1329=G1329,"Penuh",IF(H1329=0,IF(F1329="","Slot kosong","Belum terisi"),"Sebagian")))))</f>
        <v>Belum terisi</v>
      </c>
      <c r="M1329" s="79" t="str">
        <f aca="false">IF(L1329="Tidak dibuka","–",IF(F1329="","(tanpa age group)",F1329)&amp;"  "&amp;IF(H1329="","?",H1329)&amp;"/"&amp;IF(G1329="","?",G1329)&amp;CHAR(10)&amp;IF(K1329="","coach: –","coach: "&amp;K1329))</f>
        <v>Tiny  0/5
coach: –</v>
      </c>
    </row>
    <row r="1330" customFormat="false" ht="22.35" hidden="false" customHeight="false" outlineLevel="0" collapsed="false">
      <c r="A1330" s="76" t="str">
        <f aca="false">B1330&amp;"|"&amp;C1330&amp;"|"&amp;D1330&amp;"|"&amp;E1330</f>
        <v>TMP|1|Sabtu|15:30</v>
      </c>
      <c r="B1330" s="76" t="s">
        <v>67</v>
      </c>
      <c r="C1330" s="76" t="n">
        <v>1</v>
      </c>
      <c r="D1330" s="76" t="s">
        <v>95</v>
      </c>
      <c r="E1330" s="76" t="s">
        <v>119</v>
      </c>
      <c r="F1330" s="77" t="s">
        <v>242</v>
      </c>
      <c r="G1330" s="77" t="n">
        <v>5</v>
      </c>
      <c r="H1330" s="77" t="n">
        <v>2</v>
      </c>
      <c r="I1330" s="76" t="n">
        <f aca="false">IF(AND(ISNUMBER(G1330),ISNUMBER(H1330)),MAX(G1330-H1330,0),"")</f>
        <v>3</v>
      </c>
      <c r="J1330" s="78" t="n">
        <f aca="false">IF(AND(ISNUMBER(G1330),ISNUMBER(H1330)),IF(G1330&gt;0,H1330/G1330,""),"")</f>
        <v>0.4</v>
      </c>
      <c r="K1330" s="77" t="s">
        <v>374</v>
      </c>
      <c r="L1330" s="76" t="str">
        <f aca="false">IF(OR(G1330="",H1330=""),"Data tidak lengkap",IF(AND(G1330=0,H1330=0),IF(AND(F1330="",K1330=""),"Tidak dibuka","Tutup"),IF(H1330&gt;G1330,"Lebih kapasitas",IF(H1330=G1330,"Penuh",IF(H1330=0,IF(F1330="","Slot kosong","Belum terisi"),"Sebagian")))))</f>
        <v>Sebagian</v>
      </c>
      <c r="M1330" s="79" t="str">
        <f aca="false">IF(L1330="Tidak dibuka","–",IF(F1330="","(tanpa age group)",F1330)&amp;"  "&amp;IF(H1330="","?",H1330)&amp;"/"&amp;IF(G1330="","?",G1330)&amp;CHAR(10)&amp;IF(K1330="","coach: –","coach: "&amp;K1330))</f>
        <v>Baby  2/5
coach: Adam</v>
      </c>
    </row>
    <row r="1331" customFormat="false" ht="22.35" hidden="false" customHeight="false" outlineLevel="0" collapsed="false">
      <c r="A1331" s="76" t="str">
        <f aca="false">B1331&amp;"|"&amp;C1331&amp;"|"&amp;D1331&amp;"|"&amp;E1331</f>
        <v>TMP|1|Sabtu|16:15</v>
      </c>
      <c r="B1331" s="76" t="s">
        <v>67</v>
      </c>
      <c r="C1331" s="76" t="n">
        <v>1</v>
      </c>
      <c r="D1331" s="76" t="s">
        <v>95</v>
      </c>
      <c r="E1331" s="76" t="s">
        <v>120</v>
      </c>
      <c r="F1331" s="77" t="s">
        <v>42</v>
      </c>
      <c r="G1331" s="77" t="n">
        <v>5</v>
      </c>
      <c r="H1331" s="77" t="n">
        <v>0</v>
      </c>
      <c r="I1331" s="76" t="n">
        <f aca="false">IF(AND(ISNUMBER(G1331),ISNUMBER(H1331)),MAX(G1331-H1331,0),"")</f>
        <v>5</v>
      </c>
      <c r="J1331" s="78" t="n">
        <f aca="false">IF(AND(ISNUMBER(G1331),ISNUMBER(H1331)),IF(G1331&gt;0,H1331/G1331,""),"")</f>
        <v>0</v>
      </c>
      <c r="K1331" s="77"/>
      <c r="L1331" s="76" t="str">
        <f aca="false">IF(OR(G1331="",H1331=""),"Data tidak lengkap",IF(AND(G1331=0,H1331=0),IF(AND(F1331="",K1331=""),"Tidak dibuka","Tutup"),IF(H1331&gt;G1331,"Lebih kapasitas",IF(H1331=G1331,"Penuh",IF(H1331=0,IF(F1331="","Slot kosong","Belum terisi"),"Sebagian")))))</f>
        <v>Belum terisi</v>
      </c>
      <c r="M1331" s="79" t="str">
        <f aca="false">IF(L1331="Tidak dibuka","–",IF(F1331="","(tanpa age group)",F1331)&amp;"  "&amp;IF(H1331="","?",H1331)&amp;"/"&amp;IF(G1331="","?",G1331)&amp;CHAR(10)&amp;IF(K1331="","coach: –","coach: "&amp;K1331))</f>
        <v>Tiny  0/5
coach: –</v>
      </c>
    </row>
    <row r="1332" customFormat="false" ht="22.35" hidden="false" customHeight="false" outlineLevel="0" collapsed="false">
      <c r="A1332" s="76" t="str">
        <f aca="false">B1332&amp;"|"&amp;C1332&amp;"|"&amp;D1332&amp;"|"&amp;E1332</f>
        <v>TMP|1|Sabtu|17:00</v>
      </c>
      <c r="B1332" s="76" t="s">
        <v>67</v>
      </c>
      <c r="C1332" s="76" t="n">
        <v>1</v>
      </c>
      <c r="D1332" s="76" t="s">
        <v>95</v>
      </c>
      <c r="E1332" s="76" t="s">
        <v>121</v>
      </c>
      <c r="F1332" s="77" t="s">
        <v>242</v>
      </c>
      <c r="G1332" s="77" t="n">
        <v>5</v>
      </c>
      <c r="H1332" s="77" t="n">
        <v>0</v>
      </c>
      <c r="I1332" s="76" t="n">
        <f aca="false">IF(AND(ISNUMBER(G1332),ISNUMBER(H1332)),MAX(G1332-H1332,0),"")</f>
        <v>5</v>
      </c>
      <c r="J1332" s="78" t="n">
        <f aca="false">IF(AND(ISNUMBER(G1332),ISNUMBER(H1332)),IF(G1332&gt;0,H1332/G1332,""),"")</f>
        <v>0</v>
      </c>
      <c r="K1332" s="77"/>
      <c r="L1332" s="76" t="str">
        <f aca="false">IF(OR(G1332="",H1332=""),"Data tidak lengkap",IF(AND(G1332=0,H1332=0),IF(AND(F1332="",K1332=""),"Tidak dibuka","Tutup"),IF(H1332&gt;G1332,"Lebih kapasitas",IF(H1332=G1332,"Penuh",IF(H1332=0,IF(F1332="","Slot kosong","Belum terisi"),"Sebagian")))))</f>
        <v>Belum terisi</v>
      </c>
      <c r="M1332" s="79" t="str">
        <f aca="false">IF(L1332="Tidak dibuka","–",IF(F1332="","(tanpa age group)",F1332)&amp;"  "&amp;IF(H1332="","?",H1332)&amp;"/"&amp;IF(G1332="","?",G1332)&amp;CHAR(10)&amp;IF(K1332="","coach: –","coach: "&amp;K1332))</f>
        <v>Baby  0/5
coach: –</v>
      </c>
    </row>
    <row r="1333" customFormat="false" ht="22.35" hidden="false" customHeight="false" outlineLevel="0" collapsed="false">
      <c r="A1333" s="76" t="str">
        <f aca="false">B1333&amp;"|"&amp;C1333&amp;"|"&amp;D1333&amp;"|"&amp;E1333</f>
        <v>TMP|1|Minggu|08:00</v>
      </c>
      <c r="B1333" s="76" t="s">
        <v>67</v>
      </c>
      <c r="C1333" s="76" t="n">
        <v>1</v>
      </c>
      <c r="D1333" s="76" t="s">
        <v>78</v>
      </c>
      <c r="E1333" s="76" t="s">
        <v>110</v>
      </c>
      <c r="F1333" s="77" t="s">
        <v>42</v>
      </c>
      <c r="G1333" s="77" t="n">
        <v>5</v>
      </c>
      <c r="H1333" s="77" t="n">
        <v>0</v>
      </c>
      <c r="I1333" s="76" t="n">
        <f aca="false">IF(AND(ISNUMBER(G1333),ISNUMBER(H1333)),MAX(G1333-H1333,0),"")</f>
        <v>5</v>
      </c>
      <c r="J1333" s="78" t="n">
        <f aca="false">IF(AND(ISNUMBER(G1333),ISNUMBER(H1333)),IF(G1333&gt;0,H1333/G1333,""),"")</f>
        <v>0</v>
      </c>
      <c r="K1333" s="77"/>
      <c r="L1333" s="76" t="str">
        <f aca="false">IF(OR(G1333="",H1333=""),"Data tidak lengkap",IF(AND(G1333=0,H1333=0),IF(AND(F1333="",K1333=""),"Tidak dibuka","Tutup"),IF(H1333&gt;G1333,"Lebih kapasitas",IF(H1333=G1333,"Penuh",IF(H1333=0,IF(F1333="","Slot kosong","Belum terisi"),"Sebagian")))))</f>
        <v>Belum terisi</v>
      </c>
      <c r="M1333" s="79" t="str">
        <f aca="false">IF(L1333="Tidak dibuka","–",IF(F1333="","(tanpa age group)",F1333)&amp;"  "&amp;IF(H1333="","?",H1333)&amp;"/"&amp;IF(G1333="","?",G1333)&amp;CHAR(10)&amp;IF(K1333="","coach: –","coach: "&amp;K1333))</f>
        <v>Tiny  0/5
coach: –</v>
      </c>
    </row>
    <row r="1334" customFormat="false" ht="22.35" hidden="false" customHeight="false" outlineLevel="0" collapsed="false">
      <c r="A1334" s="76" t="str">
        <f aca="false">B1334&amp;"|"&amp;C1334&amp;"|"&amp;D1334&amp;"|"&amp;E1334</f>
        <v>TMP|1|Minggu|08:45</v>
      </c>
      <c r="B1334" s="76" t="s">
        <v>67</v>
      </c>
      <c r="C1334" s="76" t="n">
        <v>1</v>
      </c>
      <c r="D1334" s="76" t="s">
        <v>78</v>
      </c>
      <c r="E1334" s="76" t="s">
        <v>111</v>
      </c>
      <c r="F1334" s="77" t="s">
        <v>242</v>
      </c>
      <c r="G1334" s="77" t="n">
        <v>5</v>
      </c>
      <c r="H1334" s="77" t="n">
        <v>1</v>
      </c>
      <c r="I1334" s="76" t="n">
        <f aca="false">IF(AND(ISNUMBER(G1334),ISNUMBER(H1334)),MAX(G1334-H1334,0),"")</f>
        <v>4</v>
      </c>
      <c r="J1334" s="78" t="n">
        <f aca="false">IF(AND(ISNUMBER(G1334),ISNUMBER(H1334)),IF(G1334&gt;0,H1334/G1334,""),"")</f>
        <v>0.2</v>
      </c>
      <c r="K1334" s="77" t="s">
        <v>374</v>
      </c>
      <c r="L1334" s="76" t="str">
        <f aca="false">IF(OR(G1334="",H1334=""),"Data tidak lengkap",IF(AND(G1334=0,H1334=0),IF(AND(F1334="",K1334=""),"Tidak dibuka","Tutup"),IF(H1334&gt;G1334,"Lebih kapasitas",IF(H1334=G1334,"Penuh",IF(H1334=0,IF(F1334="","Slot kosong","Belum terisi"),"Sebagian")))))</f>
        <v>Sebagian</v>
      </c>
      <c r="M1334" s="79" t="str">
        <f aca="false">IF(L1334="Tidak dibuka","–",IF(F1334="","(tanpa age group)",F1334)&amp;"  "&amp;IF(H1334="","?",H1334)&amp;"/"&amp;IF(G1334="","?",G1334)&amp;CHAR(10)&amp;IF(K1334="","coach: –","coach: "&amp;K1334))</f>
        <v>Baby  1/5
coach: Adam</v>
      </c>
    </row>
    <row r="1335" customFormat="false" ht="22.35" hidden="false" customHeight="false" outlineLevel="0" collapsed="false">
      <c r="A1335" s="76" t="str">
        <f aca="false">B1335&amp;"|"&amp;C1335&amp;"|"&amp;D1335&amp;"|"&amp;E1335</f>
        <v>TMP|1|Minggu|09:30</v>
      </c>
      <c r="B1335" s="76" t="s">
        <v>67</v>
      </c>
      <c r="C1335" s="76" t="n">
        <v>1</v>
      </c>
      <c r="D1335" s="76" t="s">
        <v>78</v>
      </c>
      <c r="E1335" s="76" t="s">
        <v>112</v>
      </c>
      <c r="F1335" s="77" t="s">
        <v>42</v>
      </c>
      <c r="G1335" s="77" t="n">
        <v>5</v>
      </c>
      <c r="H1335" s="77" t="n">
        <v>2</v>
      </c>
      <c r="I1335" s="76" t="n">
        <f aca="false">IF(AND(ISNUMBER(G1335),ISNUMBER(H1335)),MAX(G1335-H1335,0),"")</f>
        <v>3</v>
      </c>
      <c r="J1335" s="78" t="n">
        <f aca="false">IF(AND(ISNUMBER(G1335),ISNUMBER(H1335)),IF(G1335&gt;0,H1335/G1335,""),"")</f>
        <v>0.4</v>
      </c>
      <c r="K1335" s="77" t="s">
        <v>375</v>
      </c>
      <c r="L1335" s="76" t="str">
        <f aca="false">IF(OR(G1335="",H1335=""),"Data tidak lengkap",IF(AND(G1335=0,H1335=0),IF(AND(F1335="",K1335=""),"Tidak dibuka","Tutup"),IF(H1335&gt;G1335,"Lebih kapasitas",IF(H1335=G1335,"Penuh",IF(H1335=0,IF(F1335="","Slot kosong","Belum terisi"),"Sebagian")))))</f>
        <v>Sebagian</v>
      </c>
      <c r="M1335" s="79" t="str">
        <f aca="false">IF(L1335="Tidak dibuka","–",IF(F1335="","(tanpa age group)",F1335)&amp;"  "&amp;IF(H1335="","?",H1335)&amp;"/"&amp;IF(G1335="","?",G1335)&amp;CHAR(10)&amp;IF(K1335="","coach: –","coach: "&amp;K1335))</f>
        <v>Tiny  2/5
coach: Iqbal</v>
      </c>
    </row>
    <row r="1336" customFormat="false" ht="22.35" hidden="false" customHeight="false" outlineLevel="0" collapsed="false">
      <c r="A1336" s="76" t="str">
        <f aca="false">B1336&amp;"|"&amp;C1336&amp;"|"&amp;D1336&amp;"|"&amp;E1336</f>
        <v>TMP|1|Minggu|10:15</v>
      </c>
      <c r="B1336" s="76" t="s">
        <v>67</v>
      </c>
      <c r="C1336" s="76" t="n">
        <v>1</v>
      </c>
      <c r="D1336" s="76" t="s">
        <v>78</v>
      </c>
      <c r="E1336" s="76" t="s">
        <v>113</v>
      </c>
      <c r="F1336" s="77" t="s">
        <v>242</v>
      </c>
      <c r="G1336" s="77" t="n">
        <v>5</v>
      </c>
      <c r="H1336" s="77" t="n">
        <v>1</v>
      </c>
      <c r="I1336" s="76" t="n">
        <f aca="false">IF(AND(ISNUMBER(G1336),ISNUMBER(H1336)),MAX(G1336-H1336,0),"")</f>
        <v>4</v>
      </c>
      <c r="J1336" s="78" t="n">
        <f aca="false">IF(AND(ISNUMBER(G1336),ISNUMBER(H1336)),IF(G1336&gt;0,H1336/G1336,""),"")</f>
        <v>0.2</v>
      </c>
      <c r="K1336" s="77" t="s">
        <v>374</v>
      </c>
      <c r="L1336" s="76" t="str">
        <f aca="false">IF(OR(G1336="",H1336=""),"Data tidak lengkap",IF(AND(G1336=0,H1336=0),IF(AND(F1336="",K1336=""),"Tidak dibuka","Tutup"),IF(H1336&gt;G1336,"Lebih kapasitas",IF(H1336=G1336,"Penuh",IF(H1336=0,IF(F1336="","Slot kosong","Belum terisi"),"Sebagian")))))</f>
        <v>Sebagian</v>
      </c>
      <c r="M1336" s="79" t="str">
        <f aca="false">IF(L1336="Tidak dibuka","–",IF(F1336="","(tanpa age group)",F1336)&amp;"  "&amp;IF(H1336="","?",H1336)&amp;"/"&amp;IF(G1336="","?",G1336)&amp;CHAR(10)&amp;IF(K1336="","coach: –","coach: "&amp;K1336))</f>
        <v>Baby  1/5
coach: Adam</v>
      </c>
    </row>
    <row r="1337" customFormat="false" ht="22.35" hidden="false" customHeight="false" outlineLevel="0" collapsed="false">
      <c r="A1337" s="76" t="str">
        <f aca="false">B1337&amp;"|"&amp;C1337&amp;"|"&amp;D1337&amp;"|"&amp;E1337</f>
        <v>TMP|1|Minggu|11:00</v>
      </c>
      <c r="B1337" s="76" t="s">
        <v>67</v>
      </c>
      <c r="C1337" s="76" t="n">
        <v>1</v>
      </c>
      <c r="D1337" s="76" t="s">
        <v>78</v>
      </c>
      <c r="E1337" s="76" t="s">
        <v>114</v>
      </c>
      <c r="F1337" s="77" t="s">
        <v>42</v>
      </c>
      <c r="G1337" s="77" t="n">
        <v>5</v>
      </c>
      <c r="H1337" s="77" t="n">
        <v>1</v>
      </c>
      <c r="I1337" s="76" t="n">
        <f aca="false">IF(AND(ISNUMBER(G1337),ISNUMBER(H1337)),MAX(G1337-H1337,0),"")</f>
        <v>4</v>
      </c>
      <c r="J1337" s="78" t="n">
        <f aca="false">IF(AND(ISNUMBER(G1337),ISNUMBER(H1337)),IF(G1337&gt;0,H1337/G1337,""),"")</f>
        <v>0.2</v>
      </c>
      <c r="K1337" s="77" t="s">
        <v>374</v>
      </c>
      <c r="L1337" s="76" t="str">
        <f aca="false">IF(OR(G1337="",H1337=""),"Data tidak lengkap",IF(AND(G1337=0,H1337=0),IF(AND(F1337="",K1337=""),"Tidak dibuka","Tutup"),IF(H1337&gt;G1337,"Lebih kapasitas",IF(H1337=G1337,"Penuh",IF(H1337=0,IF(F1337="","Slot kosong","Belum terisi"),"Sebagian")))))</f>
        <v>Sebagian</v>
      </c>
      <c r="M1337" s="79" t="str">
        <f aca="false">IF(L1337="Tidak dibuka","–",IF(F1337="","(tanpa age group)",F1337)&amp;"  "&amp;IF(H1337="","?",H1337)&amp;"/"&amp;IF(G1337="","?",G1337)&amp;CHAR(10)&amp;IF(K1337="","coach: –","coach: "&amp;K1337))</f>
        <v>Tiny  1/5
coach: Adam</v>
      </c>
    </row>
    <row r="1338" customFormat="false" ht="22.35" hidden="false" customHeight="false" outlineLevel="0" collapsed="false">
      <c r="A1338" s="76" t="str">
        <f aca="false">B1338&amp;"|"&amp;C1338&amp;"|"&amp;D1338&amp;"|"&amp;E1338</f>
        <v>TMP|1|Minggu|11:45</v>
      </c>
      <c r="B1338" s="76" t="s">
        <v>67</v>
      </c>
      <c r="C1338" s="76" t="n">
        <v>1</v>
      </c>
      <c r="D1338" s="76" t="s">
        <v>78</v>
      </c>
      <c r="E1338" s="76" t="s">
        <v>115</v>
      </c>
      <c r="F1338" s="77" t="s">
        <v>242</v>
      </c>
      <c r="G1338" s="77" t="n">
        <v>5</v>
      </c>
      <c r="H1338" s="77" t="n">
        <v>1</v>
      </c>
      <c r="I1338" s="76" t="n">
        <f aca="false">IF(AND(ISNUMBER(G1338),ISNUMBER(H1338)),MAX(G1338-H1338,0),"")</f>
        <v>4</v>
      </c>
      <c r="J1338" s="78" t="n">
        <f aca="false">IF(AND(ISNUMBER(G1338),ISNUMBER(H1338)),IF(G1338&gt;0,H1338/G1338,""),"")</f>
        <v>0.2</v>
      </c>
      <c r="K1338" s="77" t="s">
        <v>374</v>
      </c>
      <c r="L1338" s="76" t="str">
        <f aca="false">IF(OR(G1338="",H1338=""),"Data tidak lengkap",IF(AND(G1338=0,H1338=0),IF(AND(F1338="",K1338=""),"Tidak dibuka","Tutup"),IF(H1338&gt;G1338,"Lebih kapasitas",IF(H1338=G1338,"Penuh",IF(H1338=0,IF(F1338="","Slot kosong","Belum terisi"),"Sebagian")))))</f>
        <v>Sebagian</v>
      </c>
      <c r="M1338" s="79" t="str">
        <f aca="false">IF(L1338="Tidak dibuka","–",IF(F1338="","(tanpa age group)",F1338)&amp;"  "&amp;IF(H1338="","?",H1338)&amp;"/"&amp;IF(G1338="","?",G1338)&amp;CHAR(10)&amp;IF(K1338="","coach: –","coach: "&amp;K1338))</f>
        <v>Baby  1/5
coach: Adam</v>
      </c>
    </row>
    <row r="1339" customFormat="false" ht="22.35" hidden="false" customHeight="false" outlineLevel="0" collapsed="false">
      <c r="A1339" s="76" t="str">
        <f aca="false">B1339&amp;"|"&amp;C1339&amp;"|"&amp;D1339&amp;"|"&amp;E1339</f>
        <v>TMP|1|Minggu|13:15</v>
      </c>
      <c r="B1339" s="76" t="s">
        <v>67</v>
      </c>
      <c r="C1339" s="76" t="n">
        <v>1</v>
      </c>
      <c r="D1339" s="76" t="s">
        <v>78</v>
      </c>
      <c r="E1339" s="76" t="s">
        <v>116</v>
      </c>
      <c r="F1339" s="77" t="s">
        <v>42</v>
      </c>
      <c r="G1339" s="77" t="n">
        <v>5</v>
      </c>
      <c r="H1339" s="77" t="n">
        <v>0</v>
      </c>
      <c r="I1339" s="76" t="n">
        <f aca="false">IF(AND(ISNUMBER(G1339),ISNUMBER(H1339)),MAX(G1339-H1339,0),"")</f>
        <v>5</v>
      </c>
      <c r="J1339" s="78" t="n">
        <f aca="false">IF(AND(ISNUMBER(G1339),ISNUMBER(H1339)),IF(G1339&gt;0,H1339/G1339,""),"")</f>
        <v>0</v>
      </c>
      <c r="K1339" s="77"/>
      <c r="L1339" s="76" t="str">
        <f aca="false">IF(OR(G1339="",H1339=""),"Data tidak lengkap",IF(AND(G1339=0,H1339=0),IF(AND(F1339="",K1339=""),"Tidak dibuka","Tutup"),IF(H1339&gt;G1339,"Lebih kapasitas",IF(H1339=G1339,"Penuh",IF(H1339=0,IF(F1339="","Slot kosong","Belum terisi"),"Sebagian")))))</f>
        <v>Belum terisi</v>
      </c>
      <c r="M1339" s="79" t="str">
        <f aca="false">IF(L1339="Tidak dibuka","–",IF(F1339="","(tanpa age group)",F1339)&amp;"  "&amp;IF(H1339="","?",H1339)&amp;"/"&amp;IF(G1339="","?",G1339)&amp;CHAR(10)&amp;IF(K1339="","coach: –","coach: "&amp;K1339))</f>
        <v>Tiny  0/5
coach: –</v>
      </c>
    </row>
    <row r="1340" customFormat="false" ht="22.35" hidden="false" customHeight="false" outlineLevel="0" collapsed="false">
      <c r="A1340" s="76" t="str">
        <f aca="false">B1340&amp;"|"&amp;C1340&amp;"|"&amp;D1340&amp;"|"&amp;E1340</f>
        <v>TMP|1|Minggu|14:00</v>
      </c>
      <c r="B1340" s="76" t="s">
        <v>67</v>
      </c>
      <c r="C1340" s="76" t="n">
        <v>1</v>
      </c>
      <c r="D1340" s="76" t="s">
        <v>78</v>
      </c>
      <c r="E1340" s="76" t="s">
        <v>117</v>
      </c>
      <c r="F1340" s="77" t="s">
        <v>242</v>
      </c>
      <c r="G1340" s="77" t="n">
        <v>5</v>
      </c>
      <c r="H1340" s="77" t="n">
        <v>0</v>
      </c>
      <c r="I1340" s="76" t="n">
        <f aca="false">IF(AND(ISNUMBER(G1340),ISNUMBER(H1340)),MAX(G1340-H1340,0),"")</f>
        <v>5</v>
      </c>
      <c r="J1340" s="78" t="n">
        <f aca="false">IF(AND(ISNUMBER(G1340),ISNUMBER(H1340)),IF(G1340&gt;0,H1340/G1340,""),"")</f>
        <v>0</v>
      </c>
      <c r="K1340" s="77"/>
      <c r="L1340" s="76" t="str">
        <f aca="false">IF(OR(G1340="",H1340=""),"Data tidak lengkap",IF(AND(G1340=0,H1340=0),IF(AND(F1340="",K1340=""),"Tidak dibuka","Tutup"),IF(H1340&gt;G1340,"Lebih kapasitas",IF(H1340=G1340,"Penuh",IF(H1340=0,IF(F1340="","Slot kosong","Belum terisi"),"Sebagian")))))</f>
        <v>Belum terisi</v>
      </c>
      <c r="M1340" s="79" t="str">
        <f aca="false">IF(L1340="Tidak dibuka","–",IF(F1340="","(tanpa age group)",F1340)&amp;"  "&amp;IF(H1340="","?",H1340)&amp;"/"&amp;IF(G1340="","?",G1340)&amp;CHAR(10)&amp;IF(K1340="","coach: –","coach: "&amp;K1340))</f>
        <v>Baby  0/5
coach: –</v>
      </c>
    </row>
    <row r="1341" customFormat="false" ht="22.35" hidden="false" customHeight="false" outlineLevel="0" collapsed="false">
      <c r="A1341" s="76" t="str">
        <f aca="false">B1341&amp;"|"&amp;C1341&amp;"|"&amp;D1341&amp;"|"&amp;E1341</f>
        <v>TMP|1|Minggu|14:45</v>
      </c>
      <c r="B1341" s="76" t="s">
        <v>67</v>
      </c>
      <c r="C1341" s="76" t="n">
        <v>1</v>
      </c>
      <c r="D1341" s="76" t="s">
        <v>78</v>
      </c>
      <c r="E1341" s="76" t="s">
        <v>118</v>
      </c>
      <c r="F1341" s="77" t="s">
        <v>42</v>
      </c>
      <c r="G1341" s="77" t="n">
        <v>5</v>
      </c>
      <c r="H1341" s="77" t="n">
        <v>0</v>
      </c>
      <c r="I1341" s="76" t="n">
        <f aca="false">IF(AND(ISNUMBER(G1341),ISNUMBER(H1341)),MAX(G1341-H1341,0),"")</f>
        <v>5</v>
      </c>
      <c r="J1341" s="78" t="n">
        <f aca="false">IF(AND(ISNUMBER(G1341),ISNUMBER(H1341)),IF(G1341&gt;0,H1341/G1341,""),"")</f>
        <v>0</v>
      </c>
      <c r="K1341" s="77"/>
      <c r="L1341" s="76" t="str">
        <f aca="false">IF(OR(G1341="",H1341=""),"Data tidak lengkap",IF(AND(G1341=0,H1341=0),IF(AND(F1341="",K1341=""),"Tidak dibuka","Tutup"),IF(H1341&gt;G1341,"Lebih kapasitas",IF(H1341=G1341,"Penuh",IF(H1341=0,IF(F1341="","Slot kosong","Belum terisi"),"Sebagian")))))</f>
        <v>Belum terisi</v>
      </c>
      <c r="M1341" s="79" t="str">
        <f aca="false">IF(L1341="Tidak dibuka","–",IF(F1341="","(tanpa age group)",F1341)&amp;"  "&amp;IF(H1341="","?",H1341)&amp;"/"&amp;IF(G1341="","?",G1341)&amp;CHAR(10)&amp;IF(K1341="","coach: –","coach: "&amp;K1341))</f>
        <v>Tiny  0/5
coach: –</v>
      </c>
    </row>
    <row r="1342" customFormat="false" ht="22.35" hidden="false" customHeight="false" outlineLevel="0" collapsed="false">
      <c r="A1342" s="76" t="str">
        <f aca="false">B1342&amp;"|"&amp;C1342&amp;"|"&amp;D1342&amp;"|"&amp;E1342</f>
        <v>TMP|1|Minggu|15:30</v>
      </c>
      <c r="B1342" s="76" t="s">
        <v>67</v>
      </c>
      <c r="C1342" s="76" t="n">
        <v>1</v>
      </c>
      <c r="D1342" s="76" t="s">
        <v>78</v>
      </c>
      <c r="E1342" s="76" t="s">
        <v>119</v>
      </c>
      <c r="F1342" s="77" t="s">
        <v>242</v>
      </c>
      <c r="G1342" s="77" t="n">
        <v>5</v>
      </c>
      <c r="H1342" s="77" t="n">
        <v>2</v>
      </c>
      <c r="I1342" s="76" t="n">
        <f aca="false">IF(AND(ISNUMBER(G1342),ISNUMBER(H1342)),MAX(G1342-H1342,0),"")</f>
        <v>3</v>
      </c>
      <c r="J1342" s="78" t="n">
        <f aca="false">IF(AND(ISNUMBER(G1342),ISNUMBER(H1342)),IF(G1342&gt;0,H1342/G1342,""),"")</f>
        <v>0.4</v>
      </c>
      <c r="K1342" s="77" t="s">
        <v>374</v>
      </c>
      <c r="L1342" s="76" t="str">
        <f aca="false">IF(OR(G1342="",H1342=""),"Data tidak lengkap",IF(AND(G1342=0,H1342=0),IF(AND(F1342="",K1342=""),"Tidak dibuka","Tutup"),IF(H1342&gt;G1342,"Lebih kapasitas",IF(H1342=G1342,"Penuh",IF(H1342=0,IF(F1342="","Slot kosong","Belum terisi"),"Sebagian")))))</f>
        <v>Sebagian</v>
      </c>
      <c r="M1342" s="79" t="str">
        <f aca="false">IF(L1342="Tidak dibuka","–",IF(F1342="","(tanpa age group)",F1342)&amp;"  "&amp;IF(H1342="","?",H1342)&amp;"/"&amp;IF(G1342="","?",G1342)&amp;CHAR(10)&amp;IF(K1342="","coach: –","coach: "&amp;K1342))</f>
        <v>Baby  2/5
coach: Adam</v>
      </c>
    </row>
    <row r="1343" customFormat="false" ht="22.35" hidden="false" customHeight="false" outlineLevel="0" collapsed="false">
      <c r="A1343" s="76" t="str">
        <f aca="false">B1343&amp;"|"&amp;C1343&amp;"|"&amp;D1343&amp;"|"&amp;E1343</f>
        <v>TMP|1|Minggu|16:15</v>
      </c>
      <c r="B1343" s="76" t="s">
        <v>67</v>
      </c>
      <c r="C1343" s="76" t="n">
        <v>1</v>
      </c>
      <c r="D1343" s="76" t="s">
        <v>78</v>
      </c>
      <c r="E1343" s="76" t="s">
        <v>120</v>
      </c>
      <c r="F1343" s="77" t="s">
        <v>42</v>
      </c>
      <c r="G1343" s="77" t="n">
        <v>5</v>
      </c>
      <c r="H1343" s="77" t="n">
        <v>2</v>
      </c>
      <c r="I1343" s="76" t="n">
        <f aca="false">IF(AND(ISNUMBER(G1343),ISNUMBER(H1343)),MAX(G1343-H1343,0),"")</f>
        <v>3</v>
      </c>
      <c r="J1343" s="78" t="n">
        <f aca="false">IF(AND(ISNUMBER(G1343),ISNUMBER(H1343)),IF(G1343&gt;0,H1343/G1343,""),"")</f>
        <v>0.4</v>
      </c>
      <c r="K1343" s="77" t="s">
        <v>374</v>
      </c>
      <c r="L1343" s="76" t="str">
        <f aca="false">IF(OR(G1343="",H1343=""),"Data tidak lengkap",IF(AND(G1343=0,H1343=0),IF(AND(F1343="",K1343=""),"Tidak dibuka","Tutup"),IF(H1343&gt;G1343,"Lebih kapasitas",IF(H1343=G1343,"Penuh",IF(H1343=0,IF(F1343="","Slot kosong","Belum terisi"),"Sebagian")))))</f>
        <v>Sebagian</v>
      </c>
      <c r="M1343" s="79" t="str">
        <f aca="false">IF(L1343="Tidak dibuka","–",IF(F1343="","(tanpa age group)",F1343)&amp;"  "&amp;IF(H1343="","?",H1343)&amp;"/"&amp;IF(G1343="","?",G1343)&amp;CHAR(10)&amp;IF(K1343="","coach: –","coach: "&amp;K1343))</f>
        <v>Tiny  2/5
coach: Adam</v>
      </c>
    </row>
    <row r="1344" customFormat="false" ht="22.35" hidden="false" customHeight="false" outlineLevel="0" collapsed="false">
      <c r="A1344" s="76" t="str">
        <f aca="false">B1344&amp;"|"&amp;C1344&amp;"|"&amp;D1344&amp;"|"&amp;E1344</f>
        <v>TMP|1|Minggu|17:00</v>
      </c>
      <c r="B1344" s="76" t="s">
        <v>67</v>
      </c>
      <c r="C1344" s="76" t="n">
        <v>1</v>
      </c>
      <c r="D1344" s="76" t="s">
        <v>78</v>
      </c>
      <c r="E1344" s="76" t="s">
        <v>121</v>
      </c>
      <c r="F1344" s="77" t="s">
        <v>242</v>
      </c>
      <c r="G1344" s="77" t="n">
        <v>5</v>
      </c>
      <c r="H1344" s="77" t="n">
        <v>0</v>
      </c>
      <c r="I1344" s="76" t="n">
        <f aca="false">IF(AND(ISNUMBER(G1344),ISNUMBER(H1344)),MAX(G1344-H1344,0),"")</f>
        <v>5</v>
      </c>
      <c r="J1344" s="78" t="n">
        <f aca="false">IF(AND(ISNUMBER(G1344),ISNUMBER(H1344)),IF(G1344&gt;0,H1344/G1344,""),"")</f>
        <v>0</v>
      </c>
      <c r="K1344" s="77"/>
      <c r="L1344" s="76" t="str">
        <f aca="false">IF(OR(G1344="",H1344=""),"Data tidak lengkap",IF(AND(G1344=0,H1344=0),IF(AND(F1344="",K1344=""),"Tidak dibuka","Tutup"),IF(H1344&gt;G1344,"Lebih kapasitas",IF(H1344=G1344,"Penuh",IF(H1344=0,IF(F1344="","Slot kosong","Belum terisi"),"Sebagian")))))</f>
        <v>Belum terisi</v>
      </c>
      <c r="M1344" s="79" t="str">
        <f aca="false">IF(L1344="Tidak dibuka","–",IF(F1344="","(tanpa age group)",F1344)&amp;"  "&amp;IF(H1344="","?",H1344)&amp;"/"&amp;IF(G1344="","?",G1344)&amp;CHAR(10)&amp;IF(K1344="","coach: –","coach: "&amp;K1344))</f>
        <v>Baby  0/5
coach: –</v>
      </c>
    </row>
    <row r="1345" customFormat="false" ht="22.35" hidden="false" customHeight="false" outlineLevel="0" collapsed="false">
      <c r="A1345" s="76" t="str">
        <f aca="false">B1345&amp;"|"&amp;C1345&amp;"|"&amp;D1345&amp;"|"&amp;E1345</f>
        <v>TMP|2|Senin|08:00</v>
      </c>
      <c r="B1345" s="76" t="s">
        <v>67</v>
      </c>
      <c r="C1345" s="76" t="n">
        <v>2</v>
      </c>
      <c r="D1345" s="76" t="s">
        <v>90</v>
      </c>
      <c r="E1345" s="76" t="s">
        <v>110</v>
      </c>
      <c r="F1345" s="77" t="s">
        <v>277</v>
      </c>
      <c r="G1345" s="77" t="n">
        <v>5</v>
      </c>
      <c r="H1345" s="77" t="n">
        <v>0</v>
      </c>
      <c r="I1345" s="76" t="n">
        <f aca="false">IF(AND(ISNUMBER(G1345),ISNUMBER(H1345)),MAX(G1345-H1345,0),"")</f>
        <v>5</v>
      </c>
      <c r="J1345" s="78" t="n">
        <f aca="false">IF(AND(ISNUMBER(G1345),ISNUMBER(H1345)),IF(G1345&gt;0,H1345/G1345,""),"")</f>
        <v>0</v>
      </c>
      <c r="K1345" s="77"/>
      <c r="L1345" s="76" t="str">
        <f aca="false">IF(OR(G1345="",H1345=""),"Data tidak lengkap",IF(AND(G1345=0,H1345=0),IF(AND(F1345="",K1345=""),"Tidak dibuka","Tutup"),IF(H1345&gt;G1345,"Lebih kapasitas",IF(H1345=G1345,"Penuh",IF(H1345=0,IF(F1345="","Slot kosong","Belum terisi"),"Sebagian")))))</f>
        <v>Belum terisi</v>
      </c>
      <c r="M1345" s="79" t="str">
        <f aca="false">IF(L1345="Tidak dibuka","–",IF(F1345="","(tanpa age group)",F1345)&amp;"  "&amp;IF(H1345="","?",H1345)&amp;"/"&amp;IF(G1345="","?",G1345)&amp;CHAR(10)&amp;IF(K1345="","coach: –","coach: "&amp;K1345))</f>
        <v>Little  0/5
coach: –</v>
      </c>
    </row>
    <row r="1346" customFormat="false" ht="22.35" hidden="false" customHeight="false" outlineLevel="0" collapsed="false">
      <c r="A1346" s="76" t="str">
        <f aca="false">B1346&amp;"|"&amp;C1346&amp;"|"&amp;D1346&amp;"|"&amp;E1346</f>
        <v>TMP|2|Senin|08:45</v>
      </c>
      <c r="B1346" s="76" t="s">
        <v>67</v>
      </c>
      <c r="C1346" s="76" t="n">
        <v>2</v>
      </c>
      <c r="D1346" s="76" t="s">
        <v>90</v>
      </c>
      <c r="E1346" s="76" t="s">
        <v>111</v>
      </c>
      <c r="F1346" s="77" t="s">
        <v>277</v>
      </c>
      <c r="G1346" s="77" t="n">
        <v>5</v>
      </c>
      <c r="H1346" s="77" t="n">
        <v>0</v>
      </c>
      <c r="I1346" s="76" t="n">
        <f aca="false">IF(AND(ISNUMBER(G1346),ISNUMBER(H1346)),MAX(G1346-H1346,0),"")</f>
        <v>5</v>
      </c>
      <c r="J1346" s="78" t="n">
        <f aca="false">IF(AND(ISNUMBER(G1346),ISNUMBER(H1346)),IF(G1346&gt;0,H1346/G1346,""),"")</f>
        <v>0</v>
      </c>
      <c r="K1346" s="77"/>
      <c r="L1346" s="76" t="str">
        <f aca="false">IF(OR(G1346="",H1346=""),"Data tidak lengkap",IF(AND(G1346=0,H1346=0),IF(AND(F1346="",K1346=""),"Tidak dibuka","Tutup"),IF(H1346&gt;G1346,"Lebih kapasitas",IF(H1346=G1346,"Penuh",IF(H1346=0,IF(F1346="","Slot kosong","Belum terisi"),"Sebagian")))))</f>
        <v>Belum terisi</v>
      </c>
      <c r="M1346" s="79" t="str">
        <f aca="false">IF(L1346="Tidak dibuka","–",IF(F1346="","(tanpa age group)",F1346)&amp;"  "&amp;IF(H1346="","?",H1346)&amp;"/"&amp;IF(G1346="","?",G1346)&amp;CHAR(10)&amp;IF(K1346="","coach: –","coach: "&amp;K1346))</f>
        <v>Little  0/5
coach: –</v>
      </c>
    </row>
    <row r="1347" customFormat="false" ht="22.35" hidden="false" customHeight="false" outlineLevel="0" collapsed="false">
      <c r="A1347" s="76" t="str">
        <f aca="false">B1347&amp;"|"&amp;C1347&amp;"|"&amp;D1347&amp;"|"&amp;E1347</f>
        <v>TMP|2|Senin|09:30</v>
      </c>
      <c r="B1347" s="76" t="s">
        <v>67</v>
      </c>
      <c r="C1347" s="76" t="n">
        <v>2</v>
      </c>
      <c r="D1347" s="76" t="s">
        <v>90</v>
      </c>
      <c r="E1347" s="76" t="s">
        <v>112</v>
      </c>
      <c r="F1347" s="77" t="s">
        <v>277</v>
      </c>
      <c r="G1347" s="77" t="n">
        <v>5</v>
      </c>
      <c r="H1347" s="77" t="n">
        <v>0</v>
      </c>
      <c r="I1347" s="76" t="n">
        <f aca="false">IF(AND(ISNUMBER(G1347),ISNUMBER(H1347)),MAX(G1347-H1347,0),"")</f>
        <v>5</v>
      </c>
      <c r="J1347" s="78" t="n">
        <f aca="false">IF(AND(ISNUMBER(G1347),ISNUMBER(H1347)),IF(G1347&gt;0,H1347/G1347,""),"")</f>
        <v>0</v>
      </c>
      <c r="K1347" s="77"/>
      <c r="L1347" s="76" t="str">
        <f aca="false">IF(OR(G1347="",H1347=""),"Data tidak lengkap",IF(AND(G1347=0,H1347=0),IF(AND(F1347="",K1347=""),"Tidak dibuka","Tutup"),IF(H1347&gt;G1347,"Lebih kapasitas",IF(H1347=G1347,"Penuh",IF(H1347=0,IF(F1347="","Slot kosong","Belum terisi"),"Sebagian")))))</f>
        <v>Belum terisi</v>
      </c>
      <c r="M1347" s="79" t="str">
        <f aca="false">IF(L1347="Tidak dibuka","–",IF(F1347="","(tanpa age group)",F1347)&amp;"  "&amp;IF(H1347="","?",H1347)&amp;"/"&amp;IF(G1347="","?",G1347)&amp;CHAR(10)&amp;IF(K1347="","coach: –","coach: "&amp;K1347))</f>
        <v>Little  0/5
coach: –</v>
      </c>
    </row>
    <row r="1348" customFormat="false" ht="22.35" hidden="false" customHeight="false" outlineLevel="0" collapsed="false">
      <c r="A1348" s="76" t="str">
        <f aca="false">B1348&amp;"|"&amp;C1348&amp;"|"&amp;D1348&amp;"|"&amp;E1348</f>
        <v>TMP|2|Senin|10:15</v>
      </c>
      <c r="B1348" s="76" t="s">
        <v>67</v>
      </c>
      <c r="C1348" s="76" t="n">
        <v>2</v>
      </c>
      <c r="D1348" s="76" t="s">
        <v>90</v>
      </c>
      <c r="E1348" s="76" t="s">
        <v>113</v>
      </c>
      <c r="F1348" s="77" t="s">
        <v>277</v>
      </c>
      <c r="G1348" s="77" t="n">
        <v>5</v>
      </c>
      <c r="H1348" s="77" t="n">
        <v>0</v>
      </c>
      <c r="I1348" s="76" t="n">
        <f aca="false">IF(AND(ISNUMBER(G1348),ISNUMBER(H1348)),MAX(G1348-H1348,0),"")</f>
        <v>5</v>
      </c>
      <c r="J1348" s="78" t="n">
        <f aca="false">IF(AND(ISNUMBER(G1348),ISNUMBER(H1348)),IF(G1348&gt;0,H1348/G1348,""),"")</f>
        <v>0</v>
      </c>
      <c r="K1348" s="77"/>
      <c r="L1348" s="76" t="str">
        <f aca="false">IF(OR(G1348="",H1348=""),"Data tidak lengkap",IF(AND(G1348=0,H1348=0),IF(AND(F1348="",K1348=""),"Tidak dibuka","Tutup"),IF(H1348&gt;G1348,"Lebih kapasitas",IF(H1348=G1348,"Penuh",IF(H1348=0,IF(F1348="","Slot kosong","Belum terisi"),"Sebagian")))))</f>
        <v>Belum terisi</v>
      </c>
      <c r="M1348" s="79" t="str">
        <f aca="false">IF(L1348="Tidak dibuka","–",IF(F1348="","(tanpa age group)",F1348)&amp;"  "&amp;IF(H1348="","?",H1348)&amp;"/"&amp;IF(G1348="","?",G1348)&amp;CHAR(10)&amp;IF(K1348="","coach: –","coach: "&amp;K1348))</f>
        <v>Little  0/5
coach: –</v>
      </c>
    </row>
    <row r="1349" customFormat="false" ht="22.35" hidden="false" customHeight="false" outlineLevel="0" collapsed="false">
      <c r="A1349" s="76" t="str">
        <f aca="false">B1349&amp;"|"&amp;C1349&amp;"|"&amp;D1349&amp;"|"&amp;E1349</f>
        <v>TMP|2|Senin|11:00</v>
      </c>
      <c r="B1349" s="76" t="s">
        <v>67</v>
      </c>
      <c r="C1349" s="76" t="n">
        <v>2</v>
      </c>
      <c r="D1349" s="76" t="s">
        <v>90</v>
      </c>
      <c r="E1349" s="76" t="s">
        <v>114</v>
      </c>
      <c r="F1349" s="77" t="s">
        <v>277</v>
      </c>
      <c r="G1349" s="77" t="n">
        <v>5</v>
      </c>
      <c r="H1349" s="77" t="n">
        <v>0</v>
      </c>
      <c r="I1349" s="76" t="n">
        <f aca="false">IF(AND(ISNUMBER(G1349),ISNUMBER(H1349)),MAX(G1349-H1349,0),"")</f>
        <v>5</v>
      </c>
      <c r="J1349" s="78" t="n">
        <f aca="false">IF(AND(ISNUMBER(G1349),ISNUMBER(H1349)),IF(G1349&gt;0,H1349/G1349,""),"")</f>
        <v>0</v>
      </c>
      <c r="K1349" s="77"/>
      <c r="L1349" s="76" t="str">
        <f aca="false">IF(OR(G1349="",H1349=""),"Data tidak lengkap",IF(AND(G1349=0,H1349=0),IF(AND(F1349="",K1349=""),"Tidak dibuka","Tutup"),IF(H1349&gt;G1349,"Lebih kapasitas",IF(H1349=G1349,"Penuh",IF(H1349=0,IF(F1349="","Slot kosong","Belum terisi"),"Sebagian")))))</f>
        <v>Belum terisi</v>
      </c>
      <c r="M1349" s="79" t="str">
        <f aca="false">IF(L1349="Tidak dibuka","–",IF(F1349="","(tanpa age group)",F1349)&amp;"  "&amp;IF(H1349="","?",H1349)&amp;"/"&amp;IF(G1349="","?",G1349)&amp;CHAR(10)&amp;IF(K1349="","coach: –","coach: "&amp;K1349))</f>
        <v>Little  0/5
coach: –</v>
      </c>
    </row>
    <row r="1350" customFormat="false" ht="22.35" hidden="false" customHeight="false" outlineLevel="0" collapsed="false">
      <c r="A1350" s="76" t="str">
        <f aca="false">B1350&amp;"|"&amp;C1350&amp;"|"&amp;D1350&amp;"|"&amp;E1350</f>
        <v>TMP|2|Senin|11:45</v>
      </c>
      <c r="B1350" s="76" t="s">
        <v>67</v>
      </c>
      <c r="C1350" s="76" t="n">
        <v>2</v>
      </c>
      <c r="D1350" s="76" t="s">
        <v>90</v>
      </c>
      <c r="E1350" s="76" t="s">
        <v>115</v>
      </c>
      <c r="F1350" s="77" t="s">
        <v>277</v>
      </c>
      <c r="G1350" s="77" t="n">
        <v>5</v>
      </c>
      <c r="H1350" s="77" t="n">
        <v>0</v>
      </c>
      <c r="I1350" s="76" t="n">
        <f aca="false">IF(AND(ISNUMBER(G1350),ISNUMBER(H1350)),MAX(G1350-H1350,0),"")</f>
        <v>5</v>
      </c>
      <c r="J1350" s="78" t="n">
        <f aca="false">IF(AND(ISNUMBER(G1350),ISNUMBER(H1350)),IF(G1350&gt;0,H1350/G1350,""),"")</f>
        <v>0</v>
      </c>
      <c r="K1350" s="77"/>
      <c r="L1350" s="76" t="str">
        <f aca="false">IF(OR(G1350="",H1350=""),"Data tidak lengkap",IF(AND(G1350=0,H1350=0),IF(AND(F1350="",K1350=""),"Tidak dibuka","Tutup"),IF(H1350&gt;G1350,"Lebih kapasitas",IF(H1350=G1350,"Penuh",IF(H1350=0,IF(F1350="","Slot kosong","Belum terisi"),"Sebagian")))))</f>
        <v>Belum terisi</v>
      </c>
      <c r="M1350" s="79" t="str">
        <f aca="false">IF(L1350="Tidak dibuka","–",IF(F1350="","(tanpa age group)",F1350)&amp;"  "&amp;IF(H1350="","?",H1350)&amp;"/"&amp;IF(G1350="","?",G1350)&amp;CHAR(10)&amp;IF(K1350="","coach: –","coach: "&amp;K1350))</f>
        <v>Little  0/5
coach: –</v>
      </c>
    </row>
    <row r="1351" customFormat="false" ht="22.35" hidden="false" customHeight="false" outlineLevel="0" collapsed="false">
      <c r="A1351" s="76" t="str">
        <f aca="false">B1351&amp;"|"&amp;C1351&amp;"|"&amp;D1351&amp;"|"&amp;E1351</f>
        <v>TMP|2|Senin|13:15</v>
      </c>
      <c r="B1351" s="76" t="s">
        <v>67</v>
      </c>
      <c r="C1351" s="76" t="n">
        <v>2</v>
      </c>
      <c r="D1351" s="76" t="s">
        <v>90</v>
      </c>
      <c r="E1351" s="76" t="s">
        <v>116</v>
      </c>
      <c r="F1351" s="77" t="s">
        <v>277</v>
      </c>
      <c r="G1351" s="77" t="n">
        <v>5</v>
      </c>
      <c r="H1351" s="77" t="n">
        <v>0</v>
      </c>
      <c r="I1351" s="76" t="n">
        <f aca="false">IF(AND(ISNUMBER(G1351),ISNUMBER(H1351)),MAX(G1351-H1351,0),"")</f>
        <v>5</v>
      </c>
      <c r="J1351" s="78" t="n">
        <f aca="false">IF(AND(ISNUMBER(G1351),ISNUMBER(H1351)),IF(G1351&gt;0,H1351/G1351,""),"")</f>
        <v>0</v>
      </c>
      <c r="K1351" s="77"/>
      <c r="L1351" s="76" t="str">
        <f aca="false">IF(OR(G1351="",H1351=""),"Data tidak lengkap",IF(AND(G1351=0,H1351=0),IF(AND(F1351="",K1351=""),"Tidak dibuka","Tutup"),IF(H1351&gt;G1351,"Lebih kapasitas",IF(H1351=G1351,"Penuh",IF(H1351=0,IF(F1351="","Slot kosong","Belum terisi"),"Sebagian")))))</f>
        <v>Belum terisi</v>
      </c>
      <c r="M1351" s="79" t="str">
        <f aca="false">IF(L1351="Tidak dibuka","–",IF(F1351="","(tanpa age group)",F1351)&amp;"  "&amp;IF(H1351="","?",H1351)&amp;"/"&amp;IF(G1351="","?",G1351)&amp;CHAR(10)&amp;IF(K1351="","coach: –","coach: "&amp;K1351))</f>
        <v>Little  0/5
coach: –</v>
      </c>
    </row>
    <row r="1352" customFormat="false" ht="22.35" hidden="false" customHeight="false" outlineLevel="0" collapsed="false">
      <c r="A1352" s="76" t="str">
        <f aca="false">B1352&amp;"|"&amp;C1352&amp;"|"&amp;D1352&amp;"|"&amp;E1352</f>
        <v>TMP|2|Senin|14:00</v>
      </c>
      <c r="B1352" s="76" t="s">
        <v>67</v>
      </c>
      <c r="C1352" s="76" t="n">
        <v>2</v>
      </c>
      <c r="D1352" s="76" t="s">
        <v>90</v>
      </c>
      <c r="E1352" s="76" t="s">
        <v>117</v>
      </c>
      <c r="F1352" s="77" t="s">
        <v>277</v>
      </c>
      <c r="G1352" s="77" t="n">
        <v>5</v>
      </c>
      <c r="H1352" s="77" t="n">
        <v>0</v>
      </c>
      <c r="I1352" s="76" t="n">
        <f aca="false">IF(AND(ISNUMBER(G1352),ISNUMBER(H1352)),MAX(G1352-H1352,0),"")</f>
        <v>5</v>
      </c>
      <c r="J1352" s="78" t="n">
        <f aca="false">IF(AND(ISNUMBER(G1352),ISNUMBER(H1352)),IF(G1352&gt;0,H1352/G1352,""),"")</f>
        <v>0</v>
      </c>
      <c r="K1352" s="77"/>
      <c r="L1352" s="76" t="str">
        <f aca="false">IF(OR(G1352="",H1352=""),"Data tidak lengkap",IF(AND(G1352=0,H1352=0),IF(AND(F1352="",K1352=""),"Tidak dibuka","Tutup"),IF(H1352&gt;G1352,"Lebih kapasitas",IF(H1352=G1352,"Penuh",IF(H1352=0,IF(F1352="","Slot kosong","Belum terisi"),"Sebagian")))))</f>
        <v>Belum terisi</v>
      </c>
      <c r="M1352" s="79" t="str">
        <f aca="false">IF(L1352="Tidak dibuka","–",IF(F1352="","(tanpa age group)",F1352)&amp;"  "&amp;IF(H1352="","?",H1352)&amp;"/"&amp;IF(G1352="","?",G1352)&amp;CHAR(10)&amp;IF(K1352="","coach: –","coach: "&amp;K1352))</f>
        <v>Little  0/5
coach: –</v>
      </c>
    </row>
    <row r="1353" customFormat="false" ht="22.35" hidden="false" customHeight="false" outlineLevel="0" collapsed="false">
      <c r="A1353" s="76" t="str">
        <f aca="false">B1353&amp;"|"&amp;C1353&amp;"|"&amp;D1353&amp;"|"&amp;E1353</f>
        <v>TMP|2|Senin|14:45</v>
      </c>
      <c r="B1353" s="76" t="s">
        <v>67</v>
      </c>
      <c r="C1353" s="76" t="n">
        <v>2</v>
      </c>
      <c r="D1353" s="76" t="s">
        <v>90</v>
      </c>
      <c r="E1353" s="76" t="s">
        <v>118</v>
      </c>
      <c r="F1353" s="77" t="s">
        <v>277</v>
      </c>
      <c r="G1353" s="77" t="n">
        <v>5</v>
      </c>
      <c r="H1353" s="77" t="n">
        <v>0</v>
      </c>
      <c r="I1353" s="76" t="n">
        <f aca="false">IF(AND(ISNUMBER(G1353),ISNUMBER(H1353)),MAX(G1353-H1353,0),"")</f>
        <v>5</v>
      </c>
      <c r="J1353" s="78" t="n">
        <f aca="false">IF(AND(ISNUMBER(G1353),ISNUMBER(H1353)),IF(G1353&gt;0,H1353/G1353,""),"")</f>
        <v>0</v>
      </c>
      <c r="K1353" s="77"/>
      <c r="L1353" s="76" t="str">
        <f aca="false">IF(OR(G1353="",H1353=""),"Data tidak lengkap",IF(AND(G1353=0,H1353=0),IF(AND(F1353="",K1353=""),"Tidak dibuka","Tutup"),IF(H1353&gt;G1353,"Lebih kapasitas",IF(H1353=G1353,"Penuh",IF(H1353=0,IF(F1353="","Slot kosong","Belum terisi"),"Sebagian")))))</f>
        <v>Belum terisi</v>
      </c>
      <c r="M1353" s="79" t="str">
        <f aca="false">IF(L1353="Tidak dibuka","–",IF(F1353="","(tanpa age group)",F1353)&amp;"  "&amp;IF(H1353="","?",H1353)&amp;"/"&amp;IF(G1353="","?",G1353)&amp;CHAR(10)&amp;IF(K1353="","coach: –","coach: "&amp;K1353))</f>
        <v>Little  0/5
coach: –</v>
      </c>
    </row>
    <row r="1354" customFormat="false" ht="22.35" hidden="false" customHeight="false" outlineLevel="0" collapsed="false">
      <c r="A1354" s="76" t="str">
        <f aca="false">B1354&amp;"|"&amp;C1354&amp;"|"&amp;D1354&amp;"|"&amp;E1354</f>
        <v>TMP|2|Senin|15:30</v>
      </c>
      <c r="B1354" s="76" t="s">
        <v>67</v>
      </c>
      <c r="C1354" s="76" t="n">
        <v>2</v>
      </c>
      <c r="D1354" s="76" t="s">
        <v>90</v>
      </c>
      <c r="E1354" s="76" t="s">
        <v>119</v>
      </c>
      <c r="F1354" s="77" t="s">
        <v>277</v>
      </c>
      <c r="G1354" s="77" t="n">
        <v>5</v>
      </c>
      <c r="H1354" s="77" t="n">
        <v>0</v>
      </c>
      <c r="I1354" s="76" t="n">
        <f aca="false">IF(AND(ISNUMBER(G1354),ISNUMBER(H1354)),MAX(G1354-H1354,0),"")</f>
        <v>5</v>
      </c>
      <c r="J1354" s="78" t="n">
        <f aca="false">IF(AND(ISNUMBER(G1354),ISNUMBER(H1354)),IF(G1354&gt;0,H1354/G1354,""),"")</f>
        <v>0</v>
      </c>
      <c r="K1354" s="77"/>
      <c r="L1354" s="76" t="str">
        <f aca="false">IF(OR(G1354="",H1354=""),"Data tidak lengkap",IF(AND(G1354=0,H1354=0),IF(AND(F1354="",K1354=""),"Tidak dibuka","Tutup"),IF(H1354&gt;G1354,"Lebih kapasitas",IF(H1354=G1354,"Penuh",IF(H1354=0,IF(F1354="","Slot kosong","Belum terisi"),"Sebagian")))))</f>
        <v>Belum terisi</v>
      </c>
      <c r="M1354" s="79" t="str">
        <f aca="false">IF(L1354="Tidak dibuka","–",IF(F1354="","(tanpa age group)",F1354)&amp;"  "&amp;IF(H1354="","?",H1354)&amp;"/"&amp;IF(G1354="","?",G1354)&amp;CHAR(10)&amp;IF(K1354="","coach: –","coach: "&amp;K1354))</f>
        <v>Little  0/5
coach: –</v>
      </c>
    </row>
    <row r="1355" customFormat="false" ht="22.35" hidden="false" customHeight="false" outlineLevel="0" collapsed="false">
      <c r="A1355" s="76" t="str">
        <f aca="false">B1355&amp;"|"&amp;C1355&amp;"|"&amp;D1355&amp;"|"&amp;E1355</f>
        <v>TMP|2|Senin|16:15</v>
      </c>
      <c r="B1355" s="76" t="s">
        <v>67</v>
      </c>
      <c r="C1355" s="76" t="n">
        <v>2</v>
      </c>
      <c r="D1355" s="76" t="s">
        <v>90</v>
      </c>
      <c r="E1355" s="76" t="s">
        <v>120</v>
      </c>
      <c r="F1355" s="77" t="s">
        <v>277</v>
      </c>
      <c r="G1355" s="77" t="n">
        <v>5</v>
      </c>
      <c r="H1355" s="77" t="n">
        <v>0</v>
      </c>
      <c r="I1355" s="76" t="n">
        <f aca="false">IF(AND(ISNUMBER(G1355),ISNUMBER(H1355)),MAX(G1355-H1355,0),"")</f>
        <v>5</v>
      </c>
      <c r="J1355" s="78" t="n">
        <f aca="false">IF(AND(ISNUMBER(G1355),ISNUMBER(H1355)),IF(G1355&gt;0,H1355/G1355,""),"")</f>
        <v>0</v>
      </c>
      <c r="K1355" s="77"/>
      <c r="L1355" s="76" t="str">
        <f aca="false">IF(OR(G1355="",H1355=""),"Data tidak lengkap",IF(AND(G1355=0,H1355=0),IF(AND(F1355="",K1355=""),"Tidak dibuka","Tutup"),IF(H1355&gt;G1355,"Lebih kapasitas",IF(H1355=G1355,"Penuh",IF(H1355=0,IF(F1355="","Slot kosong","Belum terisi"),"Sebagian")))))</f>
        <v>Belum terisi</v>
      </c>
      <c r="M1355" s="79" t="str">
        <f aca="false">IF(L1355="Tidak dibuka","–",IF(F1355="","(tanpa age group)",F1355)&amp;"  "&amp;IF(H1355="","?",H1355)&amp;"/"&amp;IF(G1355="","?",G1355)&amp;CHAR(10)&amp;IF(K1355="","coach: –","coach: "&amp;K1355))</f>
        <v>Little  0/5
coach: –</v>
      </c>
    </row>
    <row r="1356" customFormat="false" ht="22.35" hidden="false" customHeight="false" outlineLevel="0" collapsed="false">
      <c r="A1356" s="76" t="str">
        <f aca="false">B1356&amp;"|"&amp;C1356&amp;"|"&amp;D1356&amp;"|"&amp;E1356</f>
        <v>TMP|2|Senin|17:00</v>
      </c>
      <c r="B1356" s="76" t="s">
        <v>67</v>
      </c>
      <c r="C1356" s="76" t="n">
        <v>2</v>
      </c>
      <c r="D1356" s="76" t="s">
        <v>90</v>
      </c>
      <c r="E1356" s="76" t="s">
        <v>121</v>
      </c>
      <c r="F1356" s="77" t="s">
        <v>277</v>
      </c>
      <c r="G1356" s="77" t="n">
        <v>5</v>
      </c>
      <c r="H1356" s="77" t="n">
        <v>0</v>
      </c>
      <c r="I1356" s="76" t="n">
        <f aca="false">IF(AND(ISNUMBER(G1356),ISNUMBER(H1356)),MAX(G1356-H1356,0),"")</f>
        <v>5</v>
      </c>
      <c r="J1356" s="78" t="n">
        <f aca="false">IF(AND(ISNUMBER(G1356),ISNUMBER(H1356)),IF(G1356&gt;0,H1356/G1356,""),"")</f>
        <v>0</v>
      </c>
      <c r="K1356" s="77"/>
      <c r="L1356" s="76" t="str">
        <f aca="false">IF(OR(G1356="",H1356=""),"Data tidak lengkap",IF(AND(G1356=0,H1356=0),IF(AND(F1356="",K1356=""),"Tidak dibuka","Tutup"),IF(H1356&gt;G1356,"Lebih kapasitas",IF(H1356=G1356,"Penuh",IF(H1356=0,IF(F1356="","Slot kosong","Belum terisi"),"Sebagian")))))</f>
        <v>Belum terisi</v>
      </c>
      <c r="M1356" s="79" t="str">
        <f aca="false">IF(L1356="Tidak dibuka","–",IF(F1356="","(tanpa age group)",F1356)&amp;"  "&amp;IF(H1356="","?",H1356)&amp;"/"&amp;IF(G1356="","?",G1356)&amp;CHAR(10)&amp;IF(K1356="","coach: –","coach: "&amp;K1356))</f>
        <v>Little  0/5
coach: –</v>
      </c>
    </row>
    <row r="1357" customFormat="false" ht="22.35" hidden="false" customHeight="false" outlineLevel="0" collapsed="false">
      <c r="A1357" s="76" t="str">
        <f aca="false">B1357&amp;"|"&amp;C1357&amp;"|"&amp;D1357&amp;"|"&amp;E1357</f>
        <v>TMP|2|Selasa|08:00</v>
      </c>
      <c r="B1357" s="76" t="s">
        <v>67</v>
      </c>
      <c r="C1357" s="76" t="n">
        <v>2</v>
      </c>
      <c r="D1357" s="76" t="s">
        <v>91</v>
      </c>
      <c r="E1357" s="76" t="s">
        <v>110</v>
      </c>
      <c r="F1357" s="77" t="s">
        <v>277</v>
      </c>
      <c r="G1357" s="77" t="n">
        <v>5</v>
      </c>
      <c r="H1357" s="77" t="n">
        <v>0</v>
      </c>
      <c r="I1357" s="76" t="n">
        <f aca="false">IF(AND(ISNUMBER(G1357),ISNUMBER(H1357)),MAX(G1357-H1357,0),"")</f>
        <v>5</v>
      </c>
      <c r="J1357" s="78" t="n">
        <f aca="false">IF(AND(ISNUMBER(G1357),ISNUMBER(H1357)),IF(G1357&gt;0,H1357/G1357,""),"")</f>
        <v>0</v>
      </c>
      <c r="K1357" s="77"/>
      <c r="L1357" s="76" t="str">
        <f aca="false">IF(OR(G1357="",H1357=""),"Data tidak lengkap",IF(AND(G1357=0,H1357=0),IF(AND(F1357="",K1357=""),"Tidak dibuka","Tutup"),IF(H1357&gt;G1357,"Lebih kapasitas",IF(H1357=G1357,"Penuh",IF(H1357=0,IF(F1357="","Slot kosong","Belum terisi"),"Sebagian")))))</f>
        <v>Belum terisi</v>
      </c>
      <c r="M1357" s="79" t="str">
        <f aca="false">IF(L1357="Tidak dibuka","–",IF(F1357="","(tanpa age group)",F1357)&amp;"  "&amp;IF(H1357="","?",H1357)&amp;"/"&amp;IF(G1357="","?",G1357)&amp;CHAR(10)&amp;IF(K1357="","coach: –","coach: "&amp;K1357))</f>
        <v>Little  0/5
coach: –</v>
      </c>
    </row>
    <row r="1358" customFormat="false" ht="22.35" hidden="false" customHeight="false" outlineLevel="0" collapsed="false">
      <c r="A1358" s="76" t="str">
        <f aca="false">B1358&amp;"|"&amp;C1358&amp;"|"&amp;D1358&amp;"|"&amp;E1358</f>
        <v>TMP|2|Selasa|08:45</v>
      </c>
      <c r="B1358" s="76" t="s">
        <v>67</v>
      </c>
      <c r="C1358" s="76" t="n">
        <v>2</v>
      </c>
      <c r="D1358" s="76" t="s">
        <v>91</v>
      </c>
      <c r="E1358" s="76" t="s">
        <v>111</v>
      </c>
      <c r="F1358" s="77" t="s">
        <v>277</v>
      </c>
      <c r="G1358" s="77" t="n">
        <v>5</v>
      </c>
      <c r="H1358" s="77" t="n">
        <v>0</v>
      </c>
      <c r="I1358" s="76" t="n">
        <f aca="false">IF(AND(ISNUMBER(G1358),ISNUMBER(H1358)),MAX(G1358-H1358,0),"")</f>
        <v>5</v>
      </c>
      <c r="J1358" s="78" t="n">
        <f aca="false">IF(AND(ISNUMBER(G1358),ISNUMBER(H1358)),IF(G1358&gt;0,H1358/G1358,""),"")</f>
        <v>0</v>
      </c>
      <c r="K1358" s="77"/>
      <c r="L1358" s="76" t="str">
        <f aca="false">IF(OR(G1358="",H1358=""),"Data tidak lengkap",IF(AND(G1358=0,H1358=0),IF(AND(F1358="",K1358=""),"Tidak dibuka","Tutup"),IF(H1358&gt;G1358,"Lebih kapasitas",IF(H1358=G1358,"Penuh",IF(H1358=0,IF(F1358="","Slot kosong","Belum terisi"),"Sebagian")))))</f>
        <v>Belum terisi</v>
      </c>
      <c r="M1358" s="79" t="str">
        <f aca="false">IF(L1358="Tidak dibuka","–",IF(F1358="","(tanpa age group)",F1358)&amp;"  "&amp;IF(H1358="","?",H1358)&amp;"/"&amp;IF(G1358="","?",G1358)&amp;CHAR(10)&amp;IF(K1358="","coach: –","coach: "&amp;K1358))</f>
        <v>Little  0/5
coach: –</v>
      </c>
    </row>
    <row r="1359" customFormat="false" ht="22.35" hidden="false" customHeight="false" outlineLevel="0" collapsed="false">
      <c r="A1359" s="76" t="str">
        <f aca="false">B1359&amp;"|"&amp;C1359&amp;"|"&amp;D1359&amp;"|"&amp;E1359</f>
        <v>TMP|2|Selasa|09:30</v>
      </c>
      <c r="B1359" s="76" t="s">
        <v>67</v>
      </c>
      <c r="C1359" s="76" t="n">
        <v>2</v>
      </c>
      <c r="D1359" s="76" t="s">
        <v>91</v>
      </c>
      <c r="E1359" s="76" t="s">
        <v>112</v>
      </c>
      <c r="F1359" s="77" t="s">
        <v>277</v>
      </c>
      <c r="G1359" s="77" t="n">
        <v>5</v>
      </c>
      <c r="H1359" s="77" t="n">
        <v>1</v>
      </c>
      <c r="I1359" s="76" t="n">
        <f aca="false">IF(AND(ISNUMBER(G1359),ISNUMBER(H1359)),MAX(G1359-H1359,0),"")</f>
        <v>4</v>
      </c>
      <c r="J1359" s="78" t="n">
        <f aca="false">IF(AND(ISNUMBER(G1359),ISNUMBER(H1359)),IF(G1359&gt;0,H1359/G1359,""),"")</f>
        <v>0.2</v>
      </c>
      <c r="K1359" s="77" t="s">
        <v>376</v>
      </c>
      <c r="L1359" s="76" t="str">
        <f aca="false">IF(OR(G1359="",H1359=""),"Data tidak lengkap",IF(AND(G1359=0,H1359=0),IF(AND(F1359="",K1359=""),"Tidak dibuka","Tutup"),IF(H1359&gt;G1359,"Lebih kapasitas",IF(H1359=G1359,"Penuh",IF(H1359=0,IF(F1359="","Slot kosong","Belum terisi"),"Sebagian")))))</f>
        <v>Sebagian</v>
      </c>
      <c r="M1359" s="79" t="str">
        <f aca="false">IF(L1359="Tidak dibuka","–",IF(F1359="","(tanpa age group)",F1359)&amp;"  "&amp;IF(H1359="","?",H1359)&amp;"/"&amp;IF(G1359="","?",G1359)&amp;CHAR(10)&amp;IF(K1359="","coach: –","coach: "&amp;K1359))</f>
        <v>Little  1/5
coach: Irvan</v>
      </c>
    </row>
    <row r="1360" customFormat="false" ht="22.35" hidden="false" customHeight="false" outlineLevel="0" collapsed="false">
      <c r="A1360" s="76" t="str">
        <f aca="false">B1360&amp;"|"&amp;C1360&amp;"|"&amp;D1360&amp;"|"&amp;E1360</f>
        <v>TMP|2|Selasa|10:15</v>
      </c>
      <c r="B1360" s="76" t="s">
        <v>67</v>
      </c>
      <c r="C1360" s="76" t="n">
        <v>2</v>
      </c>
      <c r="D1360" s="76" t="s">
        <v>91</v>
      </c>
      <c r="E1360" s="76" t="s">
        <v>113</v>
      </c>
      <c r="F1360" s="77" t="s">
        <v>277</v>
      </c>
      <c r="G1360" s="77" t="n">
        <v>5</v>
      </c>
      <c r="H1360" s="77" t="n">
        <v>0</v>
      </c>
      <c r="I1360" s="76" t="n">
        <f aca="false">IF(AND(ISNUMBER(G1360),ISNUMBER(H1360)),MAX(G1360-H1360,0),"")</f>
        <v>5</v>
      </c>
      <c r="J1360" s="78" t="n">
        <f aca="false">IF(AND(ISNUMBER(G1360),ISNUMBER(H1360)),IF(G1360&gt;0,H1360/G1360,""),"")</f>
        <v>0</v>
      </c>
      <c r="K1360" s="77"/>
      <c r="L1360" s="76" t="str">
        <f aca="false">IF(OR(G1360="",H1360=""),"Data tidak lengkap",IF(AND(G1360=0,H1360=0),IF(AND(F1360="",K1360=""),"Tidak dibuka","Tutup"),IF(H1360&gt;G1360,"Lebih kapasitas",IF(H1360=G1360,"Penuh",IF(H1360=0,IF(F1360="","Slot kosong","Belum terisi"),"Sebagian")))))</f>
        <v>Belum terisi</v>
      </c>
      <c r="M1360" s="79" t="str">
        <f aca="false">IF(L1360="Tidak dibuka","–",IF(F1360="","(tanpa age group)",F1360)&amp;"  "&amp;IF(H1360="","?",H1360)&amp;"/"&amp;IF(G1360="","?",G1360)&amp;CHAR(10)&amp;IF(K1360="","coach: –","coach: "&amp;K1360))</f>
        <v>Little  0/5
coach: –</v>
      </c>
    </row>
    <row r="1361" customFormat="false" ht="22.35" hidden="false" customHeight="false" outlineLevel="0" collapsed="false">
      <c r="A1361" s="76" t="str">
        <f aca="false">B1361&amp;"|"&amp;C1361&amp;"|"&amp;D1361&amp;"|"&amp;E1361</f>
        <v>TMP|2|Selasa|11:00</v>
      </c>
      <c r="B1361" s="76" t="s">
        <v>67</v>
      </c>
      <c r="C1361" s="76" t="n">
        <v>2</v>
      </c>
      <c r="D1361" s="76" t="s">
        <v>91</v>
      </c>
      <c r="E1361" s="76" t="s">
        <v>114</v>
      </c>
      <c r="F1361" s="77" t="s">
        <v>277</v>
      </c>
      <c r="G1361" s="77" t="n">
        <v>5</v>
      </c>
      <c r="H1361" s="77" t="n">
        <v>2</v>
      </c>
      <c r="I1361" s="76" t="n">
        <f aca="false">IF(AND(ISNUMBER(G1361),ISNUMBER(H1361)),MAX(G1361-H1361,0),"")</f>
        <v>3</v>
      </c>
      <c r="J1361" s="78" t="n">
        <f aca="false">IF(AND(ISNUMBER(G1361),ISNUMBER(H1361)),IF(G1361&gt;0,H1361/G1361,""),"")</f>
        <v>0.4</v>
      </c>
      <c r="K1361" s="77" t="s">
        <v>375</v>
      </c>
      <c r="L1361" s="76" t="str">
        <f aca="false">IF(OR(G1361="",H1361=""),"Data tidak lengkap",IF(AND(G1361=0,H1361=0),IF(AND(F1361="",K1361=""),"Tidak dibuka","Tutup"),IF(H1361&gt;G1361,"Lebih kapasitas",IF(H1361=G1361,"Penuh",IF(H1361=0,IF(F1361="","Slot kosong","Belum terisi"),"Sebagian")))))</f>
        <v>Sebagian</v>
      </c>
      <c r="M1361" s="79" t="str">
        <f aca="false">IF(L1361="Tidak dibuka","–",IF(F1361="","(tanpa age group)",F1361)&amp;"  "&amp;IF(H1361="","?",H1361)&amp;"/"&amp;IF(G1361="","?",G1361)&amp;CHAR(10)&amp;IF(K1361="","coach: –","coach: "&amp;K1361))</f>
        <v>Little  2/5
coach: Iqbal</v>
      </c>
    </row>
    <row r="1362" customFormat="false" ht="22.35" hidden="false" customHeight="false" outlineLevel="0" collapsed="false">
      <c r="A1362" s="76" t="str">
        <f aca="false">B1362&amp;"|"&amp;C1362&amp;"|"&amp;D1362&amp;"|"&amp;E1362</f>
        <v>TMP|2|Selasa|11:45</v>
      </c>
      <c r="B1362" s="76" t="s">
        <v>67</v>
      </c>
      <c r="C1362" s="76" t="n">
        <v>2</v>
      </c>
      <c r="D1362" s="76" t="s">
        <v>91</v>
      </c>
      <c r="E1362" s="76" t="s">
        <v>115</v>
      </c>
      <c r="F1362" s="77" t="s">
        <v>277</v>
      </c>
      <c r="G1362" s="77" t="n">
        <v>5</v>
      </c>
      <c r="H1362" s="77" t="n">
        <v>0</v>
      </c>
      <c r="I1362" s="76" t="n">
        <f aca="false">IF(AND(ISNUMBER(G1362),ISNUMBER(H1362)),MAX(G1362-H1362,0),"")</f>
        <v>5</v>
      </c>
      <c r="J1362" s="78" t="n">
        <f aca="false">IF(AND(ISNUMBER(G1362),ISNUMBER(H1362)),IF(G1362&gt;0,H1362/G1362,""),"")</f>
        <v>0</v>
      </c>
      <c r="K1362" s="77"/>
      <c r="L1362" s="76" t="str">
        <f aca="false">IF(OR(G1362="",H1362=""),"Data tidak lengkap",IF(AND(G1362=0,H1362=0),IF(AND(F1362="",K1362=""),"Tidak dibuka","Tutup"),IF(H1362&gt;G1362,"Lebih kapasitas",IF(H1362=G1362,"Penuh",IF(H1362=0,IF(F1362="","Slot kosong","Belum terisi"),"Sebagian")))))</f>
        <v>Belum terisi</v>
      </c>
      <c r="M1362" s="79" t="str">
        <f aca="false">IF(L1362="Tidak dibuka","–",IF(F1362="","(tanpa age group)",F1362)&amp;"  "&amp;IF(H1362="","?",H1362)&amp;"/"&amp;IF(G1362="","?",G1362)&amp;CHAR(10)&amp;IF(K1362="","coach: –","coach: "&amp;K1362))</f>
        <v>Little  0/5
coach: –</v>
      </c>
    </row>
    <row r="1363" customFormat="false" ht="22.35" hidden="false" customHeight="false" outlineLevel="0" collapsed="false">
      <c r="A1363" s="76" t="str">
        <f aca="false">B1363&amp;"|"&amp;C1363&amp;"|"&amp;D1363&amp;"|"&amp;E1363</f>
        <v>TMP|2|Selasa|13:15</v>
      </c>
      <c r="B1363" s="76" t="s">
        <v>67</v>
      </c>
      <c r="C1363" s="76" t="n">
        <v>2</v>
      </c>
      <c r="D1363" s="76" t="s">
        <v>91</v>
      </c>
      <c r="E1363" s="76" t="s">
        <v>116</v>
      </c>
      <c r="F1363" s="77" t="s">
        <v>277</v>
      </c>
      <c r="G1363" s="77" t="n">
        <v>5</v>
      </c>
      <c r="H1363" s="77" t="n">
        <v>0</v>
      </c>
      <c r="I1363" s="76" t="n">
        <f aca="false">IF(AND(ISNUMBER(G1363),ISNUMBER(H1363)),MAX(G1363-H1363,0),"")</f>
        <v>5</v>
      </c>
      <c r="J1363" s="78" t="n">
        <f aca="false">IF(AND(ISNUMBER(G1363),ISNUMBER(H1363)),IF(G1363&gt;0,H1363/G1363,""),"")</f>
        <v>0</v>
      </c>
      <c r="K1363" s="77"/>
      <c r="L1363" s="76" t="str">
        <f aca="false">IF(OR(G1363="",H1363=""),"Data tidak lengkap",IF(AND(G1363=0,H1363=0),IF(AND(F1363="",K1363=""),"Tidak dibuka","Tutup"),IF(H1363&gt;G1363,"Lebih kapasitas",IF(H1363=G1363,"Penuh",IF(H1363=0,IF(F1363="","Slot kosong","Belum terisi"),"Sebagian")))))</f>
        <v>Belum terisi</v>
      </c>
      <c r="M1363" s="79" t="str">
        <f aca="false">IF(L1363="Tidak dibuka","–",IF(F1363="","(tanpa age group)",F1363)&amp;"  "&amp;IF(H1363="","?",H1363)&amp;"/"&amp;IF(G1363="","?",G1363)&amp;CHAR(10)&amp;IF(K1363="","coach: –","coach: "&amp;K1363))</f>
        <v>Little  0/5
coach: –</v>
      </c>
    </row>
    <row r="1364" customFormat="false" ht="22.35" hidden="false" customHeight="false" outlineLevel="0" collapsed="false">
      <c r="A1364" s="76" t="str">
        <f aca="false">B1364&amp;"|"&amp;C1364&amp;"|"&amp;D1364&amp;"|"&amp;E1364</f>
        <v>TMP|2|Selasa|14:00</v>
      </c>
      <c r="B1364" s="76" t="s">
        <v>67</v>
      </c>
      <c r="C1364" s="76" t="n">
        <v>2</v>
      </c>
      <c r="D1364" s="76" t="s">
        <v>91</v>
      </c>
      <c r="E1364" s="76" t="s">
        <v>117</v>
      </c>
      <c r="F1364" s="77" t="s">
        <v>277</v>
      </c>
      <c r="G1364" s="77" t="n">
        <v>5</v>
      </c>
      <c r="H1364" s="77" t="n">
        <v>0</v>
      </c>
      <c r="I1364" s="76" t="n">
        <f aca="false">IF(AND(ISNUMBER(G1364),ISNUMBER(H1364)),MAX(G1364-H1364,0),"")</f>
        <v>5</v>
      </c>
      <c r="J1364" s="78" t="n">
        <f aca="false">IF(AND(ISNUMBER(G1364),ISNUMBER(H1364)),IF(G1364&gt;0,H1364/G1364,""),"")</f>
        <v>0</v>
      </c>
      <c r="K1364" s="77"/>
      <c r="L1364" s="76" t="str">
        <f aca="false">IF(OR(G1364="",H1364=""),"Data tidak lengkap",IF(AND(G1364=0,H1364=0),IF(AND(F1364="",K1364=""),"Tidak dibuka","Tutup"),IF(H1364&gt;G1364,"Lebih kapasitas",IF(H1364=G1364,"Penuh",IF(H1364=0,IF(F1364="","Slot kosong","Belum terisi"),"Sebagian")))))</f>
        <v>Belum terisi</v>
      </c>
      <c r="M1364" s="79" t="str">
        <f aca="false">IF(L1364="Tidak dibuka","–",IF(F1364="","(tanpa age group)",F1364)&amp;"  "&amp;IF(H1364="","?",H1364)&amp;"/"&amp;IF(G1364="","?",G1364)&amp;CHAR(10)&amp;IF(K1364="","coach: –","coach: "&amp;K1364))</f>
        <v>Little  0/5
coach: –</v>
      </c>
    </row>
    <row r="1365" customFormat="false" ht="22.35" hidden="false" customHeight="false" outlineLevel="0" collapsed="false">
      <c r="A1365" s="76" t="str">
        <f aca="false">B1365&amp;"|"&amp;C1365&amp;"|"&amp;D1365&amp;"|"&amp;E1365</f>
        <v>TMP|2|Selasa|14:45</v>
      </c>
      <c r="B1365" s="76" t="s">
        <v>67</v>
      </c>
      <c r="C1365" s="76" t="n">
        <v>2</v>
      </c>
      <c r="D1365" s="76" t="s">
        <v>91</v>
      </c>
      <c r="E1365" s="76" t="s">
        <v>118</v>
      </c>
      <c r="F1365" s="77" t="s">
        <v>277</v>
      </c>
      <c r="G1365" s="77" t="n">
        <v>5</v>
      </c>
      <c r="H1365" s="77" t="n">
        <v>0</v>
      </c>
      <c r="I1365" s="76" t="n">
        <f aca="false">IF(AND(ISNUMBER(G1365),ISNUMBER(H1365)),MAX(G1365-H1365,0),"")</f>
        <v>5</v>
      </c>
      <c r="J1365" s="78" t="n">
        <f aca="false">IF(AND(ISNUMBER(G1365),ISNUMBER(H1365)),IF(G1365&gt;0,H1365/G1365,""),"")</f>
        <v>0</v>
      </c>
      <c r="K1365" s="77"/>
      <c r="L1365" s="76" t="str">
        <f aca="false">IF(OR(G1365="",H1365=""),"Data tidak lengkap",IF(AND(G1365=0,H1365=0),IF(AND(F1365="",K1365=""),"Tidak dibuka","Tutup"),IF(H1365&gt;G1365,"Lebih kapasitas",IF(H1365=G1365,"Penuh",IF(H1365=0,IF(F1365="","Slot kosong","Belum terisi"),"Sebagian")))))</f>
        <v>Belum terisi</v>
      </c>
      <c r="M1365" s="79" t="str">
        <f aca="false">IF(L1365="Tidak dibuka","–",IF(F1365="","(tanpa age group)",F1365)&amp;"  "&amp;IF(H1365="","?",H1365)&amp;"/"&amp;IF(G1365="","?",G1365)&amp;CHAR(10)&amp;IF(K1365="","coach: –","coach: "&amp;K1365))</f>
        <v>Little  0/5
coach: –</v>
      </c>
    </row>
    <row r="1366" customFormat="false" ht="22.35" hidden="false" customHeight="false" outlineLevel="0" collapsed="false">
      <c r="A1366" s="76" t="str">
        <f aca="false">B1366&amp;"|"&amp;C1366&amp;"|"&amp;D1366&amp;"|"&amp;E1366</f>
        <v>TMP|2|Selasa|15:30</v>
      </c>
      <c r="B1366" s="76" t="s">
        <v>67</v>
      </c>
      <c r="C1366" s="76" t="n">
        <v>2</v>
      </c>
      <c r="D1366" s="76" t="s">
        <v>91</v>
      </c>
      <c r="E1366" s="76" t="s">
        <v>119</v>
      </c>
      <c r="F1366" s="77" t="s">
        <v>277</v>
      </c>
      <c r="G1366" s="77" t="n">
        <v>5</v>
      </c>
      <c r="H1366" s="77" t="n">
        <v>0</v>
      </c>
      <c r="I1366" s="76" t="n">
        <f aca="false">IF(AND(ISNUMBER(G1366),ISNUMBER(H1366)),MAX(G1366-H1366,0),"")</f>
        <v>5</v>
      </c>
      <c r="J1366" s="78" t="n">
        <f aca="false">IF(AND(ISNUMBER(G1366),ISNUMBER(H1366)),IF(G1366&gt;0,H1366/G1366,""),"")</f>
        <v>0</v>
      </c>
      <c r="K1366" s="77"/>
      <c r="L1366" s="76" t="str">
        <f aca="false">IF(OR(G1366="",H1366=""),"Data tidak lengkap",IF(AND(G1366=0,H1366=0),IF(AND(F1366="",K1366=""),"Tidak dibuka","Tutup"),IF(H1366&gt;G1366,"Lebih kapasitas",IF(H1366=G1366,"Penuh",IF(H1366=0,IF(F1366="","Slot kosong","Belum terisi"),"Sebagian")))))</f>
        <v>Belum terisi</v>
      </c>
      <c r="M1366" s="79" t="str">
        <f aca="false">IF(L1366="Tidak dibuka","–",IF(F1366="","(tanpa age group)",F1366)&amp;"  "&amp;IF(H1366="","?",H1366)&amp;"/"&amp;IF(G1366="","?",G1366)&amp;CHAR(10)&amp;IF(K1366="","coach: –","coach: "&amp;K1366))</f>
        <v>Little  0/5
coach: –</v>
      </c>
    </row>
    <row r="1367" customFormat="false" ht="22.35" hidden="false" customHeight="false" outlineLevel="0" collapsed="false">
      <c r="A1367" s="76" t="str">
        <f aca="false">B1367&amp;"|"&amp;C1367&amp;"|"&amp;D1367&amp;"|"&amp;E1367</f>
        <v>TMP|2|Selasa|16:15</v>
      </c>
      <c r="B1367" s="76" t="s">
        <v>67</v>
      </c>
      <c r="C1367" s="76" t="n">
        <v>2</v>
      </c>
      <c r="D1367" s="76" t="s">
        <v>91</v>
      </c>
      <c r="E1367" s="76" t="s">
        <v>120</v>
      </c>
      <c r="F1367" s="77" t="s">
        <v>277</v>
      </c>
      <c r="G1367" s="77" t="n">
        <v>5</v>
      </c>
      <c r="H1367" s="77" t="n">
        <v>2</v>
      </c>
      <c r="I1367" s="76" t="n">
        <f aca="false">IF(AND(ISNUMBER(G1367),ISNUMBER(H1367)),MAX(G1367-H1367,0),"")</f>
        <v>3</v>
      </c>
      <c r="J1367" s="78" t="n">
        <f aca="false">IF(AND(ISNUMBER(G1367),ISNUMBER(H1367)),IF(G1367&gt;0,H1367/G1367,""),"")</f>
        <v>0.4</v>
      </c>
      <c r="K1367" s="77" t="s">
        <v>376</v>
      </c>
      <c r="L1367" s="76" t="str">
        <f aca="false">IF(OR(G1367="",H1367=""),"Data tidak lengkap",IF(AND(G1367=0,H1367=0),IF(AND(F1367="",K1367=""),"Tidak dibuka","Tutup"),IF(H1367&gt;G1367,"Lebih kapasitas",IF(H1367=G1367,"Penuh",IF(H1367=0,IF(F1367="","Slot kosong","Belum terisi"),"Sebagian")))))</f>
        <v>Sebagian</v>
      </c>
      <c r="M1367" s="79" t="str">
        <f aca="false">IF(L1367="Tidak dibuka","–",IF(F1367="","(tanpa age group)",F1367)&amp;"  "&amp;IF(H1367="","?",H1367)&amp;"/"&amp;IF(G1367="","?",G1367)&amp;CHAR(10)&amp;IF(K1367="","coach: –","coach: "&amp;K1367))</f>
        <v>Little  2/5
coach: Irvan</v>
      </c>
    </row>
    <row r="1368" customFormat="false" ht="22.35" hidden="false" customHeight="false" outlineLevel="0" collapsed="false">
      <c r="A1368" s="76" t="str">
        <f aca="false">B1368&amp;"|"&amp;C1368&amp;"|"&amp;D1368&amp;"|"&amp;E1368</f>
        <v>TMP|2|Selasa|17:00</v>
      </c>
      <c r="B1368" s="76" t="s">
        <v>67</v>
      </c>
      <c r="C1368" s="76" t="n">
        <v>2</v>
      </c>
      <c r="D1368" s="76" t="s">
        <v>91</v>
      </c>
      <c r="E1368" s="76" t="s">
        <v>121</v>
      </c>
      <c r="F1368" s="77" t="s">
        <v>277</v>
      </c>
      <c r="G1368" s="77" t="n">
        <v>5</v>
      </c>
      <c r="H1368" s="77" t="n">
        <v>0</v>
      </c>
      <c r="I1368" s="76" t="n">
        <f aca="false">IF(AND(ISNUMBER(G1368),ISNUMBER(H1368)),MAX(G1368-H1368,0),"")</f>
        <v>5</v>
      </c>
      <c r="J1368" s="78" t="n">
        <f aca="false">IF(AND(ISNUMBER(G1368),ISNUMBER(H1368)),IF(G1368&gt;0,H1368/G1368,""),"")</f>
        <v>0</v>
      </c>
      <c r="K1368" s="77"/>
      <c r="L1368" s="76" t="str">
        <f aca="false">IF(OR(G1368="",H1368=""),"Data tidak lengkap",IF(AND(G1368=0,H1368=0),IF(AND(F1368="",K1368=""),"Tidak dibuka","Tutup"),IF(H1368&gt;G1368,"Lebih kapasitas",IF(H1368=G1368,"Penuh",IF(H1368=0,IF(F1368="","Slot kosong","Belum terisi"),"Sebagian")))))</f>
        <v>Belum terisi</v>
      </c>
      <c r="M1368" s="79" t="str">
        <f aca="false">IF(L1368="Tidak dibuka","–",IF(F1368="","(tanpa age group)",F1368)&amp;"  "&amp;IF(H1368="","?",H1368)&amp;"/"&amp;IF(G1368="","?",G1368)&amp;CHAR(10)&amp;IF(K1368="","coach: –","coach: "&amp;K1368))</f>
        <v>Little  0/5
coach: –</v>
      </c>
    </row>
    <row r="1369" customFormat="false" ht="22.35" hidden="false" customHeight="false" outlineLevel="0" collapsed="false">
      <c r="A1369" s="76" t="str">
        <f aca="false">B1369&amp;"|"&amp;C1369&amp;"|"&amp;D1369&amp;"|"&amp;E1369</f>
        <v>TMP|2|Rabu|08:00</v>
      </c>
      <c r="B1369" s="76" t="s">
        <v>67</v>
      </c>
      <c r="C1369" s="76" t="n">
        <v>2</v>
      </c>
      <c r="D1369" s="76" t="s">
        <v>92</v>
      </c>
      <c r="E1369" s="76" t="s">
        <v>110</v>
      </c>
      <c r="F1369" s="77" t="s">
        <v>277</v>
      </c>
      <c r="G1369" s="77" t="n">
        <v>5</v>
      </c>
      <c r="H1369" s="77" t="n">
        <v>0</v>
      </c>
      <c r="I1369" s="76" t="n">
        <f aca="false">IF(AND(ISNUMBER(G1369),ISNUMBER(H1369)),MAX(G1369-H1369,0),"")</f>
        <v>5</v>
      </c>
      <c r="J1369" s="78" t="n">
        <f aca="false">IF(AND(ISNUMBER(G1369),ISNUMBER(H1369)),IF(G1369&gt;0,H1369/G1369,""),"")</f>
        <v>0</v>
      </c>
      <c r="K1369" s="77"/>
      <c r="L1369" s="76" t="str">
        <f aca="false">IF(OR(G1369="",H1369=""),"Data tidak lengkap",IF(AND(G1369=0,H1369=0),IF(AND(F1369="",K1369=""),"Tidak dibuka","Tutup"),IF(H1369&gt;G1369,"Lebih kapasitas",IF(H1369=G1369,"Penuh",IF(H1369=0,IF(F1369="","Slot kosong","Belum terisi"),"Sebagian")))))</f>
        <v>Belum terisi</v>
      </c>
      <c r="M1369" s="79" t="str">
        <f aca="false">IF(L1369="Tidak dibuka","–",IF(F1369="","(tanpa age group)",F1369)&amp;"  "&amp;IF(H1369="","?",H1369)&amp;"/"&amp;IF(G1369="","?",G1369)&amp;CHAR(10)&amp;IF(K1369="","coach: –","coach: "&amp;K1369))</f>
        <v>Little  0/5
coach: –</v>
      </c>
    </row>
    <row r="1370" customFormat="false" ht="22.35" hidden="false" customHeight="false" outlineLevel="0" collapsed="false">
      <c r="A1370" s="76" t="str">
        <f aca="false">B1370&amp;"|"&amp;C1370&amp;"|"&amp;D1370&amp;"|"&amp;E1370</f>
        <v>TMP|2|Rabu|08:45</v>
      </c>
      <c r="B1370" s="76" t="s">
        <v>67</v>
      </c>
      <c r="C1370" s="76" t="n">
        <v>2</v>
      </c>
      <c r="D1370" s="76" t="s">
        <v>92</v>
      </c>
      <c r="E1370" s="76" t="s">
        <v>111</v>
      </c>
      <c r="F1370" s="77" t="s">
        <v>277</v>
      </c>
      <c r="G1370" s="77" t="n">
        <v>5</v>
      </c>
      <c r="H1370" s="77" t="n">
        <v>0</v>
      </c>
      <c r="I1370" s="76" t="n">
        <f aca="false">IF(AND(ISNUMBER(G1370),ISNUMBER(H1370)),MAX(G1370-H1370,0),"")</f>
        <v>5</v>
      </c>
      <c r="J1370" s="78" t="n">
        <f aca="false">IF(AND(ISNUMBER(G1370),ISNUMBER(H1370)),IF(G1370&gt;0,H1370/G1370,""),"")</f>
        <v>0</v>
      </c>
      <c r="K1370" s="77"/>
      <c r="L1370" s="76" t="str">
        <f aca="false">IF(OR(G1370="",H1370=""),"Data tidak lengkap",IF(AND(G1370=0,H1370=0),IF(AND(F1370="",K1370=""),"Tidak dibuka","Tutup"),IF(H1370&gt;G1370,"Lebih kapasitas",IF(H1370=G1370,"Penuh",IF(H1370=0,IF(F1370="","Slot kosong","Belum terisi"),"Sebagian")))))</f>
        <v>Belum terisi</v>
      </c>
      <c r="M1370" s="79" t="str">
        <f aca="false">IF(L1370="Tidak dibuka","–",IF(F1370="","(tanpa age group)",F1370)&amp;"  "&amp;IF(H1370="","?",H1370)&amp;"/"&amp;IF(G1370="","?",G1370)&amp;CHAR(10)&amp;IF(K1370="","coach: –","coach: "&amp;K1370))</f>
        <v>Little  0/5
coach: –</v>
      </c>
    </row>
    <row r="1371" customFormat="false" ht="22.35" hidden="false" customHeight="false" outlineLevel="0" collapsed="false">
      <c r="A1371" s="76" t="str">
        <f aca="false">B1371&amp;"|"&amp;C1371&amp;"|"&amp;D1371&amp;"|"&amp;E1371</f>
        <v>TMP|2|Rabu|09:30</v>
      </c>
      <c r="B1371" s="76" t="s">
        <v>67</v>
      </c>
      <c r="C1371" s="76" t="n">
        <v>2</v>
      </c>
      <c r="D1371" s="76" t="s">
        <v>92</v>
      </c>
      <c r="E1371" s="76" t="s">
        <v>112</v>
      </c>
      <c r="F1371" s="77" t="s">
        <v>277</v>
      </c>
      <c r="G1371" s="77" t="n">
        <v>5</v>
      </c>
      <c r="H1371" s="77" t="n">
        <v>0</v>
      </c>
      <c r="I1371" s="76" t="n">
        <f aca="false">IF(AND(ISNUMBER(G1371),ISNUMBER(H1371)),MAX(G1371-H1371,0),"")</f>
        <v>5</v>
      </c>
      <c r="J1371" s="78" t="n">
        <f aca="false">IF(AND(ISNUMBER(G1371),ISNUMBER(H1371)),IF(G1371&gt;0,H1371/G1371,""),"")</f>
        <v>0</v>
      </c>
      <c r="K1371" s="77"/>
      <c r="L1371" s="76" t="str">
        <f aca="false">IF(OR(G1371="",H1371=""),"Data tidak lengkap",IF(AND(G1371=0,H1371=0),IF(AND(F1371="",K1371=""),"Tidak dibuka","Tutup"),IF(H1371&gt;G1371,"Lebih kapasitas",IF(H1371=G1371,"Penuh",IF(H1371=0,IF(F1371="","Slot kosong","Belum terisi"),"Sebagian")))))</f>
        <v>Belum terisi</v>
      </c>
      <c r="M1371" s="79" t="str">
        <f aca="false">IF(L1371="Tidak dibuka","–",IF(F1371="","(tanpa age group)",F1371)&amp;"  "&amp;IF(H1371="","?",H1371)&amp;"/"&amp;IF(G1371="","?",G1371)&amp;CHAR(10)&amp;IF(K1371="","coach: –","coach: "&amp;K1371))</f>
        <v>Little  0/5
coach: –</v>
      </c>
    </row>
    <row r="1372" customFormat="false" ht="22.35" hidden="false" customHeight="false" outlineLevel="0" collapsed="false">
      <c r="A1372" s="76" t="str">
        <f aca="false">B1372&amp;"|"&amp;C1372&amp;"|"&amp;D1372&amp;"|"&amp;E1372</f>
        <v>TMP|2|Rabu|10:15</v>
      </c>
      <c r="B1372" s="76" t="s">
        <v>67</v>
      </c>
      <c r="C1372" s="76" t="n">
        <v>2</v>
      </c>
      <c r="D1372" s="76" t="s">
        <v>92</v>
      </c>
      <c r="E1372" s="76" t="s">
        <v>113</v>
      </c>
      <c r="F1372" s="77" t="s">
        <v>277</v>
      </c>
      <c r="G1372" s="77" t="n">
        <v>5</v>
      </c>
      <c r="H1372" s="77" t="n">
        <v>0</v>
      </c>
      <c r="I1372" s="76" t="n">
        <f aca="false">IF(AND(ISNUMBER(G1372),ISNUMBER(H1372)),MAX(G1372-H1372,0),"")</f>
        <v>5</v>
      </c>
      <c r="J1372" s="78" t="n">
        <f aca="false">IF(AND(ISNUMBER(G1372),ISNUMBER(H1372)),IF(G1372&gt;0,H1372/G1372,""),"")</f>
        <v>0</v>
      </c>
      <c r="K1372" s="77"/>
      <c r="L1372" s="76" t="str">
        <f aca="false">IF(OR(G1372="",H1372=""),"Data tidak lengkap",IF(AND(G1372=0,H1372=0),IF(AND(F1372="",K1372=""),"Tidak dibuka","Tutup"),IF(H1372&gt;G1372,"Lebih kapasitas",IF(H1372=G1372,"Penuh",IF(H1372=0,IF(F1372="","Slot kosong","Belum terisi"),"Sebagian")))))</f>
        <v>Belum terisi</v>
      </c>
      <c r="M1372" s="79" t="str">
        <f aca="false">IF(L1372="Tidak dibuka","–",IF(F1372="","(tanpa age group)",F1372)&amp;"  "&amp;IF(H1372="","?",H1372)&amp;"/"&amp;IF(G1372="","?",G1372)&amp;CHAR(10)&amp;IF(K1372="","coach: –","coach: "&amp;K1372))</f>
        <v>Little  0/5
coach: –</v>
      </c>
    </row>
    <row r="1373" customFormat="false" ht="22.35" hidden="false" customHeight="false" outlineLevel="0" collapsed="false">
      <c r="A1373" s="76" t="str">
        <f aca="false">B1373&amp;"|"&amp;C1373&amp;"|"&amp;D1373&amp;"|"&amp;E1373</f>
        <v>TMP|2|Rabu|11:00</v>
      </c>
      <c r="B1373" s="76" t="s">
        <v>67</v>
      </c>
      <c r="C1373" s="76" t="n">
        <v>2</v>
      </c>
      <c r="D1373" s="76" t="s">
        <v>92</v>
      </c>
      <c r="E1373" s="76" t="s">
        <v>114</v>
      </c>
      <c r="F1373" s="77" t="s">
        <v>277</v>
      </c>
      <c r="G1373" s="77" t="n">
        <v>5</v>
      </c>
      <c r="H1373" s="77" t="n">
        <v>1</v>
      </c>
      <c r="I1373" s="76" t="n">
        <f aca="false">IF(AND(ISNUMBER(G1373),ISNUMBER(H1373)),MAX(G1373-H1373,0),"")</f>
        <v>4</v>
      </c>
      <c r="J1373" s="78" t="n">
        <f aca="false">IF(AND(ISNUMBER(G1373),ISNUMBER(H1373)),IF(G1373&gt;0,H1373/G1373,""),"")</f>
        <v>0.2</v>
      </c>
      <c r="K1373" s="77" t="s">
        <v>375</v>
      </c>
      <c r="L1373" s="76" t="str">
        <f aca="false">IF(OR(G1373="",H1373=""),"Data tidak lengkap",IF(AND(G1373=0,H1373=0),IF(AND(F1373="",K1373=""),"Tidak dibuka","Tutup"),IF(H1373&gt;G1373,"Lebih kapasitas",IF(H1373=G1373,"Penuh",IF(H1373=0,IF(F1373="","Slot kosong","Belum terisi"),"Sebagian")))))</f>
        <v>Sebagian</v>
      </c>
      <c r="M1373" s="79" t="str">
        <f aca="false">IF(L1373="Tidak dibuka","–",IF(F1373="","(tanpa age group)",F1373)&amp;"  "&amp;IF(H1373="","?",H1373)&amp;"/"&amp;IF(G1373="","?",G1373)&amp;CHAR(10)&amp;IF(K1373="","coach: –","coach: "&amp;K1373))</f>
        <v>Little  1/5
coach: Iqbal</v>
      </c>
    </row>
    <row r="1374" customFormat="false" ht="22.35" hidden="false" customHeight="false" outlineLevel="0" collapsed="false">
      <c r="A1374" s="76" t="str">
        <f aca="false">B1374&amp;"|"&amp;C1374&amp;"|"&amp;D1374&amp;"|"&amp;E1374</f>
        <v>TMP|2|Rabu|11:45</v>
      </c>
      <c r="B1374" s="76" t="s">
        <v>67</v>
      </c>
      <c r="C1374" s="76" t="n">
        <v>2</v>
      </c>
      <c r="D1374" s="76" t="s">
        <v>92</v>
      </c>
      <c r="E1374" s="76" t="s">
        <v>115</v>
      </c>
      <c r="F1374" s="77" t="s">
        <v>277</v>
      </c>
      <c r="G1374" s="77" t="n">
        <v>5</v>
      </c>
      <c r="H1374" s="77" t="n">
        <v>0</v>
      </c>
      <c r="I1374" s="76" t="n">
        <f aca="false">IF(AND(ISNUMBER(G1374),ISNUMBER(H1374)),MAX(G1374-H1374,0),"")</f>
        <v>5</v>
      </c>
      <c r="J1374" s="78" t="n">
        <f aca="false">IF(AND(ISNUMBER(G1374),ISNUMBER(H1374)),IF(G1374&gt;0,H1374/G1374,""),"")</f>
        <v>0</v>
      </c>
      <c r="K1374" s="77"/>
      <c r="L1374" s="76" t="str">
        <f aca="false">IF(OR(G1374="",H1374=""),"Data tidak lengkap",IF(AND(G1374=0,H1374=0),IF(AND(F1374="",K1374=""),"Tidak dibuka","Tutup"),IF(H1374&gt;G1374,"Lebih kapasitas",IF(H1374=G1374,"Penuh",IF(H1374=0,IF(F1374="","Slot kosong","Belum terisi"),"Sebagian")))))</f>
        <v>Belum terisi</v>
      </c>
      <c r="M1374" s="79" t="str">
        <f aca="false">IF(L1374="Tidak dibuka","–",IF(F1374="","(tanpa age group)",F1374)&amp;"  "&amp;IF(H1374="","?",H1374)&amp;"/"&amp;IF(G1374="","?",G1374)&amp;CHAR(10)&amp;IF(K1374="","coach: –","coach: "&amp;K1374))</f>
        <v>Little  0/5
coach: –</v>
      </c>
    </row>
    <row r="1375" customFormat="false" ht="22.35" hidden="false" customHeight="false" outlineLevel="0" collapsed="false">
      <c r="A1375" s="76" t="str">
        <f aca="false">B1375&amp;"|"&amp;C1375&amp;"|"&amp;D1375&amp;"|"&amp;E1375</f>
        <v>TMP|2|Rabu|13:15</v>
      </c>
      <c r="B1375" s="76" t="s">
        <v>67</v>
      </c>
      <c r="C1375" s="76" t="n">
        <v>2</v>
      </c>
      <c r="D1375" s="76" t="s">
        <v>92</v>
      </c>
      <c r="E1375" s="76" t="s">
        <v>116</v>
      </c>
      <c r="F1375" s="77" t="s">
        <v>277</v>
      </c>
      <c r="G1375" s="77" t="n">
        <v>5</v>
      </c>
      <c r="H1375" s="77" t="n">
        <v>1</v>
      </c>
      <c r="I1375" s="76" t="n">
        <f aca="false">IF(AND(ISNUMBER(G1375),ISNUMBER(H1375)),MAX(G1375-H1375,0),"")</f>
        <v>4</v>
      </c>
      <c r="J1375" s="78" t="n">
        <f aca="false">IF(AND(ISNUMBER(G1375),ISNUMBER(H1375)),IF(G1375&gt;0,H1375/G1375,""),"")</f>
        <v>0.2</v>
      </c>
      <c r="K1375" s="77" t="s">
        <v>375</v>
      </c>
      <c r="L1375" s="76" t="str">
        <f aca="false">IF(OR(G1375="",H1375=""),"Data tidak lengkap",IF(AND(G1375=0,H1375=0),IF(AND(F1375="",K1375=""),"Tidak dibuka","Tutup"),IF(H1375&gt;G1375,"Lebih kapasitas",IF(H1375=G1375,"Penuh",IF(H1375=0,IF(F1375="","Slot kosong","Belum terisi"),"Sebagian")))))</f>
        <v>Sebagian</v>
      </c>
      <c r="M1375" s="79" t="str">
        <f aca="false">IF(L1375="Tidak dibuka","–",IF(F1375="","(tanpa age group)",F1375)&amp;"  "&amp;IF(H1375="","?",H1375)&amp;"/"&amp;IF(G1375="","?",G1375)&amp;CHAR(10)&amp;IF(K1375="","coach: –","coach: "&amp;K1375))</f>
        <v>Little  1/5
coach: Iqbal</v>
      </c>
    </row>
    <row r="1376" customFormat="false" ht="22.35" hidden="false" customHeight="false" outlineLevel="0" collapsed="false">
      <c r="A1376" s="76" t="str">
        <f aca="false">B1376&amp;"|"&amp;C1376&amp;"|"&amp;D1376&amp;"|"&amp;E1376</f>
        <v>TMP|2|Rabu|14:00</v>
      </c>
      <c r="B1376" s="76" t="s">
        <v>67</v>
      </c>
      <c r="C1376" s="76" t="n">
        <v>2</v>
      </c>
      <c r="D1376" s="76" t="s">
        <v>92</v>
      </c>
      <c r="E1376" s="76" t="s">
        <v>117</v>
      </c>
      <c r="F1376" s="77" t="s">
        <v>277</v>
      </c>
      <c r="G1376" s="77" t="n">
        <v>5</v>
      </c>
      <c r="H1376" s="77" t="n">
        <v>0</v>
      </c>
      <c r="I1376" s="76" t="n">
        <f aca="false">IF(AND(ISNUMBER(G1376),ISNUMBER(H1376)),MAX(G1376-H1376,0),"")</f>
        <v>5</v>
      </c>
      <c r="J1376" s="78" t="n">
        <f aca="false">IF(AND(ISNUMBER(G1376),ISNUMBER(H1376)),IF(G1376&gt;0,H1376/G1376,""),"")</f>
        <v>0</v>
      </c>
      <c r="K1376" s="77"/>
      <c r="L1376" s="76" t="str">
        <f aca="false">IF(OR(G1376="",H1376=""),"Data tidak lengkap",IF(AND(G1376=0,H1376=0),IF(AND(F1376="",K1376=""),"Tidak dibuka","Tutup"),IF(H1376&gt;G1376,"Lebih kapasitas",IF(H1376=G1376,"Penuh",IF(H1376=0,IF(F1376="","Slot kosong","Belum terisi"),"Sebagian")))))</f>
        <v>Belum terisi</v>
      </c>
      <c r="M1376" s="79" t="str">
        <f aca="false">IF(L1376="Tidak dibuka","–",IF(F1376="","(tanpa age group)",F1376)&amp;"  "&amp;IF(H1376="","?",H1376)&amp;"/"&amp;IF(G1376="","?",G1376)&amp;CHAR(10)&amp;IF(K1376="","coach: –","coach: "&amp;K1376))</f>
        <v>Little  0/5
coach: –</v>
      </c>
    </row>
    <row r="1377" customFormat="false" ht="22.35" hidden="false" customHeight="false" outlineLevel="0" collapsed="false">
      <c r="A1377" s="76" t="str">
        <f aca="false">B1377&amp;"|"&amp;C1377&amp;"|"&amp;D1377&amp;"|"&amp;E1377</f>
        <v>TMP|2|Rabu|14:45</v>
      </c>
      <c r="B1377" s="76" t="s">
        <v>67</v>
      </c>
      <c r="C1377" s="76" t="n">
        <v>2</v>
      </c>
      <c r="D1377" s="76" t="s">
        <v>92</v>
      </c>
      <c r="E1377" s="76" t="s">
        <v>118</v>
      </c>
      <c r="F1377" s="77" t="s">
        <v>277</v>
      </c>
      <c r="G1377" s="77" t="n">
        <v>5</v>
      </c>
      <c r="H1377" s="77" t="n">
        <v>2</v>
      </c>
      <c r="I1377" s="76" t="n">
        <f aca="false">IF(AND(ISNUMBER(G1377),ISNUMBER(H1377)),MAX(G1377-H1377,0),"")</f>
        <v>3</v>
      </c>
      <c r="J1377" s="78" t="n">
        <f aca="false">IF(AND(ISNUMBER(G1377),ISNUMBER(H1377)),IF(G1377&gt;0,H1377/G1377,""),"")</f>
        <v>0.4</v>
      </c>
      <c r="K1377" s="77" t="s">
        <v>380</v>
      </c>
      <c r="L1377" s="76" t="str">
        <f aca="false">IF(OR(G1377="",H1377=""),"Data tidak lengkap",IF(AND(G1377=0,H1377=0),IF(AND(F1377="",K1377=""),"Tidak dibuka","Tutup"),IF(H1377&gt;G1377,"Lebih kapasitas",IF(H1377=G1377,"Penuh",IF(H1377=0,IF(F1377="","Slot kosong","Belum terisi"),"Sebagian")))))</f>
        <v>Sebagian</v>
      </c>
      <c r="M1377" s="79" t="str">
        <f aca="false">IF(L1377="Tidak dibuka","–",IF(F1377="","(tanpa age group)",F1377)&amp;"  "&amp;IF(H1377="","?",H1377)&amp;"/"&amp;IF(G1377="","?",G1377)&amp;CHAR(10)&amp;IF(K1377="","coach: –","coach: "&amp;K1377))</f>
        <v>Little  2/5
coach: Hanif</v>
      </c>
    </row>
    <row r="1378" customFormat="false" ht="22.35" hidden="false" customHeight="false" outlineLevel="0" collapsed="false">
      <c r="A1378" s="76" t="str">
        <f aca="false">B1378&amp;"|"&amp;C1378&amp;"|"&amp;D1378&amp;"|"&amp;E1378</f>
        <v>TMP|2|Rabu|15:30</v>
      </c>
      <c r="B1378" s="76" t="s">
        <v>67</v>
      </c>
      <c r="C1378" s="76" t="n">
        <v>2</v>
      </c>
      <c r="D1378" s="76" t="s">
        <v>92</v>
      </c>
      <c r="E1378" s="76" t="s">
        <v>119</v>
      </c>
      <c r="F1378" s="77" t="s">
        <v>277</v>
      </c>
      <c r="G1378" s="77" t="n">
        <v>5</v>
      </c>
      <c r="H1378" s="77" t="n">
        <v>0</v>
      </c>
      <c r="I1378" s="76" t="n">
        <f aca="false">IF(AND(ISNUMBER(G1378),ISNUMBER(H1378)),MAX(G1378-H1378,0),"")</f>
        <v>5</v>
      </c>
      <c r="J1378" s="78" t="n">
        <f aca="false">IF(AND(ISNUMBER(G1378),ISNUMBER(H1378)),IF(G1378&gt;0,H1378/G1378,""),"")</f>
        <v>0</v>
      </c>
      <c r="K1378" s="77"/>
      <c r="L1378" s="76" t="str">
        <f aca="false">IF(OR(G1378="",H1378=""),"Data tidak lengkap",IF(AND(G1378=0,H1378=0),IF(AND(F1378="",K1378=""),"Tidak dibuka","Tutup"),IF(H1378&gt;G1378,"Lebih kapasitas",IF(H1378=G1378,"Penuh",IF(H1378=0,IF(F1378="","Slot kosong","Belum terisi"),"Sebagian")))))</f>
        <v>Belum terisi</v>
      </c>
      <c r="M1378" s="79" t="str">
        <f aca="false">IF(L1378="Tidak dibuka","–",IF(F1378="","(tanpa age group)",F1378)&amp;"  "&amp;IF(H1378="","?",H1378)&amp;"/"&amp;IF(G1378="","?",G1378)&amp;CHAR(10)&amp;IF(K1378="","coach: –","coach: "&amp;K1378))</f>
        <v>Little  0/5
coach: –</v>
      </c>
    </row>
    <row r="1379" customFormat="false" ht="22.35" hidden="false" customHeight="false" outlineLevel="0" collapsed="false">
      <c r="A1379" s="76" t="str">
        <f aca="false">B1379&amp;"|"&amp;C1379&amp;"|"&amp;D1379&amp;"|"&amp;E1379</f>
        <v>TMP|2|Rabu|16:15</v>
      </c>
      <c r="B1379" s="76" t="s">
        <v>67</v>
      </c>
      <c r="C1379" s="76" t="n">
        <v>2</v>
      </c>
      <c r="D1379" s="76" t="s">
        <v>92</v>
      </c>
      <c r="E1379" s="76" t="s">
        <v>120</v>
      </c>
      <c r="F1379" s="77" t="s">
        <v>277</v>
      </c>
      <c r="G1379" s="77" t="n">
        <v>5</v>
      </c>
      <c r="H1379" s="77" t="n">
        <v>3</v>
      </c>
      <c r="I1379" s="76" t="n">
        <f aca="false">IF(AND(ISNUMBER(G1379),ISNUMBER(H1379)),MAX(G1379-H1379,0),"")</f>
        <v>2</v>
      </c>
      <c r="J1379" s="78" t="n">
        <f aca="false">IF(AND(ISNUMBER(G1379),ISNUMBER(H1379)),IF(G1379&gt;0,H1379/G1379,""),"")</f>
        <v>0.6</v>
      </c>
      <c r="K1379" s="77" t="s">
        <v>375</v>
      </c>
      <c r="L1379" s="76" t="str">
        <f aca="false">IF(OR(G1379="",H1379=""),"Data tidak lengkap",IF(AND(G1379=0,H1379=0),IF(AND(F1379="",K1379=""),"Tidak dibuka","Tutup"),IF(H1379&gt;G1379,"Lebih kapasitas",IF(H1379=G1379,"Penuh",IF(H1379=0,IF(F1379="","Slot kosong","Belum terisi"),"Sebagian")))))</f>
        <v>Sebagian</v>
      </c>
      <c r="M1379" s="79" t="str">
        <f aca="false">IF(L1379="Tidak dibuka","–",IF(F1379="","(tanpa age group)",F1379)&amp;"  "&amp;IF(H1379="","?",H1379)&amp;"/"&amp;IF(G1379="","?",G1379)&amp;CHAR(10)&amp;IF(K1379="","coach: –","coach: "&amp;K1379))</f>
        <v>Little  3/5
coach: Iqbal</v>
      </c>
    </row>
    <row r="1380" customFormat="false" ht="22.35" hidden="false" customHeight="false" outlineLevel="0" collapsed="false">
      <c r="A1380" s="76" t="str">
        <f aca="false">B1380&amp;"|"&amp;C1380&amp;"|"&amp;D1380&amp;"|"&amp;E1380</f>
        <v>TMP|2|Rabu|17:00</v>
      </c>
      <c r="B1380" s="76" t="s">
        <v>67</v>
      </c>
      <c r="C1380" s="76" t="n">
        <v>2</v>
      </c>
      <c r="D1380" s="76" t="s">
        <v>92</v>
      </c>
      <c r="E1380" s="76" t="s">
        <v>121</v>
      </c>
      <c r="F1380" s="77" t="s">
        <v>277</v>
      </c>
      <c r="G1380" s="77" t="n">
        <v>5</v>
      </c>
      <c r="H1380" s="77" t="n">
        <v>0</v>
      </c>
      <c r="I1380" s="76" t="n">
        <f aca="false">IF(AND(ISNUMBER(G1380),ISNUMBER(H1380)),MAX(G1380-H1380,0),"")</f>
        <v>5</v>
      </c>
      <c r="J1380" s="78" t="n">
        <f aca="false">IF(AND(ISNUMBER(G1380),ISNUMBER(H1380)),IF(G1380&gt;0,H1380/G1380,""),"")</f>
        <v>0</v>
      </c>
      <c r="K1380" s="77"/>
      <c r="L1380" s="76" t="str">
        <f aca="false">IF(OR(G1380="",H1380=""),"Data tidak lengkap",IF(AND(G1380=0,H1380=0),IF(AND(F1380="",K1380=""),"Tidak dibuka","Tutup"),IF(H1380&gt;G1380,"Lebih kapasitas",IF(H1380=G1380,"Penuh",IF(H1380=0,IF(F1380="","Slot kosong","Belum terisi"),"Sebagian")))))</f>
        <v>Belum terisi</v>
      </c>
      <c r="M1380" s="79" t="str">
        <f aca="false">IF(L1380="Tidak dibuka","–",IF(F1380="","(tanpa age group)",F1380)&amp;"  "&amp;IF(H1380="","?",H1380)&amp;"/"&amp;IF(G1380="","?",G1380)&amp;CHAR(10)&amp;IF(K1380="","coach: –","coach: "&amp;K1380))</f>
        <v>Little  0/5
coach: –</v>
      </c>
    </row>
    <row r="1381" customFormat="false" ht="22.35" hidden="false" customHeight="false" outlineLevel="0" collapsed="false">
      <c r="A1381" s="76" t="str">
        <f aca="false">B1381&amp;"|"&amp;C1381&amp;"|"&amp;D1381&amp;"|"&amp;E1381</f>
        <v>TMP|2|Kamis|08:00</v>
      </c>
      <c r="B1381" s="76" t="s">
        <v>67</v>
      </c>
      <c r="C1381" s="76" t="n">
        <v>2</v>
      </c>
      <c r="D1381" s="76" t="s">
        <v>93</v>
      </c>
      <c r="E1381" s="76" t="s">
        <v>110</v>
      </c>
      <c r="F1381" s="77" t="s">
        <v>277</v>
      </c>
      <c r="G1381" s="77" t="n">
        <v>5</v>
      </c>
      <c r="H1381" s="77" t="n">
        <v>0</v>
      </c>
      <c r="I1381" s="76" t="n">
        <f aca="false">IF(AND(ISNUMBER(G1381),ISNUMBER(H1381)),MAX(G1381-H1381,0),"")</f>
        <v>5</v>
      </c>
      <c r="J1381" s="78" t="n">
        <f aca="false">IF(AND(ISNUMBER(G1381),ISNUMBER(H1381)),IF(G1381&gt;0,H1381/G1381,""),"")</f>
        <v>0</v>
      </c>
      <c r="K1381" s="77"/>
      <c r="L1381" s="76" t="str">
        <f aca="false">IF(OR(G1381="",H1381=""),"Data tidak lengkap",IF(AND(G1381=0,H1381=0),IF(AND(F1381="",K1381=""),"Tidak dibuka","Tutup"),IF(H1381&gt;G1381,"Lebih kapasitas",IF(H1381=G1381,"Penuh",IF(H1381=0,IF(F1381="","Slot kosong","Belum terisi"),"Sebagian")))))</f>
        <v>Belum terisi</v>
      </c>
      <c r="M1381" s="79" t="str">
        <f aca="false">IF(L1381="Tidak dibuka","–",IF(F1381="","(tanpa age group)",F1381)&amp;"  "&amp;IF(H1381="","?",H1381)&amp;"/"&amp;IF(G1381="","?",G1381)&amp;CHAR(10)&amp;IF(K1381="","coach: –","coach: "&amp;K1381))</f>
        <v>Little  0/5
coach: –</v>
      </c>
    </row>
    <row r="1382" customFormat="false" ht="22.35" hidden="false" customHeight="false" outlineLevel="0" collapsed="false">
      <c r="A1382" s="76" t="str">
        <f aca="false">B1382&amp;"|"&amp;C1382&amp;"|"&amp;D1382&amp;"|"&amp;E1382</f>
        <v>TMP|2|Kamis|08:45</v>
      </c>
      <c r="B1382" s="76" t="s">
        <v>67</v>
      </c>
      <c r="C1382" s="76" t="n">
        <v>2</v>
      </c>
      <c r="D1382" s="76" t="s">
        <v>93</v>
      </c>
      <c r="E1382" s="76" t="s">
        <v>111</v>
      </c>
      <c r="F1382" s="77" t="s">
        <v>277</v>
      </c>
      <c r="G1382" s="77" t="n">
        <v>5</v>
      </c>
      <c r="H1382" s="77" t="n">
        <v>0</v>
      </c>
      <c r="I1382" s="76" t="n">
        <f aca="false">IF(AND(ISNUMBER(G1382),ISNUMBER(H1382)),MAX(G1382-H1382,0),"")</f>
        <v>5</v>
      </c>
      <c r="J1382" s="78" t="n">
        <f aca="false">IF(AND(ISNUMBER(G1382),ISNUMBER(H1382)),IF(G1382&gt;0,H1382/G1382,""),"")</f>
        <v>0</v>
      </c>
      <c r="K1382" s="77"/>
      <c r="L1382" s="76" t="str">
        <f aca="false">IF(OR(G1382="",H1382=""),"Data tidak lengkap",IF(AND(G1382=0,H1382=0),IF(AND(F1382="",K1382=""),"Tidak dibuka","Tutup"),IF(H1382&gt;G1382,"Lebih kapasitas",IF(H1382=G1382,"Penuh",IF(H1382=0,IF(F1382="","Slot kosong","Belum terisi"),"Sebagian")))))</f>
        <v>Belum terisi</v>
      </c>
      <c r="M1382" s="79" t="str">
        <f aca="false">IF(L1382="Tidak dibuka","–",IF(F1382="","(tanpa age group)",F1382)&amp;"  "&amp;IF(H1382="","?",H1382)&amp;"/"&amp;IF(G1382="","?",G1382)&amp;CHAR(10)&amp;IF(K1382="","coach: –","coach: "&amp;K1382))</f>
        <v>Little  0/5
coach: –</v>
      </c>
    </row>
    <row r="1383" customFormat="false" ht="22.35" hidden="false" customHeight="false" outlineLevel="0" collapsed="false">
      <c r="A1383" s="76" t="str">
        <f aca="false">B1383&amp;"|"&amp;C1383&amp;"|"&amp;D1383&amp;"|"&amp;E1383</f>
        <v>TMP|2|Kamis|09:30</v>
      </c>
      <c r="B1383" s="76" t="s">
        <v>67</v>
      </c>
      <c r="C1383" s="76" t="n">
        <v>2</v>
      </c>
      <c r="D1383" s="76" t="s">
        <v>93</v>
      </c>
      <c r="E1383" s="76" t="s">
        <v>112</v>
      </c>
      <c r="F1383" s="77" t="s">
        <v>277</v>
      </c>
      <c r="G1383" s="77" t="n">
        <v>5</v>
      </c>
      <c r="H1383" s="77" t="n">
        <v>0</v>
      </c>
      <c r="I1383" s="76" t="n">
        <f aca="false">IF(AND(ISNUMBER(G1383),ISNUMBER(H1383)),MAX(G1383-H1383,0),"")</f>
        <v>5</v>
      </c>
      <c r="J1383" s="78" t="n">
        <f aca="false">IF(AND(ISNUMBER(G1383),ISNUMBER(H1383)),IF(G1383&gt;0,H1383/G1383,""),"")</f>
        <v>0</v>
      </c>
      <c r="K1383" s="77"/>
      <c r="L1383" s="76" t="str">
        <f aca="false">IF(OR(G1383="",H1383=""),"Data tidak lengkap",IF(AND(G1383=0,H1383=0),IF(AND(F1383="",K1383=""),"Tidak dibuka","Tutup"),IF(H1383&gt;G1383,"Lebih kapasitas",IF(H1383=G1383,"Penuh",IF(H1383=0,IF(F1383="","Slot kosong","Belum terisi"),"Sebagian")))))</f>
        <v>Belum terisi</v>
      </c>
      <c r="M1383" s="79" t="str">
        <f aca="false">IF(L1383="Tidak dibuka","–",IF(F1383="","(tanpa age group)",F1383)&amp;"  "&amp;IF(H1383="","?",H1383)&amp;"/"&amp;IF(G1383="","?",G1383)&amp;CHAR(10)&amp;IF(K1383="","coach: –","coach: "&amp;K1383))</f>
        <v>Little  0/5
coach: –</v>
      </c>
    </row>
    <row r="1384" customFormat="false" ht="22.35" hidden="false" customHeight="false" outlineLevel="0" collapsed="false">
      <c r="A1384" s="76" t="str">
        <f aca="false">B1384&amp;"|"&amp;C1384&amp;"|"&amp;D1384&amp;"|"&amp;E1384</f>
        <v>TMP|2|Kamis|10:15</v>
      </c>
      <c r="B1384" s="76" t="s">
        <v>67</v>
      </c>
      <c r="C1384" s="76" t="n">
        <v>2</v>
      </c>
      <c r="D1384" s="76" t="s">
        <v>93</v>
      </c>
      <c r="E1384" s="76" t="s">
        <v>113</v>
      </c>
      <c r="F1384" s="77" t="s">
        <v>277</v>
      </c>
      <c r="G1384" s="77" t="n">
        <v>5</v>
      </c>
      <c r="H1384" s="77" t="n">
        <v>1</v>
      </c>
      <c r="I1384" s="76" t="n">
        <f aca="false">IF(AND(ISNUMBER(G1384),ISNUMBER(H1384)),MAX(G1384-H1384,0),"")</f>
        <v>4</v>
      </c>
      <c r="J1384" s="78" t="n">
        <f aca="false">IF(AND(ISNUMBER(G1384),ISNUMBER(H1384)),IF(G1384&gt;0,H1384/G1384,""),"")</f>
        <v>0.2</v>
      </c>
      <c r="K1384" s="77" t="s">
        <v>378</v>
      </c>
      <c r="L1384" s="76" t="str">
        <f aca="false">IF(OR(G1384="",H1384=""),"Data tidak lengkap",IF(AND(G1384=0,H1384=0),IF(AND(F1384="",K1384=""),"Tidak dibuka","Tutup"),IF(H1384&gt;G1384,"Lebih kapasitas",IF(H1384=G1384,"Penuh",IF(H1384=0,IF(F1384="","Slot kosong","Belum terisi"),"Sebagian")))))</f>
        <v>Sebagian</v>
      </c>
      <c r="M1384" s="79" t="str">
        <f aca="false">IF(L1384="Tidak dibuka","–",IF(F1384="","(tanpa age group)",F1384)&amp;"  "&amp;IF(H1384="","?",H1384)&amp;"/"&amp;IF(G1384="","?",G1384)&amp;CHAR(10)&amp;IF(K1384="","coach: –","coach: "&amp;K1384))</f>
        <v>Little  1/5
coach: Agas</v>
      </c>
    </row>
    <row r="1385" customFormat="false" ht="22.35" hidden="false" customHeight="false" outlineLevel="0" collapsed="false">
      <c r="A1385" s="76" t="str">
        <f aca="false">B1385&amp;"|"&amp;C1385&amp;"|"&amp;D1385&amp;"|"&amp;E1385</f>
        <v>TMP|2|Kamis|11:00</v>
      </c>
      <c r="B1385" s="76" t="s">
        <v>67</v>
      </c>
      <c r="C1385" s="76" t="n">
        <v>2</v>
      </c>
      <c r="D1385" s="76" t="s">
        <v>93</v>
      </c>
      <c r="E1385" s="76" t="s">
        <v>114</v>
      </c>
      <c r="F1385" s="77" t="s">
        <v>277</v>
      </c>
      <c r="G1385" s="77" t="n">
        <v>5</v>
      </c>
      <c r="H1385" s="77" t="n">
        <v>0</v>
      </c>
      <c r="I1385" s="76" t="n">
        <f aca="false">IF(AND(ISNUMBER(G1385),ISNUMBER(H1385)),MAX(G1385-H1385,0),"")</f>
        <v>5</v>
      </c>
      <c r="J1385" s="78" t="n">
        <f aca="false">IF(AND(ISNUMBER(G1385),ISNUMBER(H1385)),IF(G1385&gt;0,H1385/G1385,""),"")</f>
        <v>0</v>
      </c>
      <c r="K1385" s="77"/>
      <c r="L1385" s="76" t="str">
        <f aca="false">IF(OR(G1385="",H1385=""),"Data tidak lengkap",IF(AND(G1385=0,H1385=0),IF(AND(F1385="",K1385=""),"Tidak dibuka","Tutup"),IF(H1385&gt;G1385,"Lebih kapasitas",IF(H1385=G1385,"Penuh",IF(H1385=0,IF(F1385="","Slot kosong","Belum terisi"),"Sebagian")))))</f>
        <v>Belum terisi</v>
      </c>
      <c r="M1385" s="79" t="str">
        <f aca="false">IF(L1385="Tidak dibuka","–",IF(F1385="","(tanpa age group)",F1385)&amp;"  "&amp;IF(H1385="","?",H1385)&amp;"/"&amp;IF(G1385="","?",G1385)&amp;CHAR(10)&amp;IF(K1385="","coach: –","coach: "&amp;K1385))</f>
        <v>Little  0/5
coach: –</v>
      </c>
    </row>
    <row r="1386" customFormat="false" ht="22.35" hidden="false" customHeight="false" outlineLevel="0" collapsed="false">
      <c r="A1386" s="76" t="str">
        <f aca="false">B1386&amp;"|"&amp;C1386&amp;"|"&amp;D1386&amp;"|"&amp;E1386</f>
        <v>TMP|2|Kamis|11:45</v>
      </c>
      <c r="B1386" s="76" t="s">
        <v>67</v>
      </c>
      <c r="C1386" s="76" t="n">
        <v>2</v>
      </c>
      <c r="D1386" s="76" t="s">
        <v>93</v>
      </c>
      <c r="E1386" s="76" t="s">
        <v>115</v>
      </c>
      <c r="F1386" s="77" t="s">
        <v>277</v>
      </c>
      <c r="G1386" s="77" t="n">
        <v>5</v>
      </c>
      <c r="H1386" s="77" t="n">
        <v>0</v>
      </c>
      <c r="I1386" s="76" t="n">
        <f aca="false">IF(AND(ISNUMBER(G1386),ISNUMBER(H1386)),MAX(G1386-H1386,0),"")</f>
        <v>5</v>
      </c>
      <c r="J1386" s="78" t="n">
        <f aca="false">IF(AND(ISNUMBER(G1386),ISNUMBER(H1386)),IF(G1386&gt;0,H1386/G1386,""),"")</f>
        <v>0</v>
      </c>
      <c r="K1386" s="77"/>
      <c r="L1386" s="76" t="str">
        <f aca="false">IF(OR(G1386="",H1386=""),"Data tidak lengkap",IF(AND(G1386=0,H1386=0),IF(AND(F1386="",K1386=""),"Tidak dibuka","Tutup"),IF(H1386&gt;G1386,"Lebih kapasitas",IF(H1386=G1386,"Penuh",IF(H1386=0,IF(F1386="","Slot kosong","Belum terisi"),"Sebagian")))))</f>
        <v>Belum terisi</v>
      </c>
      <c r="M1386" s="79" t="str">
        <f aca="false">IF(L1386="Tidak dibuka","–",IF(F1386="","(tanpa age group)",F1386)&amp;"  "&amp;IF(H1386="","?",H1386)&amp;"/"&amp;IF(G1386="","?",G1386)&amp;CHAR(10)&amp;IF(K1386="","coach: –","coach: "&amp;K1386))</f>
        <v>Little  0/5
coach: –</v>
      </c>
    </row>
    <row r="1387" customFormat="false" ht="22.35" hidden="false" customHeight="false" outlineLevel="0" collapsed="false">
      <c r="A1387" s="76" t="str">
        <f aca="false">B1387&amp;"|"&amp;C1387&amp;"|"&amp;D1387&amp;"|"&amp;E1387</f>
        <v>TMP|2|Kamis|13:15</v>
      </c>
      <c r="B1387" s="76" t="s">
        <v>67</v>
      </c>
      <c r="C1387" s="76" t="n">
        <v>2</v>
      </c>
      <c r="D1387" s="76" t="s">
        <v>93</v>
      </c>
      <c r="E1387" s="76" t="s">
        <v>116</v>
      </c>
      <c r="F1387" s="77" t="s">
        <v>277</v>
      </c>
      <c r="G1387" s="77" t="n">
        <v>5</v>
      </c>
      <c r="H1387" s="77" t="n">
        <v>0</v>
      </c>
      <c r="I1387" s="76" t="n">
        <f aca="false">IF(AND(ISNUMBER(G1387),ISNUMBER(H1387)),MAX(G1387-H1387,0),"")</f>
        <v>5</v>
      </c>
      <c r="J1387" s="78" t="n">
        <f aca="false">IF(AND(ISNUMBER(G1387),ISNUMBER(H1387)),IF(G1387&gt;0,H1387/G1387,""),"")</f>
        <v>0</v>
      </c>
      <c r="K1387" s="77"/>
      <c r="L1387" s="76" t="str">
        <f aca="false">IF(OR(G1387="",H1387=""),"Data tidak lengkap",IF(AND(G1387=0,H1387=0),IF(AND(F1387="",K1387=""),"Tidak dibuka","Tutup"),IF(H1387&gt;G1387,"Lebih kapasitas",IF(H1387=G1387,"Penuh",IF(H1387=0,IF(F1387="","Slot kosong","Belum terisi"),"Sebagian")))))</f>
        <v>Belum terisi</v>
      </c>
      <c r="M1387" s="79" t="str">
        <f aca="false">IF(L1387="Tidak dibuka","–",IF(F1387="","(tanpa age group)",F1387)&amp;"  "&amp;IF(H1387="","?",H1387)&amp;"/"&amp;IF(G1387="","?",G1387)&amp;CHAR(10)&amp;IF(K1387="","coach: –","coach: "&amp;K1387))</f>
        <v>Little  0/5
coach: –</v>
      </c>
    </row>
    <row r="1388" customFormat="false" ht="22.35" hidden="false" customHeight="false" outlineLevel="0" collapsed="false">
      <c r="A1388" s="76" t="str">
        <f aca="false">B1388&amp;"|"&amp;C1388&amp;"|"&amp;D1388&amp;"|"&amp;E1388</f>
        <v>TMP|2|Kamis|14:00</v>
      </c>
      <c r="B1388" s="76" t="s">
        <v>67</v>
      </c>
      <c r="C1388" s="76" t="n">
        <v>2</v>
      </c>
      <c r="D1388" s="76" t="s">
        <v>93</v>
      </c>
      <c r="E1388" s="76" t="s">
        <v>117</v>
      </c>
      <c r="F1388" s="77" t="s">
        <v>277</v>
      </c>
      <c r="G1388" s="77" t="n">
        <v>5</v>
      </c>
      <c r="H1388" s="77" t="n">
        <v>0</v>
      </c>
      <c r="I1388" s="76" t="n">
        <f aca="false">IF(AND(ISNUMBER(G1388),ISNUMBER(H1388)),MAX(G1388-H1388,0),"")</f>
        <v>5</v>
      </c>
      <c r="J1388" s="78" t="n">
        <f aca="false">IF(AND(ISNUMBER(G1388),ISNUMBER(H1388)),IF(G1388&gt;0,H1388/G1388,""),"")</f>
        <v>0</v>
      </c>
      <c r="K1388" s="77"/>
      <c r="L1388" s="76" t="str">
        <f aca="false">IF(OR(G1388="",H1388=""),"Data tidak lengkap",IF(AND(G1388=0,H1388=0),IF(AND(F1388="",K1388=""),"Tidak dibuka","Tutup"),IF(H1388&gt;G1388,"Lebih kapasitas",IF(H1388=G1388,"Penuh",IF(H1388=0,IF(F1388="","Slot kosong","Belum terisi"),"Sebagian")))))</f>
        <v>Belum terisi</v>
      </c>
      <c r="M1388" s="79" t="str">
        <f aca="false">IF(L1388="Tidak dibuka","–",IF(F1388="","(tanpa age group)",F1388)&amp;"  "&amp;IF(H1388="","?",H1388)&amp;"/"&amp;IF(G1388="","?",G1388)&amp;CHAR(10)&amp;IF(K1388="","coach: –","coach: "&amp;K1388))</f>
        <v>Little  0/5
coach: –</v>
      </c>
    </row>
    <row r="1389" customFormat="false" ht="22.35" hidden="false" customHeight="false" outlineLevel="0" collapsed="false">
      <c r="A1389" s="76" t="str">
        <f aca="false">B1389&amp;"|"&amp;C1389&amp;"|"&amp;D1389&amp;"|"&amp;E1389</f>
        <v>TMP|2|Kamis|14:45</v>
      </c>
      <c r="B1389" s="76" t="s">
        <v>67</v>
      </c>
      <c r="C1389" s="76" t="n">
        <v>2</v>
      </c>
      <c r="D1389" s="76" t="s">
        <v>93</v>
      </c>
      <c r="E1389" s="76" t="s">
        <v>118</v>
      </c>
      <c r="F1389" s="77" t="s">
        <v>277</v>
      </c>
      <c r="G1389" s="77" t="n">
        <v>5</v>
      </c>
      <c r="H1389" s="77" t="n">
        <v>0</v>
      </c>
      <c r="I1389" s="76" t="n">
        <f aca="false">IF(AND(ISNUMBER(G1389),ISNUMBER(H1389)),MAX(G1389-H1389,0),"")</f>
        <v>5</v>
      </c>
      <c r="J1389" s="78" t="n">
        <f aca="false">IF(AND(ISNUMBER(G1389),ISNUMBER(H1389)),IF(G1389&gt;0,H1389/G1389,""),"")</f>
        <v>0</v>
      </c>
      <c r="K1389" s="77"/>
      <c r="L1389" s="76" t="str">
        <f aca="false">IF(OR(G1389="",H1389=""),"Data tidak lengkap",IF(AND(G1389=0,H1389=0),IF(AND(F1389="",K1389=""),"Tidak dibuka","Tutup"),IF(H1389&gt;G1389,"Lebih kapasitas",IF(H1389=G1389,"Penuh",IF(H1389=0,IF(F1389="","Slot kosong","Belum terisi"),"Sebagian")))))</f>
        <v>Belum terisi</v>
      </c>
      <c r="M1389" s="79" t="str">
        <f aca="false">IF(L1389="Tidak dibuka","–",IF(F1389="","(tanpa age group)",F1389)&amp;"  "&amp;IF(H1389="","?",H1389)&amp;"/"&amp;IF(G1389="","?",G1389)&amp;CHAR(10)&amp;IF(K1389="","coach: –","coach: "&amp;K1389))</f>
        <v>Little  0/5
coach: –</v>
      </c>
    </row>
    <row r="1390" customFormat="false" ht="22.35" hidden="false" customHeight="false" outlineLevel="0" collapsed="false">
      <c r="A1390" s="76" t="str">
        <f aca="false">B1390&amp;"|"&amp;C1390&amp;"|"&amp;D1390&amp;"|"&amp;E1390</f>
        <v>TMP|2|Kamis|15:30</v>
      </c>
      <c r="B1390" s="76" t="s">
        <v>67</v>
      </c>
      <c r="C1390" s="76" t="n">
        <v>2</v>
      </c>
      <c r="D1390" s="76" t="s">
        <v>93</v>
      </c>
      <c r="E1390" s="76" t="s">
        <v>119</v>
      </c>
      <c r="F1390" s="77" t="s">
        <v>277</v>
      </c>
      <c r="G1390" s="77" t="n">
        <v>5</v>
      </c>
      <c r="H1390" s="77" t="n">
        <v>0</v>
      </c>
      <c r="I1390" s="76" t="n">
        <f aca="false">IF(AND(ISNUMBER(G1390),ISNUMBER(H1390)),MAX(G1390-H1390,0),"")</f>
        <v>5</v>
      </c>
      <c r="J1390" s="78" t="n">
        <f aca="false">IF(AND(ISNUMBER(G1390),ISNUMBER(H1390)),IF(G1390&gt;0,H1390/G1390,""),"")</f>
        <v>0</v>
      </c>
      <c r="K1390" s="77"/>
      <c r="L1390" s="76" t="str">
        <f aca="false">IF(OR(G1390="",H1390=""),"Data tidak lengkap",IF(AND(G1390=0,H1390=0),IF(AND(F1390="",K1390=""),"Tidak dibuka","Tutup"),IF(H1390&gt;G1390,"Lebih kapasitas",IF(H1390=G1390,"Penuh",IF(H1390=0,IF(F1390="","Slot kosong","Belum terisi"),"Sebagian")))))</f>
        <v>Belum terisi</v>
      </c>
      <c r="M1390" s="79" t="str">
        <f aca="false">IF(L1390="Tidak dibuka","–",IF(F1390="","(tanpa age group)",F1390)&amp;"  "&amp;IF(H1390="","?",H1390)&amp;"/"&amp;IF(G1390="","?",G1390)&amp;CHAR(10)&amp;IF(K1390="","coach: –","coach: "&amp;K1390))</f>
        <v>Little  0/5
coach: –</v>
      </c>
    </row>
    <row r="1391" customFormat="false" ht="22.35" hidden="false" customHeight="false" outlineLevel="0" collapsed="false">
      <c r="A1391" s="76" t="str">
        <f aca="false">B1391&amp;"|"&amp;C1391&amp;"|"&amp;D1391&amp;"|"&amp;E1391</f>
        <v>TMP|2|Kamis|16:15</v>
      </c>
      <c r="B1391" s="76" t="s">
        <v>67</v>
      </c>
      <c r="C1391" s="76" t="n">
        <v>2</v>
      </c>
      <c r="D1391" s="76" t="s">
        <v>93</v>
      </c>
      <c r="E1391" s="76" t="s">
        <v>120</v>
      </c>
      <c r="F1391" s="77" t="s">
        <v>277</v>
      </c>
      <c r="G1391" s="77" t="n">
        <v>5</v>
      </c>
      <c r="H1391" s="77" t="n">
        <v>3</v>
      </c>
      <c r="I1391" s="76" t="n">
        <f aca="false">IF(AND(ISNUMBER(G1391),ISNUMBER(H1391)),MAX(G1391-H1391,0),"")</f>
        <v>2</v>
      </c>
      <c r="J1391" s="78" t="n">
        <f aca="false">IF(AND(ISNUMBER(G1391),ISNUMBER(H1391)),IF(G1391&gt;0,H1391/G1391,""),"")</f>
        <v>0.6</v>
      </c>
      <c r="K1391" s="77" t="s">
        <v>374</v>
      </c>
      <c r="L1391" s="76" t="str">
        <f aca="false">IF(OR(G1391="",H1391=""),"Data tidak lengkap",IF(AND(G1391=0,H1391=0),IF(AND(F1391="",K1391=""),"Tidak dibuka","Tutup"),IF(H1391&gt;G1391,"Lebih kapasitas",IF(H1391=G1391,"Penuh",IF(H1391=0,IF(F1391="","Slot kosong","Belum terisi"),"Sebagian")))))</f>
        <v>Sebagian</v>
      </c>
      <c r="M1391" s="79" t="str">
        <f aca="false">IF(L1391="Tidak dibuka","–",IF(F1391="","(tanpa age group)",F1391)&amp;"  "&amp;IF(H1391="","?",H1391)&amp;"/"&amp;IF(G1391="","?",G1391)&amp;CHAR(10)&amp;IF(K1391="","coach: –","coach: "&amp;K1391))</f>
        <v>Little  3/5
coach: Adam</v>
      </c>
    </row>
    <row r="1392" customFormat="false" ht="22.35" hidden="false" customHeight="false" outlineLevel="0" collapsed="false">
      <c r="A1392" s="76" t="str">
        <f aca="false">B1392&amp;"|"&amp;C1392&amp;"|"&amp;D1392&amp;"|"&amp;E1392</f>
        <v>TMP|2|Kamis|17:00</v>
      </c>
      <c r="B1392" s="76" t="s">
        <v>67</v>
      </c>
      <c r="C1392" s="76" t="n">
        <v>2</v>
      </c>
      <c r="D1392" s="76" t="s">
        <v>93</v>
      </c>
      <c r="E1392" s="76" t="s">
        <v>121</v>
      </c>
      <c r="F1392" s="77" t="s">
        <v>277</v>
      </c>
      <c r="G1392" s="77" t="n">
        <v>5</v>
      </c>
      <c r="H1392" s="77" t="n">
        <v>0</v>
      </c>
      <c r="I1392" s="76" t="n">
        <f aca="false">IF(AND(ISNUMBER(G1392),ISNUMBER(H1392)),MAX(G1392-H1392,0),"")</f>
        <v>5</v>
      </c>
      <c r="J1392" s="78" t="n">
        <f aca="false">IF(AND(ISNUMBER(G1392),ISNUMBER(H1392)),IF(G1392&gt;0,H1392/G1392,""),"")</f>
        <v>0</v>
      </c>
      <c r="K1392" s="77"/>
      <c r="L1392" s="76" t="str">
        <f aca="false">IF(OR(G1392="",H1392=""),"Data tidak lengkap",IF(AND(G1392=0,H1392=0),IF(AND(F1392="",K1392=""),"Tidak dibuka","Tutup"),IF(H1392&gt;G1392,"Lebih kapasitas",IF(H1392=G1392,"Penuh",IF(H1392=0,IF(F1392="","Slot kosong","Belum terisi"),"Sebagian")))))</f>
        <v>Belum terisi</v>
      </c>
      <c r="M1392" s="79" t="str">
        <f aca="false">IF(L1392="Tidak dibuka","–",IF(F1392="","(tanpa age group)",F1392)&amp;"  "&amp;IF(H1392="","?",H1392)&amp;"/"&amp;IF(G1392="","?",G1392)&amp;CHAR(10)&amp;IF(K1392="","coach: –","coach: "&amp;K1392))</f>
        <v>Little  0/5
coach: –</v>
      </c>
    </row>
    <row r="1393" customFormat="false" ht="22.35" hidden="false" customHeight="false" outlineLevel="0" collapsed="false">
      <c r="A1393" s="76" t="str">
        <f aca="false">B1393&amp;"|"&amp;C1393&amp;"|"&amp;D1393&amp;"|"&amp;E1393</f>
        <v>TMP|2|Jumat|08:00</v>
      </c>
      <c r="B1393" s="76" t="s">
        <v>67</v>
      </c>
      <c r="C1393" s="76" t="n">
        <v>2</v>
      </c>
      <c r="D1393" s="76" t="s">
        <v>94</v>
      </c>
      <c r="E1393" s="76" t="s">
        <v>110</v>
      </c>
      <c r="F1393" s="77" t="s">
        <v>277</v>
      </c>
      <c r="G1393" s="77" t="n">
        <v>5</v>
      </c>
      <c r="H1393" s="77" t="n">
        <v>0</v>
      </c>
      <c r="I1393" s="76" t="n">
        <f aca="false">IF(AND(ISNUMBER(G1393),ISNUMBER(H1393)),MAX(G1393-H1393,0),"")</f>
        <v>5</v>
      </c>
      <c r="J1393" s="78" t="n">
        <f aca="false">IF(AND(ISNUMBER(G1393),ISNUMBER(H1393)),IF(G1393&gt;0,H1393/G1393,""),"")</f>
        <v>0</v>
      </c>
      <c r="K1393" s="77"/>
      <c r="L1393" s="76" t="str">
        <f aca="false">IF(OR(G1393="",H1393=""),"Data tidak lengkap",IF(AND(G1393=0,H1393=0),IF(AND(F1393="",K1393=""),"Tidak dibuka","Tutup"),IF(H1393&gt;G1393,"Lebih kapasitas",IF(H1393=G1393,"Penuh",IF(H1393=0,IF(F1393="","Slot kosong","Belum terisi"),"Sebagian")))))</f>
        <v>Belum terisi</v>
      </c>
      <c r="M1393" s="79" t="str">
        <f aca="false">IF(L1393="Tidak dibuka","–",IF(F1393="","(tanpa age group)",F1393)&amp;"  "&amp;IF(H1393="","?",H1393)&amp;"/"&amp;IF(G1393="","?",G1393)&amp;CHAR(10)&amp;IF(K1393="","coach: –","coach: "&amp;K1393))</f>
        <v>Little  0/5
coach: –</v>
      </c>
    </row>
    <row r="1394" customFormat="false" ht="22.35" hidden="false" customHeight="false" outlineLevel="0" collapsed="false">
      <c r="A1394" s="76" t="str">
        <f aca="false">B1394&amp;"|"&amp;C1394&amp;"|"&amp;D1394&amp;"|"&amp;E1394</f>
        <v>TMP|2|Jumat|08:45</v>
      </c>
      <c r="B1394" s="76" t="s">
        <v>67</v>
      </c>
      <c r="C1394" s="76" t="n">
        <v>2</v>
      </c>
      <c r="D1394" s="76" t="s">
        <v>94</v>
      </c>
      <c r="E1394" s="76" t="s">
        <v>111</v>
      </c>
      <c r="F1394" s="77" t="s">
        <v>277</v>
      </c>
      <c r="G1394" s="77" t="n">
        <v>5</v>
      </c>
      <c r="H1394" s="77" t="n">
        <v>0</v>
      </c>
      <c r="I1394" s="76" t="n">
        <f aca="false">IF(AND(ISNUMBER(G1394),ISNUMBER(H1394)),MAX(G1394-H1394,0),"")</f>
        <v>5</v>
      </c>
      <c r="J1394" s="78" t="n">
        <f aca="false">IF(AND(ISNUMBER(G1394),ISNUMBER(H1394)),IF(G1394&gt;0,H1394/G1394,""),"")</f>
        <v>0</v>
      </c>
      <c r="K1394" s="77"/>
      <c r="L1394" s="76" t="str">
        <f aca="false">IF(OR(G1394="",H1394=""),"Data tidak lengkap",IF(AND(G1394=0,H1394=0),IF(AND(F1394="",K1394=""),"Tidak dibuka","Tutup"),IF(H1394&gt;G1394,"Lebih kapasitas",IF(H1394=G1394,"Penuh",IF(H1394=0,IF(F1394="","Slot kosong","Belum terisi"),"Sebagian")))))</f>
        <v>Belum terisi</v>
      </c>
      <c r="M1394" s="79" t="str">
        <f aca="false">IF(L1394="Tidak dibuka","–",IF(F1394="","(tanpa age group)",F1394)&amp;"  "&amp;IF(H1394="","?",H1394)&amp;"/"&amp;IF(G1394="","?",G1394)&amp;CHAR(10)&amp;IF(K1394="","coach: –","coach: "&amp;K1394))</f>
        <v>Little  0/5
coach: –</v>
      </c>
    </row>
    <row r="1395" customFormat="false" ht="22.35" hidden="false" customHeight="false" outlineLevel="0" collapsed="false">
      <c r="A1395" s="76" t="str">
        <f aca="false">B1395&amp;"|"&amp;C1395&amp;"|"&amp;D1395&amp;"|"&amp;E1395</f>
        <v>TMP|2|Jumat|09:30</v>
      </c>
      <c r="B1395" s="76" t="s">
        <v>67</v>
      </c>
      <c r="C1395" s="76" t="n">
        <v>2</v>
      </c>
      <c r="D1395" s="76" t="s">
        <v>94</v>
      </c>
      <c r="E1395" s="76" t="s">
        <v>112</v>
      </c>
      <c r="F1395" s="77" t="s">
        <v>277</v>
      </c>
      <c r="G1395" s="77" t="n">
        <v>5</v>
      </c>
      <c r="H1395" s="77" t="n">
        <v>0</v>
      </c>
      <c r="I1395" s="76" t="n">
        <f aca="false">IF(AND(ISNUMBER(G1395),ISNUMBER(H1395)),MAX(G1395-H1395,0),"")</f>
        <v>5</v>
      </c>
      <c r="J1395" s="78" t="n">
        <f aca="false">IF(AND(ISNUMBER(G1395),ISNUMBER(H1395)),IF(G1395&gt;0,H1395/G1395,""),"")</f>
        <v>0</v>
      </c>
      <c r="K1395" s="77"/>
      <c r="L1395" s="76" t="str">
        <f aca="false">IF(OR(G1395="",H1395=""),"Data tidak lengkap",IF(AND(G1395=0,H1395=0),IF(AND(F1395="",K1395=""),"Tidak dibuka","Tutup"),IF(H1395&gt;G1395,"Lebih kapasitas",IF(H1395=G1395,"Penuh",IF(H1395=0,IF(F1395="","Slot kosong","Belum terisi"),"Sebagian")))))</f>
        <v>Belum terisi</v>
      </c>
      <c r="M1395" s="79" t="str">
        <f aca="false">IF(L1395="Tidak dibuka","–",IF(F1395="","(tanpa age group)",F1395)&amp;"  "&amp;IF(H1395="","?",H1395)&amp;"/"&amp;IF(G1395="","?",G1395)&amp;CHAR(10)&amp;IF(K1395="","coach: –","coach: "&amp;K1395))</f>
        <v>Little  0/5
coach: –</v>
      </c>
    </row>
    <row r="1396" customFormat="false" ht="22.35" hidden="false" customHeight="false" outlineLevel="0" collapsed="false">
      <c r="A1396" s="76" t="str">
        <f aca="false">B1396&amp;"|"&amp;C1396&amp;"|"&amp;D1396&amp;"|"&amp;E1396</f>
        <v>TMP|2|Jumat|10:15</v>
      </c>
      <c r="B1396" s="76" t="s">
        <v>67</v>
      </c>
      <c r="C1396" s="76" t="n">
        <v>2</v>
      </c>
      <c r="D1396" s="76" t="s">
        <v>94</v>
      </c>
      <c r="E1396" s="76" t="s">
        <v>113</v>
      </c>
      <c r="F1396" s="77" t="s">
        <v>277</v>
      </c>
      <c r="G1396" s="77" t="n">
        <v>5</v>
      </c>
      <c r="H1396" s="77" t="n">
        <v>0</v>
      </c>
      <c r="I1396" s="76" t="n">
        <f aca="false">IF(AND(ISNUMBER(G1396),ISNUMBER(H1396)),MAX(G1396-H1396,0),"")</f>
        <v>5</v>
      </c>
      <c r="J1396" s="78" t="n">
        <f aca="false">IF(AND(ISNUMBER(G1396),ISNUMBER(H1396)),IF(G1396&gt;0,H1396/G1396,""),"")</f>
        <v>0</v>
      </c>
      <c r="K1396" s="77"/>
      <c r="L1396" s="76" t="str">
        <f aca="false">IF(OR(G1396="",H1396=""),"Data tidak lengkap",IF(AND(G1396=0,H1396=0),IF(AND(F1396="",K1396=""),"Tidak dibuka","Tutup"),IF(H1396&gt;G1396,"Lebih kapasitas",IF(H1396=G1396,"Penuh",IF(H1396=0,IF(F1396="","Slot kosong","Belum terisi"),"Sebagian")))))</f>
        <v>Belum terisi</v>
      </c>
      <c r="M1396" s="79" t="str">
        <f aca="false">IF(L1396="Tidak dibuka","–",IF(F1396="","(tanpa age group)",F1396)&amp;"  "&amp;IF(H1396="","?",H1396)&amp;"/"&amp;IF(G1396="","?",G1396)&amp;CHAR(10)&amp;IF(K1396="","coach: –","coach: "&amp;K1396))</f>
        <v>Little  0/5
coach: –</v>
      </c>
    </row>
    <row r="1397" customFormat="false" ht="22.35" hidden="false" customHeight="false" outlineLevel="0" collapsed="false">
      <c r="A1397" s="76" t="str">
        <f aca="false">B1397&amp;"|"&amp;C1397&amp;"|"&amp;D1397&amp;"|"&amp;E1397</f>
        <v>TMP|2|Jumat|11:00</v>
      </c>
      <c r="B1397" s="76" t="s">
        <v>67</v>
      </c>
      <c r="C1397" s="76" t="n">
        <v>2</v>
      </c>
      <c r="D1397" s="76" t="s">
        <v>94</v>
      </c>
      <c r="E1397" s="76" t="s">
        <v>114</v>
      </c>
      <c r="F1397" s="77" t="s">
        <v>277</v>
      </c>
      <c r="G1397" s="77" t="n">
        <v>5</v>
      </c>
      <c r="H1397" s="77" t="n">
        <v>0</v>
      </c>
      <c r="I1397" s="76" t="n">
        <f aca="false">IF(AND(ISNUMBER(G1397),ISNUMBER(H1397)),MAX(G1397-H1397,0),"")</f>
        <v>5</v>
      </c>
      <c r="J1397" s="78" t="n">
        <f aca="false">IF(AND(ISNUMBER(G1397),ISNUMBER(H1397)),IF(G1397&gt;0,H1397/G1397,""),"")</f>
        <v>0</v>
      </c>
      <c r="K1397" s="77"/>
      <c r="L1397" s="76" t="str">
        <f aca="false">IF(OR(G1397="",H1397=""),"Data tidak lengkap",IF(AND(G1397=0,H1397=0),IF(AND(F1397="",K1397=""),"Tidak dibuka","Tutup"),IF(H1397&gt;G1397,"Lebih kapasitas",IF(H1397=G1397,"Penuh",IF(H1397=0,IF(F1397="","Slot kosong","Belum terisi"),"Sebagian")))))</f>
        <v>Belum terisi</v>
      </c>
      <c r="M1397" s="79" t="str">
        <f aca="false">IF(L1397="Tidak dibuka","–",IF(F1397="","(tanpa age group)",F1397)&amp;"  "&amp;IF(H1397="","?",H1397)&amp;"/"&amp;IF(G1397="","?",G1397)&amp;CHAR(10)&amp;IF(K1397="","coach: –","coach: "&amp;K1397))</f>
        <v>Little  0/5
coach: –</v>
      </c>
    </row>
    <row r="1398" customFormat="false" ht="22.35" hidden="false" customHeight="false" outlineLevel="0" collapsed="false">
      <c r="A1398" s="76" t="str">
        <f aca="false">B1398&amp;"|"&amp;C1398&amp;"|"&amp;D1398&amp;"|"&amp;E1398</f>
        <v>TMP|2|Jumat|11:45</v>
      </c>
      <c r="B1398" s="76" t="s">
        <v>67</v>
      </c>
      <c r="C1398" s="76" t="n">
        <v>2</v>
      </c>
      <c r="D1398" s="76" t="s">
        <v>94</v>
      </c>
      <c r="E1398" s="76" t="s">
        <v>115</v>
      </c>
      <c r="F1398" s="77" t="s">
        <v>277</v>
      </c>
      <c r="G1398" s="77" t="n">
        <v>5</v>
      </c>
      <c r="H1398" s="77" t="n">
        <v>0</v>
      </c>
      <c r="I1398" s="76" t="n">
        <f aca="false">IF(AND(ISNUMBER(G1398),ISNUMBER(H1398)),MAX(G1398-H1398,0),"")</f>
        <v>5</v>
      </c>
      <c r="J1398" s="78" t="n">
        <f aca="false">IF(AND(ISNUMBER(G1398),ISNUMBER(H1398)),IF(G1398&gt;0,H1398/G1398,""),"")</f>
        <v>0</v>
      </c>
      <c r="K1398" s="77"/>
      <c r="L1398" s="76" t="str">
        <f aca="false">IF(OR(G1398="",H1398=""),"Data tidak lengkap",IF(AND(G1398=0,H1398=0),IF(AND(F1398="",K1398=""),"Tidak dibuka","Tutup"),IF(H1398&gt;G1398,"Lebih kapasitas",IF(H1398=G1398,"Penuh",IF(H1398=0,IF(F1398="","Slot kosong","Belum terisi"),"Sebagian")))))</f>
        <v>Belum terisi</v>
      </c>
      <c r="M1398" s="79" t="str">
        <f aca="false">IF(L1398="Tidak dibuka","–",IF(F1398="","(tanpa age group)",F1398)&amp;"  "&amp;IF(H1398="","?",H1398)&amp;"/"&amp;IF(G1398="","?",G1398)&amp;CHAR(10)&amp;IF(K1398="","coach: –","coach: "&amp;K1398))</f>
        <v>Little  0/5
coach: –</v>
      </c>
    </row>
    <row r="1399" customFormat="false" ht="22.35" hidden="false" customHeight="false" outlineLevel="0" collapsed="false">
      <c r="A1399" s="76" t="str">
        <f aca="false">B1399&amp;"|"&amp;C1399&amp;"|"&amp;D1399&amp;"|"&amp;E1399</f>
        <v>TMP|2|Jumat|13:15</v>
      </c>
      <c r="B1399" s="76" t="s">
        <v>67</v>
      </c>
      <c r="C1399" s="76" t="n">
        <v>2</v>
      </c>
      <c r="D1399" s="76" t="s">
        <v>94</v>
      </c>
      <c r="E1399" s="76" t="s">
        <v>116</v>
      </c>
      <c r="F1399" s="77" t="s">
        <v>277</v>
      </c>
      <c r="G1399" s="77" t="n">
        <v>5</v>
      </c>
      <c r="H1399" s="77" t="n">
        <v>0</v>
      </c>
      <c r="I1399" s="76" t="n">
        <f aca="false">IF(AND(ISNUMBER(G1399),ISNUMBER(H1399)),MAX(G1399-H1399,0),"")</f>
        <v>5</v>
      </c>
      <c r="J1399" s="78" t="n">
        <f aca="false">IF(AND(ISNUMBER(G1399),ISNUMBER(H1399)),IF(G1399&gt;0,H1399/G1399,""),"")</f>
        <v>0</v>
      </c>
      <c r="K1399" s="77"/>
      <c r="L1399" s="76" t="str">
        <f aca="false">IF(OR(G1399="",H1399=""),"Data tidak lengkap",IF(AND(G1399=0,H1399=0),IF(AND(F1399="",K1399=""),"Tidak dibuka","Tutup"),IF(H1399&gt;G1399,"Lebih kapasitas",IF(H1399=G1399,"Penuh",IF(H1399=0,IF(F1399="","Slot kosong","Belum terisi"),"Sebagian")))))</f>
        <v>Belum terisi</v>
      </c>
      <c r="M1399" s="79" t="str">
        <f aca="false">IF(L1399="Tidak dibuka","–",IF(F1399="","(tanpa age group)",F1399)&amp;"  "&amp;IF(H1399="","?",H1399)&amp;"/"&amp;IF(G1399="","?",G1399)&amp;CHAR(10)&amp;IF(K1399="","coach: –","coach: "&amp;K1399))</f>
        <v>Little  0/5
coach: –</v>
      </c>
    </row>
    <row r="1400" customFormat="false" ht="22.35" hidden="false" customHeight="false" outlineLevel="0" collapsed="false">
      <c r="A1400" s="76" t="str">
        <f aca="false">B1400&amp;"|"&amp;C1400&amp;"|"&amp;D1400&amp;"|"&amp;E1400</f>
        <v>TMP|2|Jumat|14:00</v>
      </c>
      <c r="B1400" s="76" t="s">
        <v>67</v>
      </c>
      <c r="C1400" s="76" t="n">
        <v>2</v>
      </c>
      <c r="D1400" s="76" t="s">
        <v>94</v>
      </c>
      <c r="E1400" s="76" t="s">
        <v>117</v>
      </c>
      <c r="F1400" s="77" t="s">
        <v>277</v>
      </c>
      <c r="G1400" s="77" t="n">
        <v>5</v>
      </c>
      <c r="H1400" s="77" t="n">
        <v>0</v>
      </c>
      <c r="I1400" s="76" t="n">
        <f aca="false">IF(AND(ISNUMBER(G1400),ISNUMBER(H1400)),MAX(G1400-H1400,0),"")</f>
        <v>5</v>
      </c>
      <c r="J1400" s="78" t="n">
        <f aca="false">IF(AND(ISNUMBER(G1400),ISNUMBER(H1400)),IF(G1400&gt;0,H1400/G1400,""),"")</f>
        <v>0</v>
      </c>
      <c r="K1400" s="77"/>
      <c r="L1400" s="76" t="str">
        <f aca="false">IF(OR(G1400="",H1400=""),"Data tidak lengkap",IF(AND(G1400=0,H1400=0),IF(AND(F1400="",K1400=""),"Tidak dibuka","Tutup"),IF(H1400&gt;G1400,"Lebih kapasitas",IF(H1400=G1400,"Penuh",IF(H1400=0,IF(F1400="","Slot kosong","Belum terisi"),"Sebagian")))))</f>
        <v>Belum terisi</v>
      </c>
      <c r="M1400" s="79" t="str">
        <f aca="false">IF(L1400="Tidak dibuka","–",IF(F1400="","(tanpa age group)",F1400)&amp;"  "&amp;IF(H1400="","?",H1400)&amp;"/"&amp;IF(G1400="","?",G1400)&amp;CHAR(10)&amp;IF(K1400="","coach: –","coach: "&amp;K1400))</f>
        <v>Little  0/5
coach: –</v>
      </c>
    </row>
    <row r="1401" customFormat="false" ht="22.35" hidden="false" customHeight="false" outlineLevel="0" collapsed="false">
      <c r="A1401" s="76" t="str">
        <f aca="false">B1401&amp;"|"&amp;C1401&amp;"|"&amp;D1401&amp;"|"&amp;E1401</f>
        <v>TMP|2|Jumat|14:45</v>
      </c>
      <c r="B1401" s="76" t="s">
        <v>67</v>
      </c>
      <c r="C1401" s="76" t="n">
        <v>2</v>
      </c>
      <c r="D1401" s="76" t="s">
        <v>94</v>
      </c>
      <c r="E1401" s="76" t="s">
        <v>118</v>
      </c>
      <c r="F1401" s="77" t="s">
        <v>277</v>
      </c>
      <c r="G1401" s="77" t="n">
        <v>5</v>
      </c>
      <c r="H1401" s="77" t="n">
        <v>3</v>
      </c>
      <c r="I1401" s="76" t="n">
        <f aca="false">IF(AND(ISNUMBER(G1401),ISNUMBER(H1401)),MAX(G1401-H1401,0),"")</f>
        <v>2</v>
      </c>
      <c r="J1401" s="78" t="n">
        <f aca="false">IF(AND(ISNUMBER(G1401),ISNUMBER(H1401)),IF(G1401&gt;0,H1401/G1401,""),"")</f>
        <v>0.6</v>
      </c>
      <c r="K1401" s="77" t="s">
        <v>374</v>
      </c>
      <c r="L1401" s="76" t="str">
        <f aca="false">IF(OR(G1401="",H1401=""),"Data tidak lengkap",IF(AND(G1401=0,H1401=0),IF(AND(F1401="",K1401=""),"Tidak dibuka","Tutup"),IF(H1401&gt;G1401,"Lebih kapasitas",IF(H1401=G1401,"Penuh",IF(H1401=0,IF(F1401="","Slot kosong","Belum terisi"),"Sebagian")))))</f>
        <v>Sebagian</v>
      </c>
      <c r="M1401" s="79" t="str">
        <f aca="false">IF(L1401="Tidak dibuka","–",IF(F1401="","(tanpa age group)",F1401)&amp;"  "&amp;IF(H1401="","?",H1401)&amp;"/"&amp;IF(G1401="","?",G1401)&amp;CHAR(10)&amp;IF(K1401="","coach: –","coach: "&amp;K1401))</f>
        <v>Little  3/5
coach: Adam</v>
      </c>
    </row>
    <row r="1402" customFormat="false" ht="22.35" hidden="false" customHeight="false" outlineLevel="0" collapsed="false">
      <c r="A1402" s="76" t="str">
        <f aca="false">B1402&amp;"|"&amp;C1402&amp;"|"&amp;D1402&amp;"|"&amp;E1402</f>
        <v>TMP|2|Jumat|15:30</v>
      </c>
      <c r="B1402" s="76" t="s">
        <v>67</v>
      </c>
      <c r="C1402" s="76" t="n">
        <v>2</v>
      </c>
      <c r="D1402" s="76" t="s">
        <v>94</v>
      </c>
      <c r="E1402" s="76" t="s">
        <v>119</v>
      </c>
      <c r="F1402" s="77" t="s">
        <v>277</v>
      </c>
      <c r="G1402" s="77" t="n">
        <v>5</v>
      </c>
      <c r="H1402" s="77" t="n">
        <v>0</v>
      </c>
      <c r="I1402" s="76" t="n">
        <f aca="false">IF(AND(ISNUMBER(G1402),ISNUMBER(H1402)),MAX(G1402-H1402,0),"")</f>
        <v>5</v>
      </c>
      <c r="J1402" s="78" t="n">
        <f aca="false">IF(AND(ISNUMBER(G1402),ISNUMBER(H1402)),IF(G1402&gt;0,H1402/G1402,""),"")</f>
        <v>0</v>
      </c>
      <c r="K1402" s="77"/>
      <c r="L1402" s="76" t="str">
        <f aca="false">IF(OR(G1402="",H1402=""),"Data tidak lengkap",IF(AND(G1402=0,H1402=0),IF(AND(F1402="",K1402=""),"Tidak dibuka","Tutup"),IF(H1402&gt;G1402,"Lebih kapasitas",IF(H1402=G1402,"Penuh",IF(H1402=0,IF(F1402="","Slot kosong","Belum terisi"),"Sebagian")))))</f>
        <v>Belum terisi</v>
      </c>
      <c r="M1402" s="79" t="str">
        <f aca="false">IF(L1402="Tidak dibuka","–",IF(F1402="","(tanpa age group)",F1402)&amp;"  "&amp;IF(H1402="","?",H1402)&amp;"/"&amp;IF(G1402="","?",G1402)&amp;CHAR(10)&amp;IF(K1402="","coach: –","coach: "&amp;K1402))</f>
        <v>Little  0/5
coach: –</v>
      </c>
    </row>
    <row r="1403" customFormat="false" ht="22.35" hidden="false" customHeight="false" outlineLevel="0" collapsed="false">
      <c r="A1403" s="76" t="str">
        <f aca="false">B1403&amp;"|"&amp;C1403&amp;"|"&amp;D1403&amp;"|"&amp;E1403</f>
        <v>TMP|2|Jumat|16:15</v>
      </c>
      <c r="B1403" s="76" t="s">
        <v>67</v>
      </c>
      <c r="C1403" s="76" t="n">
        <v>2</v>
      </c>
      <c r="D1403" s="76" t="s">
        <v>94</v>
      </c>
      <c r="E1403" s="76" t="s">
        <v>120</v>
      </c>
      <c r="F1403" s="77" t="s">
        <v>277</v>
      </c>
      <c r="G1403" s="77" t="n">
        <v>5</v>
      </c>
      <c r="H1403" s="77" t="n">
        <v>2</v>
      </c>
      <c r="I1403" s="76" t="n">
        <f aca="false">IF(AND(ISNUMBER(G1403),ISNUMBER(H1403)),MAX(G1403-H1403,0),"")</f>
        <v>3</v>
      </c>
      <c r="J1403" s="78" t="n">
        <f aca="false">IF(AND(ISNUMBER(G1403),ISNUMBER(H1403)),IF(G1403&gt;0,H1403/G1403,""),"")</f>
        <v>0.4</v>
      </c>
      <c r="K1403" s="77" t="s">
        <v>376</v>
      </c>
      <c r="L1403" s="76" t="str">
        <f aca="false">IF(OR(G1403="",H1403=""),"Data tidak lengkap",IF(AND(G1403=0,H1403=0),IF(AND(F1403="",K1403=""),"Tidak dibuka","Tutup"),IF(H1403&gt;G1403,"Lebih kapasitas",IF(H1403=G1403,"Penuh",IF(H1403=0,IF(F1403="","Slot kosong","Belum terisi"),"Sebagian")))))</f>
        <v>Sebagian</v>
      </c>
      <c r="M1403" s="79" t="str">
        <f aca="false">IF(L1403="Tidak dibuka","–",IF(F1403="","(tanpa age group)",F1403)&amp;"  "&amp;IF(H1403="","?",H1403)&amp;"/"&amp;IF(G1403="","?",G1403)&amp;CHAR(10)&amp;IF(K1403="","coach: –","coach: "&amp;K1403))</f>
        <v>Little  2/5
coach: Irvan</v>
      </c>
    </row>
    <row r="1404" customFormat="false" ht="22.35" hidden="false" customHeight="false" outlineLevel="0" collapsed="false">
      <c r="A1404" s="76" t="str">
        <f aca="false">B1404&amp;"|"&amp;C1404&amp;"|"&amp;D1404&amp;"|"&amp;E1404</f>
        <v>TMP|2|Jumat|17:00</v>
      </c>
      <c r="B1404" s="76" t="s">
        <v>67</v>
      </c>
      <c r="C1404" s="76" t="n">
        <v>2</v>
      </c>
      <c r="D1404" s="76" t="s">
        <v>94</v>
      </c>
      <c r="E1404" s="76" t="s">
        <v>121</v>
      </c>
      <c r="F1404" s="77" t="s">
        <v>277</v>
      </c>
      <c r="G1404" s="77" t="n">
        <v>5</v>
      </c>
      <c r="H1404" s="77" t="n">
        <v>1</v>
      </c>
      <c r="I1404" s="76" t="n">
        <f aca="false">IF(AND(ISNUMBER(G1404),ISNUMBER(H1404)),MAX(G1404-H1404,0),"")</f>
        <v>4</v>
      </c>
      <c r="J1404" s="78" t="n">
        <f aca="false">IF(AND(ISNUMBER(G1404),ISNUMBER(H1404)),IF(G1404&gt;0,H1404/G1404,""),"")</f>
        <v>0.2</v>
      </c>
      <c r="K1404" s="77" t="s">
        <v>378</v>
      </c>
      <c r="L1404" s="76" t="str">
        <f aca="false">IF(OR(G1404="",H1404=""),"Data tidak lengkap",IF(AND(G1404=0,H1404=0),IF(AND(F1404="",K1404=""),"Tidak dibuka","Tutup"),IF(H1404&gt;G1404,"Lebih kapasitas",IF(H1404=G1404,"Penuh",IF(H1404=0,IF(F1404="","Slot kosong","Belum terisi"),"Sebagian")))))</f>
        <v>Sebagian</v>
      </c>
      <c r="M1404" s="79" t="str">
        <f aca="false">IF(L1404="Tidak dibuka","–",IF(F1404="","(tanpa age group)",F1404)&amp;"  "&amp;IF(H1404="","?",H1404)&amp;"/"&amp;IF(G1404="","?",G1404)&amp;CHAR(10)&amp;IF(K1404="","coach: –","coach: "&amp;K1404))</f>
        <v>Little  1/5
coach: Agas</v>
      </c>
    </row>
    <row r="1405" customFormat="false" ht="22.35" hidden="false" customHeight="false" outlineLevel="0" collapsed="false">
      <c r="A1405" s="76" t="str">
        <f aca="false">B1405&amp;"|"&amp;C1405&amp;"|"&amp;D1405&amp;"|"&amp;E1405</f>
        <v>TMP|2|Sabtu|08:00</v>
      </c>
      <c r="B1405" s="76" t="s">
        <v>67</v>
      </c>
      <c r="C1405" s="76" t="n">
        <v>2</v>
      </c>
      <c r="D1405" s="76" t="s">
        <v>95</v>
      </c>
      <c r="E1405" s="76" t="s">
        <v>110</v>
      </c>
      <c r="F1405" s="77" t="s">
        <v>277</v>
      </c>
      <c r="G1405" s="77" t="n">
        <v>5</v>
      </c>
      <c r="H1405" s="77" t="n">
        <v>0</v>
      </c>
      <c r="I1405" s="76" t="n">
        <f aca="false">IF(AND(ISNUMBER(G1405),ISNUMBER(H1405)),MAX(G1405-H1405,0),"")</f>
        <v>5</v>
      </c>
      <c r="J1405" s="78" t="n">
        <f aca="false">IF(AND(ISNUMBER(G1405),ISNUMBER(H1405)),IF(G1405&gt;0,H1405/G1405,""),"")</f>
        <v>0</v>
      </c>
      <c r="K1405" s="77"/>
      <c r="L1405" s="76" t="str">
        <f aca="false">IF(OR(G1405="",H1405=""),"Data tidak lengkap",IF(AND(G1405=0,H1405=0),IF(AND(F1405="",K1405=""),"Tidak dibuka","Tutup"),IF(H1405&gt;G1405,"Lebih kapasitas",IF(H1405=G1405,"Penuh",IF(H1405=0,IF(F1405="","Slot kosong","Belum terisi"),"Sebagian")))))</f>
        <v>Belum terisi</v>
      </c>
      <c r="M1405" s="79" t="str">
        <f aca="false">IF(L1405="Tidak dibuka","–",IF(F1405="","(tanpa age group)",F1405)&amp;"  "&amp;IF(H1405="","?",H1405)&amp;"/"&amp;IF(G1405="","?",G1405)&amp;CHAR(10)&amp;IF(K1405="","coach: –","coach: "&amp;K1405))</f>
        <v>Little  0/5
coach: –</v>
      </c>
    </row>
    <row r="1406" customFormat="false" ht="22.35" hidden="false" customHeight="false" outlineLevel="0" collapsed="false">
      <c r="A1406" s="76" t="str">
        <f aca="false">B1406&amp;"|"&amp;C1406&amp;"|"&amp;D1406&amp;"|"&amp;E1406</f>
        <v>TMP|2|Sabtu|08:45</v>
      </c>
      <c r="B1406" s="76" t="s">
        <v>67</v>
      </c>
      <c r="C1406" s="76" t="n">
        <v>2</v>
      </c>
      <c r="D1406" s="76" t="s">
        <v>95</v>
      </c>
      <c r="E1406" s="76" t="s">
        <v>111</v>
      </c>
      <c r="F1406" s="77" t="s">
        <v>277</v>
      </c>
      <c r="G1406" s="77" t="n">
        <v>5</v>
      </c>
      <c r="H1406" s="77" t="n">
        <v>0</v>
      </c>
      <c r="I1406" s="76" t="n">
        <f aca="false">IF(AND(ISNUMBER(G1406),ISNUMBER(H1406)),MAX(G1406-H1406,0),"")</f>
        <v>5</v>
      </c>
      <c r="J1406" s="78" t="n">
        <f aca="false">IF(AND(ISNUMBER(G1406),ISNUMBER(H1406)),IF(G1406&gt;0,H1406/G1406,""),"")</f>
        <v>0</v>
      </c>
      <c r="K1406" s="77"/>
      <c r="L1406" s="76" t="str">
        <f aca="false">IF(OR(G1406="",H1406=""),"Data tidak lengkap",IF(AND(G1406=0,H1406=0),IF(AND(F1406="",K1406=""),"Tidak dibuka","Tutup"),IF(H1406&gt;G1406,"Lebih kapasitas",IF(H1406=G1406,"Penuh",IF(H1406=0,IF(F1406="","Slot kosong","Belum terisi"),"Sebagian")))))</f>
        <v>Belum terisi</v>
      </c>
      <c r="M1406" s="79" t="str">
        <f aca="false">IF(L1406="Tidak dibuka","–",IF(F1406="","(tanpa age group)",F1406)&amp;"  "&amp;IF(H1406="","?",H1406)&amp;"/"&amp;IF(G1406="","?",G1406)&amp;CHAR(10)&amp;IF(K1406="","coach: –","coach: "&amp;K1406))</f>
        <v>Little  0/5
coach: –</v>
      </c>
    </row>
    <row r="1407" customFormat="false" ht="22.35" hidden="false" customHeight="false" outlineLevel="0" collapsed="false">
      <c r="A1407" s="76" t="str">
        <f aca="false">B1407&amp;"|"&amp;C1407&amp;"|"&amp;D1407&amp;"|"&amp;E1407</f>
        <v>TMP|2|Sabtu|09:30</v>
      </c>
      <c r="B1407" s="76" t="s">
        <v>67</v>
      </c>
      <c r="C1407" s="76" t="n">
        <v>2</v>
      </c>
      <c r="D1407" s="76" t="s">
        <v>95</v>
      </c>
      <c r="E1407" s="76" t="s">
        <v>112</v>
      </c>
      <c r="F1407" s="77" t="s">
        <v>277</v>
      </c>
      <c r="G1407" s="77" t="n">
        <v>5</v>
      </c>
      <c r="H1407" s="77" t="n">
        <v>0</v>
      </c>
      <c r="I1407" s="76" t="n">
        <f aca="false">IF(AND(ISNUMBER(G1407),ISNUMBER(H1407)),MAX(G1407-H1407,0),"")</f>
        <v>5</v>
      </c>
      <c r="J1407" s="78" t="n">
        <f aca="false">IF(AND(ISNUMBER(G1407),ISNUMBER(H1407)),IF(G1407&gt;0,H1407/G1407,""),"")</f>
        <v>0</v>
      </c>
      <c r="K1407" s="77"/>
      <c r="L1407" s="76" t="str">
        <f aca="false">IF(OR(G1407="",H1407=""),"Data tidak lengkap",IF(AND(G1407=0,H1407=0),IF(AND(F1407="",K1407=""),"Tidak dibuka","Tutup"),IF(H1407&gt;G1407,"Lebih kapasitas",IF(H1407=G1407,"Penuh",IF(H1407=0,IF(F1407="","Slot kosong","Belum terisi"),"Sebagian")))))</f>
        <v>Belum terisi</v>
      </c>
      <c r="M1407" s="79" t="str">
        <f aca="false">IF(L1407="Tidak dibuka","–",IF(F1407="","(tanpa age group)",F1407)&amp;"  "&amp;IF(H1407="","?",H1407)&amp;"/"&amp;IF(G1407="","?",G1407)&amp;CHAR(10)&amp;IF(K1407="","coach: –","coach: "&amp;K1407))</f>
        <v>Little  0/5
coach: –</v>
      </c>
    </row>
    <row r="1408" customFormat="false" ht="22.35" hidden="false" customHeight="false" outlineLevel="0" collapsed="false">
      <c r="A1408" s="76" t="str">
        <f aca="false">B1408&amp;"|"&amp;C1408&amp;"|"&amp;D1408&amp;"|"&amp;E1408</f>
        <v>TMP|2|Sabtu|10:15</v>
      </c>
      <c r="B1408" s="76" t="s">
        <v>67</v>
      </c>
      <c r="C1408" s="76" t="n">
        <v>2</v>
      </c>
      <c r="D1408" s="76" t="s">
        <v>95</v>
      </c>
      <c r="E1408" s="76" t="s">
        <v>113</v>
      </c>
      <c r="F1408" s="77" t="s">
        <v>277</v>
      </c>
      <c r="G1408" s="77" t="n">
        <v>5</v>
      </c>
      <c r="H1408" s="77" t="n">
        <v>3</v>
      </c>
      <c r="I1408" s="76" t="n">
        <f aca="false">IF(AND(ISNUMBER(G1408),ISNUMBER(H1408)),MAX(G1408-H1408,0),"")</f>
        <v>2</v>
      </c>
      <c r="J1408" s="78" t="n">
        <f aca="false">IF(AND(ISNUMBER(G1408),ISNUMBER(H1408)),IF(G1408&gt;0,H1408/G1408,""),"")</f>
        <v>0.6</v>
      </c>
      <c r="K1408" s="77" t="s">
        <v>375</v>
      </c>
      <c r="L1408" s="76" t="str">
        <f aca="false">IF(OR(G1408="",H1408=""),"Data tidak lengkap",IF(AND(G1408=0,H1408=0),IF(AND(F1408="",K1408=""),"Tidak dibuka","Tutup"),IF(H1408&gt;G1408,"Lebih kapasitas",IF(H1408=G1408,"Penuh",IF(H1408=0,IF(F1408="","Slot kosong","Belum terisi"),"Sebagian")))))</f>
        <v>Sebagian</v>
      </c>
      <c r="M1408" s="79" t="str">
        <f aca="false">IF(L1408="Tidak dibuka","–",IF(F1408="","(tanpa age group)",F1408)&amp;"  "&amp;IF(H1408="","?",H1408)&amp;"/"&amp;IF(G1408="","?",G1408)&amp;CHAR(10)&amp;IF(K1408="","coach: –","coach: "&amp;K1408))</f>
        <v>Little  3/5
coach: Iqbal</v>
      </c>
    </row>
    <row r="1409" customFormat="false" ht="22.35" hidden="false" customHeight="false" outlineLevel="0" collapsed="false">
      <c r="A1409" s="76" t="str">
        <f aca="false">B1409&amp;"|"&amp;C1409&amp;"|"&amp;D1409&amp;"|"&amp;E1409</f>
        <v>TMP|2|Sabtu|11:00</v>
      </c>
      <c r="B1409" s="76" t="s">
        <v>67</v>
      </c>
      <c r="C1409" s="76" t="n">
        <v>2</v>
      </c>
      <c r="D1409" s="76" t="s">
        <v>95</v>
      </c>
      <c r="E1409" s="76" t="s">
        <v>114</v>
      </c>
      <c r="F1409" s="77" t="s">
        <v>277</v>
      </c>
      <c r="G1409" s="77" t="n">
        <v>5</v>
      </c>
      <c r="H1409" s="77" t="n">
        <v>2</v>
      </c>
      <c r="I1409" s="76" t="n">
        <f aca="false">IF(AND(ISNUMBER(G1409),ISNUMBER(H1409)),MAX(G1409-H1409,0),"")</f>
        <v>3</v>
      </c>
      <c r="J1409" s="78" t="n">
        <f aca="false">IF(AND(ISNUMBER(G1409),ISNUMBER(H1409)),IF(G1409&gt;0,H1409/G1409,""),"")</f>
        <v>0.4</v>
      </c>
      <c r="K1409" s="77" t="s">
        <v>375</v>
      </c>
      <c r="L1409" s="76" t="str">
        <f aca="false">IF(OR(G1409="",H1409=""),"Data tidak lengkap",IF(AND(G1409=0,H1409=0),IF(AND(F1409="",K1409=""),"Tidak dibuka","Tutup"),IF(H1409&gt;G1409,"Lebih kapasitas",IF(H1409=G1409,"Penuh",IF(H1409=0,IF(F1409="","Slot kosong","Belum terisi"),"Sebagian")))))</f>
        <v>Sebagian</v>
      </c>
      <c r="M1409" s="79" t="str">
        <f aca="false">IF(L1409="Tidak dibuka","–",IF(F1409="","(tanpa age group)",F1409)&amp;"  "&amp;IF(H1409="","?",H1409)&amp;"/"&amp;IF(G1409="","?",G1409)&amp;CHAR(10)&amp;IF(K1409="","coach: –","coach: "&amp;K1409))</f>
        <v>Little  2/5
coach: Iqbal</v>
      </c>
    </row>
    <row r="1410" customFormat="false" ht="22.35" hidden="false" customHeight="false" outlineLevel="0" collapsed="false">
      <c r="A1410" s="76" t="str">
        <f aca="false">B1410&amp;"|"&amp;C1410&amp;"|"&amp;D1410&amp;"|"&amp;E1410</f>
        <v>TMP|2|Sabtu|11:45</v>
      </c>
      <c r="B1410" s="76" t="s">
        <v>67</v>
      </c>
      <c r="C1410" s="76" t="n">
        <v>2</v>
      </c>
      <c r="D1410" s="76" t="s">
        <v>95</v>
      </c>
      <c r="E1410" s="76" t="s">
        <v>115</v>
      </c>
      <c r="F1410" s="77" t="s">
        <v>277</v>
      </c>
      <c r="G1410" s="77" t="n">
        <v>5</v>
      </c>
      <c r="H1410" s="77" t="n">
        <v>0</v>
      </c>
      <c r="I1410" s="76" t="n">
        <f aca="false">IF(AND(ISNUMBER(G1410),ISNUMBER(H1410)),MAX(G1410-H1410,0),"")</f>
        <v>5</v>
      </c>
      <c r="J1410" s="78" t="n">
        <f aca="false">IF(AND(ISNUMBER(G1410),ISNUMBER(H1410)),IF(G1410&gt;0,H1410/G1410,""),"")</f>
        <v>0</v>
      </c>
      <c r="K1410" s="77"/>
      <c r="L1410" s="76" t="str">
        <f aca="false">IF(OR(G1410="",H1410=""),"Data tidak lengkap",IF(AND(G1410=0,H1410=0),IF(AND(F1410="",K1410=""),"Tidak dibuka","Tutup"),IF(H1410&gt;G1410,"Lebih kapasitas",IF(H1410=G1410,"Penuh",IF(H1410=0,IF(F1410="","Slot kosong","Belum terisi"),"Sebagian")))))</f>
        <v>Belum terisi</v>
      </c>
      <c r="M1410" s="79" t="str">
        <f aca="false">IF(L1410="Tidak dibuka","–",IF(F1410="","(tanpa age group)",F1410)&amp;"  "&amp;IF(H1410="","?",H1410)&amp;"/"&amp;IF(G1410="","?",G1410)&amp;CHAR(10)&amp;IF(K1410="","coach: –","coach: "&amp;K1410))</f>
        <v>Little  0/5
coach: –</v>
      </c>
    </row>
    <row r="1411" customFormat="false" ht="22.35" hidden="false" customHeight="false" outlineLevel="0" collapsed="false">
      <c r="A1411" s="76" t="str">
        <f aca="false">B1411&amp;"|"&amp;C1411&amp;"|"&amp;D1411&amp;"|"&amp;E1411</f>
        <v>TMP|2|Sabtu|13:15</v>
      </c>
      <c r="B1411" s="76" t="s">
        <v>67</v>
      </c>
      <c r="C1411" s="76" t="n">
        <v>2</v>
      </c>
      <c r="D1411" s="76" t="s">
        <v>95</v>
      </c>
      <c r="E1411" s="76" t="s">
        <v>116</v>
      </c>
      <c r="F1411" s="77" t="s">
        <v>277</v>
      </c>
      <c r="G1411" s="77" t="n">
        <v>5</v>
      </c>
      <c r="H1411" s="77" t="n">
        <v>0</v>
      </c>
      <c r="I1411" s="76" t="n">
        <f aca="false">IF(AND(ISNUMBER(G1411),ISNUMBER(H1411)),MAX(G1411-H1411,0),"")</f>
        <v>5</v>
      </c>
      <c r="J1411" s="78" t="n">
        <f aca="false">IF(AND(ISNUMBER(G1411),ISNUMBER(H1411)),IF(G1411&gt;0,H1411/G1411,""),"")</f>
        <v>0</v>
      </c>
      <c r="K1411" s="77"/>
      <c r="L1411" s="76" t="str">
        <f aca="false">IF(OR(G1411="",H1411=""),"Data tidak lengkap",IF(AND(G1411=0,H1411=0),IF(AND(F1411="",K1411=""),"Tidak dibuka","Tutup"),IF(H1411&gt;G1411,"Lebih kapasitas",IF(H1411=G1411,"Penuh",IF(H1411=0,IF(F1411="","Slot kosong","Belum terisi"),"Sebagian")))))</f>
        <v>Belum terisi</v>
      </c>
      <c r="M1411" s="79" t="str">
        <f aca="false">IF(L1411="Tidak dibuka","–",IF(F1411="","(tanpa age group)",F1411)&amp;"  "&amp;IF(H1411="","?",H1411)&amp;"/"&amp;IF(G1411="","?",G1411)&amp;CHAR(10)&amp;IF(K1411="","coach: –","coach: "&amp;K1411))</f>
        <v>Little  0/5
coach: –</v>
      </c>
    </row>
    <row r="1412" customFormat="false" ht="22.35" hidden="false" customHeight="false" outlineLevel="0" collapsed="false">
      <c r="A1412" s="76" t="str">
        <f aca="false">B1412&amp;"|"&amp;C1412&amp;"|"&amp;D1412&amp;"|"&amp;E1412</f>
        <v>TMP|2|Sabtu|14:00</v>
      </c>
      <c r="B1412" s="76" t="s">
        <v>67</v>
      </c>
      <c r="C1412" s="76" t="n">
        <v>2</v>
      </c>
      <c r="D1412" s="76" t="s">
        <v>95</v>
      </c>
      <c r="E1412" s="76" t="s">
        <v>117</v>
      </c>
      <c r="F1412" s="77" t="s">
        <v>277</v>
      </c>
      <c r="G1412" s="77" t="n">
        <v>5</v>
      </c>
      <c r="H1412" s="77" t="n">
        <v>0</v>
      </c>
      <c r="I1412" s="76" t="n">
        <f aca="false">IF(AND(ISNUMBER(G1412),ISNUMBER(H1412)),MAX(G1412-H1412,0),"")</f>
        <v>5</v>
      </c>
      <c r="J1412" s="78" t="n">
        <f aca="false">IF(AND(ISNUMBER(G1412),ISNUMBER(H1412)),IF(G1412&gt;0,H1412/G1412,""),"")</f>
        <v>0</v>
      </c>
      <c r="K1412" s="77"/>
      <c r="L1412" s="76" t="str">
        <f aca="false">IF(OR(G1412="",H1412=""),"Data tidak lengkap",IF(AND(G1412=0,H1412=0),IF(AND(F1412="",K1412=""),"Tidak dibuka","Tutup"),IF(H1412&gt;G1412,"Lebih kapasitas",IF(H1412=G1412,"Penuh",IF(H1412=0,IF(F1412="","Slot kosong","Belum terisi"),"Sebagian")))))</f>
        <v>Belum terisi</v>
      </c>
      <c r="M1412" s="79" t="str">
        <f aca="false">IF(L1412="Tidak dibuka","–",IF(F1412="","(tanpa age group)",F1412)&amp;"  "&amp;IF(H1412="","?",H1412)&amp;"/"&amp;IF(G1412="","?",G1412)&amp;CHAR(10)&amp;IF(K1412="","coach: –","coach: "&amp;K1412))</f>
        <v>Little  0/5
coach: –</v>
      </c>
    </row>
    <row r="1413" customFormat="false" ht="22.35" hidden="false" customHeight="false" outlineLevel="0" collapsed="false">
      <c r="A1413" s="76" t="str">
        <f aca="false">B1413&amp;"|"&amp;C1413&amp;"|"&amp;D1413&amp;"|"&amp;E1413</f>
        <v>TMP|2|Sabtu|14:45</v>
      </c>
      <c r="B1413" s="76" t="s">
        <v>67</v>
      </c>
      <c r="C1413" s="76" t="n">
        <v>2</v>
      </c>
      <c r="D1413" s="76" t="s">
        <v>95</v>
      </c>
      <c r="E1413" s="76" t="s">
        <v>118</v>
      </c>
      <c r="F1413" s="77" t="s">
        <v>277</v>
      </c>
      <c r="G1413" s="77" t="n">
        <v>5</v>
      </c>
      <c r="H1413" s="77" t="n">
        <v>1</v>
      </c>
      <c r="I1413" s="76" t="n">
        <f aca="false">IF(AND(ISNUMBER(G1413),ISNUMBER(H1413)),MAX(G1413-H1413,0),"")</f>
        <v>4</v>
      </c>
      <c r="J1413" s="78" t="n">
        <f aca="false">IF(AND(ISNUMBER(G1413),ISNUMBER(H1413)),IF(G1413&gt;0,H1413/G1413,""),"")</f>
        <v>0.2</v>
      </c>
      <c r="K1413" s="77" t="s">
        <v>375</v>
      </c>
      <c r="L1413" s="76" t="str">
        <f aca="false">IF(OR(G1413="",H1413=""),"Data tidak lengkap",IF(AND(G1413=0,H1413=0),IF(AND(F1413="",K1413=""),"Tidak dibuka","Tutup"),IF(H1413&gt;G1413,"Lebih kapasitas",IF(H1413=G1413,"Penuh",IF(H1413=0,IF(F1413="","Slot kosong","Belum terisi"),"Sebagian")))))</f>
        <v>Sebagian</v>
      </c>
      <c r="M1413" s="79" t="str">
        <f aca="false">IF(L1413="Tidak dibuka","–",IF(F1413="","(tanpa age group)",F1413)&amp;"  "&amp;IF(H1413="","?",H1413)&amp;"/"&amp;IF(G1413="","?",G1413)&amp;CHAR(10)&amp;IF(K1413="","coach: –","coach: "&amp;K1413))</f>
        <v>Little  1/5
coach: Iqbal</v>
      </c>
    </row>
    <row r="1414" customFormat="false" ht="22.35" hidden="false" customHeight="false" outlineLevel="0" collapsed="false">
      <c r="A1414" s="76" t="str">
        <f aca="false">B1414&amp;"|"&amp;C1414&amp;"|"&amp;D1414&amp;"|"&amp;E1414</f>
        <v>TMP|2|Sabtu|15:30</v>
      </c>
      <c r="B1414" s="76" t="s">
        <v>67</v>
      </c>
      <c r="C1414" s="76" t="n">
        <v>2</v>
      </c>
      <c r="D1414" s="76" t="s">
        <v>95</v>
      </c>
      <c r="E1414" s="76" t="s">
        <v>119</v>
      </c>
      <c r="F1414" s="77" t="s">
        <v>277</v>
      </c>
      <c r="G1414" s="77" t="n">
        <v>5</v>
      </c>
      <c r="H1414" s="77" t="n">
        <v>0</v>
      </c>
      <c r="I1414" s="76" t="n">
        <f aca="false">IF(AND(ISNUMBER(G1414),ISNUMBER(H1414)),MAX(G1414-H1414,0),"")</f>
        <v>5</v>
      </c>
      <c r="J1414" s="78" t="n">
        <f aca="false">IF(AND(ISNUMBER(G1414),ISNUMBER(H1414)),IF(G1414&gt;0,H1414/G1414,""),"")</f>
        <v>0</v>
      </c>
      <c r="K1414" s="77"/>
      <c r="L1414" s="76" t="str">
        <f aca="false">IF(OR(G1414="",H1414=""),"Data tidak lengkap",IF(AND(G1414=0,H1414=0),IF(AND(F1414="",K1414=""),"Tidak dibuka","Tutup"),IF(H1414&gt;G1414,"Lebih kapasitas",IF(H1414=G1414,"Penuh",IF(H1414=0,IF(F1414="","Slot kosong","Belum terisi"),"Sebagian")))))</f>
        <v>Belum terisi</v>
      </c>
      <c r="M1414" s="79" t="str">
        <f aca="false">IF(L1414="Tidak dibuka","–",IF(F1414="","(tanpa age group)",F1414)&amp;"  "&amp;IF(H1414="","?",H1414)&amp;"/"&amp;IF(G1414="","?",G1414)&amp;CHAR(10)&amp;IF(K1414="","coach: –","coach: "&amp;K1414))</f>
        <v>Little  0/5
coach: –</v>
      </c>
    </row>
    <row r="1415" customFormat="false" ht="22.35" hidden="false" customHeight="false" outlineLevel="0" collapsed="false">
      <c r="A1415" s="76" t="str">
        <f aca="false">B1415&amp;"|"&amp;C1415&amp;"|"&amp;D1415&amp;"|"&amp;E1415</f>
        <v>TMP|2|Sabtu|16:15</v>
      </c>
      <c r="B1415" s="76" t="s">
        <v>67</v>
      </c>
      <c r="C1415" s="76" t="n">
        <v>2</v>
      </c>
      <c r="D1415" s="76" t="s">
        <v>95</v>
      </c>
      <c r="E1415" s="76" t="s">
        <v>120</v>
      </c>
      <c r="F1415" s="77" t="s">
        <v>277</v>
      </c>
      <c r="G1415" s="77" t="n">
        <v>5</v>
      </c>
      <c r="H1415" s="77" t="n">
        <v>1</v>
      </c>
      <c r="I1415" s="76" t="n">
        <f aca="false">IF(AND(ISNUMBER(G1415),ISNUMBER(H1415)),MAX(G1415-H1415,0),"")</f>
        <v>4</v>
      </c>
      <c r="J1415" s="78" t="n">
        <f aca="false">IF(AND(ISNUMBER(G1415),ISNUMBER(H1415)),IF(G1415&gt;0,H1415/G1415,""),"")</f>
        <v>0.2</v>
      </c>
      <c r="K1415" s="77" t="s">
        <v>374</v>
      </c>
      <c r="L1415" s="76" t="str">
        <f aca="false">IF(OR(G1415="",H1415=""),"Data tidak lengkap",IF(AND(G1415=0,H1415=0),IF(AND(F1415="",K1415=""),"Tidak dibuka","Tutup"),IF(H1415&gt;G1415,"Lebih kapasitas",IF(H1415=G1415,"Penuh",IF(H1415=0,IF(F1415="","Slot kosong","Belum terisi"),"Sebagian")))))</f>
        <v>Sebagian</v>
      </c>
      <c r="M1415" s="79" t="str">
        <f aca="false">IF(L1415="Tidak dibuka","–",IF(F1415="","(tanpa age group)",F1415)&amp;"  "&amp;IF(H1415="","?",H1415)&amp;"/"&amp;IF(G1415="","?",G1415)&amp;CHAR(10)&amp;IF(K1415="","coach: –","coach: "&amp;K1415))</f>
        <v>Little  1/5
coach: Adam</v>
      </c>
    </row>
    <row r="1416" customFormat="false" ht="22.35" hidden="false" customHeight="false" outlineLevel="0" collapsed="false">
      <c r="A1416" s="76" t="str">
        <f aca="false">B1416&amp;"|"&amp;C1416&amp;"|"&amp;D1416&amp;"|"&amp;E1416</f>
        <v>TMP|2|Sabtu|17:00</v>
      </c>
      <c r="B1416" s="76" t="s">
        <v>67</v>
      </c>
      <c r="C1416" s="76" t="n">
        <v>2</v>
      </c>
      <c r="D1416" s="76" t="s">
        <v>95</v>
      </c>
      <c r="E1416" s="76" t="s">
        <v>121</v>
      </c>
      <c r="F1416" s="77" t="s">
        <v>277</v>
      </c>
      <c r="G1416" s="77" t="n">
        <v>5</v>
      </c>
      <c r="H1416" s="77" t="n">
        <v>1</v>
      </c>
      <c r="I1416" s="76" t="n">
        <f aca="false">IF(AND(ISNUMBER(G1416),ISNUMBER(H1416)),MAX(G1416-H1416,0),"")</f>
        <v>4</v>
      </c>
      <c r="J1416" s="78" t="n">
        <f aca="false">IF(AND(ISNUMBER(G1416),ISNUMBER(H1416)),IF(G1416&gt;0,H1416/G1416,""),"")</f>
        <v>0.2</v>
      </c>
      <c r="K1416" s="77" t="s">
        <v>380</v>
      </c>
      <c r="L1416" s="76" t="str">
        <f aca="false">IF(OR(G1416="",H1416=""),"Data tidak lengkap",IF(AND(G1416=0,H1416=0),IF(AND(F1416="",K1416=""),"Tidak dibuka","Tutup"),IF(H1416&gt;G1416,"Lebih kapasitas",IF(H1416=G1416,"Penuh",IF(H1416=0,IF(F1416="","Slot kosong","Belum terisi"),"Sebagian")))))</f>
        <v>Sebagian</v>
      </c>
      <c r="M1416" s="79" t="str">
        <f aca="false">IF(L1416="Tidak dibuka","–",IF(F1416="","(tanpa age group)",F1416)&amp;"  "&amp;IF(H1416="","?",H1416)&amp;"/"&amp;IF(G1416="","?",G1416)&amp;CHAR(10)&amp;IF(K1416="","coach: –","coach: "&amp;K1416))</f>
        <v>Little  1/5
coach: Hanif</v>
      </c>
    </row>
    <row r="1417" customFormat="false" ht="22.35" hidden="false" customHeight="false" outlineLevel="0" collapsed="false">
      <c r="A1417" s="76" t="str">
        <f aca="false">B1417&amp;"|"&amp;C1417&amp;"|"&amp;D1417&amp;"|"&amp;E1417</f>
        <v>TMP|2|Minggu|08:00</v>
      </c>
      <c r="B1417" s="76" t="s">
        <v>67</v>
      </c>
      <c r="C1417" s="76" t="n">
        <v>2</v>
      </c>
      <c r="D1417" s="76" t="s">
        <v>78</v>
      </c>
      <c r="E1417" s="76" t="s">
        <v>110</v>
      </c>
      <c r="F1417" s="77" t="s">
        <v>277</v>
      </c>
      <c r="G1417" s="77" t="n">
        <v>5</v>
      </c>
      <c r="H1417" s="77" t="n">
        <v>0</v>
      </c>
      <c r="I1417" s="76" t="n">
        <f aca="false">IF(AND(ISNUMBER(G1417),ISNUMBER(H1417)),MAX(G1417-H1417,0),"")</f>
        <v>5</v>
      </c>
      <c r="J1417" s="78" t="n">
        <f aca="false">IF(AND(ISNUMBER(G1417),ISNUMBER(H1417)),IF(G1417&gt;0,H1417/G1417,""),"")</f>
        <v>0</v>
      </c>
      <c r="K1417" s="77"/>
      <c r="L1417" s="76" t="str">
        <f aca="false">IF(OR(G1417="",H1417=""),"Data tidak lengkap",IF(AND(G1417=0,H1417=0),IF(AND(F1417="",K1417=""),"Tidak dibuka","Tutup"),IF(H1417&gt;G1417,"Lebih kapasitas",IF(H1417=G1417,"Penuh",IF(H1417=0,IF(F1417="","Slot kosong","Belum terisi"),"Sebagian")))))</f>
        <v>Belum terisi</v>
      </c>
      <c r="M1417" s="79" t="str">
        <f aca="false">IF(L1417="Tidak dibuka","–",IF(F1417="","(tanpa age group)",F1417)&amp;"  "&amp;IF(H1417="","?",H1417)&amp;"/"&amp;IF(G1417="","?",G1417)&amp;CHAR(10)&amp;IF(K1417="","coach: –","coach: "&amp;K1417))</f>
        <v>Little  0/5
coach: –</v>
      </c>
    </row>
    <row r="1418" customFormat="false" ht="22.35" hidden="false" customHeight="false" outlineLevel="0" collapsed="false">
      <c r="A1418" s="76" t="str">
        <f aca="false">B1418&amp;"|"&amp;C1418&amp;"|"&amp;D1418&amp;"|"&amp;E1418</f>
        <v>TMP|2|Minggu|08:45</v>
      </c>
      <c r="B1418" s="76" t="s">
        <v>67</v>
      </c>
      <c r="C1418" s="76" t="n">
        <v>2</v>
      </c>
      <c r="D1418" s="76" t="s">
        <v>78</v>
      </c>
      <c r="E1418" s="76" t="s">
        <v>111</v>
      </c>
      <c r="F1418" s="77" t="s">
        <v>277</v>
      </c>
      <c r="G1418" s="77" t="n">
        <v>5</v>
      </c>
      <c r="H1418" s="77" t="n">
        <v>0</v>
      </c>
      <c r="I1418" s="76" t="n">
        <f aca="false">IF(AND(ISNUMBER(G1418),ISNUMBER(H1418)),MAX(G1418-H1418,0),"")</f>
        <v>5</v>
      </c>
      <c r="J1418" s="78" t="n">
        <f aca="false">IF(AND(ISNUMBER(G1418),ISNUMBER(H1418)),IF(G1418&gt;0,H1418/G1418,""),"")</f>
        <v>0</v>
      </c>
      <c r="K1418" s="77"/>
      <c r="L1418" s="76" t="str">
        <f aca="false">IF(OR(G1418="",H1418=""),"Data tidak lengkap",IF(AND(G1418=0,H1418=0),IF(AND(F1418="",K1418=""),"Tidak dibuka","Tutup"),IF(H1418&gt;G1418,"Lebih kapasitas",IF(H1418=G1418,"Penuh",IF(H1418=0,IF(F1418="","Slot kosong","Belum terisi"),"Sebagian")))))</f>
        <v>Belum terisi</v>
      </c>
      <c r="M1418" s="79" t="str">
        <f aca="false">IF(L1418="Tidak dibuka","–",IF(F1418="","(tanpa age group)",F1418)&amp;"  "&amp;IF(H1418="","?",H1418)&amp;"/"&amp;IF(G1418="","?",G1418)&amp;CHAR(10)&amp;IF(K1418="","coach: –","coach: "&amp;K1418))</f>
        <v>Little  0/5
coach: –</v>
      </c>
    </row>
    <row r="1419" customFormat="false" ht="22.35" hidden="false" customHeight="false" outlineLevel="0" collapsed="false">
      <c r="A1419" s="76" t="str">
        <f aca="false">B1419&amp;"|"&amp;C1419&amp;"|"&amp;D1419&amp;"|"&amp;E1419</f>
        <v>TMP|2|Minggu|09:30</v>
      </c>
      <c r="B1419" s="76" t="s">
        <v>67</v>
      </c>
      <c r="C1419" s="76" t="n">
        <v>2</v>
      </c>
      <c r="D1419" s="76" t="s">
        <v>78</v>
      </c>
      <c r="E1419" s="76" t="s">
        <v>112</v>
      </c>
      <c r="F1419" s="77" t="s">
        <v>277</v>
      </c>
      <c r="G1419" s="77" t="n">
        <v>5</v>
      </c>
      <c r="H1419" s="77" t="n">
        <v>0</v>
      </c>
      <c r="I1419" s="76" t="n">
        <f aca="false">IF(AND(ISNUMBER(G1419),ISNUMBER(H1419)),MAX(G1419-H1419,0),"")</f>
        <v>5</v>
      </c>
      <c r="J1419" s="78" t="n">
        <f aca="false">IF(AND(ISNUMBER(G1419),ISNUMBER(H1419)),IF(G1419&gt;0,H1419/G1419,""),"")</f>
        <v>0</v>
      </c>
      <c r="K1419" s="77"/>
      <c r="L1419" s="76" t="str">
        <f aca="false">IF(OR(G1419="",H1419=""),"Data tidak lengkap",IF(AND(G1419=0,H1419=0),IF(AND(F1419="",K1419=""),"Tidak dibuka","Tutup"),IF(H1419&gt;G1419,"Lebih kapasitas",IF(H1419=G1419,"Penuh",IF(H1419=0,IF(F1419="","Slot kosong","Belum terisi"),"Sebagian")))))</f>
        <v>Belum terisi</v>
      </c>
      <c r="M1419" s="79" t="str">
        <f aca="false">IF(L1419="Tidak dibuka","–",IF(F1419="","(tanpa age group)",F1419)&amp;"  "&amp;IF(H1419="","?",H1419)&amp;"/"&amp;IF(G1419="","?",G1419)&amp;CHAR(10)&amp;IF(K1419="","coach: –","coach: "&amp;K1419))</f>
        <v>Little  0/5
coach: –</v>
      </c>
    </row>
    <row r="1420" customFormat="false" ht="22.35" hidden="false" customHeight="false" outlineLevel="0" collapsed="false">
      <c r="A1420" s="76" t="str">
        <f aca="false">B1420&amp;"|"&amp;C1420&amp;"|"&amp;D1420&amp;"|"&amp;E1420</f>
        <v>TMP|2|Minggu|10:15</v>
      </c>
      <c r="B1420" s="76" t="s">
        <v>67</v>
      </c>
      <c r="C1420" s="76" t="n">
        <v>2</v>
      </c>
      <c r="D1420" s="76" t="s">
        <v>78</v>
      </c>
      <c r="E1420" s="76" t="s">
        <v>113</v>
      </c>
      <c r="F1420" s="77" t="s">
        <v>277</v>
      </c>
      <c r="G1420" s="77" t="n">
        <v>5</v>
      </c>
      <c r="H1420" s="77" t="n">
        <v>3</v>
      </c>
      <c r="I1420" s="76" t="n">
        <f aca="false">IF(AND(ISNUMBER(G1420),ISNUMBER(H1420)),MAX(G1420-H1420,0),"")</f>
        <v>2</v>
      </c>
      <c r="J1420" s="78" t="n">
        <f aca="false">IF(AND(ISNUMBER(G1420),ISNUMBER(H1420)),IF(G1420&gt;0,H1420/G1420,""),"")</f>
        <v>0.6</v>
      </c>
      <c r="K1420" s="77" t="s">
        <v>375</v>
      </c>
      <c r="L1420" s="76" t="str">
        <f aca="false">IF(OR(G1420="",H1420=""),"Data tidak lengkap",IF(AND(G1420=0,H1420=0),IF(AND(F1420="",K1420=""),"Tidak dibuka","Tutup"),IF(H1420&gt;G1420,"Lebih kapasitas",IF(H1420=G1420,"Penuh",IF(H1420=0,IF(F1420="","Slot kosong","Belum terisi"),"Sebagian")))))</f>
        <v>Sebagian</v>
      </c>
      <c r="M1420" s="79" t="str">
        <f aca="false">IF(L1420="Tidak dibuka","–",IF(F1420="","(tanpa age group)",F1420)&amp;"  "&amp;IF(H1420="","?",H1420)&amp;"/"&amp;IF(G1420="","?",G1420)&amp;CHAR(10)&amp;IF(K1420="","coach: –","coach: "&amp;K1420))</f>
        <v>Little  3/5
coach: Iqbal</v>
      </c>
    </row>
    <row r="1421" customFormat="false" ht="22.35" hidden="false" customHeight="false" outlineLevel="0" collapsed="false">
      <c r="A1421" s="76" t="str">
        <f aca="false">B1421&amp;"|"&amp;C1421&amp;"|"&amp;D1421&amp;"|"&amp;E1421</f>
        <v>TMP|2|Minggu|11:00</v>
      </c>
      <c r="B1421" s="76" t="s">
        <v>67</v>
      </c>
      <c r="C1421" s="76" t="n">
        <v>2</v>
      </c>
      <c r="D1421" s="76" t="s">
        <v>78</v>
      </c>
      <c r="E1421" s="76" t="s">
        <v>114</v>
      </c>
      <c r="F1421" s="77" t="s">
        <v>277</v>
      </c>
      <c r="G1421" s="77" t="n">
        <v>5</v>
      </c>
      <c r="H1421" s="77" t="n">
        <v>1</v>
      </c>
      <c r="I1421" s="76" t="n">
        <f aca="false">IF(AND(ISNUMBER(G1421),ISNUMBER(H1421)),MAX(G1421-H1421,0),"")</f>
        <v>4</v>
      </c>
      <c r="J1421" s="78" t="n">
        <f aca="false">IF(AND(ISNUMBER(G1421),ISNUMBER(H1421)),IF(G1421&gt;0,H1421/G1421,""),"")</f>
        <v>0.2</v>
      </c>
      <c r="K1421" s="77" t="s">
        <v>378</v>
      </c>
      <c r="L1421" s="76" t="str">
        <f aca="false">IF(OR(G1421="",H1421=""),"Data tidak lengkap",IF(AND(G1421=0,H1421=0),IF(AND(F1421="",K1421=""),"Tidak dibuka","Tutup"),IF(H1421&gt;G1421,"Lebih kapasitas",IF(H1421=G1421,"Penuh",IF(H1421=0,IF(F1421="","Slot kosong","Belum terisi"),"Sebagian")))))</f>
        <v>Sebagian</v>
      </c>
      <c r="M1421" s="79" t="str">
        <f aca="false">IF(L1421="Tidak dibuka","–",IF(F1421="","(tanpa age group)",F1421)&amp;"  "&amp;IF(H1421="","?",H1421)&amp;"/"&amp;IF(G1421="","?",G1421)&amp;CHAR(10)&amp;IF(K1421="","coach: –","coach: "&amp;K1421))</f>
        <v>Little  1/5
coach: Agas</v>
      </c>
    </row>
    <row r="1422" customFormat="false" ht="22.35" hidden="false" customHeight="false" outlineLevel="0" collapsed="false">
      <c r="A1422" s="76" t="str">
        <f aca="false">B1422&amp;"|"&amp;C1422&amp;"|"&amp;D1422&amp;"|"&amp;E1422</f>
        <v>TMP|2|Minggu|11:45</v>
      </c>
      <c r="B1422" s="76" t="s">
        <v>67</v>
      </c>
      <c r="C1422" s="76" t="n">
        <v>2</v>
      </c>
      <c r="D1422" s="76" t="s">
        <v>78</v>
      </c>
      <c r="E1422" s="76" t="s">
        <v>115</v>
      </c>
      <c r="F1422" s="77" t="s">
        <v>277</v>
      </c>
      <c r="G1422" s="77" t="n">
        <v>5</v>
      </c>
      <c r="H1422" s="77" t="n">
        <v>0</v>
      </c>
      <c r="I1422" s="76" t="n">
        <f aca="false">IF(AND(ISNUMBER(G1422),ISNUMBER(H1422)),MAX(G1422-H1422,0),"")</f>
        <v>5</v>
      </c>
      <c r="J1422" s="78" t="n">
        <f aca="false">IF(AND(ISNUMBER(G1422),ISNUMBER(H1422)),IF(G1422&gt;0,H1422/G1422,""),"")</f>
        <v>0</v>
      </c>
      <c r="K1422" s="77"/>
      <c r="L1422" s="76" t="str">
        <f aca="false">IF(OR(G1422="",H1422=""),"Data tidak lengkap",IF(AND(G1422=0,H1422=0),IF(AND(F1422="",K1422=""),"Tidak dibuka","Tutup"),IF(H1422&gt;G1422,"Lebih kapasitas",IF(H1422=G1422,"Penuh",IF(H1422=0,IF(F1422="","Slot kosong","Belum terisi"),"Sebagian")))))</f>
        <v>Belum terisi</v>
      </c>
      <c r="M1422" s="79" t="str">
        <f aca="false">IF(L1422="Tidak dibuka","–",IF(F1422="","(tanpa age group)",F1422)&amp;"  "&amp;IF(H1422="","?",H1422)&amp;"/"&amp;IF(G1422="","?",G1422)&amp;CHAR(10)&amp;IF(K1422="","coach: –","coach: "&amp;K1422))</f>
        <v>Little  0/5
coach: –</v>
      </c>
    </row>
    <row r="1423" customFormat="false" ht="22.35" hidden="false" customHeight="false" outlineLevel="0" collapsed="false">
      <c r="A1423" s="76" t="str">
        <f aca="false">B1423&amp;"|"&amp;C1423&amp;"|"&amp;D1423&amp;"|"&amp;E1423</f>
        <v>TMP|2|Minggu|13:15</v>
      </c>
      <c r="B1423" s="76" t="s">
        <v>67</v>
      </c>
      <c r="C1423" s="76" t="n">
        <v>2</v>
      </c>
      <c r="D1423" s="76" t="s">
        <v>78</v>
      </c>
      <c r="E1423" s="76" t="s">
        <v>116</v>
      </c>
      <c r="F1423" s="77" t="s">
        <v>277</v>
      </c>
      <c r="G1423" s="77" t="n">
        <v>5</v>
      </c>
      <c r="H1423" s="77" t="n">
        <v>0</v>
      </c>
      <c r="I1423" s="76" t="n">
        <f aca="false">IF(AND(ISNUMBER(G1423),ISNUMBER(H1423)),MAX(G1423-H1423,0),"")</f>
        <v>5</v>
      </c>
      <c r="J1423" s="78" t="n">
        <f aca="false">IF(AND(ISNUMBER(G1423),ISNUMBER(H1423)),IF(G1423&gt;0,H1423/G1423,""),"")</f>
        <v>0</v>
      </c>
      <c r="K1423" s="77"/>
      <c r="L1423" s="76" t="str">
        <f aca="false">IF(OR(G1423="",H1423=""),"Data tidak lengkap",IF(AND(G1423=0,H1423=0),IF(AND(F1423="",K1423=""),"Tidak dibuka","Tutup"),IF(H1423&gt;G1423,"Lebih kapasitas",IF(H1423=G1423,"Penuh",IF(H1423=0,IF(F1423="","Slot kosong","Belum terisi"),"Sebagian")))))</f>
        <v>Belum terisi</v>
      </c>
      <c r="M1423" s="79" t="str">
        <f aca="false">IF(L1423="Tidak dibuka","–",IF(F1423="","(tanpa age group)",F1423)&amp;"  "&amp;IF(H1423="","?",H1423)&amp;"/"&amp;IF(G1423="","?",G1423)&amp;CHAR(10)&amp;IF(K1423="","coach: –","coach: "&amp;K1423))</f>
        <v>Little  0/5
coach: –</v>
      </c>
    </row>
    <row r="1424" customFormat="false" ht="22.35" hidden="false" customHeight="false" outlineLevel="0" collapsed="false">
      <c r="A1424" s="76" t="str">
        <f aca="false">B1424&amp;"|"&amp;C1424&amp;"|"&amp;D1424&amp;"|"&amp;E1424</f>
        <v>TMP|2|Minggu|14:00</v>
      </c>
      <c r="B1424" s="76" t="s">
        <v>67</v>
      </c>
      <c r="C1424" s="76" t="n">
        <v>2</v>
      </c>
      <c r="D1424" s="76" t="s">
        <v>78</v>
      </c>
      <c r="E1424" s="76" t="s">
        <v>117</v>
      </c>
      <c r="F1424" s="77" t="s">
        <v>277</v>
      </c>
      <c r="G1424" s="77" t="n">
        <v>5</v>
      </c>
      <c r="H1424" s="77" t="n">
        <v>0</v>
      </c>
      <c r="I1424" s="76" t="n">
        <f aca="false">IF(AND(ISNUMBER(G1424),ISNUMBER(H1424)),MAX(G1424-H1424,0),"")</f>
        <v>5</v>
      </c>
      <c r="J1424" s="78" t="n">
        <f aca="false">IF(AND(ISNUMBER(G1424),ISNUMBER(H1424)),IF(G1424&gt;0,H1424/G1424,""),"")</f>
        <v>0</v>
      </c>
      <c r="K1424" s="77"/>
      <c r="L1424" s="76" t="str">
        <f aca="false">IF(OR(G1424="",H1424=""),"Data tidak lengkap",IF(AND(G1424=0,H1424=0),IF(AND(F1424="",K1424=""),"Tidak dibuka","Tutup"),IF(H1424&gt;G1424,"Lebih kapasitas",IF(H1424=G1424,"Penuh",IF(H1424=0,IF(F1424="","Slot kosong","Belum terisi"),"Sebagian")))))</f>
        <v>Belum terisi</v>
      </c>
      <c r="M1424" s="79" t="str">
        <f aca="false">IF(L1424="Tidak dibuka","–",IF(F1424="","(tanpa age group)",F1424)&amp;"  "&amp;IF(H1424="","?",H1424)&amp;"/"&amp;IF(G1424="","?",G1424)&amp;CHAR(10)&amp;IF(K1424="","coach: –","coach: "&amp;K1424))</f>
        <v>Little  0/5
coach: –</v>
      </c>
    </row>
    <row r="1425" customFormat="false" ht="22.35" hidden="false" customHeight="false" outlineLevel="0" collapsed="false">
      <c r="A1425" s="76" t="str">
        <f aca="false">B1425&amp;"|"&amp;C1425&amp;"|"&amp;D1425&amp;"|"&amp;E1425</f>
        <v>TMP|2|Minggu|14:45</v>
      </c>
      <c r="B1425" s="76" t="s">
        <v>67</v>
      </c>
      <c r="C1425" s="76" t="n">
        <v>2</v>
      </c>
      <c r="D1425" s="76" t="s">
        <v>78</v>
      </c>
      <c r="E1425" s="76" t="s">
        <v>118</v>
      </c>
      <c r="F1425" s="77" t="s">
        <v>277</v>
      </c>
      <c r="G1425" s="77" t="n">
        <v>5</v>
      </c>
      <c r="H1425" s="77" t="n">
        <v>1</v>
      </c>
      <c r="I1425" s="76" t="n">
        <f aca="false">IF(AND(ISNUMBER(G1425),ISNUMBER(H1425)),MAX(G1425-H1425,0),"")</f>
        <v>4</v>
      </c>
      <c r="J1425" s="78" t="n">
        <f aca="false">IF(AND(ISNUMBER(G1425),ISNUMBER(H1425)),IF(G1425&gt;0,H1425/G1425,""),"")</f>
        <v>0.2</v>
      </c>
      <c r="K1425" s="77" t="s">
        <v>376</v>
      </c>
      <c r="L1425" s="76" t="str">
        <f aca="false">IF(OR(G1425="",H1425=""),"Data tidak lengkap",IF(AND(G1425=0,H1425=0),IF(AND(F1425="",K1425=""),"Tidak dibuka","Tutup"),IF(H1425&gt;G1425,"Lebih kapasitas",IF(H1425=G1425,"Penuh",IF(H1425=0,IF(F1425="","Slot kosong","Belum terisi"),"Sebagian")))))</f>
        <v>Sebagian</v>
      </c>
      <c r="M1425" s="79" t="str">
        <f aca="false">IF(L1425="Tidak dibuka","–",IF(F1425="","(tanpa age group)",F1425)&amp;"  "&amp;IF(H1425="","?",H1425)&amp;"/"&amp;IF(G1425="","?",G1425)&amp;CHAR(10)&amp;IF(K1425="","coach: –","coach: "&amp;K1425))</f>
        <v>Little  1/5
coach: Irvan</v>
      </c>
    </row>
    <row r="1426" customFormat="false" ht="22.35" hidden="false" customHeight="false" outlineLevel="0" collapsed="false">
      <c r="A1426" s="76" t="str">
        <f aca="false">B1426&amp;"|"&amp;C1426&amp;"|"&amp;D1426&amp;"|"&amp;E1426</f>
        <v>TMP|2|Minggu|15:30</v>
      </c>
      <c r="B1426" s="76" t="s">
        <v>67</v>
      </c>
      <c r="C1426" s="76" t="n">
        <v>2</v>
      </c>
      <c r="D1426" s="76" t="s">
        <v>78</v>
      </c>
      <c r="E1426" s="76" t="s">
        <v>119</v>
      </c>
      <c r="F1426" s="77" t="s">
        <v>277</v>
      </c>
      <c r="G1426" s="77" t="n">
        <v>5</v>
      </c>
      <c r="H1426" s="77" t="n">
        <v>0</v>
      </c>
      <c r="I1426" s="76" t="n">
        <f aca="false">IF(AND(ISNUMBER(G1426),ISNUMBER(H1426)),MAX(G1426-H1426,0),"")</f>
        <v>5</v>
      </c>
      <c r="J1426" s="78" t="n">
        <f aca="false">IF(AND(ISNUMBER(G1426),ISNUMBER(H1426)),IF(G1426&gt;0,H1426/G1426,""),"")</f>
        <v>0</v>
      </c>
      <c r="K1426" s="77"/>
      <c r="L1426" s="76" t="str">
        <f aca="false">IF(OR(G1426="",H1426=""),"Data tidak lengkap",IF(AND(G1426=0,H1426=0),IF(AND(F1426="",K1426=""),"Tidak dibuka","Tutup"),IF(H1426&gt;G1426,"Lebih kapasitas",IF(H1426=G1426,"Penuh",IF(H1426=0,IF(F1426="","Slot kosong","Belum terisi"),"Sebagian")))))</f>
        <v>Belum terisi</v>
      </c>
      <c r="M1426" s="79" t="str">
        <f aca="false">IF(L1426="Tidak dibuka","–",IF(F1426="","(tanpa age group)",F1426)&amp;"  "&amp;IF(H1426="","?",H1426)&amp;"/"&amp;IF(G1426="","?",G1426)&amp;CHAR(10)&amp;IF(K1426="","coach: –","coach: "&amp;K1426))</f>
        <v>Little  0/5
coach: –</v>
      </c>
    </row>
    <row r="1427" customFormat="false" ht="22.35" hidden="false" customHeight="false" outlineLevel="0" collapsed="false">
      <c r="A1427" s="76" t="str">
        <f aca="false">B1427&amp;"|"&amp;C1427&amp;"|"&amp;D1427&amp;"|"&amp;E1427</f>
        <v>TMP|2|Minggu|16:15</v>
      </c>
      <c r="B1427" s="76" t="s">
        <v>67</v>
      </c>
      <c r="C1427" s="76" t="n">
        <v>2</v>
      </c>
      <c r="D1427" s="76" t="s">
        <v>78</v>
      </c>
      <c r="E1427" s="76" t="s">
        <v>120</v>
      </c>
      <c r="F1427" s="77" t="s">
        <v>277</v>
      </c>
      <c r="G1427" s="77" t="n">
        <v>5</v>
      </c>
      <c r="H1427" s="77" t="n">
        <v>2</v>
      </c>
      <c r="I1427" s="76" t="n">
        <f aca="false">IF(AND(ISNUMBER(G1427),ISNUMBER(H1427)),MAX(G1427-H1427,0),"")</f>
        <v>3</v>
      </c>
      <c r="J1427" s="78" t="n">
        <f aca="false">IF(AND(ISNUMBER(G1427),ISNUMBER(H1427)),IF(G1427&gt;0,H1427/G1427,""),"")</f>
        <v>0.4</v>
      </c>
      <c r="K1427" s="77" t="s">
        <v>375</v>
      </c>
      <c r="L1427" s="76" t="str">
        <f aca="false">IF(OR(G1427="",H1427=""),"Data tidak lengkap",IF(AND(G1427=0,H1427=0),IF(AND(F1427="",K1427=""),"Tidak dibuka","Tutup"),IF(H1427&gt;G1427,"Lebih kapasitas",IF(H1427=G1427,"Penuh",IF(H1427=0,IF(F1427="","Slot kosong","Belum terisi"),"Sebagian")))))</f>
        <v>Sebagian</v>
      </c>
      <c r="M1427" s="79" t="str">
        <f aca="false">IF(L1427="Tidak dibuka","–",IF(F1427="","(tanpa age group)",F1427)&amp;"  "&amp;IF(H1427="","?",H1427)&amp;"/"&amp;IF(G1427="","?",G1427)&amp;CHAR(10)&amp;IF(K1427="","coach: –","coach: "&amp;K1427))</f>
        <v>Little  2/5
coach: Iqbal</v>
      </c>
    </row>
    <row r="1428" customFormat="false" ht="22.35" hidden="false" customHeight="false" outlineLevel="0" collapsed="false">
      <c r="A1428" s="76" t="str">
        <f aca="false">B1428&amp;"|"&amp;C1428&amp;"|"&amp;D1428&amp;"|"&amp;E1428</f>
        <v>TMP|2|Minggu|17:00</v>
      </c>
      <c r="B1428" s="76" t="s">
        <v>67</v>
      </c>
      <c r="C1428" s="76" t="n">
        <v>2</v>
      </c>
      <c r="D1428" s="76" t="s">
        <v>78</v>
      </c>
      <c r="E1428" s="76" t="s">
        <v>121</v>
      </c>
      <c r="F1428" s="77" t="s">
        <v>277</v>
      </c>
      <c r="G1428" s="77" t="n">
        <v>5</v>
      </c>
      <c r="H1428" s="77" t="n">
        <v>1</v>
      </c>
      <c r="I1428" s="76" t="n">
        <f aca="false">IF(AND(ISNUMBER(G1428),ISNUMBER(H1428)),MAX(G1428-H1428,0),"")</f>
        <v>4</v>
      </c>
      <c r="J1428" s="78" t="n">
        <f aca="false">IF(AND(ISNUMBER(G1428),ISNUMBER(H1428)),IF(G1428&gt;0,H1428/G1428,""),"")</f>
        <v>0.2</v>
      </c>
      <c r="K1428" s="77" t="s">
        <v>380</v>
      </c>
      <c r="L1428" s="76" t="str">
        <f aca="false">IF(OR(G1428="",H1428=""),"Data tidak lengkap",IF(AND(G1428=0,H1428=0),IF(AND(F1428="",K1428=""),"Tidak dibuka","Tutup"),IF(H1428&gt;G1428,"Lebih kapasitas",IF(H1428=G1428,"Penuh",IF(H1428=0,IF(F1428="","Slot kosong","Belum terisi"),"Sebagian")))))</f>
        <v>Sebagian</v>
      </c>
      <c r="M1428" s="79" t="str">
        <f aca="false">IF(L1428="Tidak dibuka","–",IF(F1428="","(tanpa age group)",F1428)&amp;"  "&amp;IF(H1428="","?",H1428)&amp;"/"&amp;IF(G1428="","?",G1428)&amp;CHAR(10)&amp;IF(K1428="","coach: –","coach: "&amp;K1428))</f>
        <v>Little  1/5
coach: Hanif</v>
      </c>
    </row>
    <row r="1429" customFormat="false" ht="22.35" hidden="false" customHeight="false" outlineLevel="0" collapsed="false">
      <c r="A1429" s="76" t="str">
        <f aca="false">B1429&amp;"|"&amp;C1429&amp;"|"&amp;D1429&amp;"|"&amp;E1429</f>
        <v>TMP|3|Senin|08:15</v>
      </c>
      <c r="B1429" s="76" t="s">
        <v>67</v>
      </c>
      <c r="C1429" s="76" t="n">
        <v>3</v>
      </c>
      <c r="D1429" s="76" t="s">
        <v>90</v>
      </c>
      <c r="E1429" s="76" t="s">
        <v>96</v>
      </c>
      <c r="F1429" s="77" t="s">
        <v>210</v>
      </c>
      <c r="G1429" s="77" t="n">
        <v>4</v>
      </c>
      <c r="H1429" s="77" t="n">
        <v>0</v>
      </c>
      <c r="I1429" s="76" t="n">
        <f aca="false">IF(AND(ISNUMBER(G1429),ISNUMBER(H1429)),MAX(G1429-H1429,0),"")</f>
        <v>4</v>
      </c>
      <c r="J1429" s="78" t="n">
        <f aca="false">IF(AND(ISNUMBER(G1429),ISNUMBER(H1429)),IF(G1429&gt;0,H1429/G1429,""),"")</f>
        <v>0</v>
      </c>
      <c r="K1429" s="77"/>
      <c r="L1429" s="76" t="str">
        <f aca="false">IF(OR(G1429="",H1429=""),"Data tidak lengkap",IF(AND(G1429=0,H1429=0),IF(AND(F1429="",K1429=""),"Tidak dibuka","Tutup"),IF(H1429&gt;G1429,"Lebih kapasitas",IF(H1429=G1429,"Penuh",IF(H1429=0,IF(F1429="","Slot kosong","Belum terisi"),"Sebagian")))))</f>
        <v>Belum terisi</v>
      </c>
      <c r="M1429" s="79" t="str">
        <f aca="false">IF(L1429="Tidak dibuka","–",IF(F1429="","(tanpa age group)",F1429)&amp;"  "&amp;IF(H1429="","?",H1429)&amp;"/"&amp;IF(G1429="","?",G1429)&amp;CHAR(10)&amp;IF(K1429="","coach: –","coach: "&amp;K1429))</f>
        <v>Kids  0/4
coach: –</v>
      </c>
    </row>
    <row r="1430" customFormat="false" ht="22.35" hidden="false" customHeight="false" outlineLevel="0" collapsed="false">
      <c r="A1430" s="76" t="str">
        <f aca="false">B1430&amp;"|"&amp;C1430&amp;"|"&amp;D1430&amp;"|"&amp;E1430</f>
        <v>TMP|3|Senin|09:00</v>
      </c>
      <c r="B1430" s="76" t="s">
        <v>67</v>
      </c>
      <c r="C1430" s="76" t="n">
        <v>3</v>
      </c>
      <c r="D1430" s="76" t="s">
        <v>90</v>
      </c>
      <c r="E1430" s="76" t="s">
        <v>97</v>
      </c>
      <c r="F1430" s="77" t="s">
        <v>210</v>
      </c>
      <c r="G1430" s="77" t="n">
        <v>4</v>
      </c>
      <c r="H1430" s="77" t="n">
        <v>0</v>
      </c>
      <c r="I1430" s="76" t="n">
        <f aca="false">IF(AND(ISNUMBER(G1430),ISNUMBER(H1430)),MAX(G1430-H1430,0),"")</f>
        <v>4</v>
      </c>
      <c r="J1430" s="78" t="n">
        <f aca="false">IF(AND(ISNUMBER(G1430),ISNUMBER(H1430)),IF(G1430&gt;0,H1430/G1430,""),"")</f>
        <v>0</v>
      </c>
      <c r="K1430" s="77"/>
      <c r="L1430" s="76" t="str">
        <f aca="false">IF(OR(G1430="",H1430=""),"Data tidak lengkap",IF(AND(G1430=0,H1430=0),IF(AND(F1430="",K1430=""),"Tidak dibuka","Tutup"),IF(H1430&gt;G1430,"Lebih kapasitas",IF(H1430=G1430,"Penuh",IF(H1430=0,IF(F1430="","Slot kosong","Belum terisi"),"Sebagian")))))</f>
        <v>Belum terisi</v>
      </c>
      <c r="M1430" s="79" t="str">
        <f aca="false">IF(L1430="Tidak dibuka","–",IF(F1430="","(tanpa age group)",F1430)&amp;"  "&amp;IF(H1430="","?",H1430)&amp;"/"&amp;IF(G1430="","?",G1430)&amp;CHAR(10)&amp;IF(K1430="","coach: –","coach: "&amp;K1430))</f>
        <v>Kids  0/4
coach: –</v>
      </c>
    </row>
    <row r="1431" customFormat="false" ht="22.35" hidden="false" customHeight="false" outlineLevel="0" collapsed="false">
      <c r="A1431" s="76" t="str">
        <f aca="false">B1431&amp;"|"&amp;C1431&amp;"|"&amp;D1431&amp;"|"&amp;E1431</f>
        <v>TMP|3|Senin|09:45</v>
      </c>
      <c r="B1431" s="76" t="s">
        <v>67</v>
      </c>
      <c r="C1431" s="76" t="n">
        <v>3</v>
      </c>
      <c r="D1431" s="76" t="s">
        <v>90</v>
      </c>
      <c r="E1431" s="76" t="s">
        <v>98</v>
      </c>
      <c r="F1431" s="77" t="s">
        <v>210</v>
      </c>
      <c r="G1431" s="77" t="n">
        <v>4</v>
      </c>
      <c r="H1431" s="77" t="n">
        <v>0</v>
      </c>
      <c r="I1431" s="76" t="n">
        <f aca="false">IF(AND(ISNUMBER(G1431),ISNUMBER(H1431)),MAX(G1431-H1431,0),"")</f>
        <v>4</v>
      </c>
      <c r="J1431" s="78" t="n">
        <f aca="false">IF(AND(ISNUMBER(G1431),ISNUMBER(H1431)),IF(G1431&gt;0,H1431/G1431,""),"")</f>
        <v>0</v>
      </c>
      <c r="K1431" s="77"/>
      <c r="L1431" s="76" t="str">
        <f aca="false">IF(OR(G1431="",H1431=""),"Data tidak lengkap",IF(AND(G1431=0,H1431=0),IF(AND(F1431="",K1431=""),"Tidak dibuka","Tutup"),IF(H1431&gt;G1431,"Lebih kapasitas",IF(H1431=G1431,"Penuh",IF(H1431=0,IF(F1431="","Slot kosong","Belum terisi"),"Sebagian")))))</f>
        <v>Belum terisi</v>
      </c>
      <c r="M1431" s="79" t="str">
        <f aca="false">IF(L1431="Tidak dibuka","–",IF(F1431="","(tanpa age group)",F1431)&amp;"  "&amp;IF(H1431="","?",H1431)&amp;"/"&amp;IF(G1431="","?",G1431)&amp;CHAR(10)&amp;IF(K1431="","coach: –","coach: "&amp;K1431))</f>
        <v>Kids  0/4
coach: –</v>
      </c>
    </row>
    <row r="1432" customFormat="false" ht="22.35" hidden="false" customHeight="false" outlineLevel="0" collapsed="false">
      <c r="A1432" s="76" t="str">
        <f aca="false">B1432&amp;"|"&amp;C1432&amp;"|"&amp;D1432&amp;"|"&amp;E1432</f>
        <v>TMP|3|Senin|10:30</v>
      </c>
      <c r="B1432" s="76" t="s">
        <v>67</v>
      </c>
      <c r="C1432" s="76" t="n">
        <v>3</v>
      </c>
      <c r="D1432" s="76" t="s">
        <v>90</v>
      </c>
      <c r="E1432" s="76" t="s">
        <v>99</v>
      </c>
      <c r="F1432" s="77" t="s">
        <v>210</v>
      </c>
      <c r="G1432" s="77" t="n">
        <v>4</v>
      </c>
      <c r="H1432" s="77" t="n">
        <v>0</v>
      </c>
      <c r="I1432" s="76" t="n">
        <f aca="false">IF(AND(ISNUMBER(G1432),ISNUMBER(H1432)),MAX(G1432-H1432,0),"")</f>
        <v>4</v>
      </c>
      <c r="J1432" s="78" t="n">
        <f aca="false">IF(AND(ISNUMBER(G1432),ISNUMBER(H1432)),IF(G1432&gt;0,H1432/G1432,""),"")</f>
        <v>0</v>
      </c>
      <c r="K1432" s="77"/>
      <c r="L1432" s="76" t="str">
        <f aca="false">IF(OR(G1432="",H1432=""),"Data tidak lengkap",IF(AND(G1432=0,H1432=0),IF(AND(F1432="",K1432=""),"Tidak dibuka","Tutup"),IF(H1432&gt;G1432,"Lebih kapasitas",IF(H1432=G1432,"Penuh",IF(H1432=0,IF(F1432="","Slot kosong","Belum terisi"),"Sebagian")))))</f>
        <v>Belum terisi</v>
      </c>
      <c r="M1432" s="79" t="str">
        <f aca="false">IF(L1432="Tidak dibuka","–",IF(F1432="","(tanpa age group)",F1432)&amp;"  "&amp;IF(H1432="","?",H1432)&amp;"/"&amp;IF(G1432="","?",G1432)&amp;CHAR(10)&amp;IF(K1432="","coach: –","coach: "&amp;K1432))</f>
        <v>Kids  0/4
coach: –</v>
      </c>
    </row>
    <row r="1433" customFormat="false" ht="22.35" hidden="false" customHeight="false" outlineLevel="0" collapsed="false">
      <c r="A1433" s="76" t="str">
        <f aca="false">B1433&amp;"|"&amp;C1433&amp;"|"&amp;D1433&amp;"|"&amp;E1433</f>
        <v>TMP|3|Senin|11:15</v>
      </c>
      <c r="B1433" s="76" t="s">
        <v>67</v>
      </c>
      <c r="C1433" s="76" t="n">
        <v>3</v>
      </c>
      <c r="D1433" s="76" t="s">
        <v>90</v>
      </c>
      <c r="E1433" s="76" t="s">
        <v>100</v>
      </c>
      <c r="F1433" s="77" t="s">
        <v>210</v>
      </c>
      <c r="G1433" s="77" t="n">
        <v>4</v>
      </c>
      <c r="H1433" s="77" t="n">
        <v>0</v>
      </c>
      <c r="I1433" s="76" t="n">
        <f aca="false">IF(AND(ISNUMBER(G1433),ISNUMBER(H1433)),MAX(G1433-H1433,0),"")</f>
        <v>4</v>
      </c>
      <c r="J1433" s="78" t="n">
        <f aca="false">IF(AND(ISNUMBER(G1433),ISNUMBER(H1433)),IF(G1433&gt;0,H1433/G1433,""),"")</f>
        <v>0</v>
      </c>
      <c r="K1433" s="77"/>
      <c r="L1433" s="76" t="str">
        <f aca="false">IF(OR(G1433="",H1433=""),"Data tidak lengkap",IF(AND(G1433=0,H1433=0),IF(AND(F1433="",K1433=""),"Tidak dibuka","Tutup"),IF(H1433&gt;G1433,"Lebih kapasitas",IF(H1433=G1433,"Penuh",IF(H1433=0,IF(F1433="","Slot kosong","Belum terisi"),"Sebagian")))))</f>
        <v>Belum terisi</v>
      </c>
      <c r="M1433" s="79" t="str">
        <f aca="false">IF(L1433="Tidak dibuka","–",IF(F1433="","(tanpa age group)",F1433)&amp;"  "&amp;IF(H1433="","?",H1433)&amp;"/"&amp;IF(G1433="","?",G1433)&amp;CHAR(10)&amp;IF(K1433="","coach: –","coach: "&amp;K1433))</f>
        <v>Kids  0/4
coach: –</v>
      </c>
    </row>
    <row r="1434" customFormat="false" ht="22.35" hidden="false" customHeight="false" outlineLevel="0" collapsed="false">
      <c r="A1434" s="76" t="str">
        <f aca="false">B1434&amp;"|"&amp;C1434&amp;"|"&amp;D1434&amp;"|"&amp;E1434</f>
        <v>TMP|3|Senin|12:00</v>
      </c>
      <c r="B1434" s="76" t="s">
        <v>67</v>
      </c>
      <c r="C1434" s="76" t="n">
        <v>3</v>
      </c>
      <c r="D1434" s="76" t="s">
        <v>90</v>
      </c>
      <c r="E1434" s="76" t="s">
        <v>101</v>
      </c>
      <c r="F1434" s="77" t="s">
        <v>210</v>
      </c>
      <c r="G1434" s="77" t="n">
        <v>4</v>
      </c>
      <c r="H1434" s="77" t="n">
        <v>0</v>
      </c>
      <c r="I1434" s="76" t="n">
        <f aca="false">IF(AND(ISNUMBER(G1434),ISNUMBER(H1434)),MAX(G1434-H1434,0),"")</f>
        <v>4</v>
      </c>
      <c r="J1434" s="78" t="n">
        <f aca="false">IF(AND(ISNUMBER(G1434),ISNUMBER(H1434)),IF(G1434&gt;0,H1434/G1434,""),"")</f>
        <v>0</v>
      </c>
      <c r="K1434" s="77"/>
      <c r="L1434" s="76" t="str">
        <f aca="false">IF(OR(G1434="",H1434=""),"Data tidak lengkap",IF(AND(G1434=0,H1434=0),IF(AND(F1434="",K1434=""),"Tidak dibuka","Tutup"),IF(H1434&gt;G1434,"Lebih kapasitas",IF(H1434=G1434,"Penuh",IF(H1434=0,IF(F1434="","Slot kosong","Belum terisi"),"Sebagian")))))</f>
        <v>Belum terisi</v>
      </c>
      <c r="M1434" s="79" t="str">
        <f aca="false">IF(L1434="Tidak dibuka","–",IF(F1434="","(tanpa age group)",F1434)&amp;"  "&amp;IF(H1434="","?",H1434)&amp;"/"&amp;IF(G1434="","?",G1434)&amp;CHAR(10)&amp;IF(K1434="","coach: –","coach: "&amp;K1434))</f>
        <v>Kids  0/4
coach: –</v>
      </c>
    </row>
    <row r="1435" customFormat="false" ht="22.35" hidden="false" customHeight="false" outlineLevel="0" collapsed="false">
      <c r="A1435" s="76" t="str">
        <f aca="false">B1435&amp;"|"&amp;C1435&amp;"|"&amp;D1435&amp;"|"&amp;E1435</f>
        <v>TMP|3|Senin|13:30</v>
      </c>
      <c r="B1435" s="76" t="s">
        <v>67</v>
      </c>
      <c r="C1435" s="76" t="n">
        <v>3</v>
      </c>
      <c r="D1435" s="76" t="s">
        <v>90</v>
      </c>
      <c r="E1435" s="76" t="s">
        <v>102</v>
      </c>
      <c r="F1435" s="77" t="s">
        <v>210</v>
      </c>
      <c r="G1435" s="77" t="n">
        <v>4</v>
      </c>
      <c r="H1435" s="77" t="n">
        <v>0</v>
      </c>
      <c r="I1435" s="76" t="n">
        <f aca="false">IF(AND(ISNUMBER(G1435),ISNUMBER(H1435)),MAX(G1435-H1435,0),"")</f>
        <v>4</v>
      </c>
      <c r="J1435" s="78" t="n">
        <f aca="false">IF(AND(ISNUMBER(G1435),ISNUMBER(H1435)),IF(G1435&gt;0,H1435/G1435,""),"")</f>
        <v>0</v>
      </c>
      <c r="K1435" s="77"/>
      <c r="L1435" s="76" t="str">
        <f aca="false">IF(OR(G1435="",H1435=""),"Data tidak lengkap",IF(AND(G1435=0,H1435=0),IF(AND(F1435="",K1435=""),"Tidak dibuka","Tutup"),IF(H1435&gt;G1435,"Lebih kapasitas",IF(H1435=G1435,"Penuh",IF(H1435=0,IF(F1435="","Slot kosong","Belum terisi"),"Sebagian")))))</f>
        <v>Belum terisi</v>
      </c>
      <c r="M1435" s="79" t="str">
        <f aca="false">IF(L1435="Tidak dibuka","–",IF(F1435="","(tanpa age group)",F1435)&amp;"  "&amp;IF(H1435="","?",H1435)&amp;"/"&amp;IF(G1435="","?",G1435)&amp;CHAR(10)&amp;IF(K1435="","coach: –","coach: "&amp;K1435))</f>
        <v>Kids  0/4
coach: –</v>
      </c>
    </row>
    <row r="1436" customFormat="false" ht="22.35" hidden="false" customHeight="false" outlineLevel="0" collapsed="false">
      <c r="A1436" s="76" t="str">
        <f aca="false">B1436&amp;"|"&amp;C1436&amp;"|"&amp;D1436&amp;"|"&amp;E1436</f>
        <v>TMP|3|Senin|14:15</v>
      </c>
      <c r="B1436" s="76" t="s">
        <v>67</v>
      </c>
      <c r="C1436" s="76" t="n">
        <v>3</v>
      </c>
      <c r="D1436" s="76" t="s">
        <v>90</v>
      </c>
      <c r="E1436" s="76" t="s">
        <v>103</v>
      </c>
      <c r="F1436" s="77" t="s">
        <v>210</v>
      </c>
      <c r="G1436" s="77" t="n">
        <v>4</v>
      </c>
      <c r="H1436" s="77" t="n">
        <v>1</v>
      </c>
      <c r="I1436" s="76" t="n">
        <f aca="false">IF(AND(ISNUMBER(G1436),ISNUMBER(H1436)),MAX(G1436-H1436,0),"")</f>
        <v>3</v>
      </c>
      <c r="J1436" s="78" t="n">
        <f aca="false">IF(AND(ISNUMBER(G1436),ISNUMBER(H1436)),IF(G1436&gt;0,H1436/G1436,""),"")</f>
        <v>0.25</v>
      </c>
      <c r="K1436" s="77" t="s">
        <v>375</v>
      </c>
      <c r="L1436" s="76" t="str">
        <f aca="false">IF(OR(G1436="",H1436=""),"Data tidak lengkap",IF(AND(G1436=0,H1436=0),IF(AND(F1436="",K1436=""),"Tidak dibuka","Tutup"),IF(H1436&gt;G1436,"Lebih kapasitas",IF(H1436=G1436,"Penuh",IF(H1436=0,IF(F1436="","Slot kosong","Belum terisi"),"Sebagian")))))</f>
        <v>Sebagian</v>
      </c>
      <c r="M1436" s="79" t="str">
        <f aca="false">IF(L1436="Tidak dibuka","–",IF(F1436="","(tanpa age group)",F1436)&amp;"  "&amp;IF(H1436="","?",H1436)&amp;"/"&amp;IF(G1436="","?",G1436)&amp;CHAR(10)&amp;IF(K1436="","coach: –","coach: "&amp;K1436))</f>
        <v>Kids  1/4
coach: Iqbal</v>
      </c>
    </row>
    <row r="1437" customFormat="false" ht="22.35" hidden="false" customHeight="false" outlineLevel="0" collapsed="false">
      <c r="A1437" s="76" t="str">
        <f aca="false">B1437&amp;"|"&amp;C1437&amp;"|"&amp;D1437&amp;"|"&amp;E1437</f>
        <v>TMP|3|Senin|15:00</v>
      </c>
      <c r="B1437" s="76" t="s">
        <v>67</v>
      </c>
      <c r="C1437" s="76" t="n">
        <v>3</v>
      </c>
      <c r="D1437" s="76" t="s">
        <v>90</v>
      </c>
      <c r="E1437" s="76" t="s">
        <v>104</v>
      </c>
      <c r="F1437" s="77" t="s">
        <v>210</v>
      </c>
      <c r="G1437" s="77" t="n">
        <v>4</v>
      </c>
      <c r="H1437" s="77" t="n">
        <v>1</v>
      </c>
      <c r="I1437" s="76" t="n">
        <f aca="false">IF(AND(ISNUMBER(G1437),ISNUMBER(H1437)),MAX(G1437-H1437,0),"")</f>
        <v>3</v>
      </c>
      <c r="J1437" s="78" t="n">
        <f aca="false">IF(AND(ISNUMBER(G1437),ISNUMBER(H1437)),IF(G1437&gt;0,H1437/G1437,""),"")</f>
        <v>0.25</v>
      </c>
      <c r="K1437" s="77" t="s">
        <v>376</v>
      </c>
      <c r="L1437" s="76" t="str">
        <f aca="false">IF(OR(G1437="",H1437=""),"Data tidak lengkap",IF(AND(G1437=0,H1437=0),IF(AND(F1437="",K1437=""),"Tidak dibuka","Tutup"),IF(H1437&gt;G1437,"Lebih kapasitas",IF(H1437=G1437,"Penuh",IF(H1437=0,IF(F1437="","Slot kosong","Belum terisi"),"Sebagian")))))</f>
        <v>Sebagian</v>
      </c>
      <c r="M1437" s="79" t="str">
        <f aca="false">IF(L1437="Tidak dibuka","–",IF(F1437="","(tanpa age group)",F1437)&amp;"  "&amp;IF(H1437="","?",H1437)&amp;"/"&amp;IF(G1437="","?",G1437)&amp;CHAR(10)&amp;IF(K1437="","coach: –","coach: "&amp;K1437))</f>
        <v>Kids  1/4
coach: Irvan</v>
      </c>
    </row>
    <row r="1438" customFormat="false" ht="22.35" hidden="false" customHeight="false" outlineLevel="0" collapsed="false">
      <c r="A1438" s="76" t="str">
        <f aca="false">B1438&amp;"|"&amp;C1438&amp;"|"&amp;D1438&amp;"|"&amp;E1438</f>
        <v>TMP|3|Senin|15:45</v>
      </c>
      <c r="B1438" s="76" t="s">
        <v>67</v>
      </c>
      <c r="C1438" s="76" t="n">
        <v>3</v>
      </c>
      <c r="D1438" s="76" t="s">
        <v>90</v>
      </c>
      <c r="E1438" s="76" t="s">
        <v>105</v>
      </c>
      <c r="F1438" s="77" t="s">
        <v>210</v>
      </c>
      <c r="G1438" s="77" t="n">
        <v>4</v>
      </c>
      <c r="H1438" s="77" t="n">
        <v>1</v>
      </c>
      <c r="I1438" s="76" t="n">
        <f aca="false">IF(AND(ISNUMBER(G1438),ISNUMBER(H1438)),MAX(G1438-H1438,0),"")</f>
        <v>3</v>
      </c>
      <c r="J1438" s="78" t="n">
        <f aca="false">IF(AND(ISNUMBER(G1438),ISNUMBER(H1438)),IF(G1438&gt;0,H1438/G1438,""),"")</f>
        <v>0.25</v>
      </c>
      <c r="K1438" s="77" t="s">
        <v>375</v>
      </c>
      <c r="L1438" s="76" t="str">
        <f aca="false">IF(OR(G1438="",H1438=""),"Data tidak lengkap",IF(AND(G1438=0,H1438=0),IF(AND(F1438="",K1438=""),"Tidak dibuka","Tutup"),IF(H1438&gt;G1438,"Lebih kapasitas",IF(H1438=G1438,"Penuh",IF(H1438=0,IF(F1438="","Slot kosong","Belum terisi"),"Sebagian")))))</f>
        <v>Sebagian</v>
      </c>
      <c r="M1438" s="79" t="str">
        <f aca="false">IF(L1438="Tidak dibuka","–",IF(F1438="","(tanpa age group)",F1438)&amp;"  "&amp;IF(H1438="","?",H1438)&amp;"/"&amp;IF(G1438="","?",G1438)&amp;CHAR(10)&amp;IF(K1438="","coach: –","coach: "&amp;K1438))</f>
        <v>Kids  1/4
coach: Iqbal</v>
      </c>
    </row>
    <row r="1439" customFormat="false" ht="22.35" hidden="false" customHeight="false" outlineLevel="0" collapsed="false">
      <c r="A1439" s="76" t="str">
        <f aca="false">B1439&amp;"|"&amp;C1439&amp;"|"&amp;D1439&amp;"|"&amp;E1439</f>
        <v>TMP|3|Senin|16:30</v>
      </c>
      <c r="B1439" s="76" t="s">
        <v>67</v>
      </c>
      <c r="C1439" s="76" t="n">
        <v>3</v>
      </c>
      <c r="D1439" s="76" t="s">
        <v>90</v>
      </c>
      <c r="E1439" s="76" t="s">
        <v>106</v>
      </c>
      <c r="F1439" s="77" t="s">
        <v>210</v>
      </c>
      <c r="G1439" s="77" t="n">
        <v>4</v>
      </c>
      <c r="H1439" s="77" t="n">
        <v>2</v>
      </c>
      <c r="I1439" s="76" t="n">
        <f aca="false">IF(AND(ISNUMBER(G1439),ISNUMBER(H1439)),MAX(G1439-H1439,0),"")</f>
        <v>2</v>
      </c>
      <c r="J1439" s="78" t="n">
        <f aca="false">IF(AND(ISNUMBER(G1439),ISNUMBER(H1439)),IF(G1439&gt;0,H1439/G1439,""),"")</f>
        <v>0.5</v>
      </c>
      <c r="K1439" s="77" t="s">
        <v>375</v>
      </c>
      <c r="L1439" s="76" t="str">
        <f aca="false">IF(OR(G1439="",H1439=""),"Data tidak lengkap",IF(AND(G1439=0,H1439=0),IF(AND(F1439="",K1439=""),"Tidak dibuka","Tutup"),IF(H1439&gt;G1439,"Lebih kapasitas",IF(H1439=G1439,"Penuh",IF(H1439=0,IF(F1439="","Slot kosong","Belum terisi"),"Sebagian")))))</f>
        <v>Sebagian</v>
      </c>
      <c r="M1439" s="79" t="str">
        <f aca="false">IF(L1439="Tidak dibuka","–",IF(F1439="","(tanpa age group)",F1439)&amp;"  "&amp;IF(H1439="","?",H1439)&amp;"/"&amp;IF(G1439="","?",G1439)&amp;CHAR(10)&amp;IF(K1439="","coach: –","coach: "&amp;K1439))</f>
        <v>Kids  2/4
coach: Iqbal</v>
      </c>
    </row>
    <row r="1440" customFormat="false" ht="22.35" hidden="false" customHeight="false" outlineLevel="0" collapsed="false">
      <c r="A1440" s="76" t="str">
        <f aca="false">B1440&amp;"|"&amp;C1440&amp;"|"&amp;D1440&amp;"|"&amp;E1440</f>
        <v>TMP|3|Senin|17:15</v>
      </c>
      <c r="B1440" s="76" t="s">
        <v>67</v>
      </c>
      <c r="C1440" s="76" t="n">
        <v>3</v>
      </c>
      <c r="D1440" s="76" t="s">
        <v>90</v>
      </c>
      <c r="E1440" s="76" t="s">
        <v>107</v>
      </c>
      <c r="F1440" s="77" t="s">
        <v>210</v>
      </c>
      <c r="G1440" s="77" t="n">
        <v>4</v>
      </c>
      <c r="H1440" s="77" t="n">
        <v>0</v>
      </c>
      <c r="I1440" s="76" t="n">
        <f aca="false">IF(AND(ISNUMBER(G1440),ISNUMBER(H1440)),MAX(G1440-H1440,0),"")</f>
        <v>4</v>
      </c>
      <c r="J1440" s="78" t="n">
        <f aca="false">IF(AND(ISNUMBER(G1440),ISNUMBER(H1440)),IF(G1440&gt;0,H1440/G1440,""),"")</f>
        <v>0</v>
      </c>
      <c r="K1440" s="77"/>
      <c r="L1440" s="76" t="str">
        <f aca="false">IF(OR(G1440="",H1440=""),"Data tidak lengkap",IF(AND(G1440=0,H1440=0),IF(AND(F1440="",K1440=""),"Tidak dibuka","Tutup"),IF(H1440&gt;G1440,"Lebih kapasitas",IF(H1440=G1440,"Penuh",IF(H1440=0,IF(F1440="","Slot kosong","Belum terisi"),"Sebagian")))))</f>
        <v>Belum terisi</v>
      </c>
      <c r="M1440" s="79" t="str">
        <f aca="false">IF(L1440="Tidak dibuka","–",IF(F1440="","(tanpa age group)",F1440)&amp;"  "&amp;IF(H1440="","?",H1440)&amp;"/"&amp;IF(G1440="","?",G1440)&amp;CHAR(10)&amp;IF(K1440="","coach: –","coach: "&amp;K1440))</f>
        <v>Kids  0/4
coach: –</v>
      </c>
    </row>
    <row r="1441" customFormat="false" ht="22.35" hidden="false" customHeight="false" outlineLevel="0" collapsed="false">
      <c r="A1441" s="76" t="str">
        <f aca="false">B1441&amp;"|"&amp;C1441&amp;"|"&amp;D1441&amp;"|"&amp;E1441</f>
        <v>TMP|3|Selasa|08:15</v>
      </c>
      <c r="B1441" s="76" t="s">
        <v>67</v>
      </c>
      <c r="C1441" s="76" t="n">
        <v>3</v>
      </c>
      <c r="D1441" s="76" t="s">
        <v>91</v>
      </c>
      <c r="E1441" s="76" t="s">
        <v>96</v>
      </c>
      <c r="F1441" s="77" t="s">
        <v>210</v>
      </c>
      <c r="G1441" s="77" t="n">
        <v>4</v>
      </c>
      <c r="H1441" s="77" t="n">
        <v>0</v>
      </c>
      <c r="I1441" s="76" t="n">
        <f aca="false">IF(AND(ISNUMBER(G1441),ISNUMBER(H1441)),MAX(G1441-H1441,0),"")</f>
        <v>4</v>
      </c>
      <c r="J1441" s="78" t="n">
        <f aca="false">IF(AND(ISNUMBER(G1441),ISNUMBER(H1441)),IF(G1441&gt;0,H1441/G1441,""),"")</f>
        <v>0</v>
      </c>
      <c r="K1441" s="77"/>
      <c r="L1441" s="76" t="str">
        <f aca="false">IF(OR(G1441="",H1441=""),"Data tidak lengkap",IF(AND(G1441=0,H1441=0),IF(AND(F1441="",K1441=""),"Tidak dibuka","Tutup"),IF(H1441&gt;G1441,"Lebih kapasitas",IF(H1441=G1441,"Penuh",IF(H1441=0,IF(F1441="","Slot kosong","Belum terisi"),"Sebagian")))))</f>
        <v>Belum terisi</v>
      </c>
      <c r="M1441" s="79" t="str">
        <f aca="false">IF(L1441="Tidak dibuka","–",IF(F1441="","(tanpa age group)",F1441)&amp;"  "&amp;IF(H1441="","?",H1441)&amp;"/"&amp;IF(G1441="","?",G1441)&amp;CHAR(10)&amp;IF(K1441="","coach: –","coach: "&amp;K1441))</f>
        <v>Kids  0/4
coach: –</v>
      </c>
    </row>
    <row r="1442" customFormat="false" ht="22.35" hidden="false" customHeight="false" outlineLevel="0" collapsed="false">
      <c r="A1442" s="76" t="str">
        <f aca="false">B1442&amp;"|"&amp;C1442&amp;"|"&amp;D1442&amp;"|"&amp;E1442</f>
        <v>TMP|3|Selasa|09:00</v>
      </c>
      <c r="B1442" s="76" t="s">
        <v>67</v>
      </c>
      <c r="C1442" s="76" t="n">
        <v>3</v>
      </c>
      <c r="D1442" s="76" t="s">
        <v>91</v>
      </c>
      <c r="E1442" s="76" t="s">
        <v>97</v>
      </c>
      <c r="F1442" s="77" t="s">
        <v>210</v>
      </c>
      <c r="G1442" s="77" t="n">
        <v>4</v>
      </c>
      <c r="H1442" s="77" t="n">
        <v>0</v>
      </c>
      <c r="I1442" s="76" t="n">
        <f aca="false">IF(AND(ISNUMBER(G1442),ISNUMBER(H1442)),MAX(G1442-H1442,0),"")</f>
        <v>4</v>
      </c>
      <c r="J1442" s="78" t="n">
        <f aca="false">IF(AND(ISNUMBER(G1442),ISNUMBER(H1442)),IF(G1442&gt;0,H1442/G1442,""),"")</f>
        <v>0</v>
      </c>
      <c r="K1442" s="77"/>
      <c r="L1442" s="76" t="str">
        <f aca="false">IF(OR(G1442="",H1442=""),"Data tidak lengkap",IF(AND(G1442=0,H1442=0),IF(AND(F1442="",K1442=""),"Tidak dibuka","Tutup"),IF(H1442&gt;G1442,"Lebih kapasitas",IF(H1442=G1442,"Penuh",IF(H1442=0,IF(F1442="","Slot kosong","Belum terisi"),"Sebagian")))))</f>
        <v>Belum terisi</v>
      </c>
      <c r="M1442" s="79" t="str">
        <f aca="false">IF(L1442="Tidak dibuka","–",IF(F1442="","(tanpa age group)",F1442)&amp;"  "&amp;IF(H1442="","?",H1442)&amp;"/"&amp;IF(G1442="","?",G1442)&amp;CHAR(10)&amp;IF(K1442="","coach: –","coach: "&amp;K1442))</f>
        <v>Kids  0/4
coach: –</v>
      </c>
    </row>
    <row r="1443" customFormat="false" ht="22.35" hidden="false" customHeight="false" outlineLevel="0" collapsed="false">
      <c r="A1443" s="76" t="str">
        <f aca="false">B1443&amp;"|"&amp;C1443&amp;"|"&amp;D1443&amp;"|"&amp;E1443</f>
        <v>TMP|3|Selasa|09:45</v>
      </c>
      <c r="B1443" s="76" t="s">
        <v>67</v>
      </c>
      <c r="C1443" s="76" t="n">
        <v>3</v>
      </c>
      <c r="D1443" s="76" t="s">
        <v>91</v>
      </c>
      <c r="E1443" s="76" t="s">
        <v>98</v>
      </c>
      <c r="F1443" s="77" t="s">
        <v>210</v>
      </c>
      <c r="G1443" s="77" t="n">
        <v>4</v>
      </c>
      <c r="H1443" s="77" t="n">
        <v>0</v>
      </c>
      <c r="I1443" s="76" t="n">
        <f aca="false">IF(AND(ISNUMBER(G1443),ISNUMBER(H1443)),MAX(G1443-H1443,0),"")</f>
        <v>4</v>
      </c>
      <c r="J1443" s="78" t="n">
        <f aca="false">IF(AND(ISNUMBER(G1443),ISNUMBER(H1443)),IF(G1443&gt;0,H1443/G1443,""),"")</f>
        <v>0</v>
      </c>
      <c r="K1443" s="77"/>
      <c r="L1443" s="76" t="str">
        <f aca="false">IF(OR(G1443="",H1443=""),"Data tidak lengkap",IF(AND(G1443=0,H1443=0),IF(AND(F1443="",K1443=""),"Tidak dibuka","Tutup"),IF(H1443&gt;G1443,"Lebih kapasitas",IF(H1443=G1443,"Penuh",IF(H1443=0,IF(F1443="","Slot kosong","Belum terisi"),"Sebagian")))))</f>
        <v>Belum terisi</v>
      </c>
      <c r="M1443" s="79" t="str">
        <f aca="false">IF(L1443="Tidak dibuka","–",IF(F1443="","(tanpa age group)",F1443)&amp;"  "&amp;IF(H1443="","?",H1443)&amp;"/"&amp;IF(G1443="","?",G1443)&amp;CHAR(10)&amp;IF(K1443="","coach: –","coach: "&amp;K1443))</f>
        <v>Kids  0/4
coach: –</v>
      </c>
    </row>
    <row r="1444" customFormat="false" ht="22.35" hidden="false" customHeight="false" outlineLevel="0" collapsed="false">
      <c r="A1444" s="76" t="str">
        <f aca="false">B1444&amp;"|"&amp;C1444&amp;"|"&amp;D1444&amp;"|"&amp;E1444</f>
        <v>TMP|3|Selasa|10:30</v>
      </c>
      <c r="B1444" s="76" t="s">
        <v>67</v>
      </c>
      <c r="C1444" s="76" t="n">
        <v>3</v>
      </c>
      <c r="D1444" s="76" t="s">
        <v>91</v>
      </c>
      <c r="E1444" s="76" t="s">
        <v>99</v>
      </c>
      <c r="F1444" s="77" t="s">
        <v>210</v>
      </c>
      <c r="G1444" s="77" t="n">
        <v>4</v>
      </c>
      <c r="H1444" s="77" t="n">
        <v>0</v>
      </c>
      <c r="I1444" s="76" t="n">
        <f aca="false">IF(AND(ISNUMBER(G1444),ISNUMBER(H1444)),MAX(G1444-H1444,0),"")</f>
        <v>4</v>
      </c>
      <c r="J1444" s="78" t="n">
        <f aca="false">IF(AND(ISNUMBER(G1444),ISNUMBER(H1444)),IF(G1444&gt;0,H1444/G1444,""),"")</f>
        <v>0</v>
      </c>
      <c r="K1444" s="77"/>
      <c r="L1444" s="76" t="str">
        <f aca="false">IF(OR(G1444="",H1444=""),"Data tidak lengkap",IF(AND(G1444=0,H1444=0),IF(AND(F1444="",K1444=""),"Tidak dibuka","Tutup"),IF(H1444&gt;G1444,"Lebih kapasitas",IF(H1444=G1444,"Penuh",IF(H1444=0,IF(F1444="","Slot kosong","Belum terisi"),"Sebagian")))))</f>
        <v>Belum terisi</v>
      </c>
      <c r="M1444" s="79" t="str">
        <f aca="false">IF(L1444="Tidak dibuka","–",IF(F1444="","(tanpa age group)",F1444)&amp;"  "&amp;IF(H1444="","?",H1444)&amp;"/"&amp;IF(G1444="","?",G1444)&amp;CHAR(10)&amp;IF(K1444="","coach: –","coach: "&amp;K1444))</f>
        <v>Kids  0/4
coach: –</v>
      </c>
    </row>
    <row r="1445" customFormat="false" ht="22.35" hidden="false" customHeight="false" outlineLevel="0" collapsed="false">
      <c r="A1445" s="76" t="str">
        <f aca="false">B1445&amp;"|"&amp;C1445&amp;"|"&amp;D1445&amp;"|"&amp;E1445</f>
        <v>TMP|3|Selasa|11:15</v>
      </c>
      <c r="B1445" s="76" t="s">
        <v>67</v>
      </c>
      <c r="C1445" s="76" t="n">
        <v>3</v>
      </c>
      <c r="D1445" s="76" t="s">
        <v>91</v>
      </c>
      <c r="E1445" s="76" t="s">
        <v>100</v>
      </c>
      <c r="F1445" s="77" t="s">
        <v>210</v>
      </c>
      <c r="G1445" s="77" t="n">
        <v>4</v>
      </c>
      <c r="H1445" s="77" t="n">
        <v>0</v>
      </c>
      <c r="I1445" s="76" t="n">
        <f aca="false">IF(AND(ISNUMBER(G1445),ISNUMBER(H1445)),MAX(G1445-H1445,0),"")</f>
        <v>4</v>
      </c>
      <c r="J1445" s="78" t="n">
        <f aca="false">IF(AND(ISNUMBER(G1445),ISNUMBER(H1445)),IF(G1445&gt;0,H1445/G1445,""),"")</f>
        <v>0</v>
      </c>
      <c r="K1445" s="77" t="s">
        <v>382</v>
      </c>
      <c r="L1445" s="76" t="str">
        <f aca="false">IF(OR(G1445="",H1445=""),"Data tidak lengkap",IF(AND(G1445=0,H1445=0),IF(AND(F1445="",K1445=""),"Tidak dibuka","Tutup"),IF(H1445&gt;G1445,"Lebih kapasitas",IF(H1445=G1445,"Penuh",IF(H1445=0,IF(F1445="","Slot kosong","Belum terisi"),"Sebagian")))))</f>
        <v>Belum terisi</v>
      </c>
      <c r="M1445" s="79" t="str">
        <f aca="false">IF(L1445="Tidak dibuka","–",IF(F1445="","(tanpa age group)",F1445)&amp;"  "&amp;IF(H1445="","?",H1445)&amp;"/"&amp;IF(G1445="","?",G1445)&amp;CHAR(10)&amp;IF(K1445="","coach: –","coach: "&amp;K1445))</f>
        <v>Kids  0/4
coach: Soon Book Coach Irvan</v>
      </c>
    </row>
    <row r="1446" customFormat="false" ht="22.35" hidden="false" customHeight="false" outlineLevel="0" collapsed="false">
      <c r="A1446" s="76" t="str">
        <f aca="false">B1446&amp;"|"&amp;C1446&amp;"|"&amp;D1446&amp;"|"&amp;E1446</f>
        <v>TMP|3|Selasa|12:00</v>
      </c>
      <c r="B1446" s="76" t="s">
        <v>67</v>
      </c>
      <c r="C1446" s="76" t="n">
        <v>3</v>
      </c>
      <c r="D1446" s="76" t="s">
        <v>91</v>
      </c>
      <c r="E1446" s="76" t="s">
        <v>101</v>
      </c>
      <c r="F1446" s="77" t="s">
        <v>210</v>
      </c>
      <c r="G1446" s="77" t="n">
        <v>4</v>
      </c>
      <c r="H1446" s="77" t="n">
        <v>0</v>
      </c>
      <c r="I1446" s="76" t="n">
        <f aca="false">IF(AND(ISNUMBER(G1446),ISNUMBER(H1446)),MAX(G1446-H1446,0),"")</f>
        <v>4</v>
      </c>
      <c r="J1446" s="78" t="n">
        <f aca="false">IF(AND(ISNUMBER(G1446),ISNUMBER(H1446)),IF(G1446&gt;0,H1446/G1446,""),"")</f>
        <v>0</v>
      </c>
      <c r="K1446" s="77"/>
      <c r="L1446" s="76" t="str">
        <f aca="false">IF(OR(G1446="",H1446=""),"Data tidak lengkap",IF(AND(G1446=0,H1446=0),IF(AND(F1446="",K1446=""),"Tidak dibuka","Tutup"),IF(H1446&gt;G1446,"Lebih kapasitas",IF(H1446=G1446,"Penuh",IF(H1446=0,IF(F1446="","Slot kosong","Belum terisi"),"Sebagian")))))</f>
        <v>Belum terisi</v>
      </c>
      <c r="M1446" s="79" t="str">
        <f aca="false">IF(L1446="Tidak dibuka","–",IF(F1446="","(tanpa age group)",F1446)&amp;"  "&amp;IF(H1446="","?",H1446)&amp;"/"&amp;IF(G1446="","?",G1446)&amp;CHAR(10)&amp;IF(K1446="","coach: –","coach: "&amp;K1446))</f>
        <v>Kids  0/4
coach: –</v>
      </c>
    </row>
    <row r="1447" customFormat="false" ht="22.35" hidden="false" customHeight="false" outlineLevel="0" collapsed="false">
      <c r="A1447" s="76" t="str">
        <f aca="false">B1447&amp;"|"&amp;C1447&amp;"|"&amp;D1447&amp;"|"&amp;E1447</f>
        <v>TMP|3|Selasa|13:30</v>
      </c>
      <c r="B1447" s="76" t="s">
        <v>67</v>
      </c>
      <c r="C1447" s="76" t="n">
        <v>3</v>
      </c>
      <c r="D1447" s="76" t="s">
        <v>91</v>
      </c>
      <c r="E1447" s="76" t="s">
        <v>102</v>
      </c>
      <c r="F1447" s="77" t="s">
        <v>210</v>
      </c>
      <c r="G1447" s="77" t="n">
        <v>4</v>
      </c>
      <c r="H1447" s="77" t="n">
        <v>0</v>
      </c>
      <c r="I1447" s="76" t="n">
        <f aca="false">IF(AND(ISNUMBER(G1447),ISNUMBER(H1447)),MAX(G1447-H1447,0),"")</f>
        <v>4</v>
      </c>
      <c r="J1447" s="78" t="n">
        <f aca="false">IF(AND(ISNUMBER(G1447),ISNUMBER(H1447)),IF(G1447&gt;0,H1447/G1447,""),"")</f>
        <v>0</v>
      </c>
      <c r="K1447" s="77"/>
      <c r="L1447" s="76" t="str">
        <f aca="false">IF(OR(G1447="",H1447=""),"Data tidak lengkap",IF(AND(G1447=0,H1447=0),IF(AND(F1447="",K1447=""),"Tidak dibuka","Tutup"),IF(H1447&gt;G1447,"Lebih kapasitas",IF(H1447=G1447,"Penuh",IF(H1447=0,IF(F1447="","Slot kosong","Belum terisi"),"Sebagian")))))</f>
        <v>Belum terisi</v>
      </c>
      <c r="M1447" s="79" t="str">
        <f aca="false">IF(L1447="Tidak dibuka","–",IF(F1447="","(tanpa age group)",F1447)&amp;"  "&amp;IF(H1447="","?",H1447)&amp;"/"&amp;IF(G1447="","?",G1447)&amp;CHAR(10)&amp;IF(K1447="","coach: –","coach: "&amp;K1447))</f>
        <v>Kids  0/4
coach: –</v>
      </c>
    </row>
    <row r="1448" customFormat="false" ht="22.35" hidden="false" customHeight="false" outlineLevel="0" collapsed="false">
      <c r="A1448" s="76" t="str">
        <f aca="false">B1448&amp;"|"&amp;C1448&amp;"|"&amp;D1448&amp;"|"&amp;E1448</f>
        <v>TMP|3|Selasa|14:15</v>
      </c>
      <c r="B1448" s="76" t="s">
        <v>67</v>
      </c>
      <c r="C1448" s="76" t="n">
        <v>3</v>
      </c>
      <c r="D1448" s="76" t="s">
        <v>91</v>
      </c>
      <c r="E1448" s="76" t="s">
        <v>103</v>
      </c>
      <c r="F1448" s="77" t="s">
        <v>210</v>
      </c>
      <c r="G1448" s="77" t="n">
        <v>4</v>
      </c>
      <c r="H1448" s="77" t="n">
        <v>1</v>
      </c>
      <c r="I1448" s="76" t="n">
        <f aca="false">IF(AND(ISNUMBER(G1448),ISNUMBER(H1448)),MAX(G1448-H1448,0),"")</f>
        <v>3</v>
      </c>
      <c r="J1448" s="78" t="n">
        <f aca="false">IF(AND(ISNUMBER(G1448),ISNUMBER(H1448)),IF(G1448&gt;0,H1448/G1448,""),"")</f>
        <v>0.25</v>
      </c>
      <c r="K1448" s="77" t="s">
        <v>375</v>
      </c>
      <c r="L1448" s="76" t="str">
        <f aca="false">IF(OR(G1448="",H1448=""),"Data tidak lengkap",IF(AND(G1448=0,H1448=0),IF(AND(F1448="",K1448=""),"Tidak dibuka","Tutup"),IF(H1448&gt;G1448,"Lebih kapasitas",IF(H1448=G1448,"Penuh",IF(H1448=0,IF(F1448="","Slot kosong","Belum terisi"),"Sebagian")))))</f>
        <v>Sebagian</v>
      </c>
      <c r="M1448" s="79" t="str">
        <f aca="false">IF(L1448="Tidak dibuka","–",IF(F1448="","(tanpa age group)",F1448)&amp;"  "&amp;IF(H1448="","?",H1448)&amp;"/"&amp;IF(G1448="","?",G1448)&amp;CHAR(10)&amp;IF(K1448="","coach: –","coach: "&amp;K1448))</f>
        <v>Kids  1/4
coach: Iqbal</v>
      </c>
    </row>
    <row r="1449" customFormat="false" ht="22.35" hidden="false" customHeight="false" outlineLevel="0" collapsed="false">
      <c r="A1449" s="76" t="str">
        <f aca="false">B1449&amp;"|"&amp;C1449&amp;"|"&amp;D1449&amp;"|"&amp;E1449</f>
        <v>TMP|3|Selasa|15:00</v>
      </c>
      <c r="B1449" s="76" t="s">
        <v>67</v>
      </c>
      <c r="C1449" s="76" t="n">
        <v>3</v>
      </c>
      <c r="D1449" s="76" t="s">
        <v>91</v>
      </c>
      <c r="E1449" s="76" t="s">
        <v>104</v>
      </c>
      <c r="F1449" s="77" t="s">
        <v>210</v>
      </c>
      <c r="G1449" s="77" t="n">
        <v>4</v>
      </c>
      <c r="H1449" s="77" t="n">
        <v>2</v>
      </c>
      <c r="I1449" s="76" t="n">
        <f aca="false">IF(AND(ISNUMBER(G1449),ISNUMBER(H1449)),MAX(G1449-H1449,0),"")</f>
        <v>2</v>
      </c>
      <c r="J1449" s="78" t="n">
        <f aca="false">IF(AND(ISNUMBER(G1449),ISNUMBER(H1449)),IF(G1449&gt;0,H1449/G1449,""),"")</f>
        <v>0.5</v>
      </c>
      <c r="K1449" s="77" t="s">
        <v>375</v>
      </c>
      <c r="L1449" s="76" t="str">
        <f aca="false">IF(OR(G1449="",H1449=""),"Data tidak lengkap",IF(AND(G1449=0,H1449=0),IF(AND(F1449="",K1449=""),"Tidak dibuka","Tutup"),IF(H1449&gt;G1449,"Lebih kapasitas",IF(H1449=G1449,"Penuh",IF(H1449=0,IF(F1449="","Slot kosong","Belum terisi"),"Sebagian")))))</f>
        <v>Sebagian</v>
      </c>
      <c r="M1449" s="79" t="str">
        <f aca="false">IF(L1449="Tidak dibuka","–",IF(F1449="","(tanpa age group)",F1449)&amp;"  "&amp;IF(H1449="","?",H1449)&amp;"/"&amp;IF(G1449="","?",G1449)&amp;CHAR(10)&amp;IF(K1449="","coach: –","coach: "&amp;K1449))</f>
        <v>Kids  2/4
coach: Iqbal</v>
      </c>
    </row>
    <row r="1450" customFormat="false" ht="22.35" hidden="false" customHeight="false" outlineLevel="0" collapsed="false">
      <c r="A1450" s="76" t="str">
        <f aca="false">B1450&amp;"|"&amp;C1450&amp;"|"&amp;D1450&amp;"|"&amp;E1450</f>
        <v>TMP|3|Selasa|15:45</v>
      </c>
      <c r="B1450" s="76" t="s">
        <v>67</v>
      </c>
      <c r="C1450" s="76" t="n">
        <v>3</v>
      </c>
      <c r="D1450" s="76" t="s">
        <v>91</v>
      </c>
      <c r="E1450" s="76" t="s">
        <v>105</v>
      </c>
      <c r="F1450" s="77" t="s">
        <v>210</v>
      </c>
      <c r="G1450" s="77" t="n">
        <v>4</v>
      </c>
      <c r="H1450" s="77" t="n">
        <v>0</v>
      </c>
      <c r="I1450" s="76" t="n">
        <f aca="false">IF(AND(ISNUMBER(G1450),ISNUMBER(H1450)),MAX(G1450-H1450,0),"")</f>
        <v>4</v>
      </c>
      <c r="J1450" s="78" t="n">
        <f aca="false">IF(AND(ISNUMBER(G1450),ISNUMBER(H1450)),IF(G1450&gt;0,H1450/G1450,""),"")</f>
        <v>0</v>
      </c>
      <c r="K1450" s="77"/>
      <c r="L1450" s="76" t="str">
        <f aca="false">IF(OR(G1450="",H1450=""),"Data tidak lengkap",IF(AND(G1450=0,H1450=0),IF(AND(F1450="",K1450=""),"Tidak dibuka","Tutup"),IF(H1450&gt;G1450,"Lebih kapasitas",IF(H1450=G1450,"Penuh",IF(H1450=0,IF(F1450="","Slot kosong","Belum terisi"),"Sebagian")))))</f>
        <v>Belum terisi</v>
      </c>
      <c r="M1450" s="79" t="str">
        <f aca="false">IF(L1450="Tidak dibuka","–",IF(F1450="","(tanpa age group)",F1450)&amp;"  "&amp;IF(H1450="","?",H1450)&amp;"/"&amp;IF(G1450="","?",G1450)&amp;CHAR(10)&amp;IF(K1450="","coach: –","coach: "&amp;K1450))</f>
        <v>Kids  0/4
coach: –</v>
      </c>
    </row>
    <row r="1451" customFormat="false" ht="22.35" hidden="false" customHeight="false" outlineLevel="0" collapsed="false">
      <c r="A1451" s="76" t="str">
        <f aca="false">B1451&amp;"|"&amp;C1451&amp;"|"&amp;D1451&amp;"|"&amp;E1451</f>
        <v>TMP|3|Selasa|16:30</v>
      </c>
      <c r="B1451" s="76" t="s">
        <v>67</v>
      </c>
      <c r="C1451" s="76" t="n">
        <v>3</v>
      </c>
      <c r="D1451" s="76" t="s">
        <v>91</v>
      </c>
      <c r="E1451" s="76" t="s">
        <v>106</v>
      </c>
      <c r="F1451" s="77" t="s">
        <v>210</v>
      </c>
      <c r="G1451" s="77" t="n">
        <v>4</v>
      </c>
      <c r="H1451" s="77" t="n">
        <v>0</v>
      </c>
      <c r="I1451" s="76" t="n">
        <f aca="false">IF(AND(ISNUMBER(G1451),ISNUMBER(H1451)),MAX(G1451-H1451,0),"")</f>
        <v>4</v>
      </c>
      <c r="J1451" s="78" t="n">
        <f aca="false">IF(AND(ISNUMBER(G1451),ISNUMBER(H1451)),IF(G1451&gt;0,H1451/G1451,""),"")</f>
        <v>0</v>
      </c>
      <c r="K1451" s="77"/>
      <c r="L1451" s="76" t="str">
        <f aca="false">IF(OR(G1451="",H1451=""),"Data tidak lengkap",IF(AND(G1451=0,H1451=0),IF(AND(F1451="",K1451=""),"Tidak dibuka","Tutup"),IF(H1451&gt;G1451,"Lebih kapasitas",IF(H1451=G1451,"Penuh",IF(H1451=0,IF(F1451="","Slot kosong","Belum terisi"),"Sebagian")))))</f>
        <v>Belum terisi</v>
      </c>
      <c r="M1451" s="79" t="str">
        <f aca="false">IF(L1451="Tidak dibuka","–",IF(F1451="","(tanpa age group)",F1451)&amp;"  "&amp;IF(H1451="","?",H1451)&amp;"/"&amp;IF(G1451="","?",G1451)&amp;CHAR(10)&amp;IF(K1451="","coach: –","coach: "&amp;K1451))</f>
        <v>Kids  0/4
coach: –</v>
      </c>
    </row>
    <row r="1452" customFormat="false" ht="22.35" hidden="false" customHeight="false" outlineLevel="0" collapsed="false">
      <c r="A1452" s="76" t="str">
        <f aca="false">B1452&amp;"|"&amp;C1452&amp;"|"&amp;D1452&amp;"|"&amp;E1452</f>
        <v>TMP|3|Selasa|17:15</v>
      </c>
      <c r="B1452" s="76" t="s">
        <v>67</v>
      </c>
      <c r="C1452" s="76" t="n">
        <v>3</v>
      </c>
      <c r="D1452" s="76" t="s">
        <v>91</v>
      </c>
      <c r="E1452" s="76" t="s">
        <v>107</v>
      </c>
      <c r="F1452" s="77" t="s">
        <v>210</v>
      </c>
      <c r="G1452" s="77" t="n">
        <v>4</v>
      </c>
      <c r="H1452" s="77" t="n">
        <v>2</v>
      </c>
      <c r="I1452" s="76" t="n">
        <f aca="false">IF(AND(ISNUMBER(G1452),ISNUMBER(H1452)),MAX(G1452-H1452,0),"")</f>
        <v>2</v>
      </c>
      <c r="J1452" s="78" t="n">
        <f aca="false">IF(AND(ISNUMBER(G1452),ISNUMBER(H1452)),IF(G1452&gt;0,H1452/G1452,""),"")</f>
        <v>0.5</v>
      </c>
      <c r="K1452" s="77" t="s">
        <v>376</v>
      </c>
      <c r="L1452" s="76" t="str">
        <f aca="false">IF(OR(G1452="",H1452=""),"Data tidak lengkap",IF(AND(G1452=0,H1452=0),IF(AND(F1452="",K1452=""),"Tidak dibuka","Tutup"),IF(H1452&gt;G1452,"Lebih kapasitas",IF(H1452=G1452,"Penuh",IF(H1452=0,IF(F1452="","Slot kosong","Belum terisi"),"Sebagian")))))</f>
        <v>Sebagian</v>
      </c>
      <c r="M1452" s="79" t="str">
        <f aca="false">IF(L1452="Tidak dibuka","–",IF(F1452="","(tanpa age group)",F1452)&amp;"  "&amp;IF(H1452="","?",H1452)&amp;"/"&amp;IF(G1452="","?",G1452)&amp;CHAR(10)&amp;IF(K1452="","coach: –","coach: "&amp;K1452))</f>
        <v>Kids  2/4
coach: Irvan</v>
      </c>
    </row>
    <row r="1453" customFormat="false" ht="22.35" hidden="false" customHeight="false" outlineLevel="0" collapsed="false">
      <c r="A1453" s="76" t="str">
        <f aca="false">B1453&amp;"|"&amp;C1453&amp;"|"&amp;D1453&amp;"|"&amp;E1453</f>
        <v>TMP|3|Rabu|08:15</v>
      </c>
      <c r="B1453" s="76" t="s">
        <v>67</v>
      </c>
      <c r="C1453" s="76" t="n">
        <v>3</v>
      </c>
      <c r="D1453" s="76" t="s">
        <v>92</v>
      </c>
      <c r="E1453" s="76" t="s">
        <v>96</v>
      </c>
      <c r="F1453" s="77" t="s">
        <v>210</v>
      </c>
      <c r="G1453" s="77" t="n">
        <v>4</v>
      </c>
      <c r="H1453" s="77" t="n">
        <v>0</v>
      </c>
      <c r="I1453" s="76" t="n">
        <f aca="false">IF(AND(ISNUMBER(G1453),ISNUMBER(H1453)),MAX(G1453-H1453,0),"")</f>
        <v>4</v>
      </c>
      <c r="J1453" s="78" t="n">
        <f aca="false">IF(AND(ISNUMBER(G1453),ISNUMBER(H1453)),IF(G1453&gt;0,H1453/G1453,""),"")</f>
        <v>0</v>
      </c>
      <c r="K1453" s="77"/>
      <c r="L1453" s="76" t="str">
        <f aca="false">IF(OR(G1453="",H1453=""),"Data tidak lengkap",IF(AND(G1453=0,H1453=0),IF(AND(F1453="",K1453=""),"Tidak dibuka","Tutup"),IF(H1453&gt;G1453,"Lebih kapasitas",IF(H1453=G1453,"Penuh",IF(H1453=0,IF(F1453="","Slot kosong","Belum terisi"),"Sebagian")))))</f>
        <v>Belum terisi</v>
      </c>
      <c r="M1453" s="79" t="str">
        <f aca="false">IF(L1453="Tidak dibuka","–",IF(F1453="","(tanpa age group)",F1453)&amp;"  "&amp;IF(H1453="","?",H1453)&amp;"/"&amp;IF(G1453="","?",G1453)&amp;CHAR(10)&amp;IF(K1453="","coach: –","coach: "&amp;K1453))</f>
        <v>Kids  0/4
coach: –</v>
      </c>
    </row>
    <row r="1454" customFormat="false" ht="22.35" hidden="false" customHeight="false" outlineLevel="0" collapsed="false">
      <c r="A1454" s="76" t="str">
        <f aca="false">B1454&amp;"|"&amp;C1454&amp;"|"&amp;D1454&amp;"|"&amp;E1454</f>
        <v>TMP|3|Rabu|09:00</v>
      </c>
      <c r="B1454" s="76" t="s">
        <v>67</v>
      </c>
      <c r="C1454" s="76" t="n">
        <v>3</v>
      </c>
      <c r="D1454" s="76" t="s">
        <v>92</v>
      </c>
      <c r="E1454" s="76" t="s">
        <v>97</v>
      </c>
      <c r="F1454" s="77" t="s">
        <v>210</v>
      </c>
      <c r="G1454" s="77" t="n">
        <v>4</v>
      </c>
      <c r="H1454" s="77" t="n">
        <v>0</v>
      </c>
      <c r="I1454" s="76" t="n">
        <f aca="false">IF(AND(ISNUMBER(G1454),ISNUMBER(H1454)),MAX(G1454-H1454,0),"")</f>
        <v>4</v>
      </c>
      <c r="J1454" s="78" t="n">
        <f aca="false">IF(AND(ISNUMBER(G1454),ISNUMBER(H1454)),IF(G1454&gt;0,H1454/G1454,""),"")</f>
        <v>0</v>
      </c>
      <c r="K1454" s="77"/>
      <c r="L1454" s="76" t="str">
        <f aca="false">IF(OR(G1454="",H1454=""),"Data tidak lengkap",IF(AND(G1454=0,H1454=0),IF(AND(F1454="",K1454=""),"Tidak dibuka","Tutup"),IF(H1454&gt;G1454,"Lebih kapasitas",IF(H1454=G1454,"Penuh",IF(H1454=0,IF(F1454="","Slot kosong","Belum terisi"),"Sebagian")))))</f>
        <v>Belum terisi</v>
      </c>
      <c r="M1454" s="79" t="str">
        <f aca="false">IF(L1454="Tidak dibuka","–",IF(F1454="","(tanpa age group)",F1454)&amp;"  "&amp;IF(H1454="","?",H1454)&amp;"/"&amp;IF(G1454="","?",G1454)&amp;CHAR(10)&amp;IF(K1454="","coach: –","coach: "&amp;K1454))</f>
        <v>Kids  0/4
coach: –</v>
      </c>
    </row>
    <row r="1455" customFormat="false" ht="22.35" hidden="false" customHeight="false" outlineLevel="0" collapsed="false">
      <c r="A1455" s="76" t="str">
        <f aca="false">B1455&amp;"|"&amp;C1455&amp;"|"&amp;D1455&amp;"|"&amp;E1455</f>
        <v>TMP|3|Rabu|09:45</v>
      </c>
      <c r="B1455" s="76" t="s">
        <v>67</v>
      </c>
      <c r="C1455" s="76" t="n">
        <v>3</v>
      </c>
      <c r="D1455" s="76" t="s">
        <v>92</v>
      </c>
      <c r="E1455" s="76" t="s">
        <v>98</v>
      </c>
      <c r="F1455" s="77" t="s">
        <v>210</v>
      </c>
      <c r="G1455" s="77" t="n">
        <v>4</v>
      </c>
      <c r="H1455" s="77" t="n">
        <v>0</v>
      </c>
      <c r="I1455" s="76" t="n">
        <f aca="false">IF(AND(ISNUMBER(G1455),ISNUMBER(H1455)),MAX(G1455-H1455,0),"")</f>
        <v>4</v>
      </c>
      <c r="J1455" s="78" t="n">
        <f aca="false">IF(AND(ISNUMBER(G1455),ISNUMBER(H1455)),IF(G1455&gt;0,H1455/G1455,""),"")</f>
        <v>0</v>
      </c>
      <c r="K1455" s="77"/>
      <c r="L1455" s="76" t="str">
        <f aca="false">IF(OR(G1455="",H1455=""),"Data tidak lengkap",IF(AND(G1455=0,H1455=0),IF(AND(F1455="",K1455=""),"Tidak dibuka","Tutup"),IF(H1455&gt;G1455,"Lebih kapasitas",IF(H1455=G1455,"Penuh",IF(H1455=0,IF(F1455="","Slot kosong","Belum terisi"),"Sebagian")))))</f>
        <v>Belum terisi</v>
      </c>
      <c r="M1455" s="79" t="str">
        <f aca="false">IF(L1455="Tidak dibuka","–",IF(F1455="","(tanpa age group)",F1455)&amp;"  "&amp;IF(H1455="","?",H1455)&amp;"/"&amp;IF(G1455="","?",G1455)&amp;CHAR(10)&amp;IF(K1455="","coach: –","coach: "&amp;K1455))</f>
        <v>Kids  0/4
coach: –</v>
      </c>
    </row>
    <row r="1456" customFormat="false" ht="22.35" hidden="false" customHeight="false" outlineLevel="0" collapsed="false">
      <c r="A1456" s="76" t="str">
        <f aca="false">B1456&amp;"|"&amp;C1456&amp;"|"&amp;D1456&amp;"|"&amp;E1456</f>
        <v>TMP|3|Rabu|10:30</v>
      </c>
      <c r="B1456" s="76" t="s">
        <v>67</v>
      </c>
      <c r="C1456" s="76" t="n">
        <v>3</v>
      </c>
      <c r="D1456" s="76" t="s">
        <v>92</v>
      </c>
      <c r="E1456" s="76" t="s">
        <v>99</v>
      </c>
      <c r="F1456" s="77" t="s">
        <v>210</v>
      </c>
      <c r="G1456" s="77" t="n">
        <v>4</v>
      </c>
      <c r="H1456" s="77" t="n">
        <v>0</v>
      </c>
      <c r="I1456" s="76" t="n">
        <f aca="false">IF(AND(ISNUMBER(G1456),ISNUMBER(H1456)),MAX(G1456-H1456,0),"")</f>
        <v>4</v>
      </c>
      <c r="J1456" s="78" t="n">
        <f aca="false">IF(AND(ISNUMBER(G1456),ISNUMBER(H1456)),IF(G1456&gt;0,H1456/G1456,""),"")</f>
        <v>0</v>
      </c>
      <c r="K1456" s="77"/>
      <c r="L1456" s="76" t="str">
        <f aca="false">IF(OR(G1456="",H1456=""),"Data tidak lengkap",IF(AND(G1456=0,H1456=0),IF(AND(F1456="",K1456=""),"Tidak dibuka","Tutup"),IF(H1456&gt;G1456,"Lebih kapasitas",IF(H1456=G1456,"Penuh",IF(H1456=0,IF(F1456="","Slot kosong","Belum terisi"),"Sebagian")))))</f>
        <v>Belum terisi</v>
      </c>
      <c r="M1456" s="79" t="str">
        <f aca="false">IF(L1456="Tidak dibuka","–",IF(F1456="","(tanpa age group)",F1456)&amp;"  "&amp;IF(H1456="","?",H1456)&amp;"/"&amp;IF(G1456="","?",G1456)&amp;CHAR(10)&amp;IF(K1456="","coach: –","coach: "&amp;K1456))</f>
        <v>Kids  0/4
coach: –</v>
      </c>
    </row>
    <row r="1457" customFormat="false" ht="22.35" hidden="false" customHeight="false" outlineLevel="0" collapsed="false">
      <c r="A1457" s="76" t="str">
        <f aca="false">B1457&amp;"|"&amp;C1457&amp;"|"&amp;D1457&amp;"|"&amp;E1457</f>
        <v>TMP|3|Rabu|11:15</v>
      </c>
      <c r="B1457" s="76" t="s">
        <v>67</v>
      </c>
      <c r="C1457" s="76" t="n">
        <v>3</v>
      </c>
      <c r="D1457" s="76" t="s">
        <v>92</v>
      </c>
      <c r="E1457" s="76" t="s">
        <v>100</v>
      </c>
      <c r="F1457" s="77" t="s">
        <v>210</v>
      </c>
      <c r="G1457" s="77" t="n">
        <v>4</v>
      </c>
      <c r="H1457" s="77" t="n">
        <v>0</v>
      </c>
      <c r="I1457" s="76" t="n">
        <f aca="false">IF(AND(ISNUMBER(G1457),ISNUMBER(H1457)),MAX(G1457-H1457,0),"")</f>
        <v>4</v>
      </c>
      <c r="J1457" s="78" t="n">
        <f aca="false">IF(AND(ISNUMBER(G1457),ISNUMBER(H1457)),IF(G1457&gt;0,H1457/G1457,""),"")</f>
        <v>0</v>
      </c>
      <c r="K1457" s="77"/>
      <c r="L1457" s="76" t="str">
        <f aca="false">IF(OR(G1457="",H1457=""),"Data tidak lengkap",IF(AND(G1457=0,H1457=0),IF(AND(F1457="",K1457=""),"Tidak dibuka","Tutup"),IF(H1457&gt;G1457,"Lebih kapasitas",IF(H1457=G1457,"Penuh",IF(H1457=0,IF(F1457="","Slot kosong","Belum terisi"),"Sebagian")))))</f>
        <v>Belum terisi</v>
      </c>
      <c r="M1457" s="79" t="str">
        <f aca="false">IF(L1457="Tidak dibuka","–",IF(F1457="","(tanpa age group)",F1457)&amp;"  "&amp;IF(H1457="","?",H1457)&amp;"/"&amp;IF(G1457="","?",G1457)&amp;CHAR(10)&amp;IF(K1457="","coach: –","coach: "&amp;K1457))</f>
        <v>Kids  0/4
coach: –</v>
      </c>
    </row>
    <row r="1458" customFormat="false" ht="22.35" hidden="false" customHeight="false" outlineLevel="0" collapsed="false">
      <c r="A1458" s="76" t="str">
        <f aca="false">B1458&amp;"|"&amp;C1458&amp;"|"&amp;D1458&amp;"|"&amp;E1458</f>
        <v>TMP|3|Rabu|12:00</v>
      </c>
      <c r="B1458" s="76" t="s">
        <v>67</v>
      </c>
      <c r="C1458" s="76" t="n">
        <v>3</v>
      </c>
      <c r="D1458" s="76" t="s">
        <v>92</v>
      </c>
      <c r="E1458" s="76" t="s">
        <v>101</v>
      </c>
      <c r="F1458" s="77" t="s">
        <v>210</v>
      </c>
      <c r="G1458" s="77" t="n">
        <v>4</v>
      </c>
      <c r="H1458" s="77" t="n">
        <v>0</v>
      </c>
      <c r="I1458" s="76" t="n">
        <f aca="false">IF(AND(ISNUMBER(G1458),ISNUMBER(H1458)),MAX(G1458-H1458,0),"")</f>
        <v>4</v>
      </c>
      <c r="J1458" s="78" t="n">
        <f aca="false">IF(AND(ISNUMBER(G1458),ISNUMBER(H1458)),IF(G1458&gt;0,H1458/G1458,""),"")</f>
        <v>0</v>
      </c>
      <c r="K1458" s="77"/>
      <c r="L1458" s="76" t="str">
        <f aca="false">IF(OR(G1458="",H1458=""),"Data tidak lengkap",IF(AND(G1458=0,H1458=0),IF(AND(F1458="",K1458=""),"Tidak dibuka","Tutup"),IF(H1458&gt;G1458,"Lebih kapasitas",IF(H1458=G1458,"Penuh",IF(H1458=0,IF(F1458="","Slot kosong","Belum terisi"),"Sebagian")))))</f>
        <v>Belum terisi</v>
      </c>
      <c r="M1458" s="79" t="str">
        <f aca="false">IF(L1458="Tidak dibuka","–",IF(F1458="","(tanpa age group)",F1458)&amp;"  "&amp;IF(H1458="","?",H1458)&amp;"/"&amp;IF(G1458="","?",G1458)&amp;CHAR(10)&amp;IF(K1458="","coach: –","coach: "&amp;K1458))</f>
        <v>Kids  0/4
coach: –</v>
      </c>
    </row>
    <row r="1459" customFormat="false" ht="22.35" hidden="false" customHeight="false" outlineLevel="0" collapsed="false">
      <c r="A1459" s="76" t="str">
        <f aca="false">B1459&amp;"|"&amp;C1459&amp;"|"&amp;D1459&amp;"|"&amp;E1459</f>
        <v>TMP|3|Rabu|13:30</v>
      </c>
      <c r="B1459" s="76" t="s">
        <v>67</v>
      </c>
      <c r="C1459" s="76" t="n">
        <v>3</v>
      </c>
      <c r="D1459" s="76" t="s">
        <v>92</v>
      </c>
      <c r="E1459" s="76" t="s">
        <v>102</v>
      </c>
      <c r="F1459" s="77" t="s">
        <v>210</v>
      </c>
      <c r="G1459" s="77" t="n">
        <v>4</v>
      </c>
      <c r="H1459" s="77" t="n">
        <v>0</v>
      </c>
      <c r="I1459" s="76" t="n">
        <f aca="false">IF(AND(ISNUMBER(G1459),ISNUMBER(H1459)),MAX(G1459-H1459,0),"")</f>
        <v>4</v>
      </c>
      <c r="J1459" s="78" t="n">
        <f aca="false">IF(AND(ISNUMBER(G1459),ISNUMBER(H1459)),IF(G1459&gt;0,H1459/G1459,""),"")</f>
        <v>0</v>
      </c>
      <c r="K1459" s="77"/>
      <c r="L1459" s="76" t="str">
        <f aca="false">IF(OR(G1459="",H1459=""),"Data tidak lengkap",IF(AND(G1459=0,H1459=0),IF(AND(F1459="",K1459=""),"Tidak dibuka","Tutup"),IF(H1459&gt;G1459,"Lebih kapasitas",IF(H1459=G1459,"Penuh",IF(H1459=0,IF(F1459="","Slot kosong","Belum terisi"),"Sebagian")))))</f>
        <v>Belum terisi</v>
      </c>
      <c r="M1459" s="79" t="str">
        <f aca="false">IF(L1459="Tidak dibuka","–",IF(F1459="","(tanpa age group)",F1459)&amp;"  "&amp;IF(H1459="","?",H1459)&amp;"/"&amp;IF(G1459="","?",G1459)&amp;CHAR(10)&amp;IF(K1459="","coach: –","coach: "&amp;K1459))</f>
        <v>Kids  0/4
coach: –</v>
      </c>
    </row>
    <row r="1460" customFormat="false" ht="22.35" hidden="false" customHeight="false" outlineLevel="0" collapsed="false">
      <c r="A1460" s="76" t="str">
        <f aca="false">B1460&amp;"|"&amp;C1460&amp;"|"&amp;D1460&amp;"|"&amp;E1460</f>
        <v>TMP|3|Rabu|14:15</v>
      </c>
      <c r="B1460" s="76" t="s">
        <v>67</v>
      </c>
      <c r="C1460" s="76" t="n">
        <v>3</v>
      </c>
      <c r="D1460" s="76" t="s">
        <v>92</v>
      </c>
      <c r="E1460" s="76" t="s">
        <v>103</v>
      </c>
      <c r="F1460" s="77" t="s">
        <v>210</v>
      </c>
      <c r="G1460" s="77" t="n">
        <v>4</v>
      </c>
      <c r="H1460" s="77" t="n">
        <v>0</v>
      </c>
      <c r="I1460" s="76" t="n">
        <f aca="false">IF(AND(ISNUMBER(G1460),ISNUMBER(H1460)),MAX(G1460-H1460,0),"")</f>
        <v>4</v>
      </c>
      <c r="J1460" s="78" t="n">
        <f aca="false">IF(AND(ISNUMBER(G1460),ISNUMBER(H1460)),IF(G1460&gt;0,H1460/G1460,""),"")</f>
        <v>0</v>
      </c>
      <c r="K1460" s="77"/>
      <c r="L1460" s="76" t="str">
        <f aca="false">IF(OR(G1460="",H1460=""),"Data tidak lengkap",IF(AND(G1460=0,H1460=0),IF(AND(F1460="",K1460=""),"Tidak dibuka","Tutup"),IF(H1460&gt;G1460,"Lebih kapasitas",IF(H1460=G1460,"Penuh",IF(H1460=0,IF(F1460="","Slot kosong","Belum terisi"),"Sebagian")))))</f>
        <v>Belum terisi</v>
      </c>
      <c r="M1460" s="79" t="str">
        <f aca="false">IF(L1460="Tidak dibuka","–",IF(F1460="","(tanpa age group)",F1460)&amp;"  "&amp;IF(H1460="","?",H1460)&amp;"/"&amp;IF(G1460="","?",G1460)&amp;CHAR(10)&amp;IF(K1460="","coach: –","coach: "&amp;K1460))</f>
        <v>Kids  0/4
coach: –</v>
      </c>
    </row>
    <row r="1461" customFormat="false" ht="22.35" hidden="false" customHeight="false" outlineLevel="0" collapsed="false">
      <c r="A1461" s="76" t="str">
        <f aca="false">B1461&amp;"|"&amp;C1461&amp;"|"&amp;D1461&amp;"|"&amp;E1461</f>
        <v>TMP|3|Rabu|15:00</v>
      </c>
      <c r="B1461" s="76" t="s">
        <v>67</v>
      </c>
      <c r="C1461" s="76" t="n">
        <v>3</v>
      </c>
      <c r="D1461" s="76" t="s">
        <v>92</v>
      </c>
      <c r="E1461" s="76" t="s">
        <v>104</v>
      </c>
      <c r="F1461" s="77" t="s">
        <v>210</v>
      </c>
      <c r="G1461" s="77" t="n">
        <v>4</v>
      </c>
      <c r="H1461" s="77" t="n">
        <v>0</v>
      </c>
      <c r="I1461" s="76" t="n">
        <f aca="false">IF(AND(ISNUMBER(G1461),ISNUMBER(H1461)),MAX(G1461-H1461,0),"")</f>
        <v>4</v>
      </c>
      <c r="J1461" s="78" t="n">
        <f aca="false">IF(AND(ISNUMBER(G1461),ISNUMBER(H1461)),IF(G1461&gt;0,H1461/G1461,""),"")</f>
        <v>0</v>
      </c>
      <c r="K1461" s="77"/>
      <c r="L1461" s="76" t="str">
        <f aca="false">IF(OR(G1461="",H1461=""),"Data tidak lengkap",IF(AND(G1461=0,H1461=0),IF(AND(F1461="",K1461=""),"Tidak dibuka","Tutup"),IF(H1461&gt;G1461,"Lebih kapasitas",IF(H1461=G1461,"Penuh",IF(H1461=0,IF(F1461="","Slot kosong","Belum terisi"),"Sebagian")))))</f>
        <v>Belum terisi</v>
      </c>
      <c r="M1461" s="79" t="str">
        <f aca="false">IF(L1461="Tidak dibuka","–",IF(F1461="","(tanpa age group)",F1461)&amp;"  "&amp;IF(H1461="","?",H1461)&amp;"/"&amp;IF(G1461="","?",G1461)&amp;CHAR(10)&amp;IF(K1461="","coach: –","coach: "&amp;K1461))</f>
        <v>Kids  0/4
coach: –</v>
      </c>
    </row>
    <row r="1462" customFormat="false" ht="22.35" hidden="false" customHeight="false" outlineLevel="0" collapsed="false">
      <c r="A1462" s="76" t="str">
        <f aca="false">B1462&amp;"|"&amp;C1462&amp;"|"&amp;D1462&amp;"|"&amp;E1462</f>
        <v>TMP|3|Rabu|15:45</v>
      </c>
      <c r="B1462" s="76" t="s">
        <v>67</v>
      </c>
      <c r="C1462" s="76" t="n">
        <v>3</v>
      </c>
      <c r="D1462" s="76" t="s">
        <v>92</v>
      </c>
      <c r="E1462" s="76" t="s">
        <v>105</v>
      </c>
      <c r="F1462" s="77" t="s">
        <v>210</v>
      </c>
      <c r="G1462" s="77" t="n">
        <v>4</v>
      </c>
      <c r="H1462" s="77" t="n">
        <v>1</v>
      </c>
      <c r="I1462" s="76" t="n">
        <f aca="false">IF(AND(ISNUMBER(G1462),ISNUMBER(H1462)),MAX(G1462-H1462,0),"")</f>
        <v>3</v>
      </c>
      <c r="J1462" s="78" t="n">
        <f aca="false">IF(AND(ISNUMBER(G1462),ISNUMBER(H1462)),IF(G1462&gt;0,H1462/G1462,""),"")</f>
        <v>0.25</v>
      </c>
      <c r="K1462" s="77" t="s">
        <v>380</v>
      </c>
      <c r="L1462" s="76" t="str">
        <f aca="false">IF(OR(G1462="",H1462=""),"Data tidak lengkap",IF(AND(G1462=0,H1462=0),IF(AND(F1462="",K1462=""),"Tidak dibuka","Tutup"),IF(H1462&gt;G1462,"Lebih kapasitas",IF(H1462=G1462,"Penuh",IF(H1462=0,IF(F1462="","Slot kosong","Belum terisi"),"Sebagian")))))</f>
        <v>Sebagian</v>
      </c>
      <c r="M1462" s="79" t="str">
        <f aca="false">IF(L1462="Tidak dibuka","–",IF(F1462="","(tanpa age group)",F1462)&amp;"  "&amp;IF(H1462="","?",H1462)&amp;"/"&amp;IF(G1462="","?",G1462)&amp;CHAR(10)&amp;IF(K1462="","coach: –","coach: "&amp;K1462))</f>
        <v>Kids  1/4
coach: Hanif</v>
      </c>
    </row>
    <row r="1463" customFormat="false" ht="22.35" hidden="false" customHeight="false" outlineLevel="0" collapsed="false">
      <c r="A1463" s="76" t="str">
        <f aca="false">B1463&amp;"|"&amp;C1463&amp;"|"&amp;D1463&amp;"|"&amp;E1463</f>
        <v>TMP|3|Rabu|16:30</v>
      </c>
      <c r="B1463" s="76" t="s">
        <v>67</v>
      </c>
      <c r="C1463" s="76" t="n">
        <v>3</v>
      </c>
      <c r="D1463" s="76" t="s">
        <v>92</v>
      </c>
      <c r="E1463" s="76" t="s">
        <v>106</v>
      </c>
      <c r="F1463" s="77" t="s">
        <v>210</v>
      </c>
      <c r="G1463" s="77" t="n">
        <v>4</v>
      </c>
      <c r="H1463" s="77" t="n">
        <v>0</v>
      </c>
      <c r="I1463" s="76" t="n">
        <f aca="false">IF(AND(ISNUMBER(G1463),ISNUMBER(H1463)),MAX(G1463-H1463,0),"")</f>
        <v>4</v>
      </c>
      <c r="J1463" s="78" t="n">
        <f aca="false">IF(AND(ISNUMBER(G1463),ISNUMBER(H1463)),IF(G1463&gt;0,H1463/G1463,""),"")</f>
        <v>0</v>
      </c>
      <c r="K1463" s="77"/>
      <c r="L1463" s="76" t="str">
        <f aca="false">IF(OR(G1463="",H1463=""),"Data tidak lengkap",IF(AND(G1463=0,H1463=0),IF(AND(F1463="",K1463=""),"Tidak dibuka","Tutup"),IF(H1463&gt;G1463,"Lebih kapasitas",IF(H1463=G1463,"Penuh",IF(H1463=0,IF(F1463="","Slot kosong","Belum terisi"),"Sebagian")))))</f>
        <v>Belum terisi</v>
      </c>
      <c r="M1463" s="79" t="str">
        <f aca="false">IF(L1463="Tidak dibuka","–",IF(F1463="","(tanpa age group)",F1463)&amp;"  "&amp;IF(H1463="","?",H1463)&amp;"/"&amp;IF(G1463="","?",G1463)&amp;CHAR(10)&amp;IF(K1463="","coach: –","coach: "&amp;K1463))</f>
        <v>Kids  0/4
coach: –</v>
      </c>
    </row>
    <row r="1464" customFormat="false" ht="22.35" hidden="false" customHeight="false" outlineLevel="0" collapsed="false">
      <c r="A1464" s="76" t="str">
        <f aca="false">B1464&amp;"|"&amp;C1464&amp;"|"&amp;D1464&amp;"|"&amp;E1464</f>
        <v>TMP|3|Rabu|17:15</v>
      </c>
      <c r="B1464" s="76" t="s">
        <v>67</v>
      </c>
      <c r="C1464" s="76" t="n">
        <v>3</v>
      </c>
      <c r="D1464" s="76" t="s">
        <v>92</v>
      </c>
      <c r="E1464" s="76" t="s">
        <v>107</v>
      </c>
      <c r="F1464" s="77" t="s">
        <v>210</v>
      </c>
      <c r="G1464" s="77" t="n">
        <v>4</v>
      </c>
      <c r="H1464" s="77" t="n">
        <v>2</v>
      </c>
      <c r="I1464" s="76" t="n">
        <f aca="false">IF(AND(ISNUMBER(G1464),ISNUMBER(H1464)),MAX(G1464-H1464,0),"")</f>
        <v>2</v>
      </c>
      <c r="J1464" s="78" t="n">
        <f aca="false">IF(AND(ISNUMBER(G1464),ISNUMBER(H1464)),IF(G1464&gt;0,H1464/G1464,""),"")</f>
        <v>0.5</v>
      </c>
      <c r="K1464" s="77" t="s">
        <v>375</v>
      </c>
      <c r="L1464" s="76" t="str">
        <f aca="false">IF(OR(G1464="",H1464=""),"Data tidak lengkap",IF(AND(G1464=0,H1464=0),IF(AND(F1464="",K1464=""),"Tidak dibuka","Tutup"),IF(H1464&gt;G1464,"Lebih kapasitas",IF(H1464=G1464,"Penuh",IF(H1464=0,IF(F1464="","Slot kosong","Belum terisi"),"Sebagian")))))</f>
        <v>Sebagian</v>
      </c>
      <c r="M1464" s="79" t="str">
        <f aca="false">IF(L1464="Tidak dibuka","–",IF(F1464="","(tanpa age group)",F1464)&amp;"  "&amp;IF(H1464="","?",H1464)&amp;"/"&amp;IF(G1464="","?",G1464)&amp;CHAR(10)&amp;IF(K1464="","coach: –","coach: "&amp;K1464))</f>
        <v>Kids  2/4
coach: Iqbal</v>
      </c>
    </row>
    <row r="1465" customFormat="false" ht="22.35" hidden="false" customHeight="false" outlineLevel="0" collapsed="false">
      <c r="A1465" s="76" t="str">
        <f aca="false">B1465&amp;"|"&amp;C1465&amp;"|"&amp;D1465&amp;"|"&amp;E1465</f>
        <v>TMP|3|Kamis|08:15</v>
      </c>
      <c r="B1465" s="76" t="s">
        <v>67</v>
      </c>
      <c r="C1465" s="76" t="n">
        <v>3</v>
      </c>
      <c r="D1465" s="76" t="s">
        <v>93</v>
      </c>
      <c r="E1465" s="76" t="s">
        <v>96</v>
      </c>
      <c r="F1465" s="77" t="s">
        <v>210</v>
      </c>
      <c r="G1465" s="77" t="n">
        <v>4</v>
      </c>
      <c r="H1465" s="77" t="n">
        <v>0</v>
      </c>
      <c r="I1465" s="76" t="n">
        <f aca="false">IF(AND(ISNUMBER(G1465),ISNUMBER(H1465)),MAX(G1465-H1465,0),"")</f>
        <v>4</v>
      </c>
      <c r="J1465" s="78" t="n">
        <f aca="false">IF(AND(ISNUMBER(G1465),ISNUMBER(H1465)),IF(G1465&gt;0,H1465/G1465,""),"")</f>
        <v>0</v>
      </c>
      <c r="K1465" s="77"/>
      <c r="L1465" s="76" t="str">
        <f aca="false">IF(OR(G1465="",H1465=""),"Data tidak lengkap",IF(AND(G1465=0,H1465=0),IF(AND(F1465="",K1465=""),"Tidak dibuka","Tutup"),IF(H1465&gt;G1465,"Lebih kapasitas",IF(H1465=G1465,"Penuh",IF(H1465=0,IF(F1465="","Slot kosong","Belum terisi"),"Sebagian")))))</f>
        <v>Belum terisi</v>
      </c>
      <c r="M1465" s="79" t="str">
        <f aca="false">IF(L1465="Tidak dibuka","–",IF(F1465="","(tanpa age group)",F1465)&amp;"  "&amp;IF(H1465="","?",H1465)&amp;"/"&amp;IF(G1465="","?",G1465)&amp;CHAR(10)&amp;IF(K1465="","coach: –","coach: "&amp;K1465))</f>
        <v>Kids  0/4
coach: –</v>
      </c>
    </row>
    <row r="1466" customFormat="false" ht="22.35" hidden="false" customHeight="false" outlineLevel="0" collapsed="false">
      <c r="A1466" s="76" t="str">
        <f aca="false">B1466&amp;"|"&amp;C1466&amp;"|"&amp;D1466&amp;"|"&amp;E1466</f>
        <v>TMP|3|Kamis|09:00</v>
      </c>
      <c r="B1466" s="76" t="s">
        <v>67</v>
      </c>
      <c r="C1466" s="76" t="n">
        <v>3</v>
      </c>
      <c r="D1466" s="76" t="s">
        <v>93</v>
      </c>
      <c r="E1466" s="76" t="s">
        <v>97</v>
      </c>
      <c r="F1466" s="77" t="s">
        <v>210</v>
      </c>
      <c r="G1466" s="77" t="n">
        <v>4</v>
      </c>
      <c r="H1466" s="77" t="n">
        <v>0</v>
      </c>
      <c r="I1466" s="76" t="n">
        <f aca="false">IF(AND(ISNUMBER(G1466),ISNUMBER(H1466)),MAX(G1466-H1466,0),"")</f>
        <v>4</v>
      </c>
      <c r="J1466" s="78" t="n">
        <f aca="false">IF(AND(ISNUMBER(G1466),ISNUMBER(H1466)),IF(G1466&gt;0,H1466/G1466,""),"")</f>
        <v>0</v>
      </c>
      <c r="K1466" s="77"/>
      <c r="L1466" s="76" t="str">
        <f aca="false">IF(OR(G1466="",H1466=""),"Data tidak lengkap",IF(AND(G1466=0,H1466=0),IF(AND(F1466="",K1466=""),"Tidak dibuka","Tutup"),IF(H1466&gt;G1466,"Lebih kapasitas",IF(H1466=G1466,"Penuh",IF(H1466=0,IF(F1466="","Slot kosong","Belum terisi"),"Sebagian")))))</f>
        <v>Belum terisi</v>
      </c>
      <c r="M1466" s="79" t="str">
        <f aca="false">IF(L1466="Tidak dibuka","–",IF(F1466="","(tanpa age group)",F1466)&amp;"  "&amp;IF(H1466="","?",H1466)&amp;"/"&amp;IF(G1466="","?",G1466)&amp;CHAR(10)&amp;IF(K1466="","coach: –","coach: "&amp;K1466))</f>
        <v>Kids  0/4
coach: –</v>
      </c>
    </row>
    <row r="1467" customFormat="false" ht="22.35" hidden="false" customHeight="false" outlineLevel="0" collapsed="false">
      <c r="A1467" s="76" t="str">
        <f aca="false">B1467&amp;"|"&amp;C1467&amp;"|"&amp;D1467&amp;"|"&amp;E1467</f>
        <v>TMP|3|Kamis|09:45</v>
      </c>
      <c r="B1467" s="76" t="s">
        <v>67</v>
      </c>
      <c r="C1467" s="76" t="n">
        <v>3</v>
      </c>
      <c r="D1467" s="76" t="s">
        <v>93</v>
      </c>
      <c r="E1467" s="76" t="s">
        <v>98</v>
      </c>
      <c r="F1467" s="77" t="s">
        <v>210</v>
      </c>
      <c r="G1467" s="77" t="n">
        <v>4</v>
      </c>
      <c r="H1467" s="77" t="n">
        <v>0</v>
      </c>
      <c r="I1467" s="76" t="n">
        <f aca="false">IF(AND(ISNUMBER(G1467),ISNUMBER(H1467)),MAX(G1467-H1467,0),"")</f>
        <v>4</v>
      </c>
      <c r="J1467" s="78" t="n">
        <f aca="false">IF(AND(ISNUMBER(G1467),ISNUMBER(H1467)),IF(G1467&gt;0,H1467/G1467,""),"")</f>
        <v>0</v>
      </c>
      <c r="K1467" s="77"/>
      <c r="L1467" s="76" t="str">
        <f aca="false">IF(OR(G1467="",H1467=""),"Data tidak lengkap",IF(AND(G1467=0,H1467=0),IF(AND(F1467="",K1467=""),"Tidak dibuka","Tutup"),IF(H1467&gt;G1467,"Lebih kapasitas",IF(H1467=G1467,"Penuh",IF(H1467=0,IF(F1467="","Slot kosong","Belum terisi"),"Sebagian")))))</f>
        <v>Belum terisi</v>
      </c>
      <c r="M1467" s="79" t="str">
        <f aca="false">IF(L1467="Tidak dibuka","–",IF(F1467="","(tanpa age group)",F1467)&amp;"  "&amp;IF(H1467="","?",H1467)&amp;"/"&amp;IF(G1467="","?",G1467)&amp;CHAR(10)&amp;IF(K1467="","coach: –","coach: "&amp;K1467))</f>
        <v>Kids  0/4
coach: –</v>
      </c>
    </row>
    <row r="1468" customFormat="false" ht="22.35" hidden="false" customHeight="false" outlineLevel="0" collapsed="false">
      <c r="A1468" s="76" t="str">
        <f aca="false">B1468&amp;"|"&amp;C1468&amp;"|"&amp;D1468&amp;"|"&amp;E1468</f>
        <v>TMP|3|Kamis|10:30</v>
      </c>
      <c r="B1468" s="76" t="s">
        <v>67</v>
      </c>
      <c r="C1468" s="76" t="n">
        <v>3</v>
      </c>
      <c r="D1468" s="76" t="s">
        <v>93</v>
      </c>
      <c r="E1468" s="76" t="s">
        <v>99</v>
      </c>
      <c r="F1468" s="77" t="s">
        <v>210</v>
      </c>
      <c r="G1468" s="77" t="n">
        <v>4</v>
      </c>
      <c r="H1468" s="77" t="n">
        <v>0</v>
      </c>
      <c r="I1468" s="76" t="n">
        <f aca="false">IF(AND(ISNUMBER(G1468),ISNUMBER(H1468)),MAX(G1468-H1468,0),"")</f>
        <v>4</v>
      </c>
      <c r="J1468" s="78" t="n">
        <f aca="false">IF(AND(ISNUMBER(G1468),ISNUMBER(H1468)),IF(G1468&gt;0,H1468/G1468,""),"")</f>
        <v>0</v>
      </c>
      <c r="K1468" s="77"/>
      <c r="L1468" s="76" t="str">
        <f aca="false">IF(OR(G1468="",H1468=""),"Data tidak lengkap",IF(AND(G1468=0,H1468=0),IF(AND(F1468="",K1468=""),"Tidak dibuka","Tutup"),IF(H1468&gt;G1468,"Lebih kapasitas",IF(H1468=G1468,"Penuh",IF(H1468=0,IF(F1468="","Slot kosong","Belum terisi"),"Sebagian")))))</f>
        <v>Belum terisi</v>
      </c>
      <c r="M1468" s="79" t="str">
        <f aca="false">IF(L1468="Tidak dibuka","–",IF(F1468="","(tanpa age group)",F1468)&amp;"  "&amp;IF(H1468="","?",H1468)&amp;"/"&amp;IF(G1468="","?",G1468)&amp;CHAR(10)&amp;IF(K1468="","coach: –","coach: "&amp;K1468))</f>
        <v>Kids  0/4
coach: –</v>
      </c>
    </row>
    <row r="1469" customFormat="false" ht="22.35" hidden="false" customHeight="false" outlineLevel="0" collapsed="false">
      <c r="A1469" s="76" t="str">
        <f aca="false">B1469&amp;"|"&amp;C1469&amp;"|"&amp;D1469&amp;"|"&amp;E1469</f>
        <v>TMP|3|Kamis|11:15</v>
      </c>
      <c r="B1469" s="76" t="s">
        <v>67</v>
      </c>
      <c r="C1469" s="76" t="n">
        <v>3</v>
      </c>
      <c r="D1469" s="76" t="s">
        <v>93</v>
      </c>
      <c r="E1469" s="76" t="s">
        <v>100</v>
      </c>
      <c r="F1469" s="77" t="s">
        <v>210</v>
      </c>
      <c r="G1469" s="77" t="n">
        <v>4</v>
      </c>
      <c r="H1469" s="77" t="n">
        <v>0</v>
      </c>
      <c r="I1469" s="76" t="n">
        <f aca="false">IF(AND(ISNUMBER(G1469),ISNUMBER(H1469)),MAX(G1469-H1469,0),"")</f>
        <v>4</v>
      </c>
      <c r="J1469" s="78" t="n">
        <f aca="false">IF(AND(ISNUMBER(G1469),ISNUMBER(H1469)),IF(G1469&gt;0,H1469/G1469,""),"")</f>
        <v>0</v>
      </c>
      <c r="K1469" s="77"/>
      <c r="L1469" s="76" t="str">
        <f aca="false">IF(OR(G1469="",H1469=""),"Data tidak lengkap",IF(AND(G1469=0,H1469=0),IF(AND(F1469="",K1469=""),"Tidak dibuka","Tutup"),IF(H1469&gt;G1469,"Lebih kapasitas",IF(H1469=G1469,"Penuh",IF(H1469=0,IF(F1469="","Slot kosong","Belum terisi"),"Sebagian")))))</f>
        <v>Belum terisi</v>
      </c>
      <c r="M1469" s="79" t="str">
        <f aca="false">IF(L1469="Tidak dibuka","–",IF(F1469="","(tanpa age group)",F1469)&amp;"  "&amp;IF(H1469="","?",H1469)&amp;"/"&amp;IF(G1469="","?",G1469)&amp;CHAR(10)&amp;IF(K1469="","coach: –","coach: "&amp;K1469))</f>
        <v>Kids  0/4
coach: –</v>
      </c>
    </row>
    <row r="1470" customFormat="false" ht="22.35" hidden="false" customHeight="false" outlineLevel="0" collapsed="false">
      <c r="A1470" s="76" t="str">
        <f aca="false">B1470&amp;"|"&amp;C1470&amp;"|"&amp;D1470&amp;"|"&amp;E1470</f>
        <v>TMP|3|Kamis|12:00</v>
      </c>
      <c r="B1470" s="76" t="s">
        <v>67</v>
      </c>
      <c r="C1470" s="76" t="n">
        <v>3</v>
      </c>
      <c r="D1470" s="76" t="s">
        <v>93</v>
      </c>
      <c r="E1470" s="76" t="s">
        <v>101</v>
      </c>
      <c r="F1470" s="77" t="s">
        <v>210</v>
      </c>
      <c r="G1470" s="77" t="n">
        <v>4</v>
      </c>
      <c r="H1470" s="77" t="n">
        <v>0</v>
      </c>
      <c r="I1470" s="76" t="n">
        <f aca="false">IF(AND(ISNUMBER(G1470),ISNUMBER(H1470)),MAX(G1470-H1470,0),"")</f>
        <v>4</v>
      </c>
      <c r="J1470" s="78" t="n">
        <f aca="false">IF(AND(ISNUMBER(G1470),ISNUMBER(H1470)),IF(G1470&gt;0,H1470/G1470,""),"")</f>
        <v>0</v>
      </c>
      <c r="K1470" s="77"/>
      <c r="L1470" s="76" t="str">
        <f aca="false">IF(OR(G1470="",H1470=""),"Data tidak lengkap",IF(AND(G1470=0,H1470=0),IF(AND(F1470="",K1470=""),"Tidak dibuka","Tutup"),IF(H1470&gt;G1470,"Lebih kapasitas",IF(H1470=G1470,"Penuh",IF(H1470=0,IF(F1470="","Slot kosong","Belum terisi"),"Sebagian")))))</f>
        <v>Belum terisi</v>
      </c>
      <c r="M1470" s="79" t="str">
        <f aca="false">IF(L1470="Tidak dibuka","–",IF(F1470="","(tanpa age group)",F1470)&amp;"  "&amp;IF(H1470="","?",H1470)&amp;"/"&amp;IF(G1470="","?",G1470)&amp;CHAR(10)&amp;IF(K1470="","coach: –","coach: "&amp;K1470))</f>
        <v>Kids  0/4
coach: –</v>
      </c>
    </row>
    <row r="1471" customFormat="false" ht="22.35" hidden="false" customHeight="false" outlineLevel="0" collapsed="false">
      <c r="A1471" s="76" t="str">
        <f aca="false">B1471&amp;"|"&amp;C1471&amp;"|"&amp;D1471&amp;"|"&amp;E1471</f>
        <v>TMP|3|Kamis|13:30</v>
      </c>
      <c r="B1471" s="76" t="s">
        <v>67</v>
      </c>
      <c r="C1471" s="76" t="n">
        <v>3</v>
      </c>
      <c r="D1471" s="76" t="s">
        <v>93</v>
      </c>
      <c r="E1471" s="76" t="s">
        <v>102</v>
      </c>
      <c r="F1471" s="77" t="s">
        <v>210</v>
      </c>
      <c r="G1471" s="77" t="n">
        <v>4</v>
      </c>
      <c r="H1471" s="77" t="n">
        <v>1</v>
      </c>
      <c r="I1471" s="76" t="n">
        <f aca="false">IF(AND(ISNUMBER(G1471),ISNUMBER(H1471)),MAX(G1471-H1471,0),"")</f>
        <v>3</v>
      </c>
      <c r="J1471" s="78" t="n">
        <f aca="false">IF(AND(ISNUMBER(G1471),ISNUMBER(H1471)),IF(G1471&gt;0,H1471/G1471,""),"")</f>
        <v>0.25</v>
      </c>
      <c r="K1471" s="77" t="s">
        <v>374</v>
      </c>
      <c r="L1471" s="76" t="str">
        <f aca="false">IF(OR(G1471="",H1471=""),"Data tidak lengkap",IF(AND(G1471=0,H1471=0),IF(AND(F1471="",K1471=""),"Tidak dibuka","Tutup"),IF(H1471&gt;G1471,"Lebih kapasitas",IF(H1471=G1471,"Penuh",IF(H1471=0,IF(F1471="","Slot kosong","Belum terisi"),"Sebagian")))))</f>
        <v>Sebagian</v>
      </c>
      <c r="M1471" s="79" t="str">
        <f aca="false">IF(L1471="Tidak dibuka","–",IF(F1471="","(tanpa age group)",F1471)&amp;"  "&amp;IF(H1471="","?",H1471)&amp;"/"&amp;IF(G1471="","?",G1471)&amp;CHAR(10)&amp;IF(K1471="","coach: –","coach: "&amp;K1471))</f>
        <v>Kids  1/4
coach: Adam</v>
      </c>
    </row>
    <row r="1472" customFormat="false" ht="22.35" hidden="false" customHeight="false" outlineLevel="0" collapsed="false">
      <c r="A1472" s="76" t="str">
        <f aca="false">B1472&amp;"|"&amp;C1472&amp;"|"&amp;D1472&amp;"|"&amp;E1472</f>
        <v>TMP|3|Kamis|14:15</v>
      </c>
      <c r="B1472" s="76" t="s">
        <v>67</v>
      </c>
      <c r="C1472" s="76" t="n">
        <v>3</v>
      </c>
      <c r="D1472" s="76" t="s">
        <v>93</v>
      </c>
      <c r="E1472" s="76" t="s">
        <v>103</v>
      </c>
      <c r="F1472" s="77" t="s">
        <v>210</v>
      </c>
      <c r="G1472" s="77" t="n">
        <v>4</v>
      </c>
      <c r="H1472" s="77" t="n">
        <v>3</v>
      </c>
      <c r="I1472" s="76" t="n">
        <f aca="false">IF(AND(ISNUMBER(G1472),ISNUMBER(H1472)),MAX(G1472-H1472,0),"")</f>
        <v>1</v>
      </c>
      <c r="J1472" s="78" t="n">
        <f aca="false">IF(AND(ISNUMBER(G1472),ISNUMBER(H1472)),IF(G1472&gt;0,H1472/G1472,""),"")</f>
        <v>0.75</v>
      </c>
      <c r="K1472" s="77" t="s">
        <v>374</v>
      </c>
      <c r="L1472" s="76" t="str">
        <f aca="false">IF(OR(G1472="",H1472=""),"Data tidak lengkap",IF(AND(G1472=0,H1472=0),IF(AND(F1472="",K1472=""),"Tidak dibuka","Tutup"),IF(H1472&gt;G1472,"Lebih kapasitas",IF(H1472=G1472,"Penuh",IF(H1472=0,IF(F1472="","Slot kosong","Belum terisi"),"Sebagian")))))</f>
        <v>Sebagian</v>
      </c>
      <c r="M1472" s="79" t="str">
        <f aca="false">IF(L1472="Tidak dibuka","–",IF(F1472="","(tanpa age group)",F1472)&amp;"  "&amp;IF(H1472="","?",H1472)&amp;"/"&amp;IF(G1472="","?",G1472)&amp;CHAR(10)&amp;IF(K1472="","coach: –","coach: "&amp;K1472))</f>
        <v>Kids  3/4
coach: Adam</v>
      </c>
    </row>
    <row r="1473" customFormat="false" ht="22.35" hidden="false" customHeight="false" outlineLevel="0" collapsed="false">
      <c r="A1473" s="76" t="str">
        <f aca="false">B1473&amp;"|"&amp;C1473&amp;"|"&amp;D1473&amp;"|"&amp;E1473</f>
        <v>TMP|3|Kamis|15:00</v>
      </c>
      <c r="B1473" s="76" t="s">
        <v>67</v>
      </c>
      <c r="C1473" s="76" t="n">
        <v>3</v>
      </c>
      <c r="D1473" s="76" t="s">
        <v>93</v>
      </c>
      <c r="E1473" s="76" t="s">
        <v>104</v>
      </c>
      <c r="F1473" s="77" t="s">
        <v>210</v>
      </c>
      <c r="G1473" s="77" t="n">
        <v>4</v>
      </c>
      <c r="H1473" s="77" t="n">
        <v>0</v>
      </c>
      <c r="I1473" s="76" t="n">
        <f aca="false">IF(AND(ISNUMBER(G1473),ISNUMBER(H1473)),MAX(G1473-H1473,0),"")</f>
        <v>4</v>
      </c>
      <c r="J1473" s="78" t="n">
        <f aca="false">IF(AND(ISNUMBER(G1473),ISNUMBER(H1473)),IF(G1473&gt;0,H1473/G1473,""),"")</f>
        <v>0</v>
      </c>
      <c r="K1473" s="77"/>
      <c r="L1473" s="76" t="str">
        <f aca="false">IF(OR(G1473="",H1473=""),"Data tidak lengkap",IF(AND(G1473=0,H1473=0),IF(AND(F1473="",K1473=""),"Tidak dibuka","Tutup"),IF(H1473&gt;G1473,"Lebih kapasitas",IF(H1473=G1473,"Penuh",IF(H1473=0,IF(F1473="","Slot kosong","Belum terisi"),"Sebagian")))))</f>
        <v>Belum terisi</v>
      </c>
      <c r="M1473" s="79" t="str">
        <f aca="false">IF(L1473="Tidak dibuka","–",IF(F1473="","(tanpa age group)",F1473)&amp;"  "&amp;IF(H1473="","?",H1473)&amp;"/"&amp;IF(G1473="","?",G1473)&amp;CHAR(10)&amp;IF(K1473="","coach: –","coach: "&amp;K1473))</f>
        <v>Kids  0/4
coach: –</v>
      </c>
    </row>
    <row r="1474" customFormat="false" ht="22.35" hidden="false" customHeight="false" outlineLevel="0" collapsed="false">
      <c r="A1474" s="76" t="str">
        <f aca="false">B1474&amp;"|"&amp;C1474&amp;"|"&amp;D1474&amp;"|"&amp;E1474</f>
        <v>TMP|3|Kamis|15:45</v>
      </c>
      <c r="B1474" s="76" t="s">
        <v>67</v>
      </c>
      <c r="C1474" s="76" t="n">
        <v>3</v>
      </c>
      <c r="D1474" s="76" t="s">
        <v>93</v>
      </c>
      <c r="E1474" s="76" t="s">
        <v>105</v>
      </c>
      <c r="F1474" s="77" t="s">
        <v>210</v>
      </c>
      <c r="G1474" s="77" t="n">
        <v>4</v>
      </c>
      <c r="H1474" s="77" t="n">
        <v>0</v>
      </c>
      <c r="I1474" s="76" t="n">
        <f aca="false">IF(AND(ISNUMBER(G1474),ISNUMBER(H1474)),MAX(G1474-H1474,0),"")</f>
        <v>4</v>
      </c>
      <c r="J1474" s="78" t="n">
        <f aca="false">IF(AND(ISNUMBER(G1474),ISNUMBER(H1474)),IF(G1474&gt;0,H1474/G1474,""),"")</f>
        <v>0</v>
      </c>
      <c r="K1474" s="77"/>
      <c r="L1474" s="76" t="str">
        <f aca="false">IF(OR(G1474="",H1474=""),"Data tidak lengkap",IF(AND(G1474=0,H1474=0),IF(AND(F1474="",K1474=""),"Tidak dibuka","Tutup"),IF(H1474&gt;G1474,"Lebih kapasitas",IF(H1474=G1474,"Penuh",IF(H1474=0,IF(F1474="","Slot kosong","Belum terisi"),"Sebagian")))))</f>
        <v>Belum terisi</v>
      </c>
      <c r="M1474" s="79" t="str">
        <f aca="false">IF(L1474="Tidak dibuka","–",IF(F1474="","(tanpa age group)",F1474)&amp;"  "&amp;IF(H1474="","?",H1474)&amp;"/"&amp;IF(G1474="","?",G1474)&amp;CHAR(10)&amp;IF(K1474="","coach: –","coach: "&amp;K1474))</f>
        <v>Kids  0/4
coach: –</v>
      </c>
    </row>
    <row r="1475" customFormat="false" ht="22.35" hidden="false" customHeight="false" outlineLevel="0" collapsed="false">
      <c r="A1475" s="76" t="str">
        <f aca="false">B1475&amp;"|"&amp;C1475&amp;"|"&amp;D1475&amp;"|"&amp;E1475</f>
        <v>TMP|3|Kamis|16:30</v>
      </c>
      <c r="B1475" s="76" t="s">
        <v>67</v>
      </c>
      <c r="C1475" s="76" t="n">
        <v>3</v>
      </c>
      <c r="D1475" s="76" t="s">
        <v>93</v>
      </c>
      <c r="E1475" s="76" t="s">
        <v>106</v>
      </c>
      <c r="F1475" s="77" t="s">
        <v>210</v>
      </c>
      <c r="G1475" s="77" t="n">
        <v>4</v>
      </c>
      <c r="H1475" s="77" t="n">
        <v>0</v>
      </c>
      <c r="I1475" s="76" t="n">
        <f aca="false">IF(AND(ISNUMBER(G1475),ISNUMBER(H1475)),MAX(G1475-H1475,0),"")</f>
        <v>4</v>
      </c>
      <c r="J1475" s="78" t="n">
        <f aca="false">IF(AND(ISNUMBER(G1475),ISNUMBER(H1475)),IF(G1475&gt;0,H1475/G1475,""),"")</f>
        <v>0</v>
      </c>
      <c r="K1475" s="77"/>
      <c r="L1475" s="76" t="str">
        <f aca="false">IF(OR(G1475="",H1475=""),"Data tidak lengkap",IF(AND(G1475=0,H1475=0),IF(AND(F1475="",K1475=""),"Tidak dibuka","Tutup"),IF(H1475&gt;G1475,"Lebih kapasitas",IF(H1475=G1475,"Penuh",IF(H1475=0,IF(F1475="","Slot kosong","Belum terisi"),"Sebagian")))))</f>
        <v>Belum terisi</v>
      </c>
      <c r="M1475" s="79" t="str">
        <f aca="false">IF(L1475="Tidak dibuka","–",IF(F1475="","(tanpa age group)",F1475)&amp;"  "&amp;IF(H1475="","?",H1475)&amp;"/"&amp;IF(G1475="","?",G1475)&amp;CHAR(10)&amp;IF(K1475="","coach: –","coach: "&amp;K1475))</f>
        <v>Kids  0/4
coach: –</v>
      </c>
    </row>
    <row r="1476" customFormat="false" ht="22.35" hidden="false" customHeight="false" outlineLevel="0" collapsed="false">
      <c r="A1476" s="76" t="str">
        <f aca="false">B1476&amp;"|"&amp;C1476&amp;"|"&amp;D1476&amp;"|"&amp;E1476</f>
        <v>TMP|3|Kamis|17:15</v>
      </c>
      <c r="B1476" s="76" t="s">
        <v>67</v>
      </c>
      <c r="C1476" s="76" t="n">
        <v>3</v>
      </c>
      <c r="D1476" s="76" t="s">
        <v>93</v>
      </c>
      <c r="E1476" s="76" t="s">
        <v>107</v>
      </c>
      <c r="F1476" s="77" t="s">
        <v>210</v>
      </c>
      <c r="G1476" s="77" t="n">
        <v>4</v>
      </c>
      <c r="H1476" s="77" t="n">
        <v>2</v>
      </c>
      <c r="I1476" s="76" t="n">
        <f aca="false">IF(AND(ISNUMBER(G1476),ISNUMBER(H1476)),MAX(G1476-H1476,0),"")</f>
        <v>2</v>
      </c>
      <c r="J1476" s="78" t="n">
        <f aca="false">IF(AND(ISNUMBER(G1476),ISNUMBER(H1476)),IF(G1476&gt;0,H1476/G1476,""),"")</f>
        <v>0.5</v>
      </c>
      <c r="K1476" s="77" t="s">
        <v>374</v>
      </c>
      <c r="L1476" s="76" t="str">
        <f aca="false">IF(OR(G1476="",H1476=""),"Data tidak lengkap",IF(AND(G1476=0,H1476=0),IF(AND(F1476="",K1476=""),"Tidak dibuka","Tutup"),IF(H1476&gt;G1476,"Lebih kapasitas",IF(H1476=G1476,"Penuh",IF(H1476=0,IF(F1476="","Slot kosong","Belum terisi"),"Sebagian")))))</f>
        <v>Sebagian</v>
      </c>
      <c r="M1476" s="79" t="str">
        <f aca="false">IF(L1476="Tidak dibuka","–",IF(F1476="","(tanpa age group)",F1476)&amp;"  "&amp;IF(H1476="","?",H1476)&amp;"/"&amp;IF(G1476="","?",G1476)&amp;CHAR(10)&amp;IF(K1476="","coach: –","coach: "&amp;K1476))</f>
        <v>Kids  2/4
coach: Adam</v>
      </c>
    </row>
    <row r="1477" customFormat="false" ht="22.35" hidden="false" customHeight="false" outlineLevel="0" collapsed="false">
      <c r="A1477" s="76" t="str">
        <f aca="false">B1477&amp;"|"&amp;C1477&amp;"|"&amp;D1477&amp;"|"&amp;E1477</f>
        <v>TMP|3|Jumat|08:15</v>
      </c>
      <c r="B1477" s="76" t="s">
        <v>67</v>
      </c>
      <c r="C1477" s="76" t="n">
        <v>3</v>
      </c>
      <c r="D1477" s="76" t="s">
        <v>94</v>
      </c>
      <c r="E1477" s="76" t="s">
        <v>96</v>
      </c>
      <c r="F1477" s="77" t="s">
        <v>210</v>
      </c>
      <c r="G1477" s="77" t="n">
        <v>4</v>
      </c>
      <c r="H1477" s="77" t="n">
        <v>0</v>
      </c>
      <c r="I1477" s="76" t="n">
        <f aca="false">IF(AND(ISNUMBER(G1477),ISNUMBER(H1477)),MAX(G1477-H1477,0),"")</f>
        <v>4</v>
      </c>
      <c r="J1477" s="78" t="n">
        <f aca="false">IF(AND(ISNUMBER(G1477),ISNUMBER(H1477)),IF(G1477&gt;0,H1477/G1477,""),"")</f>
        <v>0</v>
      </c>
      <c r="K1477" s="77"/>
      <c r="L1477" s="76" t="str">
        <f aca="false">IF(OR(G1477="",H1477=""),"Data tidak lengkap",IF(AND(G1477=0,H1477=0),IF(AND(F1477="",K1477=""),"Tidak dibuka","Tutup"),IF(H1477&gt;G1477,"Lebih kapasitas",IF(H1477=G1477,"Penuh",IF(H1477=0,IF(F1477="","Slot kosong","Belum terisi"),"Sebagian")))))</f>
        <v>Belum terisi</v>
      </c>
      <c r="M1477" s="79" t="str">
        <f aca="false">IF(L1477="Tidak dibuka","–",IF(F1477="","(tanpa age group)",F1477)&amp;"  "&amp;IF(H1477="","?",H1477)&amp;"/"&amp;IF(G1477="","?",G1477)&amp;CHAR(10)&amp;IF(K1477="","coach: –","coach: "&amp;K1477))</f>
        <v>Kids  0/4
coach: –</v>
      </c>
    </row>
    <row r="1478" customFormat="false" ht="22.35" hidden="false" customHeight="false" outlineLevel="0" collapsed="false">
      <c r="A1478" s="76" t="str">
        <f aca="false">B1478&amp;"|"&amp;C1478&amp;"|"&amp;D1478&amp;"|"&amp;E1478</f>
        <v>TMP|3|Jumat|09:00</v>
      </c>
      <c r="B1478" s="76" t="s">
        <v>67</v>
      </c>
      <c r="C1478" s="76" t="n">
        <v>3</v>
      </c>
      <c r="D1478" s="76" t="s">
        <v>94</v>
      </c>
      <c r="E1478" s="76" t="s">
        <v>97</v>
      </c>
      <c r="F1478" s="77" t="s">
        <v>210</v>
      </c>
      <c r="G1478" s="77" t="n">
        <v>4</v>
      </c>
      <c r="H1478" s="77" t="n">
        <v>0</v>
      </c>
      <c r="I1478" s="76" t="n">
        <f aca="false">IF(AND(ISNUMBER(G1478),ISNUMBER(H1478)),MAX(G1478-H1478,0),"")</f>
        <v>4</v>
      </c>
      <c r="J1478" s="78" t="n">
        <f aca="false">IF(AND(ISNUMBER(G1478),ISNUMBER(H1478)),IF(G1478&gt;0,H1478/G1478,""),"")</f>
        <v>0</v>
      </c>
      <c r="K1478" s="77"/>
      <c r="L1478" s="76" t="str">
        <f aca="false">IF(OR(G1478="",H1478=""),"Data tidak lengkap",IF(AND(G1478=0,H1478=0),IF(AND(F1478="",K1478=""),"Tidak dibuka","Tutup"),IF(H1478&gt;G1478,"Lebih kapasitas",IF(H1478=G1478,"Penuh",IF(H1478=0,IF(F1478="","Slot kosong","Belum terisi"),"Sebagian")))))</f>
        <v>Belum terisi</v>
      </c>
      <c r="M1478" s="79" t="str">
        <f aca="false">IF(L1478="Tidak dibuka","–",IF(F1478="","(tanpa age group)",F1478)&amp;"  "&amp;IF(H1478="","?",H1478)&amp;"/"&amp;IF(G1478="","?",G1478)&amp;CHAR(10)&amp;IF(K1478="","coach: –","coach: "&amp;K1478))</f>
        <v>Kids  0/4
coach: –</v>
      </c>
    </row>
    <row r="1479" customFormat="false" ht="22.35" hidden="false" customHeight="false" outlineLevel="0" collapsed="false">
      <c r="A1479" s="76" t="str">
        <f aca="false">B1479&amp;"|"&amp;C1479&amp;"|"&amp;D1479&amp;"|"&amp;E1479</f>
        <v>TMP|3|Jumat|09:45</v>
      </c>
      <c r="B1479" s="76" t="s">
        <v>67</v>
      </c>
      <c r="C1479" s="76" t="n">
        <v>3</v>
      </c>
      <c r="D1479" s="76" t="s">
        <v>94</v>
      </c>
      <c r="E1479" s="76" t="s">
        <v>98</v>
      </c>
      <c r="F1479" s="77" t="s">
        <v>210</v>
      </c>
      <c r="G1479" s="77" t="n">
        <v>4</v>
      </c>
      <c r="H1479" s="77" t="n">
        <v>0</v>
      </c>
      <c r="I1479" s="76" t="n">
        <f aca="false">IF(AND(ISNUMBER(G1479),ISNUMBER(H1479)),MAX(G1479-H1479,0),"")</f>
        <v>4</v>
      </c>
      <c r="J1479" s="78" t="n">
        <f aca="false">IF(AND(ISNUMBER(G1479),ISNUMBER(H1479)),IF(G1479&gt;0,H1479/G1479,""),"")</f>
        <v>0</v>
      </c>
      <c r="K1479" s="77"/>
      <c r="L1479" s="76" t="str">
        <f aca="false">IF(OR(G1479="",H1479=""),"Data tidak lengkap",IF(AND(G1479=0,H1479=0),IF(AND(F1479="",K1479=""),"Tidak dibuka","Tutup"),IF(H1479&gt;G1479,"Lebih kapasitas",IF(H1479=G1479,"Penuh",IF(H1479=0,IF(F1479="","Slot kosong","Belum terisi"),"Sebagian")))))</f>
        <v>Belum terisi</v>
      </c>
      <c r="M1479" s="79" t="str">
        <f aca="false">IF(L1479="Tidak dibuka","–",IF(F1479="","(tanpa age group)",F1479)&amp;"  "&amp;IF(H1479="","?",H1479)&amp;"/"&amp;IF(G1479="","?",G1479)&amp;CHAR(10)&amp;IF(K1479="","coach: –","coach: "&amp;K1479))</f>
        <v>Kids  0/4
coach: –</v>
      </c>
    </row>
    <row r="1480" customFormat="false" ht="22.35" hidden="false" customHeight="false" outlineLevel="0" collapsed="false">
      <c r="A1480" s="76" t="str">
        <f aca="false">B1480&amp;"|"&amp;C1480&amp;"|"&amp;D1480&amp;"|"&amp;E1480</f>
        <v>TMP|3|Jumat|10:30</v>
      </c>
      <c r="B1480" s="76" t="s">
        <v>67</v>
      </c>
      <c r="C1480" s="76" t="n">
        <v>3</v>
      </c>
      <c r="D1480" s="76" t="s">
        <v>94</v>
      </c>
      <c r="E1480" s="76" t="s">
        <v>99</v>
      </c>
      <c r="F1480" s="77" t="s">
        <v>210</v>
      </c>
      <c r="G1480" s="77" t="n">
        <v>4</v>
      </c>
      <c r="H1480" s="77" t="n">
        <v>0</v>
      </c>
      <c r="I1480" s="76" t="n">
        <f aca="false">IF(AND(ISNUMBER(G1480),ISNUMBER(H1480)),MAX(G1480-H1480,0),"")</f>
        <v>4</v>
      </c>
      <c r="J1480" s="78" t="n">
        <f aca="false">IF(AND(ISNUMBER(G1480),ISNUMBER(H1480)),IF(G1480&gt;0,H1480/G1480,""),"")</f>
        <v>0</v>
      </c>
      <c r="K1480" s="77"/>
      <c r="L1480" s="76" t="str">
        <f aca="false">IF(OR(G1480="",H1480=""),"Data tidak lengkap",IF(AND(G1480=0,H1480=0),IF(AND(F1480="",K1480=""),"Tidak dibuka","Tutup"),IF(H1480&gt;G1480,"Lebih kapasitas",IF(H1480=G1480,"Penuh",IF(H1480=0,IF(F1480="","Slot kosong","Belum terisi"),"Sebagian")))))</f>
        <v>Belum terisi</v>
      </c>
      <c r="M1480" s="79" t="str">
        <f aca="false">IF(L1480="Tidak dibuka","–",IF(F1480="","(tanpa age group)",F1480)&amp;"  "&amp;IF(H1480="","?",H1480)&amp;"/"&amp;IF(G1480="","?",G1480)&amp;CHAR(10)&amp;IF(K1480="","coach: –","coach: "&amp;K1480))</f>
        <v>Kids  0/4
coach: –</v>
      </c>
    </row>
    <row r="1481" customFormat="false" ht="22.35" hidden="false" customHeight="false" outlineLevel="0" collapsed="false">
      <c r="A1481" s="76" t="str">
        <f aca="false">B1481&amp;"|"&amp;C1481&amp;"|"&amp;D1481&amp;"|"&amp;E1481</f>
        <v>TMP|3|Jumat|11:15</v>
      </c>
      <c r="B1481" s="76" t="s">
        <v>67</v>
      </c>
      <c r="C1481" s="76" t="n">
        <v>3</v>
      </c>
      <c r="D1481" s="76" t="s">
        <v>94</v>
      </c>
      <c r="E1481" s="76" t="s">
        <v>100</v>
      </c>
      <c r="F1481" s="77" t="s">
        <v>210</v>
      </c>
      <c r="G1481" s="77" t="n">
        <v>4</v>
      </c>
      <c r="H1481" s="77" t="n">
        <v>0</v>
      </c>
      <c r="I1481" s="76" t="n">
        <f aca="false">IF(AND(ISNUMBER(G1481),ISNUMBER(H1481)),MAX(G1481-H1481,0),"")</f>
        <v>4</v>
      </c>
      <c r="J1481" s="78" t="n">
        <f aca="false">IF(AND(ISNUMBER(G1481),ISNUMBER(H1481)),IF(G1481&gt;0,H1481/G1481,""),"")</f>
        <v>0</v>
      </c>
      <c r="K1481" s="77"/>
      <c r="L1481" s="76" t="str">
        <f aca="false">IF(OR(G1481="",H1481=""),"Data tidak lengkap",IF(AND(G1481=0,H1481=0),IF(AND(F1481="",K1481=""),"Tidak dibuka","Tutup"),IF(H1481&gt;G1481,"Lebih kapasitas",IF(H1481=G1481,"Penuh",IF(H1481=0,IF(F1481="","Slot kosong","Belum terisi"),"Sebagian")))))</f>
        <v>Belum terisi</v>
      </c>
      <c r="M1481" s="79" t="str">
        <f aca="false">IF(L1481="Tidak dibuka","–",IF(F1481="","(tanpa age group)",F1481)&amp;"  "&amp;IF(H1481="","?",H1481)&amp;"/"&amp;IF(G1481="","?",G1481)&amp;CHAR(10)&amp;IF(K1481="","coach: –","coach: "&amp;K1481))</f>
        <v>Kids  0/4
coach: –</v>
      </c>
    </row>
    <row r="1482" customFormat="false" ht="22.35" hidden="false" customHeight="false" outlineLevel="0" collapsed="false">
      <c r="A1482" s="76" t="str">
        <f aca="false">B1482&amp;"|"&amp;C1482&amp;"|"&amp;D1482&amp;"|"&amp;E1482</f>
        <v>TMP|3|Jumat|12:00</v>
      </c>
      <c r="B1482" s="76" t="s">
        <v>67</v>
      </c>
      <c r="C1482" s="76" t="n">
        <v>3</v>
      </c>
      <c r="D1482" s="76" t="s">
        <v>94</v>
      </c>
      <c r="E1482" s="76" t="s">
        <v>101</v>
      </c>
      <c r="F1482" s="77" t="s">
        <v>210</v>
      </c>
      <c r="G1482" s="77" t="n">
        <v>4</v>
      </c>
      <c r="H1482" s="77" t="n">
        <v>0</v>
      </c>
      <c r="I1482" s="76" t="n">
        <f aca="false">IF(AND(ISNUMBER(G1482),ISNUMBER(H1482)),MAX(G1482-H1482,0),"")</f>
        <v>4</v>
      </c>
      <c r="J1482" s="78" t="n">
        <f aca="false">IF(AND(ISNUMBER(G1482),ISNUMBER(H1482)),IF(G1482&gt;0,H1482/G1482,""),"")</f>
        <v>0</v>
      </c>
      <c r="K1482" s="77"/>
      <c r="L1482" s="76" t="str">
        <f aca="false">IF(OR(G1482="",H1482=""),"Data tidak lengkap",IF(AND(G1482=0,H1482=0),IF(AND(F1482="",K1482=""),"Tidak dibuka","Tutup"),IF(H1482&gt;G1482,"Lebih kapasitas",IF(H1482=G1482,"Penuh",IF(H1482=0,IF(F1482="","Slot kosong","Belum terisi"),"Sebagian")))))</f>
        <v>Belum terisi</v>
      </c>
      <c r="M1482" s="79" t="str">
        <f aca="false">IF(L1482="Tidak dibuka","–",IF(F1482="","(tanpa age group)",F1482)&amp;"  "&amp;IF(H1482="","?",H1482)&amp;"/"&amp;IF(G1482="","?",G1482)&amp;CHAR(10)&amp;IF(K1482="","coach: –","coach: "&amp;K1482))</f>
        <v>Kids  0/4
coach: –</v>
      </c>
    </row>
    <row r="1483" customFormat="false" ht="22.35" hidden="false" customHeight="false" outlineLevel="0" collapsed="false">
      <c r="A1483" s="76" t="str">
        <f aca="false">B1483&amp;"|"&amp;C1483&amp;"|"&amp;D1483&amp;"|"&amp;E1483</f>
        <v>TMP|3|Jumat|13:30</v>
      </c>
      <c r="B1483" s="76" t="s">
        <v>67</v>
      </c>
      <c r="C1483" s="76" t="n">
        <v>3</v>
      </c>
      <c r="D1483" s="76" t="s">
        <v>94</v>
      </c>
      <c r="E1483" s="76" t="s">
        <v>102</v>
      </c>
      <c r="F1483" s="77" t="s">
        <v>210</v>
      </c>
      <c r="G1483" s="77" t="n">
        <v>4</v>
      </c>
      <c r="H1483" s="77" t="n">
        <v>0</v>
      </c>
      <c r="I1483" s="76" t="n">
        <f aca="false">IF(AND(ISNUMBER(G1483),ISNUMBER(H1483)),MAX(G1483-H1483,0),"")</f>
        <v>4</v>
      </c>
      <c r="J1483" s="78" t="n">
        <f aca="false">IF(AND(ISNUMBER(G1483),ISNUMBER(H1483)),IF(G1483&gt;0,H1483/G1483,""),"")</f>
        <v>0</v>
      </c>
      <c r="K1483" s="77"/>
      <c r="L1483" s="76" t="str">
        <f aca="false">IF(OR(G1483="",H1483=""),"Data tidak lengkap",IF(AND(G1483=0,H1483=0),IF(AND(F1483="",K1483=""),"Tidak dibuka","Tutup"),IF(H1483&gt;G1483,"Lebih kapasitas",IF(H1483=G1483,"Penuh",IF(H1483=0,IF(F1483="","Slot kosong","Belum terisi"),"Sebagian")))))</f>
        <v>Belum terisi</v>
      </c>
      <c r="M1483" s="79" t="str">
        <f aca="false">IF(L1483="Tidak dibuka","–",IF(F1483="","(tanpa age group)",F1483)&amp;"  "&amp;IF(H1483="","?",H1483)&amp;"/"&amp;IF(G1483="","?",G1483)&amp;CHAR(10)&amp;IF(K1483="","coach: –","coach: "&amp;K1483))</f>
        <v>Kids  0/4
coach: –</v>
      </c>
    </row>
    <row r="1484" customFormat="false" ht="22.35" hidden="false" customHeight="false" outlineLevel="0" collapsed="false">
      <c r="A1484" s="76" t="str">
        <f aca="false">B1484&amp;"|"&amp;C1484&amp;"|"&amp;D1484&amp;"|"&amp;E1484</f>
        <v>TMP|3|Jumat|14:15</v>
      </c>
      <c r="B1484" s="76" t="s">
        <v>67</v>
      </c>
      <c r="C1484" s="76" t="n">
        <v>3</v>
      </c>
      <c r="D1484" s="76" t="s">
        <v>94</v>
      </c>
      <c r="E1484" s="76" t="s">
        <v>103</v>
      </c>
      <c r="F1484" s="77" t="s">
        <v>210</v>
      </c>
      <c r="G1484" s="77" t="n">
        <v>4</v>
      </c>
      <c r="H1484" s="77" t="n">
        <v>0</v>
      </c>
      <c r="I1484" s="76" t="n">
        <f aca="false">IF(AND(ISNUMBER(G1484),ISNUMBER(H1484)),MAX(G1484-H1484,0),"")</f>
        <v>4</v>
      </c>
      <c r="J1484" s="78" t="n">
        <f aca="false">IF(AND(ISNUMBER(G1484),ISNUMBER(H1484)),IF(G1484&gt;0,H1484/G1484,""),"")</f>
        <v>0</v>
      </c>
      <c r="K1484" s="77"/>
      <c r="L1484" s="76" t="str">
        <f aca="false">IF(OR(G1484="",H1484=""),"Data tidak lengkap",IF(AND(G1484=0,H1484=0),IF(AND(F1484="",K1484=""),"Tidak dibuka","Tutup"),IF(H1484&gt;G1484,"Lebih kapasitas",IF(H1484=G1484,"Penuh",IF(H1484=0,IF(F1484="","Slot kosong","Belum terisi"),"Sebagian")))))</f>
        <v>Belum terisi</v>
      </c>
      <c r="M1484" s="79" t="str">
        <f aca="false">IF(L1484="Tidak dibuka","–",IF(F1484="","(tanpa age group)",F1484)&amp;"  "&amp;IF(H1484="","?",H1484)&amp;"/"&amp;IF(G1484="","?",G1484)&amp;CHAR(10)&amp;IF(K1484="","coach: –","coach: "&amp;K1484))</f>
        <v>Kids  0/4
coach: –</v>
      </c>
    </row>
    <row r="1485" customFormat="false" ht="22.35" hidden="false" customHeight="false" outlineLevel="0" collapsed="false">
      <c r="A1485" s="76" t="str">
        <f aca="false">B1485&amp;"|"&amp;C1485&amp;"|"&amp;D1485&amp;"|"&amp;E1485</f>
        <v>TMP|3|Jumat|15:00</v>
      </c>
      <c r="B1485" s="76" t="s">
        <v>67</v>
      </c>
      <c r="C1485" s="76" t="n">
        <v>3</v>
      </c>
      <c r="D1485" s="76" t="s">
        <v>94</v>
      </c>
      <c r="E1485" s="76" t="s">
        <v>104</v>
      </c>
      <c r="F1485" s="77" t="s">
        <v>210</v>
      </c>
      <c r="G1485" s="77" t="n">
        <v>4</v>
      </c>
      <c r="H1485" s="77" t="n">
        <v>0</v>
      </c>
      <c r="I1485" s="76" t="n">
        <f aca="false">IF(AND(ISNUMBER(G1485),ISNUMBER(H1485)),MAX(G1485-H1485,0),"")</f>
        <v>4</v>
      </c>
      <c r="J1485" s="78" t="n">
        <f aca="false">IF(AND(ISNUMBER(G1485),ISNUMBER(H1485)),IF(G1485&gt;0,H1485/G1485,""),"")</f>
        <v>0</v>
      </c>
      <c r="K1485" s="77"/>
      <c r="L1485" s="76" t="str">
        <f aca="false">IF(OR(G1485="",H1485=""),"Data tidak lengkap",IF(AND(G1485=0,H1485=0),IF(AND(F1485="",K1485=""),"Tidak dibuka","Tutup"),IF(H1485&gt;G1485,"Lebih kapasitas",IF(H1485=G1485,"Penuh",IF(H1485=0,IF(F1485="","Slot kosong","Belum terisi"),"Sebagian")))))</f>
        <v>Belum terisi</v>
      </c>
      <c r="M1485" s="79" t="str">
        <f aca="false">IF(L1485="Tidak dibuka","–",IF(F1485="","(tanpa age group)",F1485)&amp;"  "&amp;IF(H1485="","?",H1485)&amp;"/"&amp;IF(G1485="","?",G1485)&amp;CHAR(10)&amp;IF(K1485="","coach: –","coach: "&amp;K1485))</f>
        <v>Kids  0/4
coach: –</v>
      </c>
    </row>
    <row r="1486" customFormat="false" ht="22.35" hidden="false" customHeight="false" outlineLevel="0" collapsed="false">
      <c r="A1486" s="76" t="str">
        <f aca="false">B1486&amp;"|"&amp;C1486&amp;"|"&amp;D1486&amp;"|"&amp;E1486</f>
        <v>TMP|3|Jumat|15:45</v>
      </c>
      <c r="B1486" s="76" t="s">
        <v>67</v>
      </c>
      <c r="C1486" s="76" t="n">
        <v>3</v>
      </c>
      <c r="D1486" s="76" t="s">
        <v>94</v>
      </c>
      <c r="E1486" s="76" t="s">
        <v>105</v>
      </c>
      <c r="F1486" s="77" t="s">
        <v>210</v>
      </c>
      <c r="G1486" s="77" t="n">
        <v>4</v>
      </c>
      <c r="H1486" s="77" t="n">
        <v>0</v>
      </c>
      <c r="I1486" s="76" t="n">
        <f aca="false">IF(AND(ISNUMBER(G1486),ISNUMBER(H1486)),MAX(G1486-H1486,0),"")</f>
        <v>4</v>
      </c>
      <c r="J1486" s="78" t="n">
        <f aca="false">IF(AND(ISNUMBER(G1486),ISNUMBER(H1486)),IF(G1486&gt;0,H1486/G1486,""),"")</f>
        <v>0</v>
      </c>
      <c r="K1486" s="77"/>
      <c r="L1486" s="76" t="str">
        <f aca="false">IF(OR(G1486="",H1486=""),"Data tidak lengkap",IF(AND(G1486=0,H1486=0),IF(AND(F1486="",K1486=""),"Tidak dibuka","Tutup"),IF(H1486&gt;G1486,"Lebih kapasitas",IF(H1486=G1486,"Penuh",IF(H1486=0,IF(F1486="","Slot kosong","Belum terisi"),"Sebagian")))))</f>
        <v>Belum terisi</v>
      </c>
      <c r="M1486" s="79" t="str">
        <f aca="false">IF(L1486="Tidak dibuka","–",IF(F1486="","(tanpa age group)",F1486)&amp;"  "&amp;IF(H1486="","?",H1486)&amp;"/"&amp;IF(G1486="","?",G1486)&amp;CHAR(10)&amp;IF(K1486="","coach: –","coach: "&amp;K1486))</f>
        <v>Kids  0/4
coach: –</v>
      </c>
    </row>
    <row r="1487" customFormat="false" ht="22.35" hidden="false" customHeight="false" outlineLevel="0" collapsed="false">
      <c r="A1487" s="76" t="str">
        <f aca="false">B1487&amp;"|"&amp;C1487&amp;"|"&amp;D1487&amp;"|"&amp;E1487</f>
        <v>TMP|3|Jumat|16:30</v>
      </c>
      <c r="B1487" s="76" t="s">
        <v>67</v>
      </c>
      <c r="C1487" s="76" t="n">
        <v>3</v>
      </c>
      <c r="D1487" s="76" t="s">
        <v>94</v>
      </c>
      <c r="E1487" s="76" t="s">
        <v>106</v>
      </c>
      <c r="F1487" s="77" t="s">
        <v>210</v>
      </c>
      <c r="G1487" s="77" t="n">
        <v>4</v>
      </c>
      <c r="H1487" s="77" t="n">
        <v>3</v>
      </c>
      <c r="I1487" s="76" t="n">
        <f aca="false">IF(AND(ISNUMBER(G1487),ISNUMBER(H1487)),MAX(G1487-H1487,0),"")</f>
        <v>1</v>
      </c>
      <c r="J1487" s="78" t="n">
        <f aca="false">IF(AND(ISNUMBER(G1487),ISNUMBER(H1487)),IF(G1487&gt;0,H1487/G1487,""),"")</f>
        <v>0.75</v>
      </c>
      <c r="K1487" s="77" t="s">
        <v>374</v>
      </c>
      <c r="L1487" s="76" t="str">
        <f aca="false">IF(OR(G1487="",H1487=""),"Data tidak lengkap",IF(AND(G1487=0,H1487=0),IF(AND(F1487="",K1487=""),"Tidak dibuka","Tutup"),IF(H1487&gt;G1487,"Lebih kapasitas",IF(H1487=G1487,"Penuh",IF(H1487=0,IF(F1487="","Slot kosong","Belum terisi"),"Sebagian")))))</f>
        <v>Sebagian</v>
      </c>
      <c r="M1487" s="79" t="str">
        <f aca="false">IF(L1487="Tidak dibuka","–",IF(F1487="","(tanpa age group)",F1487)&amp;"  "&amp;IF(H1487="","?",H1487)&amp;"/"&amp;IF(G1487="","?",G1487)&amp;CHAR(10)&amp;IF(K1487="","coach: –","coach: "&amp;K1487))</f>
        <v>Kids  3/4
coach: Adam</v>
      </c>
    </row>
    <row r="1488" customFormat="false" ht="22.35" hidden="false" customHeight="false" outlineLevel="0" collapsed="false">
      <c r="A1488" s="76" t="str">
        <f aca="false">B1488&amp;"|"&amp;C1488&amp;"|"&amp;D1488&amp;"|"&amp;E1488</f>
        <v>TMP|3|Jumat|17:15</v>
      </c>
      <c r="B1488" s="76" t="s">
        <v>67</v>
      </c>
      <c r="C1488" s="76" t="n">
        <v>3</v>
      </c>
      <c r="D1488" s="76" t="s">
        <v>94</v>
      </c>
      <c r="E1488" s="76" t="s">
        <v>107</v>
      </c>
      <c r="F1488" s="77" t="s">
        <v>210</v>
      </c>
      <c r="G1488" s="77" t="n">
        <v>4</v>
      </c>
      <c r="H1488" s="77" t="n">
        <v>1</v>
      </c>
      <c r="I1488" s="76" t="n">
        <f aca="false">IF(AND(ISNUMBER(G1488),ISNUMBER(H1488)),MAX(G1488-H1488,0),"")</f>
        <v>3</v>
      </c>
      <c r="J1488" s="78" t="n">
        <f aca="false">IF(AND(ISNUMBER(G1488),ISNUMBER(H1488)),IF(G1488&gt;0,H1488/G1488,""),"")</f>
        <v>0.25</v>
      </c>
      <c r="K1488" s="77" t="s">
        <v>376</v>
      </c>
      <c r="L1488" s="76" t="str">
        <f aca="false">IF(OR(G1488="",H1488=""),"Data tidak lengkap",IF(AND(G1488=0,H1488=0),IF(AND(F1488="",K1488=""),"Tidak dibuka","Tutup"),IF(H1488&gt;G1488,"Lebih kapasitas",IF(H1488=G1488,"Penuh",IF(H1488=0,IF(F1488="","Slot kosong","Belum terisi"),"Sebagian")))))</f>
        <v>Sebagian</v>
      </c>
      <c r="M1488" s="79" t="str">
        <f aca="false">IF(L1488="Tidak dibuka","–",IF(F1488="","(tanpa age group)",F1488)&amp;"  "&amp;IF(H1488="","?",H1488)&amp;"/"&amp;IF(G1488="","?",G1488)&amp;CHAR(10)&amp;IF(K1488="","coach: –","coach: "&amp;K1488))</f>
        <v>Kids  1/4
coach: Irvan</v>
      </c>
    </row>
    <row r="1489" customFormat="false" ht="22.35" hidden="false" customHeight="false" outlineLevel="0" collapsed="false">
      <c r="A1489" s="76" t="str">
        <f aca="false">B1489&amp;"|"&amp;C1489&amp;"|"&amp;D1489&amp;"|"&amp;E1489</f>
        <v>TMP|3|Sabtu|08:15</v>
      </c>
      <c r="B1489" s="76" t="s">
        <v>67</v>
      </c>
      <c r="C1489" s="76" t="n">
        <v>3</v>
      </c>
      <c r="D1489" s="76" t="s">
        <v>95</v>
      </c>
      <c r="E1489" s="76" t="s">
        <v>96</v>
      </c>
      <c r="F1489" s="77" t="s">
        <v>210</v>
      </c>
      <c r="G1489" s="77" t="n">
        <v>4</v>
      </c>
      <c r="H1489" s="77" t="n">
        <v>0</v>
      </c>
      <c r="I1489" s="76" t="n">
        <f aca="false">IF(AND(ISNUMBER(G1489),ISNUMBER(H1489)),MAX(G1489-H1489,0),"")</f>
        <v>4</v>
      </c>
      <c r="J1489" s="78" t="n">
        <f aca="false">IF(AND(ISNUMBER(G1489),ISNUMBER(H1489)),IF(G1489&gt;0,H1489/G1489,""),"")</f>
        <v>0</v>
      </c>
      <c r="K1489" s="77"/>
      <c r="L1489" s="76" t="str">
        <f aca="false">IF(OR(G1489="",H1489=""),"Data tidak lengkap",IF(AND(G1489=0,H1489=0),IF(AND(F1489="",K1489=""),"Tidak dibuka","Tutup"),IF(H1489&gt;G1489,"Lebih kapasitas",IF(H1489=G1489,"Penuh",IF(H1489=0,IF(F1489="","Slot kosong","Belum terisi"),"Sebagian")))))</f>
        <v>Belum terisi</v>
      </c>
      <c r="M1489" s="79" t="str">
        <f aca="false">IF(L1489="Tidak dibuka","–",IF(F1489="","(tanpa age group)",F1489)&amp;"  "&amp;IF(H1489="","?",H1489)&amp;"/"&amp;IF(G1489="","?",G1489)&amp;CHAR(10)&amp;IF(K1489="","coach: –","coach: "&amp;K1489))</f>
        <v>Kids  0/4
coach: –</v>
      </c>
    </row>
    <row r="1490" customFormat="false" ht="22.35" hidden="false" customHeight="false" outlineLevel="0" collapsed="false">
      <c r="A1490" s="76" t="str">
        <f aca="false">B1490&amp;"|"&amp;C1490&amp;"|"&amp;D1490&amp;"|"&amp;E1490</f>
        <v>TMP|3|Sabtu|09:00</v>
      </c>
      <c r="B1490" s="76" t="s">
        <v>67</v>
      </c>
      <c r="C1490" s="76" t="n">
        <v>3</v>
      </c>
      <c r="D1490" s="76" t="s">
        <v>95</v>
      </c>
      <c r="E1490" s="76" t="s">
        <v>97</v>
      </c>
      <c r="F1490" s="77" t="s">
        <v>210</v>
      </c>
      <c r="G1490" s="77" t="n">
        <v>4</v>
      </c>
      <c r="H1490" s="77" t="n">
        <v>1</v>
      </c>
      <c r="I1490" s="76" t="n">
        <f aca="false">IF(AND(ISNUMBER(G1490),ISNUMBER(H1490)),MAX(G1490-H1490,0),"")</f>
        <v>3</v>
      </c>
      <c r="J1490" s="78" t="n">
        <f aca="false">IF(AND(ISNUMBER(G1490),ISNUMBER(H1490)),IF(G1490&gt;0,H1490/G1490,""),"")</f>
        <v>0.25</v>
      </c>
      <c r="K1490" s="77" t="s">
        <v>375</v>
      </c>
      <c r="L1490" s="76" t="str">
        <f aca="false">IF(OR(G1490="",H1490=""),"Data tidak lengkap",IF(AND(G1490=0,H1490=0),IF(AND(F1490="",K1490=""),"Tidak dibuka","Tutup"),IF(H1490&gt;G1490,"Lebih kapasitas",IF(H1490=G1490,"Penuh",IF(H1490=0,IF(F1490="","Slot kosong","Belum terisi"),"Sebagian")))))</f>
        <v>Sebagian</v>
      </c>
      <c r="M1490" s="79" t="str">
        <f aca="false">IF(L1490="Tidak dibuka","–",IF(F1490="","(tanpa age group)",F1490)&amp;"  "&amp;IF(H1490="","?",H1490)&amp;"/"&amp;IF(G1490="","?",G1490)&amp;CHAR(10)&amp;IF(K1490="","coach: –","coach: "&amp;K1490))</f>
        <v>Kids  1/4
coach: Iqbal</v>
      </c>
    </row>
    <row r="1491" customFormat="false" ht="22.35" hidden="false" customHeight="false" outlineLevel="0" collapsed="false">
      <c r="A1491" s="76" t="str">
        <f aca="false">B1491&amp;"|"&amp;C1491&amp;"|"&amp;D1491&amp;"|"&amp;E1491</f>
        <v>TMP|3|Sabtu|09:45</v>
      </c>
      <c r="B1491" s="76" t="s">
        <v>67</v>
      </c>
      <c r="C1491" s="76" t="n">
        <v>3</v>
      </c>
      <c r="D1491" s="76" t="s">
        <v>95</v>
      </c>
      <c r="E1491" s="76" t="s">
        <v>98</v>
      </c>
      <c r="F1491" s="77" t="s">
        <v>210</v>
      </c>
      <c r="G1491" s="77" t="n">
        <v>4</v>
      </c>
      <c r="H1491" s="77" t="n">
        <v>0</v>
      </c>
      <c r="I1491" s="76" t="n">
        <f aca="false">IF(AND(ISNUMBER(G1491),ISNUMBER(H1491)),MAX(G1491-H1491,0),"")</f>
        <v>4</v>
      </c>
      <c r="J1491" s="78" t="n">
        <f aca="false">IF(AND(ISNUMBER(G1491),ISNUMBER(H1491)),IF(G1491&gt;0,H1491/G1491,""),"")</f>
        <v>0</v>
      </c>
      <c r="K1491" s="77"/>
      <c r="L1491" s="76" t="str">
        <f aca="false">IF(OR(G1491="",H1491=""),"Data tidak lengkap",IF(AND(G1491=0,H1491=0),IF(AND(F1491="",K1491=""),"Tidak dibuka","Tutup"),IF(H1491&gt;G1491,"Lebih kapasitas",IF(H1491=G1491,"Penuh",IF(H1491=0,IF(F1491="","Slot kosong","Belum terisi"),"Sebagian")))))</f>
        <v>Belum terisi</v>
      </c>
      <c r="M1491" s="79" t="str">
        <f aca="false">IF(L1491="Tidak dibuka","–",IF(F1491="","(tanpa age group)",F1491)&amp;"  "&amp;IF(H1491="","?",H1491)&amp;"/"&amp;IF(G1491="","?",G1491)&amp;CHAR(10)&amp;IF(K1491="","coach: –","coach: "&amp;K1491))</f>
        <v>Kids  0/4
coach: –</v>
      </c>
    </row>
    <row r="1492" customFormat="false" ht="22.35" hidden="false" customHeight="false" outlineLevel="0" collapsed="false">
      <c r="A1492" s="76" t="str">
        <f aca="false">B1492&amp;"|"&amp;C1492&amp;"|"&amp;D1492&amp;"|"&amp;E1492</f>
        <v>TMP|3|Sabtu|10:30</v>
      </c>
      <c r="B1492" s="76" t="s">
        <v>67</v>
      </c>
      <c r="C1492" s="76" t="n">
        <v>3</v>
      </c>
      <c r="D1492" s="76" t="s">
        <v>95</v>
      </c>
      <c r="E1492" s="76" t="s">
        <v>99</v>
      </c>
      <c r="F1492" s="77" t="s">
        <v>210</v>
      </c>
      <c r="G1492" s="77" t="n">
        <v>4</v>
      </c>
      <c r="H1492" s="77" t="n">
        <v>0</v>
      </c>
      <c r="I1492" s="76" t="n">
        <f aca="false">IF(AND(ISNUMBER(G1492),ISNUMBER(H1492)),MAX(G1492-H1492,0),"")</f>
        <v>4</v>
      </c>
      <c r="J1492" s="78" t="n">
        <f aca="false">IF(AND(ISNUMBER(G1492),ISNUMBER(H1492)),IF(G1492&gt;0,H1492/G1492,""),"")</f>
        <v>0</v>
      </c>
      <c r="K1492" s="77"/>
      <c r="L1492" s="76" t="str">
        <f aca="false">IF(OR(G1492="",H1492=""),"Data tidak lengkap",IF(AND(G1492=0,H1492=0),IF(AND(F1492="",K1492=""),"Tidak dibuka","Tutup"),IF(H1492&gt;G1492,"Lebih kapasitas",IF(H1492=G1492,"Penuh",IF(H1492=0,IF(F1492="","Slot kosong","Belum terisi"),"Sebagian")))))</f>
        <v>Belum terisi</v>
      </c>
      <c r="M1492" s="79" t="str">
        <f aca="false">IF(L1492="Tidak dibuka","–",IF(F1492="","(tanpa age group)",F1492)&amp;"  "&amp;IF(H1492="","?",H1492)&amp;"/"&amp;IF(G1492="","?",G1492)&amp;CHAR(10)&amp;IF(K1492="","coach: –","coach: "&amp;K1492))</f>
        <v>Kids  0/4
coach: –</v>
      </c>
    </row>
    <row r="1493" customFormat="false" ht="22.35" hidden="false" customHeight="false" outlineLevel="0" collapsed="false">
      <c r="A1493" s="76" t="str">
        <f aca="false">B1493&amp;"|"&amp;C1493&amp;"|"&amp;D1493&amp;"|"&amp;E1493</f>
        <v>TMP|3|Sabtu|11:15</v>
      </c>
      <c r="B1493" s="76" t="s">
        <v>67</v>
      </c>
      <c r="C1493" s="76" t="n">
        <v>3</v>
      </c>
      <c r="D1493" s="76" t="s">
        <v>95</v>
      </c>
      <c r="E1493" s="76" t="s">
        <v>100</v>
      </c>
      <c r="F1493" s="77" t="s">
        <v>210</v>
      </c>
      <c r="G1493" s="77" t="n">
        <v>4</v>
      </c>
      <c r="H1493" s="77" t="n">
        <v>0</v>
      </c>
      <c r="I1493" s="76" t="n">
        <f aca="false">IF(AND(ISNUMBER(G1493),ISNUMBER(H1493)),MAX(G1493-H1493,0),"")</f>
        <v>4</v>
      </c>
      <c r="J1493" s="78" t="n">
        <f aca="false">IF(AND(ISNUMBER(G1493),ISNUMBER(H1493)),IF(G1493&gt;0,H1493/G1493,""),"")</f>
        <v>0</v>
      </c>
      <c r="K1493" s="77"/>
      <c r="L1493" s="76" t="str">
        <f aca="false">IF(OR(G1493="",H1493=""),"Data tidak lengkap",IF(AND(G1493=0,H1493=0),IF(AND(F1493="",K1493=""),"Tidak dibuka","Tutup"),IF(H1493&gt;G1493,"Lebih kapasitas",IF(H1493=G1493,"Penuh",IF(H1493=0,IF(F1493="","Slot kosong","Belum terisi"),"Sebagian")))))</f>
        <v>Belum terisi</v>
      </c>
      <c r="M1493" s="79" t="str">
        <f aca="false">IF(L1493="Tidak dibuka","–",IF(F1493="","(tanpa age group)",F1493)&amp;"  "&amp;IF(H1493="","?",H1493)&amp;"/"&amp;IF(G1493="","?",G1493)&amp;CHAR(10)&amp;IF(K1493="","coach: –","coach: "&amp;K1493))</f>
        <v>Kids  0/4
coach: –</v>
      </c>
    </row>
    <row r="1494" customFormat="false" ht="22.35" hidden="false" customHeight="false" outlineLevel="0" collapsed="false">
      <c r="A1494" s="76" t="str">
        <f aca="false">B1494&amp;"|"&amp;C1494&amp;"|"&amp;D1494&amp;"|"&amp;E1494</f>
        <v>TMP|3|Sabtu|12:00</v>
      </c>
      <c r="B1494" s="76" t="s">
        <v>67</v>
      </c>
      <c r="C1494" s="76" t="n">
        <v>3</v>
      </c>
      <c r="D1494" s="76" t="s">
        <v>95</v>
      </c>
      <c r="E1494" s="76" t="s">
        <v>101</v>
      </c>
      <c r="F1494" s="77" t="s">
        <v>210</v>
      </c>
      <c r="G1494" s="77" t="n">
        <v>4</v>
      </c>
      <c r="H1494" s="77" t="n">
        <v>0</v>
      </c>
      <c r="I1494" s="76" t="n">
        <f aca="false">IF(AND(ISNUMBER(G1494),ISNUMBER(H1494)),MAX(G1494-H1494,0),"")</f>
        <v>4</v>
      </c>
      <c r="J1494" s="78" t="n">
        <f aca="false">IF(AND(ISNUMBER(G1494),ISNUMBER(H1494)),IF(G1494&gt;0,H1494/G1494,""),"")</f>
        <v>0</v>
      </c>
      <c r="K1494" s="77"/>
      <c r="L1494" s="76" t="str">
        <f aca="false">IF(OR(G1494="",H1494=""),"Data tidak lengkap",IF(AND(G1494=0,H1494=0),IF(AND(F1494="",K1494=""),"Tidak dibuka","Tutup"),IF(H1494&gt;G1494,"Lebih kapasitas",IF(H1494=G1494,"Penuh",IF(H1494=0,IF(F1494="","Slot kosong","Belum terisi"),"Sebagian")))))</f>
        <v>Belum terisi</v>
      </c>
      <c r="M1494" s="79" t="str">
        <f aca="false">IF(L1494="Tidak dibuka","–",IF(F1494="","(tanpa age group)",F1494)&amp;"  "&amp;IF(H1494="","?",H1494)&amp;"/"&amp;IF(G1494="","?",G1494)&amp;CHAR(10)&amp;IF(K1494="","coach: –","coach: "&amp;K1494))</f>
        <v>Kids  0/4
coach: –</v>
      </c>
    </row>
    <row r="1495" customFormat="false" ht="22.35" hidden="false" customHeight="false" outlineLevel="0" collapsed="false">
      <c r="A1495" s="76" t="str">
        <f aca="false">B1495&amp;"|"&amp;C1495&amp;"|"&amp;D1495&amp;"|"&amp;E1495</f>
        <v>TMP|3|Sabtu|13:30</v>
      </c>
      <c r="B1495" s="76" t="s">
        <v>67</v>
      </c>
      <c r="C1495" s="76" t="n">
        <v>3</v>
      </c>
      <c r="D1495" s="76" t="s">
        <v>95</v>
      </c>
      <c r="E1495" s="76" t="s">
        <v>102</v>
      </c>
      <c r="F1495" s="77" t="s">
        <v>210</v>
      </c>
      <c r="G1495" s="77" t="n">
        <v>4</v>
      </c>
      <c r="H1495" s="77" t="n">
        <v>0</v>
      </c>
      <c r="I1495" s="76" t="n">
        <f aca="false">IF(AND(ISNUMBER(G1495),ISNUMBER(H1495)),MAX(G1495-H1495,0),"")</f>
        <v>4</v>
      </c>
      <c r="J1495" s="78" t="n">
        <f aca="false">IF(AND(ISNUMBER(G1495),ISNUMBER(H1495)),IF(G1495&gt;0,H1495/G1495,""),"")</f>
        <v>0</v>
      </c>
      <c r="K1495" s="77"/>
      <c r="L1495" s="76" t="str">
        <f aca="false">IF(OR(G1495="",H1495=""),"Data tidak lengkap",IF(AND(G1495=0,H1495=0),IF(AND(F1495="",K1495=""),"Tidak dibuka","Tutup"),IF(H1495&gt;G1495,"Lebih kapasitas",IF(H1495=G1495,"Penuh",IF(H1495=0,IF(F1495="","Slot kosong","Belum terisi"),"Sebagian")))))</f>
        <v>Belum terisi</v>
      </c>
      <c r="M1495" s="79" t="str">
        <f aca="false">IF(L1495="Tidak dibuka","–",IF(F1495="","(tanpa age group)",F1495)&amp;"  "&amp;IF(H1495="","?",H1495)&amp;"/"&amp;IF(G1495="","?",G1495)&amp;CHAR(10)&amp;IF(K1495="","coach: –","coach: "&amp;K1495))</f>
        <v>Kids  0/4
coach: –</v>
      </c>
    </row>
    <row r="1496" customFormat="false" ht="22.35" hidden="false" customHeight="false" outlineLevel="0" collapsed="false">
      <c r="A1496" s="76" t="str">
        <f aca="false">B1496&amp;"|"&amp;C1496&amp;"|"&amp;D1496&amp;"|"&amp;E1496</f>
        <v>TMP|3|Sabtu|14:15</v>
      </c>
      <c r="B1496" s="76" t="s">
        <v>67</v>
      </c>
      <c r="C1496" s="76" t="n">
        <v>3</v>
      </c>
      <c r="D1496" s="76" t="s">
        <v>95</v>
      </c>
      <c r="E1496" s="76" t="s">
        <v>103</v>
      </c>
      <c r="F1496" s="77" t="s">
        <v>210</v>
      </c>
      <c r="G1496" s="77" t="n">
        <v>4</v>
      </c>
      <c r="H1496" s="77" t="n">
        <v>2</v>
      </c>
      <c r="I1496" s="76" t="n">
        <f aca="false">IF(AND(ISNUMBER(G1496),ISNUMBER(H1496)),MAX(G1496-H1496,0),"")</f>
        <v>2</v>
      </c>
      <c r="J1496" s="78" t="n">
        <f aca="false">IF(AND(ISNUMBER(G1496),ISNUMBER(H1496)),IF(G1496&gt;0,H1496/G1496,""),"")</f>
        <v>0.5</v>
      </c>
      <c r="K1496" s="77" t="s">
        <v>376</v>
      </c>
      <c r="L1496" s="76" t="str">
        <f aca="false">IF(OR(G1496="",H1496=""),"Data tidak lengkap",IF(AND(G1496=0,H1496=0),IF(AND(F1496="",K1496=""),"Tidak dibuka","Tutup"),IF(H1496&gt;G1496,"Lebih kapasitas",IF(H1496=G1496,"Penuh",IF(H1496=0,IF(F1496="","Slot kosong","Belum terisi"),"Sebagian")))))</f>
        <v>Sebagian</v>
      </c>
      <c r="M1496" s="79" t="str">
        <f aca="false">IF(L1496="Tidak dibuka","–",IF(F1496="","(tanpa age group)",F1496)&amp;"  "&amp;IF(H1496="","?",H1496)&amp;"/"&amp;IF(G1496="","?",G1496)&amp;CHAR(10)&amp;IF(K1496="","coach: –","coach: "&amp;K1496))</f>
        <v>Kids  2/4
coach: Irvan</v>
      </c>
    </row>
    <row r="1497" customFormat="false" ht="22.35" hidden="false" customHeight="false" outlineLevel="0" collapsed="false">
      <c r="A1497" s="76" t="str">
        <f aca="false">B1497&amp;"|"&amp;C1497&amp;"|"&amp;D1497&amp;"|"&amp;E1497</f>
        <v>TMP|3|Sabtu|15:00</v>
      </c>
      <c r="B1497" s="76" t="s">
        <v>67</v>
      </c>
      <c r="C1497" s="76" t="n">
        <v>3</v>
      </c>
      <c r="D1497" s="76" t="s">
        <v>95</v>
      </c>
      <c r="E1497" s="76" t="s">
        <v>104</v>
      </c>
      <c r="F1497" s="77" t="s">
        <v>210</v>
      </c>
      <c r="G1497" s="77" t="n">
        <v>4</v>
      </c>
      <c r="H1497" s="77" t="n">
        <v>3</v>
      </c>
      <c r="I1497" s="76" t="n">
        <f aca="false">IF(AND(ISNUMBER(G1497),ISNUMBER(H1497)),MAX(G1497-H1497,0),"")</f>
        <v>1</v>
      </c>
      <c r="J1497" s="78" t="n">
        <f aca="false">IF(AND(ISNUMBER(G1497),ISNUMBER(H1497)),IF(G1497&gt;0,H1497/G1497,""),"")</f>
        <v>0.75</v>
      </c>
      <c r="K1497" s="77" t="s">
        <v>376</v>
      </c>
      <c r="L1497" s="76" t="str">
        <f aca="false">IF(OR(G1497="",H1497=""),"Data tidak lengkap",IF(AND(G1497=0,H1497=0),IF(AND(F1497="",K1497=""),"Tidak dibuka","Tutup"),IF(H1497&gt;G1497,"Lebih kapasitas",IF(H1497=G1497,"Penuh",IF(H1497=0,IF(F1497="","Slot kosong","Belum terisi"),"Sebagian")))))</f>
        <v>Sebagian</v>
      </c>
      <c r="M1497" s="79" t="str">
        <f aca="false">IF(L1497="Tidak dibuka","–",IF(F1497="","(tanpa age group)",F1497)&amp;"  "&amp;IF(H1497="","?",H1497)&amp;"/"&amp;IF(G1497="","?",G1497)&amp;CHAR(10)&amp;IF(K1497="","coach: –","coach: "&amp;K1497))</f>
        <v>Kids  3/4
coach: Irvan</v>
      </c>
    </row>
    <row r="1498" customFormat="false" ht="22.35" hidden="false" customHeight="false" outlineLevel="0" collapsed="false">
      <c r="A1498" s="76" t="str">
        <f aca="false">B1498&amp;"|"&amp;C1498&amp;"|"&amp;D1498&amp;"|"&amp;E1498</f>
        <v>TMP|3|Sabtu|15:45</v>
      </c>
      <c r="B1498" s="76" t="s">
        <v>67</v>
      </c>
      <c r="C1498" s="76" t="n">
        <v>3</v>
      </c>
      <c r="D1498" s="76" t="s">
        <v>95</v>
      </c>
      <c r="E1498" s="76" t="s">
        <v>105</v>
      </c>
      <c r="F1498" s="77" t="s">
        <v>210</v>
      </c>
      <c r="G1498" s="77" t="n">
        <v>4</v>
      </c>
      <c r="H1498" s="77" t="n">
        <v>0</v>
      </c>
      <c r="I1498" s="76" t="n">
        <f aca="false">IF(AND(ISNUMBER(G1498),ISNUMBER(H1498)),MAX(G1498-H1498,0),"")</f>
        <v>4</v>
      </c>
      <c r="J1498" s="78" t="n">
        <f aca="false">IF(AND(ISNUMBER(G1498),ISNUMBER(H1498)),IF(G1498&gt;0,H1498/G1498,""),"")</f>
        <v>0</v>
      </c>
      <c r="K1498" s="77"/>
      <c r="L1498" s="76" t="str">
        <f aca="false">IF(OR(G1498="",H1498=""),"Data tidak lengkap",IF(AND(G1498=0,H1498=0),IF(AND(F1498="",K1498=""),"Tidak dibuka","Tutup"),IF(H1498&gt;G1498,"Lebih kapasitas",IF(H1498=G1498,"Penuh",IF(H1498=0,IF(F1498="","Slot kosong","Belum terisi"),"Sebagian")))))</f>
        <v>Belum terisi</v>
      </c>
      <c r="M1498" s="79" t="str">
        <f aca="false">IF(L1498="Tidak dibuka","–",IF(F1498="","(tanpa age group)",F1498)&amp;"  "&amp;IF(H1498="","?",H1498)&amp;"/"&amp;IF(G1498="","?",G1498)&amp;CHAR(10)&amp;IF(K1498="","coach: –","coach: "&amp;K1498))</f>
        <v>Kids  0/4
coach: –</v>
      </c>
    </row>
    <row r="1499" customFormat="false" ht="22.35" hidden="false" customHeight="false" outlineLevel="0" collapsed="false">
      <c r="A1499" s="76" t="str">
        <f aca="false">B1499&amp;"|"&amp;C1499&amp;"|"&amp;D1499&amp;"|"&amp;E1499</f>
        <v>TMP|3|Sabtu|16:30</v>
      </c>
      <c r="B1499" s="76" t="s">
        <v>67</v>
      </c>
      <c r="C1499" s="76" t="n">
        <v>3</v>
      </c>
      <c r="D1499" s="76" t="s">
        <v>95</v>
      </c>
      <c r="E1499" s="76" t="s">
        <v>106</v>
      </c>
      <c r="F1499" s="77" t="s">
        <v>210</v>
      </c>
      <c r="G1499" s="77" t="n">
        <v>4</v>
      </c>
      <c r="H1499" s="77" t="n">
        <v>1</v>
      </c>
      <c r="I1499" s="76" t="n">
        <f aca="false">IF(AND(ISNUMBER(G1499),ISNUMBER(H1499)),MAX(G1499-H1499,0),"")</f>
        <v>3</v>
      </c>
      <c r="J1499" s="78" t="n">
        <f aca="false">IF(AND(ISNUMBER(G1499),ISNUMBER(H1499)),IF(G1499&gt;0,H1499/G1499,""),"")</f>
        <v>0.25</v>
      </c>
      <c r="K1499" s="77" t="s">
        <v>375</v>
      </c>
      <c r="L1499" s="76" t="str">
        <f aca="false">IF(OR(G1499="",H1499=""),"Data tidak lengkap",IF(AND(G1499=0,H1499=0),IF(AND(F1499="",K1499=""),"Tidak dibuka","Tutup"),IF(H1499&gt;G1499,"Lebih kapasitas",IF(H1499=G1499,"Penuh",IF(H1499=0,IF(F1499="","Slot kosong","Belum terisi"),"Sebagian")))))</f>
        <v>Sebagian</v>
      </c>
      <c r="M1499" s="79" t="str">
        <f aca="false">IF(L1499="Tidak dibuka","–",IF(F1499="","(tanpa age group)",F1499)&amp;"  "&amp;IF(H1499="","?",H1499)&amp;"/"&amp;IF(G1499="","?",G1499)&amp;CHAR(10)&amp;IF(K1499="","coach: –","coach: "&amp;K1499))</f>
        <v>Kids  1/4
coach: Iqbal</v>
      </c>
    </row>
    <row r="1500" customFormat="false" ht="22.35" hidden="false" customHeight="false" outlineLevel="0" collapsed="false">
      <c r="A1500" s="76" t="str">
        <f aca="false">B1500&amp;"|"&amp;C1500&amp;"|"&amp;D1500&amp;"|"&amp;E1500</f>
        <v>TMP|3|Sabtu|17:15</v>
      </c>
      <c r="B1500" s="76" t="s">
        <v>67</v>
      </c>
      <c r="C1500" s="76" t="n">
        <v>3</v>
      </c>
      <c r="D1500" s="76" t="s">
        <v>95</v>
      </c>
      <c r="E1500" s="76" t="s">
        <v>107</v>
      </c>
      <c r="F1500" s="77" t="s">
        <v>210</v>
      </c>
      <c r="G1500" s="77" t="n">
        <v>4</v>
      </c>
      <c r="H1500" s="77" t="n">
        <v>0</v>
      </c>
      <c r="I1500" s="76" t="n">
        <f aca="false">IF(AND(ISNUMBER(G1500),ISNUMBER(H1500)),MAX(G1500-H1500,0),"")</f>
        <v>4</v>
      </c>
      <c r="J1500" s="78" t="n">
        <f aca="false">IF(AND(ISNUMBER(G1500),ISNUMBER(H1500)),IF(G1500&gt;0,H1500/G1500,""),"")</f>
        <v>0</v>
      </c>
      <c r="K1500" s="77"/>
      <c r="L1500" s="76" t="str">
        <f aca="false">IF(OR(G1500="",H1500=""),"Data tidak lengkap",IF(AND(G1500=0,H1500=0),IF(AND(F1500="",K1500=""),"Tidak dibuka","Tutup"),IF(H1500&gt;G1500,"Lebih kapasitas",IF(H1500=G1500,"Penuh",IF(H1500=0,IF(F1500="","Slot kosong","Belum terisi"),"Sebagian")))))</f>
        <v>Belum terisi</v>
      </c>
      <c r="M1500" s="79" t="str">
        <f aca="false">IF(L1500="Tidak dibuka","–",IF(F1500="","(tanpa age group)",F1500)&amp;"  "&amp;IF(H1500="","?",H1500)&amp;"/"&amp;IF(G1500="","?",G1500)&amp;CHAR(10)&amp;IF(K1500="","coach: –","coach: "&amp;K1500))</f>
        <v>Kids  0/4
coach: –</v>
      </c>
    </row>
    <row r="1501" customFormat="false" ht="22.35" hidden="false" customHeight="false" outlineLevel="0" collapsed="false">
      <c r="A1501" s="76" t="str">
        <f aca="false">B1501&amp;"|"&amp;C1501&amp;"|"&amp;D1501&amp;"|"&amp;E1501</f>
        <v>TMP|3|Minggu|08:15</v>
      </c>
      <c r="B1501" s="76" t="s">
        <v>67</v>
      </c>
      <c r="C1501" s="76" t="n">
        <v>3</v>
      </c>
      <c r="D1501" s="76" t="s">
        <v>78</v>
      </c>
      <c r="E1501" s="76" t="s">
        <v>96</v>
      </c>
      <c r="F1501" s="77" t="s">
        <v>210</v>
      </c>
      <c r="G1501" s="77" t="n">
        <v>4</v>
      </c>
      <c r="H1501" s="77" t="n">
        <v>0</v>
      </c>
      <c r="I1501" s="76" t="n">
        <f aca="false">IF(AND(ISNUMBER(G1501),ISNUMBER(H1501)),MAX(G1501-H1501,0),"")</f>
        <v>4</v>
      </c>
      <c r="J1501" s="78" t="n">
        <f aca="false">IF(AND(ISNUMBER(G1501),ISNUMBER(H1501)),IF(G1501&gt;0,H1501/G1501,""),"")</f>
        <v>0</v>
      </c>
      <c r="K1501" s="77"/>
      <c r="L1501" s="76" t="str">
        <f aca="false">IF(OR(G1501="",H1501=""),"Data tidak lengkap",IF(AND(G1501=0,H1501=0),IF(AND(F1501="",K1501=""),"Tidak dibuka","Tutup"),IF(H1501&gt;G1501,"Lebih kapasitas",IF(H1501=G1501,"Penuh",IF(H1501=0,IF(F1501="","Slot kosong","Belum terisi"),"Sebagian")))))</f>
        <v>Belum terisi</v>
      </c>
      <c r="M1501" s="79" t="str">
        <f aca="false">IF(L1501="Tidak dibuka","–",IF(F1501="","(tanpa age group)",F1501)&amp;"  "&amp;IF(H1501="","?",H1501)&amp;"/"&amp;IF(G1501="","?",G1501)&amp;CHAR(10)&amp;IF(K1501="","coach: –","coach: "&amp;K1501))</f>
        <v>Kids  0/4
coach: –</v>
      </c>
    </row>
    <row r="1502" customFormat="false" ht="22.35" hidden="false" customHeight="false" outlineLevel="0" collapsed="false">
      <c r="A1502" s="76" t="str">
        <f aca="false">B1502&amp;"|"&amp;C1502&amp;"|"&amp;D1502&amp;"|"&amp;E1502</f>
        <v>TMP|3|Minggu|09:00</v>
      </c>
      <c r="B1502" s="76" t="s">
        <v>67</v>
      </c>
      <c r="C1502" s="76" t="n">
        <v>3</v>
      </c>
      <c r="D1502" s="76" t="s">
        <v>78</v>
      </c>
      <c r="E1502" s="76" t="s">
        <v>97</v>
      </c>
      <c r="F1502" s="77" t="s">
        <v>210</v>
      </c>
      <c r="G1502" s="77" t="n">
        <v>4</v>
      </c>
      <c r="H1502" s="77" t="n">
        <v>0</v>
      </c>
      <c r="I1502" s="76" t="n">
        <f aca="false">IF(AND(ISNUMBER(G1502),ISNUMBER(H1502)),MAX(G1502-H1502,0),"")</f>
        <v>4</v>
      </c>
      <c r="J1502" s="78" t="n">
        <f aca="false">IF(AND(ISNUMBER(G1502),ISNUMBER(H1502)),IF(G1502&gt;0,H1502/G1502,""),"")</f>
        <v>0</v>
      </c>
      <c r="K1502" s="77"/>
      <c r="L1502" s="76" t="str">
        <f aca="false">IF(OR(G1502="",H1502=""),"Data tidak lengkap",IF(AND(G1502=0,H1502=0),IF(AND(F1502="",K1502=""),"Tidak dibuka","Tutup"),IF(H1502&gt;G1502,"Lebih kapasitas",IF(H1502=G1502,"Penuh",IF(H1502=0,IF(F1502="","Slot kosong","Belum terisi"),"Sebagian")))))</f>
        <v>Belum terisi</v>
      </c>
      <c r="M1502" s="79" t="str">
        <f aca="false">IF(L1502="Tidak dibuka","–",IF(F1502="","(tanpa age group)",F1502)&amp;"  "&amp;IF(H1502="","?",H1502)&amp;"/"&amp;IF(G1502="","?",G1502)&amp;CHAR(10)&amp;IF(K1502="","coach: –","coach: "&amp;K1502))</f>
        <v>Kids  0/4
coach: –</v>
      </c>
    </row>
    <row r="1503" customFormat="false" ht="22.35" hidden="false" customHeight="false" outlineLevel="0" collapsed="false">
      <c r="A1503" s="76" t="str">
        <f aca="false">B1503&amp;"|"&amp;C1503&amp;"|"&amp;D1503&amp;"|"&amp;E1503</f>
        <v>TMP|3|Minggu|09:45</v>
      </c>
      <c r="B1503" s="76" t="s">
        <v>67</v>
      </c>
      <c r="C1503" s="76" t="n">
        <v>3</v>
      </c>
      <c r="D1503" s="76" t="s">
        <v>78</v>
      </c>
      <c r="E1503" s="76" t="s">
        <v>98</v>
      </c>
      <c r="F1503" s="77" t="s">
        <v>210</v>
      </c>
      <c r="G1503" s="77" t="n">
        <v>4</v>
      </c>
      <c r="H1503" s="77" t="n">
        <v>2</v>
      </c>
      <c r="I1503" s="76" t="n">
        <f aca="false">IF(AND(ISNUMBER(G1503),ISNUMBER(H1503)),MAX(G1503-H1503,0),"")</f>
        <v>2</v>
      </c>
      <c r="J1503" s="78" t="n">
        <f aca="false">IF(AND(ISNUMBER(G1503),ISNUMBER(H1503)),IF(G1503&gt;0,H1503/G1503,""),"")</f>
        <v>0.5</v>
      </c>
      <c r="K1503" s="77" t="s">
        <v>376</v>
      </c>
      <c r="L1503" s="76" t="str">
        <f aca="false">IF(OR(G1503="",H1503=""),"Data tidak lengkap",IF(AND(G1503=0,H1503=0),IF(AND(F1503="",K1503=""),"Tidak dibuka","Tutup"),IF(H1503&gt;G1503,"Lebih kapasitas",IF(H1503=G1503,"Penuh",IF(H1503=0,IF(F1503="","Slot kosong","Belum terisi"),"Sebagian")))))</f>
        <v>Sebagian</v>
      </c>
      <c r="M1503" s="79" t="str">
        <f aca="false">IF(L1503="Tidak dibuka","–",IF(F1503="","(tanpa age group)",F1503)&amp;"  "&amp;IF(H1503="","?",H1503)&amp;"/"&amp;IF(G1503="","?",G1503)&amp;CHAR(10)&amp;IF(K1503="","coach: –","coach: "&amp;K1503))</f>
        <v>Kids  2/4
coach: Irvan</v>
      </c>
    </row>
    <row r="1504" customFormat="false" ht="22.35" hidden="false" customHeight="false" outlineLevel="0" collapsed="false">
      <c r="A1504" s="76" t="str">
        <f aca="false">B1504&amp;"|"&amp;C1504&amp;"|"&amp;D1504&amp;"|"&amp;E1504</f>
        <v>TMP|3|Minggu|10:30</v>
      </c>
      <c r="B1504" s="76" t="s">
        <v>67</v>
      </c>
      <c r="C1504" s="76" t="n">
        <v>3</v>
      </c>
      <c r="D1504" s="76" t="s">
        <v>78</v>
      </c>
      <c r="E1504" s="76" t="s">
        <v>99</v>
      </c>
      <c r="F1504" s="77" t="s">
        <v>210</v>
      </c>
      <c r="G1504" s="77" t="n">
        <v>4</v>
      </c>
      <c r="H1504" s="77" t="n">
        <v>2</v>
      </c>
      <c r="I1504" s="76" t="n">
        <f aca="false">IF(AND(ISNUMBER(G1504),ISNUMBER(H1504)),MAX(G1504-H1504,0),"")</f>
        <v>2</v>
      </c>
      <c r="J1504" s="78" t="n">
        <f aca="false">IF(AND(ISNUMBER(G1504),ISNUMBER(H1504)),IF(G1504&gt;0,H1504/G1504,""),"")</f>
        <v>0.5</v>
      </c>
      <c r="K1504" s="77" t="s">
        <v>376</v>
      </c>
      <c r="L1504" s="76" t="str">
        <f aca="false">IF(OR(G1504="",H1504=""),"Data tidak lengkap",IF(AND(G1504=0,H1504=0),IF(AND(F1504="",K1504=""),"Tidak dibuka","Tutup"),IF(H1504&gt;G1504,"Lebih kapasitas",IF(H1504=G1504,"Penuh",IF(H1504=0,IF(F1504="","Slot kosong","Belum terisi"),"Sebagian")))))</f>
        <v>Sebagian</v>
      </c>
      <c r="M1504" s="79" t="str">
        <f aca="false">IF(L1504="Tidak dibuka","–",IF(F1504="","(tanpa age group)",F1504)&amp;"  "&amp;IF(H1504="","?",H1504)&amp;"/"&amp;IF(G1504="","?",G1504)&amp;CHAR(10)&amp;IF(K1504="","coach: –","coach: "&amp;K1504))</f>
        <v>Kids  2/4
coach: Irvan</v>
      </c>
    </row>
    <row r="1505" customFormat="false" ht="22.35" hidden="false" customHeight="false" outlineLevel="0" collapsed="false">
      <c r="A1505" s="76" t="str">
        <f aca="false">B1505&amp;"|"&amp;C1505&amp;"|"&amp;D1505&amp;"|"&amp;E1505</f>
        <v>TMP|3|Minggu|11:15</v>
      </c>
      <c r="B1505" s="76" t="s">
        <v>67</v>
      </c>
      <c r="C1505" s="76" t="n">
        <v>3</v>
      </c>
      <c r="D1505" s="76" t="s">
        <v>78</v>
      </c>
      <c r="E1505" s="76" t="s">
        <v>100</v>
      </c>
      <c r="F1505" s="77" t="s">
        <v>210</v>
      </c>
      <c r="G1505" s="77" t="n">
        <v>4</v>
      </c>
      <c r="H1505" s="77" t="n">
        <v>1</v>
      </c>
      <c r="I1505" s="76" t="n">
        <f aca="false">IF(AND(ISNUMBER(G1505),ISNUMBER(H1505)),MAX(G1505-H1505,0),"")</f>
        <v>3</v>
      </c>
      <c r="J1505" s="78" t="n">
        <f aca="false">IF(AND(ISNUMBER(G1505),ISNUMBER(H1505)),IF(G1505&gt;0,H1505/G1505,""),"")</f>
        <v>0.25</v>
      </c>
      <c r="K1505" s="77" t="s">
        <v>375</v>
      </c>
      <c r="L1505" s="76" t="str">
        <f aca="false">IF(OR(G1505="",H1505=""),"Data tidak lengkap",IF(AND(G1505=0,H1505=0),IF(AND(F1505="",K1505=""),"Tidak dibuka","Tutup"),IF(H1505&gt;G1505,"Lebih kapasitas",IF(H1505=G1505,"Penuh",IF(H1505=0,IF(F1505="","Slot kosong","Belum terisi"),"Sebagian")))))</f>
        <v>Sebagian</v>
      </c>
      <c r="M1505" s="79" t="str">
        <f aca="false">IF(L1505="Tidak dibuka","–",IF(F1505="","(tanpa age group)",F1505)&amp;"  "&amp;IF(H1505="","?",H1505)&amp;"/"&amp;IF(G1505="","?",G1505)&amp;CHAR(10)&amp;IF(K1505="","coach: –","coach: "&amp;K1505))</f>
        <v>Kids  1/4
coach: Iqbal</v>
      </c>
    </row>
    <row r="1506" customFormat="false" ht="22.35" hidden="false" customHeight="false" outlineLevel="0" collapsed="false">
      <c r="A1506" s="76" t="str">
        <f aca="false">B1506&amp;"|"&amp;C1506&amp;"|"&amp;D1506&amp;"|"&amp;E1506</f>
        <v>TMP|3|Minggu|12:00</v>
      </c>
      <c r="B1506" s="76" t="s">
        <v>67</v>
      </c>
      <c r="C1506" s="76" t="n">
        <v>3</v>
      </c>
      <c r="D1506" s="76" t="s">
        <v>78</v>
      </c>
      <c r="E1506" s="76" t="s">
        <v>101</v>
      </c>
      <c r="F1506" s="77" t="s">
        <v>210</v>
      </c>
      <c r="G1506" s="77" t="n">
        <v>4</v>
      </c>
      <c r="H1506" s="77" t="n">
        <v>0</v>
      </c>
      <c r="I1506" s="76" t="n">
        <f aca="false">IF(AND(ISNUMBER(G1506),ISNUMBER(H1506)),MAX(G1506-H1506,0),"")</f>
        <v>4</v>
      </c>
      <c r="J1506" s="78" t="n">
        <f aca="false">IF(AND(ISNUMBER(G1506),ISNUMBER(H1506)),IF(G1506&gt;0,H1506/G1506,""),"")</f>
        <v>0</v>
      </c>
      <c r="K1506" s="77"/>
      <c r="L1506" s="76" t="str">
        <f aca="false">IF(OR(G1506="",H1506=""),"Data tidak lengkap",IF(AND(G1506=0,H1506=0),IF(AND(F1506="",K1506=""),"Tidak dibuka","Tutup"),IF(H1506&gt;G1506,"Lebih kapasitas",IF(H1506=G1506,"Penuh",IF(H1506=0,IF(F1506="","Slot kosong","Belum terisi"),"Sebagian")))))</f>
        <v>Belum terisi</v>
      </c>
      <c r="M1506" s="79" t="str">
        <f aca="false">IF(L1506="Tidak dibuka","–",IF(F1506="","(tanpa age group)",F1506)&amp;"  "&amp;IF(H1506="","?",H1506)&amp;"/"&amp;IF(G1506="","?",G1506)&amp;CHAR(10)&amp;IF(K1506="","coach: –","coach: "&amp;K1506))</f>
        <v>Kids  0/4
coach: –</v>
      </c>
    </row>
    <row r="1507" customFormat="false" ht="22.35" hidden="false" customHeight="false" outlineLevel="0" collapsed="false">
      <c r="A1507" s="76" t="str">
        <f aca="false">B1507&amp;"|"&amp;C1507&amp;"|"&amp;D1507&amp;"|"&amp;E1507</f>
        <v>TMP|3|Minggu|13:30</v>
      </c>
      <c r="B1507" s="76" t="s">
        <v>67</v>
      </c>
      <c r="C1507" s="76" t="n">
        <v>3</v>
      </c>
      <c r="D1507" s="76" t="s">
        <v>78</v>
      </c>
      <c r="E1507" s="76" t="s">
        <v>102</v>
      </c>
      <c r="F1507" s="77" t="s">
        <v>210</v>
      </c>
      <c r="G1507" s="77" t="n">
        <v>4</v>
      </c>
      <c r="H1507" s="77" t="n">
        <v>0</v>
      </c>
      <c r="I1507" s="76" t="n">
        <f aca="false">IF(AND(ISNUMBER(G1507),ISNUMBER(H1507)),MAX(G1507-H1507,0),"")</f>
        <v>4</v>
      </c>
      <c r="J1507" s="78" t="n">
        <f aca="false">IF(AND(ISNUMBER(G1507),ISNUMBER(H1507)),IF(G1507&gt;0,H1507/G1507,""),"")</f>
        <v>0</v>
      </c>
      <c r="K1507" s="77"/>
      <c r="L1507" s="76" t="str">
        <f aca="false">IF(OR(G1507="",H1507=""),"Data tidak lengkap",IF(AND(G1507=0,H1507=0),IF(AND(F1507="",K1507=""),"Tidak dibuka","Tutup"),IF(H1507&gt;G1507,"Lebih kapasitas",IF(H1507=G1507,"Penuh",IF(H1507=0,IF(F1507="","Slot kosong","Belum terisi"),"Sebagian")))))</f>
        <v>Belum terisi</v>
      </c>
      <c r="M1507" s="79" t="str">
        <f aca="false">IF(L1507="Tidak dibuka","–",IF(F1507="","(tanpa age group)",F1507)&amp;"  "&amp;IF(H1507="","?",H1507)&amp;"/"&amp;IF(G1507="","?",G1507)&amp;CHAR(10)&amp;IF(K1507="","coach: –","coach: "&amp;K1507))</f>
        <v>Kids  0/4
coach: –</v>
      </c>
    </row>
    <row r="1508" customFormat="false" ht="22.35" hidden="false" customHeight="false" outlineLevel="0" collapsed="false">
      <c r="A1508" s="76" t="str">
        <f aca="false">B1508&amp;"|"&amp;C1508&amp;"|"&amp;D1508&amp;"|"&amp;E1508</f>
        <v>TMP|3|Minggu|14:15</v>
      </c>
      <c r="B1508" s="76" t="s">
        <v>67</v>
      </c>
      <c r="C1508" s="76" t="n">
        <v>3</v>
      </c>
      <c r="D1508" s="76" t="s">
        <v>78</v>
      </c>
      <c r="E1508" s="76" t="s">
        <v>103</v>
      </c>
      <c r="F1508" s="77" t="s">
        <v>210</v>
      </c>
      <c r="G1508" s="77" t="n">
        <v>4</v>
      </c>
      <c r="H1508" s="77" t="n">
        <v>2</v>
      </c>
      <c r="I1508" s="76" t="n">
        <f aca="false">IF(AND(ISNUMBER(G1508),ISNUMBER(H1508)),MAX(G1508-H1508,0),"")</f>
        <v>2</v>
      </c>
      <c r="J1508" s="78" t="n">
        <f aca="false">IF(AND(ISNUMBER(G1508),ISNUMBER(H1508)),IF(G1508&gt;0,H1508/G1508,""),"")</f>
        <v>0.5</v>
      </c>
      <c r="K1508" s="77" t="s">
        <v>374</v>
      </c>
      <c r="L1508" s="76" t="str">
        <f aca="false">IF(OR(G1508="",H1508=""),"Data tidak lengkap",IF(AND(G1508=0,H1508=0),IF(AND(F1508="",K1508=""),"Tidak dibuka","Tutup"),IF(H1508&gt;G1508,"Lebih kapasitas",IF(H1508=G1508,"Penuh",IF(H1508=0,IF(F1508="","Slot kosong","Belum terisi"),"Sebagian")))))</f>
        <v>Sebagian</v>
      </c>
      <c r="M1508" s="79" t="str">
        <f aca="false">IF(L1508="Tidak dibuka","–",IF(F1508="","(tanpa age group)",F1508)&amp;"  "&amp;IF(H1508="","?",H1508)&amp;"/"&amp;IF(G1508="","?",G1508)&amp;CHAR(10)&amp;IF(K1508="","coach: –","coach: "&amp;K1508))</f>
        <v>Kids  2/4
coach: Adam</v>
      </c>
    </row>
    <row r="1509" customFormat="false" ht="22.35" hidden="false" customHeight="false" outlineLevel="0" collapsed="false">
      <c r="A1509" s="76" t="str">
        <f aca="false">B1509&amp;"|"&amp;C1509&amp;"|"&amp;D1509&amp;"|"&amp;E1509</f>
        <v>TMP|3|Minggu|15:00</v>
      </c>
      <c r="B1509" s="76" t="s">
        <v>67</v>
      </c>
      <c r="C1509" s="76" t="n">
        <v>3</v>
      </c>
      <c r="D1509" s="76" t="s">
        <v>78</v>
      </c>
      <c r="E1509" s="76" t="s">
        <v>104</v>
      </c>
      <c r="F1509" s="77" t="s">
        <v>210</v>
      </c>
      <c r="G1509" s="77" t="n">
        <v>4</v>
      </c>
      <c r="H1509" s="77" t="n">
        <v>1</v>
      </c>
      <c r="I1509" s="76" t="n">
        <f aca="false">IF(AND(ISNUMBER(G1509),ISNUMBER(H1509)),MAX(G1509-H1509,0),"")</f>
        <v>3</v>
      </c>
      <c r="J1509" s="78" t="n">
        <f aca="false">IF(AND(ISNUMBER(G1509),ISNUMBER(H1509)),IF(G1509&gt;0,H1509/G1509,""),"")</f>
        <v>0.25</v>
      </c>
      <c r="K1509" s="77" t="s">
        <v>375</v>
      </c>
      <c r="L1509" s="76" t="str">
        <f aca="false">IF(OR(G1509="",H1509=""),"Data tidak lengkap",IF(AND(G1509=0,H1509=0),IF(AND(F1509="",K1509=""),"Tidak dibuka","Tutup"),IF(H1509&gt;G1509,"Lebih kapasitas",IF(H1509=G1509,"Penuh",IF(H1509=0,IF(F1509="","Slot kosong","Belum terisi"),"Sebagian")))))</f>
        <v>Sebagian</v>
      </c>
      <c r="M1509" s="79" t="str">
        <f aca="false">IF(L1509="Tidak dibuka","–",IF(F1509="","(tanpa age group)",F1509)&amp;"  "&amp;IF(H1509="","?",H1509)&amp;"/"&amp;IF(G1509="","?",G1509)&amp;CHAR(10)&amp;IF(K1509="","coach: –","coach: "&amp;K1509))</f>
        <v>Kids  1/4
coach: Iqbal</v>
      </c>
    </row>
    <row r="1510" customFormat="false" ht="22.35" hidden="false" customHeight="false" outlineLevel="0" collapsed="false">
      <c r="A1510" s="76" t="str">
        <f aca="false">B1510&amp;"|"&amp;C1510&amp;"|"&amp;D1510&amp;"|"&amp;E1510</f>
        <v>TMP|3|Minggu|15:45</v>
      </c>
      <c r="B1510" s="76" t="s">
        <v>67</v>
      </c>
      <c r="C1510" s="76" t="n">
        <v>3</v>
      </c>
      <c r="D1510" s="76" t="s">
        <v>78</v>
      </c>
      <c r="E1510" s="76" t="s">
        <v>105</v>
      </c>
      <c r="F1510" s="77" t="s">
        <v>210</v>
      </c>
      <c r="G1510" s="77" t="n">
        <v>4</v>
      </c>
      <c r="H1510" s="77" t="n">
        <v>1</v>
      </c>
      <c r="I1510" s="76" t="n">
        <f aca="false">IF(AND(ISNUMBER(G1510),ISNUMBER(H1510)),MAX(G1510-H1510,0),"")</f>
        <v>3</v>
      </c>
      <c r="J1510" s="78" t="n">
        <f aca="false">IF(AND(ISNUMBER(G1510),ISNUMBER(H1510)),IF(G1510&gt;0,H1510/G1510,""),"")</f>
        <v>0.25</v>
      </c>
      <c r="K1510" s="77" t="s">
        <v>376</v>
      </c>
      <c r="L1510" s="76" t="str">
        <f aca="false">IF(OR(G1510="",H1510=""),"Data tidak lengkap",IF(AND(G1510=0,H1510=0),IF(AND(F1510="",K1510=""),"Tidak dibuka","Tutup"),IF(H1510&gt;G1510,"Lebih kapasitas",IF(H1510=G1510,"Penuh",IF(H1510=0,IF(F1510="","Slot kosong","Belum terisi"),"Sebagian")))))</f>
        <v>Sebagian</v>
      </c>
      <c r="M1510" s="79" t="str">
        <f aca="false">IF(L1510="Tidak dibuka","–",IF(F1510="","(tanpa age group)",F1510)&amp;"  "&amp;IF(H1510="","?",H1510)&amp;"/"&amp;IF(G1510="","?",G1510)&amp;CHAR(10)&amp;IF(K1510="","coach: –","coach: "&amp;K1510))</f>
        <v>Kids  1/4
coach: Irvan</v>
      </c>
    </row>
    <row r="1511" customFormat="false" ht="22.35" hidden="false" customHeight="false" outlineLevel="0" collapsed="false">
      <c r="A1511" s="76" t="str">
        <f aca="false">B1511&amp;"|"&amp;C1511&amp;"|"&amp;D1511&amp;"|"&amp;E1511</f>
        <v>TMP|3|Minggu|16:30</v>
      </c>
      <c r="B1511" s="76" t="s">
        <v>67</v>
      </c>
      <c r="C1511" s="76" t="n">
        <v>3</v>
      </c>
      <c r="D1511" s="76" t="s">
        <v>78</v>
      </c>
      <c r="E1511" s="76" t="s">
        <v>106</v>
      </c>
      <c r="F1511" s="77" t="s">
        <v>210</v>
      </c>
      <c r="G1511" s="77" t="n">
        <v>4</v>
      </c>
      <c r="H1511" s="77" t="n">
        <v>0</v>
      </c>
      <c r="I1511" s="76" t="n">
        <f aca="false">IF(AND(ISNUMBER(G1511),ISNUMBER(H1511)),MAX(G1511-H1511,0),"")</f>
        <v>4</v>
      </c>
      <c r="J1511" s="78" t="n">
        <f aca="false">IF(AND(ISNUMBER(G1511),ISNUMBER(H1511)),IF(G1511&gt;0,H1511/G1511,""),"")</f>
        <v>0</v>
      </c>
      <c r="K1511" s="77"/>
      <c r="L1511" s="76" t="str">
        <f aca="false">IF(OR(G1511="",H1511=""),"Data tidak lengkap",IF(AND(G1511=0,H1511=0),IF(AND(F1511="",K1511=""),"Tidak dibuka","Tutup"),IF(H1511&gt;G1511,"Lebih kapasitas",IF(H1511=G1511,"Penuh",IF(H1511=0,IF(F1511="","Slot kosong","Belum terisi"),"Sebagian")))))</f>
        <v>Belum terisi</v>
      </c>
      <c r="M1511" s="79" t="str">
        <f aca="false">IF(L1511="Tidak dibuka","–",IF(F1511="","(tanpa age group)",F1511)&amp;"  "&amp;IF(H1511="","?",H1511)&amp;"/"&amp;IF(G1511="","?",G1511)&amp;CHAR(10)&amp;IF(K1511="","coach: –","coach: "&amp;K1511))</f>
        <v>Kids  0/4
coach: –</v>
      </c>
    </row>
    <row r="1512" customFormat="false" ht="22.35" hidden="false" customHeight="false" outlineLevel="0" collapsed="false">
      <c r="A1512" s="76" t="str">
        <f aca="false">B1512&amp;"|"&amp;C1512&amp;"|"&amp;D1512&amp;"|"&amp;E1512</f>
        <v>TMP|3|Minggu|17:15</v>
      </c>
      <c r="B1512" s="76" t="s">
        <v>67</v>
      </c>
      <c r="C1512" s="76" t="n">
        <v>3</v>
      </c>
      <c r="D1512" s="76" t="s">
        <v>78</v>
      </c>
      <c r="E1512" s="76" t="s">
        <v>107</v>
      </c>
      <c r="F1512" s="77" t="s">
        <v>210</v>
      </c>
      <c r="G1512" s="77" t="n">
        <v>4</v>
      </c>
      <c r="H1512" s="77" t="n">
        <v>0</v>
      </c>
      <c r="I1512" s="76" t="n">
        <f aca="false">IF(AND(ISNUMBER(G1512),ISNUMBER(H1512)),MAX(G1512-H1512,0),"")</f>
        <v>4</v>
      </c>
      <c r="J1512" s="78" t="n">
        <f aca="false">IF(AND(ISNUMBER(G1512),ISNUMBER(H1512)),IF(G1512&gt;0,H1512/G1512,""),"")</f>
        <v>0</v>
      </c>
      <c r="K1512" s="77"/>
      <c r="L1512" s="76" t="str">
        <f aca="false">IF(OR(G1512="",H1512=""),"Data tidak lengkap",IF(AND(G1512=0,H1512=0),IF(AND(F1512="",K1512=""),"Tidak dibuka","Tutup"),IF(H1512&gt;G1512,"Lebih kapasitas",IF(H1512=G1512,"Penuh",IF(H1512=0,IF(F1512="","Slot kosong","Belum terisi"),"Sebagian")))))</f>
        <v>Belum terisi</v>
      </c>
      <c r="M1512" s="79" t="str">
        <f aca="false">IF(L1512="Tidak dibuka","–",IF(F1512="","(tanpa age group)",F1512)&amp;"  "&amp;IF(H1512="","?",H1512)&amp;"/"&amp;IF(G1512="","?",G1512)&amp;CHAR(10)&amp;IF(K1512="","coach: –","coach: "&amp;K1512))</f>
        <v>Kids  0/4
coach: –</v>
      </c>
    </row>
    <row r="1513" customFormat="false" ht="22.35" hidden="false" customHeight="false" outlineLevel="0" collapsed="false">
      <c r="A1513" s="76" t="str">
        <f aca="false">B1513&amp;"|"&amp;C1513&amp;"|"&amp;D1513&amp;"|"&amp;E1513</f>
        <v>TMP|4|Senin|08:15</v>
      </c>
      <c r="B1513" s="76" t="s">
        <v>67</v>
      </c>
      <c r="C1513" s="76" t="n">
        <v>4</v>
      </c>
      <c r="D1513" s="76" t="s">
        <v>90</v>
      </c>
      <c r="E1513" s="76" t="s">
        <v>96</v>
      </c>
      <c r="F1513" s="77" t="s">
        <v>210</v>
      </c>
      <c r="G1513" s="77" t="n">
        <v>4</v>
      </c>
      <c r="H1513" s="77" t="n">
        <v>0</v>
      </c>
      <c r="I1513" s="76" t="n">
        <f aca="false">IF(AND(ISNUMBER(G1513),ISNUMBER(H1513)),MAX(G1513-H1513,0),"")</f>
        <v>4</v>
      </c>
      <c r="J1513" s="78" t="n">
        <f aca="false">IF(AND(ISNUMBER(G1513),ISNUMBER(H1513)),IF(G1513&gt;0,H1513/G1513,""),"")</f>
        <v>0</v>
      </c>
      <c r="K1513" s="77"/>
      <c r="L1513" s="76" t="str">
        <f aca="false">IF(OR(G1513="",H1513=""),"Data tidak lengkap",IF(AND(G1513=0,H1513=0),IF(AND(F1513="",K1513=""),"Tidak dibuka","Tutup"),IF(H1513&gt;G1513,"Lebih kapasitas",IF(H1513=G1513,"Penuh",IF(H1513=0,IF(F1513="","Slot kosong","Belum terisi"),"Sebagian")))))</f>
        <v>Belum terisi</v>
      </c>
      <c r="M1513" s="79" t="str">
        <f aca="false">IF(L1513="Tidak dibuka","–",IF(F1513="","(tanpa age group)",F1513)&amp;"  "&amp;IF(H1513="","?",H1513)&amp;"/"&amp;IF(G1513="","?",G1513)&amp;CHAR(10)&amp;IF(K1513="","coach: –","coach: "&amp;K1513))</f>
        <v>Kids  0/4
coach: –</v>
      </c>
    </row>
    <row r="1514" customFormat="false" ht="22.35" hidden="false" customHeight="false" outlineLevel="0" collapsed="false">
      <c r="A1514" s="76" t="str">
        <f aca="false">B1514&amp;"|"&amp;C1514&amp;"|"&amp;D1514&amp;"|"&amp;E1514</f>
        <v>TMP|4|Senin|09:00</v>
      </c>
      <c r="B1514" s="76" t="s">
        <v>67</v>
      </c>
      <c r="C1514" s="76" t="n">
        <v>4</v>
      </c>
      <c r="D1514" s="76" t="s">
        <v>90</v>
      </c>
      <c r="E1514" s="76" t="s">
        <v>97</v>
      </c>
      <c r="F1514" s="77" t="s">
        <v>210</v>
      </c>
      <c r="G1514" s="77" t="n">
        <v>4</v>
      </c>
      <c r="H1514" s="77" t="n">
        <v>0</v>
      </c>
      <c r="I1514" s="76" t="n">
        <f aca="false">IF(AND(ISNUMBER(G1514),ISNUMBER(H1514)),MAX(G1514-H1514,0),"")</f>
        <v>4</v>
      </c>
      <c r="J1514" s="78" t="n">
        <f aca="false">IF(AND(ISNUMBER(G1514),ISNUMBER(H1514)),IF(G1514&gt;0,H1514/G1514,""),"")</f>
        <v>0</v>
      </c>
      <c r="K1514" s="77"/>
      <c r="L1514" s="76" t="str">
        <f aca="false">IF(OR(G1514="",H1514=""),"Data tidak lengkap",IF(AND(G1514=0,H1514=0),IF(AND(F1514="",K1514=""),"Tidak dibuka","Tutup"),IF(H1514&gt;G1514,"Lebih kapasitas",IF(H1514=G1514,"Penuh",IF(H1514=0,IF(F1514="","Slot kosong","Belum terisi"),"Sebagian")))))</f>
        <v>Belum terisi</v>
      </c>
      <c r="M1514" s="79" t="str">
        <f aca="false">IF(L1514="Tidak dibuka","–",IF(F1514="","(tanpa age group)",F1514)&amp;"  "&amp;IF(H1514="","?",H1514)&amp;"/"&amp;IF(G1514="","?",G1514)&amp;CHAR(10)&amp;IF(K1514="","coach: –","coach: "&amp;K1514))</f>
        <v>Kids  0/4
coach: –</v>
      </c>
    </row>
    <row r="1515" customFormat="false" ht="22.35" hidden="false" customHeight="false" outlineLevel="0" collapsed="false">
      <c r="A1515" s="76" t="str">
        <f aca="false">B1515&amp;"|"&amp;C1515&amp;"|"&amp;D1515&amp;"|"&amp;E1515</f>
        <v>TMP|4|Senin|09:45</v>
      </c>
      <c r="B1515" s="76" t="s">
        <v>67</v>
      </c>
      <c r="C1515" s="76" t="n">
        <v>4</v>
      </c>
      <c r="D1515" s="76" t="s">
        <v>90</v>
      </c>
      <c r="E1515" s="76" t="s">
        <v>98</v>
      </c>
      <c r="F1515" s="77" t="s">
        <v>210</v>
      </c>
      <c r="G1515" s="77" t="n">
        <v>4</v>
      </c>
      <c r="H1515" s="77" t="n">
        <v>0</v>
      </c>
      <c r="I1515" s="76" t="n">
        <f aca="false">IF(AND(ISNUMBER(G1515),ISNUMBER(H1515)),MAX(G1515-H1515,0),"")</f>
        <v>4</v>
      </c>
      <c r="J1515" s="78" t="n">
        <f aca="false">IF(AND(ISNUMBER(G1515),ISNUMBER(H1515)),IF(G1515&gt;0,H1515/G1515,""),"")</f>
        <v>0</v>
      </c>
      <c r="K1515" s="77"/>
      <c r="L1515" s="76" t="str">
        <f aca="false">IF(OR(G1515="",H1515=""),"Data tidak lengkap",IF(AND(G1515=0,H1515=0),IF(AND(F1515="",K1515=""),"Tidak dibuka","Tutup"),IF(H1515&gt;G1515,"Lebih kapasitas",IF(H1515=G1515,"Penuh",IF(H1515=0,IF(F1515="","Slot kosong","Belum terisi"),"Sebagian")))))</f>
        <v>Belum terisi</v>
      </c>
      <c r="M1515" s="79" t="str">
        <f aca="false">IF(L1515="Tidak dibuka","–",IF(F1515="","(tanpa age group)",F1515)&amp;"  "&amp;IF(H1515="","?",H1515)&amp;"/"&amp;IF(G1515="","?",G1515)&amp;CHAR(10)&amp;IF(K1515="","coach: –","coach: "&amp;K1515))</f>
        <v>Kids  0/4
coach: –</v>
      </c>
    </row>
    <row r="1516" customFormat="false" ht="22.35" hidden="false" customHeight="false" outlineLevel="0" collapsed="false">
      <c r="A1516" s="76" t="str">
        <f aca="false">B1516&amp;"|"&amp;C1516&amp;"|"&amp;D1516&amp;"|"&amp;E1516</f>
        <v>TMP|4|Senin|10:30</v>
      </c>
      <c r="B1516" s="76" t="s">
        <v>67</v>
      </c>
      <c r="C1516" s="76" t="n">
        <v>4</v>
      </c>
      <c r="D1516" s="76" t="s">
        <v>90</v>
      </c>
      <c r="E1516" s="76" t="s">
        <v>99</v>
      </c>
      <c r="F1516" s="77" t="s">
        <v>210</v>
      </c>
      <c r="G1516" s="77" t="n">
        <v>4</v>
      </c>
      <c r="H1516" s="77" t="n">
        <v>0</v>
      </c>
      <c r="I1516" s="76" t="n">
        <f aca="false">IF(AND(ISNUMBER(G1516),ISNUMBER(H1516)),MAX(G1516-H1516,0),"")</f>
        <v>4</v>
      </c>
      <c r="J1516" s="78" t="n">
        <f aca="false">IF(AND(ISNUMBER(G1516),ISNUMBER(H1516)),IF(G1516&gt;0,H1516/G1516,""),"")</f>
        <v>0</v>
      </c>
      <c r="K1516" s="77"/>
      <c r="L1516" s="76" t="str">
        <f aca="false">IF(OR(G1516="",H1516=""),"Data tidak lengkap",IF(AND(G1516=0,H1516=0),IF(AND(F1516="",K1516=""),"Tidak dibuka","Tutup"),IF(H1516&gt;G1516,"Lebih kapasitas",IF(H1516=G1516,"Penuh",IF(H1516=0,IF(F1516="","Slot kosong","Belum terisi"),"Sebagian")))))</f>
        <v>Belum terisi</v>
      </c>
      <c r="M1516" s="79" t="str">
        <f aca="false">IF(L1516="Tidak dibuka","–",IF(F1516="","(tanpa age group)",F1516)&amp;"  "&amp;IF(H1516="","?",H1516)&amp;"/"&amp;IF(G1516="","?",G1516)&amp;CHAR(10)&amp;IF(K1516="","coach: –","coach: "&amp;K1516))</f>
        <v>Kids  0/4
coach: –</v>
      </c>
    </row>
    <row r="1517" customFormat="false" ht="22.35" hidden="false" customHeight="false" outlineLevel="0" collapsed="false">
      <c r="A1517" s="76" t="str">
        <f aca="false">B1517&amp;"|"&amp;C1517&amp;"|"&amp;D1517&amp;"|"&amp;E1517</f>
        <v>TMP|4|Senin|11:15</v>
      </c>
      <c r="B1517" s="76" t="s">
        <v>67</v>
      </c>
      <c r="C1517" s="76" t="n">
        <v>4</v>
      </c>
      <c r="D1517" s="76" t="s">
        <v>90</v>
      </c>
      <c r="E1517" s="76" t="s">
        <v>100</v>
      </c>
      <c r="F1517" s="77" t="s">
        <v>210</v>
      </c>
      <c r="G1517" s="77" t="n">
        <v>4</v>
      </c>
      <c r="H1517" s="77" t="n">
        <v>0</v>
      </c>
      <c r="I1517" s="76" t="n">
        <f aca="false">IF(AND(ISNUMBER(G1517),ISNUMBER(H1517)),MAX(G1517-H1517,0),"")</f>
        <v>4</v>
      </c>
      <c r="J1517" s="78" t="n">
        <f aca="false">IF(AND(ISNUMBER(G1517),ISNUMBER(H1517)),IF(G1517&gt;0,H1517/G1517,""),"")</f>
        <v>0</v>
      </c>
      <c r="K1517" s="77"/>
      <c r="L1517" s="76" t="str">
        <f aca="false">IF(OR(G1517="",H1517=""),"Data tidak lengkap",IF(AND(G1517=0,H1517=0),IF(AND(F1517="",K1517=""),"Tidak dibuka","Tutup"),IF(H1517&gt;G1517,"Lebih kapasitas",IF(H1517=G1517,"Penuh",IF(H1517=0,IF(F1517="","Slot kosong","Belum terisi"),"Sebagian")))))</f>
        <v>Belum terisi</v>
      </c>
      <c r="M1517" s="79" t="str">
        <f aca="false">IF(L1517="Tidak dibuka","–",IF(F1517="","(tanpa age group)",F1517)&amp;"  "&amp;IF(H1517="","?",H1517)&amp;"/"&amp;IF(G1517="","?",G1517)&amp;CHAR(10)&amp;IF(K1517="","coach: –","coach: "&amp;K1517))</f>
        <v>Kids  0/4
coach: –</v>
      </c>
    </row>
    <row r="1518" customFormat="false" ht="22.35" hidden="false" customHeight="false" outlineLevel="0" collapsed="false">
      <c r="A1518" s="76" t="str">
        <f aca="false">B1518&amp;"|"&amp;C1518&amp;"|"&amp;D1518&amp;"|"&amp;E1518</f>
        <v>TMP|4|Senin|12:00</v>
      </c>
      <c r="B1518" s="76" t="s">
        <v>67</v>
      </c>
      <c r="C1518" s="76" t="n">
        <v>4</v>
      </c>
      <c r="D1518" s="76" t="s">
        <v>90</v>
      </c>
      <c r="E1518" s="76" t="s">
        <v>101</v>
      </c>
      <c r="F1518" s="77" t="s">
        <v>210</v>
      </c>
      <c r="G1518" s="77" t="n">
        <v>4</v>
      </c>
      <c r="H1518" s="77" t="n">
        <v>0</v>
      </c>
      <c r="I1518" s="76" t="n">
        <f aca="false">IF(AND(ISNUMBER(G1518),ISNUMBER(H1518)),MAX(G1518-H1518,0),"")</f>
        <v>4</v>
      </c>
      <c r="J1518" s="78" t="n">
        <f aca="false">IF(AND(ISNUMBER(G1518),ISNUMBER(H1518)),IF(G1518&gt;0,H1518/G1518,""),"")</f>
        <v>0</v>
      </c>
      <c r="K1518" s="77"/>
      <c r="L1518" s="76" t="str">
        <f aca="false">IF(OR(G1518="",H1518=""),"Data tidak lengkap",IF(AND(G1518=0,H1518=0),IF(AND(F1518="",K1518=""),"Tidak dibuka","Tutup"),IF(H1518&gt;G1518,"Lebih kapasitas",IF(H1518=G1518,"Penuh",IF(H1518=0,IF(F1518="","Slot kosong","Belum terisi"),"Sebagian")))))</f>
        <v>Belum terisi</v>
      </c>
      <c r="M1518" s="79" t="str">
        <f aca="false">IF(L1518="Tidak dibuka","–",IF(F1518="","(tanpa age group)",F1518)&amp;"  "&amp;IF(H1518="","?",H1518)&amp;"/"&amp;IF(G1518="","?",G1518)&amp;CHAR(10)&amp;IF(K1518="","coach: –","coach: "&amp;K1518))</f>
        <v>Kids  0/4
coach: –</v>
      </c>
    </row>
    <row r="1519" customFormat="false" ht="22.35" hidden="false" customHeight="false" outlineLevel="0" collapsed="false">
      <c r="A1519" s="76" t="str">
        <f aca="false">B1519&amp;"|"&amp;C1519&amp;"|"&amp;D1519&amp;"|"&amp;E1519</f>
        <v>TMP|4|Senin|13:30</v>
      </c>
      <c r="B1519" s="76" t="s">
        <v>67</v>
      </c>
      <c r="C1519" s="76" t="n">
        <v>4</v>
      </c>
      <c r="D1519" s="76" t="s">
        <v>90</v>
      </c>
      <c r="E1519" s="76" t="s">
        <v>102</v>
      </c>
      <c r="F1519" s="77" t="s">
        <v>210</v>
      </c>
      <c r="G1519" s="77" t="n">
        <v>4</v>
      </c>
      <c r="H1519" s="77" t="n">
        <v>0</v>
      </c>
      <c r="I1519" s="76" t="n">
        <f aca="false">IF(AND(ISNUMBER(G1519),ISNUMBER(H1519)),MAX(G1519-H1519,0),"")</f>
        <v>4</v>
      </c>
      <c r="J1519" s="78" t="n">
        <f aca="false">IF(AND(ISNUMBER(G1519),ISNUMBER(H1519)),IF(G1519&gt;0,H1519/G1519,""),"")</f>
        <v>0</v>
      </c>
      <c r="K1519" s="77"/>
      <c r="L1519" s="76" t="str">
        <f aca="false">IF(OR(G1519="",H1519=""),"Data tidak lengkap",IF(AND(G1519=0,H1519=0),IF(AND(F1519="",K1519=""),"Tidak dibuka","Tutup"),IF(H1519&gt;G1519,"Lebih kapasitas",IF(H1519=G1519,"Penuh",IF(H1519=0,IF(F1519="","Slot kosong","Belum terisi"),"Sebagian")))))</f>
        <v>Belum terisi</v>
      </c>
      <c r="M1519" s="79" t="str">
        <f aca="false">IF(L1519="Tidak dibuka","–",IF(F1519="","(tanpa age group)",F1519)&amp;"  "&amp;IF(H1519="","?",H1519)&amp;"/"&amp;IF(G1519="","?",G1519)&amp;CHAR(10)&amp;IF(K1519="","coach: –","coach: "&amp;K1519))</f>
        <v>Kids  0/4
coach: –</v>
      </c>
    </row>
    <row r="1520" customFormat="false" ht="22.35" hidden="false" customHeight="false" outlineLevel="0" collapsed="false">
      <c r="A1520" s="76" t="str">
        <f aca="false">B1520&amp;"|"&amp;C1520&amp;"|"&amp;D1520&amp;"|"&amp;E1520</f>
        <v>TMP|4|Senin|14:15</v>
      </c>
      <c r="B1520" s="76" t="s">
        <v>67</v>
      </c>
      <c r="C1520" s="76" t="n">
        <v>4</v>
      </c>
      <c r="D1520" s="76" t="s">
        <v>90</v>
      </c>
      <c r="E1520" s="76" t="s">
        <v>103</v>
      </c>
      <c r="F1520" s="77" t="s">
        <v>210</v>
      </c>
      <c r="G1520" s="77" t="n">
        <v>4</v>
      </c>
      <c r="H1520" s="77" t="n">
        <v>0</v>
      </c>
      <c r="I1520" s="76" t="n">
        <f aca="false">IF(AND(ISNUMBER(G1520),ISNUMBER(H1520)),MAX(G1520-H1520,0),"")</f>
        <v>4</v>
      </c>
      <c r="J1520" s="78" t="n">
        <f aca="false">IF(AND(ISNUMBER(G1520),ISNUMBER(H1520)),IF(G1520&gt;0,H1520/G1520,""),"")</f>
        <v>0</v>
      </c>
      <c r="K1520" s="77"/>
      <c r="L1520" s="76" t="str">
        <f aca="false">IF(OR(G1520="",H1520=""),"Data tidak lengkap",IF(AND(G1520=0,H1520=0),IF(AND(F1520="",K1520=""),"Tidak dibuka","Tutup"),IF(H1520&gt;G1520,"Lebih kapasitas",IF(H1520=G1520,"Penuh",IF(H1520=0,IF(F1520="","Slot kosong","Belum terisi"),"Sebagian")))))</f>
        <v>Belum terisi</v>
      </c>
      <c r="M1520" s="79" t="str">
        <f aca="false">IF(L1520="Tidak dibuka","–",IF(F1520="","(tanpa age group)",F1520)&amp;"  "&amp;IF(H1520="","?",H1520)&amp;"/"&amp;IF(G1520="","?",G1520)&amp;CHAR(10)&amp;IF(K1520="","coach: –","coach: "&amp;K1520))</f>
        <v>Kids  0/4
coach: –</v>
      </c>
    </row>
    <row r="1521" customFormat="false" ht="22.35" hidden="false" customHeight="false" outlineLevel="0" collapsed="false">
      <c r="A1521" s="76" t="str">
        <f aca="false">B1521&amp;"|"&amp;C1521&amp;"|"&amp;D1521&amp;"|"&amp;E1521</f>
        <v>TMP|4|Senin|15:00</v>
      </c>
      <c r="B1521" s="76" t="s">
        <v>67</v>
      </c>
      <c r="C1521" s="76" t="n">
        <v>4</v>
      </c>
      <c r="D1521" s="76" t="s">
        <v>90</v>
      </c>
      <c r="E1521" s="76" t="s">
        <v>104</v>
      </c>
      <c r="F1521" s="77" t="s">
        <v>210</v>
      </c>
      <c r="G1521" s="77" t="n">
        <v>4</v>
      </c>
      <c r="H1521" s="77" t="n">
        <v>0</v>
      </c>
      <c r="I1521" s="76" t="n">
        <f aca="false">IF(AND(ISNUMBER(G1521),ISNUMBER(H1521)),MAX(G1521-H1521,0),"")</f>
        <v>4</v>
      </c>
      <c r="J1521" s="78" t="n">
        <f aca="false">IF(AND(ISNUMBER(G1521),ISNUMBER(H1521)),IF(G1521&gt;0,H1521/G1521,""),"")</f>
        <v>0</v>
      </c>
      <c r="K1521" s="77"/>
      <c r="L1521" s="76" t="str">
        <f aca="false">IF(OR(G1521="",H1521=""),"Data tidak lengkap",IF(AND(G1521=0,H1521=0),IF(AND(F1521="",K1521=""),"Tidak dibuka","Tutup"),IF(H1521&gt;G1521,"Lebih kapasitas",IF(H1521=G1521,"Penuh",IF(H1521=0,IF(F1521="","Slot kosong","Belum terisi"),"Sebagian")))))</f>
        <v>Belum terisi</v>
      </c>
      <c r="M1521" s="79" t="str">
        <f aca="false">IF(L1521="Tidak dibuka","–",IF(F1521="","(tanpa age group)",F1521)&amp;"  "&amp;IF(H1521="","?",H1521)&amp;"/"&amp;IF(G1521="","?",G1521)&amp;CHAR(10)&amp;IF(K1521="","coach: –","coach: "&amp;K1521))</f>
        <v>Kids  0/4
coach: –</v>
      </c>
    </row>
    <row r="1522" customFormat="false" ht="22.35" hidden="false" customHeight="false" outlineLevel="0" collapsed="false">
      <c r="A1522" s="76" t="str">
        <f aca="false">B1522&amp;"|"&amp;C1522&amp;"|"&amp;D1522&amp;"|"&amp;E1522</f>
        <v>TMP|4|Senin|15:45</v>
      </c>
      <c r="B1522" s="76" t="s">
        <v>67</v>
      </c>
      <c r="C1522" s="76" t="n">
        <v>4</v>
      </c>
      <c r="D1522" s="76" t="s">
        <v>90</v>
      </c>
      <c r="E1522" s="76" t="s">
        <v>105</v>
      </c>
      <c r="F1522" s="77" t="s">
        <v>210</v>
      </c>
      <c r="G1522" s="77" t="n">
        <v>4</v>
      </c>
      <c r="H1522" s="77" t="n">
        <v>0</v>
      </c>
      <c r="I1522" s="76" t="n">
        <f aca="false">IF(AND(ISNUMBER(G1522),ISNUMBER(H1522)),MAX(G1522-H1522,0),"")</f>
        <v>4</v>
      </c>
      <c r="J1522" s="78" t="n">
        <f aca="false">IF(AND(ISNUMBER(G1522),ISNUMBER(H1522)),IF(G1522&gt;0,H1522/G1522,""),"")</f>
        <v>0</v>
      </c>
      <c r="K1522" s="77"/>
      <c r="L1522" s="76" t="str">
        <f aca="false">IF(OR(G1522="",H1522=""),"Data tidak lengkap",IF(AND(G1522=0,H1522=0),IF(AND(F1522="",K1522=""),"Tidak dibuka","Tutup"),IF(H1522&gt;G1522,"Lebih kapasitas",IF(H1522=G1522,"Penuh",IF(H1522=0,IF(F1522="","Slot kosong","Belum terisi"),"Sebagian")))))</f>
        <v>Belum terisi</v>
      </c>
      <c r="M1522" s="79" t="str">
        <f aca="false">IF(L1522="Tidak dibuka","–",IF(F1522="","(tanpa age group)",F1522)&amp;"  "&amp;IF(H1522="","?",H1522)&amp;"/"&amp;IF(G1522="","?",G1522)&amp;CHAR(10)&amp;IF(K1522="","coach: –","coach: "&amp;K1522))</f>
        <v>Kids  0/4
coach: –</v>
      </c>
    </row>
    <row r="1523" customFormat="false" ht="22.35" hidden="false" customHeight="false" outlineLevel="0" collapsed="false">
      <c r="A1523" s="76" t="str">
        <f aca="false">B1523&amp;"|"&amp;C1523&amp;"|"&amp;D1523&amp;"|"&amp;E1523</f>
        <v>TMP|4|Senin|16:30</v>
      </c>
      <c r="B1523" s="76" t="s">
        <v>67</v>
      </c>
      <c r="C1523" s="76" t="n">
        <v>4</v>
      </c>
      <c r="D1523" s="76" t="s">
        <v>90</v>
      </c>
      <c r="E1523" s="76" t="s">
        <v>106</v>
      </c>
      <c r="F1523" s="77" t="s">
        <v>210</v>
      </c>
      <c r="G1523" s="77" t="n">
        <v>4</v>
      </c>
      <c r="H1523" s="77" t="n">
        <v>0</v>
      </c>
      <c r="I1523" s="76" t="n">
        <f aca="false">IF(AND(ISNUMBER(G1523),ISNUMBER(H1523)),MAX(G1523-H1523,0),"")</f>
        <v>4</v>
      </c>
      <c r="J1523" s="78" t="n">
        <f aca="false">IF(AND(ISNUMBER(G1523),ISNUMBER(H1523)),IF(G1523&gt;0,H1523/G1523,""),"")</f>
        <v>0</v>
      </c>
      <c r="K1523" s="77"/>
      <c r="L1523" s="76" t="str">
        <f aca="false">IF(OR(G1523="",H1523=""),"Data tidak lengkap",IF(AND(G1523=0,H1523=0),IF(AND(F1523="",K1523=""),"Tidak dibuka","Tutup"),IF(H1523&gt;G1523,"Lebih kapasitas",IF(H1523=G1523,"Penuh",IF(H1523=0,IF(F1523="","Slot kosong","Belum terisi"),"Sebagian")))))</f>
        <v>Belum terisi</v>
      </c>
      <c r="M1523" s="79" t="str">
        <f aca="false">IF(L1523="Tidak dibuka","–",IF(F1523="","(tanpa age group)",F1523)&amp;"  "&amp;IF(H1523="","?",H1523)&amp;"/"&amp;IF(G1523="","?",G1523)&amp;CHAR(10)&amp;IF(K1523="","coach: –","coach: "&amp;K1523))</f>
        <v>Kids  0/4
coach: –</v>
      </c>
    </row>
    <row r="1524" customFormat="false" ht="22.35" hidden="false" customHeight="false" outlineLevel="0" collapsed="false">
      <c r="A1524" s="76" t="str">
        <f aca="false">B1524&amp;"|"&amp;C1524&amp;"|"&amp;D1524&amp;"|"&amp;E1524</f>
        <v>TMP|4|Senin|17:15</v>
      </c>
      <c r="B1524" s="76" t="s">
        <v>67</v>
      </c>
      <c r="C1524" s="76" t="n">
        <v>4</v>
      </c>
      <c r="D1524" s="76" t="s">
        <v>90</v>
      </c>
      <c r="E1524" s="76" t="s">
        <v>107</v>
      </c>
      <c r="F1524" s="77" t="s">
        <v>210</v>
      </c>
      <c r="G1524" s="77" t="n">
        <v>4</v>
      </c>
      <c r="H1524" s="77" t="n">
        <v>0</v>
      </c>
      <c r="I1524" s="76" t="n">
        <f aca="false">IF(AND(ISNUMBER(G1524),ISNUMBER(H1524)),MAX(G1524-H1524,0),"")</f>
        <v>4</v>
      </c>
      <c r="J1524" s="78" t="n">
        <f aca="false">IF(AND(ISNUMBER(G1524),ISNUMBER(H1524)),IF(G1524&gt;0,H1524/G1524,""),"")</f>
        <v>0</v>
      </c>
      <c r="K1524" s="77"/>
      <c r="L1524" s="76" t="str">
        <f aca="false">IF(OR(G1524="",H1524=""),"Data tidak lengkap",IF(AND(G1524=0,H1524=0),IF(AND(F1524="",K1524=""),"Tidak dibuka","Tutup"),IF(H1524&gt;G1524,"Lebih kapasitas",IF(H1524=G1524,"Penuh",IF(H1524=0,IF(F1524="","Slot kosong","Belum terisi"),"Sebagian")))))</f>
        <v>Belum terisi</v>
      </c>
      <c r="M1524" s="79" t="str">
        <f aca="false">IF(L1524="Tidak dibuka","–",IF(F1524="","(tanpa age group)",F1524)&amp;"  "&amp;IF(H1524="","?",H1524)&amp;"/"&amp;IF(G1524="","?",G1524)&amp;CHAR(10)&amp;IF(K1524="","coach: –","coach: "&amp;K1524))</f>
        <v>Kids  0/4
coach: –</v>
      </c>
    </row>
    <row r="1525" customFormat="false" ht="22.35" hidden="false" customHeight="false" outlineLevel="0" collapsed="false">
      <c r="A1525" s="76" t="str">
        <f aca="false">B1525&amp;"|"&amp;C1525&amp;"|"&amp;D1525&amp;"|"&amp;E1525</f>
        <v>TMP|4|Selasa|08:15</v>
      </c>
      <c r="B1525" s="76" t="s">
        <v>67</v>
      </c>
      <c r="C1525" s="76" t="n">
        <v>4</v>
      </c>
      <c r="D1525" s="76" t="s">
        <v>91</v>
      </c>
      <c r="E1525" s="76" t="s">
        <v>96</v>
      </c>
      <c r="F1525" s="77" t="s">
        <v>210</v>
      </c>
      <c r="G1525" s="77" t="n">
        <v>4</v>
      </c>
      <c r="H1525" s="77" t="n">
        <v>0</v>
      </c>
      <c r="I1525" s="76" t="n">
        <f aca="false">IF(AND(ISNUMBER(G1525),ISNUMBER(H1525)),MAX(G1525-H1525,0),"")</f>
        <v>4</v>
      </c>
      <c r="J1525" s="78" t="n">
        <f aca="false">IF(AND(ISNUMBER(G1525),ISNUMBER(H1525)),IF(G1525&gt;0,H1525/G1525,""),"")</f>
        <v>0</v>
      </c>
      <c r="K1525" s="77"/>
      <c r="L1525" s="76" t="str">
        <f aca="false">IF(OR(G1525="",H1525=""),"Data tidak lengkap",IF(AND(G1525=0,H1525=0),IF(AND(F1525="",K1525=""),"Tidak dibuka","Tutup"),IF(H1525&gt;G1525,"Lebih kapasitas",IF(H1525=G1525,"Penuh",IF(H1525=0,IF(F1525="","Slot kosong","Belum terisi"),"Sebagian")))))</f>
        <v>Belum terisi</v>
      </c>
      <c r="M1525" s="79" t="str">
        <f aca="false">IF(L1525="Tidak dibuka","–",IF(F1525="","(tanpa age group)",F1525)&amp;"  "&amp;IF(H1525="","?",H1525)&amp;"/"&amp;IF(G1525="","?",G1525)&amp;CHAR(10)&amp;IF(K1525="","coach: –","coach: "&amp;K1525))</f>
        <v>Kids  0/4
coach: –</v>
      </c>
    </row>
    <row r="1526" customFormat="false" ht="22.35" hidden="false" customHeight="false" outlineLevel="0" collapsed="false">
      <c r="A1526" s="76" t="str">
        <f aca="false">B1526&amp;"|"&amp;C1526&amp;"|"&amp;D1526&amp;"|"&amp;E1526</f>
        <v>TMP|4|Selasa|09:00</v>
      </c>
      <c r="B1526" s="76" t="s">
        <v>67</v>
      </c>
      <c r="C1526" s="76" t="n">
        <v>4</v>
      </c>
      <c r="D1526" s="76" t="s">
        <v>91</v>
      </c>
      <c r="E1526" s="76" t="s">
        <v>97</v>
      </c>
      <c r="F1526" s="77" t="s">
        <v>210</v>
      </c>
      <c r="G1526" s="77" t="n">
        <v>4</v>
      </c>
      <c r="H1526" s="77" t="n">
        <v>0</v>
      </c>
      <c r="I1526" s="76" t="n">
        <f aca="false">IF(AND(ISNUMBER(G1526),ISNUMBER(H1526)),MAX(G1526-H1526,0),"")</f>
        <v>4</v>
      </c>
      <c r="J1526" s="78" t="n">
        <f aca="false">IF(AND(ISNUMBER(G1526),ISNUMBER(H1526)),IF(G1526&gt;0,H1526/G1526,""),"")</f>
        <v>0</v>
      </c>
      <c r="K1526" s="77"/>
      <c r="L1526" s="76" t="str">
        <f aca="false">IF(OR(G1526="",H1526=""),"Data tidak lengkap",IF(AND(G1526=0,H1526=0),IF(AND(F1526="",K1526=""),"Tidak dibuka","Tutup"),IF(H1526&gt;G1526,"Lebih kapasitas",IF(H1526=G1526,"Penuh",IF(H1526=0,IF(F1526="","Slot kosong","Belum terisi"),"Sebagian")))))</f>
        <v>Belum terisi</v>
      </c>
      <c r="M1526" s="79" t="str">
        <f aca="false">IF(L1526="Tidak dibuka","–",IF(F1526="","(tanpa age group)",F1526)&amp;"  "&amp;IF(H1526="","?",H1526)&amp;"/"&amp;IF(G1526="","?",G1526)&amp;CHAR(10)&amp;IF(K1526="","coach: –","coach: "&amp;K1526))</f>
        <v>Kids  0/4
coach: –</v>
      </c>
    </row>
    <row r="1527" customFormat="false" ht="22.35" hidden="false" customHeight="false" outlineLevel="0" collapsed="false">
      <c r="A1527" s="76" t="str">
        <f aca="false">B1527&amp;"|"&amp;C1527&amp;"|"&amp;D1527&amp;"|"&amp;E1527</f>
        <v>TMP|4|Selasa|09:45</v>
      </c>
      <c r="B1527" s="76" t="s">
        <v>67</v>
      </c>
      <c r="C1527" s="76" t="n">
        <v>4</v>
      </c>
      <c r="D1527" s="76" t="s">
        <v>91</v>
      </c>
      <c r="E1527" s="76" t="s">
        <v>98</v>
      </c>
      <c r="F1527" s="77" t="s">
        <v>210</v>
      </c>
      <c r="G1527" s="77" t="n">
        <v>4</v>
      </c>
      <c r="H1527" s="77" t="n">
        <v>0</v>
      </c>
      <c r="I1527" s="76" t="n">
        <f aca="false">IF(AND(ISNUMBER(G1527),ISNUMBER(H1527)),MAX(G1527-H1527,0),"")</f>
        <v>4</v>
      </c>
      <c r="J1527" s="78" t="n">
        <f aca="false">IF(AND(ISNUMBER(G1527),ISNUMBER(H1527)),IF(G1527&gt;0,H1527/G1527,""),"")</f>
        <v>0</v>
      </c>
      <c r="K1527" s="77"/>
      <c r="L1527" s="76" t="str">
        <f aca="false">IF(OR(G1527="",H1527=""),"Data tidak lengkap",IF(AND(G1527=0,H1527=0),IF(AND(F1527="",K1527=""),"Tidak dibuka","Tutup"),IF(H1527&gt;G1527,"Lebih kapasitas",IF(H1527=G1527,"Penuh",IF(H1527=0,IF(F1527="","Slot kosong","Belum terisi"),"Sebagian")))))</f>
        <v>Belum terisi</v>
      </c>
      <c r="M1527" s="79" t="str">
        <f aca="false">IF(L1527="Tidak dibuka","–",IF(F1527="","(tanpa age group)",F1527)&amp;"  "&amp;IF(H1527="","?",H1527)&amp;"/"&amp;IF(G1527="","?",G1527)&amp;CHAR(10)&amp;IF(K1527="","coach: –","coach: "&amp;K1527))</f>
        <v>Kids  0/4
coach: –</v>
      </c>
    </row>
    <row r="1528" customFormat="false" ht="22.35" hidden="false" customHeight="false" outlineLevel="0" collapsed="false">
      <c r="A1528" s="76" t="str">
        <f aca="false">B1528&amp;"|"&amp;C1528&amp;"|"&amp;D1528&amp;"|"&amp;E1528</f>
        <v>TMP|4|Selasa|10:30</v>
      </c>
      <c r="B1528" s="76" t="s">
        <v>67</v>
      </c>
      <c r="C1528" s="76" t="n">
        <v>4</v>
      </c>
      <c r="D1528" s="76" t="s">
        <v>91</v>
      </c>
      <c r="E1528" s="76" t="s">
        <v>99</v>
      </c>
      <c r="F1528" s="77" t="s">
        <v>210</v>
      </c>
      <c r="G1528" s="77" t="n">
        <v>4</v>
      </c>
      <c r="H1528" s="77" t="n">
        <v>0</v>
      </c>
      <c r="I1528" s="76" t="n">
        <f aca="false">IF(AND(ISNUMBER(G1528),ISNUMBER(H1528)),MAX(G1528-H1528,0),"")</f>
        <v>4</v>
      </c>
      <c r="J1528" s="78" t="n">
        <f aca="false">IF(AND(ISNUMBER(G1528),ISNUMBER(H1528)),IF(G1528&gt;0,H1528/G1528,""),"")</f>
        <v>0</v>
      </c>
      <c r="K1528" s="77"/>
      <c r="L1528" s="76" t="str">
        <f aca="false">IF(OR(G1528="",H1528=""),"Data tidak lengkap",IF(AND(G1528=0,H1528=0),IF(AND(F1528="",K1528=""),"Tidak dibuka","Tutup"),IF(H1528&gt;G1528,"Lebih kapasitas",IF(H1528=G1528,"Penuh",IF(H1528=0,IF(F1528="","Slot kosong","Belum terisi"),"Sebagian")))))</f>
        <v>Belum terisi</v>
      </c>
      <c r="M1528" s="79" t="str">
        <f aca="false">IF(L1528="Tidak dibuka","–",IF(F1528="","(tanpa age group)",F1528)&amp;"  "&amp;IF(H1528="","?",H1528)&amp;"/"&amp;IF(G1528="","?",G1528)&amp;CHAR(10)&amp;IF(K1528="","coach: –","coach: "&amp;K1528))</f>
        <v>Kids  0/4
coach: –</v>
      </c>
    </row>
    <row r="1529" customFormat="false" ht="22.35" hidden="false" customHeight="false" outlineLevel="0" collapsed="false">
      <c r="A1529" s="76" t="str">
        <f aca="false">B1529&amp;"|"&amp;C1529&amp;"|"&amp;D1529&amp;"|"&amp;E1529</f>
        <v>TMP|4|Selasa|11:15</v>
      </c>
      <c r="B1529" s="76" t="s">
        <v>67</v>
      </c>
      <c r="C1529" s="76" t="n">
        <v>4</v>
      </c>
      <c r="D1529" s="76" t="s">
        <v>91</v>
      </c>
      <c r="E1529" s="76" t="s">
        <v>100</v>
      </c>
      <c r="F1529" s="77" t="s">
        <v>210</v>
      </c>
      <c r="G1529" s="77" t="n">
        <v>4</v>
      </c>
      <c r="H1529" s="77" t="n">
        <v>0</v>
      </c>
      <c r="I1529" s="76" t="n">
        <f aca="false">IF(AND(ISNUMBER(G1529),ISNUMBER(H1529)),MAX(G1529-H1529,0),"")</f>
        <v>4</v>
      </c>
      <c r="J1529" s="78" t="n">
        <f aca="false">IF(AND(ISNUMBER(G1529),ISNUMBER(H1529)),IF(G1529&gt;0,H1529/G1529,""),"")</f>
        <v>0</v>
      </c>
      <c r="K1529" s="77"/>
      <c r="L1529" s="76" t="str">
        <f aca="false">IF(OR(G1529="",H1529=""),"Data tidak lengkap",IF(AND(G1529=0,H1529=0),IF(AND(F1529="",K1529=""),"Tidak dibuka","Tutup"),IF(H1529&gt;G1529,"Lebih kapasitas",IF(H1529=G1529,"Penuh",IF(H1529=0,IF(F1529="","Slot kosong","Belum terisi"),"Sebagian")))))</f>
        <v>Belum terisi</v>
      </c>
      <c r="M1529" s="79" t="str">
        <f aca="false">IF(L1529="Tidak dibuka","–",IF(F1529="","(tanpa age group)",F1529)&amp;"  "&amp;IF(H1529="","?",H1529)&amp;"/"&amp;IF(G1529="","?",G1529)&amp;CHAR(10)&amp;IF(K1529="","coach: –","coach: "&amp;K1529))</f>
        <v>Kids  0/4
coach: –</v>
      </c>
    </row>
    <row r="1530" customFormat="false" ht="22.35" hidden="false" customHeight="false" outlineLevel="0" collapsed="false">
      <c r="A1530" s="76" t="str">
        <f aca="false">B1530&amp;"|"&amp;C1530&amp;"|"&amp;D1530&amp;"|"&amp;E1530</f>
        <v>TMP|4|Selasa|12:00</v>
      </c>
      <c r="B1530" s="76" t="s">
        <v>67</v>
      </c>
      <c r="C1530" s="76" t="n">
        <v>4</v>
      </c>
      <c r="D1530" s="76" t="s">
        <v>91</v>
      </c>
      <c r="E1530" s="76" t="s">
        <v>101</v>
      </c>
      <c r="F1530" s="77" t="s">
        <v>210</v>
      </c>
      <c r="G1530" s="77" t="n">
        <v>4</v>
      </c>
      <c r="H1530" s="77" t="n">
        <v>0</v>
      </c>
      <c r="I1530" s="76" t="n">
        <f aca="false">IF(AND(ISNUMBER(G1530),ISNUMBER(H1530)),MAX(G1530-H1530,0),"")</f>
        <v>4</v>
      </c>
      <c r="J1530" s="78" t="n">
        <f aca="false">IF(AND(ISNUMBER(G1530),ISNUMBER(H1530)),IF(G1530&gt;0,H1530/G1530,""),"")</f>
        <v>0</v>
      </c>
      <c r="K1530" s="77"/>
      <c r="L1530" s="76" t="str">
        <f aca="false">IF(OR(G1530="",H1530=""),"Data tidak lengkap",IF(AND(G1530=0,H1530=0),IF(AND(F1530="",K1530=""),"Tidak dibuka","Tutup"),IF(H1530&gt;G1530,"Lebih kapasitas",IF(H1530=G1530,"Penuh",IF(H1530=0,IF(F1530="","Slot kosong","Belum terisi"),"Sebagian")))))</f>
        <v>Belum terisi</v>
      </c>
      <c r="M1530" s="79" t="str">
        <f aca="false">IF(L1530="Tidak dibuka","–",IF(F1530="","(tanpa age group)",F1530)&amp;"  "&amp;IF(H1530="","?",H1530)&amp;"/"&amp;IF(G1530="","?",G1530)&amp;CHAR(10)&amp;IF(K1530="","coach: –","coach: "&amp;K1530))</f>
        <v>Kids  0/4
coach: –</v>
      </c>
    </row>
    <row r="1531" customFormat="false" ht="22.35" hidden="false" customHeight="false" outlineLevel="0" collapsed="false">
      <c r="A1531" s="76" t="str">
        <f aca="false">B1531&amp;"|"&amp;C1531&amp;"|"&amp;D1531&amp;"|"&amp;E1531</f>
        <v>TMP|4|Selasa|13:30</v>
      </c>
      <c r="B1531" s="76" t="s">
        <v>67</v>
      </c>
      <c r="C1531" s="76" t="n">
        <v>4</v>
      </c>
      <c r="D1531" s="76" t="s">
        <v>91</v>
      </c>
      <c r="E1531" s="76" t="s">
        <v>102</v>
      </c>
      <c r="F1531" s="77" t="s">
        <v>210</v>
      </c>
      <c r="G1531" s="77" t="n">
        <v>4</v>
      </c>
      <c r="H1531" s="77" t="n">
        <v>0</v>
      </c>
      <c r="I1531" s="76" t="n">
        <f aca="false">IF(AND(ISNUMBER(G1531),ISNUMBER(H1531)),MAX(G1531-H1531,0),"")</f>
        <v>4</v>
      </c>
      <c r="J1531" s="78" t="n">
        <f aca="false">IF(AND(ISNUMBER(G1531),ISNUMBER(H1531)),IF(G1531&gt;0,H1531/G1531,""),"")</f>
        <v>0</v>
      </c>
      <c r="K1531" s="77"/>
      <c r="L1531" s="76" t="str">
        <f aca="false">IF(OR(G1531="",H1531=""),"Data tidak lengkap",IF(AND(G1531=0,H1531=0),IF(AND(F1531="",K1531=""),"Tidak dibuka","Tutup"),IF(H1531&gt;G1531,"Lebih kapasitas",IF(H1531=G1531,"Penuh",IF(H1531=0,IF(F1531="","Slot kosong","Belum terisi"),"Sebagian")))))</f>
        <v>Belum terisi</v>
      </c>
      <c r="M1531" s="79" t="str">
        <f aca="false">IF(L1531="Tidak dibuka","–",IF(F1531="","(tanpa age group)",F1531)&amp;"  "&amp;IF(H1531="","?",H1531)&amp;"/"&amp;IF(G1531="","?",G1531)&amp;CHAR(10)&amp;IF(K1531="","coach: –","coach: "&amp;K1531))</f>
        <v>Kids  0/4
coach: –</v>
      </c>
    </row>
    <row r="1532" customFormat="false" ht="22.35" hidden="false" customHeight="false" outlineLevel="0" collapsed="false">
      <c r="A1532" s="76" t="str">
        <f aca="false">B1532&amp;"|"&amp;C1532&amp;"|"&amp;D1532&amp;"|"&amp;E1532</f>
        <v>TMP|4|Selasa|14:15</v>
      </c>
      <c r="B1532" s="76" t="s">
        <v>67</v>
      </c>
      <c r="C1532" s="76" t="n">
        <v>4</v>
      </c>
      <c r="D1532" s="76" t="s">
        <v>91</v>
      </c>
      <c r="E1532" s="76" t="s">
        <v>103</v>
      </c>
      <c r="F1532" s="77" t="s">
        <v>210</v>
      </c>
      <c r="G1532" s="77" t="n">
        <v>4</v>
      </c>
      <c r="H1532" s="77" t="n">
        <v>0</v>
      </c>
      <c r="I1532" s="76" t="n">
        <f aca="false">IF(AND(ISNUMBER(G1532),ISNUMBER(H1532)),MAX(G1532-H1532,0),"")</f>
        <v>4</v>
      </c>
      <c r="J1532" s="78" t="n">
        <f aca="false">IF(AND(ISNUMBER(G1532),ISNUMBER(H1532)),IF(G1532&gt;0,H1532/G1532,""),"")</f>
        <v>0</v>
      </c>
      <c r="K1532" s="77"/>
      <c r="L1532" s="76" t="str">
        <f aca="false">IF(OR(G1532="",H1532=""),"Data tidak lengkap",IF(AND(G1532=0,H1532=0),IF(AND(F1532="",K1532=""),"Tidak dibuka","Tutup"),IF(H1532&gt;G1532,"Lebih kapasitas",IF(H1532=G1532,"Penuh",IF(H1532=0,IF(F1532="","Slot kosong","Belum terisi"),"Sebagian")))))</f>
        <v>Belum terisi</v>
      </c>
      <c r="M1532" s="79" t="str">
        <f aca="false">IF(L1532="Tidak dibuka","–",IF(F1532="","(tanpa age group)",F1532)&amp;"  "&amp;IF(H1532="","?",H1532)&amp;"/"&amp;IF(G1532="","?",G1532)&amp;CHAR(10)&amp;IF(K1532="","coach: –","coach: "&amp;K1532))</f>
        <v>Kids  0/4
coach: –</v>
      </c>
    </row>
    <row r="1533" customFormat="false" ht="22.35" hidden="false" customHeight="false" outlineLevel="0" collapsed="false">
      <c r="A1533" s="76" t="str">
        <f aca="false">B1533&amp;"|"&amp;C1533&amp;"|"&amp;D1533&amp;"|"&amp;E1533</f>
        <v>TMP|4|Selasa|15:00</v>
      </c>
      <c r="B1533" s="76" t="s">
        <v>67</v>
      </c>
      <c r="C1533" s="76" t="n">
        <v>4</v>
      </c>
      <c r="D1533" s="76" t="s">
        <v>91</v>
      </c>
      <c r="E1533" s="76" t="s">
        <v>104</v>
      </c>
      <c r="F1533" s="77" t="s">
        <v>210</v>
      </c>
      <c r="G1533" s="77" t="n">
        <v>4</v>
      </c>
      <c r="H1533" s="77" t="n">
        <v>0</v>
      </c>
      <c r="I1533" s="76" t="n">
        <f aca="false">IF(AND(ISNUMBER(G1533),ISNUMBER(H1533)),MAX(G1533-H1533,0),"")</f>
        <v>4</v>
      </c>
      <c r="J1533" s="78" t="n">
        <f aca="false">IF(AND(ISNUMBER(G1533),ISNUMBER(H1533)),IF(G1533&gt;0,H1533/G1533,""),"")</f>
        <v>0</v>
      </c>
      <c r="K1533" s="77"/>
      <c r="L1533" s="76" t="str">
        <f aca="false">IF(OR(G1533="",H1533=""),"Data tidak lengkap",IF(AND(G1533=0,H1533=0),IF(AND(F1533="",K1533=""),"Tidak dibuka","Tutup"),IF(H1533&gt;G1533,"Lebih kapasitas",IF(H1533=G1533,"Penuh",IF(H1533=0,IF(F1533="","Slot kosong","Belum terisi"),"Sebagian")))))</f>
        <v>Belum terisi</v>
      </c>
      <c r="M1533" s="79" t="str">
        <f aca="false">IF(L1533="Tidak dibuka","–",IF(F1533="","(tanpa age group)",F1533)&amp;"  "&amp;IF(H1533="","?",H1533)&amp;"/"&amp;IF(G1533="","?",G1533)&amp;CHAR(10)&amp;IF(K1533="","coach: –","coach: "&amp;K1533))</f>
        <v>Kids  0/4
coach: –</v>
      </c>
    </row>
    <row r="1534" customFormat="false" ht="22.35" hidden="false" customHeight="false" outlineLevel="0" collapsed="false">
      <c r="A1534" s="76" t="str">
        <f aca="false">B1534&amp;"|"&amp;C1534&amp;"|"&amp;D1534&amp;"|"&amp;E1534</f>
        <v>TMP|4|Selasa|15:45</v>
      </c>
      <c r="B1534" s="76" t="s">
        <v>67</v>
      </c>
      <c r="C1534" s="76" t="n">
        <v>4</v>
      </c>
      <c r="D1534" s="76" t="s">
        <v>91</v>
      </c>
      <c r="E1534" s="76" t="s">
        <v>105</v>
      </c>
      <c r="F1534" s="77" t="s">
        <v>210</v>
      </c>
      <c r="G1534" s="77" t="n">
        <v>4</v>
      </c>
      <c r="H1534" s="77" t="n">
        <v>0</v>
      </c>
      <c r="I1534" s="76" t="n">
        <f aca="false">IF(AND(ISNUMBER(G1534),ISNUMBER(H1534)),MAX(G1534-H1534,0),"")</f>
        <v>4</v>
      </c>
      <c r="J1534" s="78" t="n">
        <f aca="false">IF(AND(ISNUMBER(G1534),ISNUMBER(H1534)),IF(G1534&gt;0,H1534/G1534,""),"")</f>
        <v>0</v>
      </c>
      <c r="K1534" s="77"/>
      <c r="L1534" s="76" t="str">
        <f aca="false">IF(OR(G1534="",H1534=""),"Data tidak lengkap",IF(AND(G1534=0,H1534=0),IF(AND(F1534="",K1534=""),"Tidak dibuka","Tutup"),IF(H1534&gt;G1534,"Lebih kapasitas",IF(H1534=G1534,"Penuh",IF(H1534=0,IF(F1534="","Slot kosong","Belum terisi"),"Sebagian")))))</f>
        <v>Belum terisi</v>
      </c>
      <c r="M1534" s="79" t="str">
        <f aca="false">IF(L1534="Tidak dibuka","–",IF(F1534="","(tanpa age group)",F1534)&amp;"  "&amp;IF(H1534="","?",H1534)&amp;"/"&amp;IF(G1534="","?",G1534)&amp;CHAR(10)&amp;IF(K1534="","coach: –","coach: "&amp;K1534))</f>
        <v>Kids  0/4
coach: –</v>
      </c>
    </row>
    <row r="1535" customFormat="false" ht="22.35" hidden="false" customHeight="false" outlineLevel="0" collapsed="false">
      <c r="A1535" s="76" t="str">
        <f aca="false">B1535&amp;"|"&amp;C1535&amp;"|"&amp;D1535&amp;"|"&amp;E1535</f>
        <v>TMP|4|Selasa|16:30</v>
      </c>
      <c r="B1535" s="76" t="s">
        <v>67</v>
      </c>
      <c r="C1535" s="76" t="n">
        <v>4</v>
      </c>
      <c r="D1535" s="76" t="s">
        <v>91</v>
      </c>
      <c r="E1535" s="76" t="s">
        <v>106</v>
      </c>
      <c r="F1535" s="77" t="s">
        <v>210</v>
      </c>
      <c r="G1535" s="77" t="n">
        <v>4</v>
      </c>
      <c r="H1535" s="77" t="n">
        <v>0</v>
      </c>
      <c r="I1535" s="76" t="n">
        <f aca="false">IF(AND(ISNUMBER(G1535),ISNUMBER(H1535)),MAX(G1535-H1535,0),"")</f>
        <v>4</v>
      </c>
      <c r="J1535" s="78" t="n">
        <f aca="false">IF(AND(ISNUMBER(G1535),ISNUMBER(H1535)),IF(G1535&gt;0,H1535/G1535,""),"")</f>
        <v>0</v>
      </c>
      <c r="K1535" s="77"/>
      <c r="L1535" s="76" t="str">
        <f aca="false">IF(OR(G1535="",H1535=""),"Data tidak lengkap",IF(AND(G1535=0,H1535=0),IF(AND(F1535="",K1535=""),"Tidak dibuka","Tutup"),IF(H1535&gt;G1535,"Lebih kapasitas",IF(H1535=G1535,"Penuh",IF(H1535=0,IF(F1535="","Slot kosong","Belum terisi"),"Sebagian")))))</f>
        <v>Belum terisi</v>
      </c>
      <c r="M1535" s="79" t="str">
        <f aca="false">IF(L1535="Tidak dibuka","–",IF(F1535="","(tanpa age group)",F1535)&amp;"  "&amp;IF(H1535="","?",H1535)&amp;"/"&amp;IF(G1535="","?",G1535)&amp;CHAR(10)&amp;IF(K1535="","coach: –","coach: "&amp;K1535))</f>
        <v>Kids  0/4
coach: –</v>
      </c>
    </row>
    <row r="1536" customFormat="false" ht="22.35" hidden="false" customHeight="false" outlineLevel="0" collapsed="false">
      <c r="A1536" s="76" t="str">
        <f aca="false">B1536&amp;"|"&amp;C1536&amp;"|"&amp;D1536&amp;"|"&amp;E1536</f>
        <v>TMP|4|Selasa|17:15</v>
      </c>
      <c r="B1536" s="76" t="s">
        <v>67</v>
      </c>
      <c r="C1536" s="76" t="n">
        <v>4</v>
      </c>
      <c r="D1536" s="76" t="s">
        <v>91</v>
      </c>
      <c r="E1536" s="76" t="s">
        <v>107</v>
      </c>
      <c r="F1536" s="77" t="s">
        <v>210</v>
      </c>
      <c r="G1536" s="77" t="n">
        <v>4</v>
      </c>
      <c r="H1536" s="77" t="n">
        <v>0</v>
      </c>
      <c r="I1536" s="76" t="n">
        <f aca="false">IF(AND(ISNUMBER(G1536),ISNUMBER(H1536)),MAX(G1536-H1536,0),"")</f>
        <v>4</v>
      </c>
      <c r="J1536" s="78" t="n">
        <f aca="false">IF(AND(ISNUMBER(G1536),ISNUMBER(H1536)),IF(G1536&gt;0,H1536/G1536,""),"")</f>
        <v>0</v>
      </c>
      <c r="K1536" s="77"/>
      <c r="L1536" s="76" t="str">
        <f aca="false">IF(OR(G1536="",H1536=""),"Data tidak lengkap",IF(AND(G1536=0,H1536=0),IF(AND(F1536="",K1536=""),"Tidak dibuka","Tutup"),IF(H1536&gt;G1536,"Lebih kapasitas",IF(H1536=G1536,"Penuh",IF(H1536=0,IF(F1536="","Slot kosong","Belum terisi"),"Sebagian")))))</f>
        <v>Belum terisi</v>
      </c>
      <c r="M1536" s="79" t="str">
        <f aca="false">IF(L1536="Tidak dibuka","–",IF(F1536="","(tanpa age group)",F1536)&amp;"  "&amp;IF(H1536="","?",H1536)&amp;"/"&amp;IF(G1536="","?",G1536)&amp;CHAR(10)&amp;IF(K1536="","coach: –","coach: "&amp;K1536))</f>
        <v>Kids  0/4
coach: –</v>
      </c>
    </row>
    <row r="1537" customFormat="false" ht="22.35" hidden="false" customHeight="false" outlineLevel="0" collapsed="false">
      <c r="A1537" s="76" t="str">
        <f aca="false">B1537&amp;"|"&amp;C1537&amp;"|"&amp;D1537&amp;"|"&amp;E1537</f>
        <v>TMP|4|Rabu|08:15</v>
      </c>
      <c r="B1537" s="76" t="s">
        <v>67</v>
      </c>
      <c r="C1537" s="76" t="n">
        <v>4</v>
      </c>
      <c r="D1537" s="76" t="s">
        <v>92</v>
      </c>
      <c r="E1537" s="76" t="s">
        <v>96</v>
      </c>
      <c r="F1537" s="77" t="s">
        <v>210</v>
      </c>
      <c r="G1537" s="77" t="n">
        <v>4</v>
      </c>
      <c r="H1537" s="77" t="n">
        <v>0</v>
      </c>
      <c r="I1537" s="76" t="n">
        <f aca="false">IF(AND(ISNUMBER(G1537),ISNUMBER(H1537)),MAX(G1537-H1537,0),"")</f>
        <v>4</v>
      </c>
      <c r="J1537" s="78" t="n">
        <f aca="false">IF(AND(ISNUMBER(G1537),ISNUMBER(H1537)),IF(G1537&gt;0,H1537/G1537,""),"")</f>
        <v>0</v>
      </c>
      <c r="K1537" s="77"/>
      <c r="L1537" s="76" t="str">
        <f aca="false">IF(OR(G1537="",H1537=""),"Data tidak lengkap",IF(AND(G1537=0,H1537=0),IF(AND(F1537="",K1537=""),"Tidak dibuka","Tutup"),IF(H1537&gt;G1537,"Lebih kapasitas",IF(H1537=G1537,"Penuh",IF(H1537=0,IF(F1537="","Slot kosong","Belum terisi"),"Sebagian")))))</f>
        <v>Belum terisi</v>
      </c>
      <c r="M1537" s="79" t="str">
        <f aca="false">IF(L1537="Tidak dibuka","–",IF(F1537="","(tanpa age group)",F1537)&amp;"  "&amp;IF(H1537="","?",H1537)&amp;"/"&amp;IF(G1537="","?",G1537)&amp;CHAR(10)&amp;IF(K1537="","coach: –","coach: "&amp;K1537))</f>
        <v>Kids  0/4
coach: –</v>
      </c>
    </row>
    <row r="1538" customFormat="false" ht="22.35" hidden="false" customHeight="false" outlineLevel="0" collapsed="false">
      <c r="A1538" s="76" t="str">
        <f aca="false">B1538&amp;"|"&amp;C1538&amp;"|"&amp;D1538&amp;"|"&amp;E1538</f>
        <v>TMP|4|Rabu|09:00</v>
      </c>
      <c r="B1538" s="76" t="s">
        <v>67</v>
      </c>
      <c r="C1538" s="76" t="n">
        <v>4</v>
      </c>
      <c r="D1538" s="76" t="s">
        <v>92</v>
      </c>
      <c r="E1538" s="76" t="s">
        <v>97</v>
      </c>
      <c r="F1538" s="77" t="s">
        <v>210</v>
      </c>
      <c r="G1538" s="77" t="n">
        <v>4</v>
      </c>
      <c r="H1538" s="77" t="n">
        <v>0</v>
      </c>
      <c r="I1538" s="76" t="n">
        <f aca="false">IF(AND(ISNUMBER(G1538),ISNUMBER(H1538)),MAX(G1538-H1538,0),"")</f>
        <v>4</v>
      </c>
      <c r="J1538" s="78" t="n">
        <f aca="false">IF(AND(ISNUMBER(G1538),ISNUMBER(H1538)),IF(G1538&gt;0,H1538/G1538,""),"")</f>
        <v>0</v>
      </c>
      <c r="K1538" s="77"/>
      <c r="L1538" s="76" t="str">
        <f aca="false">IF(OR(G1538="",H1538=""),"Data tidak lengkap",IF(AND(G1538=0,H1538=0),IF(AND(F1538="",K1538=""),"Tidak dibuka","Tutup"),IF(H1538&gt;G1538,"Lebih kapasitas",IF(H1538=G1538,"Penuh",IF(H1538=0,IF(F1538="","Slot kosong","Belum terisi"),"Sebagian")))))</f>
        <v>Belum terisi</v>
      </c>
      <c r="M1538" s="79" t="str">
        <f aca="false">IF(L1538="Tidak dibuka","–",IF(F1538="","(tanpa age group)",F1538)&amp;"  "&amp;IF(H1538="","?",H1538)&amp;"/"&amp;IF(G1538="","?",G1538)&amp;CHAR(10)&amp;IF(K1538="","coach: –","coach: "&amp;K1538))</f>
        <v>Kids  0/4
coach: –</v>
      </c>
    </row>
    <row r="1539" customFormat="false" ht="22.35" hidden="false" customHeight="false" outlineLevel="0" collapsed="false">
      <c r="A1539" s="76" t="str">
        <f aca="false">B1539&amp;"|"&amp;C1539&amp;"|"&amp;D1539&amp;"|"&amp;E1539</f>
        <v>TMP|4|Rabu|09:45</v>
      </c>
      <c r="B1539" s="76" t="s">
        <v>67</v>
      </c>
      <c r="C1539" s="76" t="n">
        <v>4</v>
      </c>
      <c r="D1539" s="76" t="s">
        <v>92</v>
      </c>
      <c r="E1539" s="76" t="s">
        <v>98</v>
      </c>
      <c r="F1539" s="77" t="s">
        <v>210</v>
      </c>
      <c r="G1539" s="77" t="n">
        <v>4</v>
      </c>
      <c r="H1539" s="77" t="n">
        <v>0</v>
      </c>
      <c r="I1539" s="76" t="n">
        <f aca="false">IF(AND(ISNUMBER(G1539),ISNUMBER(H1539)),MAX(G1539-H1539,0),"")</f>
        <v>4</v>
      </c>
      <c r="J1539" s="78" t="n">
        <f aca="false">IF(AND(ISNUMBER(G1539),ISNUMBER(H1539)),IF(G1539&gt;0,H1539/G1539,""),"")</f>
        <v>0</v>
      </c>
      <c r="K1539" s="77"/>
      <c r="L1539" s="76" t="str">
        <f aca="false">IF(OR(G1539="",H1539=""),"Data tidak lengkap",IF(AND(G1539=0,H1539=0),IF(AND(F1539="",K1539=""),"Tidak dibuka","Tutup"),IF(H1539&gt;G1539,"Lebih kapasitas",IF(H1539=G1539,"Penuh",IF(H1539=0,IF(F1539="","Slot kosong","Belum terisi"),"Sebagian")))))</f>
        <v>Belum terisi</v>
      </c>
      <c r="M1539" s="79" t="str">
        <f aca="false">IF(L1539="Tidak dibuka","–",IF(F1539="","(tanpa age group)",F1539)&amp;"  "&amp;IF(H1539="","?",H1539)&amp;"/"&amp;IF(G1539="","?",G1539)&amp;CHAR(10)&amp;IF(K1539="","coach: –","coach: "&amp;K1539))</f>
        <v>Kids  0/4
coach: –</v>
      </c>
    </row>
    <row r="1540" customFormat="false" ht="22.35" hidden="false" customHeight="false" outlineLevel="0" collapsed="false">
      <c r="A1540" s="76" t="str">
        <f aca="false">B1540&amp;"|"&amp;C1540&amp;"|"&amp;D1540&amp;"|"&amp;E1540</f>
        <v>TMP|4|Rabu|10:30</v>
      </c>
      <c r="B1540" s="76" t="s">
        <v>67</v>
      </c>
      <c r="C1540" s="76" t="n">
        <v>4</v>
      </c>
      <c r="D1540" s="76" t="s">
        <v>92</v>
      </c>
      <c r="E1540" s="76" t="s">
        <v>99</v>
      </c>
      <c r="F1540" s="77" t="s">
        <v>210</v>
      </c>
      <c r="G1540" s="77" t="n">
        <v>4</v>
      </c>
      <c r="H1540" s="77" t="n">
        <v>0</v>
      </c>
      <c r="I1540" s="76" t="n">
        <f aca="false">IF(AND(ISNUMBER(G1540),ISNUMBER(H1540)),MAX(G1540-H1540,0),"")</f>
        <v>4</v>
      </c>
      <c r="J1540" s="78" t="n">
        <f aca="false">IF(AND(ISNUMBER(G1540),ISNUMBER(H1540)),IF(G1540&gt;0,H1540/G1540,""),"")</f>
        <v>0</v>
      </c>
      <c r="K1540" s="77"/>
      <c r="L1540" s="76" t="str">
        <f aca="false">IF(OR(G1540="",H1540=""),"Data tidak lengkap",IF(AND(G1540=0,H1540=0),IF(AND(F1540="",K1540=""),"Tidak dibuka","Tutup"),IF(H1540&gt;G1540,"Lebih kapasitas",IF(H1540=G1540,"Penuh",IF(H1540=0,IF(F1540="","Slot kosong","Belum terisi"),"Sebagian")))))</f>
        <v>Belum terisi</v>
      </c>
      <c r="M1540" s="79" t="str">
        <f aca="false">IF(L1540="Tidak dibuka","–",IF(F1540="","(tanpa age group)",F1540)&amp;"  "&amp;IF(H1540="","?",H1540)&amp;"/"&amp;IF(G1540="","?",G1540)&amp;CHAR(10)&amp;IF(K1540="","coach: –","coach: "&amp;K1540))</f>
        <v>Kids  0/4
coach: –</v>
      </c>
    </row>
    <row r="1541" customFormat="false" ht="22.35" hidden="false" customHeight="false" outlineLevel="0" collapsed="false">
      <c r="A1541" s="76" t="str">
        <f aca="false">B1541&amp;"|"&amp;C1541&amp;"|"&amp;D1541&amp;"|"&amp;E1541</f>
        <v>TMP|4|Rabu|11:15</v>
      </c>
      <c r="B1541" s="76" t="s">
        <v>67</v>
      </c>
      <c r="C1541" s="76" t="n">
        <v>4</v>
      </c>
      <c r="D1541" s="76" t="s">
        <v>92</v>
      </c>
      <c r="E1541" s="76" t="s">
        <v>100</v>
      </c>
      <c r="F1541" s="77" t="s">
        <v>210</v>
      </c>
      <c r="G1541" s="77" t="n">
        <v>4</v>
      </c>
      <c r="H1541" s="77" t="n">
        <v>0</v>
      </c>
      <c r="I1541" s="76" t="n">
        <f aca="false">IF(AND(ISNUMBER(G1541),ISNUMBER(H1541)),MAX(G1541-H1541,0),"")</f>
        <v>4</v>
      </c>
      <c r="J1541" s="78" t="n">
        <f aca="false">IF(AND(ISNUMBER(G1541),ISNUMBER(H1541)),IF(G1541&gt;0,H1541/G1541,""),"")</f>
        <v>0</v>
      </c>
      <c r="K1541" s="77"/>
      <c r="L1541" s="76" t="str">
        <f aca="false">IF(OR(G1541="",H1541=""),"Data tidak lengkap",IF(AND(G1541=0,H1541=0),IF(AND(F1541="",K1541=""),"Tidak dibuka","Tutup"),IF(H1541&gt;G1541,"Lebih kapasitas",IF(H1541=G1541,"Penuh",IF(H1541=0,IF(F1541="","Slot kosong","Belum terisi"),"Sebagian")))))</f>
        <v>Belum terisi</v>
      </c>
      <c r="M1541" s="79" t="str">
        <f aca="false">IF(L1541="Tidak dibuka","–",IF(F1541="","(tanpa age group)",F1541)&amp;"  "&amp;IF(H1541="","?",H1541)&amp;"/"&amp;IF(G1541="","?",G1541)&amp;CHAR(10)&amp;IF(K1541="","coach: –","coach: "&amp;K1541))</f>
        <v>Kids  0/4
coach: –</v>
      </c>
    </row>
    <row r="1542" customFormat="false" ht="22.35" hidden="false" customHeight="false" outlineLevel="0" collapsed="false">
      <c r="A1542" s="76" t="str">
        <f aca="false">B1542&amp;"|"&amp;C1542&amp;"|"&amp;D1542&amp;"|"&amp;E1542</f>
        <v>TMP|4|Rabu|12:00</v>
      </c>
      <c r="B1542" s="76" t="s">
        <v>67</v>
      </c>
      <c r="C1542" s="76" t="n">
        <v>4</v>
      </c>
      <c r="D1542" s="76" t="s">
        <v>92</v>
      </c>
      <c r="E1542" s="76" t="s">
        <v>101</v>
      </c>
      <c r="F1542" s="77" t="s">
        <v>210</v>
      </c>
      <c r="G1542" s="77" t="n">
        <v>4</v>
      </c>
      <c r="H1542" s="77" t="n">
        <v>0</v>
      </c>
      <c r="I1542" s="76" t="n">
        <f aca="false">IF(AND(ISNUMBER(G1542),ISNUMBER(H1542)),MAX(G1542-H1542,0),"")</f>
        <v>4</v>
      </c>
      <c r="J1542" s="78" t="n">
        <f aca="false">IF(AND(ISNUMBER(G1542),ISNUMBER(H1542)),IF(G1542&gt;0,H1542/G1542,""),"")</f>
        <v>0</v>
      </c>
      <c r="K1542" s="77"/>
      <c r="L1542" s="76" t="str">
        <f aca="false">IF(OR(G1542="",H1542=""),"Data tidak lengkap",IF(AND(G1542=0,H1542=0),IF(AND(F1542="",K1542=""),"Tidak dibuka","Tutup"),IF(H1542&gt;G1542,"Lebih kapasitas",IF(H1542=G1542,"Penuh",IF(H1542=0,IF(F1542="","Slot kosong","Belum terisi"),"Sebagian")))))</f>
        <v>Belum terisi</v>
      </c>
      <c r="M1542" s="79" t="str">
        <f aca="false">IF(L1542="Tidak dibuka","–",IF(F1542="","(tanpa age group)",F1542)&amp;"  "&amp;IF(H1542="","?",H1542)&amp;"/"&amp;IF(G1542="","?",G1542)&amp;CHAR(10)&amp;IF(K1542="","coach: –","coach: "&amp;K1542))</f>
        <v>Kids  0/4
coach: –</v>
      </c>
    </row>
    <row r="1543" customFormat="false" ht="22.35" hidden="false" customHeight="false" outlineLevel="0" collapsed="false">
      <c r="A1543" s="76" t="str">
        <f aca="false">B1543&amp;"|"&amp;C1543&amp;"|"&amp;D1543&amp;"|"&amp;E1543</f>
        <v>TMP|4|Rabu|13:30</v>
      </c>
      <c r="B1543" s="76" t="s">
        <v>67</v>
      </c>
      <c r="C1543" s="76" t="n">
        <v>4</v>
      </c>
      <c r="D1543" s="76" t="s">
        <v>92</v>
      </c>
      <c r="E1543" s="76" t="s">
        <v>102</v>
      </c>
      <c r="F1543" s="77" t="s">
        <v>210</v>
      </c>
      <c r="G1543" s="77" t="n">
        <v>4</v>
      </c>
      <c r="H1543" s="77" t="n">
        <v>0</v>
      </c>
      <c r="I1543" s="76" t="n">
        <f aca="false">IF(AND(ISNUMBER(G1543),ISNUMBER(H1543)),MAX(G1543-H1543,0),"")</f>
        <v>4</v>
      </c>
      <c r="J1543" s="78" t="n">
        <f aca="false">IF(AND(ISNUMBER(G1543),ISNUMBER(H1543)),IF(G1543&gt;0,H1543/G1543,""),"")</f>
        <v>0</v>
      </c>
      <c r="K1543" s="77"/>
      <c r="L1543" s="76" t="str">
        <f aca="false">IF(OR(G1543="",H1543=""),"Data tidak lengkap",IF(AND(G1543=0,H1543=0),IF(AND(F1543="",K1543=""),"Tidak dibuka","Tutup"),IF(H1543&gt;G1543,"Lebih kapasitas",IF(H1543=G1543,"Penuh",IF(H1543=0,IF(F1543="","Slot kosong","Belum terisi"),"Sebagian")))))</f>
        <v>Belum terisi</v>
      </c>
      <c r="M1543" s="79" t="str">
        <f aca="false">IF(L1543="Tidak dibuka","–",IF(F1543="","(tanpa age group)",F1543)&amp;"  "&amp;IF(H1543="","?",H1543)&amp;"/"&amp;IF(G1543="","?",G1543)&amp;CHAR(10)&amp;IF(K1543="","coach: –","coach: "&amp;K1543))</f>
        <v>Kids  0/4
coach: –</v>
      </c>
    </row>
    <row r="1544" customFormat="false" ht="22.35" hidden="false" customHeight="false" outlineLevel="0" collapsed="false">
      <c r="A1544" s="76" t="str">
        <f aca="false">B1544&amp;"|"&amp;C1544&amp;"|"&amp;D1544&amp;"|"&amp;E1544</f>
        <v>TMP|4|Rabu|14:15</v>
      </c>
      <c r="B1544" s="76" t="s">
        <v>67</v>
      </c>
      <c r="C1544" s="76" t="n">
        <v>4</v>
      </c>
      <c r="D1544" s="76" t="s">
        <v>92</v>
      </c>
      <c r="E1544" s="76" t="s">
        <v>103</v>
      </c>
      <c r="F1544" s="77" t="s">
        <v>210</v>
      </c>
      <c r="G1544" s="77" t="n">
        <v>4</v>
      </c>
      <c r="H1544" s="77" t="n">
        <v>0</v>
      </c>
      <c r="I1544" s="76" t="n">
        <f aca="false">IF(AND(ISNUMBER(G1544),ISNUMBER(H1544)),MAX(G1544-H1544,0),"")</f>
        <v>4</v>
      </c>
      <c r="J1544" s="78" t="n">
        <f aca="false">IF(AND(ISNUMBER(G1544),ISNUMBER(H1544)),IF(G1544&gt;0,H1544/G1544,""),"")</f>
        <v>0</v>
      </c>
      <c r="K1544" s="77"/>
      <c r="L1544" s="76" t="str">
        <f aca="false">IF(OR(G1544="",H1544=""),"Data tidak lengkap",IF(AND(G1544=0,H1544=0),IF(AND(F1544="",K1544=""),"Tidak dibuka","Tutup"),IF(H1544&gt;G1544,"Lebih kapasitas",IF(H1544=G1544,"Penuh",IF(H1544=0,IF(F1544="","Slot kosong","Belum terisi"),"Sebagian")))))</f>
        <v>Belum terisi</v>
      </c>
      <c r="M1544" s="79" t="str">
        <f aca="false">IF(L1544="Tidak dibuka","–",IF(F1544="","(tanpa age group)",F1544)&amp;"  "&amp;IF(H1544="","?",H1544)&amp;"/"&amp;IF(G1544="","?",G1544)&amp;CHAR(10)&amp;IF(K1544="","coach: –","coach: "&amp;K1544))</f>
        <v>Kids  0/4
coach: –</v>
      </c>
    </row>
    <row r="1545" customFormat="false" ht="22.35" hidden="false" customHeight="false" outlineLevel="0" collapsed="false">
      <c r="A1545" s="76" t="str">
        <f aca="false">B1545&amp;"|"&amp;C1545&amp;"|"&amp;D1545&amp;"|"&amp;E1545</f>
        <v>TMP|4|Rabu|15:00</v>
      </c>
      <c r="B1545" s="76" t="s">
        <v>67</v>
      </c>
      <c r="C1545" s="76" t="n">
        <v>4</v>
      </c>
      <c r="D1545" s="76" t="s">
        <v>92</v>
      </c>
      <c r="E1545" s="76" t="s">
        <v>104</v>
      </c>
      <c r="F1545" s="77" t="s">
        <v>210</v>
      </c>
      <c r="G1545" s="77" t="n">
        <v>4</v>
      </c>
      <c r="H1545" s="77" t="n">
        <v>0</v>
      </c>
      <c r="I1545" s="76" t="n">
        <f aca="false">IF(AND(ISNUMBER(G1545),ISNUMBER(H1545)),MAX(G1545-H1545,0),"")</f>
        <v>4</v>
      </c>
      <c r="J1545" s="78" t="n">
        <f aca="false">IF(AND(ISNUMBER(G1545),ISNUMBER(H1545)),IF(G1545&gt;0,H1545/G1545,""),"")</f>
        <v>0</v>
      </c>
      <c r="K1545" s="77"/>
      <c r="L1545" s="76" t="str">
        <f aca="false">IF(OR(G1545="",H1545=""),"Data tidak lengkap",IF(AND(G1545=0,H1545=0),IF(AND(F1545="",K1545=""),"Tidak dibuka","Tutup"),IF(H1545&gt;G1545,"Lebih kapasitas",IF(H1545=G1545,"Penuh",IF(H1545=0,IF(F1545="","Slot kosong","Belum terisi"),"Sebagian")))))</f>
        <v>Belum terisi</v>
      </c>
      <c r="M1545" s="79" t="str">
        <f aca="false">IF(L1545="Tidak dibuka","–",IF(F1545="","(tanpa age group)",F1545)&amp;"  "&amp;IF(H1545="","?",H1545)&amp;"/"&amp;IF(G1545="","?",G1545)&amp;CHAR(10)&amp;IF(K1545="","coach: –","coach: "&amp;K1545))</f>
        <v>Kids  0/4
coach: –</v>
      </c>
    </row>
    <row r="1546" customFormat="false" ht="22.35" hidden="false" customHeight="false" outlineLevel="0" collapsed="false">
      <c r="A1546" s="76" t="str">
        <f aca="false">B1546&amp;"|"&amp;C1546&amp;"|"&amp;D1546&amp;"|"&amp;E1546</f>
        <v>TMP|4|Rabu|15:45</v>
      </c>
      <c r="B1546" s="76" t="s">
        <v>67</v>
      </c>
      <c r="C1546" s="76" t="n">
        <v>4</v>
      </c>
      <c r="D1546" s="76" t="s">
        <v>92</v>
      </c>
      <c r="E1546" s="76" t="s">
        <v>105</v>
      </c>
      <c r="F1546" s="77" t="s">
        <v>210</v>
      </c>
      <c r="G1546" s="77" t="n">
        <v>4</v>
      </c>
      <c r="H1546" s="77" t="n">
        <v>0</v>
      </c>
      <c r="I1546" s="76" t="n">
        <f aca="false">IF(AND(ISNUMBER(G1546),ISNUMBER(H1546)),MAX(G1546-H1546,0),"")</f>
        <v>4</v>
      </c>
      <c r="J1546" s="78" t="n">
        <f aca="false">IF(AND(ISNUMBER(G1546),ISNUMBER(H1546)),IF(G1546&gt;0,H1546/G1546,""),"")</f>
        <v>0</v>
      </c>
      <c r="K1546" s="77"/>
      <c r="L1546" s="76" t="str">
        <f aca="false">IF(OR(G1546="",H1546=""),"Data tidak lengkap",IF(AND(G1546=0,H1546=0),IF(AND(F1546="",K1546=""),"Tidak dibuka","Tutup"),IF(H1546&gt;G1546,"Lebih kapasitas",IF(H1546=G1546,"Penuh",IF(H1546=0,IF(F1546="","Slot kosong","Belum terisi"),"Sebagian")))))</f>
        <v>Belum terisi</v>
      </c>
      <c r="M1546" s="79" t="str">
        <f aca="false">IF(L1546="Tidak dibuka","–",IF(F1546="","(tanpa age group)",F1546)&amp;"  "&amp;IF(H1546="","?",H1546)&amp;"/"&amp;IF(G1546="","?",G1546)&amp;CHAR(10)&amp;IF(K1546="","coach: –","coach: "&amp;K1546))</f>
        <v>Kids  0/4
coach: –</v>
      </c>
    </row>
    <row r="1547" customFormat="false" ht="22.35" hidden="false" customHeight="false" outlineLevel="0" collapsed="false">
      <c r="A1547" s="76" t="str">
        <f aca="false">B1547&amp;"|"&amp;C1547&amp;"|"&amp;D1547&amp;"|"&amp;E1547</f>
        <v>TMP|4|Rabu|16:30</v>
      </c>
      <c r="B1547" s="76" t="s">
        <v>67</v>
      </c>
      <c r="C1547" s="76" t="n">
        <v>4</v>
      </c>
      <c r="D1547" s="76" t="s">
        <v>92</v>
      </c>
      <c r="E1547" s="76" t="s">
        <v>106</v>
      </c>
      <c r="F1547" s="77" t="s">
        <v>210</v>
      </c>
      <c r="G1547" s="77" t="n">
        <v>4</v>
      </c>
      <c r="H1547" s="77" t="n">
        <v>0</v>
      </c>
      <c r="I1547" s="76" t="n">
        <f aca="false">IF(AND(ISNUMBER(G1547),ISNUMBER(H1547)),MAX(G1547-H1547,0),"")</f>
        <v>4</v>
      </c>
      <c r="J1547" s="78" t="n">
        <f aca="false">IF(AND(ISNUMBER(G1547),ISNUMBER(H1547)),IF(G1547&gt;0,H1547/G1547,""),"")</f>
        <v>0</v>
      </c>
      <c r="K1547" s="77"/>
      <c r="L1547" s="76" t="str">
        <f aca="false">IF(OR(G1547="",H1547=""),"Data tidak lengkap",IF(AND(G1547=0,H1547=0),IF(AND(F1547="",K1547=""),"Tidak dibuka","Tutup"),IF(H1547&gt;G1547,"Lebih kapasitas",IF(H1547=G1547,"Penuh",IF(H1547=0,IF(F1547="","Slot kosong","Belum terisi"),"Sebagian")))))</f>
        <v>Belum terisi</v>
      </c>
      <c r="M1547" s="79" t="str">
        <f aca="false">IF(L1547="Tidak dibuka","–",IF(F1547="","(tanpa age group)",F1547)&amp;"  "&amp;IF(H1547="","?",H1547)&amp;"/"&amp;IF(G1547="","?",G1547)&amp;CHAR(10)&amp;IF(K1547="","coach: –","coach: "&amp;K1547))</f>
        <v>Kids  0/4
coach: –</v>
      </c>
    </row>
    <row r="1548" customFormat="false" ht="22.35" hidden="false" customHeight="false" outlineLevel="0" collapsed="false">
      <c r="A1548" s="76" t="str">
        <f aca="false">B1548&amp;"|"&amp;C1548&amp;"|"&amp;D1548&amp;"|"&amp;E1548</f>
        <v>TMP|4|Rabu|17:15</v>
      </c>
      <c r="B1548" s="76" t="s">
        <v>67</v>
      </c>
      <c r="C1548" s="76" t="n">
        <v>4</v>
      </c>
      <c r="D1548" s="76" t="s">
        <v>92</v>
      </c>
      <c r="E1548" s="76" t="s">
        <v>107</v>
      </c>
      <c r="F1548" s="77" t="s">
        <v>210</v>
      </c>
      <c r="G1548" s="77" t="n">
        <v>4</v>
      </c>
      <c r="H1548" s="77" t="n">
        <v>0</v>
      </c>
      <c r="I1548" s="76" t="n">
        <f aca="false">IF(AND(ISNUMBER(G1548),ISNUMBER(H1548)),MAX(G1548-H1548,0),"")</f>
        <v>4</v>
      </c>
      <c r="J1548" s="78" t="n">
        <f aca="false">IF(AND(ISNUMBER(G1548),ISNUMBER(H1548)),IF(G1548&gt;0,H1548/G1548,""),"")</f>
        <v>0</v>
      </c>
      <c r="K1548" s="77"/>
      <c r="L1548" s="76" t="str">
        <f aca="false">IF(OR(G1548="",H1548=""),"Data tidak lengkap",IF(AND(G1548=0,H1548=0),IF(AND(F1548="",K1548=""),"Tidak dibuka","Tutup"),IF(H1548&gt;G1548,"Lebih kapasitas",IF(H1548=G1548,"Penuh",IF(H1548=0,IF(F1548="","Slot kosong","Belum terisi"),"Sebagian")))))</f>
        <v>Belum terisi</v>
      </c>
      <c r="M1548" s="79" t="str">
        <f aca="false">IF(L1548="Tidak dibuka","–",IF(F1548="","(tanpa age group)",F1548)&amp;"  "&amp;IF(H1548="","?",H1548)&amp;"/"&amp;IF(G1548="","?",G1548)&amp;CHAR(10)&amp;IF(K1548="","coach: –","coach: "&amp;K1548))</f>
        <v>Kids  0/4
coach: –</v>
      </c>
    </row>
    <row r="1549" customFormat="false" ht="22.35" hidden="false" customHeight="false" outlineLevel="0" collapsed="false">
      <c r="A1549" s="76" t="str">
        <f aca="false">B1549&amp;"|"&amp;C1549&amp;"|"&amp;D1549&amp;"|"&amp;E1549</f>
        <v>TMP|4|Kamis|08:15</v>
      </c>
      <c r="B1549" s="76" t="s">
        <v>67</v>
      </c>
      <c r="C1549" s="76" t="n">
        <v>4</v>
      </c>
      <c r="D1549" s="76" t="s">
        <v>93</v>
      </c>
      <c r="E1549" s="76" t="s">
        <v>96</v>
      </c>
      <c r="F1549" s="77" t="s">
        <v>210</v>
      </c>
      <c r="G1549" s="77" t="n">
        <v>4</v>
      </c>
      <c r="H1549" s="77" t="n">
        <v>0</v>
      </c>
      <c r="I1549" s="76" t="n">
        <f aca="false">IF(AND(ISNUMBER(G1549),ISNUMBER(H1549)),MAX(G1549-H1549,0),"")</f>
        <v>4</v>
      </c>
      <c r="J1549" s="78" t="n">
        <f aca="false">IF(AND(ISNUMBER(G1549),ISNUMBER(H1549)),IF(G1549&gt;0,H1549/G1549,""),"")</f>
        <v>0</v>
      </c>
      <c r="K1549" s="77"/>
      <c r="L1549" s="76" t="str">
        <f aca="false">IF(OR(G1549="",H1549=""),"Data tidak lengkap",IF(AND(G1549=0,H1549=0),IF(AND(F1549="",K1549=""),"Tidak dibuka","Tutup"),IF(H1549&gt;G1549,"Lebih kapasitas",IF(H1549=G1549,"Penuh",IF(H1549=0,IF(F1549="","Slot kosong","Belum terisi"),"Sebagian")))))</f>
        <v>Belum terisi</v>
      </c>
      <c r="M1549" s="79" t="str">
        <f aca="false">IF(L1549="Tidak dibuka","–",IF(F1549="","(tanpa age group)",F1549)&amp;"  "&amp;IF(H1549="","?",H1549)&amp;"/"&amp;IF(G1549="","?",G1549)&amp;CHAR(10)&amp;IF(K1549="","coach: –","coach: "&amp;K1549))</f>
        <v>Kids  0/4
coach: –</v>
      </c>
    </row>
    <row r="1550" customFormat="false" ht="22.35" hidden="false" customHeight="false" outlineLevel="0" collapsed="false">
      <c r="A1550" s="76" t="str">
        <f aca="false">B1550&amp;"|"&amp;C1550&amp;"|"&amp;D1550&amp;"|"&amp;E1550</f>
        <v>TMP|4|Kamis|09:00</v>
      </c>
      <c r="B1550" s="76" t="s">
        <v>67</v>
      </c>
      <c r="C1550" s="76" t="n">
        <v>4</v>
      </c>
      <c r="D1550" s="76" t="s">
        <v>93</v>
      </c>
      <c r="E1550" s="76" t="s">
        <v>97</v>
      </c>
      <c r="F1550" s="77" t="s">
        <v>210</v>
      </c>
      <c r="G1550" s="77" t="n">
        <v>4</v>
      </c>
      <c r="H1550" s="77" t="n">
        <v>0</v>
      </c>
      <c r="I1550" s="76" t="n">
        <f aca="false">IF(AND(ISNUMBER(G1550),ISNUMBER(H1550)),MAX(G1550-H1550,0),"")</f>
        <v>4</v>
      </c>
      <c r="J1550" s="78" t="n">
        <f aca="false">IF(AND(ISNUMBER(G1550),ISNUMBER(H1550)),IF(G1550&gt;0,H1550/G1550,""),"")</f>
        <v>0</v>
      </c>
      <c r="K1550" s="77"/>
      <c r="L1550" s="76" t="str">
        <f aca="false">IF(OR(G1550="",H1550=""),"Data tidak lengkap",IF(AND(G1550=0,H1550=0),IF(AND(F1550="",K1550=""),"Tidak dibuka","Tutup"),IF(H1550&gt;G1550,"Lebih kapasitas",IF(H1550=G1550,"Penuh",IF(H1550=0,IF(F1550="","Slot kosong","Belum terisi"),"Sebagian")))))</f>
        <v>Belum terisi</v>
      </c>
      <c r="M1550" s="79" t="str">
        <f aca="false">IF(L1550="Tidak dibuka","–",IF(F1550="","(tanpa age group)",F1550)&amp;"  "&amp;IF(H1550="","?",H1550)&amp;"/"&amp;IF(G1550="","?",G1550)&amp;CHAR(10)&amp;IF(K1550="","coach: –","coach: "&amp;K1550))</f>
        <v>Kids  0/4
coach: –</v>
      </c>
    </row>
    <row r="1551" customFormat="false" ht="22.35" hidden="false" customHeight="false" outlineLevel="0" collapsed="false">
      <c r="A1551" s="76" t="str">
        <f aca="false">B1551&amp;"|"&amp;C1551&amp;"|"&amp;D1551&amp;"|"&amp;E1551</f>
        <v>TMP|4|Kamis|09:45</v>
      </c>
      <c r="B1551" s="76" t="s">
        <v>67</v>
      </c>
      <c r="C1551" s="76" t="n">
        <v>4</v>
      </c>
      <c r="D1551" s="76" t="s">
        <v>93</v>
      </c>
      <c r="E1551" s="76" t="s">
        <v>98</v>
      </c>
      <c r="F1551" s="77" t="s">
        <v>210</v>
      </c>
      <c r="G1551" s="77" t="n">
        <v>4</v>
      </c>
      <c r="H1551" s="77" t="n">
        <v>0</v>
      </c>
      <c r="I1551" s="76" t="n">
        <f aca="false">IF(AND(ISNUMBER(G1551),ISNUMBER(H1551)),MAX(G1551-H1551,0),"")</f>
        <v>4</v>
      </c>
      <c r="J1551" s="78" t="n">
        <f aca="false">IF(AND(ISNUMBER(G1551),ISNUMBER(H1551)),IF(G1551&gt;0,H1551/G1551,""),"")</f>
        <v>0</v>
      </c>
      <c r="K1551" s="77"/>
      <c r="L1551" s="76" t="str">
        <f aca="false">IF(OR(G1551="",H1551=""),"Data tidak lengkap",IF(AND(G1551=0,H1551=0),IF(AND(F1551="",K1551=""),"Tidak dibuka","Tutup"),IF(H1551&gt;G1551,"Lebih kapasitas",IF(H1551=G1551,"Penuh",IF(H1551=0,IF(F1551="","Slot kosong","Belum terisi"),"Sebagian")))))</f>
        <v>Belum terisi</v>
      </c>
      <c r="M1551" s="79" t="str">
        <f aca="false">IF(L1551="Tidak dibuka","–",IF(F1551="","(tanpa age group)",F1551)&amp;"  "&amp;IF(H1551="","?",H1551)&amp;"/"&amp;IF(G1551="","?",G1551)&amp;CHAR(10)&amp;IF(K1551="","coach: –","coach: "&amp;K1551))</f>
        <v>Kids  0/4
coach: –</v>
      </c>
    </row>
    <row r="1552" customFormat="false" ht="22.35" hidden="false" customHeight="false" outlineLevel="0" collapsed="false">
      <c r="A1552" s="76" t="str">
        <f aca="false">B1552&amp;"|"&amp;C1552&amp;"|"&amp;D1552&amp;"|"&amp;E1552</f>
        <v>TMP|4|Kamis|10:30</v>
      </c>
      <c r="B1552" s="76" t="s">
        <v>67</v>
      </c>
      <c r="C1552" s="76" t="n">
        <v>4</v>
      </c>
      <c r="D1552" s="76" t="s">
        <v>93</v>
      </c>
      <c r="E1552" s="76" t="s">
        <v>99</v>
      </c>
      <c r="F1552" s="77" t="s">
        <v>210</v>
      </c>
      <c r="G1552" s="77" t="n">
        <v>4</v>
      </c>
      <c r="H1552" s="77" t="n">
        <v>0</v>
      </c>
      <c r="I1552" s="76" t="n">
        <f aca="false">IF(AND(ISNUMBER(G1552),ISNUMBER(H1552)),MAX(G1552-H1552,0),"")</f>
        <v>4</v>
      </c>
      <c r="J1552" s="78" t="n">
        <f aca="false">IF(AND(ISNUMBER(G1552),ISNUMBER(H1552)),IF(G1552&gt;0,H1552/G1552,""),"")</f>
        <v>0</v>
      </c>
      <c r="K1552" s="77"/>
      <c r="L1552" s="76" t="str">
        <f aca="false">IF(OR(G1552="",H1552=""),"Data tidak lengkap",IF(AND(G1552=0,H1552=0),IF(AND(F1552="",K1552=""),"Tidak dibuka","Tutup"),IF(H1552&gt;G1552,"Lebih kapasitas",IF(H1552=G1552,"Penuh",IF(H1552=0,IF(F1552="","Slot kosong","Belum terisi"),"Sebagian")))))</f>
        <v>Belum terisi</v>
      </c>
      <c r="M1552" s="79" t="str">
        <f aca="false">IF(L1552="Tidak dibuka","–",IF(F1552="","(tanpa age group)",F1552)&amp;"  "&amp;IF(H1552="","?",H1552)&amp;"/"&amp;IF(G1552="","?",G1552)&amp;CHAR(10)&amp;IF(K1552="","coach: –","coach: "&amp;K1552))</f>
        <v>Kids  0/4
coach: –</v>
      </c>
    </row>
    <row r="1553" customFormat="false" ht="22.35" hidden="false" customHeight="false" outlineLevel="0" collapsed="false">
      <c r="A1553" s="76" t="str">
        <f aca="false">B1553&amp;"|"&amp;C1553&amp;"|"&amp;D1553&amp;"|"&amp;E1553</f>
        <v>TMP|4|Kamis|11:15</v>
      </c>
      <c r="B1553" s="76" t="s">
        <v>67</v>
      </c>
      <c r="C1553" s="76" t="n">
        <v>4</v>
      </c>
      <c r="D1553" s="76" t="s">
        <v>93</v>
      </c>
      <c r="E1553" s="76" t="s">
        <v>100</v>
      </c>
      <c r="F1553" s="77" t="s">
        <v>210</v>
      </c>
      <c r="G1553" s="77" t="n">
        <v>4</v>
      </c>
      <c r="H1553" s="77" t="n">
        <v>0</v>
      </c>
      <c r="I1553" s="76" t="n">
        <f aca="false">IF(AND(ISNUMBER(G1553),ISNUMBER(H1553)),MAX(G1553-H1553,0),"")</f>
        <v>4</v>
      </c>
      <c r="J1553" s="78" t="n">
        <f aca="false">IF(AND(ISNUMBER(G1553),ISNUMBER(H1553)),IF(G1553&gt;0,H1553/G1553,""),"")</f>
        <v>0</v>
      </c>
      <c r="K1553" s="77"/>
      <c r="L1553" s="76" t="str">
        <f aca="false">IF(OR(G1553="",H1553=""),"Data tidak lengkap",IF(AND(G1553=0,H1553=0),IF(AND(F1553="",K1553=""),"Tidak dibuka","Tutup"),IF(H1553&gt;G1553,"Lebih kapasitas",IF(H1553=G1553,"Penuh",IF(H1553=0,IF(F1553="","Slot kosong","Belum terisi"),"Sebagian")))))</f>
        <v>Belum terisi</v>
      </c>
      <c r="M1553" s="79" t="str">
        <f aca="false">IF(L1553="Tidak dibuka","–",IF(F1553="","(tanpa age group)",F1553)&amp;"  "&amp;IF(H1553="","?",H1553)&amp;"/"&amp;IF(G1553="","?",G1553)&amp;CHAR(10)&amp;IF(K1553="","coach: –","coach: "&amp;K1553))</f>
        <v>Kids  0/4
coach: –</v>
      </c>
    </row>
    <row r="1554" customFormat="false" ht="22.35" hidden="false" customHeight="false" outlineLevel="0" collapsed="false">
      <c r="A1554" s="76" t="str">
        <f aca="false">B1554&amp;"|"&amp;C1554&amp;"|"&amp;D1554&amp;"|"&amp;E1554</f>
        <v>TMP|4|Kamis|12:00</v>
      </c>
      <c r="B1554" s="76" t="s">
        <v>67</v>
      </c>
      <c r="C1554" s="76" t="n">
        <v>4</v>
      </c>
      <c r="D1554" s="76" t="s">
        <v>93</v>
      </c>
      <c r="E1554" s="76" t="s">
        <v>101</v>
      </c>
      <c r="F1554" s="77" t="s">
        <v>210</v>
      </c>
      <c r="G1554" s="77" t="n">
        <v>4</v>
      </c>
      <c r="H1554" s="77" t="n">
        <v>0</v>
      </c>
      <c r="I1554" s="76" t="n">
        <f aca="false">IF(AND(ISNUMBER(G1554),ISNUMBER(H1554)),MAX(G1554-H1554,0),"")</f>
        <v>4</v>
      </c>
      <c r="J1554" s="78" t="n">
        <f aca="false">IF(AND(ISNUMBER(G1554),ISNUMBER(H1554)),IF(G1554&gt;0,H1554/G1554,""),"")</f>
        <v>0</v>
      </c>
      <c r="K1554" s="77"/>
      <c r="L1554" s="76" t="str">
        <f aca="false">IF(OR(G1554="",H1554=""),"Data tidak lengkap",IF(AND(G1554=0,H1554=0),IF(AND(F1554="",K1554=""),"Tidak dibuka","Tutup"),IF(H1554&gt;G1554,"Lebih kapasitas",IF(H1554=G1554,"Penuh",IF(H1554=0,IF(F1554="","Slot kosong","Belum terisi"),"Sebagian")))))</f>
        <v>Belum terisi</v>
      </c>
      <c r="M1554" s="79" t="str">
        <f aca="false">IF(L1554="Tidak dibuka","–",IF(F1554="","(tanpa age group)",F1554)&amp;"  "&amp;IF(H1554="","?",H1554)&amp;"/"&amp;IF(G1554="","?",G1554)&amp;CHAR(10)&amp;IF(K1554="","coach: –","coach: "&amp;K1554))</f>
        <v>Kids  0/4
coach: –</v>
      </c>
    </row>
    <row r="1555" customFormat="false" ht="22.35" hidden="false" customHeight="false" outlineLevel="0" collapsed="false">
      <c r="A1555" s="76" t="str">
        <f aca="false">B1555&amp;"|"&amp;C1555&amp;"|"&amp;D1555&amp;"|"&amp;E1555</f>
        <v>TMP|4|Kamis|13:30</v>
      </c>
      <c r="B1555" s="76" t="s">
        <v>67</v>
      </c>
      <c r="C1555" s="76" t="n">
        <v>4</v>
      </c>
      <c r="D1555" s="76" t="s">
        <v>93</v>
      </c>
      <c r="E1555" s="76" t="s">
        <v>102</v>
      </c>
      <c r="F1555" s="77" t="s">
        <v>210</v>
      </c>
      <c r="G1555" s="77" t="n">
        <v>4</v>
      </c>
      <c r="H1555" s="77" t="n">
        <v>0</v>
      </c>
      <c r="I1555" s="76" t="n">
        <f aca="false">IF(AND(ISNUMBER(G1555),ISNUMBER(H1555)),MAX(G1555-H1555,0),"")</f>
        <v>4</v>
      </c>
      <c r="J1555" s="78" t="n">
        <f aca="false">IF(AND(ISNUMBER(G1555),ISNUMBER(H1555)),IF(G1555&gt;0,H1555/G1555,""),"")</f>
        <v>0</v>
      </c>
      <c r="K1555" s="77"/>
      <c r="L1555" s="76" t="str">
        <f aca="false">IF(OR(G1555="",H1555=""),"Data tidak lengkap",IF(AND(G1555=0,H1555=0),IF(AND(F1555="",K1555=""),"Tidak dibuka","Tutup"),IF(H1555&gt;G1555,"Lebih kapasitas",IF(H1555=G1555,"Penuh",IF(H1555=0,IF(F1555="","Slot kosong","Belum terisi"),"Sebagian")))))</f>
        <v>Belum terisi</v>
      </c>
      <c r="M1555" s="79" t="str">
        <f aca="false">IF(L1555="Tidak dibuka","–",IF(F1555="","(tanpa age group)",F1555)&amp;"  "&amp;IF(H1555="","?",H1555)&amp;"/"&amp;IF(G1555="","?",G1555)&amp;CHAR(10)&amp;IF(K1555="","coach: –","coach: "&amp;K1555))</f>
        <v>Kids  0/4
coach: –</v>
      </c>
    </row>
    <row r="1556" customFormat="false" ht="22.35" hidden="false" customHeight="false" outlineLevel="0" collapsed="false">
      <c r="A1556" s="76" t="str">
        <f aca="false">B1556&amp;"|"&amp;C1556&amp;"|"&amp;D1556&amp;"|"&amp;E1556</f>
        <v>TMP|4|Kamis|14:15</v>
      </c>
      <c r="B1556" s="76" t="s">
        <v>67</v>
      </c>
      <c r="C1556" s="76" t="n">
        <v>4</v>
      </c>
      <c r="D1556" s="76" t="s">
        <v>93</v>
      </c>
      <c r="E1556" s="76" t="s">
        <v>103</v>
      </c>
      <c r="F1556" s="77" t="s">
        <v>210</v>
      </c>
      <c r="G1556" s="77" t="n">
        <v>4</v>
      </c>
      <c r="H1556" s="77" t="n">
        <v>0</v>
      </c>
      <c r="I1556" s="76" t="n">
        <f aca="false">IF(AND(ISNUMBER(G1556),ISNUMBER(H1556)),MAX(G1556-H1556,0),"")</f>
        <v>4</v>
      </c>
      <c r="J1556" s="78" t="n">
        <f aca="false">IF(AND(ISNUMBER(G1556),ISNUMBER(H1556)),IF(G1556&gt;0,H1556/G1556,""),"")</f>
        <v>0</v>
      </c>
      <c r="K1556" s="77"/>
      <c r="L1556" s="76" t="str">
        <f aca="false">IF(OR(G1556="",H1556=""),"Data tidak lengkap",IF(AND(G1556=0,H1556=0),IF(AND(F1556="",K1556=""),"Tidak dibuka","Tutup"),IF(H1556&gt;G1556,"Lebih kapasitas",IF(H1556=G1556,"Penuh",IF(H1556=0,IF(F1556="","Slot kosong","Belum terisi"),"Sebagian")))))</f>
        <v>Belum terisi</v>
      </c>
      <c r="M1556" s="79" t="str">
        <f aca="false">IF(L1556="Tidak dibuka","–",IF(F1556="","(tanpa age group)",F1556)&amp;"  "&amp;IF(H1556="","?",H1556)&amp;"/"&amp;IF(G1556="","?",G1556)&amp;CHAR(10)&amp;IF(K1556="","coach: –","coach: "&amp;K1556))</f>
        <v>Kids  0/4
coach: –</v>
      </c>
    </row>
    <row r="1557" customFormat="false" ht="22.35" hidden="false" customHeight="false" outlineLevel="0" collapsed="false">
      <c r="A1557" s="76" t="str">
        <f aca="false">B1557&amp;"|"&amp;C1557&amp;"|"&amp;D1557&amp;"|"&amp;E1557</f>
        <v>TMP|4|Kamis|15:00</v>
      </c>
      <c r="B1557" s="76" t="s">
        <v>67</v>
      </c>
      <c r="C1557" s="76" t="n">
        <v>4</v>
      </c>
      <c r="D1557" s="76" t="s">
        <v>93</v>
      </c>
      <c r="E1557" s="76" t="s">
        <v>104</v>
      </c>
      <c r="F1557" s="77" t="s">
        <v>210</v>
      </c>
      <c r="G1557" s="77" t="n">
        <v>4</v>
      </c>
      <c r="H1557" s="77" t="n">
        <v>0</v>
      </c>
      <c r="I1557" s="76" t="n">
        <f aca="false">IF(AND(ISNUMBER(G1557),ISNUMBER(H1557)),MAX(G1557-H1557,0),"")</f>
        <v>4</v>
      </c>
      <c r="J1557" s="78" t="n">
        <f aca="false">IF(AND(ISNUMBER(G1557),ISNUMBER(H1557)),IF(G1557&gt;0,H1557/G1557,""),"")</f>
        <v>0</v>
      </c>
      <c r="K1557" s="77"/>
      <c r="L1557" s="76" t="str">
        <f aca="false">IF(OR(G1557="",H1557=""),"Data tidak lengkap",IF(AND(G1557=0,H1557=0),IF(AND(F1557="",K1557=""),"Tidak dibuka","Tutup"),IF(H1557&gt;G1557,"Lebih kapasitas",IF(H1557=G1557,"Penuh",IF(H1557=0,IF(F1557="","Slot kosong","Belum terisi"),"Sebagian")))))</f>
        <v>Belum terisi</v>
      </c>
      <c r="M1557" s="79" t="str">
        <f aca="false">IF(L1557="Tidak dibuka","–",IF(F1557="","(tanpa age group)",F1557)&amp;"  "&amp;IF(H1557="","?",H1557)&amp;"/"&amp;IF(G1557="","?",G1557)&amp;CHAR(10)&amp;IF(K1557="","coach: –","coach: "&amp;K1557))</f>
        <v>Kids  0/4
coach: –</v>
      </c>
    </row>
    <row r="1558" customFormat="false" ht="22.35" hidden="false" customHeight="false" outlineLevel="0" collapsed="false">
      <c r="A1558" s="76" t="str">
        <f aca="false">B1558&amp;"|"&amp;C1558&amp;"|"&amp;D1558&amp;"|"&amp;E1558</f>
        <v>TMP|4|Kamis|15:45</v>
      </c>
      <c r="B1558" s="76" t="s">
        <v>67</v>
      </c>
      <c r="C1558" s="76" t="n">
        <v>4</v>
      </c>
      <c r="D1558" s="76" t="s">
        <v>93</v>
      </c>
      <c r="E1558" s="76" t="s">
        <v>105</v>
      </c>
      <c r="F1558" s="77" t="s">
        <v>210</v>
      </c>
      <c r="G1558" s="77" t="n">
        <v>4</v>
      </c>
      <c r="H1558" s="77" t="n">
        <v>0</v>
      </c>
      <c r="I1558" s="76" t="n">
        <f aca="false">IF(AND(ISNUMBER(G1558),ISNUMBER(H1558)),MAX(G1558-H1558,0),"")</f>
        <v>4</v>
      </c>
      <c r="J1558" s="78" t="n">
        <f aca="false">IF(AND(ISNUMBER(G1558),ISNUMBER(H1558)),IF(G1558&gt;0,H1558/G1558,""),"")</f>
        <v>0</v>
      </c>
      <c r="K1558" s="77"/>
      <c r="L1558" s="76" t="str">
        <f aca="false">IF(OR(G1558="",H1558=""),"Data tidak lengkap",IF(AND(G1558=0,H1558=0),IF(AND(F1558="",K1558=""),"Tidak dibuka","Tutup"),IF(H1558&gt;G1558,"Lebih kapasitas",IF(H1558=G1558,"Penuh",IF(H1558=0,IF(F1558="","Slot kosong","Belum terisi"),"Sebagian")))))</f>
        <v>Belum terisi</v>
      </c>
      <c r="M1558" s="79" t="str">
        <f aca="false">IF(L1558="Tidak dibuka","–",IF(F1558="","(tanpa age group)",F1558)&amp;"  "&amp;IF(H1558="","?",H1558)&amp;"/"&amp;IF(G1558="","?",G1558)&amp;CHAR(10)&amp;IF(K1558="","coach: –","coach: "&amp;K1558))</f>
        <v>Kids  0/4
coach: –</v>
      </c>
    </row>
    <row r="1559" customFormat="false" ht="22.35" hidden="false" customHeight="false" outlineLevel="0" collapsed="false">
      <c r="A1559" s="76" t="str">
        <f aca="false">B1559&amp;"|"&amp;C1559&amp;"|"&amp;D1559&amp;"|"&amp;E1559</f>
        <v>TMP|4|Kamis|16:30</v>
      </c>
      <c r="B1559" s="76" t="s">
        <v>67</v>
      </c>
      <c r="C1559" s="76" t="n">
        <v>4</v>
      </c>
      <c r="D1559" s="76" t="s">
        <v>93</v>
      </c>
      <c r="E1559" s="76" t="s">
        <v>106</v>
      </c>
      <c r="F1559" s="77" t="s">
        <v>210</v>
      </c>
      <c r="G1559" s="77" t="n">
        <v>4</v>
      </c>
      <c r="H1559" s="77" t="n">
        <v>0</v>
      </c>
      <c r="I1559" s="76" t="n">
        <f aca="false">IF(AND(ISNUMBER(G1559),ISNUMBER(H1559)),MAX(G1559-H1559,0),"")</f>
        <v>4</v>
      </c>
      <c r="J1559" s="78" t="n">
        <f aca="false">IF(AND(ISNUMBER(G1559),ISNUMBER(H1559)),IF(G1559&gt;0,H1559/G1559,""),"")</f>
        <v>0</v>
      </c>
      <c r="K1559" s="77"/>
      <c r="L1559" s="76" t="str">
        <f aca="false">IF(OR(G1559="",H1559=""),"Data tidak lengkap",IF(AND(G1559=0,H1559=0),IF(AND(F1559="",K1559=""),"Tidak dibuka","Tutup"),IF(H1559&gt;G1559,"Lebih kapasitas",IF(H1559=G1559,"Penuh",IF(H1559=0,IF(F1559="","Slot kosong","Belum terisi"),"Sebagian")))))</f>
        <v>Belum terisi</v>
      </c>
      <c r="M1559" s="79" t="str">
        <f aca="false">IF(L1559="Tidak dibuka","–",IF(F1559="","(tanpa age group)",F1559)&amp;"  "&amp;IF(H1559="","?",H1559)&amp;"/"&amp;IF(G1559="","?",G1559)&amp;CHAR(10)&amp;IF(K1559="","coach: –","coach: "&amp;K1559))</f>
        <v>Kids  0/4
coach: –</v>
      </c>
    </row>
    <row r="1560" customFormat="false" ht="22.35" hidden="false" customHeight="false" outlineLevel="0" collapsed="false">
      <c r="A1560" s="76" t="str">
        <f aca="false">B1560&amp;"|"&amp;C1560&amp;"|"&amp;D1560&amp;"|"&amp;E1560</f>
        <v>TMP|4|Kamis|17:15</v>
      </c>
      <c r="B1560" s="76" t="s">
        <v>67</v>
      </c>
      <c r="C1560" s="76" t="n">
        <v>4</v>
      </c>
      <c r="D1560" s="76" t="s">
        <v>93</v>
      </c>
      <c r="E1560" s="76" t="s">
        <v>107</v>
      </c>
      <c r="F1560" s="77" t="s">
        <v>210</v>
      </c>
      <c r="G1560" s="77" t="n">
        <v>4</v>
      </c>
      <c r="H1560" s="77" t="n">
        <v>0</v>
      </c>
      <c r="I1560" s="76" t="n">
        <f aca="false">IF(AND(ISNUMBER(G1560),ISNUMBER(H1560)),MAX(G1560-H1560,0),"")</f>
        <v>4</v>
      </c>
      <c r="J1560" s="78" t="n">
        <f aca="false">IF(AND(ISNUMBER(G1560),ISNUMBER(H1560)),IF(G1560&gt;0,H1560/G1560,""),"")</f>
        <v>0</v>
      </c>
      <c r="K1560" s="77"/>
      <c r="L1560" s="76" t="str">
        <f aca="false">IF(OR(G1560="",H1560=""),"Data tidak lengkap",IF(AND(G1560=0,H1560=0),IF(AND(F1560="",K1560=""),"Tidak dibuka","Tutup"),IF(H1560&gt;G1560,"Lebih kapasitas",IF(H1560=G1560,"Penuh",IF(H1560=0,IF(F1560="","Slot kosong","Belum terisi"),"Sebagian")))))</f>
        <v>Belum terisi</v>
      </c>
      <c r="M1560" s="79" t="str">
        <f aca="false">IF(L1560="Tidak dibuka","–",IF(F1560="","(tanpa age group)",F1560)&amp;"  "&amp;IF(H1560="","?",H1560)&amp;"/"&amp;IF(G1560="","?",G1560)&amp;CHAR(10)&amp;IF(K1560="","coach: –","coach: "&amp;K1560))</f>
        <v>Kids  0/4
coach: –</v>
      </c>
    </row>
    <row r="1561" customFormat="false" ht="22.35" hidden="false" customHeight="false" outlineLevel="0" collapsed="false">
      <c r="A1561" s="76" t="str">
        <f aca="false">B1561&amp;"|"&amp;C1561&amp;"|"&amp;D1561&amp;"|"&amp;E1561</f>
        <v>TMP|4|Jumat|08:15</v>
      </c>
      <c r="B1561" s="76" t="s">
        <v>67</v>
      </c>
      <c r="C1561" s="76" t="n">
        <v>4</v>
      </c>
      <c r="D1561" s="76" t="s">
        <v>94</v>
      </c>
      <c r="E1561" s="76" t="s">
        <v>96</v>
      </c>
      <c r="F1561" s="77" t="s">
        <v>210</v>
      </c>
      <c r="G1561" s="77" t="n">
        <v>4</v>
      </c>
      <c r="H1561" s="77" t="n">
        <v>0</v>
      </c>
      <c r="I1561" s="76" t="n">
        <f aca="false">IF(AND(ISNUMBER(G1561),ISNUMBER(H1561)),MAX(G1561-H1561,0),"")</f>
        <v>4</v>
      </c>
      <c r="J1561" s="78" t="n">
        <f aca="false">IF(AND(ISNUMBER(G1561),ISNUMBER(H1561)),IF(G1561&gt;0,H1561/G1561,""),"")</f>
        <v>0</v>
      </c>
      <c r="K1561" s="77"/>
      <c r="L1561" s="76" t="str">
        <f aca="false">IF(OR(G1561="",H1561=""),"Data tidak lengkap",IF(AND(G1561=0,H1561=0),IF(AND(F1561="",K1561=""),"Tidak dibuka","Tutup"),IF(H1561&gt;G1561,"Lebih kapasitas",IF(H1561=G1561,"Penuh",IF(H1561=0,IF(F1561="","Slot kosong","Belum terisi"),"Sebagian")))))</f>
        <v>Belum terisi</v>
      </c>
      <c r="M1561" s="79" t="str">
        <f aca="false">IF(L1561="Tidak dibuka","–",IF(F1561="","(tanpa age group)",F1561)&amp;"  "&amp;IF(H1561="","?",H1561)&amp;"/"&amp;IF(G1561="","?",G1561)&amp;CHAR(10)&amp;IF(K1561="","coach: –","coach: "&amp;K1561))</f>
        <v>Kids  0/4
coach: –</v>
      </c>
    </row>
    <row r="1562" customFormat="false" ht="22.35" hidden="false" customHeight="false" outlineLevel="0" collapsed="false">
      <c r="A1562" s="76" t="str">
        <f aca="false">B1562&amp;"|"&amp;C1562&amp;"|"&amp;D1562&amp;"|"&amp;E1562</f>
        <v>TMP|4|Jumat|09:00</v>
      </c>
      <c r="B1562" s="76" t="s">
        <v>67</v>
      </c>
      <c r="C1562" s="76" t="n">
        <v>4</v>
      </c>
      <c r="D1562" s="76" t="s">
        <v>94</v>
      </c>
      <c r="E1562" s="76" t="s">
        <v>97</v>
      </c>
      <c r="F1562" s="77" t="s">
        <v>210</v>
      </c>
      <c r="G1562" s="77" t="n">
        <v>4</v>
      </c>
      <c r="H1562" s="77" t="n">
        <v>0</v>
      </c>
      <c r="I1562" s="76" t="n">
        <f aca="false">IF(AND(ISNUMBER(G1562),ISNUMBER(H1562)),MAX(G1562-H1562,0),"")</f>
        <v>4</v>
      </c>
      <c r="J1562" s="78" t="n">
        <f aca="false">IF(AND(ISNUMBER(G1562),ISNUMBER(H1562)),IF(G1562&gt;0,H1562/G1562,""),"")</f>
        <v>0</v>
      </c>
      <c r="K1562" s="77"/>
      <c r="L1562" s="76" t="str">
        <f aca="false">IF(OR(G1562="",H1562=""),"Data tidak lengkap",IF(AND(G1562=0,H1562=0),IF(AND(F1562="",K1562=""),"Tidak dibuka","Tutup"),IF(H1562&gt;G1562,"Lebih kapasitas",IF(H1562=G1562,"Penuh",IF(H1562=0,IF(F1562="","Slot kosong","Belum terisi"),"Sebagian")))))</f>
        <v>Belum terisi</v>
      </c>
      <c r="M1562" s="79" t="str">
        <f aca="false">IF(L1562="Tidak dibuka","–",IF(F1562="","(tanpa age group)",F1562)&amp;"  "&amp;IF(H1562="","?",H1562)&amp;"/"&amp;IF(G1562="","?",G1562)&amp;CHAR(10)&amp;IF(K1562="","coach: –","coach: "&amp;K1562))</f>
        <v>Kids  0/4
coach: –</v>
      </c>
    </row>
    <row r="1563" customFormat="false" ht="22.35" hidden="false" customHeight="false" outlineLevel="0" collapsed="false">
      <c r="A1563" s="76" t="str">
        <f aca="false">B1563&amp;"|"&amp;C1563&amp;"|"&amp;D1563&amp;"|"&amp;E1563</f>
        <v>TMP|4|Jumat|09:45</v>
      </c>
      <c r="B1563" s="76" t="s">
        <v>67</v>
      </c>
      <c r="C1563" s="76" t="n">
        <v>4</v>
      </c>
      <c r="D1563" s="76" t="s">
        <v>94</v>
      </c>
      <c r="E1563" s="76" t="s">
        <v>98</v>
      </c>
      <c r="F1563" s="77" t="s">
        <v>210</v>
      </c>
      <c r="G1563" s="77" t="n">
        <v>4</v>
      </c>
      <c r="H1563" s="77" t="n">
        <v>0</v>
      </c>
      <c r="I1563" s="76" t="n">
        <f aca="false">IF(AND(ISNUMBER(G1563),ISNUMBER(H1563)),MAX(G1563-H1563,0),"")</f>
        <v>4</v>
      </c>
      <c r="J1563" s="78" t="n">
        <f aca="false">IF(AND(ISNUMBER(G1563),ISNUMBER(H1563)),IF(G1563&gt;0,H1563/G1563,""),"")</f>
        <v>0</v>
      </c>
      <c r="K1563" s="77"/>
      <c r="L1563" s="76" t="str">
        <f aca="false">IF(OR(G1563="",H1563=""),"Data tidak lengkap",IF(AND(G1563=0,H1563=0),IF(AND(F1563="",K1563=""),"Tidak dibuka","Tutup"),IF(H1563&gt;G1563,"Lebih kapasitas",IF(H1563=G1563,"Penuh",IF(H1563=0,IF(F1563="","Slot kosong","Belum terisi"),"Sebagian")))))</f>
        <v>Belum terisi</v>
      </c>
      <c r="M1563" s="79" t="str">
        <f aca="false">IF(L1563="Tidak dibuka","–",IF(F1563="","(tanpa age group)",F1563)&amp;"  "&amp;IF(H1563="","?",H1563)&amp;"/"&amp;IF(G1563="","?",G1563)&amp;CHAR(10)&amp;IF(K1563="","coach: –","coach: "&amp;K1563))</f>
        <v>Kids  0/4
coach: –</v>
      </c>
    </row>
    <row r="1564" customFormat="false" ht="22.35" hidden="false" customHeight="false" outlineLevel="0" collapsed="false">
      <c r="A1564" s="76" t="str">
        <f aca="false">B1564&amp;"|"&amp;C1564&amp;"|"&amp;D1564&amp;"|"&amp;E1564</f>
        <v>TMP|4|Jumat|10:30</v>
      </c>
      <c r="B1564" s="76" t="s">
        <v>67</v>
      </c>
      <c r="C1564" s="76" t="n">
        <v>4</v>
      </c>
      <c r="D1564" s="76" t="s">
        <v>94</v>
      </c>
      <c r="E1564" s="76" t="s">
        <v>99</v>
      </c>
      <c r="F1564" s="77" t="s">
        <v>210</v>
      </c>
      <c r="G1564" s="77" t="n">
        <v>4</v>
      </c>
      <c r="H1564" s="77" t="n">
        <v>0</v>
      </c>
      <c r="I1564" s="76" t="n">
        <f aca="false">IF(AND(ISNUMBER(G1564),ISNUMBER(H1564)),MAX(G1564-H1564,0),"")</f>
        <v>4</v>
      </c>
      <c r="J1564" s="78" t="n">
        <f aca="false">IF(AND(ISNUMBER(G1564),ISNUMBER(H1564)),IF(G1564&gt;0,H1564/G1564,""),"")</f>
        <v>0</v>
      </c>
      <c r="K1564" s="77"/>
      <c r="L1564" s="76" t="str">
        <f aca="false">IF(OR(G1564="",H1564=""),"Data tidak lengkap",IF(AND(G1564=0,H1564=0),IF(AND(F1564="",K1564=""),"Tidak dibuka","Tutup"),IF(H1564&gt;G1564,"Lebih kapasitas",IF(H1564=G1564,"Penuh",IF(H1564=0,IF(F1564="","Slot kosong","Belum terisi"),"Sebagian")))))</f>
        <v>Belum terisi</v>
      </c>
      <c r="M1564" s="79" t="str">
        <f aca="false">IF(L1564="Tidak dibuka","–",IF(F1564="","(tanpa age group)",F1564)&amp;"  "&amp;IF(H1564="","?",H1564)&amp;"/"&amp;IF(G1564="","?",G1564)&amp;CHAR(10)&amp;IF(K1564="","coach: –","coach: "&amp;K1564))</f>
        <v>Kids  0/4
coach: –</v>
      </c>
    </row>
    <row r="1565" customFormat="false" ht="22.35" hidden="false" customHeight="false" outlineLevel="0" collapsed="false">
      <c r="A1565" s="76" t="str">
        <f aca="false">B1565&amp;"|"&amp;C1565&amp;"|"&amp;D1565&amp;"|"&amp;E1565</f>
        <v>TMP|4|Jumat|11:15</v>
      </c>
      <c r="B1565" s="76" t="s">
        <v>67</v>
      </c>
      <c r="C1565" s="76" t="n">
        <v>4</v>
      </c>
      <c r="D1565" s="76" t="s">
        <v>94</v>
      </c>
      <c r="E1565" s="76" t="s">
        <v>100</v>
      </c>
      <c r="F1565" s="77" t="s">
        <v>210</v>
      </c>
      <c r="G1565" s="77" t="n">
        <v>4</v>
      </c>
      <c r="H1565" s="77" t="n">
        <v>0</v>
      </c>
      <c r="I1565" s="76" t="n">
        <f aca="false">IF(AND(ISNUMBER(G1565),ISNUMBER(H1565)),MAX(G1565-H1565,0),"")</f>
        <v>4</v>
      </c>
      <c r="J1565" s="78" t="n">
        <f aca="false">IF(AND(ISNUMBER(G1565),ISNUMBER(H1565)),IF(G1565&gt;0,H1565/G1565,""),"")</f>
        <v>0</v>
      </c>
      <c r="K1565" s="77"/>
      <c r="L1565" s="76" t="str">
        <f aca="false">IF(OR(G1565="",H1565=""),"Data tidak lengkap",IF(AND(G1565=0,H1565=0),IF(AND(F1565="",K1565=""),"Tidak dibuka","Tutup"),IF(H1565&gt;G1565,"Lebih kapasitas",IF(H1565=G1565,"Penuh",IF(H1565=0,IF(F1565="","Slot kosong","Belum terisi"),"Sebagian")))))</f>
        <v>Belum terisi</v>
      </c>
      <c r="M1565" s="79" t="str">
        <f aca="false">IF(L1565="Tidak dibuka","–",IF(F1565="","(tanpa age group)",F1565)&amp;"  "&amp;IF(H1565="","?",H1565)&amp;"/"&amp;IF(G1565="","?",G1565)&amp;CHAR(10)&amp;IF(K1565="","coach: –","coach: "&amp;K1565))</f>
        <v>Kids  0/4
coach: –</v>
      </c>
    </row>
    <row r="1566" customFormat="false" ht="22.35" hidden="false" customHeight="false" outlineLevel="0" collapsed="false">
      <c r="A1566" s="76" t="str">
        <f aca="false">B1566&amp;"|"&amp;C1566&amp;"|"&amp;D1566&amp;"|"&amp;E1566</f>
        <v>TMP|4|Jumat|12:00</v>
      </c>
      <c r="B1566" s="76" t="s">
        <v>67</v>
      </c>
      <c r="C1566" s="76" t="n">
        <v>4</v>
      </c>
      <c r="D1566" s="76" t="s">
        <v>94</v>
      </c>
      <c r="E1566" s="76" t="s">
        <v>101</v>
      </c>
      <c r="F1566" s="77" t="s">
        <v>210</v>
      </c>
      <c r="G1566" s="77" t="n">
        <v>4</v>
      </c>
      <c r="H1566" s="77" t="n">
        <v>0</v>
      </c>
      <c r="I1566" s="76" t="n">
        <f aca="false">IF(AND(ISNUMBER(G1566),ISNUMBER(H1566)),MAX(G1566-H1566,0),"")</f>
        <v>4</v>
      </c>
      <c r="J1566" s="78" t="n">
        <f aca="false">IF(AND(ISNUMBER(G1566),ISNUMBER(H1566)),IF(G1566&gt;0,H1566/G1566,""),"")</f>
        <v>0</v>
      </c>
      <c r="K1566" s="77"/>
      <c r="L1566" s="76" t="str">
        <f aca="false">IF(OR(G1566="",H1566=""),"Data tidak lengkap",IF(AND(G1566=0,H1566=0),IF(AND(F1566="",K1566=""),"Tidak dibuka","Tutup"),IF(H1566&gt;G1566,"Lebih kapasitas",IF(H1566=G1566,"Penuh",IF(H1566=0,IF(F1566="","Slot kosong","Belum terisi"),"Sebagian")))))</f>
        <v>Belum terisi</v>
      </c>
      <c r="M1566" s="79" t="str">
        <f aca="false">IF(L1566="Tidak dibuka","–",IF(F1566="","(tanpa age group)",F1566)&amp;"  "&amp;IF(H1566="","?",H1566)&amp;"/"&amp;IF(G1566="","?",G1566)&amp;CHAR(10)&amp;IF(K1566="","coach: –","coach: "&amp;K1566))</f>
        <v>Kids  0/4
coach: –</v>
      </c>
    </row>
    <row r="1567" customFormat="false" ht="22.35" hidden="false" customHeight="false" outlineLevel="0" collapsed="false">
      <c r="A1567" s="76" t="str">
        <f aca="false">B1567&amp;"|"&amp;C1567&amp;"|"&amp;D1567&amp;"|"&amp;E1567</f>
        <v>TMP|4|Jumat|13:30</v>
      </c>
      <c r="B1567" s="76" t="s">
        <v>67</v>
      </c>
      <c r="C1567" s="76" t="n">
        <v>4</v>
      </c>
      <c r="D1567" s="76" t="s">
        <v>94</v>
      </c>
      <c r="E1567" s="76" t="s">
        <v>102</v>
      </c>
      <c r="F1567" s="77" t="s">
        <v>210</v>
      </c>
      <c r="G1567" s="77" t="n">
        <v>4</v>
      </c>
      <c r="H1567" s="77" t="n">
        <v>0</v>
      </c>
      <c r="I1567" s="76" t="n">
        <f aca="false">IF(AND(ISNUMBER(G1567),ISNUMBER(H1567)),MAX(G1567-H1567,0),"")</f>
        <v>4</v>
      </c>
      <c r="J1567" s="78" t="n">
        <f aca="false">IF(AND(ISNUMBER(G1567),ISNUMBER(H1567)),IF(G1567&gt;0,H1567/G1567,""),"")</f>
        <v>0</v>
      </c>
      <c r="K1567" s="77"/>
      <c r="L1567" s="76" t="str">
        <f aca="false">IF(OR(G1567="",H1567=""),"Data tidak lengkap",IF(AND(G1567=0,H1567=0),IF(AND(F1567="",K1567=""),"Tidak dibuka","Tutup"),IF(H1567&gt;G1567,"Lebih kapasitas",IF(H1567=G1567,"Penuh",IF(H1567=0,IF(F1567="","Slot kosong","Belum terisi"),"Sebagian")))))</f>
        <v>Belum terisi</v>
      </c>
      <c r="M1567" s="79" t="str">
        <f aca="false">IF(L1567="Tidak dibuka","–",IF(F1567="","(tanpa age group)",F1567)&amp;"  "&amp;IF(H1567="","?",H1567)&amp;"/"&amp;IF(G1567="","?",G1567)&amp;CHAR(10)&amp;IF(K1567="","coach: –","coach: "&amp;K1567))</f>
        <v>Kids  0/4
coach: –</v>
      </c>
    </row>
    <row r="1568" customFormat="false" ht="22.35" hidden="false" customHeight="false" outlineLevel="0" collapsed="false">
      <c r="A1568" s="76" t="str">
        <f aca="false">B1568&amp;"|"&amp;C1568&amp;"|"&amp;D1568&amp;"|"&amp;E1568</f>
        <v>TMP|4|Jumat|14:15</v>
      </c>
      <c r="B1568" s="76" t="s">
        <v>67</v>
      </c>
      <c r="C1568" s="76" t="n">
        <v>4</v>
      </c>
      <c r="D1568" s="76" t="s">
        <v>94</v>
      </c>
      <c r="E1568" s="76" t="s">
        <v>103</v>
      </c>
      <c r="F1568" s="77" t="s">
        <v>210</v>
      </c>
      <c r="G1568" s="77" t="n">
        <v>4</v>
      </c>
      <c r="H1568" s="77" t="n">
        <v>0</v>
      </c>
      <c r="I1568" s="76" t="n">
        <f aca="false">IF(AND(ISNUMBER(G1568),ISNUMBER(H1568)),MAX(G1568-H1568,0),"")</f>
        <v>4</v>
      </c>
      <c r="J1568" s="78" t="n">
        <f aca="false">IF(AND(ISNUMBER(G1568),ISNUMBER(H1568)),IF(G1568&gt;0,H1568/G1568,""),"")</f>
        <v>0</v>
      </c>
      <c r="K1568" s="77"/>
      <c r="L1568" s="76" t="str">
        <f aca="false">IF(OR(G1568="",H1568=""),"Data tidak lengkap",IF(AND(G1568=0,H1568=0),IF(AND(F1568="",K1568=""),"Tidak dibuka","Tutup"),IF(H1568&gt;G1568,"Lebih kapasitas",IF(H1568=G1568,"Penuh",IF(H1568=0,IF(F1568="","Slot kosong","Belum terisi"),"Sebagian")))))</f>
        <v>Belum terisi</v>
      </c>
      <c r="M1568" s="79" t="str">
        <f aca="false">IF(L1568="Tidak dibuka","–",IF(F1568="","(tanpa age group)",F1568)&amp;"  "&amp;IF(H1568="","?",H1568)&amp;"/"&amp;IF(G1568="","?",G1568)&amp;CHAR(10)&amp;IF(K1568="","coach: –","coach: "&amp;K1568))</f>
        <v>Kids  0/4
coach: –</v>
      </c>
    </row>
    <row r="1569" customFormat="false" ht="22.35" hidden="false" customHeight="false" outlineLevel="0" collapsed="false">
      <c r="A1569" s="76" t="str">
        <f aca="false">B1569&amp;"|"&amp;C1569&amp;"|"&amp;D1569&amp;"|"&amp;E1569</f>
        <v>TMP|4|Jumat|15:00</v>
      </c>
      <c r="B1569" s="76" t="s">
        <v>67</v>
      </c>
      <c r="C1569" s="76" t="n">
        <v>4</v>
      </c>
      <c r="D1569" s="76" t="s">
        <v>94</v>
      </c>
      <c r="E1569" s="76" t="s">
        <v>104</v>
      </c>
      <c r="F1569" s="77" t="s">
        <v>210</v>
      </c>
      <c r="G1569" s="77" t="n">
        <v>4</v>
      </c>
      <c r="H1569" s="77" t="n">
        <v>0</v>
      </c>
      <c r="I1569" s="76" t="n">
        <f aca="false">IF(AND(ISNUMBER(G1569),ISNUMBER(H1569)),MAX(G1569-H1569,0),"")</f>
        <v>4</v>
      </c>
      <c r="J1569" s="78" t="n">
        <f aca="false">IF(AND(ISNUMBER(G1569),ISNUMBER(H1569)),IF(G1569&gt;0,H1569/G1569,""),"")</f>
        <v>0</v>
      </c>
      <c r="K1569" s="77"/>
      <c r="L1569" s="76" t="str">
        <f aca="false">IF(OR(G1569="",H1569=""),"Data tidak lengkap",IF(AND(G1569=0,H1569=0),IF(AND(F1569="",K1569=""),"Tidak dibuka","Tutup"),IF(H1569&gt;G1569,"Lebih kapasitas",IF(H1569=G1569,"Penuh",IF(H1569=0,IF(F1569="","Slot kosong","Belum terisi"),"Sebagian")))))</f>
        <v>Belum terisi</v>
      </c>
      <c r="M1569" s="79" t="str">
        <f aca="false">IF(L1569="Tidak dibuka","–",IF(F1569="","(tanpa age group)",F1569)&amp;"  "&amp;IF(H1569="","?",H1569)&amp;"/"&amp;IF(G1569="","?",G1569)&amp;CHAR(10)&amp;IF(K1569="","coach: –","coach: "&amp;K1569))</f>
        <v>Kids  0/4
coach: –</v>
      </c>
    </row>
    <row r="1570" customFormat="false" ht="22.35" hidden="false" customHeight="false" outlineLevel="0" collapsed="false">
      <c r="A1570" s="76" t="str">
        <f aca="false">B1570&amp;"|"&amp;C1570&amp;"|"&amp;D1570&amp;"|"&amp;E1570</f>
        <v>TMP|4|Jumat|15:45</v>
      </c>
      <c r="B1570" s="76" t="s">
        <v>67</v>
      </c>
      <c r="C1570" s="76" t="n">
        <v>4</v>
      </c>
      <c r="D1570" s="76" t="s">
        <v>94</v>
      </c>
      <c r="E1570" s="76" t="s">
        <v>105</v>
      </c>
      <c r="F1570" s="77" t="s">
        <v>210</v>
      </c>
      <c r="G1570" s="77" t="n">
        <v>4</v>
      </c>
      <c r="H1570" s="77" t="n">
        <v>0</v>
      </c>
      <c r="I1570" s="76" t="n">
        <f aca="false">IF(AND(ISNUMBER(G1570),ISNUMBER(H1570)),MAX(G1570-H1570,0),"")</f>
        <v>4</v>
      </c>
      <c r="J1570" s="78" t="n">
        <f aca="false">IF(AND(ISNUMBER(G1570),ISNUMBER(H1570)),IF(G1570&gt;0,H1570/G1570,""),"")</f>
        <v>0</v>
      </c>
      <c r="K1570" s="77"/>
      <c r="L1570" s="76" t="str">
        <f aca="false">IF(OR(G1570="",H1570=""),"Data tidak lengkap",IF(AND(G1570=0,H1570=0),IF(AND(F1570="",K1570=""),"Tidak dibuka","Tutup"),IF(H1570&gt;G1570,"Lebih kapasitas",IF(H1570=G1570,"Penuh",IF(H1570=0,IF(F1570="","Slot kosong","Belum terisi"),"Sebagian")))))</f>
        <v>Belum terisi</v>
      </c>
      <c r="M1570" s="79" t="str">
        <f aca="false">IF(L1570="Tidak dibuka","–",IF(F1570="","(tanpa age group)",F1570)&amp;"  "&amp;IF(H1570="","?",H1570)&amp;"/"&amp;IF(G1570="","?",G1570)&amp;CHAR(10)&amp;IF(K1570="","coach: –","coach: "&amp;K1570))</f>
        <v>Kids  0/4
coach: –</v>
      </c>
    </row>
    <row r="1571" customFormat="false" ht="22.35" hidden="false" customHeight="false" outlineLevel="0" collapsed="false">
      <c r="A1571" s="76" t="str">
        <f aca="false">B1571&amp;"|"&amp;C1571&amp;"|"&amp;D1571&amp;"|"&amp;E1571</f>
        <v>TMP|4|Jumat|16:30</v>
      </c>
      <c r="B1571" s="76" t="s">
        <v>67</v>
      </c>
      <c r="C1571" s="76" t="n">
        <v>4</v>
      </c>
      <c r="D1571" s="76" t="s">
        <v>94</v>
      </c>
      <c r="E1571" s="76" t="s">
        <v>106</v>
      </c>
      <c r="F1571" s="77" t="s">
        <v>210</v>
      </c>
      <c r="G1571" s="77" t="n">
        <v>4</v>
      </c>
      <c r="H1571" s="77" t="n">
        <v>0</v>
      </c>
      <c r="I1571" s="76" t="n">
        <f aca="false">IF(AND(ISNUMBER(G1571),ISNUMBER(H1571)),MAX(G1571-H1571,0),"")</f>
        <v>4</v>
      </c>
      <c r="J1571" s="78" t="n">
        <f aca="false">IF(AND(ISNUMBER(G1571),ISNUMBER(H1571)),IF(G1571&gt;0,H1571/G1571,""),"")</f>
        <v>0</v>
      </c>
      <c r="K1571" s="77"/>
      <c r="L1571" s="76" t="str">
        <f aca="false">IF(OR(G1571="",H1571=""),"Data tidak lengkap",IF(AND(G1571=0,H1571=0),IF(AND(F1571="",K1571=""),"Tidak dibuka","Tutup"),IF(H1571&gt;G1571,"Lebih kapasitas",IF(H1571=G1571,"Penuh",IF(H1571=0,IF(F1571="","Slot kosong","Belum terisi"),"Sebagian")))))</f>
        <v>Belum terisi</v>
      </c>
      <c r="M1571" s="79" t="str">
        <f aca="false">IF(L1571="Tidak dibuka","–",IF(F1571="","(tanpa age group)",F1571)&amp;"  "&amp;IF(H1571="","?",H1571)&amp;"/"&amp;IF(G1571="","?",G1571)&amp;CHAR(10)&amp;IF(K1571="","coach: –","coach: "&amp;K1571))</f>
        <v>Kids  0/4
coach: –</v>
      </c>
    </row>
    <row r="1572" customFormat="false" ht="22.35" hidden="false" customHeight="false" outlineLevel="0" collapsed="false">
      <c r="A1572" s="76" t="str">
        <f aca="false">B1572&amp;"|"&amp;C1572&amp;"|"&amp;D1572&amp;"|"&amp;E1572</f>
        <v>TMP|4|Jumat|17:15</v>
      </c>
      <c r="B1572" s="76" t="s">
        <v>67</v>
      </c>
      <c r="C1572" s="76" t="n">
        <v>4</v>
      </c>
      <c r="D1572" s="76" t="s">
        <v>94</v>
      </c>
      <c r="E1572" s="76" t="s">
        <v>107</v>
      </c>
      <c r="F1572" s="77" t="s">
        <v>210</v>
      </c>
      <c r="G1572" s="77" t="n">
        <v>4</v>
      </c>
      <c r="H1572" s="77" t="n">
        <v>0</v>
      </c>
      <c r="I1572" s="76" t="n">
        <f aca="false">IF(AND(ISNUMBER(G1572),ISNUMBER(H1572)),MAX(G1572-H1572,0),"")</f>
        <v>4</v>
      </c>
      <c r="J1572" s="78" t="n">
        <f aca="false">IF(AND(ISNUMBER(G1572),ISNUMBER(H1572)),IF(G1572&gt;0,H1572/G1572,""),"")</f>
        <v>0</v>
      </c>
      <c r="K1572" s="77"/>
      <c r="L1572" s="76" t="str">
        <f aca="false">IF(OR(G1572="",H1572=""),"Data tidak lengkap",IF(AND(G1572=0,H1572=0),IF(AND(F1572="",K1572=""),"Tidak dibuka","Tutup"),IF(H1572&gt;G1572,"Lebih kapasitas",IF(H1572=G1572,"Penuh",IF(H1572=0,IF(F1572="","Slot kosong","Belum terisi"),"Sebagian")))))</f>
        <v>Belum terisi</v>
      </c>
      <c r="M1572" s="79" t="str">
        <f aca="false">IF(L1572="Tidak dibuka","–",IF(F1572="","(tanpa age group)",F1572)&amp;"  "&amp;IF(H1572="","?",H1572)&amp;"/"&amp;IF(G1572="","?",G1572)&amp;CHAR(10)&amp;IF(K1572="","coach: –","coach: "&amp;K1572))</f>
        <v>Kids  0/4
coach: –</v>
      </c>
    </row>
    <row r="1573" customFormat="false" ht="22.35" hidden="false" customHeight="false" outlineLevel="0" collapsed="false">
      <c r="A1573" s="76" t="str">
        <f aca="false">B1573&amp;"|"&amp;C1573&amp;"|"&amp;D1573&amp;"|"&amp;E1573</f>
        <v>TMP|4|Sabtu|08:15</v>
      </c>
      <c r="B1573" s="76" t="s">
        <v>67</v>
      </c>
      <c r="C1573" s="76" t="n">
        <v>4</v>
      </c>
      <c r="D1573" s="76" t="s">
        <v>95</v>
      </c>
      <c r="E1573" s="76" t="s">
        <v>96</v>
      </c>
      <c r="F1573" s="77" t="s">
        <v>210</v>
      </c>
      <c r="G1573" s="77" t="n">
        <v>4</v>
      </c>
      <c r="H1573" s="77" t="n">
        <v>0</v>
      </c>
      <c r="I1573" s="76" t="n">
        <f aca="false">IF(AND(ISNUMBER(G1573),ISNUMBER(H1573)),MAX(G1573-H1573,0),"")</f>
        <v>4</v>
      </c>
      <c r="J1573" s="78" t="n">
        <f aca="false">IF(AND(ISNUMBER(G1573),ISNUMBER(H1573)),IF(G1573&gt;0,H1573/G1573,""),"")</f>
        <v>0</v>
      </c>
      <c r="K1573" s="77"/>
      <c r="L1573" s="76" t="str">
        <f aca="false">IF(OR(G1573="",H1573=""),"Data tidak lengkap",IF(AND(G1573=0,H1573=0),IF(AND(F1573="",K1573=""),"Tidak dibuka","Tutup"),IF(H1573&gt;G1573,"Lebih kapasitas",IF(H1573=G1573,"Penuh",IF(H1573=0,IF(F1573="","Slot kosong","Belum terisi"),"Sebagian")))))</f>
        <v>Belum terisi</v>
      </c>
      <c r="M1573" s="79" t="str">
        <f aca="false">IF(L1573="Tidak dibuka","–",IF(F1573="","(tanpa age group)",F1573)&amp;"  "&amp;IF(H1573="","?",H1573)&amp;"/"&amp;IF(G1573="","?",G1573)&amp;CHAR(10)&amp;IF(K1573="","coach: –","coach: "&amp;K1573))</f>
        <v>Kids  0/4
coach: –</v>
      </c>
    </row>
    <row r="1574" customFormat="false" ht="22.35" hidden="false" customHeight="false" outlineLevel="0" collapsed="false">
      <c r="A1574" s="76" t="str">
        <f aca="false">B1574&amp;"|"&amp;C1574&amp;"|"&amp;D1574&amp;"|"&amp;E1574</f>
        <v>TMP|4|Sabtu|09:00</v>
      </c>
      <c r="B1574" s="76" t="s">
        <v>67</v>
      </c>
      <c r="C1574" s="76" t="n">
        <v>4</v>
      </c>
      <c r="D1574" s="76" t="s">
        <v>95</v>
      </c>
      <c r="E1574" s="76" t="s">
        <v>97</v>
      </c>
      <c r="F1574" s="77" t="s">
        <v>210</v>
      </c>
      <c r="G1574" s="77" t="n">
        <v>4</v>
      </c>
      <c r="H1574" s="77" t="n">
        <v>0</v>
      </c>
      <c r="I1574" s="76" t="n">
        <f aca="false">IF(AND(ISNUMBER(G1574),ISNUMBER(H1574)),MAX(G1574-H1574,0),"")</f>
        <v>4</v>
      </c>
      <c r="J1574" s="78" t="n">
        <f aca="false">IF(AND(ISNUMBER(G1574),ISNUMBER(H1574)),IF(G1574&gt;0,H1574/G1574,""),"")</f>
        <v>0</v>
      </c>
      <c r="K1574" s="77"/>
      <c r="L1574" s="76" t="str">
        <f aca="false">IF(OR(G1574="",H1574=""),"Data tidak lengkap",IF(AND(G1574=0,H1574=0),IF(AND(F1574="",K1574=""),"Tidak dibuka","Tutup"),IF(H1574&gt;G1574,"Lebih kapasitas",IF(H1574=G1574,"Penuh",IF(H1574=0,IF(F1574="","Slot kosong","Belum terisi"),"Sebagian")))))</f>
        <v>Belum terisi</v>
      </c>
      <c r="M1574" s="79" t="str">
        <f aca="false">IF(L1574="Tidak dibuka","–",IF(F1574="","(tanpa age group)",F1574)&amp;"  "&amp;IF(H1574="","?",H1574)&amp;"/"&amp;IF(G1574="","?",G1574)&amp;CHAR(10)&amp;IF(K1574="","coach: –","coach: "&amp;K1574))</f>
        <v>Kids  0/4
coach: –</v>
      </c>
    </row>
    <row r="1575" customFormat="false" ht="22.35" hidden="false" customHeight="false" outlineLevel="0" collapsed="false">
      <c r="A1575" s="76" t="str">
        <f aca="false">B1575&amp;"|"&amp;C1575&amp;"|"&amp;D1575&amp;"|"&amp;E1575</f>
        <v>TMP|4|Sabtu|09:45</v>
      </c>
      <c r="B1575" s="76" t="s">
        <v>67</v>
      </c>
      <c r="C1575" s="76" t="n">
        <v>4</v>
      </c>
      <c r="D1575" s="76" t="s">
        <v>95</v>
      </c>
      <c r="E1575" s="76" t="s">
        <v>98</v>
      </c>
      <c r="F1575" s="77" t="s">
        <v>210</v>
      </c>
      <c r="G1575" s="77" t="n">
        <v>4</v>
      </c>
      <c r="H1575" s="77" t="n">
        <v>0</v>
      </c>
      <c r="I1575" s="76" t="n">
        <f aca="false">IF(AND(ISNUMBER(G1575),ISNUMBER(H1575)),MAX(G1575-H1575,0),"")</f>
        <v>4</v>
      </c>
      <c r="J1575" s="78" t="n">
        <f aca="false">IF(AND(ISNUMBER(G1575),ISNUMBER(H1575)),IF(G1575&gt;0,H1575/G1575,""),"")</f>
        <v>0</v>
      </c>
      <c r="K1575" s="77"/>
      <c r="L1575" s="76" t="str">
        <f aca="false">IF(OR(G1575="",H1575=""),"Data tidak lengkap",IF(AND(G1575=0,H1575=0),IF(AND(F1575="",K1575=""),"Tidak dibuka","Tutup"),IF(H1575&gt;G1575,"Lebih kapasitas",IF(H1575=G1575,"Penuh",IF(H1575=0,IF(F1575="","Slot kosong","Belum terisi"),"Sebagian")))))</f>
        <v>Belum terisi</v>
      </c>
      <c r="M1575" s="79" t="str">
        <f aca="false">IF(L1575="Tidak dibuka","–",IF(F1575="","(tanpa age group)",F1575)&amp;"  "&amp;IF(H1575="","?",H1575)&amp;"/"&amp;IF(G1575="","?",G1575)&amp;CHAR(10)&amp;IF(K1575="","coach: –","coach: "&amp;K1575))</f>
        <v>Kids  0/4
coach: –</v>
      </c>
    </row>
    <row r="1576" customFormat="false" ht="22.35" hidden="false" customHeight="false" outlineLevel="0" collapsed="false">
      <c r="A1576" s="76" t="str">
        <f aca="false">B1576&amp;"|"&amp;C1576&amp;"|"&amp;D1576&amp;"|"&amp;E1576</f>
        <v>TMP|4|Sabtu|10:30</v>
      </c>
      <c r="B1576" s="76" t="s">
        <v>67</v>
      </c>
      <c r="C1576" s="76" t="n">
        <v>4</v>
      </c>
      <c r="D1576" s="76" t="s">
        <v>95</v>
      </c>
      <c r="E1576" s="76" t="s">
        <v>99</v>
      </c>
      <c r="F1576" s="77" t="s">
        <v>210</v>
      </c>
      <c r="G1576" s="77" t="n">
        <v>4</v>
      </c>
      <c r="H1576" s="77" t="n">
        <v>0</v>
      </c>
      <c r="I1576" s="76" t="n">
        <f aca="false">IF(AND(ISNUMBER(G1576),ISNUMBER(H1576)),MAX(G1576-H1576,0),"")</f>
        <v>4</v>
      </c>
      <c r="J1576" s="78" t="n">
        <f aca="false">IF(AND(ISNUMBER(G1576),ISNUMBER(H1576)),IF(G1576&gt;0,H1576/G1576,""),"")</f>
        <v>0</v>
      </c>
      <c r="K1576" s="77"/>
      <c r="L1576" s="76" t="str">
        <f aca="false">IF(OR(G1576="",H1576=""),"Data tidak lengkap",IF(AND(G1576=0,H1576=0),IF(AND(F1576="",K1576=""),"Tidak dibuka","Tutup"),IF(H1576&gt;G1576,"Lebih kapasitas",IF(H1576=G1576,"Penuh",IF(H1576=0,IF(F1576="","Slot kosong","Belum terisi"),"Sebagian")))))</f>
        <v>Belum terisi</v>
      </c>
      <c r="M1576" s="79" t="str">
        <f aca="false">IF(L1576="Tidak dibuka","–",IF(F1576="","(tanpa age group)",F1576)&amp;"  "&amp;IF(H1576="","?",H1576)&amp;"/"&amp;IF(G1576="","?",G1576)&amp;CHAR(10)&amp;IF(K1576="","coach: –","coach: "&amp;K1576))</f>
        <v>Kids  0/4
coach: –</v>
      </c>
    </row>
    <row r="1577" customFormat="false" ht="22.35" hidden="false" customHeight="false" outlineLevel="0" collapsed="false">
      <c r="A1577" s="76" t="str">
        <f aca="false">B1577&amp;"|"&amp;C1577&amp;"|"&amp;D1577&amp;"|"&amp;E1577</f>
        <v>TMP|4|Sabtu|11:15</v>
      </c>
      <c r="B1577" s="76" t="s">
        <v>67</v>
      </c>
      <c r="C1577" s="76" t="n">
        <v>4</v>
      </c>
      <c r="D1577" s="76" t="s">
        <v>95</v>
      </c>
      <c r="E1577" s="76" t="s">
        <v>100</v>
      </c>
      <c r="F1577" s="77" t="s">
        <v>210</v>
      </c>
      <c r="G1577" s="77" t="n">
        <v>4</v>
      </c>
      <c r="H1577" s="77" t="n">
        <v>0</v>
      </c>
      <c r="I1577" s="76" t="n">
        <f aca="false">IF(AND(ISNUMBER(G1577),ISNUMBER(H1577)),MAX(G1577-H1577,0),"")</f>
        <v>4</v>
      </c>
      <c r="J1577" s="78" t="n">
        <f aca="false">IF(AND(ISNUMBER(G1577),ISNUMBER(H1577)),IF(G1577&gt;0,H1577/G1577,""),"")</f>
        <v>0</v>
      </c>
      <c r="K1577" s="77"/>
      <c r="L1577" s="76" t="str">
        <f aca="false">IF(OR(G1577="",H1577=""),"Data tidak lengkap",IF(AND(G1577=0,H1577=0),IF(AND(F1577="",K1577=""),"Tidak dibuka","Tutup"),IF(H1577&gt;G1577,"Lebih kapasitas",IF(H1577=G1577,"Penuh",IF(H1577=0,IF(F1577="","Slot kosong","Belum terisi"),"Sebagian")))))</f>
        <v>Belum terisi</v>
      </c>
      <c r="M1577" s="79" t="str">
        <f aca="false">IF(L1577="Tidak dibuka","–",IF(F1577="","(tanpa age group)",F1577)&amp;"  "&amp;IF(H1577="","?",H1577)&amp;"/"&amp;IF(G1577="","?",G1577)&amp;CHAR(10)&amp;IF(K1577="","coach: –","coach: "&amp;K1577))</f>
        <v>Kids  0/4
coach: –</v>
      </c>
    </row>
    <row r="1578" customFormat="false" ht="22.35" hidden="false" customHeight="false" outlineLevel="0" collapsed="false">
      <c r="A1578" s="76" t="str">
        <f aca="false">B1578&amp;"|"&amp;C1578&amp;"|"&amp;D1578&amp;"|"&amp;E1578</f>
        <v>TMP|4|Sabtu|12:00</v>
      </c>
      <c r="B1578" s="76" t="s">
        <v>67</v>
      </c>
      <c r="C1578" s="76" t="n">
        <v>4</v>
      </c>
      <c r="D1578" s="76" t="s">
        <v>95</v>
      </c>
      <c r="E1578" s="76" t="s">
        <v>101</v>
      </c>
      <c r="F1578" s="77" t="s">
        <v>210</v>
      </c>
      <c r="G1578" s="77" t="n">
        <v>4</v>
      </c>
      <c r="H1578" s="77" t="n">
        <v>0</v>
      </c>
      <c r="I1578" s="76" t="n">
        <f aca="false">IF(AND(ISNUMBER(G1578),ISNUMBER(H1578)),MAX(G1578-H1578,0),"")</f>
        <v>4</v>
      </c>
      <c r="J1578" s="78" t="n">
        <f aca="false">IF(AND(ISNUMBER(G1578),ISNUMBER(H1578)),IF(G1578&gt;0,H1578/G1578,""),"")</f>
        <v>0</v>
      </c>
      <c r="K1578" s="77"/>
      <c r="L1578" s="76" t="str">
        <f aca="false">IF(OR(G1578="",H1578=""),"Data tidak lengkap",IF(AND(G1578=0,H1578=0),IF(AND(F1578="",K1578=""),"Tidak dibuka","Tutup"),IF(H1578&gt;G1578,"Lebih kapasitas",IF(H1578=G1578,"Penuh",IF(H1578=0,IF(F1578="","Slot kosong","Belum terisi"),"Sebagian")))))</f>
        <v>Belum terisi</v>
      </c>
      <c r="M1578" s="79" t="str">
        <f aca="false">IF(L1578="Tidak dibuka","–",IF(F1578="","(tanpa age group)",F1578)&amp;"  "&amp;IF(H1578="","?",H1578)&amp;"/"&amp;IF(G1578="","?",G1578)&amp;CHAR(10)&amp;IF(K1578="","coach: –","coach: "&amp;K1578))</f>
        <v>Kids  0/4
coach: –</v>
      </c>
    </row>
    <row r="1579" customFormat="false" ht="22.35" hidden="false" customHeight="false" outlineLevel="0" collapsed="false">
      <c r="A1579" s="76" t="str">
        <f aca="false">B1579&amp;"|"&amp;C1579&amp;"|"&amp;D1579&amp;"|"&amp;E1579</f>
        <v>TMP|4|Sabtu|13:30</v>
      </c>
      <c r="B1579" s="76" t="s">
        <v>67</v>
      </c>
      <c r="C1579" s="76" t="n">
        <v>4</v>
      </c>
      <c r="D1579" s="76" t="s">
        <v>95</v>
      </c>
      <c r="E1579" s="76" t="s">
        <v>102</v>
      </c>
      <c r="F1579" s="77" t="s">
        <v>210</v>
      </c>
      <c r="G1579" s="77" t="n">
        <v>4</v>
      </c>
      <c r="H1579" s="77" t="n">
        <v>0</v>
      </c>
      <c r="I1579" s="76" t="n">
        <f aca="false">IF(AND(ISNUMBER(G1579),ISNUMBER(H1579)),MAX(G1579-H1579,0),"")</f>
        <v>4</v>
      </c>
      <c r="J1579" s="78" t="n">
        <f aca="false">IF(AND(ISNUMBER(G1579),ISNUMBER(H1579)),IF(G1579&gt;0,H1579/G1579,""),"")</f>
        <v>0</v>
      </c>
      <c r="K1579" s="77"/>
      <c r="L1579" s="76" t="str">
        <f aca="false">IF(OR(G1579="",H1579=""),"Data tidak lengkap",IF(AND(G1579=0,H1579=0),IF(AND(F1579="",K1579=""),"Tidak dibuka","Tutup"),IF(H1579&gt;G1579,"Lebih kapasitas",IF(H1579=G1579,"Penuh",IF(H1579=0,IF(F1579="","Slot kosong","Belum terisi"),"Sebagian")))))</f>
        <v>Belum terisi</v>
      </c>
      <c r="M1579" s="79" t="str">
        <f aca="false">IF(L1579="Tidak dibuka","–",IF(F1579="","(tanpa age group)",F1579)&amp;"  "&amp;IF(H1579="","?",H1579)&amp;"/"&amp;IF(G1579="","?",G1579)&amp;CHAR(10)&amp;IF(K1579="","coach: –","coach: "&amp;K1579))</f>
        <v>Kids  0/4
coach: –</v>
      </c>
    </row>
    <row r="1580" customFormat="false" ht="22.35" hidden="false" customHeight="false" outlineLevel="0" collapsed="false">
      <c r="A1580" s="76" t="str">
        <f aca="false">B1580&amp;"|"&amp;C1580&amp;"|"&amp;D1580&amp;"|"&amp;E1580</f>
        <v>TMP|4|Sabtu|14:15</v>
      </c>
      <c r="B1580" s="76" t="s">
        <v>67</v>
      </c>
      <c r="C1580" s="76" t="n">
        <v>4</v>
      </c>
      <c r="D1580" s="76" t="s">
        <v>95</v>
      </c>
      <c r="E1580" s="76" t="s">
        <v>103</v>
      </c>
      <c r="F1580" s="77" t="s">
        <v>210</v>
      </c>
      <c r="G1580" s="77" t="n">
        <v>4</v>
      </c>
      <c r="H1580" s="77" t="n">
        <v>0</v>
      </c>
      <c r="I1580" s="76" t="n">
        <f aca="false">IF(AND(ISNUMBER(G1580),ISNUMBER(H1580)),MAX(G1580-H1580,0),"")</f>
        <v>4</v>
      </c>
      <c r="J1580" s="78" t="n">
        <f aca="false">IF(AND(ISNUMBER(G1580),ISNUMBER(H1580)),IF(G1580&gt;0,H1580/G1580,""),"")</f>
        <v>0</v>
      </c>
      <c r="K1580" s="77"/>
      <c r="L1580" s="76" t="str">
        <f aca="false">IF(OR(G1580="",H1580=""),"Data tidak lengkap",IF(AND(G1580=0,H1580=0),IF(AND(F1580="",K1580=""),"Tidak dibuka","Tutup"),IF(H1580&gt;G1580,"Lebih kapasitas",IF(H1580=G1580,"Penuh",IF(H1580=0,IF(F1580="","Slot kosong","Belum terisi"),"Sebagian")))))</f>
        <v>Belum terisi</v>
      </c>
      <c r="M1580" s="79" t="str">
        <f aca="false">IF(L1580="Tidak dibuka","–",IF(F1580="","(tanpa age group)",F1580)&amp;"  "&amp;IF(H1580="","?",H1580)&amp;"/"&amp;IF(G1580="","?",G1580)&amp;CHAR(10)&amp;IF(K1580="","coach: –","coach: "&amp;K1580))</f>
        <v>Kids  0/4
coach: –</v>
      </c>
    </row>
    <row r="1581" customFormat="false" ht="22.35" hidden="false" customHeight="false" outlineLevel="0" collapsed="false">
      <c r="A1581" s="76" t="str">
        <f aca="false">B1581&amp;"|"&amp;C1581&amp;"|"&amp;D1581&amp;"|"&amp;E1581</f>
        <v>TMP|4|Sabtu|15:00</v>
      </c>
      <c r="B1581" s="76" t="s">
        <v>67</v>
      </c>
      <c r="C1581" s="76" t="n">
        <v>4</v>
      </c>
      <c r="D1581" s="76" t="s">
        <v>95</v>
      </c>
      <c r="E1581" s="76" t="s">
        <v>104</v>
      </c>
      <c r="F1581" s="77" t="s">
        <v>210</v>
      </c>
      <c r="G1581" s="77" t="n">
        <v>4</v>
      </c>
      <c r="H1581" s="77" t="n">
        <v>0</v>
      </c>
      <c r="I1581" s="76" t="n">
        <f aca="false">IF(AND(ISNUMBER(G1581),ISNUMBER(H1581)),MAX(G1581-H1581,0),"")</f>
        <v>4</v>
      </c>
      <c r="J1581" s="78" t="n">
        <f aca="false">IF(AND(ISNUMBER(G1581),ISNUMBER(H1581)),IF(G1581&gt;0,H1581/G1581,""),"")</f>
        <v>0</v>
      </c>
      <c r="K1581" s="77"/>
      <c r="L1581" s="76" t="str">
        <f aca="false">IF(OR(G1581="",H1581=""),"Data tidak lengkap",IF(AND(G1581=0,H1581=0),IF(AND(F1581="",K1581=""),"Tidak dibuka","Tutup"),IF(H1581&gt;G1581,"Lebih kapasitas",IF(H1581=G1581,"Penuh",IF(H1581=0,IF(F1581="","Slot kosong","Belum terisi"),"Sebagian")))))</f>
        <v>Belum terisi</v>
      </c>
      <c r="M1581" s="79" t="str">
        <f aca="false">IF(L1581="Tidak dibuka","–",IF(F1581="","(tanpa age group)",F1581)&amp;"  "&amp;IF(H1581="","?",H1581)&amp;"/"&amp;IF(G1581="","?",G1581)&amp;CHAR(10)&amp;IF(K1581="","coach: –","coach: "&amp;K1581))</f>
        <v>Kids  0/4
coach: –</v>
      </c>
    </row>
    <row r="1582" customFormat="false" ht="22.35" hidden="false" customHeight="false" outlineLevel="0" collapsed="false">
      <c r="A1582" s="76" t="str">
        <f aca="false">B1582&amp;"|"&amp;C1582&amp;"|"&amp;D1582&amp;"|"&amp;E1582</f>
        <v>TMP|4|Sabtu|15:45</v>
      </c>
      <c r="B1582" s="76" t="s">
        <v>67</v>
      </c>
      <c r="C1582" s="76" t="n">
        <v>4</v>
      </c>
      <c r="D1582" s="76" t="s">
        <v>95</v>
      </c>
      <c r="E1582" s="76" t="s">
        <v>105</v>
      </c>
      <c r="F1582" s="77" t="s">
        <v>210</v>
      </c>
      <c r="G1582" s="77" t="n">
        <v>4</v>
      </c>
      <c r="H1582" s="77" t="n">
        <v>0</v>
      </c>
      <c r="I1582" s="76" t="n">
        <f aca="false">IF(AND(ISNUMBER(G1582),ISNUMBER(H1582)),MAX(G1582-H1582,0),"")</f>
        <v>4</v>
      </c>
      <c r="J1582" s="78" t="n">
        <f aca="false">IF(AND(ISNUMBER(G1582),ISNUMBER(H1582)),IF(G1582&gt;0,H1582/G1582,""),"")</f>
        <v>0</v>
      </c>
      <c r="K1582" s="77"/>
      <c r="L1582" s="76" t="str">
        <f aca="false">IF(OR(G1582="",H1582=""),"Data tidak lengkap",IF(AND(G1582=0,H1582=0),IF(AND(F1582="",K1582=""),"Tidak dibuka","Tutup"),IF(H1582&gt;G1582,"Lebih kapasitas",IF(H1582=G1582,"Penuh",IF(H1582=0,IF(F1582="","Slot kosong","Belum terisi"),"Sebagian")))))</f>
        <v>Belum terisi</v>
      </c>
      <c r="M1582" s="79" t="str">
        <f aca="false">IF(L1582="Tidak dibuka","–",IF(F1582="","(tanpa age group)",F1582)&amp;"  "&amp;IF(H1582="","?",H1582)&amp;"/"&amp;IF(G1582="","?",G1582)&amp;CHAR(10)&amp;IF(K1582="","coach: –","coach: "&amp;K1582))</f>
        <v>Kids  0/4
coach: –</v>
      </c>
    </row>
    <row r="1583" customFormat="false" ht="22.35" hidden="false" customHeight="false" outlineLevel="0" collapsed="false">
      <c r="A1583" s="76" t="str">
        <f aca="false">B1583&amp;"|"&amp;C1583&amp;"|"&amp;D1583&amp;"|"&amp;E1583</f>
        <v>TMP|4|Sabtu|16:30</v>
      </c>
      <c r="B1583" s="76" t="s">
        <v>67</v>
      </c>
      <c r="C1583" s="76" t="n">
        <v>4</v>
      </c>
      <c r="D1583" s="76" t="s">
        <v>95</v>
      </c>
      <c r="E1583" s="76" t="s">
        <v>106</v>
      </c>
      <c r="F1583" s="77" t="s">
        <v>210</v>
      </c>
      <c r="G1583" s="77" t="n">
        <v>4</v>
      </c>
      <c r="H1583" s="77" t="n">
        <v>0</v>
      </c>
      <c r="I1583" s="76" t="n">
        <f aca="false">IF(AND(ISNUMBER(G1583),ISNUMBER(H1583)),MAX(G1583-H1583,0),"")</f>
        <v>4</v>
      </c>
      <c r="J1583" s="78" t="n">
        <f aca="false">IF(AND(ISNUMBER(G1583),ISNUMBER(H1583)),IF(G1583&gt;0,H1583/G1583,""),"")</f>
        <v>0</v>
      </c>
      <c r="K1583" s="77"/>
      <c r="L1583" s="76" t="str">
        <f aca="false">IF(OR(G1583="",H1583=""),"Data tidak lengkap",IF(AND(G1583=0,H1583=0),IF(AND(F1583="",K1583=""),"Tidak dibuka","Tutup"),IF(H1583&gt;G1583,"Lebih kapasitas",IF(H1583=G1583,"Penuh",IF(H1583=0,IF(F1583="","Slot kosong","Belum terisi"),"Sebagian")))))</f>
        <v>Belum terisi</v>
      </c>
      <c r="M1583" s="79" t="str">
        <f aca="false">IF(L1583="Tidak dibuka","–",IF(F1583="","(tanpa age group)",F1583)&amp;"  "&amp;IF(H1583="","?",H1583)&amp;"/"&amp;IF(G1583="","?",G1583)&amp;CHAR(10)&amp;IF(K1583="","coach: –","coach: "&amp;K1583))</f>
        <v>Kids  0/4
coach: –</v>
      </c>
    </row>
    <row r="1584" customFormat="false" ht="22.35" hidden="false" customHeight="false" outlineLevel="0" collapsed="false">
      <c r="A1584" s="76" t="str">
        <f aca="false">B1584&amp;"|"&amp;C1584&amp;"|"&amp;D1584&amp;"|"&amp;E1584</f>
        <v>TMP|4|Sabtu|17:15</v>
      </c>
      <c r="B1584" s="76" t="s">
        <v>67</v>
      </c>
      <c r="C1584" s="76" t="n">
        <v>4</v>
      </c>
      <c r="D1584" s="76" t="s">
        <v>95</v>
      </c>
      <c r="E1584" s="76" t="s">
        <v>107</v>
      </c>
      <c r="F1584" s="77" t="s">
        <v>210</v>
      </c>
      <c r="G1584" s="77" t="n">
        <v>4</v>
      </c>
      <c r="H1584" s="77" t="n">
        <v>0</v>
      </c>
      <c r="I1584" s="76" t="n">
        <f aca="false">IF(AND(ISNUMBER(G1584),ISNUMBER(H1584)),MAX(G1584-H1584,0),"")</f>
        <v>4</v>
      </c>
      <c r="J1584" s="78" t="n">
        <f aca="false">IF(AND(ISNUMBER(G1584),ISNUMBER(H1584)),IF(G1584&gt;0,H1584/G1584,""),"")</f>
        <v>0</v>
      </c>
      <c r="K1584" s="77"/>
      <c r="L1584" s="76" t="str">
        <f aca="false">IF(OR(G1584="",H1584=""),"Data tidak lengkap",IF(AND(G1584=0,H1584=0),IF(AND(F1584="",K1584=""),"Tidak dibuka","Tutup"),IF(H1584&gt;G1584,"Lebih kapasitas",IF(H1584=G1584,"Penuh",IF(H1584=0,IF(F1584="","Slot kosong","Belum terisi"),"Sebagian")))))</f>
        <v>Belum terisi</v>
      </c>
      <c r="M1584" s="79" t="str">
        <f aca="false">IF(L1584="Tidak dibuka","–",IF(F1584="","(tanpa age group)",F1584)&amp;"  "&amp;IF(H1584="","?",H1584)&amp;"/"&amp;IF(G1584="","?",G1584)&amp;CHAR(10)&amp;IF(K1584="","coach: –","coach: "&amp;K1584))</f>
        <v>Kids  0/4
coach: –</v>
      </c>
    </row>
    <row r="1585" customFormat="false" ht="22.35" hidden="false" customHeight="false" outlineLevel="0" collapsed="false">
      <c r="A1585" s="76" t="str">
        <f aca="false">B1585&amp;"|"&amp;C1585&amp;"|"&amp;D1585&amp;"|"&amp;E1585</f>
        <v>TMP|4|Minggu|08:15</v>
      </c>
      <c r="B1585" s="76" t="s">
        <v>67</v>
      </c>
      <c r="C1585" s="76" t="n">
        <v>4</v>
      </c>
      <c r="D1585" s="76" t="s">
        <v>78</v>
      </c>
      <c r="E1585" s="76" t="s">
        <v>96</v>
      </c>
      <c r="F1585" s="77" t="s">
        <v>210</v>
      </c>
      <c r="G1585" s="77" t="n">
        <v>4</v>
      </c>
      <c r="H1585" s="77" t="n">
        <v>0</v>
      </c>
      <c r="I1585" s="76" t="n">
        <f aca="false">IF(AND(ISNUMBER(G1585),ISNUMBER(H1585)),MAX(G1585-H1585,0),"")</f>
        <v>4</v>
      </c>
      <c r="J1585" s="78" t="n">
        <f aca="false">IF(AND(ISNUMBER(G1585),ISNUMBER(H1585)),IF(G1585&gt;0,H1585/G1585,""),"")</f>
        <v>0</v>
      </c>
      <c r="K1585" s="77"/>
      <c r="L1585" s="76" t="str">
        <f aca="false">IF(OR(G1585="",H1585=""),"Data tidak lengkap",IF(AND(G1585=0,H1585=0),IF(AND(F1585="",K1585=""),"Tidak dibuka","Tutup"),IF(H1585&gt;G1585,"Lebih kapasitas",IF(H1585=G1585,"Penuh",IF(H1585=0,IF(F1585="","Slot kosong","Belum terisi"),"Sebagian")))))</f>
        <v>Belum terisi</v>
      </c>
      <c r="M1585" s="79" t="str">
        <f aca="false">IF(L1585="Tidak dibuka","–",IF(F1585="","(tanpa age group)",F1585)&amp;"  "&amp;IF(H1585="","?",H1585)&amp;"/"&amp;IF(G1585="","?",G1585)&amp;CHAR(10)&amp;IF(K1585="","coach: –","coach: "&amp;K1585))</f>
        <v>Kids  0/4
coach: –</v>
      </c>
    </row>
    <row r="1586" customFormat="false" ht="22.35" hidden="false" customHeight="false" outlineLevel="0" collapsed="false">
      <c r="A1586" s="76" t="str">
        <f aca="false">B1586&amp;"|"&amp;C1586&amp;"|"&amp;D1586&amp;"|"&amp;E1586</f>
        <v>TMP|4|Minggu|09:00</v>
      </c>
      <c r="B1586" s="76" t="s">
        <v>67</v>
      </c>
      <c r="C1586" s="76" t="n">
        <v>4</v>
      </c>
      <c r="D1586" s="76" t="s">
        <v>78</v>
      </c>
      <c r="E1586" s="76" t="s">
        <v>97</v>
      </c>
      <c r="F1586" s="77" t="s">
        <v>210</v>
      </c>
      <c r="G1586" s="77" t="n">
        <v>4</v>
      </c>
      <c r="H1586" s="77" t="n">
        <v>0</v>
      </c>
      <c r="I1586" s="76" t="n">
        <f aca="false">IF(AND(ISNUMBER(G1586),ISNUMBER(H1586)),MAX(G1586-H1586,0),"")</f>
        <v>4</v>
      </c>
      <c r="J1586" s="78" t="n">
        <f aca="false">IF(AND(ISNUMBER(G1586),ISNUMBER(H1586)),IF(G1586&gt;0,H1586/G1586,""),"")</f>
        <v>0</v>
      </c>
      <c r="K1586" s="77"/>
      <c r="L1586" s="76" t="str">
        <f aca="false">IF(OR(G1586="",H1586=""),"Data tidak lengkap",IF(AND(G1586=0,H1586=0),IF(AND(F1586="",K1586=""),"Tidak dibuka","Tutup"),IF(H1586&gt;G1586,"Lebih kapasitas",IF(H1586=G1586,"Penuh",IF(H1586=0,IF(F1586="","Slot kosong","Belum terisi"),"Sebagian")))))</f>
        <v>Belum terisi</v>
      </c>
      <c r="M1586" s="79" t="str">
        <f aca="false">IF(L1586="Tidak dibuka","–",IF(F1586="","(tanpa age group)",F1586)&amp;"  "&amp;IF(H1586="","?",H1586)&amp;"/"&amp;IF(G1586="","?",G1586)&amp;CHAR(10)&amp;IF(K1586="","coach: –","coach: "&amp;K1586))</f>
        <v>Kids  0/4
coach: –</v>
      </c>
    </row>
    <row r="1587" customFormat="false" ht="22.35" hidden="false" customHeight="false" outlineLevel="0" collapsed="false">
      <c r="A1587" s="76" t="str">
        <f aca="false">B1587&amp;"|"&amp;C1587&amp;"|"&amp;D1587&amp;"|"&amp;E1587</f>
        <v>TMP|4|Minggu|09:45</v>
      </c>
      <c r="B1587" s="76" t="s">
        <v>67</v>
      </c>
      <c r="C1587" s="76" t="n">
        <v>4</v>
      </c>
      <c r="D1587" s="76" t="s">
        <v>78</v>
      </c>
      <c r="E1587" s="76" t="s">
        <v>98</v>
      </c>
      <c r="F1587" s="77" t="s">
        <v>210</v>
      </c>
      <c r="G1587" s="77" t="n">
        <v>4</v>
      </c>
      <c r="H1587" s="77" t="n">
        <v>0</v>
      </c>
      <c r="I1587" s="76" t="n">
        <f aca="false">IF(AND(ISNUMBER(G1587),ISNUMBER(H1587)),MAX(G1587-H1587,0),"")</f>
        <v>4</v>
      </c>
      <c r="J1587" s="78" t="n">
        <f aca="false">IF(AND(ISNUMBER(G1587),ISNUMBER(H1587)),IF(G1587&gt;0,H1587/G1587,""),"")</f>
        <v>0</v>
      </c>
      <c r="K1587" s="77"/>
      <c r="L1587" s="76" t="str">
        <f aca="false">IF(OR(G1587="",H1587=""),"Data tidak lengkap",IF(AND(G1587=0,H1587=0),IF(AND(F1587="",K1587=""),"Tidak dibuka","Tutup"),IF(H1587&gt;G1587,"Lebih kapasitas",IF(H1587=G1587,"Penuh",IF(H1587=0,IF(F1587="","Slot kosong","Belum terisi"),"Sebagian")))))</f>
        <v>Belum terisi</v>
      </c>
      <c r="M1587" s="79" t="str">
        <f aca="false">IF(L1587="Tidak dibuka","–",IF(F1587="","(tanpa age group)",F1587)&amp;"  "&amp;IF(H1587="","?",H1587)&amp;"/"&amp;IF(G1587="","?",G1587)&amp;CHAR(10)&amp;IF(K1587="","coach: –","coach: "&amp;K1587))</f>
        <v>Kids  0/4
coach: –</v>
      </c>
    </row>
    <row r="1588" customFormat="false" ht="22.35" hidden="false" customHeight="false" outlineLevel="0" collapsed="false">
      <c r="A1588" s="76" t="str">
        <f aca="false">B1588&amp;"|"&amp;C1588&amp;"|"&amp;D1588&amp;"|"&amp;E1588</f>
        <v>TMP|4|Minggu|10:30</v>
      </c>
      <c r="B1588" s="76" t="s">
        <v>67</v>
      </c>
      <c r="C1588" s="76" t="n">
        <v>4</v>
      </c>
      <c r="D1588" s="76" t="s">
        <v>78</v>
      </c>
      <c r="E1588" s="76" t="s">
        <v>99</v>
      </c>
      <c r="F1588" s="77" t="s">
        <v>210</v>
      </c>
      <c r="G1588" s="77" t="n">
        <v>4</v>
      </c>
      <c r="H1588" s="77" t="n">
        <v>0</v>
      </c>
      <c r="I1588" s="76" t="n">
        <f aca="false">IF(AND(ISNUMBER(G1588),ISNUMBER(H1588)),MAX(G1588-H1588,0),"")</f>
        <v>4</v>
      </c>
      <c r="J1588" s="78" t="n">
        <f aca="false">IF(AND(ISNUMBER(G1588),ISNUMBER(H1588)),IF(G1588&gt;0,H1588/G1588,""),"")</f>
        <v>0</v>
      </c>
      <c r="K1588" s="77"/>
      <c r="L1588" s="76" t="str">
        <f aca="false">IF(OR(G1588="",H1588=""),"Data tidak lengkap",IF(AND(G1588=0,H1588=0),IF(AND(F1588="",K1588=""),"Tidak dibuka","Tutup"),IF(H1588&gt;G1588,"Lebih kapasitas",IF(H1588=G1588,"Penuh",IF(H1588=0,IF(F1588="","Slot kosong","Belum terisi"),"Sebagian")))))</f>
        <v>Belum terisi</v>
      </c>
      <c r="M1588" s="79" t="str">
        <f aca="false">IF(L1588="Tidak dibuka","–",IF(F1588="","(tanpa age group)",F1588)&amp;"  "&amp;IF(H1588="","?",H1588)&amp;"/"&amp;IF(G1588="","?",G1588)&amp;CHAR(10)&amp;IF(K1588="","coach: –","coach: "&amp;K1588))</f>
        <v>Kids  0/4
coach: –</v>
      </c>
    </row>
    <row r="1589" customFormat="false" ht="22.35" hidden="false" customHeight="false" outlineLevel="0" collapsed="false">
      <c r="A1589" s="76" t="str">
        <f aca="false">B1589&amp;"|"&amp;C1589&amp;"|"&amp;D1589&amp;"|"&amp;E1589</f>
        <v>TMP|4|Minggu|11:15</v>
      </c>
      <c r="B1589" s="76" t="s">
        <v>67</v>
      </c>
      <c r="C1589" s="76" t="n">
        <v>4</v>
      </c>
      <c r="D1589" s="76" t="s">
        <v>78</v>
      </c>
      <c r="E1589" s="76" t="s">
        <v>100</v>
      </c>
      <c r="F1589" s="77" t="s">
        <v>210</v>
      </c>
      <c r="G1589" s="77" t="n">
        <v>4</v>
      </c>
      <c r="H1589" s="77" t="n">
        <v>0</v>
      </c>
      <c r="I1589" s="76" t="n">
        <f aca="false">IF(AND(ISNUMBER(G1589),ISNUMBER(H1589)),MAX(G1589-H1589,0),"")</f>
        <v>4</v>
      </c>
      <c r="J1589" s="78" t="n">
        <f aca="false">IF(AND(ISNUMBER(G1589),ISNUMBER(H1589)),IF(G1589&gt;0,H1589/G1589,""),"")</f>
        <v>0</v>
      </c>
      <c r="K1589" s="77"/>
      <c r="L1589" s="76" t="str">
        <f aca="false">IF(OR(G1589="",H1589=""),"Data tidak lengkap",IF(AND(G1589=0,H1589=0),IF(AND(F1589="",K1589=""),"Tidak dibuka","Tutup"),IF(H1589&gt;G1589,"Lebih kapasitas",IF(H1589=G1589,"Penuh",IF(H1589=0,IF(F1589="","Slot kosong","Belum terisi"),"Sebagian")))))</f>
        <v>Belum terisi</v>
      </c>
      <c r="M1589" s="79" t="str">
        <f aca="false">IF(L1589="Tidak dibuka","–",IF(F1589="","(tanpa age group)",F1589)&amp;"  "&amp;IF(H1589="","?",H1589)&amp;"/"&amp;IF(G1589="","?",G1589)&amp;CHAR(10)&amp;IF(K1589="","coach: –","coach: "&amp;K1589))</f>
        <v>Kids  0/4
coach: –</v>
      </c>
    </row>
    <row r="1590" customFormat="false" ht="22.35" hidden="false" customHeight="false" outlineLevel="0" collapsed="false">
      <c r="A1590" s="76" t="str">
        <f aca="false">B1590&amp;"|"&amp;C1590&amp;"|"&amp;D1590&amp;"|"&amp;E1590</f>
        <v>TMP|4|Minggu|12:00</v>
      </c>
      <c r="B1590" s="76" t="s">
        <v>67</v>
      </c>
      <c r="C1590" s="76" t="n">
        <v>4</v>
      </c>
      <c r="D1590" s="76" t="s">
        <v>78</v>
      </c>
      <c r="E1590" s="76" t="s">
        <v>101</v>
      </c>
      <c r="F1590" s="77" t="s">
        <v>210</v>
      </c>
      <c r="G1590" s="77" t="n">
        <v>4</v>
      </c>
      <c r="H1590" s="77" t="n">
        <v>0</v>
      </c>
      <c r="I1590" s="76" t="n">
        <f aca="false">IF(AND(ISNUMBER(G1590),ISNUMBER(H1590)),MAX(G1590-H1590,0),"")</f>
        <v>4</v>
      </c>
      <c r="J1590" s="78" t="n">
        <f aca="false">IF(AND(ISNUMBER(G1590),ISNUMBER(H1590)),IF(G1590&gt;0,H1590/G1590,""),"")</f>
        <v>0</v>
      </c>
      <c r="K1590" s="77"/>
      <c r="L1590" s="76" t="str">
        <f aca="false">IF(OR(G1590="",H1590=""),"Data tidak lengkap",IF(AND(G1590=0,H1590=0),IF(AND(F1590="",K1590=""),"Tidak dibuka","Tutup"),IF(H1590&gt;G1590,"Lebih kapasitas",IF(H1590=G1590,"Penuh",IF(H1590=0,IF(F1590="","Slot kosong","Belum terisi"),"Sebagian")))))</f>
        <v>Belum terisi</v>
      </c>
      <c r="M1590" s="79" t="str">
        <f aca="false">IF(L1590="Tidak dibuka","–",IF(F1590="","(tanpa age group)",F1590)&amp;"  "&amp;IF(H1590="","?",H1590)&amp;"/"&amp;IF(G1590="","?",G1590)&amp;CHAR(10)&amp;IF(K1590="","coach: –","coach: "&amp;K1590))</f>
        <v>Kids  0/4
coach: –</v>
      </c>
    </row>
    <row r="1591" customFormat="false" ht="22.35" hidden="false" customHeight="false" outlineLevel="0" collapsed="false">
      <c r="A1591" s="76" t="str">
        <f aca="false">B1591&amp;"|"&amp;C1591&amp;"|"&amp;D1591&amp;"|"&amp;E1591</f>
        <v>TMP|4|Minggu|13:30</v>
      </c>
      <c r="B1591" s="76" t="s">
        <v>67</v>
      </c>
      <c r="C1591" s="76" t="n">
        <v>4</v>
      </c>
      <c r="D1591" s="76" t="s">
        <v>78</v>
      </c>
      <c r="E1591" s="76" t="s">
        <v>102</v>
      </c>
      <c r="F1591" s="77" t="s">
        <v>210</v>
      </c>
      <c r="G1591" s="77" t="n">
        <v>4</v>
      </c>
      <c r="H1591" s="77" t="n">
        <v>0</v>
      </c>
      <c r="I1591" s="76" t="n">
        <f aca="false">IF(AND(ISNUMBER(G1591),ISNUMBER(H1591)),MAX(G1591-H1591,0),"")</f>
        <v>4</v>
      </c>
      <c r="J1591" s="78" t="n">
        <f aca="false">IF(AND(ISNUMBER(G1591),ISNUMBER(H1591)),IF(G1591&gt;0,H1591/G1591,""),"")</f>
        <v>0</v>
      </c>
      <c r="K1591" s="77"/>
      <c r="L1591" s="76" t="str">
        <f aca="false">IF(OR(G1591="",H1591=""),"Data tidak lengkap",IF(AND(G1591=0,H1591=0),IF(AND(F1591="",K1591=""),"Tidak dibuka","Tutup"),IF(H1591&gt;G1591,"Lebih kapasitas",IF(H1591=G1591,"Penuh",IF(H1591=0,IF(F1591="","Slot kosong","Belum terisi"),"Sebagian")))))</f>
        <v>Belum terisi</v>
      </c>
      <c r="M1591" s="79" t="str">
        <f aca="false">IF(L1591="Tidak dibuka","–",IF(F1591="","(tanpa age group)",F1591)&amp;"  "&amp;IF(H1591="","?",H1591)&amp;"/"&amp;IF(G1591="","?",G1591)&amp;CHAR(10)&amp;IF(K1591="","coach: –","coach: "&amp;K1591))</f>
        <v>Kids  0/4
coach: –</v>
      </c>
    </row>
    <row r="1592" customFormat="false" ht="22.35" hidden="false" customHeight="false" outlineLevel="0" collapsed="false">
      <c r="A1592" s="76" t="str">
        <f aca="false">B1592&amp;"|"&amp;C1592&amp;"|"&amp;D1592&amp;"|"&amp;E1592</f>
        <v>TMP|4|Minggu|14:15</v>
      </c>
      <c r="B1592" s="76" t="s">
        <v>67</v>
      </c>
      <c r="C1592" s="76" t="n">
        <v>4</v>
      </c>
      <c r="D1592" s="76" t="s">
        <v>78</v>
      </c>
      <c r="E1592" s="76" t="s">
        <v>103</v>
      </c>
      <c r="F1592" s="77" t="s">
        <v>210</v>
      </c>
      <c r="G1592" s="77" t="n">
        <v>4</v>
      </c>
      <c r="H1592" s="77" t="n">
        <v>0</v>
      </c>
      <c r="I1592" s="76" t="n">
        <f aca="false">IF(AND(ISNUMBER(G1592),ISNUMBER(H1592)),MAX(G1592-H1592,0),"")</f>
        <v>4</v>
      </c>
      <c r="J1592" s="78" t="n">
        <f aca="false">IF(AND(ISNUMBER(G1592),ISNUMBER(H1592)),IF(G1592&gt;0,H1592/G1592,""),"")</f>
        <v>0</v>
      </c>
      <c r="K1592" s="77"/>
      <c r="L1592" s="76" t="str">
        <f aca="false">IF(OR(G1592="",H1592=""),"Data tidak lengkap",IF(AND(G1592=0,H1592=0),IF(AND(F1592="",K1592=""),"Tidak dibuka","Tutup"),IF(H1592&gt;G1592,"Lebih kapasitas",IF(H1592=G1592,"Penuh",IF(H1592=0,IF(F1592="","Slot kosong","Belum terisi"),"Sebagian")))))</f>
        <v>Belum terisi</v>
      </c>
      <c r="M1592" s="79" t="str">
        <f aca="false">IF(L1592="Tidak dibuka","–",IF(F1592="","(tanpa age group)",F1592)&amp;"  "&amp;IF(H1592="","?",H1592)&amp;"/"&amp;IF(G1592="","?",G1592)&amp;CHAR(10)&amp;IF(K1592="","coach: –","coach: "&amp;K1592))</f>
        <v>Kids  0/4
coach: –</v>
      </c>
    </row>
    <row r="1593" customFormat="false" ht="22.35" hidden="false" customHeight="false" outlineLevel="0" collapsed="false">
      <c r="A1593" s="76" t="str">
        <f aca="false">B1593&amp;"|"&amp;C1593&amp;"|"&amp;D1593&amp;"|"&amp;E1593</f>
        <v>TMP|4|Minggu|15:00</v>
      </c>
      <c r="B1593" s="76" t="s">
        <v>67</v>
      </c>
      <c r="C1593" s="76" t="n">
        <v>4</v>
      </c>
      <c r="D1593" s="76" t="s">
        <v>78</v>
      </c>
      <c r="E1593" s="76" t="s">
        <v>104</v>
      </c>
      <c r="F1593" s="77" t="s">
        <v>210</v>
      </c>
      <c r="G1593" s="77" t="n">
        <v>4</v>
      </c>
      <c r="H1593" s="77" t="n">
        <v>0</v>
      </c>
      <c r="I1593" s="76" t="n">
        <f aca="false">IF(AND(ISNUMBER(G1593),ISNUMBER(H1593)),MAX(G1593-H1593,0),"")</f>
        <v>4</v>
      </c>
      <c r="J1593" s="78" t="n">
        <f aca="false">IF(AND(ISNUMBER(G1593),ISNUMBER(H1593)),IF(G1593&gt;0,H1593/G1593,""),"")</f>
        <v>0</v>
      </c>
      <c r="K1593" s="77"/>
      <c r="L1593" s="76" t="str">
        <f aca="false">IF(OR(G1593="",H1593=""),"Data tidak lengkap",IF(AND(G1593=0,H1593=0),IF(AND(F1593="",K1593=""),"Tidak dibuka","Tutup"),IF(H1593&gt;G1593,"Lebih kapasitas",IF(H1593=G1593,"Penuh",IF(H1593=0,IF(F1593="","Slot kosong","Belum terisi"),"Sebagian")))))</f>
        <v>Belum terisi</v>
      </c>
      <c r="M1593" s="79" t="str">
        <f aca="false">IF(L1593="Tidak dibuka","–",IF(F1593="","(tanpa age group)",F1593)&amp;"  "&amp;IF(H1593="","?",H1593)&amp;"/"&amp;IF(G1593="","?",G1593)&amp;CHAR(10)&amp;IF(K1593="","coach: –","coach: "&amp;K1593))</f>
        <v>Kids  0/4
coach: –</v>
      </c>
    </row>
    <row r="1594" customFormat="false" ht="22.35" hidden="false" customHeight="false" outlineLevel="0" collapsed="false">
      <c r="A1594" s="76" t="str">
        <f aca="false">B1594&amp;"|"&amp;C1594&amp;"|"&amp;D1594&amp;"|"&amp;E1594</f>
        <v>TMP|4|Minggu|15:45</v>
      </c>
      <c r="B1594" s="76" t="s">
        <v>67</v>
      </c>
      <c r="C1594" s="76" t="n">
        <v>4</v>
      </c>
      <c r="D1594" s="76" t="s">
        <v>78</v>
      </c>
      <c r="E1594" s="76" t="s">
        <v>105</v>
      </c>
      <c r="F1594" s="77" t="s">
        <v>210</v>
      </c>
      <c r="G1594" s="77" t="n">
        <v>4</v>
      </c>
      <c r="H1594" s="77" t="n">
        <v>0</v>
      </c>
      <c r="I1594" s="76" t="n">
        <f aca="false">IF(AND(ISNUMBER(G1594),ISNUMBER(H1594)),MAX(G1594-H1594,0),"")</f>
        <v>4</v>
      </c>
      <c r="J1594" s="78" t="n">
        <f aca="false">IF(AND(ISNUMBER(G1594),ISNUMBER(H1594)),IF(G1594&gt;0,H1594/G1594,""),"")</f>
        <v>0</v>
      </c>
      <c r="K1594" s="77"/>
      <c r="L1594" s="76" t="str">
        <f aca="false">IF(OR(G1594="",H1594=""),"Data tidak lengkap",IF(AND(G1594=0,H1594=0),IF(AND(F1594="",K1594=""),"Tidak dibuka","Tutup"),IF(H1594&gt;G1594,"Lebih kapasitas",IF(H1594=G1594,"Penuh",IF(H1594=0,IF(F1594="","Slot kosong","Belum terisi"),"Sebagian")))))</f>
        <v>Belum terisi</v>
      </c>
      <c r="M1594" s="79" t="str">
        <f aca="false">IF(L1594="Tidak dibuka","–",IF(F1594="","(tanpa age group)",F1594)&amp;"  "&amp;IF(H1594="","?",H1594)&amp;"/"&amp;IF(G1594="","?",G1594)&amp;CHAR(10)&amp;IF(K1594="","coach: –","coach: "&amp;K1594))</f>
        <v>Kids  0/4
coach: –</v>
      </c>
    </row>
    <row r="1595" customFormat="false" ht="22.35" hidden="false" customHeight="false" outlineLevel="0" collapsed="false">
      <c r="A1595" s="76" t="str">
        <f aca="false">B1595&amp;"|"&amp;C1595&amp;"|"&amp;D1595&amp;"|"&amp;E1595</f>
        <v>TMP|4|Minggu|16:30</v>
      </c>
      <c r="B1595" s="76" t="s">
        <v>67</v>
      </c>
      <c r="C1595" s="76" t="n">
        <v>4</v>
      </c>
      <c r="D1595" s="76" t="s">
        <v>78</v>
      </c>
      <c r="E1595" s="76" t="s">
        <v>106</v>
      </c>
      <c r="F1595" s="77" t="s">
        <v>210</v>
      </c>
      <c r="G1595" s="77" t="n">
        <v>4</v>
      </c>
      <c r="H1595" s="77" t="n">
        <v>0</v>
      </c>
      <c r="I1595" s="76" t="n">
        <f aca="false">IF(AND(ISNUMBER(G1595),ISNUMBER(H1595)),MAX(G1595-H1595,0),"")</f>
        <v>4</v>
      </c>
      <c r="J1595" s="78" t="n">
        <f aca="false">IF(AND(ISNUMBER(G1595),ISNUMBER(H1595)),IF(G1595&gt;0,H1595/G1595,""),"")</f>
        <v>0</v>
      </c>
      <c r="K1595" s="77"/>
      <c r="L1595" s="76" t="str">
        <f aca="false">IF(OR(G1595="",H1595=""),"Data tidak lengkap",IF(AND(G1595=0,H1595=0),IF(AND(F1595="",K1595=""),"Tidak dibuka","Tutup"),IF(H1595&gt;G1595,"Lebih kapasitas",IF(H1595=G1595,"Penuh",IF(H1595=0,IF(F1595="","Slot kosong","Belum terisi"),"Sebagian")))))</f>
        <v>Belum terisi</v>
      </c>
      <c r="M1595" s="79" t="str">
        <f aca="false">IF(L1595="Tidak dibuka","–",IF(F1595="","(tanpa age group)",F1595)&amp;"  "&amp;IF(H1595="","?",H1595)&amp;"/"&amp;IF(G1595="","?",G1595)&amp;CHAR(10)&amp;IF(K1595="","coach: –","coach: "&amp;K1595))</f>
        <v>Kids  0/4
coach: –</v>
      </c>
    </row>
    <row r="1596" customFormat="false" ht="22.35" hidden="false" customHeight="false" outlineLevel="0" collapsed="false">
      <c r="A1596" s="76" t="str">
        <f aca="false">B1596&amp;"|"&amp;C1596&amp;"|"&amp;D1596&amp;"|"&amp;E1596</f>
        <v>TMP|4|Minggu|17:15</v>
      </c>
      <c r="B1596" s="76" t="s">
        <v>67</v>
      </c>
      <c r="C1596" s="76" t="n">
        <v>4</v>
      </c>
      <c r="D1596" s="76" t="s">
        <v>78</v>
      </c>
      <c r="E1596" s="76" t="s">
        <v>107</v>
      </c>
      <c r="F1596" s="77" t="s">
        <v>210</v>
      </c>
      <c r="G1596" s="77" t="n">
        <v>4</v>
      </c>
      <c r="H1596" s="77" t="n">
        <v>0</v>
      </c>
      <c r="I1596" s="76" t="n">
        <f aca="false">IF(AND(ISNUMBER(G1596),ISNUMBER(H1596)),MAX(G1596-H1596,0),"")</f>
        <v>4</v>
      </c>
      <c r="J1596" s="78" t="n">
        <f aca="false">IF(AND(ISNUMBER(G1596),ISNUMBER(H1596)),IF(G1596&gt;0,H1596/G1596,""),"")</f>
        <v>0</v>
      </c>
      <c r="K1596" s="77"/>
      <c r="L1596" s="76" t="str">
        <f aca="false">IF(OR(G1596="",H1596=""),"Data tidak lengkap",IF(AND(G1596=0,H1596=0),IF(AND(F1596="",K1596=""),"Tidak dibuka","Tutup"),IF(H1596&gt;G1596,"Lebih kapasitas",IF(H1596=G1596,"Penuh",IF(H1596=0,IF(F1596="","Slot kosong","Belum terisi"),"Sebagian")))))</f>
        <v>Belum terisi</v>
      </c>
      <c r="M1596" s="79" t="str">
        <f aca="false">IF(L1596="Tidak dibuka","–",IF(F1596="","(tanpa age group)",F1596)&amp;"  "&amp;IF(H1596="","?",H1596)&amp;"/"&amp;IF(G1596="","?",G1596)&amp;CHAR(10)&amp;IF(K1596="","coach: –","coach: "&amp;K1596))</f>
        <v>Kids  0/4
coach: –</v>
      </c>
    </row>
    <row r="1597" customFormat="false" ht="22.35" hidden="false" customHeight="false" outlineLevel="0" collapsed="false">
      <c r="A1597" s="76" t="str">
        <f aca="false">B1597&amp;"|"&amp;C1597&amp;"|"&amp;D1597&amp;"|"&amp;E1597</f>
        <v>BTU|1|Senin|08:00</v>
      </c>
      <c r="B1597" s="76" t="s">
        <v>69</v>
      </c>
      <c r="C1597" s="76" t="n">
        <v>1</v>
      </c>
      <c r="D1597" s="76" t="s">
        <v>90</v>
      </c>
      <c r="E1597" s="76" t="s">
        <v>110</v>
      </c>
      <c r="F1597" s="77" t="s">
        <v>242</v>
      </c>
      <c r="G1597" s="77" t="n">
        <v>5</v>
      </c>
      <c r="H1597" s="77" t="n">
        <v>0</v>
      </c>
      <c r="I1597" s="76" t="n">
        <f aca="false">IF(AND(ISNUMBER(G1597),ISNUMBER(H1597)),MAX(G1597-H1597,0),"")</f>
        <v>5</v>
      </c>
      <c r="J1597" s="78" t="n">
        <f aca="false">IF(AND(ISNUMBER(G1597),ISNUMBER(H1597)),IF(G1597&gt;0,H1597/G1597,""),"")</f>
        <v>0</v>
      </c>
      <c r="K1597" s="77"/>
      <c r="L1597" s="76" t="str">
        <f aca="false">IF(OR(G1597="",H1597=""),"Data tidak lengkap",IF(AND(G1597=0,H1597=0),IF(AND(F1597="",K1597=""),"Tidak dibuka","Tutup"),IF(H1597&gt;G1597,"Lebih kapasitas",IF(H1597=G1597,"Penuh",IF(H1597=0,IF(F1597="","Slot kosong","Belum terisi"),"Sebagian")))))</f>
        <v>Belum terisi</v>
      </c>
      <c r="M1597" s="79" t="str">
        <f aca="false">IF(L1597="Tidak dibuka","–",IF(F1597="","(tanpa age group)",F1597)&amp;"  "&amp;IF(H1597="","?",H1597)&amp;"/"&amp;IF(G1597="","?",G1597)&amp;CHAR(10)&amp;IF(K1597="","coach: –","coach: "&amp;K1597))</f>
        <v>Baby  0/5
coach: –</v>
      </c>
    </row>
    <row r="1598" customFormat="false" ht="22.35" hidden="false" customHeight="false" outlineLevel="0" collapsed="false">
      <c r="A1598" s="76" t="str">
        <f aca="false">B1598&amp;"|"&amp;C1598&amp;"|"&amp;D1598&amp;"|"&amp;E1598</f>
        <v>BTU|1|Senin|08:45</v>
      </c>
      <c r="B1598" s="76" t="s">
        <v>69</v>
      </c>
      <c r="C1598" s="76" t="n">
        <v>1</v>
      </c>
      <c r="D1598" s="76" t="s">
        <v>90</v>
      </c>
      <c r="E1598" s="76" t="s">
        <v>111</v>
      </c>
      <c r="F1598" s="77" t="s">
        <v>242</v>
      </c>
      <c r="G1598" s="77" t="n">
        <v>5</v>
      </c>
      <c r="H1598" s="77" t="n">
        <v>0</v>
      </c>
      <c r="I1598" s="76" t="n">
        <f aca="false">IF(AND(ISNUMBER(G1598),ISNUMBER(H1598)),MAX(G1598-H1598,0),"")</f>
        <v>5</v>
      </c>
      <c r="J1598" s="78" t="n">
        <f aca="false">IF(AND(ISNUMBER(G1598),ISNUMBER(H1598)),IF(G1598&gt;0,H1598/G1598,""),"")</f>
        <v>0</v>
      </c>
      <c r="K1598" s="77"/>
      <c r="L1598" s="76" t="str">
        <f aca="false">IF(OR(G1598="",H1598=""),"Data tidak lengkap",IF(AND(G1598=0,H1598=0),IF(AND(F1598="",K1598=""),"Tidak dibuka","Tutup"),IF(H1598&gt;G1598,"Lebih kapasitas",IF(H1598=G1598,"Penuh",IF(H1598=0,IF(F1598="","Slot kosong","Belum terisi"),"Sebagian")))))</f>
        <v>Belum terisi</v>
      </c>
      <c r="M1598" s="79" t="str">
        <f aca="false">IF(L1598="Tidak dibuka","–",IF(F1598="","(tanpa age group)",F1598)&amp;"  "&amp;IF(H1598="","?",H1598)&amp;"/"&amp;IF(G1598="","?",G1598)&amp;CHAR(10)&amp;IF(K1598="","coach: –","coach: "&amp;K1598))</f>
        <v>Baby  0/5
coach: –</v>
      </c>
    </row>
    <row r="1599" customFormat="false" ht="22.35" hidden="false" customHeight="false" outlineLevel="0" collapsed="false">
      <c r="A1599" s="76" t="str">
        <f aca="false">B1599&amp;"|"&amp;C1599&amp;"|"&amp;D1599&amp;"|"&amp;E1599</f>
        <v>BTU|1|Senin|09:30</v>
      </c>
      <c r="B1599" s="76" t="s">
        <v>69</v>
      </c>
      <c r="C1599" s="76" t="n">
        <v>1</v>
      </c>
      <c r="D1599" s="76" t="s">
        <v>90</v>
      </c>
      <c r="E1599" s="76" t="s">
        <v>112</v>
      </c>
      <c r="F1599" s="77" t="s">
        <v>242</v>
      </c>
      <c r="G1599" s="77" t="n">
        <v>5</v>
      </c>
      <c r="H1599" s="77" t="n">
        <v>0</v>
      </c>
      <c r="I1599" s="76" t="n">
        <f aca="false">IF(AND(ISNUMBER(G1599),ISNUMBER(H1599)),MAX(G1599-H1599,0),"")</f>
        <v>5</v>
      </c>
      <c r="J1599" s="78" t="n">
        <f aca="false">IF(AND(ISNUMBER(G1599),ISNUMBER(H1599)),IF(G1599&gt;0,H1599/G1599,""),"")</f>
        <v>0</v>
      </c>
      <c r="K1599" s="77"/>
      <c r="L1599" s="76" t="str">
        <f aca="false">IF(OR(G1599="",H1599=""),"Data tidak lengkap",IF(AND(G1599=0,H1599=0),IF(AND(F1599="",K1599=""),"Tidak dibuka","Tutup"),IF(H1599&gt;G1599,"Lebih kapasitas",IF(H1599=G1599,"Penuh",IF(H1599=0,IF(F1599="","Slot kosong","Belum terisi"),"Sebagian")))))</f>
        <v>Belum terisi</v>
      </c>
      <c r="M1599" s="79" t="str">
        <f aca="false">IF(L1599="Tidak dibuka","–",IF(F1599="","(tanpa age group)",F1599)&amp;"  "&amp;IF(H1599="","?",H1599)&amp;"/"&amp;IF(G1599="","?",G1599)&amp;CHAR(10)&amp;IF(K1599="","coach: –","coach: "&amp;K1599))</f>
        <v>Baby  0/5
coach: –</v>
      </c>
    </row>
    <row r="1600" customFormat="false" ht="22.35" hidden="false" customHeight="false" outlineLevel="0" collapsed="false">
      <c r="A1600" s="76" t="str">
        <f aca="false">B1600&amp;"|"&amp;C1600&amp;"|"&amp;D1600&amp;"|"&amp;E1600</f>
        <v>BTU|1|Senin|10:15</v>
      </c>
      <c r="B1600" s="76" t="s">
        <v>69</v>
      </c>
      <c r="C1600" s="76" t="n">
        <v>1</v>
      </c>
      <c r="D1600" s="76" t="s">
        <v>90</v>
      </c>
      <c r="E1600" s="76" t="s">
        <v>113</v>
      </c>
      <c r="F1600" s="77" t="s">
        <v>242</v>
      </c>
      <c r="G1600" s="77" t="n">
        <v>5</v>
      </c>
      <c r="H1600" s="77" t="n">
        <v>0</v>
      </c>
      <c r="I1600" s="76" t="n">
        <f aca="false">IF(AND(ISNUMBER(G1600),ISNUMBER(H1600)),MAX(G1600-H1600,0),"")</f>
        <v>5</v>
      </c>
      <c r="J1600" s="78" t="n">
        <f aca="false">IF(AND(ISNUMBER(G1600),ISNUMBER(H1600)),IF(G1600&gt;0,H1600/G1600,""),"")</f>
        <v>0</v>
      </c>
      <c r="K1600" s="77"/>
      <c r="L1600" s="76" t="str">
        <f aca="false">IF(OR(G1600="",H1600=""),"Data tidak lengkap",IF(AND(G1600=0,H1600=0),IF(AND(F1600="",K1600=""),"Tidak dibuka","Tutup"),IF(H1600&gt;G1600,"Lebih kapasitas",IF(H1600=G1600,"Penuh",IF(H1600=0,IF(F1600="","Slot kosong","Belum terisi"),"Sebagian")))))</f>
        <v>Belum terisi</v>
      </c>
      <c r="M1600" s="79" t="str">
        <f aca="false">IF(L1600="Tidak dibuka","–",IF(F1600="","(tanpa age group)",F1600)&amp;"  "&amp;IF(H1600="","?",H1600)&amp;"/"&amp;IF(G1600="","?",G1600)&amp;CHAR(10)&amp;IF(K1600="","coach: –","coach: "&amp;K1600))</f>
        <v>Baby  0/5
coach: –</v>
      </c>
    </row>
    <row r="1601" customFormat="false" ht="22.35" hidden="false" customHeight="false" outlineLevel="0" collapsed="false">
      <c r="A1601" s="76" t="str">
        <f aca="false">B1601&amp;"|"&amp;C1601&amp;"|"&amp;D1601&amp;"|"&amp;E1601</f>
        <v>BTU|1|Senin|11:00</v>
      </c>
      <c r="B1601" s="76" t="s">
        <v>69</v>
      </c>
      <c r="C1601" s="76" t="n">
        <v>1</v>
      </c>
      <c r="D1601" s="76" t="s">
        <v>90</v>
      </c>
      <c r="E1601" s="76" t="s">
        <v>114</v>
      </c>
      <c r="F1601" s="77" t="s">
        <v>242</v>
      </c>
      <c r="G1601" s="77" t="n">
        <v>5</v>
      </c>
      <c r="H1601" s="77" t="n">
        <v>0</v>
      </c>
      <c r="I1601" s="76" t="n">
        <f aca="false">IF(AND(ISNUMBER(G1601),ISNUMBER(H1601)),MAX(G1601-H1601,0),"")</f>
        <v>5</v>
      </c>
      <c r="J1601" s="78" t="n">
        <f aca="false">IF(AND(ISNUMBER(G1601),ISNUMBER(H1601)),IF(G1601&gt;0,H1601/G1601,""),"")</f>
        <v>0</v>
      </c>
      <c r="K1601" s="77"/>
      <c r="L1601" s="76" t="str">
        <f aca="false">IF(OR(G1601="",H1601=""),"Data tidak lengkap",IF(AND(G1601=0,H1601=0),IF(AND(F1601="",K1601=""),"Tidak dibuka","Tutup"),IF(H1601&gt;G1601,"Lebih kapasitas",IF(H1601=G1601,"Penuh",IF(H1601=0,IF(F1601="","Slot kosong","Belum terisi"),"Sebagian")))))</f>
        <v>Belum terisi</v>
      </c>
      <c r="M1601" s="79" t="str">
        <f aca="false">IF(L1601="Tidak dibuka","–",IF(F1601="","(tanpa age group)",F1601)&amp;"  "&amp;IF(H1601="","?",H1601)&amp;"/"&amp;IF(G1601="","?",G1601)&amp;CHAR(10)&amp;IF(K1601="","coach: –","coach: "&amp;K1601))</f>
        <v>Baby  0/5
coach: –</v>
      </c>
    </row>
    <row r="1602" customFormat="false" ht="22.35" hidden="false" customHeight="false" outlineLevel="0" collapsed="false">
      <c r="A1602" s="76" t="str">
        <f aca="false">B1602&amp;"|"&amp;C1602&amp;"|"&amp;D1602&amp;"|"&amp;E1602</f>
        <v>BTU|1|Senin|11:45</v>
      </c>
      <c r="B1602" s="76" t="s">
        <v>69</v>
      </c>
      <c r="C1602" s="76" t="n">
        <v>1</v>
      </c>
      <c r="D1602" s="76" t="s">
        <v>90</v>
      </c>
      <c r="E1602" s="76" t="s">
        <v>115</v>
      </c>
      <c r="F1602" s="77" t="s">
        <v>242</v>
      </c>
      <c r="G1602" s="77" t="n">
        <v>5</v>
      </c>
      <c r="H1602" s="77" t="n">
        <v>0</v>
      </c>
      <c r="I1602" s="76" t="n">
        <f aca="false">IF(AND(ISNUMBER(G1602),ISNUMBER(H1602)),MAX(G1602-H1602,0),"")</f>
        <v>5</v>
      </c>
      <c r="J1602" s="78" t="n">
        <f aca="false">IF(AND(ISNUMBER(G1602),ISNUMBER(H1602)),IF(G1602&gt;0,H1602/G1602,""),"")</f>
        <v>0</v>
      </c>
      <c r="K1602" s="77"/>
      <c r="L1602" s="76" t="str">
        <f aca="false">IF(OR(G1602="",H1602=""),"Data tidak lengkap",IF(AND(G1602=0,H1602=0),IF(AND(F1602="",K1602=""),"Tidak dibuka","Tutup"),IF(H1602&gt;G1602,"Lebih kapasitas",IF(H1602=G1602,"Penuh",IF(H1602=0,IF(F1602="","Slot kosong","Belum terisi"),"Sebagian")))))</f>
        <v>Belum terisi</v>
      </c>
      <c r="M1602" s="79" t="str">
        <f aca="false">IF(L1602="Tidak dibuka","–",IF(F1602="","(tanpa age group)",F1602)&amp;"  "&amp;IF(H1602="","?",H1602)&amp;"/"&amp;IF(G1602="","?",G1602)&amp;CHAR(10)&amp;IF(K1602="","coach: –","coach: "&amp;K1602))</f>
        <v>Baby  0/5
coach: –</v>
      </c>
    </row>
    <row r="1603" customFormat="false" ht="22.35" hidden="false" customHeight="false" outlineLevel="0" collapsed="false">
      <c r="A1603" s="76" t="str">
        <f aca="false">B1603&amp;"|"&amp;C1603&amp;"|"&amp;D1603&amp;"|"&amp;E1603</f>
        <v>BTU|1|Senin|13:15</v>
      </c>
      <c r="B1603" s="76" t="s">
        <v>69</v>
      </c>
      <c r="C1603" s="76" t="n">
        <v>1</v>
      </c>
      <c r="D1603" s="76" t="s">
        <v>90</v>
      </c>
      <c r="E1603" s="76" t="s">
        <v>116</v>
      </c>
      <c r="F1603" s="77" t="s">
        <v>242</v>
      </c>
      <c r="G1603" s="77" t="n">
        <v>5</v>
      </c>
      <c r="H1603" s="77" t="n">
        <v>0</v>
      </c>
      <c r="I1603" s="76" t="n">
        <f aca="false">IF(AND(ISNUMBER(G1603),ISNUMBER(H1603)),MAX(G1603-H1603,0),"")</f>
        <v>5</v>
      </c>
      <c r="J1603" s="78" t="n">
        <f aca="false">IF(AND(ISNUMBER(G1603),ISNUMBER(H1603)),IF(G1603&gt;0,H1603/G1603,""),"")</f>
        <v>0</v>
      </c>
      <c r="K1603" s="77"/>
      <c r="L1603" s="76" t="str">
        <f aca="false">IF(OR(G1603="",H1603=""),"Data tidak lengkap",IF(AND(G1603=0,H1603=0),IF(AND(F1603="",K1603=""),"Tidak dibuka","Tutup"),IF(H1603&gt;G1603,"Lebih kapasitas",IF(H1603=G1603,"Penuh",IF(H1603=0,IF(F1603="","Slot kosong","Belum terisi"),"Sebagian")))))</f>
        <v>Belum terisi</v>
      </c>
      <c r="M1603" s="79" t="str">
        <f aca="false">IF(L1603="Tidak dibuka","–",IF(F1603="","(tanpa age group)",F1603)&amp;"  "&amp;IF(H1603="","?",H1603)&amp;"/"&amp;IF(G1603="","?",G1603)&amp;CHAR(10)&amp;IF(K1603="","coach: –","coach: "&amp;K1603))</f>
        <v>Baby  0/5
coach: –</v>
      </c>
    </row>
    <row r="1604" customFormat="false" ht="22.35" hidden="false" customHeight="false" outlineLevel="0" collapsed="false">
      <c r="A1604" s="76" t="str">
        <f aca="false">B1604&amp;"|"&amp;C1604&amp;"|"&amp;D1604&amp;"|"&amp;E1604</f>
        <v>BTU|1|Senin|14:00</v>
      </c>
      <c r="B1604" s="76" t="s">
        <v>69</v>
      </c>
      <c r="C1604" s="76" t="n">
        <v>1</v>
      </c>
      <c r="D1604" s="76" t="s">
        <v>90</v>
      </c>
      <c r="E1604" s="76" t="s">
        <v>117</v>
      </c>
      <c r="F1604" s="77" t="s">
        <v>242</v>
      </c>
      <c r="G1604" s="77" t="n">
        <v>5</v>
      </c>
      <c r="H1604" s="77" t="n">
        <v>0</v>
      </c>
      <c r="I1604" s="76" t="n">
        <f aca="false">IF(AND(ISNUMBER(G1604),ISNUMBER(H1604)),MAX(G1604-H1604,0),"")</f>
        <v>5</v>
      </c>
      <c r="J1604" s="78" t="n">
        <f aca="false">IF(AND(ISNUMBER(G1604),ISNUMBER(H1604)),IF(G1604&gt;0,H1604/G1604,""),"")</f>
        <v>0</v>
      </c>
      <c r="K1604" s="77"/>
      <c r="L1604" s="76" t="str">
        <f aca="false">IF(OR(G1604="",H1604=""),"Data tidak lengkap",IF(AND(G1604=0,H1604=0),IF(AND(F1604="",K1604=""),"Tidak dibuka","Tutup"),IF(H1604&gt;G1604,"Lebih kapasitas",IF(H1604=G1604,"Penuh",IF(H1604=0,IF(F1604="","Slot kosong","Belum terisi"),"Sebagian")))))</f>
        <v>Belum terisi</v>
      </c>
      <c r="M1604" s="79" t="str">
        <f aca="false">IF(L1604="Tidak dibuka","–",IF(F1604="","(tanpa age group)",F1604)&amp;"  "&amp;IF(H1604="","?",H1604)&amp;"/"&amp;IF(G1604="","?",G1604)&amp;CHAR(10)&amp;IF(K1604="","coach: –","coach: "&amp;K1604))</f>
        <v>Baby  0/5
coach: –</v>
      </c>
    </row>
    <row r="1605" customFormat="false" ht="22.35" hidden="false" customHeight="false" outlineLevel="0" collapsed="false">
      <c r="A1605" s="76" t="str">
        <f aca="false">B1605&amp;"|"&amp;C1605&amp;"|"&amp;D1605&amp;"|"&amp;E1605</f>
        <v>BTU|1|Senin|14:45</v>
      </c>
      <c r="B1605" s="76" t="s">
        <v>69</v>
      </c>
      <c r="C1605" s="76" t="n">
        <v>1</v>
      </c>
      <c r="D1605" s="76" t="s">
        <v>90</v>
      </c>
      <c r="E1605" s="76" t="s">
        <v>118</v>
      </c>
      <c r="F1605" s="77" t="s">
        <v>242</v>
      </c>
      <c r="G1605" s="77" t="n">
        <v>5</v>
      </c>
      <c r="H1605" s="77" t="n">
        <v>0</v>
      </c>
      <c r="I1605" s="76" t="n">
        <f aca="false">IF(AND(ISNUMBER(G1605),ISNUMBER(H1605)),MAX(G1605-H1605,0),"")</f>
        <v>5</v>
      </c>
      <c r="J1605" s="78" t="n">
        <f aca="false">IF(AND(ISNUMBER(G1605),ISNUMBER(H1605)),IF(G1605&gt;0,H1605/G1605,""),"")</f>
        <v>0</v>
      </c>
      <c r="K1605" s="77"/>
      <c r="L1605" s="76" t="str">
        <f aca="false">IF(OR(G1605="",H1605=""),"Data tidak lengkap",IF(AND(G1605=0,H1605=0),IF(AND(F1605="",K1605=""),"Tidak dibuka","Tutup"),IF(H1605&gt;G1605,"Lebih kapasitas",IF(H1605=G1605,"Penuh",IF(H1605=0,IF(F1605="","Slot kosong","Belum terisi"),"Sebagian")))))</f>
        <v>Belum terisi</v>
      </c>
      <c r="M1605" s="79" t="str">
        <f aca="false">IF(L1605="Tidak dibuka","–",IF(F1605="","(tanpa age group)",F1605)&amp;"  "&amp;IF(H1605="","?",H1605)&amp;"/"&amp;IF(G1605="","?",G1605)&amp;CHAR(10)&amp;IF(K1605="","coach: –","coach: "&amp;K1605))</f>
        <v>Baby  0/5
coach: –</v>
      </c>
    </row>
    <row r="1606" customFormat="false" ht="22.35" hidden="false" customHeight="false" outlineLevel="0" collapsed="false">
      <c r="A1606" s="76" t="str">
        <f aca="false">B1606&amp;"|"&amp;C1606&amp;"|"&amp;D1606&amp;"|"&amp;E1606</f>
        <v>BTU|1|Senin|15:30</v>
      </c>
      <c r="B1606" s="76" t="s">
        <v>69</v>
      </c>
      <c r="C1606" s="76" t="n">
        <v>1</v>
      </c>
      <c r="D1606" s="76" t="s">
        <v>90</v>
      </c>
      <c r="E1606" s="76" t="s">
        <v>119</v>
      </c>
      <c r="F1606" s="77" t="s">
        <v>242</v>
      </c>
      <c r="G1606" s="77" t="n">
        <v>5</v>
      </c>
      <c r="H1606" s="77" t="n">
        <v>0</v>
      </c>
      <c r="I1606" s="76" t="n">
        <f aca="false">IF(AND(ISNUMBER(G1606),ISNUMBER(H1606)),MAX(G1606-H1606,0),"")</f>
        <v>5</v>
      </c>
      <c r="J1606" s="78" t="n">
        <f aca="false">IF(AND(ISNUMBER(G1606),ISNUMBER(H1606)),IF(G1606&gt;0,H1606/G1606,""),"")</f>
        <v>0</v>
      </c>
      <c r="K1606" s="77"/>
      <c r="L1606" s="76" t="str">
        <f aca="false">IF(OR(G1606="",H1606=""),"Data tidak lengkap",IF(AND(G1606=0,H1606=0),IF(AND(F1606="",K1606=""),"Tidak dibuka","Tutup"),IF(H1606&gt;G1606,"Lebih kapasitas",IF(H1606=G1606,"Penuh",IF(H1606=0,IF(F1606="","Slot kosong","Belum terisi"),"Sebagian")))))</f>
        <v>Belum terisi</v>
      </c>
      <c r="M1606" s="79" t="str">
        <f aca="false">IF(L1606="Tidak dibuka","–",IF(F1606="","(tanpa age group)",F1606)&amp;"  "&amp;IF(H1606="","?",H1606)&amp;"/"&amp;IF(G1606="","?",G1606)&amp;CHAR(10)&amp;IF(K1606="","coach: –","coach: "&amp;K1606))</f>
        <v>Baby  0/5
coach: –</v>
      </c>
    </row>
    <row r="1607" customFormat="false" ht="22.35" hidden="false" customHeight="false" outlineLevel="0" collapsed="false">
      <c r="A1607" s="76" t="str">
        <f aca="false">B1607&amp;"|"&amp;C1607&amp;"|"&amp;D1607&amp;"|"&amp;E1607</f>
        <v>BTU|1|Senin|16:15</v>
      </c>
      <c r="B1607" s="76" t="s">
        <v>69</v>
      </c>
      <c r="C1607" s="76" t="n">
        <v>1</v>
      </c>
      <c r="D1607" s="76" t="s">
        <v>90</v>
      </c>
      <c r="E1607" s="76" t="s">
        <v>120</v>
      </c>
      <c r="F1607" s="77" t="s">
        <v>242</v>
      </c>
      <c r="G1607" s="77" t="n">
        <v>5</v>
      </c>
      <c r="H1607" s="77" t="n">
        <v>0</v>
      </c>
      <c r="I1607" s="76" t="n">
        <f aca="false">IF(AND(ISNUMBER(G1607),ISNUMBER(H1607)),MAX(G1607-H1607,0),"")</f>
        <v>5</v>
      </c>
      <c r="J1607" s="78" t="n">
        <f aca="false">IF(AND(ISNUMBER(G1607),ISNUMBER(H1607)),IF(G1607&gt;0,H1607/G1607,""),"")</f>
        <v>0</v>
      </c>
      <c r="K1607" s="77"/>
      <c r="L1607" s="76" t="str">
        <f aca="false">IF(OR(G1607="",H1607=""),"Data tidak lengkap",IF(AND(G1607=0,H1607=0),IF(AND(F1607="",K1607=""),"Tidak dibuka","Tutup"),IF(H1607&gt;G1607,"Lebih kapasitas",IF(H1607=G1607,"Penuh",IF(H1607=0,IF(F1607="","Slot kosong","Belum terisi"),"Sebagian")))))</f>
        <v>Belum terisi</v>
      </c>
      <c r="M1607" s="79" t="str">
        <f aca="false">IF(L1607="Tidak dibuka","–",IF(F1607="","(tanpa age group)",F1607)&amp;"  "&amp;IF(H1607="","?",H1607)&amp;"/"&amp;IF(G1607="","?",G1607)&amp;CHAR(10)&amp;IF(K1607="","coach: –","coach: "&amp;K1607))</f>
        <v>Baby  0/5
coach: –</v>
      </c>
    </row>
    <row r="1608" customFormat="false" ht="22.35" hidden="false" customHeight="false" outlineLevel="0" collapsed="false">
      <c r="A1608" s="76" t="str">
        <f aca="false">B1608&amp;"|"&amp;C1608&amp;"|"&amp;D1608&amp;"|"&amp;E1608</f>
        <v>BTU|1|Senin|17:00</v>
      </c>
      <c r="B1608" s="76" t="s">
        <v>69</v>
      </c>
      <c r="C1608" s="76" t="n">
        <v>1</v>
      </c>
      <c r="D1608" s="76" t="s">
        <v>90</v>
      </c>
      <c r="E1608" s="76" t="s">
        <v>121</v>
      </c>
      <c r="F1608" s="77" t="s">
        <v>242</v>
      </c>
      <c r="G1608" s="77" t="n">
        <v>5</v>
      </c>
      <c r="H1608" s="77" t="n">
        <v>0</v>
      </c>
      <c r="I1608" s="76" t="n">
        <f aca="false">IF(AND(ISNUMBER(G1608),ISNUMBER(H1608)),MAX(G1608-H1608,0),"")</f>
        <v>5</v>
      </c>
      <c r="J1608" s="78" t="n">
        <f aca="false">IF(AND(ISNUMBER(G1608),ISNUMBER(H1608)),IF(G1608&gt;0,H1608/G1608,""),"")</f>
        <v>0</v>
      </c>
      <c r="K1608" s="77"/>
      <c r="L1608" s="76" t="str">
        <f aca="false">IF(OR(G1608="",H1608=""),"Data tidak lengkap",IF(AND(G1608=0,H1608=0),IF(AND(F1608="",K1608=""),"Tidak dibuka","Tutup"),IF(H1608&gt;G1608,"Lebih kapasitas",IF(H1608=G1608,"Penuh",IF(H1608=0,IF(F1608="","Slot kosong","Belum terisi"),"Sebagian")))))</f>
        <v>Belum terisi</v>
      </c>
      <c r="M1608" s="79" t="str">
        <f aca="false">IF(L1608="Tidak dibuka","–",IF(F1608="","(tanpa age group)",F1608)&amp;"  "&amp;IF(H1608="","?",H1608)&amp;"/"&amp;IF(G1608="","?",G1608)&amp;CHAR(10)&amp;IF(K1608="","coach: –","coach: "&amp;K1608))</f>
        <v>Baby  0/5
coach: –</v>
      </c>
    </row>
    <row r="1609" customFormat="false" ht="22.35" hidden="false" customHeight="false" outlineLevel="0" collapsed="false">
      <c r="A1609" s="76" t="str">
        <f aca="false">B1609&amp;"|"&amp;C1609&amp;"|"&amp;D1609&amp;"|"&amp;E1609</f>
        <v>BTU|1|Selasa|08:00</v>
      </c>
      <c r="B1609" s="76" t="s">
        <v>69</v>
      </c>
      <c r="C1609" s="76" t="n">
        <v>1</v>
      </c>
      <c r="D1609" s="76" t="s">
        <v>91</v>
      </c>
      <c r="E1609" s="76" t="s">
        <v>110</v>
      </c>
      <c r="F1609" s="77" t="s">
        <v>242</v>
      </c>
      <c r="G1609" s="77" t="n">
        <v>5</v>
      </c>
      <c r="H1609" s="77" t="n">
        <v>0</v>
      </c>
      <c r="I1609" s="76" t="n">
        <f aca="false">IF(AND(ISNUMBER(G1609),ISNUMBER(H1609)),MAX(G1609-H1609,0),"")</f>
        <v>5</v>
      </c>
      <c r="J1609" s="78" t="n">
        <f aca="false">IF(AND(ISNUMBER(G1609),ISNUMBER(H1609)),IF(G1609&gt;0,H1609/G1609,""),"")</f>
        <v>0</v>
      </c>
      <c r="K1609" s="77"/>
      <c r="L1609" s="76" t="str">
        <f aca="false">IF(OR(G1609="",H1609=""),"Data tidak lengkap",IF(AND(G1609=0,H1609=0),IF(AND(F1609="",K1609=""),"Tidak dibuka","Tutup"),IF(H1609&gt;G1609,"Lebih kapasitas",IF(H1609=G1609,"Penuh",IF(H1609=0,IF(F1609="","Slot kosong","Belum terisi"),"Sebagian")))))</f>
        <v>Belum terisi</v>
      </c>
      <c r="M1609" s="79" t="str">
        <f aca="false">IF(L1609="Tidak dibuka","–",IF(F1609="","(tanpa age group)",F1609)&amp;"  "&amp;IF(H1609="","?",H1609)&amp;"/"&amp;IF(G1609="","?",G1609)&amp;CHAR(10)&amp;IF(K1609="","coach: –","coach: "&amp;K1609))</f>
        <v>Baby  0/5
coach: –</v>
      </c>
    </row>
    <row r="1610" customFormat="false" ht="22.35" hidden="false" customHeight="false" outlineLevel="0" collapsed="false">
      <c r="A1610" s="76" t="str">
        <f aca="false">B1610&amp;"|"&amp;C1610&amp;"|"&amp;D1610&amp;"|"&amp;E1610</f>
        <v>BTU|1|Selasa|08:45</v>
      </c>
      <c r="B1610" s="76" t="s">
        <v>69</v>
      </c>
      <c r="C1610" s="76" t="n">
        <v>1</v>
      </c>
      <c r="D1610" s="76" t="s">
        <v>91</v>
      </c>
      <c r="E1610" s="76" t="s">
        <v>111</v>
      </c>
      <c r="F1610" s="77" t="s">
        <v>242</v>
      </c>
      <c r="G1610" s="77" t="n">
        <v>5</v>
      </c>
      <c r="H1610" s="77" t="n">
        <v>2</v>
      </c>
      <c r="I1610" s="76" t="n">
        <f aca="false">IF(AND(ISNUMBER(G1610),ISNUMBER(H1610)),MAX(G1610-H1610,0),"")</f>
        <v>3</v>
      </c>
      <c r="J1610" s="78" t="n">
        <f aca="false">IF(AND(ISNUMBER(G1610),ISNUMBER(H1610)),IF(G1610&gt;0,H1610/G1610,""),"")</f>
        <v>0.4</v>
      </c>
      <c r="K1610" s="77" t="s">
        <v>437</v>
      </c>
      <c r="L1610" s="76" t="str">
        <f aca="false">IF(OR(G1610="",H1610=""),"Data tidak lengkap",IF(AND(G1610=0,H1610=0),IF(AND(F1610="",K1610=""),"Tidak dibuka","Tutup"),IF(H1610&gt;G1610,"Lebih kapasitas",IF(H1610=G1610,"Penuh",IF(H1610=0,IF(F1610="","Slot kosong","Belum terisi"),"Sebagian")))))</f>
        <v>Sebagian</v>
      </c>
      <c r="M1610" s="79" t="str">
        <f aca="false">IF(L1610="Tidak dibuka","–",IF(F1610="","(tanpa age group)",F1610)&amp;"  "&amp;IF(H1610="","?",H1610)&amp;"/"&amp;IF(G1610="","?",G1610)&amp;CHAR(10)&amp;IF(K1610="","coach: –","coach: "&amp;K1610))</f>
        <v>Baby  2/5
coach: Doni</v>
      </c>
    </row>
    <row r="1611" customFormat="false" ht="22.35" hidden="false" customHeight="false" outlineLevel="0" collapsed="false">
      <c r="A1611" s="76" t="str">
        <f aca="false">B1611&amp;"|"&amp;C1611&amp;"|"&amp;D1611&amp;"|"&amp;E1611</f>
        <v>BTU|1|Selasa|09:30</v>
      </c>
      <c r="B1611" s="76" t="s">
        <v>69</v>
      </c>
      <c r="C1611" s="76" t="n">
        <v>1</v>
      </c>
      <c r="D1611" s="76" t="s">
        <v>91</v>
      </c>
      <c r="E1611" s="76" t="s">
        <v>112</v>
      </c>
      <c r="F1611" s="77" t="s">
        <v>242</v>
      </c>
      <c r="G1611" s="77" t="n">
        <v>5</v>
      </c>
      <c r="H1611" s="77" t="n">
        <v>0</v>
      </c>
      <c r="I1611" s="76" t="n">
        <f aca="false">IF(AND(ISNUMBER(G1611),ISNUMBER(H1611)),MAX(G1611-H1611,0),"")</f>
        <v>5</v>
      </c>
      <c r="J1611" s="78" t="n">
        <f aca="false">IF(AND(ISNUMBER(G1611),ISNUMBER(H1611)),IF(G1611&gt;0,H1611/G1611,""),"")</f>
        <v>0</v>
      </c>
      <c r="K1611" s="77"/>
      <c r="L1611" s="76" t="str">
        <f aca="false">IF(OR(G1611="",H1611=""),"Data tidak lengkap",IF(AND(G1611=0,H1611=0),IF(AND(F1611="",K1611=""),"Tidak dibuka","Tutup"),IF(H1611&gt;G1611,"Lebih kapasitas",IF(H1611=G1611,"Penuh",IF(H1611=0,IF(F1611="","Slot kosong","Belum terisi"),"Sebagian")))))</f>
        <v>Belum terisi</v>
      </c>
      <c r="M1611" s="79" t="str">
        <f aca="false">IF(L1611="Tidak dibuka","–",IF(F1611="","(tanpa age group)",F1611)&amp;"  "&amp;IF(H1611="","?",H1611)&amp;"/"&amp;IF(G1611="","?",G1611)&amp;CHAR(10)&amp;IF(K1611="","coach: –","coach: "&amp;K1611))</f>
        <v>Baby  0/5
coach: –</v>
      </c>
    </row>
    <row r="1612" customFormat="false" ht="22.35" hidden="false" customHeight="false" outlineLevel="0" collapsed="false">
      <c r="A1612" s="76" t="str">
        <f aca="false">B1612&amp;"|"&amp;C1612&amp;"|"&amp;D1612&amp;"|"&amp;E1612</f>
        <v>BTU|1|Selasa|10:15</v>
      </c>
      <c r="B1612" s="76" t="s">
        <v>69</v>
      </c>
      <c r="C1612" s="76" t="n">
        <v>1</v>
      </c>
      <c r="D1612" s="76" t="s">
        <v>91</v>
      </c>
      <c r="E1612" s="76" t="s">
        <v>113</v>
      </c>
      <c r="F1612" s="77" t="s">
        <v>242</v>
      </c>
      <c r="G1612" s="77" t="n">
        <v>5</v>
      </c>
      <c r="H1612" s="77" t="n">
        <v>0</v>
      </c>
      <c r="I1612" s="76" t="n">
        <f aca="false">IF(AND(ISNUMBER(G1612),ISNUMBER(H1612)),MAX(G1612-H1612,0),"")</f>
        <v>5</v>
      </c>
      <c r="J1612" s="78" t="n">
        <f aca="false">IF(AND(ISNUMBER(G1612),ISNUMBER(H1612)),IF(G1612&gt;0,H1612/G1612,""),"")</f>
        <v>0</v>
      </c>
      <c r="K1612" s="77"/>
      <c r="L1612" s="76" t="str">
        <f aca="false">IF(OR(G1612="",H1612=""),"Data tidak lengkap",IF(AND(G1612=0,H1612=0),IF(AND(F1612="",K1612=""),"Tidak dibuka","Tutup"),IF(H1612&gt;G1612,"Lebih kapasitas",IF(H1612=G1612,"Penuh",IF(H1612=0,IF(F1612="","Slot kosong","Belum terisi"),"Sebagian")))))</f>
        <v>Belum terisi</v>
      </c>
      <c r="M1612" s="79" t="str">
        <f aca="false">IF(L1612="Tidak dibuka","–",IF(F1612="","(tanpa age group)",F1612)&amp;"  "&amp;IF(H1612="","?",H1612)&amp;"/"&amp;IF(G1612="","?",G1612)&amp;CHAR(10)&amp;IF(K1612="","coach: –","coach: "&amp;K1612))</f>
        <v>Baby  0/5
coach: –</v>
      </c>
    </row>
    <row r="1613" customFormat="false" ht="22.35" hidden="false" customHeight="false" outlineLevel="0" collapsed="false">
      <c r="A1613" s="76" t="str">
        <f aca="false">B1613&amp;"|"&amp;C1613&amp;"|"&amp;D1613&amp;"|"&amp;E1613</f>
        <v>BTU|1|Selasa|11:00</v>
      </c>
      <c r="B1613" s="76" t="s">
        <v>69</v>
      </c>
      <c r="C1613" s="76" t="n">
        <v>1</v>
      </c>
      <c r="D1613" s="76" t="s">
        <v>91</v>
      </c>
      <c r="E1613" s="76" t="s">
        <v>114</v>
      </c>
      <c r="F1613" s="77" t="s">
        <v>242</v>
      </c>
      <c r="G1613" s="77" t="n">
        <v>5</v>
      </c>
      <c r="H1613" s="77" t="n">
        <v>0</v>
      </c>
      <c r="I1613" s="76" t="n">
        <f aca="false">IF(AND(ISNUMBER(G1613),ISNUMBER(H1613)),MAX(G1613-H1613,0),"")</f>
        <v>5</v>
      </c>
      <c r="J1613" s="78" t="n">
        <f aca="false">IF(AND(ISNUMBER(G1613),ISNUMBER(H1613)),IF(G1613&gt;0,H1613/G1613,""),"")</f>
        <v>0</v>
      </c>
      <c r="K1613" s="77"/>
      <c r="L1613" s="76" t="str">
        <f aca="false">IF(OR(G1613="",H1613=""),"Data tidak lengkap",IF(AND(G1613=0,H1613=0),IF(AND(F1613="",K1613=""),"Tidak dibuka","Tutup"),IF(H1613&gt;G1613,"Lebih kapasitas",IF(H1613=G1613,"Penuh",IF(H1613=0,IF(F1613="","Slot kosong","Belum terisi"),"Sebagian")))))</f>
        <v>Belum terisi</v>
      </c>
      <c r="M1613" s="79" t="str">
        <f aca="false">IF(L1613="Tidak dibuka","–",IF(F1613="","(tanpa age group)",F1613)&amp;"  "&amp;IF(H1613="","?",H1613)&amp;"/"&amp;IF(G1613="","?",G1613)&amp;CHAR(10)&amp;IF(K1613="","coach: –","coach: "&amp;K1613))</f>
        <v>Baby  0/5
coach: –</v>
      </c>
    </row>
    <row r="1614" customFormat="false" ht="22.35" hidden="false" customHeight="false" outlineLevel="0" collapsed="false">
      <c r="A1614" s="76" t="str">
        <f aca="false">B1614&amp;"|"&amp;C1614&amp;"|"&amp;D1614&amp;"|"&amp;E1614</f>
        <v>BTU|1|Selasa|11:45</v>
      </c>
      <c r="B1614" s="76" t="s">
        <v>69</v>
      </c>
      <c r="C1614" s="76" t="n">
        <v>1</v>
      </c>
      <c r="D1614" s="76" t="s">
        <v>91</v>
      </c>
      <c r="E1614" s="76" t="s">
        <v>115</v>
      </c>
      <c r="F1614" s="77" t="s">
        <v>242</v>
      </c>
      <c r="G1614" s="77" t="n">
        <v>5</v>
      </c>
      <c r="H1614" s="77" t="n">
        <v>0</v>
      </c>
      <c r="I1614" s="76" t="n">
        <f aca="false">IF(AND(ISNUMBER(G1614),ISNUMBER(H1614)),MAX(G1614-H1614,0),"")</f>
        <v>5</v>
      </c>
      <c r="J1614" s="78" t="n">
        <f aca="false">IF(AND(ISNUMBER(G1614),ISNUMBER(H1614)),IF(G1614&gt;0,H1614/G1614,""),"")</f>
        <v>0</v>
      </c>
      <c r="K1614" s="77"/>
      <c r="L1614" s="76" t="str">
        <f aca="false">IF(OR(G1614="",H1614=""),"Data tidak lengkap",IF(AND(G1614=0,H1614=0),IF(AND(F1614="",K1614=""),"Tidak dibuka","Tutup"),IF(H1614&gt;G1614,"Lebih kapasitas",IF(H1614=G1614,"Penuh",IF(H1614=0,IF(F1614="","Slot kosong","Belum terisi"),"Sebagian")))))</f>
        <v>Belum terisi</v>
      </c>
      <c r="M1614" s="79" t="str">
        <f aca="false">IF(L1614="Tidak dibuka","–",IF(F1614="","(tanpa age group)",F1614)&amp;"  "&amp;IF(H1614="","?",H1614)&amp;"/"&amp;IF(G1614="","?",G1614)&amp;CHAR(10)&amp;IF(K1614="","coach: –","coach: "&amp;K1614))</f>
        <v>Baby  0/5
coach: –</v>
      </c>
    </row>
    <row r="1615" customFormat="false" ht="22.35" hidden="false" customHeight="false" outlineLevel="0" collapsed="false">
      <c r="A1615" s="76" t="str">
        <f aca="false">B1615&amp;"|"&amp;C1615&amp;"|"&amp;D1615&amp;"|"&amp;E1615</f>
        <v>BTU|1|Selasa|13:15</v>
      </c>
      <c r="B1615" s="76" t="s">
        <v>69</v>
      </c>
      <c r="C1615" s="76" t="n">
        <v>1</v>
      </c>
      <c r="D1615" s="76" t="s">
        <v>91</v>
      </c>
      <c r="E1615" s="76" t="s">
        <v>116</v>
      </c>
      <c r="F1615" s="77" t="s">
        <v>242</v>
      </c>
      <c r="G1615" s="77" t="n">
        <v>5</v>
      </c>
      <c r="H1615" s="77" t="n">
        <v>0</v>
      </c>
      <c r="I1615" s="76" t="n">
        <f aca="false">IF(AND(ISNUMBER(G1615),ISNUMBER(H1615)),MAX(G1615-H1615,0),"")</f>
        <v>5</v>
      </c>
      <c r="J1615" s="78" t="n">
        <f aca="false">IF(AND(ISNUMBER(G1615),ISNUMBER(H1615)),IF(G1615&gt;0,H1615/G1615,""),"")</f>
        <v>0</v>
      </c>
      <c r="K1615" s="77"/>
      <c r="L1615" s="76" t="str">
        <f aca="false">IF(OR(G1615="",H1615=""),"Data tidak lengkap",IF(AND(G1615=0,H1615=0),IF(AND(F1615="",K1615=""),"Tidak dibuka","Tutup"),IF(H1615&gt;G1615,"Lebih kapasitas",IF(H1615=G1615,"Penuh",IF(H1615=0,IF(F1615="","Slot kosong","Belum terisi"),"Sebagian")))))</f>
        <v>Belum terisi</v>
      </c>
      <c r="M1615" s="79" t="str">
        <f aca="false">IF(L1615="Tidak dibuka","–",IF(F1615="","(tanpa age group)",F1615)&amp;"  "&amp;IF(H1615="","?",H1615)&amp;"/"&amp;IF(G1615="","?",G1615)&amp;CHAR(10)&amp;IF(K1615="","coach: –","coach: "&amp;K1615))</f>
        <v>Baby  0/5
coach: –</v>
      </c>
    </row>
    <row r="1616" customFormat="false" ht="22.35" hidden="false" customHeight="false" outlineLevel="0" collapsed="false">
      <c r="A1616" s="76" t="str">
        <f aca="false">B1616&amp;"|"&amp;C1616&amp;"|"&amp;D1616&amp;"|"&amp;E1616</f>
        <v>BTU|1|Selasa|14:00</v>
      </c>
      <c r="B1616" s="76" t="s">
        <v>69</v>
      </c>
      <c r="C1616" s="76" t="n">
        <v>1</v>
      </c>
      <c r="D1616" s="76" t="s">
        <v>91</v>
      </c>
      <c r="E1616" s="76" t="s">
        <v>117</v>
      </c>
      <c r="F1616" s="77" t="s">
        <v>242</v>
      </c>
      <c r="G1616" s="77" t="n">
        <v>5</v>
      </c>
      <c r="H1616" s="77" t="n">
        <v>1</v>
      </c>
      <c r="I1616" s="76" t="n">
        <f aca="false">IF(AND(ISNUMBER(G1616),ISNUMBER(H1616)),MAX(G1616-H1616,0),"")</f>
        <v>4</v>
      </c>
      <c r="J1616" s="78" t="n">
        <f aca="false">IF(AND(ISNUMBER(G1616),ISNUMBER(H1616)),IF(G1616&gt;0,H1616/G1616,""),"")</f>
        <v>0.2</v>
      </c>
      <c r="K1616" s="77" t="s">
        <v>437</v>
      </c>
      <c r="L1616" s="76" t="str">
        <f aca="false">IF(OR(G1616="",H1616=""),"Data tidak lengkap",IF(AND(G1616=0,H1616=0),IF(AND(F1616="",K1616=""),"Tidak dibuka","Tutup"),IF(H1616&gt;G1616,"Lebih kapasitas",IF(H1616=G1616,"Penuh",IF(H1616=0,IF(F1616="","Slot kosong","Belum terisi"),"Sebagian")))))</f>
        <v>Sebagian</v>
      </c>
      <c r="M1616" s="79" t="str">
        <f aca="false">IF(L1616="Tidak dibuka","–",IF(F1616="","(tanpa age group)",F1616)&amp;"  "&amp;IF(H1616="","?",H1616)&amp;"/"&amp;IF(G1616="","?",G1616)&amp;CHAR(10)&amp;IF(K1616="","coach: –","coach: "&amp;K1616))</f>
        <v>Baby  1/5
coach: Doni</v>
      </c>
    </row>
    <row r="1617" customFormat="false" ht="22.35" hidden="false" customHeight="false" outlineLevel="0" collapsed="false">
      <c r="A1617" s="76" t="str">
        <f aca="false">B1617&amp;"|"&amp;C1617&amp;"|"&amp;D1617&amp;"|"&amp;E1617</f>
        <v>BTU|1|Selasa|14:45</v>
      </c>
      <c r="B1617" s="76" t="s">
        <v>69</v>
      </c>
      <c r="C1617" s="76" t="n">
        <v>1</v>
      </c>
      <c r="D1617" s="76" t="s">
        <v>91</v>
      </c>
      <c r="E1617" s="76" t="s">
        <v>118</v>
      </c>
      <c r="F1617" s="77" t="s">
        <v>242</v>
      </c>
      <c r="G1617" s="77" t="n">
        <v>5</v>
      </c>
      <c r="H1617" s="77" t="n">
        <v>0</v>
      </c>
      <c r="I1617" s="76" t="n">
        <f aca="false">IF(AND(ISNUMBER(G1617),ISNUMBER(H1617)),MAX(G1617-H1617,0),"")</f>
        <v>5</v>
      </c>
      <c r="J1617" s="78" t="n">
        <f aca="false">IF(AND(ISNUMBER(G1617),ISNUMBER(H1617)),IF(G1617&gt;0,H1617/G1617,""),"")</f>
        <v>0</v>
      </c>
      <c r="K1617" s="77"/>
      <c r="L1617" s="76" t="str">
        <f aca="false">IF(OR(G1617="",H1617=""),"Data tidak lengkap",IF(AND(G1617=0,H1617=0),IF(AND(F1617="",K1617=""),"Tidak dibuka","Tutup"),IF(H1617&gt;G1617,"Lebih kapasitas",IF(H1617=G1617,"Penuh",IF(H1617=0,IF(F1617="","Slot kosong","Belum terisi"),"Sebagian")))))</f>
        <v>Belum terisi</v>
      </c>
      <c r="M1617" s="79" t="str">
        <f aca="false">IF(L1617="Tidak dibuka","–",IF(F1617="","(tanpa age group)",F1617)&amp;"  "&amp;IF(H1617="","?",H1617)&amp;"/"&amp;IF(G1617="","?",G1617)&amp;CHAR(10)&amp;IF(K1617="","coach: –","coach: "&amp;K1617))</f>
        <v>Baby  0/5
coach: –</v>
      </c>
    </row>
    <row r="1618" customFormat="false" ht="22.35" hidden="false" customHeight="false" outlineLevel="0" collapsed="false">
      <c r="A1618" s="76" t="str">
        <f aca="false">B1618&amp;"|"&amp;C1618&amp;"|"&amp;D1618&amp;"|"&amp;E1618</f>
        <v>BTU|1|Selasa|15:30</v>
      </c>
      <c r="B1618" s="76" t="s">
        <v>69</v>
      </c>
      <c r="C1618" s="76" t="n">
        <v>1</v>
      </c>
      <c r="D1618" s="76" t="s">
        <v>91</v>
      </c>
      <c r="E1618" s="76" t="s">
        <v>119</v>
      </c>
      <c r="F1618" s="77" t="s">
        <v>242</v>
      </c>
      <c r="G1618" s="77" t="n">
        <v>5</v>
      </c>
      <c r="H1618" s="77" t="n">
        <v>0</v>
      </c>
      <c r="I1618" s="76" t="n">
        <f aca="false">IF(AND(ISNUMBER(G1618),ISNUMBER(H1618)),MAX(G1618-H1618,0),"")</f>
        <v>5</v>
      </c>
      <c r="J1618" s="78" t="n">
        <f aca="false">IF(AND(ISNUMBER(G1618),ISNUMBER(H1618)),IF(G1618&gt;0,H1618/G1618,""),"")</f>
        <v>0</v>
      </c>
      <c r="K1618" s="77"/>
      <c r="L1618" s="76" t="str">
        <f aca="false">IF(OR(G1618="",H1618=""),"Data tidak lengkap",IF(AND(G1618=0,H1618=0),IF(AND(F1618="",K1618=""),"Tidak dibuka","Tutup"),IF(H1618&gt;G1618,"Lebih kapasitas",IF(H1618=G1618,"Penuh",IF(H1618=0,IF(F1618="","Slot kosong","Belum terisi"),"Sebagian")))))</f>
        <v>Belum terisi</v>
      </c>
      <c r="M1618" s="79" t="str">
        <f aca="false">IF(L1618="Tidak dibuka","–",IF(F1618="","(tanpa age group)",F1618)&amp;"  "&amp;IF(H1618="","?",H1618)&amp;"/"&amp;IF(G1618="","?",G1618)&amp;CHAR(10)&amp;IF(K1618="","coach: –","coach: "&amp;K1618))</f>
        <v>Baby  0/5
coach: –</v>
      </c>
    </row>
    <row r="1619" customFormat="false" ht="22.35" hidden="false" customHeight="false" outlineLevel="0" collapsed="false">
      <c r="A1619" s="76" t="str">
        <f aca="false">B1619&amp;"|"&amp;C1619&amp;"|"&amp;D1619&amp;"|"&amp;E1619</f>
        <v>BTU|1|Selasa|16:15</v>
      </c>
      <c r="B1619" s="76" t="s">
        <v>69</v>
      </c>
      <c r="C1619" s="76" t="n">
        <v>1</v>
      </c>
      <c r="D1619" s="76" t="s">
        <v>91</v>
      </c>
      <c r="E1619" s="76" t="s">
        <v>120</v>
      </c>
      <c r="F1619" s="77" t="s">
        <v>242</v>
      </c>
      <c r="G1619" s="77" t="n">
        <v>5</v>
      </c>
      <c r="H1619" s="77" t="n">
        <v>0</v>
      </c>
      <c r="I1619" s="76" t="n">
        <f aca="false">IF(AND(ISNUMBER(G1619),ISNUMBER(H1619)),MAX(G1619-H1619,0),"")</f>
        <v>5</v>
      </c>
      <c r="J1619" s="78" t="n">
        <f aca="false">IF(AND(ISNUMBER(G1619),ISNUMBER(H1619)),IF(G1619&gt;0,H1619/G1619,""),"")</f>
        <v>0</v>
      </c>
      <c r="K1619" s="77"/>
      <c r="L1619" s="76" t="str">
        <f aca="false">IF(OR(G1619="",H1619=""),"Data tidak lengkap",IF(AND(G1619=0,H1619=0),IF(AND(F1619="",K1619=""),"Tidak dibuka","Tutup"),IF(H1619&gt;G1619,"Lebih kapasitas",IF(H1619=G1619,"Penuh",IF(H1619=0,IF(F1619="","Slot kosong","Belum terisi"),"Sebagian")))))</f>
        <v>Belum terisi</v>
      </c>
      <c r="M1619" s="79" t="str">
        <f aca="false">IF(L1619="Tidak dibuka","–",IF(F1619="","(tanpa age group)",F1619)&amp;"  "&amp;IF(H1619="","?",H1619)&amp;"/"&amp;IF(G1619="","?",G1619)&amp;CHAR(10)&amp;IF(K1619="","coach: –","coach: "&amp;K1619))</f>
        <v>Baby  0/5
coach: –</v>
      </c>
    </row>
    <row r="1620" customFormat="false" ht="22.35" hidden="false" customHeight="false" outlineLevel="0" collapsed="false">
      <c r="A1620" s="76" t="str">
        <f aca="false">B1620&amp;"|"&amp;C1620&amp;"|"&amp;D1620&amp;"|"&amp;E1620</f>
        <v>BTU|1|Selasa|17:00</v>
      </c>
      <c r="B1620" s="76" t="s">
        <v>69</v>
      </c>
      <c r="C1620" s="76" t="n">
        <v>1</v>
      </c>
      <c r="D1620" s="76" t="s">
        <v>91</v>
      </c>
      <c r="E1620" s="76" t="s">
        <v>121</v>
      </c>
      <c r="F1620" s="77" t="s">
        <v>242</v>
      </c>
      <c r="G1620" s="77" t="n">
        <v>5</v>
      </c>
      <c r="H1620" s="77" t="n">
        <v>0</v>
      </c>
      <c r="I1620" s="76" t="n">
        <f aca="false">IF(AND(ISNUMBER(G1620),ISNUMBER(H1620)),MAX(G1620-H1620,0),"")</f>
        <v>5</v>
      </c>
      <c r="J1620" s="78" t="n">
        <f aca="false">IF(AND(ISNUMBER(G1620),ISNUMBER(H1620)),IF(G1620&gt;0,H1620/G1620,""),"")</f>
        <v>0</v>
      </c>
      <c r="K1620" s="77"/>
      <c r="L1620" s="76" t="str">
        <f aca="false">IF(OR(G1620="",H1620=""),"Data tidak lengkap",IF(AND(G1620=0,H1620=0),IF(AND(F1620="",K1620=""),"Tidak dibuka","Tutup"),IF(H1620&gt;G1620,"Lebih kapasitas",IF(H1620=G1620,"Penuh",IF(H1620=0,IF(F1620="","Slot kosong","Belum terisi"),"Sebagian")))))</f>
        <v>Belum terisi</v>
      </c>
      <c r="M1620" s="79" t="str">
        <f aca="false">IF(L1620="Tidak dibuka","–",IF(F1620="","(tanpa age group)",F1620)&amp;"  "&amp;IF(H1620="","?",H1620)&amp;"/"&amp;IF(G1620="","?",G1620)&amp;CHAR(10)&amp;IF(K1620="","coach: –","coach: "&amp;K1620))</f>
        <v>Baby  0/5
coach: –</v>
      </c>
    </row>
    <row r="1621" customFormat="false" ht="22.35" hidden="false" customHeight="false" outlineLevel="0" collapsed="false">
      <c r="A1621" s="76" t="str">
        <f aca="false">B1621&amp;"|"&amp;C1621&amp;"|"&amp;D1621&amp;"|"&amp;E1621</f>
        <v>BTU|1|Rabu|08:00</v>
      </c>
      <c r="B1621" s="76" t="s">
        <v>69</v>
      </c>
      <c r="C1621" s="76" t="n">
        <v>1</v>
      </c>
      <c r="D1621" s="76" t="s">
        <v>92</v>
      </c>
      <c r="E1621" s="76" t="s">
        <v>110</v>
      </c>
      <c r="F1621" s="77" t="s">
        <v>242</v>
      </c>
      <c r="G1621" s="77" t="n">
        <v>5</v>
      </c>
      <c r="H1621" s="77" t="n">
        <v>0</v>
      </c>
      <c r="I1621" s="76" t="n">
        <f aca="false">IF(AND(ISNUMBER(G1621),ISNUMBER(H1621)),MAX(G1621-H1621,0),"")</f>
        <v>5</v>
      </c>
      <c r="J1621" s="78" t="n">
        <f aca="false">IF(AND(ISNUMBER(G1621),ISNUMBER(H1621)),IF(G1621&gt;0,H1621/G1621,""),"")</f>
        <v>0</v>
      </c>
      <c r="K1621" s="77"/>
      <c r="L1621" s="76" t="str">
        <f aca="false">IF(OR(G1621="",H1621=""),"Data tidak lengkap",IF(AND(G1621=0,H1621=0),IF(AND(F1621="",K1621=""),"Tidak dibuka","Tutup"),IF(H1621&gt;G1621,"Lebih kapasitas",IF(H1621=G1621,"Penuh",IF(H1621=0,IF(F1621="","Slot kosong","Belum terisi"),"Sebagian")))))</f>
        <v>Belum terisi</v>
      </c>
      <c r="M1621" s="79" t="str">
        <f aca="false">IF(L1621="Tidak dibuka","–",IF(F1621="","(tanpa age group)",F1621)&amp;"  "&amp;IF(H1621="","?",H1621)&amp;"/"&amp;IF(G1621="","?",G1621)&amp;CHAR(10)&amp;IF(K1621="","coach: –","coach: "&amp;K1621))</f>
        <v>Baby  0/5
coach: –</v>
      </c>
    </row>
    <row r="1622" customFormat="false" ht="22.35" hidden="false" customHeight="false" outlineLevel="0" collapsed="false">
      <c r="A1622" s="76" t="str">
        <f aca="false">B1622&amp;"|"&amp;C1622&amp;"|"&amp;D1622&amp;"|"&amp;E1622</f>
        <v>BTU|1|Rabu|08:45</v>
      </c>
      <c r="B1622" s="76" t="s">
        <v>69</v>
      </c>
      <c r="C1622" s="76" t="n">
        <v>1</v>
      </c>
      <c r="D1622" s="76" t="s">
        <v>92</v>
      </c>
      <c r="E1622" s="76" t="s">
        <v>111</v>
      </c>
      <c r="F1622" s="77" t="s">
        <v>242</v>
      </c>
      <c r="G1622" s="77" t="n">
        <v>5</v>
      </c>
      <c r="H1622" s="77" t="n">
        <v>0</v>
      </c>
      <c r="I1622" s="76" t="n">
        <f aca="false">IF(AND(ISNUMBER(G1622),ISNUMBER(H1622)),MAX(G1622-H1622,0),"")</f>
        <v>5</v>
      </c>
      <c r="J1622" s="78" t="n">
        <f aca="false">IF(AND(ISNUMBER(G1622),ISNUMBER(H1622)),IF(G1622&gt;0,H1622/G1622,""),"")</f>
        <v>0</v>
      </c>
      <c r="K1622" s="77"/>
      <c r="L1622" s="76" t="str">
        <f aca="false">IF(OR(G1622="",H1622=""),"Data tidak lengkap",IF(AND(G1622=0,H1622=0),IF(AND(F1622="",K1622=""),"Tidak dibuka","Tutup"),IF(H1622&gt;G1622,"Lebih kapasitas",IF(H1622=G1622,"Penuh",IF(H1622=0,IF(F1622="","Slot kosong","Belum terisi"),"Sebagian")))))</f>
        <v>Belum terisi</v>
      </c>
      <c r="M1622" s="79" t="str">
        <f aca="false">IF(L1622="Tidak dibuka","–",IF(F1622="","(tanpa age group)",F1622)&amp;"  "&amp;IF(H1622="","?",H1622)&amp;"/"&amp;IF(G1622="","?",G1622)&amp;CHAR(10)&amp;IF(K1622="","coach: –","coach: "&amp;K1622))</f>
        <v>Baby  0/5
coach: –</v>
      </c>
    </row>
    <row r="1623" customFormat="false" ht="22.35" hidden="false" customHeight="false" outlineLevel="0" collapsed="false">
      <c r="A1623" s="76" t="str">
        <f aca="false">B1623&amp;"|"&amp;C1623&amp;"|"&amp;D1623&amp;"|"&amp;E1623</f>
        <v>BTU|1|Rabu|09:30</v>
      </c>
      <c r="B1623" s="76" t="s">
        <v>69</v>
      </c>
      <c r="C1623" s="76" t="n">
        <v>1</v>
      </c>
      <c r="D1623" s="76" t="s">
        <v>92</v>
      </c>
      <c r="E1623" s="76" t="s">
        <v>112</v>
      </c>
      <c r="F1623" s="77" t="s">
        <v>242</v>
      </c>
      <c r="G1623" s="77" t="n">
        <v>5</v>
      </c>
      <c r="H1623" s="77" t="n">
        <v>5</v>
      </c>
      <c r="I1623" s="76" t="n">
        <f aca="false">IF(AND(ISNUMBER(G1623),ISNUMBER(H1623)),MAX(G1623-H1623,0),"")</f>
        <v>0</v>
      </c>
      <c r="J1623" s="78" t="n">
        <f aca="false">IF(AND(ISNUMBER(G1623),ISNUMBER(H1623)),IF(G1623&gt;0,H1623/G1623,""),"")</f>
        <v>1</v>
      </c>
      <c r="K1623" s="77" t="s">
        <v>433</v>
      </c>
      <c r="L1623" s="76" t="str">
        <f aca="false">IF(OR(G1623="",H1623=""),"Data tidak lengkap",IF(AND(G1623=0,H1623=0),IF(AND(F1623="",K1623=""),"Tidak dibuka","Tutup"),IF(H1623&gt;G1623,"Lebih kapasitas",IF(H1623=G1623,"Penuh",IF(H1623=0,IF(F1623="","Slot kosong","Belum terisi"),"Sebagian")))))</f>
        <v>Penuh</v>
      </c>
      <c r="M1623" s="79" t="str">
        <f aca="false">IF(L1623="Tidak dibuka","–",IF(F1623="","(tanpa age group)",F1623)&amp;"  "&amp;IF(H1623="","?",H1623)&amp;"/"&amp;IF(G1623="","?",G1623)&amp;CHAR(10)&amp;IF(K1623="","coach: –","coach: "&amp;K1623))</f>
        <v>Baby  5/5
coach: Shofi</v>
      </c>
    </row>
    <row r="1624" customFormat="false" ht="22.35" hidden="false" customHeight="false" outlineLevel="0" collapsed="false">
      <c r="A1624" s="76" t="str">
        <f aca="false">B1624&amp;"|"&amp;C1624&amp;"|"&amp;D1624&amp;"|"&amp;E1624</f>
        <v>BTU|1|Rabu|10:15</v>
      </c>
      <c r="B1624" s="76" t="s">
        <v>69</v>
      </c>
      <c r="C1624" s="76" t="n">
        <v>1</v>
      </c>
      <c r="D1624" s="76" t="s">
        <v>92</v>
      </c>
      <c r="E1624" s="76" t="s">
        <v>113</v>
      </c>
      <c r="F1624" s="77" t="s">
        <v>242</v>
      </c>
      <c r="G1624" s="77" t="n">
        <v>5</v>
      </c>
      <c r="H1624" s="77" t="n">
        <v>0</v>
      </c>
      <c r="I1624" s="76" t="n">
        <f aca="false">IF(AND(ISNUMBER(G1624),ISNUMBER(H1624)),MAX(G1624-H1624,0),"")</f>
        <v>5</v>
      </c>
      <c r="J1624" s="78" t="n">
        <f aca="false">IF(AND(ISNUMBER(G1624),ISNUMBER(H1624)),IF(G1624&gt;0,H1624/G1624,""),"")</f>
        <v>0</v>
      </c>
      <c r="K1624" s="77"/>
      <c r="L1624" s="76" t="str">
        <f aca="false">IF(OR(G1624="",H1624=""),"Data tidak lengkap",IF(AND(G1624=0,H1624=0),IF(AND(F1624="",K1624=""),"Tidak dibuka","Tutup"),IF(H1624&gt;G1624,"Lebih kapasitas",IF(H1624=G1624,"Penuh",IF(H1624=0,IF(F1624="","Slot kosong","Belum terisi"),"Sebagian")))))</f>
        <v>Belum terisi</v>
      </c>
      <c r="M1624" s="79" t="str">
        <f aca="false">IF(L1624="Tidak dibuka","–",IF(F1624="","(tanpa age group)",F1624)&amp;"  "&amp;IF(H1624="","?",H1624)&amp;"/"&amp;IF(G1624="","?",G1624)&amp;CHAR(10)&amp;IF(K1624="","coach: –","coach: "&amp;K1624))</f>
        <v>Baby  0/5
coach: –</v>
      </c>
    </row>
    <row r="1625" customFormat="false" ht="22.35" hidden="false" customHeight="false" outlineLevel="0" collapsed="false">
      <c r="A1625" s="76" t="str">
        <f aca="false">B1625&amp;"|"&amp;C1625&amp;"|"&amp;D1625&amp;"|"&amp;E1625</f>
        <v>BTU|1|Rabu|11:00</v>
      </c>
      <c r="B1625" s="76" t="s">
        <v>69</v>
      </c>
      <c r="C1625" s="76" t="n">
        <v>1</v>
      </c>
      <c r="D1625" s="76" t="s">
        <v>92</v>
      </c>
      <c r="E1625" s="76" t="s">
        <v>114</v>
      </c>
      <c r="F1625" s="77" t="s">
        <v>242</v>
      </c>
      <c r="G1625" s="77" t="n">
        <v>5</v>
      </c>
      <c r="H1625" s="77" t="n">
        <v>0</v>
      </c>
      <c r="I1625" s="76" t="n">
        <f aca="false">IF(AND(ISNUMBER(G1625),ISNUMBER(H1625)),MAX(G1625-H1625,0),"")</f>
        <v>5</v>
      </c>
      <c r="J1625" s="78" t="n">
        <f aca="false">IF(AND(ISNUMBER(G1625),ISNUMBER(H1625)),IF(G1625&gt;0,H1625/G1625,""),"")</f>
        <v>0</v>
      </c>
      <c r="K1625" s="77"/>
      <c r="L1625" s="76" t="str">
        <f aca="false">IF(OR(G1625="",H1625=""),"Data tidak lengkap",IF(AND(G1625=0,H1625=0),IF(AND(F1625="",K1625=""),"Tidak dibuka","Tutup"),IF(H1625&gt;G1625,"Lebih kapasitas",IF(H1625=G1625,"Penuh",IF(H1625=0,IF(F1625="","Slot kosong","Belum terisi"),"Sebagian")))))</f>
        <v>Belum terisi</v>
      </c>
      <c r="M1625" s="79" t="str">
        <f aca="false">IF(L1625="Tidak dibuka","–",IF(F1625="","(tanpa age group)",F1625)&amp;"  "&amp;IF(H1625="","?",H1625)&amp;"/"&amp;IF(G1625="","?",G1625)&amp;CHAR(10)&amp;IF(K1625="","coach: –","coach: "&amp;K1625))</f>
        <v>Baby  0/5
coach: –</v>
      </c>
    </row>
    <row r="1626" customFormat="false" ht="22.35" hidden="false" customHeight="false" outlineLevel="0" collapsed="false">
      <c r="A1626" s="76" t="str">
        <f aca="false">B1626&amp;"|"&amp;C1626&amp;"|"&amp;D1626&amp;"|"&amp;E1626</f>
        <v>BTU|1|Rabu|11:45</v>
      </c>
      <c r="B1626" s="76" t="s">
        <v>69</v>
      </c>
      <c r="C1626" s="76" t="n">
        <v>1</v>
      </c>
      <c r="D1626" s="76" t="s">
        <v>92</v>
      </c>
      <c r="E1626" s="76" t="s">
        <v>115</v>
      </c>
      <c r="F1626" s="77" t="s">
        <v>242</v>
      </c>
      <c r="G1626" s="77" t="n">
        <v>5</v>
      </c>
      <c r="H1626" s="77" t="n">
        <v>0</v>
      </c>
      <c r="I1626" s="76" t="n">
        <f aca="false">IF(AND(ISNUMBER(G1626),ISNUMBER(H1626)),MAX(G1626-H1626,0),"")</f>
        <v>5</v>
      </c>
      <c r="J1626" s="78" t="n">
        <f aca="false">IF(AND(ISNUMBER(G1626),ISNUMBER(H1626)),IF(G1626&gt;0,H1626/G1626,""),"")</f>
        <v>0</v>
      </c>
      <c r="K1626" s="77"/>
      <c r="L1626" s="76" t="str">
        <f aca="false">IF(OR(G1626="",H1626=""),"Data tidak lengkap",IF(AND(G1626=0,H1626=0),IF(AND(F1626="",K1626=""),"Tidak dibuka","Tutup"),IF(H1626&gt;G1626,"Lebih kapasitas",IF(H1626=G1626,"Penuh",IF(H1626=0,IF(F1626="","Slot kosong","Belum terisi"),"Sebagian")))))</f>
        <v>Belum terisi</v>
      </c>
      <c r="M1626" s="79" t="str">
        <f aca="false">IF(L1626="Tidak dibuka","–",IF(F1626="","(tanpa age group)",F1626)&amp;"  "&amp;IF(H1626="","?",H1626)&amp;"/"&amp;IF(G1626="","?",G1626)&amp;CHAR(10)&amp;IF(K1626="","coach: –","coach: "&amp;K1626))</f>
        <v>Baby  0/5
coach: –</v>
      </c>
    </row>
    <row r="1627" customFormat="false" ht="22.35" hidden="false" customHeight="false" outlineLevel="0" collapsed="false">
      <c r="A1627" s="76" t="str">
        <f aca="false">B1627&amp;"|"&amp;C1627&amp;"|"&amp;D1627&amp;"|"&amp;E1627</f>
        <v>BTU|1|Rabu|13:15</v>
      </c>
      <c r="B1627" s="76" t="s">
        <v>69</v>
      </c>
      <c r="C1627" s="76" t="n">
        <v>1</v>
      </c>
      <c r="D1627" s="76" t="s">
        <v>92</v>
      </c>
      <c r="E1627" s="76" t="s">
        <v>116</v>
      </c>
      <c r="F1627" s="77" t="s">
        <v>242</v>
      </c>
      <c r="G1627" s="77" t="n">
        <v>5</v>
      </c>
      <c r="H1627" s="77" t="n">
        <v>0</v>
      </c>
      <c r="I1627" s="76" t="n">
        <f aca="false">IF(AND(ISNUMBER(G1627),ISNUMBER(H1627)),MAX(G1627-H1627,0),"")</f>
        <v>5</v>
      </c>
      <c r="J1627" s="78" t="n">
        <f aca="false">IF(AND(ISNUMBER(G1627),ISNUMBER(H1627)),IF(G1627&gt;0,H1627/G1627,""),"")</f>
        <v>0</v>
      </c>
      <c r="K1627" s="77"/>
      <c r="L1627" s="76" t="str">
        <f aca="false">IF(OR(G1627="",H1627=""),"Data tidak lengkap",IF(AND(G1627=0,H1627=0),IF(AND(F1627="",K1627=""),"Tidak dibuka","Tutup"),IF(H1627&gt;G1627,"Lebih kapasitas",IF(H1627=G1627,"Penuh",IF(H1627=0,IF(F1627="","Slot kosong","Belum terisi"),"Sebagian")))))</f>
        <v>Belum terisi</v>
      </c>
      <c r="M1627" s="79" t="str">
        <f aca="false">IF(L1627="Tidak dibuka","–",IF(F1627="","(tanpa age group)",F1627)&amp;"  "&amp;IF(H1627="","?",H1627)&amp;"/"&amp;IF(G1627="","?",G1627)&amp;CHAR(10)&amp;IF(K1627="","coach: –","coach: "&amp;K1627))</f>
        <v>Baby  0/5
coach: –</v>
      </c>
    </row>
    <row r="1628" customFormat="false" ht="22.35" hidden="false" customHeight="false" outlineLevel="0" collapsed="false">
      <c r="A1628" s="76" t="str">
        <f aca="false">B1628&amp;"|"&amp;C1628&amp;"|"&amp;D1628&amp;"|"&amp;E1628</f>
        <v>BTU|1|Rabu|14:00</v>
      </c>
      <c r="B1628" s="76" t="s">
        <v>69</v>
      </c>
      <c r="C1628" s="76" t="n">
        <v>1</v>
      </c>
      <c r="D1628" s="76" t="s">
        <v>92</v>
      </c>
      <c r="E1628" s="76" t="s">
        <v>117</v>
      </c>
      <c r="F1628" s="77" t="s">
        <v>242</v>
      </c>
      <c r="G1628" s="77" t="n">
        <v>5</v>
      </c>
      <c r="H1628" s="77" t="n">
        <v>0</v>
      </c>
      <c r="I1628" s="76" t="n">
        <f aca="false">IF(AND(ISNUMBER(G1628),ISNUMBER(H1628)),MAX(G1628-H1628,0),"")</f>
        <v>5</v>
      </c>
      <c r="J1628" s="78" t="n">
        <f aca="false">IF(AND(ISNUMBER(G1628),ISNUMBER(H1628)),IF(G1628&gt;0,H1628/G1628,""),"")</f>
        <v>0</v>
      </c>
      <c r="K1628" s="77"/>
      <c r="L1628" s="76" t="str">
        <f aca="false">IF(OR(G1628="",H1628=""),"Data tidak lengkap",IF(AND(G1628=0,H1628=0),IF(AND(F1628="",K1628=""),"Tidak dibuka","Tutup"),IF(H1628&gt;G1628,"Lebih kapasitas",IF(H1628=G1628,"Penuh",IF(H1628=0,IF(F1628="","Slot kosong","Belum terisi"),"Sebagian")))))</f>
        <v>Belum terisi</v>
      </c>
      <c r="M1628" s="79" t="str">
        <f aca="false">IF(L1628="Tidak dibuka","–",IF(F1628="","(tanpa age group)",F1628)&amp;"  "&amp;IF(H1628="","?",H1628)&amp;"/"&amp;IF(G1628="","?",G1628)&amp;CHAR(10)&amp;IF(K1628="","coach: –","coach: "&amp;K1628))</f>
        <v>Baby  0/5
coach: –</v>
      </c>
    </row>
    <row r="1629" customFormat="false" ht="22.35" hidden="false" customHeight="false" outlineLevel="0" collapsed="false">
      <c r="A1629" s="76" t="str">
        <f aca="false">B1629&amp;"|"&amp;C1629&amp;"|"&amp;D1629&amp;"|"&amp;E1629</f>
        <v>BTU|1|Rabu|14:45</v>
      </c>
      <c r="B1629" s="76" t="s">
        <v>69</v>
      </c>
      <c r="C1629" s="76" t="n">
        <v>1</v>
      </c>
      <c r="D1629" s="76" t="s">
        <v>92</v>
      </c>
      <c r="E1629" s="76" t="s">
        <v>118</v>
      </c>
      <c r="F1629" s="77" t="s">
        <v>242</v>
      </c>
      <c r="G1629" s="77" t="n">
        <v>5</v>
      </c>
      <c r="H1629" s="77" t="n">
        <v>0</v>
      </c>
      <c r="I1629" s="76" t="n">
        <f aca="false">IF(AND(ISNUMBER(G1629),ISNUMBER(H1629)),MAX(G1629-H1629,0),"")</f>
        <v>5</v>
      </c>
      <c r="J1629" s="78" t="n">
        <f aca="false">IF(AND(ISNUMBER(G1629),ISNUMBER(H1629)),IF(G1629&gt;0,H1629/G1629,""),"")</f>
        <v>0</v>
      </c>
      <c r="K1629" s="77"/>
      <c r="L1629" s="76" t="str">
        <f aca="false">IF(OR(G1629="",H1629=""),"Data tidak lengkap",IF(AND(G1629=0,H1629=0),IF(AND(F1629="",K1629=""),"Tidak dibuka","Tutup"),IF(H1629&gt;G1629,"Lebih kapasitas",IF(H1629=G1629,"Penuh",IF(H1629=0,IF(F1629="","Slot kosong","Belum terisi"),"Sebagian")))))</f>
        <v>Belum terisi</v>
      </c>
      <c r="M1629" s="79" t="str">
        <f aca="false">IF(L1629="Tidak dibuka","–",IF(F1629="","(tanpa age group)",F1629)&amp;"  "&amp;IF(H1629="","?",H1629)&amp;"/"&amp;IF(G1629="","?",G1629)&amp;CHAR(10)&amp;IF(K1629="","coach: –","coach: "&amp;K1629))</f>
        <v>Baby  0/5
coach: –</v>
      </c>
    </row>
    <row r="1630" customFormat="false" ht="22.35" hidden="false" customHeight="false" outlineLevel="0" collapsed="false">
      <c r="A1630" s="76" t="str">
        <f aca="false">B1630&amp;"|"&amp;C1630&amp;"|"&amp;D1630&amp;"|"&amp;E1630</f>
        <v>BTU|1|Rabu|15:30</v>
      </c>
      <c r="B1630" s="76" t="s">
        <v>69</v>
      </c>
      <c r="C1630" s="76" t="n">
        <v>1</v>
      </c>
      <c r="D1630" s="76" t="s">
        <v>92</v>
      </c>
      <c r="E1630" s="76" t="s">
        <v>119</v>
      </c>
      <c r="F1630" s="77" t="s">
        <v>242</v>
      </c>
      <c r="G1630" s="77" t="n">
        <v>5</v>
      </c>
      <c r="H1630" s="77" t="n">
        <v>0</v>
      </c>
      <c r="I1630" s="76" t="n">
        <f aca="false">IF(AND(ISNUMBER(G1630),ISNUMBER(H1630)),MAX(G1630-H1630,0),"")</f>
        <v>5</v>
      </c>
      <c r="J1630" s="78" t="n">
        <f aca="false">IF(AND(ISNUMBER(G1630),ISNUMBER(H1630)),IF(G1630&gt;0,H1630/G1630,""),"")</f>
        <v>0</v>
      </c>
      <c r="K1630" s="77"/>
      <c r="L1630" s="76" t="str">
        <f aca="false">IF(OR(G1630="",H1630=""),"Data tidak lengkap",IF(AND(G1630=0,H1630=0),IF(AND(F1630="",K1630=""),"Tidak dibuka","Tutup"),IF(H1630&gt;G1630,"Lebih kapasitas",IF(H1630=G1630,"Penuh",IF(H1630=0,IF(F1630="","Slot kosong","Belum terisi"),"Sebagian")))))</f>
        <v>Belum terisi</v>
      </c>
      <c r="M1630" s="79" t="str">
        <f aca="false">IF(L1630="Tidak dibuka","–",IF(F1630="","(tanpa age group)",F1630)&amp;"  "&amp;IF(H1630="","?",H1630)&amp;"/"&amp;IF(G1630="","?",G1630)&amp;CHAR(10)&amp;IF(K1630="","coach: –","coach: "&amp;K1630))</f>
        <v>Baby  0/5
coach: –</v>
      </c>
    </row>
    <row r="1631" customFormat="false" ht="22.35" hidden="false" customHeight="false" outlineLevel="0" collapsed="false">
      <c r="A1631" s="76" t="str">
        <f aca="false">B1631&amp;"|"&amp;C1631&amp;"|"&amp;D1631&amp;"|"&amp;E1631</f>
        <v>BTU|1|Rabu|16:15</v>
      </c>
      <c r="B1631" s="76" t="s">
        <v>69</v>
      </c>
      <c r="C1631" s="76" t="n">
        <v>1</v>
      </c>
      <c r="D1631" s="76" t="s">
        <v>92</v>
      </c>
      <c r="E1631" s="76" t="s">
        <v>120</v>
      </c>
      <c r="F1631" s="77" t="s">
        <v>242</v>
      </c>
      <c r="G1631" s="77" t="n">
        <v>5</v>
      </c>
      <c r="H1631" s="77" t="n">
        <v>0</v>
      </c>
      <c r="I1631" s="76" t="n">
        <f aca="false">IF(AND(ISNUMBER(G1631),ISNUMBER(H1631)),MAX(G1631-H1631,0),"")</f>
        <v>5</v>
      </c>
      <c r="J1631" s="78" t="n">
        <f aca="false">IF(AND(ISNUMBER(G1631),ISNUMBER(H1631)),IF(G1631&gt;0,H1631/G1631,""),"")</f>
        <v>0</v>
      </c>
      <c r="K1631" s="77"/>
      <c r="L1631" s="76" t="str">
        <f aca="false">IF(OR(G1631="",H1631=""),"Data tidak lengkap",IF(AND(G1631=0,H1631=0),IF(AND(F1631="",K1631=""),"Tidak dibuka","Tutup"),IF(H1631&gt;G1631,"Lebih kapasitas",IF(H1631=G1631,"Penuh",IF(H1631=0,IF(F1631="","Slot kosong","Belum terisi"),"Sebagian")))))</f>
        <v>Belum terisi</v>
      </c>
      <c r="M1631" s="79" t="str">
        <f aca="false">IF(L1631="Tidak dibuka","–",IF(F1631="","(tanpa age group)",F1631)&amp;"  "&amp;IF(H1631="","?",H1631)&amp;"/"&amp;IF(G1631="","?",G1631)&amp;CHAR(10)&amp;IF(K1631="","coach: –","coach: "&amp;K1631))</f>
        <v>Baby  0/5
coach: –</v>
      </c>
    </row>
    <row r="1632" customFormat="false" ht="22.35" hidden="false" customHeight="false" outlineLevel="0" collapsed="false">
      <c r="A1632" s="76" t="str">
        <f aca="false">B1632&amp;"|"&amp;C1632&amp;"|"&amp;D1632&amp;"|"&amp;E1632</f>
        <v>BTU|1|Rabu|17:00</v>
      </c>
      <c r="B1632" s="76" t="s">
        <v>69</v>
      </c>
      <c r="C1632" s="76" t="n">
        <v>1</v>
      </c>
      <c r="D1632" s="76" t="s">
        <v>92</v>
      </c>
      <c r="E1632" s="76" t="s">
        <v>121</v>
      </c>
      <c r="F1632" s="77" t="s">
        <v>242</v>
      </c>
      <c r="G1632" s="77" t="n">
        <v>5</v>
      </c>
      <c r="H1632" s="77" t="n">
        <v>0</v>
      </c>
      <c r="I1632" s="76" t="n">
        <f aca="false">IF(AND(ISNUMBER(G1632),ISNUMBER(H1632)),MAX(G1632-H1632,0),"")</f>
        <v>5</v>
      </c>
      <c r="J1632" s="78" t="n">
        <f aca="false">IF(AND(ISNUMBER(G1632),ISNUMBER(H1632)),IF(G1632&gt;0,H1632/G1632,""),"")</f>
        <v>0</v>
      </c>
      <c r="K1632" s="77"/>
      <c r="L1632" s="76" t="str">
        <f aca="false">IF(OR(G1632="",H1632=""),"Data tidak lengkap",IF(AND(G1632=0,H1632=0),IF(AND(F1632="",K1632=""),"Tidak dibuka","Tutup"),IF(H1632&gt;G1632,"Lebih kapasitas",IF(H1632=G1632,"Penuh",IF(H1632=0,IF(F1632="","Slot kosong","Belum terisi"),"Sebagian")))))</f>
        <v>Belum terisi</v>
      </c>
      <c r="M1632" s="79" t="str">
        <f aca="false">IF(L1632="Tidak dibuka","–",IF(F1632="","(tanpa age group)",F1632)&amp;"  "&amp;IF(H1632="","?",H1632)&amp;"/"&amp;IF(G1632="","?",G1632)&amp;CHAR(10)&amp;IF(K1632="","coach: –","coach: "&amp;K1632))</f>
        <v>Baby  0/5
coach: –</v>
      </c>
    </row>
    <row r="1633" customFormat="false" ht="22.35" hidden="false" customHeight="false" outlineLevel="0" collapsed="false">
      <c r="A1633" s="76" t="str">
        <f aca="false">B1633&amp;"|"&amp;C1633&amp;"|"&amp;D1633&amp;"|"&amp;E1633</f>
        <v>BTU|1|Kamis|08:00</v>
      </c>
      <c r="B1633" s="76" t="s">
        <v>69</v>
      </c>
      <c r="C1633" s="76" t="n">
        <v>1</v>
      </c>
      <c r="D1633" s="76" t="s">
        <v>93</v>
      </c>
      <c r="E1633" s="76" t="s">
        <v>110</v>
      </c>
      <c r="F1633" s="77" t="s">
        <v>242</v>
      </c>
      <c r="G1633" s="77" t="n">
        <v>5</v>
      </c>
      <c r="H1633" s="77" t="n">
        <v>0</v>
      </c>
      <c r="I1633" s="76" t="n">
        <f aca="false">IF(AND(ISNUMBER(G1633),ISNUMBER(H1633)),MAX(G1633-H1633,0),"")</f>
        <v>5</v>
      </c>
      <c r="J1633" s="78" t="n">
        <f aca="false">IF(AND(ISNUMBER(G1633),ISNUMBER(H1633)),IF(G1633&gt;0,H1633/G1633,""),"")</f>
        <v>0</v>
      </c>
      <c r="K1633" s="77"/>
      <c r="L1633" s="76" t="str">
        <f aca="false">IF(OR(G1633="",H1633=""),"Data tidak lengkap",IF(AND(G1633=0,H1633=0),IF(AND(F1633="",K1633=""),"Tidak dibuka","Tutup"),IF(H1633&gt;G1633,"Lebih kapasitas",IF(H1633=G1633,"Penuh",IF(H1633=0,IF(F1633="","Slot kosong","Belum terisi"),"Sebagian")))))</f>
        <v>Belum terisi</v>
      </c>
      <c r="M1633" s="79" t="str">
        <f aca="false">IF(L1633="Tidak dibuka","–",IF(F1633="","(tanpa age group)",F1633)&amp;"  "&amp;IF(H1633="","?",H1633)&amp;"/"&amp;IF(G1633="","?",G1633)&amp;CHAR(10)&amp;IF(K1633="","coach: –","coach: "&amp;K1633))</f>
        <v>Baby  0/5
coach: –</v>
      </c>
    </row>
    <row r="1634" customFormat="false" ht="22.35" hidden="false" customHeight="false" outlineLevel="0" collapsed="false">
      <c r="A1634" s="76" t="str">
        <f aca="false">B1634&amp;"|"&amp;C1634&amp;"|"&amp;D1634&amp;"|"&amp;E1634</f>
        <v>BTU|1|Kamis|08:45</v>
      </c>
      <c r="B1634" s="76" t="s">
        <v>69</v>
      </c>
      <c r="C1634" s="76" t="n">
        <v>1</v>
      </c>
      <c r="D1634" s="76" t="s">
        <v>93</v>
      </c>
      <c r="E1634" s="76" t="s">
        <v>111</v>
      </c>
      <c r="F1634" s="77" t="s">
        <v>242</v>
      </c>
      <c r="G1634" s="77" t="n">
        <v>5</v>
      </c>
      <c r="H1634" s="77" t="n">
        <v>0</v>
      </c>
      <c r="I1634" s="76" t="n">
        <f aca="false">IF(AND(ISNUMBER(G1634),ISNUMBER(H1634)),MAX(G1634-H1634,0),"")</f>
        <v>5</v>
      </c>
      <c r="J1634" s="78" t="n">
        <f aca="false">IF(AND(ISNUMBER(G1634),ISNUMBER(H1634)),IF(G1634&gt;0,H1634/G1634,""),"")</f>
        <v>0</v>
      </c>
      <c r="K1634" s="77"/>
      <c r="L1634" s="76" t="str">
        <f aca="false">IF(OR(G1634="",H1634=""),"Data tidak lengkap",IF(AND(G1634=0,H1634=0),IF(AND(F1634="",K1634=""),"Tidak dibuka","Tutup"),IF(H1634&gt;G1634,"Lebih kapasitas",IF(H1634=G1634,"Penuh",IF(H1634=0,IF(F1634="","Slot kosong","Belum terisi"),"Sebagian")))))</f>
        <v>Belum terisi</v>
      </c>
      <c r="M1634" s="79" t="str">
        <f aca="false">IF(L1634="Tidak dibuka","–",IF(F1634="","(tanpa age group)",F1634)&amp;"  "&amp;IF(H1634="","?",H1634)&amp;"/"&amp;IF(G1634="","?",G1634)&amp;CHAR(10)&amp;IF(K1634="","coach: –","coach: "&amp;K1634))</f>
        <v>Baby  0/5
coach: –</v>
      </c>
    </row>
    <row r="1635" customFormat="false" ht="22.35" hidden="false" customHeight="false" outlineLevel="0" collapsed="false">
      <c r="A1635" s="76" t="str">
        <f aca="false">B1635&amp;"|"&amp;C1635&amp;"|"&amp;D1635&amp;"|"&amp;E1635</f>
        <v>BTU|1|Kamis|09:30</v>
      </c>
      <c r="B1635" s="76" t="s">
        <v>69</v>
      </c>
      <c r="C1635" s="76" t="n">
        <v>1</v>
      </c>
      <c r="D1635" s="76" t="s">
        <v>93</v>
      </c>
      <c r="E1635" s="76" t="s">
        <v>112</v>
      </c>
      <c r="F1635" s="77" t="s">
        <v>242</v>
      </c>
      <c r="G1635" s="77" t="n">
        <v>5</v>
      </c>
      <c r="H1635" s="77" t="n">
        <v>0</v>
      </c>
      <c r="I1635" s="76" t="n">
        <f aca="false">IF(AND(ISNUMBER(G1635),ISNUMBER(H1635)),MAX(G1635-H1635,0),"")</f>
        <v>5</v>
      </c>
      <c r="J1635" s="78" t="n">
        <f aca="false">IF(AND(ISNUMBER(G1635),ISNUMBER(H1635)),IF(G1635&gt;0,H1635/G1635,""),"")</f>
        <v>0</v>
      </c>
      <c r="K1635" s="77"/>
      <c r="L1635" s="76" t="str">
        <f aca="false">IF(OR(G1635="",H1635=""),"Data tidak lengkap",IF(AND(G1635=0,H1635=0),IF(AND(F1635="",K1635=""),"Tidak dibuka","Tutup"),IF(H1635&gt;G1635,"Lebih kapasitas",IF(H1635=G1635,"Penuh",IF(H1635=0,IF(F1635="","Slot kosong","Belum terisi"),"Sebagian")))))</f>
        <v>Belum terisi</v>
      </c>
      <c r="M1635" s="79" t="str">
        <f aca="false">IF(L1635="Tidak dibuka","–",IF(F1635="","(tanpa age group)",F1635)&amp;"  "&amp;IF(H1635="","?",H1635)&amp;"/"&amp;IF(G1635="","?",G1635)&amp;CHAR(10)&amp;IF(K1635="","coach: –","coach: "&amp;K1635))</f>
        <v>Baby  0/5
coach: –</v>
      </c>
    </row>
    <row r="1636" customFormat="false" ht="22.35" hidden="false" customHeight="false" outlineLevel="0" collapsed="false">
      <c r="A1636" s="76" t="str">
        <f aca="false">B1636&amp;"|"&amp;C1636&amp;"|"&amp;D1636&amp;"|"&amp;E1636</f>
        <v>BTU|1|Kamis|10:15</v>
      </c>
      <c r="B1636" s="76" t="s">
        <v>69</v>
      </c>
      <c r="C1636" s="76" t="n">
        <v>1</v>
      </c>
      <c r="D1636" s="76" t="s">
        <v>93</v>
      </c>
      <c r="E1636" s="76" t="s">
        <v>113</v>
      </c>
      <c r="F1636" s="77" t="s">
        <v>242</v>
      </c>
      <c r="G1636" s="77" t="n">
        <v>5</v>
      </c>
      <c r="H1636" s="77" t="n">
        <v>1</v>
      </c>
      <c r="I1636" s="76" t="n">
        <f aca="false">IF(AND(ISNUMBER(G1636),ISNUMBER(H1636)),MAX(G1636-H1636,0),"")</f>
        <v>4</v>
      </c>
      <c r="J1636" s="78" t="n">
        <f aca="false">IF(AND(ISNUMBER(G1636),ISNUMBER(H1636)),IF(G1636&gt;0,H1636/G1636,""),"")</f>
        <v>0.2</v>
      </c>
      <c r="K1636" s="77" t="s">
        <v>434</v>
      </c>
      <c r="L1636" s="76" t="str">
        <f aca="false">IF(OR(G1636="",H1636=""),"Data tidak lengkap",IF(AND(G1636=0,H1636=0),IF(AND(F1636="",K1636=""),"Tidak dibuka","Tutup"),IF(H1636&gt;G1636,"Lebih kapasitas",IF(H1636=G1636,"Penuh",IF(H1636=0,IF(F1636="","Slot kosong","Belum terisi"),"Sebagian")))))</f>
        <v>Sebagian</v>
      </c>
      <c r="M1636" s="79" t="str">
        <f aca="false">IF(L1636="Tidak dibuka","–",IF(F1636="","(tanpa age group)",F1636)&amp;"  "&amp;IF(H1636="","?",H1636)&amp;"/"&amp;IF(G1636="","?",G1636)&amp;CHAR(10)&amp;IF(K1636="","coach: –","coach: "&amp;K1636))</f>
        <v>Baby  1/5
coach: Alfi</v>
      </c>
    </row>
    <row r="1637" customFormat="false" ht="22.35" hidden="false" customHeight="false" outlineLevel="0" collapsed="false">
      <c r="A1637" s="76" t="str">
        <f aca="false">B1637&amp;"|"&amp;C1637&amp;"|"&amp;D1637&amp;"|"&amp;E1637</f>
        <v>BTU|1|Kamis|11:00</v>
      </c>
      <c r="B1637" s="76" t="s">
        <v>69</v>
      </c>
      <c r="C1637" s="76" t="n">
        <v>1</v>
      </c>
      <c r="D1637" s="76" t="s">
        <v>93</v>
      </c>
      <c r="E1637" s="76" t="s">
        <v>114</v>
      </c>
      <c r="F1637" s="77" t="s">
        <v>242</v>
      </c>
      <c r="G1637" s="77" t="n">
        <v>5</v>
      </c>
      <c r="H1637" s="77" t="n">
        <v>0</v>
      </c>
      <c r="I1637" s="76" t="n">
        <f aca="false">IF(AND(ISNUMBER(G1637),ISNUMBER(H1637)),MAX(G1637-H1637,0),"")</f>
        <v>5</v>
      </c>
      <c r="J1637" s="78" t="n">
        <f aca="false">IF(AND(ISNUMBER(G1637),ISNUMBER(H1637)),IF(G1637&gt;0,H1637/G1637,""),"")</f>
        <v>0</v>
      </c>
      <c r="K1637" s="77"/>
      <c r="L1637" s="76" t="str">
        <f aca="false">IF(OR(G1637="",H1637=""),"Data tidak lengkap",IF(AND(G1637=0,H1637=0),IF(AND(F1637="",K1637=""),"Tidak dibuka","Tutup"),IF(H1637&gt;G1637,"Lebih kapasitas",IF(H1637=G1637,"Penuh",IF(H1637=0,IF(F1637="","Slot kosong","Belum terisi"),"Sebagian")))))</f>
        <v>Belum terisi</v>
      </c>
      <c r="M1637" s="79" t="str">
        <f aca="false">IF(L1637="Tidak dibuka","–",IF(F1637="","(tanpa age group)",F1637)&amp;"  "&amp;IF(H1637="","?",H1637)&amp;"/"&amp;IF(G1637="","?",G1637)&amp;CHAR(10)&amp;IF(K1637="","coach: –","coach: "&amp;K1637))</f>
        <v>Baby  0/5
coach: –</v>
      </c>
    </row>
    <row r="1638" customFormat="false" ht="22.35" hidden="false" customHeight="false" outlineLevel="0" collapsed="false">
      <c r="A1638" s="76" t="str">
        <f aca="false">B1638&amp;"|"&amp;C1638&amp;"|"&amp;D1638&amp;"|"&amp;E1638</f>
        <v>BTU|1|Kamis|11:45</v>
      </c>
      <c r="B1638" s="76" t="s">
        <v>69</v>
      </c>
      <c r="C1638" s="76" t="n">
        <v>1</v>
      </c>
      <c r="D1638" s="76" t="s">
        <v>93</v>
      </c>
      <c r="E1638" s="76" t="s">
        <v>115</v>
      </c>
      <c r="F1638" s="77" t="s">
        <v>242</v>
      </c>
      <c r="G1638" s="77" t="n">
        <v>5</v>
      </c>
      <c r="H1638" s="77" t="n">
        <v>0</v>
      </c>
      <c r="I1638" s="76" t="n">
        <f aca="false">IF(AND(ISNUMBER(G1638),ISNUMBER(H1638)),MAX(G1638-H1638,0),"")</f>
        <v>5</v>
      </c>
      <c r="J1638" s="78" t="n">
        <f aca="false">IF(AND(ISNUMBER(G1638),ISNUMBER(H1638)),IF(G1638&gt;0,H1638/G1638,""),"")</f>
        <v>0</v>
      </c>
      <c r="K1638" s="77"/>
      <c r="L1638" s="76" t="str">
        <f aca="false">IF(OR(G1638="",H1638=""),"Data tidak lengkap",IF(AND(G1638=0,H1638=0),IF(AND(F1638="",K1638=""),"Tidak dibuka","Tutup"),IF(H1638&gt;G1638,"Lebih kapasitas",IF(H1638=G1638,"Penuh",IF(H1638=0,IF(F1638="","Slot kosong","Belum terisi"),"Sebagian")))))</f>
        <v>Belum terisi</v>
      </c>
      <c r="M1638" s="79" t="str">
        <f aca="false">IF(L1638="Tidak dibuka","–",IF(F1638="","(tanpa age group)",F1638)&amp;"  "&amp;IF(H1638="","?",H1638)&amp;"/"&amp;IF(G1638="","?",G1638)&amp;CHAR(10)&amp;IF(K1638="","coach: –","coach: "&amp;K1638))</f>
        <v>Baby  0/5
coach: –</v>
      </c>
    </row>
    <row r="1639" customFormat="false" ht="22.35" hidden="false" customHeight="false" outlineLevel="0" collapsed="false">
      <c r="A1639" s="76" t="str">
        <f aca="false">B1639&amp;"|"&amp;C1639&amp;"|"&amp;D1639&amp;"|"&amp;E1639</f>
        <v>BTU|1|Kamis|13:15</v>
      </c>
      <c r="B1639" s="76" t="s">
        <v>69</v>
      </c>
      <c r="C1639" s="76" t="n">
        <v>1</v>
      </c>
      <c r="D1639" s="76" t="s">
        <v>93</v>
      </c>
      <c r="E1639" s="76" t="s">
        <v>116</v>
      </c>
      <c r="F1639" s="77" t="s">
        <v>242</v>
      </c>
      <c r="G1639" s="77" t="n">
        <v>5</v>
      </c>
      <c r="H1639" s="77" t="n">
        <v>0</v>
      </c>
      <c r="I1639" s="76" t="n">
        <f aca="false">IF(AND(ISNUMBER(G1639),ISNUMBER(H1639)),MAX(G1639-H1639,0),"")</f>
        <v>5</v>
      </c>
      <c r="J1639" s="78" t="n">
        <f aca="false">IF(AND(ISNUMBER(G1639),ISNUMBER(H1639)),IF(G1639&gt;0,H1639/G1639,""),"")</f>
        <v>0</v>
      </c>
      <c r="K1639" s="77"/>
      <c r="L1639" s="76" t="str">
        <f aca="false">IF(OR(G1639="",H1639=""),"Data tidak lengkap",IF(AND(G1639=0,H1639=0),IF(AND(F1639="",K1639=""),"Tidak dibuka","Tutup"),IF(H1639&gt;G1639,"Lebih kapasitas",IF(H1639=G1639,"Penuh",IF(H1639=0,IF(F1639="","Slot kosong","Belum terisi"),"Sebagian")))))</f>
        <v>Belum terisi</v>
      </c>
      <c r="M1639" s="79" t="str">
        <f aca="false">IF(L1639="Tidak dibuka","–",IF(F1639="","(tanpa age group)",F1639)&amp;"  "&amp;IF(H1639="","?",H1639)&amp;"/"&amp;IF(G1639="","?",G1639)&amp;CHAR(10)&amp;IF(K1639="","coach: –","coach: "&amp;K1639))</f>
        <v>Baby  0/5
coach: –</v>
      </c>
    </row>
    <row r="1640" customFormat="false" ht="22.35" hidden="false" customHeight="false" outlineLevel="0" collapsed="false">
      <c r="A1640" s="76" t="str">
        <f aca="false">B1640&amp;"|"&amp;C1640&amp;"|"&amp;D1640&amp;"|"&amp;E1640</f>
        <v>BTU|1|Kamis|14:00</v>
      </c>
      <c r="B1640" s="76" t="s">
        <v>69</v>
      </c>
      <c r="C1640" s="76" t="n">
        <v>1</v>
      </c>
      <c r="D1640" s="76" t="s">
        <v>93</v>
      </c>
      <c r="E1640" s="76" t="s">
        <v>117</v>
      </c>
      <c r="F1640" s="77" t="s">
        <v>242</v>
      </c>
      <c r="G1640" s="77" t="n">
        <v>5</v>
      </c>
      <c r="H1640" s="77" t="n">
        <v>0</v>
      </c>
      <c r="I1640" s="76" t="n">
        <f aca="false">IF(AND(ISNUMBER(G1640),ISNUMBER(H1640)),MAX(G1640-H1640,0),"")</f>
        <v>5</v>
      </c>
      <c r="J1640" s="78" t="n">
        <f aca="false">IF(AND(ISNUMBER(G1640),ISNUMBER(H1640)),IF(G1640&gt;0,H1640/G1640,""),"")</f>
        <v>0</v>
      </c>
      <c r="K1640" s="77"/>
      <c r="L1640" s="76" t="str">
        <f aca="false">IF(OR(G1640="",H1640=""),"Data tidak lengkap",IF(AND(G1640=0,H1640=0),IF(AND(F1640="",K1640=""),"Tidak dibuka","Tutup"),IF(H1640&gt;G1640,"Lebih kapasitas",IF(H1640=G1640,"Penuh",IF(H1640=0,IF(F1640="","Slot kosong","Belum terisi"),"Sebagian")))))</f>
        <v>Belum terisi</v>
      </c>
      <c r="M1640" s="79" t="str">
        <f aca="false">IF(L1640="Tidak dibuka","–",IF(F1640="","(tanpa age group)",F1640)&amp;"  "&amp;IF(H1640="","?",H1640)&amp;"/"&amp;IF(G1640="","?",G1640)&amp;CHAR(10)&amp;IF(K1640="","coach: –","coach: "&amp;K1640))</f>
        <v>Baby  0/5
coach: –</v>
      </c>
    </row>
    <row r="1641" customFormat="false" ht="22.35" hidden="false" customHeight="false" outlineLevel="0" collapsed="false">
      <c r="A1641" s="76" t="str">
        <f aca="false">B1641&amp;"|"&amp;C1641&amp;"|"&amp;D1641&amp;"|"&amp;E1641</f>
        <v>BTU|1|Kamis|14:45</v>
      </c>
      <c r="B1641" s="76" t="s">
        <v>69</v>
      </c>
      <c r="C1641" s="76" t="n">
        <v>1</v>
      </c>
      <c r="D1641" s="76" t="s">
        <v>93</v>
      </c>
      <c r="E1641" s="76" t="s">
        <v>118</v>
      </c>
      <c r="F1641" s="77" t="s">
        <v>242</v>
      </c>
      <c r="G1641" s="77" t="n">
        <v>5</v>
      </c>
      <c r="H1641" s="77" t="n">
        <v>0</v>
      </c>
      <c r="I1641" s="76" t="n">
        <f aca="false">IF(AND(ISNUMBER(G1641),ISNUMBER(H1641)),MAX(G1641-H1641,0),"")</f>
        <v>5</v>
      </c>
      <c r="J1641" s="78" t="n">
        <f aca="false">IF(AND(ISNUMBER(G1641),ISNUMBER(H1641)),IF(G1641&gt;0,H1641/G1641,""),"")</f>
        <v>0</v>
      </c>
      <c r="K1641" s="77"/>
      <c r="L1641" s="76" t="str">
        <f aca="false">IF(OR(G1641="",H1641=""),"Data tidak lengkap",IF(AND(G1641=0,H1641=0),IF(AND(F1641="",K1641=""),"Tidak dibuka","Tutup"),IF(H1641&gt;G1641,"Lebih kapasitas",IF(H1641=G1641,"Penuh",IF(H1641=0,IF(F1641="","Slot kosong","Belum terisi"),"Sebagian")))))</f>
        <v>Belum terisi</v>
      </c>
      <c r="M1641" s="79" t="str">
        <f aca="false">IF(L1641="Tidak dibuka","–",IF(F1641="","(tanpa age group)",F1641)&amp;"  "&amp;IF(H1641="","?",H1641)&amp;"/"&amp;IF(G1641="","?",G1641)&amp;CHAR(10)&amp;IF(K1641="","coach: –","coach: "&amp;K1641))</f>
        <v>Baby  0/5
coach: –</v>
      </c>
    </row>
    <row r="1642" customFormat="false" ht="22.35" hidden="false" customHeight="false" outlineLevel="0" collapsed="false">
      <c r="A1642" s="76" t="str">
        <f aca="false">B1642&amp;"|"&amp;C1642&amp;"|"&amp;D1642&amp;"|"&amp;E1642</f>
        <v>BTU|1|Kamis|15:30</v>
      </c>
      <c r="B1642" s="76" t="s">
        <v>69</v>
      </c>
      <c r="C1642" s="76" t="n">
        <v>1</v>
      </c>
      <c r="D1642" s="76" t="s">
        <v>93</v>
      </c>
      <c r="E1642" s="76" t="s">
        <v>119</v>
      </c>
      <c r="F1642" s="77" t="s">
        <v>242</v>
      </c>
      <c r="G1642" s="77" t="n">
        <v>5</v>
      </c>
      <c r="H1642" s="77" t="n">
        <v>0</v>
      </c>
      <c r="I1642" s="76" t="n">
        <f aca="false">IF(AND(ISNUMBER(G1642),ISNUMBER(H1642)),MAX(G1642-H1642,0),"")</f>
        <v>5</v>
      </c>
      <c r="J1642" s="78" t="n">
        <f aca="false">IF(AND(ISNUMBER(G1642),ISNUMBER(H1642)),IF(G1642&gt;0,H1642/G1642,""),"")</f>
        <v>0</v>
      </c>
      <c r="K1642" s="77"/>
      <c r="L1642" s="76" t="str">
        <f aca="false">IF(OR(G1642="",H1642=""),"Data tidak lengkap",IF(AND(G1642=0,H1642=0),IF(AND(F1642="",K1642=""),"Tidak dibuka","Tutup"),IF(H1642&gt;G1642,"Lebih kapasitas",IF(H1642=G1642,"Penuh",IF(H1642=0,IF(F1642="","Slot kosong","Belum terisi"),"Sebagian")))))</f>
        <v>Belum terisi</v>
      </c>
      <c r="M1642" s="79" t="str">
        <f aca="false">IF(L1642="Tidak dibuka","–",IF(F1642="","(tanpa age group)",F1642)&amp;"  "&amp;IF(H1642="","?",H1642)&amp;"/"&amp;IF(G1642="","?",G1642)&amp;CHAR(10)&amp;IF(K1642="","coach: –","coach: "&amp;K1642))</f>
        <v>Baby  0/5
coach: –</v>
      </c>
    </row>
    <row r="1643" customFormat="false" ht="22.35" hidden="false" customHeight="false" outlineLevel="0" collapsed="false">
      <c r="A1643" s="76" t="str">
        <f aca="false">B1643&amp;"|"&amp;C1643&amp;"|"&amp;D1643&amp;"|"&amp;E1643</f>
        <v>BTU|1|Kamis|16:15</v>
      </c>
      <c r="B1643" s="76" t="s">
        <v>69</v>
      </c>
      <c r="C1643" s="76" t="n">
        <v>1</v>
      </c>
      <c r="D1643" s="76" t="s">
        <v>93</v>
      </c>
      <c r="E1643" s="76" t="s">
        <v>120</v>
      </c>
      <c r="F1643" s="77" t="s">
        <v>242</v>
      </c>
      <c r="G1643" s="77" t="n">
        <v>5</v>
      </c>
      <c r="H1643" s="77" t="n">
        <v>0</v>
      </c>
      <c r="I1643" s="76" t="n">
        <f aca="false">IF(AND(ISNUMBER(G1643),ISNUMBER(H1643)),MAX(G1643-H1643,0),"")</f>
        <v>5</v>
      </c>
      <c r="J1643" s="78" t="n">
        <f aca="false">IF(AND(ISNUMBER(G1643),ISNUMBER(H1643)),IF(G1643&gt;0,H1643/G1643,""),"")</f>
        <v>0</v>
      </c>
      <c r="K1643" s="77"/>
      <c r="L1643" s="76" t="str">
        <f aca="false">IF(OR(G1643="",H1643=""),"Data tidak lengkap",IF(AND(G1643=0,H1643=0),IF(AND(F1643="",K1643=""),"Tidak dibuka","Tutup"),IF(H1643&gt;G1643,"Lebih kapasitas",IF(H1643=G1643,"Penuh",IF(H1643=0,IF(F1643="","Slot kosong","Belum terisi"),"Sebagian")))))</f>
        <v>Belum terisi</v>
      </c>
      <c r="M1643" s="79" t="str">
        <f aca="false">IF(L1643="Tidak dibuka","–",IF(F1643="","(tanpa age group)",F1643)&amp;"  "&amp;IF(H1643="","?",H1643)&amp;"/"&amp;IF(G1643="","?",G1643)&amp;CHAR(10)&amp;IF(K1643="","coach: –","coach: "&amp;K1643))</f>
        <v>Baby  0/5
coach: –</v>
      </c>
    </row>
    <row r="1644" customFormat="false" ht="22.35" hidden="false" customHeight="false" outlineLevel="0" collapsed="false">
      <c r="A1644" s="76" t="str">
        <f aca="false">B1644&amp;"|"&amp;C1644&amp;"|"&amp;D1644&amp;"|"&amp;E1644</f>
        <v>BTU|1|Kamis|17:00</v>
      </c>
      <c r="B1644" s="76" t="s">
        <v>69</v>
      </c>
      <c r="C1644" s="76" t="n">
        <v>1</v>
      </c>
      <c r="D1644" s="76" t="s">
        <v>93</v>
      </c>
      <c r="E1644" s="76" t="s">
        <v>121</v>
      </c>
      <c r="F1644" s="77" t="s">
        <v>242</v>
      </c>
      <c r="G1644" s="77" t="n">
        <v>5</v>
      </c>
      <c r="H1644" s="77" t="n">
        <v>0</v>
      </c>
      <c r="I1644" s="76" t="n">
        <f aca="false">IF(AND(ISNUMBER(G1644),ISNUMBER(H1644)),MAX(G1644-H1644,0),"")</f>
        <v>5</v>
      </c>
      <c r="J1644" s="78" t="n">
        <f aca="false">IF(AND(ISNUMBER(G1644),ISNUMBER(H1644)),IF(G1644&gt;0,H1644/G1644,""),"")</f>
        <v>0</v>
      </c>
      <c r="K1644" s="77"/>
      <c r="L1644" s="76" t="str">
        <f aca="false">IF(OR(G1644="",H1644=""),"Data tidak lengkap",IF(AND(G1644=0,H1644=0),IF(AND(F1644="",K1644=""),"Tidak dibuka","Tutup"),IF(H1644&gt;G1644,"Lebih kapasitas",IF(H1644=G1644,"Penuh",IF(H1644=0,IF(F1644="","Slot kosong","Belum terisi"),"Sebagian")))))</f>
        <v>Belum terisi</v>
      </c>
      <c r="M1644" s="79" t="str">
        <f aca="false">IF(L1644="Tidak dibuka","–",IF(F1644="","(tanpa age group)",F1644)&amp;"  "&amp;IF(H1644="","?",H1644)&amp;"/"&amp;IF(G1644="","?",G1644)&amp;CHAR(10)&amp;IF(K1644="","coach: –","coach: "&amp;K1644))</f>
        <v>Baby  0/5
coach: –</v>
      </c>
    </row>
    <row r="1645" customFormat="false" ht="22.35" hidden="false" customHeight="false" outlineLevel="0" collapsed="false">
      <c r="A1645" s="76" t="str">
        <f aca="false">B1645&amp;"|"&amp;C1645&amp;"|"&amp;D1645&amp;"|"&amp;E1645</f>
        <v>BTU|1|Jumat|08:00</v>
      </c>
      <c r="B1645" s="76" t="s">
        <v>69</v>
      </c>
      <c r="C1645" s="76" t="n">
        <v>1</v>
      </c>
      <c r="D1645" s="76" t="s">
        <v>94</v>
      </c>
      <c r="E1645" s="76" t="s">
        <v>110</v>
      </c>
      <c r="F1645" s="77" t="s">
        <v>242</v>
      </c>
      <c r="G1645" s="77" t="n">
        <v>5</v>
      </c>
      <c r="H1645" s="77" t="n">
        <v>0</v>
      </c>
      <c r="I1645" s="76" t="n">
        <f aca="false">IF(AND(ISNUMBER(G1645),ISNUMBER(H1645)),MAX(G1645-H1645,0),"")</f>
        <v>5</v>
      </c>
      <c r="J1645" s="78" t="n">
        <f aca="false">IF(AND(ISNUMBER(G1645),ISNUMBER(H1645)),IF(G1645&gt;0,H1645/G1645,""),"")</f>
        <v>0</v>
      </c>
      <c r="K1645" s="77"/>
      <c r="L1645" s="76" t="str">
        <f aca="false">IF(OR(G1645="",H1645=""),"Data tidak lengkap",IF(AND(G1645=0,H1645=0),IF(AND(F1645="",K1645=""),"Tidak dibuka","Tutup"),IF(H1645&gt;G1645,"Lebih kapasitas",IF(H1645=G1645,"Penuh",IF(H1645=0,IF(F1645="","Slot kosong","Belum terisi"),"Sebagian")))))</f>
        <v>Belum terisi</v>
      </c>
      <c r="M1645" s="79" t="str">
        <f aca="false">IF(L1645="Tidak dibuka","–",IF(F1645="","(tanpa age group)",F1645)&amp;"  "&amp;IF(H1645="","?",H1645)&amp;"/"&amp;IF(G1645="","?",G1645)&amp;CHAR(10)&amp;IF(K1645="","coach: –","coach: "&amp;K1645))</f>
        <v>Baby  0/5
coach: –</v>
      </c>
    </row>
    <row r="1646" customFormat="false" ht="22.35" hidden="false" customHeight="false" outlineLevel="0" collapsed="false">
      <c r="A1646" s="76" t="str">
        <f aca="false">B1646&amp;"|"&amp;C1646&amp;"|"&amp;D1646&amp;"|"&amp;E1646</f>
        <v>BTU|1|Jumat|08:45</v>
      </c>
      <c r="B1646" s="76" t="s">
        <v>69</v>
      </c>
      <c r="C1646" s="76" t="n">
        <v>1</v>
      </c>
      <c r="D1646" s="76" t="s">
        <v>94</v>
      </c>
      <c r="E1646" s="76" t="s">
        <v>111</v>
      </c>
      <c r="F1646" s="77" t="s">
        <v>242</v>
      </c>
      <c r="G1646" s="77" t="n">
        <v>5</v>
      </c>
      <c r="H1646" s="77" t="n">
        <v>1</v>
      </c>
      <c r="I1646" s="76" t="n">
        <f aca="false">IF(AND(ISNUMBER(G1646),ISNUMBER(H1646)),MAX(G1646-H1646,0),"")</f>
        <v>4</v>
      </c>
      <c r="J1646" s="78" t="n">
        <f aca="false">IF(AND(ISNUMBER(G1646),ISNUMBER(H1646)),IF(G1646&gt;0,H1646/G1646,""),"")</f>
        <v>0.2</v>
      </c>
      <c r="K1646" s="77" t="s">
        <v>434</v>
      </c>
      <c r="L1646" s="76" t="str">
        <f aca="false">IF(OR(G1646="",H1646=""),"Data tidak lengkap",IF(AND(G1646=0,H1646=0),IF(AND(F1646="",K1646=""),"Tidak dibuka","Tutup"),IF(H1646&gt;G1646,"Lebih kapasitas",IF(H1646=G1646,"Penuh",IF(H1646=0,IF(F1646="","Slot kosong","Belum terisi"),"Sebagian")))))</f>
        <v>Sebagian</v>
      </c>
      <c r="M1646" s="79" t="str">
        <f aca="false">IF(L1646="Tidak dibuka","–",IF(F1646="","(tanpa age group)",F1646)&amp;"  "&amp;IF(H1646="","?",H1646)&amp;"/"&amp;IF(G1646="","?",G1646)&amp;CHAR(10)&amp;IF(K1646="","coach: –","coach: "&amp;K1646))</f>
        <v>Baby  1/5
coach: Alfi</v>
      </c>
    </row>
    <row r="1647" customFormat="false" ht="22.35" hidden="false" customHeight="false" outlineLevel="0" collapsed="false">
      <c r="A1647" s="76" t="str">
        <f aca="false">B1647&amp;"|"&amp;C1647&amp;"|"&amp;D1647&amp;"|"&amp;E1647</f>
        <v>BTU|1|Jumat|09:30</v>
      </c>
      <c r="B1647" s="76" t="s">
        <v>69</v>
      </c>
      <c r="C1647" s="76" t="n">
        <v>1</v>
      </c>
      <c r="D1647" s="76" t="s">
        <v>94</v>
      </c>
      <c r="E1647" s="76" t="s">
        <v>112</v>
      </c>
      <c r="F1647" s="77" t="s">
        <v>242</v>
      </c>
      <c r="G1647" s="77" t="n">
        <v>5</v>
      </c>
      <c r="H1647" s="77" t="n">
        <v>0</v>
      </c>
      <c r="I1647" s="76" t="n">
        <f aca="false">IF(AND(ISNUMBER(G1647),ISNUMBER(H1647)),MAX(G1647-H1647,0),"")</f>
        <v>5</v>
      </c>
      <c r="J1647" s="78" t="n">
        <f aca="false">IF(AND(ISNUMBER(G1647),ISNUMBER(H1647)),IF(G1647&gt;0,H1647/G1647,""),"")</f>
        <v>0</v>
      </c>
      <c r="K1647" s="77"/>
      <c r="L1647" s="76" t="str">
        <f aca="false">IF(OR(G1647="",H1647=""),"Data tidak lengkap",IF(AND(G1647=0,H1647=0),IF(AND(F1647="",K1647=""),"Tidak dibuka","Tutup"),IF(H1647&gt;G1647,"Lebih kapasitas",IF(H1647=G1647,"Penuh",IF(H1647=0,IF(F1647="","Slot kosong","Belum terisi"),"Sebagian")))))</f>
        <v>Belum terisi</v>
      </c>
      <c r="M1647" s="79" t="str">
        <f aca="false">IF(L1647="Tidak dibuka","–",IF(F1647="","(tanpa age group)",F1647)&amp;"  "&amp;IF(H1647="","?",H1647)&amp;"/"&amp;IF(G1647="","?",G1647)&amp;CHAR(10)&amp;IF(K1647="","coach: –","coach: "&amp;K1647))</f>
        <v>Baby  0/5
coach: –</v>
      </c>
    </row>
    <row r="1648" customFormat="false" ht="22.35" hidden="false" customHeight="false" outlineLevel="0" collapsed="false">
      <c r="A1648" s="76" t="str">
        <f aca="false">B1648&amp;"|"&amp;C1648&amp;"|"&amp;D1648&amp;"|"&amp;E1648</f>
        <v>BTU|1|Jumat|10:15</v>
      </c>
      <c r="B1648" s="76" t="s">
        <v>69</v>
      </c>
      <c r="C1648" s="76" t="n">
        <v>1</v>
      </c>
      <c r="D1648" s="76" t="s">
        <v>94</v>
      </c>
      <c r="E1648" s="76" t="s">
        <v>113</v>
      </c>
      <c r="F1648" s="77" t="s">
        <v>242</v>
      </c>
      <c r="G1648" s="77" t="n">
        <v>5</v>
      </c>
      <c r="H1648" s="77" t="n">
        <v>0</v>
      </c>
      <c r="I1648" s="76" t="n">
        <f aca="false">IF(AND(ISNUMBER(G1648),ISNUMBER(H1648)),MAX(G1648-H1648,0),"")</f>
        <v>5</v>
      </c>
      <c r="J1648" s="78" t="n">
        <f aca="false">IF(AND(ISNUMBER(G1648),ISNUMBER(H1648)),IF(G1648&gt;0,H1648/G1648,""),"")</f>
        <v>0</v>
      </c>
      <c r="K1648" s="77"/>
      <c r="L1648" s="76" t="str">
        <f aca="false">IF(OR(G1648="",H1648=""),"Data tidak lengkap",IF(AND(G1648=0,H1648=0),IF(AND(F1648="",K1648=""),"Tidak dibuka","Tutup"),IF(H1648&gt;G1648,"Lebih kapasitas",IF(H1648=G1648,"Penuh",IF(H1648=0,IF(F1648="","Slot kosong","Belum terisi"),"Sebagian")))))</f>
        <v>Belum terisi</v>
      </c>
      <c r="M1648" s="79" t="str">
        <f aca="false">IF(L1648="Tidak dibuka","–",IF(F1648="","(tanpa age group)",F1648)&amp;"  "&amp;IF(H1648="","?",H1648)&amp;"/"&amp;IF(G1648="","?",G1648)&amp;CHAR(10)&amp;IF(K1648="","coach: –","coach: "&amp;K1648))</f>
        <v>Baby  0/5
coach: –</v>
      </c>
    </row>
    <row r="1649" customFormat="false" ht="22.35" hidden="false" customHeight="false" outlineLevel="0" collapsed="false">
      <c r="A1649" s="76" t="str">
        <f aca="false">B1649&amp;"|"&amp;C1649&amp;"|"&amp;D1649&amp;"|"&amp;E1649</f>
        <v>BTU|1|Jumat|11:00</v>
      </c>
      <c r="B1649" s="76" t="s">
        <v>69</v>
      </c>
      <c r="C1649" s="76" t="n">
        <v>1</v>
      </c>
      <c r="D1649" s="76" t="s">
        <v>94</v>
      </c>
      <c r="E1649" s="76" t="s">
        <v>114</v>
      </c>
      <c r="F1649" s="77" t="s">
        <v>242</v>
      </c>
      <c r="G1649" s="77" t="n">
        <v>5</v>
      </c>
      <c r="H1649" s="77" t="n">
        <v>0</v>
      </c>
      <c r="I1649" s="76" t="n">
        <f aca="false">IF(AND(ISNUMBER(G1649),ISNUMBER(H1649)),MAX(G1649-H1649,0),"")</f>
        <v>5</v>
      </c>
      <c r="J1649" s="78" t="n">
        <f aca="false">IF(AND(ISNUMBER(G1649),ISNUMBER(H1649)),IF(G1649&gt;0,H1649/G1649,""),"")</f>
        <v>0</v>
      </c>
      <c r="K1649" s="77"/>
      <c r="L1649" s="76" t="str">
        <f aca="false">IF(OR(G1649="",H1649=""),"Data tidak lengkap",IF(AND(G1649=0,H1649=0),IF(AND(F1649="",K1649=""),"Tidak dibuka","Tutup"),IF(H1649&gt;G1649,"Lebih kapasitas",IF(H1649=G1649,"Penuh",IF(H1649=0,IF(F1649="","Slot kosong","Belum terisi"),"Sebagian")))))</f>
        <v>Belum terisi</v>
      </c>
      <c r="M1649" s="79" t="str">
        <f aca="false">IF(L1649="Tidak dibuka","–",IF(F1649="","(tanpa age group)",F1649)&amp;"  "&amp;IF(H1649="","?",H1649)&amp;"/"&amp;IF(G1649="","?",G1649)&amp;CHAR(10)&amp;IF(K1649="","coach: –","coach: "&amp;K1649))</f>
        <v>Baby  0/5
coach: –</v>
      </c>
    </row>
    <row r="1650" customFormat="false" ht="22.35" hidden="false" customHeight="false" outlineLevel="0" collapsed="false">
      <c r="A1650" s="76" t="str">
        <f aca="false">B1650&amp;"|"&amp;C1650&amp;"|"&amp;D1650&amp;"|"&amp;E1650</f>
        <v>BTU|1|Jumat|11:45</v>
      </c>
      <c r="B1650" s="76" t="s">
        <v>69</v>
      </c>
      <c r="C1650" s="76" t="n">
        <v>1</v>
      </c>
      <c r="D1650" s="76" t="s">
        <v>94</v>
      </c>
      <c r="E1650" s="76" t="s">
        <v>115</v>
      </c>
      <c r="F1650" s="77" t="s">
        <v>242</v>
      </c>
      <c r="G1650" s="77" t="n">
        <v>5</v>
      </c>
      <c r="H1650" s="77" t="n">
        <v>0</v>
      </c>
      <c r="I1650" s="76" t="n">
        <f aca="false">IF(AND(ISNUMBER(G1650),ISNUMBER(H1650)),MAX(G1650-H1650,0),"")</f>
        <v>5</v>
      </c>
      <c r="J1650" s="78" t="n">
        <f aca="false">IF(AND(ISNUMBER(G1650),ISNUMBER(H1650)),IF(G1650&gt;0,H1650/G1650,""),"")</f>
        <v>0</v>
      </c>
      <c r="K1650" s="77"/>
      <c r="L1650" s="76" t="str">
        <f aca="false">IF(OR(G1650="",H1650=""),"Data tidak lengkap",IF(AND(G1650=0,H1650=0),IF(AND(F1650="",K1650=""),"Tidak dibuka","Tutup"),IF(H1650&gt;G1650,"Lebih kapasitas",IF(H1650=G1650,"Penuh",IF(H1650=0,IF(F1650="","Slot kosong","Belum terisi"),"Sebagian")))))</f>
        <v>Belum terisi</v>
      </c>
      <c r="M1650" s="79" t="str">
        <f aca="false">IF(L1650="Tidak dibuka","–",IF(F1650="","(tanpa age group)",F1650)&amp;"  "&amp;IF(H1650="","?",H1650)&amp;"/"&amp;IF(G1650="","?",G1650)&amp;CHAR(10)&amp;IF(K1650="","coach: –","coach: "&amp;K1650))</f>
        <v>Baby  0/5
coach: –</v>
      </c>
    </row>
    <row r="1651" customFormat="false" ht="22.35" hidden="false" customHeight="false" outlineLevel="0" collapsed="false">
      <c r="A1651" s="76" t="str">
        <f aca="false">B1651&amp;"|"&amp;C1651&amp;"|"&amp;D1651&amp;"|"&amp;E1651</f>
        <v>BTU|1|Jumat|13:15</v>
      </c>
      <c r="B1651" s="76" t="s">
        <v>69</v>
      </c>
      <c r="C1651" s="76" t="n">
        <v>1</v>
      </c>
      <c r="D1651" s="76" t="s">
        <v>94</v>
      </c>
      <c r="E1651" s="76" t="s">
        <v>116</v>
      </c>
      <c r="F1651" s="77" t="s">
        <v>242</v>
      </c>
      <c r="G1651" s="77" t="n">
        <v>5</v>
      </c>
      <c r="H1651" s="77" t="n">
        <v>0</v>
      </c>
      <c r="I1651" s="76" t="n">
        <f aca="false">IF(AND(ISNUMBER(G1651),ISNUMBER(H1651)),MAX(G1651-H1651,0),"")</f>
        <v>5</v>
      </c>
      <c r="J1651" s="78" t="n">
        <f aca="false">IF(AND(ISNUMBER(G1651),ISNUMBER(H1651)),IF(G1651&gt;0,H1651/G1651,""),"")</f>
        <v>0</v>
      </c>
      <c r="K1651" s="77"/>
      <c r="L1651" s="76" t="str">
        <f aca="false">IF(OR(G1651="",H1651=""),"Data tidak lengkap",IF(AND(G1651=0,H1651=0),IF(AND(F1651="",K1651=""),"Tidak dibuka","Tutup"),IF(H1651&gt;G1651,"Lebih kapasitas",IF(H1651=G1651,"Penuh",IF(H1651=0,IF(F1651="","Slot kosong","Belum terisi"),"Sebagian")))))</f>
        <v>Belum terisi</v>
      </c>
      <c r="M1651" s="79" t="str">
        <f aca="false">IF(L1651="Tidak dibuka","–",IF(F1651="","(tanpa age group)",F1651)&amp;"  "&amp;IF(H1651="","?",H1651)&amp;"/"&amp;IF(G1651="","?",G1651)&amp;CHAR(10)&amp;IF(K1651="","coach: –","coach: "&amp;K1651))</f>
        <v>Baby  0/5
coach: –</v>
      </c>
    </row>
    <row r="1652" customFormat="false" ht="22.35" hidden="false" customHeight="false" outlineLevel="0" collapsed="false">
      <c r="A1652" s="76" t="str">
        <f aca="false">B1652&amp;"|"&amp;C1652&amp;"|"&amp;D1652&amp;"|"&amp;E1652</f>
        <v>BTU|1|Jumat|14:00</v>
      </c>
      <c r="B1652" s="76" t="s">
        <v>69</v>
      </c>
      <c r="C1652" s="76" t="n">
        <v>1</v>
      </c>
      <c r="D1652" s="76" t="s">
        <v>94</v>
      </c>
      <c r="E1652" s="76" t="s">
        <v>117</v>
      </c>
      <c r="F1652" s="77" t="s">
        <v>242</v>
      </c>
      <c r="G1652" s="77" t="n">
        <v>5</v>
      </c>
      <c r="H1652" s="77" t="n">
        <v>0</v>
      </c>
      <c r="I1652" s="76" t="n">
        <f aca="false">IF(AND(ISNUMBER(G1652),ISNUMBER(H1652)),MAX(G1652-H1652,0),"")</f>
        <v>5</v>
      </c>
      <c r="J1652" s="78" t="n">
        <f aca="false">IF(AND(ISNUMBER(G1652),ISNUMBER(H1652)),IF(G1652&gt;0,H1652/G1652,""),"")</f>
        <v>0</v>
      </c>
      <c r="K1652" s="77"/>
      <c r="L1652" s="76" t="str">
        <f aca="false">IF(OR(G1652="",H1652=""),"Data tidak lengkap",IF(AND(G1652=0,H1652=0),IF(AND(F1652="",K1652=""),"Tidak dibuka","Tutup"),IF(H1652&gt;G1652,"Lebih kapasitas",IF(H1652=G1652,"Penuh",IF(H1652=0,IF(F1652="","Slot kosong","Belum terisi"),"Sebagian")))))</f>
        <v>Belum terisi</v>
      </c>
      <c r="M1652" s="79" t="str">
        <f aca="false">IF(L1652="Tidak dibuka","–",IF(F1652="","(tanpa age group)",F1652)&amp;"  "&amp;IF(H1652="","?",H1652)&amp;"/"&amp;IF(G1652="","?",G1652)&amp;CHAR(10)&amp;IF(K1652="","coach: –","coach: "&amp;K1652))</f>
        <v>Baby  0/5
coach: –</v>
      </c>
    </row>
    <row r="1653" customFormat="false" ht="22.35" hidden="false" customHeight="false" outlineLevel="0" collapsed="false">
      <c r="A1653" s="76" t="str">
        <f aca="false">B1653&amp;"|"&amp;C1653&amp;"|"&amp;D1653&amp;"|"&amp;E1653</f>
        <v>BTU|1|Jumat|14:45</v>
      </c>
      <c r="B1653" s="76" t="s">
        <v>69</v>
      </c>
      <c r="C1653" s="76" t="n">
        <v>1</v>
      </c>
      <c r="D1653" s="76" t="s">
        <v>94</v>
      </c>
      <c r="E1653" s="76" t="s">
        <v>118</v>
      </c>
      <c r="F1653" s="77" t="s">
        <v>242</v>
      </c>
      <c r="G1653" s="77" t="n">
        <v>5</v>
      </c>
      <c r="H1653" s="77" t="n">
        <v>0</v>
      </c>
      <c r="I1653" s="76" t="n">
        <f aca="false">IF(AND(ISNUMBER(G1653),ISNUMBER(H1653)),MAX(G1653-H1653,0),"")</f>
        <v>5</v>
      </c>
      <c r="J1653" s="78" t="n">
        <f aca="false">IF(AND(ISNUMBER(G1653),ISNUMBER(H1653)),IF(G1653&gt;0,H1653/G1653,""),"")</f>
        <v>0</v>
      </c>
      <c r="K1653" s="77"/>
      <c r="L1653" s="76" t="str">
        <f aca="false">IF(OR(G1653="",H1653=""),"Data tidak lengkap",IF(AND(G1653=0,H1653=0),IF(AND(F1653="",K1653=""),"Tidak dibuka","Tutup"),IF(H1653&gt;G1653,"Lebih kapasitas",IF(H1653=G1653,"Penuh",IF(H1653=0,IF(F1653="","Slot kosong","Belum terisi"),"Sebagian")))))</f>
        <v>Belum terisi</v>
      </c>
      <c r="M1653" s="79" t="str">
        <f aca="false">IF(L1653="Tidak dibuka","–",IF(F1653="","(tanpa age group)",F1653)&amp;"  "&amp;IF(H1653="","?",H1653)&amp;"/"&amp;IF(G1653="","?",G1653)&amp;CHAR(10)&amp;IF(K1653="","coach: –","coach: "&amp;K1653))</f>
        <v>Baby  0/5
coach: –</v>
      </c>
    </row>
    <row r="1654" customFormat="false" ht="22.35" hidden="false" customHeight="false" outlineLevel="0" collapsed="false">
      <c r="A1654" s="76" t="str">
        <f aca="false">B1654&amp;"|"&amp;C1654&amp;"|"&amp;D1654&amp;"|"&amp;E1654</f>
        <v>BTU|1|Jumat|15:30</v>
      </c>
      <c r="B1654" s="76" t="s">
        <v>69</v>
      </c>
      <c r="C1654" s="76" t="n">
        <v>1</v>
      </c>
      <c r="D1654" s="76" t="s">
        <v>94</v>
      </c>
      <c r="E1654" s="76" t="s">
        <v>119</v>
      </c>
      <c r="F1654" s="77" t="s">
        <v>242</v>
      </c>
      <c r="G1654" s="77" t="n">
        <v>5</v>
      </c>
      <c r="H1654" s="77" t="n">
        <v>0</v>
      </c>
      <c r="I1654" s="76" t="n">
        <f aca="false">IF(AND(ISNUMBER(G1654),ISNUMBER(H1654)),MAX(G1654-H1654,0),"")</f>
        <v>5</v>
      </c>
      <c r="J1654" s="78" t="n">
        <f aca="false">IF(AND(ISNUMBER(G1654),ISNUMBER(H1654)),IF(G1654&gt;0,H1654/G1654,""),"")</f>
        <v>0</v>
      </c>
      <c r="K1654" s="77"/>
      <c r="L1654" s="76" t="str">
        <f aca="false">IF(OR(G1654="",H1654=""),"Data tidak lengkap",IF(AND(G1654=0,H1654=0),IF(AND(F1654="",K1654=""),"Tidak dibuka","Tutup"),IF(H1654&gt;G1654,"Lebih kapasitas",IF(H1654=G1654,"Penuh",IF(H1654=0,IF(F1654="","Slot kosong","Belum terisi"),"Sebagian")))))</f>
        <v>Belum terisi</v>
      </c>
      <c r="M1654" s="79" t="str">
        <f aca="false">IF(L1654="Tidak dibuka","–",IF(F1654="","(tanpa age group)",F1654)&amp;"  "&amp;IF(H1654="","?",H1654)&amp;"/"&amp;IF(G1654="","?",G1654)&amp;CHAR(10)&amp;IF(K1654="","coach: –","coach: "&amp;K1654))</f>
        <v>Baby  0/5
coach: –</v>
      </c>
    </row>
    <row r="1655" customFormat="false" ht="22.35" hidden="false" customHeight="false" outlineLevel="0" collapsed="false">
      <c r="A1655" s="76" t="str">
        <f aca="false">B1655&amp;"|"&amp;C1655&amp;"|"&amp;D1655&amp;"|"&amp;E1655</f>
        <v>BTU|1|Jumat|16:15</v>
      </c>
      <c r="B1655" s="76" t="s">
        <v>69</v>
      </c>
      <c r="C1655" s="76" t="n">
        <v>1</v>
      </c>
      <c r="D1655" s="76" t="s">
        <v>94</v>
      </c>
      <c r="E1655" s="76" t="s">
        <v>120</v>
      </c>
      <c r="F1655" s="77" t="s">
        <v>242</v>
      </c>
      <c r="G1655" s="77" t="n">
        <v>5</v>
      </c>
      <c r="H1655" s="77" t="n">
        <v>0</v>
      </c>
      <c r="I1655" s="76" t="n">
        <f aca="false">IF(AND(ISNUMBER(G1655),ISNUMBER(H1655)),MAX(G1655-H1655,0),"")</f>
        <v>5</v>
      </c>
      <c r="J1655" s="78" t="n">
        <f aca="false">IF(AND(ISNUMBER(G1655),ISNUMBER(H1655)),IF(G1655&gt;0,H1655/G1655,""),"")</f>
        <v>0</v>
      </c>
      <c r="K1655" s="77"/>
      <c r="L1655" s="76" t="str">
        <f aca="false">IF(OR(G1655="",H1655=""),"Data tidak lengkap",IF(AND(G1655=0,H1655=0),IF(AND(F1655="",K1655=""),"Tidak dibuka","Tutup"),IF(H1655&gt;G1655,"Lebih kapasitas",IF(H1655=G1655,"Penuh",IF(H1655=0,IF(F1655="","Slot kosong","Belum terisi"),"Sebagian")))))</f>
        <v>Belum terisi</v>
      </c>
      <c r="M1655" s="79" t="str">
        <f aca="false">IF(L1655="Tidak dibuka","–",IF(F1655="","(tanpa age group)",F1655)&amp;"  "&amp;IF(H1655="","?",H1655)&amp;"/"&amp;IF(G1655="","?",G1655)&amp;CHAR(10)&amp;IF(K1655="","coach: –","coach: "&amp;K1655))</f>
        <v>Baby  0/5
coach: –</v>
      </c>
    </row>
    <row r="1656" customFormat="false" ht="22.35" hidden="false" customHeight="false" outlineLevel="0" collapsed="false">
      <c r="A1656" s="76" t="str">
        <f aca="false">B1656&amp;"|"&amp;C1656&amp;"|"&amp;D1656&amp;"|"&amp;E1656</f>
        <v>BTU|1|Jumat|17:00</v>
      </c>
      <c r="B1656" s="76" t="s">
        <v>69</v>
      </c>
      <c r="C1656" s="76" t="n">
        <v>1</v>
      </c>
      <c r="D1656" s="76" t="s">
        <v>94</v>
      </c>
      <c r="E1656" s="76" t="s">
        <v>121</v>
      </c>
      <c r="F1656" s="77" t="s">
        <v>242</v>
      </c>
      <c r="G1656" s="77" t="n">
        <v>5</v>
      </c>
      <c r="H1656" s="77" t="n">
        <v>0</v>
      </c>
      <c r="I1656" s="76" t="n">
        <f aca="false">IF(AND(ISNUMBER(G1656),ISNUMBER(H1656)),MAX(G1656-H1656,0),"")</f>
        <v>5</v>
      </c>
      <c r="J1656" s="78" t="n">
        <f aca="false">IF(AND(ISNUMBER(G1656),ISNUMBER(H1656)),IF(G1656&gt;0,H1656/G1656,""),"")</f>
        <v>0</v>
      </c>
      <c r="K1656" s="77"/>
      <c r="L1656" s="76" t="str">
        <f aca="false">IF(OR(G1656="",H1656=""),"Data tidak lengkap",IF(AND(G1656=0,H1656=0),IF(AND(F1656="",K1656=""),"Tidak dibuka","Tutup"),IF(H1656&gt;G1656,"Lebih kapasitas",IF(H1656=G1656,"Penuh",IF(H1656=0,IF(F1656="","Slot kosong","Belum terisi"),"Sebagian")))))</f>
        <v>Belum terisi</v>
      </c>
      <c r="M1656" s="79" t="str">
        <f aca="false">IF(L1656="Tidak dibuka","–",IF(F1656="","(tanpa age group)",F1656)&amp;"  "&amp;IF(H1656="","?",H1656)&amp;"/"&amp;IF(G1656="","?",G1656)&amp;CHAR(10)&amp;IF(K1656="","coach: –","coach: "&amp;K1656))</f>
        <v>Baby  0/5
coach: –</v>
      </c>
    </row>
    <row r="1657" customFormat="false" ht="22.35" hidden="false" customHeight="false" outlineLevel="0" collapsed="false">
      <c r="A1657" s="76" t="str">
        <f aca="false">B1657&amp;"|"&amp;C1657&amp;"|"&amp;D1657&amp;"|"&amp;E1657</f>
        <v>BTU|1|Sabtu|08:00</v>
      </c>
      <c r="B1657" s="76" t="s">
        <v>69</v>
      </c>
      <c r="C1657" s="76" t="n">
        <v>1</v>
      </c>
      <c r="D1657" s="76" t="s">
        <v>95</v>
      </c>
      <c r="E1657" s="76" t="s">
        <v>110</v>
      </c>
      <c r="F1657" s="77" t="s">
        <v>242</v>
      </c>
      <c r="G1657" s="77" t="n">
        <v>5</v>
      </c>
      <c r="H1657" s="77" t="n">
        <v>0</v>
      </c>
      <c r="I1657" s="76" t="n">
        <f aca="false">IF(AND(ISNUMBER(G1657),ISNUMBER(H1657)),MAX(G1657-H1657,0),"")</f>
        <v>5</v>
      </c>
      <c r="J1657" s="78" t="n">
        <f aca="false">IF(AND(ISNUMBER(G1657),ISNUMBER(H1657)),IF(G1657&gt;0,H1657/G1657,""),"")</f>
        <v>0</v>
      </c>
      <c r="K1657" s="77"/>
      <c r="L1657" s="76" t="str">
        <f aca="false">IF(OR(G1657="",H1657=""),"Data tidak lengkap",IF(AND(G1657=0,H1657=0),IF(AND(F1657="",K1657=""),"Tidak dibuka","Tutup"),IF(H1657&gt;G1657,"Lebih kapasitas",IF(H1657=G1657,"Penuh",IF(H1657=0,IF(F1657="","Slot kosong","Belum terisi"),"Sebagian")))))</f>
        <v>Belum terisi</v>
      </c>
      <c r="M1657" s="79" t="str">
        <f aca="false">IF(L1657="Tidak dibuka","–",IF(F1657="","(tanpa age group)",F1657)&amp;"  "&amp;IF(H1657="","?",H1657)&amp;"/"&amp;IF(G1657="","?",G1657)&amp;CHAR(10)&amp;IF(K1657="","coach: –","coach: "&amp;K1657))</f>
        <v>Baby  0/5
coach: –</v>
      </c>
    </row>
    <row r="1658" customFormat="false" ht="22.35" hidden="false" customHeight="false" outlineLevel="0" collapsed="false">
      <c r="A1658" s="76" t="str">
        <f aca="false">B1658&amp;"|"&amp;C1658&amp;"|"&amp;D1658&amp;"|"&amp;E1658</f>
        <v>BTU|1|Sabtu|08:45</v>
      </c>
      <c r="B1658" s="76" t="s">
        <v>69</v>
      </c>
      <c r="C1658" s="76" t="n">
        <v>1</v>
      </c>
      <c r="D1658" s="76" t="s">
        <v>95</v>
      </c>
      <c r="E1658" s="76" t="s">
        <v>111</v>
      </c>
      <c r="F1658" s="77" t="s">
        <v>242</v>
      </c>
      <c r="G1658" s="77" t="n">
        <v>5</v>
      </c>
      <c r="H1658" s="77" t="n">
        <v>1</v>
      </c>
      <c r="I1658" s="76" t="n">
        <f aca="false">IF(AND(ISNUMBER(G1658),ISNUMBER(H1658)),MAX(G1658-H1658,0),"")</f>
        <v>4</v>
      </c>
      <c r="J1658" s="78" t="n">
        <f aca="false">IF(AND(ISNUMBER(G1658),ISNUMBER(H1658)),IF(G1658&gt;0,H1658/G1658,""),"")</f>
        <v>0.2</v>
      </c>
      <c r="K1658" s="77" t="s">
        <v>441</v>
      </c>
      <c r="L1658" s="76" t="str">
        <f aca="false">IF(OR(G1658="",H1658=""),"Data tidak lengkap",IF(AND(G1658=0,H1658=0),IF(AND(F1658="",K1658=""),"Tidak dibuka","Tutup"),IF(H1658&gt;G1658,"Lebih kapasitas",IF(H1658=G1658,"Penuh",IF(H1658=0,IF(F1658="","Slot kosong","Belum terisi"),"Sebagian")))))</f>
        <v>Sebagian</v>
      </c>
      <c r="M1658" s="79" t="str">
        <f aca="false">IF(L1658="Tidak dibuka","–",IF(F1658="","(tanpa age group)",F1658)&amp;"  "&amp;IF(H1658="","?",H1658)&amp;"/"&amp;IF(G1658="","?",G1658)&amp;CHAR(10)&amp;IF(K1658="","coach: –","coach: "&amp;K1658))</f>
        <v>Baby  1/5
coach: Tara</v>
      </c>
    </row>
    <row r="1659" customFormat="false" ht="22.35" hidden="false" customHeight="false" outlineLevel="0" collapsed="false">
      <c r="A1659" s="76" t="str">
        <f aca="false">B1659&amp;"|"&amp;C1659&amp;"|"&amp;D1659&amp;"|"&amp;E1659</f>
        <v>BTU|1|Sabtu|09:30</v>
      </c>
      <c r="B1659" s="76" t="s">
        <v>69</v>
      </c>
      <c r="C1659" s="76" t="n">
        <v>1</v>
      </c>
      <c r="D1659" s="76" t="s">
        <v>95</v>
      </c>
      <c r="E1659" s="76" t="s">
        <v>112</v>
      </c>
      <c r="F1659" s="77" t="s">
        <v>242</v>
      </c>
      <c r="G1659" s="77" t="n">
        <v>5</v>
      </c>
      <c r="H1659" s="77" t="n">
        <v>5</v>
      </c>
      <c r="I1659" s="76" t="n">
        <f aca="false">IF(AND(ISNUMBER(G1659),ISNUMBER(H1659)),MAX(G1659-H1659,0),"")</f>
        <v>0</v>
      </c>
      <c r="J1659" s="78" t="n">
        <f aca="false">IF(AND(ISNUMBER(G1659),ISNUMBER(H1659)),IF(G1659&gt;0,H1659/G1659,""),"")</f>
        <v>1</v>
      </c>
      <c r="K1659" s="77" t="s">
        <v>433</v>
      </c>
      <c r="L1659" s="76" t="str">
        <f aca="false">IF(OR(G1659="",H1659=""),"Data tidak lengkap",IF(AND(G1659=0,H1659=0),IF(AND(F1659="",K1659=""),"Tidak dibuka","Tutup"),IF(H1659&gt;G1659,"Lebih kapasitas",IF(H1659=G1659,"Penuh",IF(H1659=0,IF(F1659="","Slot kosong","Belum terisi"),"Sebagian")))))</f>
        <v>Penuh</v>
      </c>
      <c r="M1659" s="79" t="str">
        <f aca="false">IF(L1659="Tidak dibuka","–",IF(F1659="","(tanpa age group)",F1659)&amp;"  "&amp;IF(H1659="","?",H1659)&amp;"/"&amp;IF(G1659="","?",G1659)&amp;CHAR(10)&amp;IF(K1659="","coach: –","coach: "&amp;K1659))</f>
        <v>Baby  5/5
coach: Shofi</v>
      </c>
    </row>
    <row r="1660" customFormat="false" ht="22.35" hidden="false" customHeight="false" outlineLevel="0" collapsed="false">
      <c r="A1660" s="76" t="str">
        <f aca="false">B1660&amp;"|"&amp;C1660&amp;"|"&amp;D1660&amp;"|"&amp;E1660</f>
        <v>BTU|1|Sabtu|10:15</v>
      </c>
      <c r="B1660" s="76" t="s">
        <v>69</v>
      </c>
      <c r="C1660" s="76" t="n">
        <v>1</v>
      </c>
      <c r="D1660" s="76" t="s">
        <v>95</v>
      </c>
      <c r="E1660" s="76" t="s">
        <v>113</v>
      </c>
      <c r="F1660" s="77" t="s">
        <v>242</v>
      </c>
      <c r="G1660" s="77" t="n">
        <v>5</v>
      </c>
      <c r="H1660" s="77" t="n">
        <v>0</v>
      </c>
      <c r="I1660" s="76" t="n">
        <f aca="false">IF(AND(ISNUMBER(G1660),ISNUMBER(H1660)),MAX(G1660-H1660,0),"")</f>
        <v>5</v>
      </c>
      <c r="J1660" s="78" t="n">
        <f aca="false">IF(AND(ISNUMBER(G1660),ISNUMBER(H1660)),IF(G1660&gt;0,H1660/G1660,""),"")</f>
        <v>0</v>
      </c>
      <c r="K1660" s="77"/>
      <c r="L1660" s="76" t="str">
        <f aca="false">IF(OR(G1660="",H1660=""),"Data tidak lengkap",IF(AND(G1660=0,H1660=0),IF(AND(F1660="",K1660=""),"Tidak dibuka","Tutup"),IF(H1660&gt;G1660,"Lebih kapasitas",IF(H1660=G1660,"Penuh",IF(H1660=0,IF(F1660="","Slot kosong","Belum terisi"),"Sebagian")))))</f>
        <v>Belum terisi</v>
      </c>
      <c r="M1660" s="79" t="str">
        <f aca="false">IF(L1660="Tidak dibuka","–",IF(F1660="","(tanpa age group)",F1660)&amp;"  "&amp;IF(H1660="","?",H1660)&amp;"/"&amp;IF(G1660="","?",G1660)&amp;CHAR(10)&amp;IF(K1660="","coach: –","coach: "&amp;K1660))</f>
        <v>Baby  0/5
coach: –</v>
      </c>
    </row>
    <row r="1661" customFormat="false" ht="22.35" hidden="false" customHeight="false" outlineLevel="0" collapsed="false">
      <c r="A1661" s="76" t="str">
        <f aca="false">B1661&amp;"|"&amp;C1661&amp;"|"&amp;D1661&amp;"|"&amp;E1661</f>
        <v>BTU|1|Sabtu|11:00</v>
      </c>
      <c r="B1661" s="76" t="s">
        <v>69</v>
      </c>
      <c r="C1661" s="76" t="n">
        <v>1</v>
      </c>
      <c r="D1661" s="76" t="s">
        <v>95</v>
      </c>
      <c r="E1661" s="76" t="s">
        <v>114</v>
      </c>
      <c r="F1661" s="77" t="s">
        <v>242</v>
      </c>
      <c r="G1661" s="77" t="n">
        <v>5</v>
      </c>
      <c r="H1661" s="77" t="n">
        <v>0</v>
      </c>
      <c r="I1661" s="76" t="n">
        <f aca="false">IF(AND(ISNUMBER(G1661),ISNUMBER(H1661)),MAX(G1661-H1661,0),"")</f>
        <v>5</v>
      </c>
      <c r="J1661" s="78" t="n">
        <f aca="false">IF(AND(ISNUMBER(G1661),ISNUMBER(H1661)),IF(G1661&gt;0,H1661/G1661,""),"")</f>
        <v>0</v>
      </c>
      <c r="K1661" s="77"/>
      <c r="L1661" s="76" t="str">
        <f aca="false">IF(OR(G1661="",H1661=""),"Data tidak lengkap",IF(AND(G1661=0,H1661=0),IF(AND(F1661="",K1661=""),"Tidak dibuka","Tutup"),IF(H1661&gt;G1661,"Lebih kapasitas",IF(H1661=G1661,"Penuh",IF(H1661=0,IF(F1661="","Slot kosong","Belum terisi"),"Sebagian")))))</f>
        <v>Belum terisi</v>
      </c>
      <c r="M1661" s="79" t="str">
        <f aca="false">IF(L1661="Tidak dibuka","–",IF(F1661="","(tanpa age group)",F1661)&amp;"  "&amp;IF(H1661="","?",H1661)&amp;"/"&amp;IF(G1661="","?",G1661)&amp;CHAR(10)&amp;IF(K1661="","coach: –","coach: "&amp;K1661))</f>
        <v>Baby  0/5
coach: –</v>
      </c>
    </row>
    <row r="1662" customFormat="false" ht="22.35" hidden="false" customHeight="false" outlineLevel="0" collapsed="false">
      <c r="A1662" s="76" t="str">
        <f aca="false">B1662&amp;"|"&amp;C1662&amp;"|"&amp;D1662&amp;"|"&amp;E1662</f>
        <v>BTU|1|Sabtu|11:45</v>
      </c>
      <c r="B1662" s="76" t="s">
        <v>69</v>
      </c>
      <c r="C1662" s="76" t="n">
        <v>1</v>
      </c>
      <c r="D1662" s="76" t="s">
        <v>95</v>
      </c>
      <c r="E1662" s="76" t="s">
        <v>115</v>
      </c>
      <c r="F1662" s="77" t="s">
        <v>242</v>
      </c>
      <c r="G1662" s="77" t="n">
        <v>5</v>
      </c>
      <c r="H1662" s="77" t="n">
        <v>1</v>
      </c>
      <c r="I1662" s="76" t="n">
        <f aca="false">IF(AND(ISNUMBER(G1662),ISNUMBER(H1662)),MAX(G1662-H1662,0),"")</f>
        <v>4</v>
      </c>
      <c r="J1662" s="78" t="n">
        <f aca="false">IF(AND(ISNUMBER(G1662),ISNUMBER(H1662)),IF(G1662&gt;0,H1662/G1662,""),"")</f>
        <v>0.2</v>
      </c>
      <c r="K1662" s="77" t="s">
        <v>434</v>
      </c>
      <c r="L1662" s="76" t="str">
        <f aca="false">IF(OR(G1662="",H1662=""),"Data tidak lengkap",IF(AND(G1662=0,H1662=0),IF(AND(F1662="",K1662=""),"Tidak dibuka","Tutup"),IF(H1662&gt;G1662,"Lebih kapasitas",IF(H1662=G1662,"Penuh",IF(H1662=0,IF(F1662="","Slot kosong","Belum terisi"),"Sebagian")))))</f>
        <v>Sebagian</v>
      </c>
      <c r="M1662" s="79" t="str">
        <f aca="false">IF(L1662="Tidak dibuka","–",IF(F1662="","(tanpa age group)",F1662)&amp;"  "&amp;IF(H1662="","?",H1662)&amp;"/"&amp;IF(G1662="","?",G1662)&amp;CHAR(10)&amp;IF(K1662="","coach: –","coach: "&amp;K1662))</f>
        <v>Baby  1/5
coach: Alfi</v>
      </c>
    </row>
    <row r="1663" customFormat="false" ht="22.35" hidden="false" customHeight="false" outlineLevel="0" collapsed="false">
      <c r="A1663" s="76" t="str">
        <f aca="false">B1663&amp;"|"&amp;C1663&amp;"|"&amp;D1663&amp;"|"&amp;E1663</f>
        <v>BTU|1|Sabtu|13:15</v>
      </c>
      <c r="B1663" s="76" t="s">
        <v>69</v>
      </c>
      <c r="C1663" s="76" t="n">
        <v>1</v>
      </c>
      <c r="D1663" s="76" t="s">
        <v>95</v>
      </c>
      <c r="E1663" s="76" t="s">
        <v>116</v>
      </c>
      <c r="F1663" s="77" t="s">
        <v>242</v>
      </c>
      <c r="G1663" s="77" t="n">
        <v>5</v>
      </c>
      <c r="H1663" s="77" t="n">
        <v>2</v>
      </c>
      <c r="I1663" s="76" t="n">
        <f aca="false">IF(AND(ISNUMBER(G1663),ISNUMBER(H1663)),MAX(G1663-H1663,0),"")</f>
        <v>3</v>
      </c>
      <c r="J1663" s="78" t="n">
        <f aca="false">IF(AND(ISNUMBER(G1663),ISNUMBER(H1663)),IF(G1663&gt;0,H1663/G1663,""),"")</f>
        <v>0.4</v>
      </c>
      <c r="K1663" s="77" t="s">
        <v>433</v>
      </c>
      <c r="L1663" s="76" t="str">
        <f aca="false">IF(OR(G1663="",H1663=""),"Data tidak lengkap",IF(AND(G1663=0,H1663=0),IF(AND(F1663="",K1663=""),"Tidak dibuka","Tutup"),IF(H1663&gt;G1663,"Lebih kapasitas",IF(H1663=G1663,"Penuh",IF(H1663=0,IF(F1663="","Slot kosong","Belum terisi"),"Sebagian")))))</f>
        <v>Sebagian</v>
      </c>
      <c r="M1663" s="79" t="str">
        <f aca="false">IF(L1663="Tidak dibuka","–",IF(F1663="","(tanpa age group)",F1663)&amp;"  "&amp;IF(H1663="","?",H1663)&amp;"/"&amp;IF(G1663="","?",G1663)&amp;CHAR(10)&amp;IF(K1663="","coach: –","coach: "&amp;K1663))</f>
        <v>Baby  2/5
coach: Shofi</v>
      </c>
    </row>
    <row r="1664" customFormat="false" ht="22.35" hidden="false" customHeight="false" outlineLevel="0" collapsed="false">
      <c r="A1664" s="76" t="str">
        <f aca="false">B1664&amp;"|"&amp;C1664&amp;"|"&amp;D1664&amp;"|"&amp;E1664</f>
        <v>BTU|1|Sabtu|14:00</v>
      </c>
      <c r="B1664" s="76" t="s">
        <v>69</v>
      </c>
      <c r="C1664" s="76" t="n">
        <v>1</v>
      </c>
      <c r="D1664" s="76" t="s">
        <v>95</v>
      </c>
      <c r="E1664" s="76" t="s">
        <v>117</v>
      </c>
      <c r="F1664" s="77" t="s">
        <v>242</v>
      </c>
      <c r="G1664" s="77" t="n">
        <v>5</v>
      </c>
      <c r="H1664" s="77" t="n">
        <v>0</v>
      </c>
      <c r="I1664" s="76" t="n">
        <f aca="false">IF(AND(ISNUMBER(G1664),ISNUMBER(H1664)),MAX(G1664-H1664,0),"")</f>
        <v>5</v>
      </c>
      <c r="J1664" s="78" t="n">
        <f aca="false">IF(AND(ISNUMBER(G1664),ISNUMBER(H1664)),IF(G1664&gt;0,H1664/G1664,""),"")</f>
        <v>0</v>
      </c>
      <c r="K1664" s="77"/>
      <c r="L1664" s="76" t="str">
        <f aca="false">IF(OR(G1664="",H1664=""),"Data tidak lengkap",IF(AND(G1664=0,H1664=0),IF(AND(F1664="",K1664=""),"Tidak dibuka","Tutup"),IF(H1664&gt;G1664,"Lebih kapasitas",IF(H1664=G1664,"Penuh",IF(H1664=0,IF(F1664="","Slot kosong","Belum terisi"),"Sebagian")))))</f>
        <v>Belum terisi</v>
      </c>
      <c r="M1664" s="79" t="str">
        <f aca="false">IF(L1664="Tidak dibuka","–",IF(F1664="","(tanpa age group)",F1664)&amp;"  "&amp;IF(H1664="","?",H1664)&amp;"/"&amp;IF(G1664="","?",G1664)&amp;CHAR(10)&amp;IF(K1664="","coach: –","coach: "&amp;K1664))</f>
        <v>Baby  0/5
coach: –</v>
      </c>
    </row>
    <row r="1665" customFormat="false" ht="22.35" hidden="false" customHeight="false" outlineLevel="0" collapsed="false">
      <c r="A1665" s="76" t="str">
        <f aca="false">B1665&amp;"|"&amp;C1665&amp;"|"&amp;D1665&amp;"|"&amp;E1665</f>
        <v>BTU|1|Sabtu|14:45</v>
      </c>
      <c r="B1665" s="76" t="s">
        <v>69</v>
      </c>
      <c r="C1665" s="76" t="n">
        <v>1</v>
      </c>
      <c r="D1665" s="76" t="s">
        <v>95</v>
      </c>
      <c r="E1665" s="76" t="s">
        <v>118</v>
      </c>
      <c r="F1665" s="77" t="s">
        <v>242</v>
      </c>
      <c r="G1665" s="77" t="n">
        <v>5</v>
      </c>
      <c r="H1665" s="77" t="n">
        <v>0</v>
      </c>
      <c r="I1665" s="76" t="n">
        <f aca="false">IF(AND(ISNUMBER(G1665),ISNUMBER(H1665)),MAX(G1665-H1665,0),"")</f>
        <v>5</v>
      </c>
      <c r="J1665" s="78" t="n">
        <f aca="false">IF(AND(ISNUMBER(G1665),ISNUMBER(H1665)),IF(G1665&gt;0,H1665/G1665,""),"")</f>
        <v>0</v>
      </c>
      <c r="K1665" s="77"/>
      <c r="L1665" s="76" t="str">
        <f aca="false">IF(OR(G1665="",H1665=""),"Data tidak lengkap",IF(AND(G1665=0,H1665=0),IF(AND(F1665="",K1665=""),"Tidak dibuka","Tutup"),IF(H1665&gt;G1665,"Lebih kapasitas",IF(H1665=G1665,"Penuh",IF(H1665=0,IF(F1665="","Slot kosong","Belum terisi"),"Sebagian")))))</f>
        <v>Belum terisi</v>
      </c>
      <c r="M1665" s="79" t="str">
        <f aca="false">IF(L1665="Tidak dibuka","–",IF(F1665="","(tanpa age group)",F1665)&amp;"  "&amp;IF(H1665="","?",H1665)&amp;"/"&amp;IF(G1665="","?",G1665)&amp;CHAR(10)&amp;IF(K1665="","coach: –","coach: "&amp;K1665))</f>
        <v>Baby  0/5
coach: –</v>
      </c>
    </row>
    <row r="1666" customFormat="false" ht="22.35" hidden="false" customHeight="false" outlineLevel="0" collapsed="false">
      <c r="A1666" s="76" t="str">
        <f aca="false">B1666&amp;"|"&amp;C1666&amp;"|"&amp;D1666&amp;"|"&amp;E1666</f>
        <v>BTU|1|Sabtu|15:30</v>
      </c>
      <c r="B1666" s="76" t="s">
        <v>69</v>
      </c>
      <c r="C1666" s="76" t="n">
        <v>1</v>
      </c>
      <c r="D1666" s="76" t="s">
        <v>95</v>
      </c>
      <c r="E1666" s="76" t="s">
        <v>119</v>
      </c>
      <c r="F1666" s="77" t="s">
        <v>242</v>
      </c>
      <c r="G1666" s="77" t="n">
        <v>5</v>
      </c>
      <c r="H1666" s="77" t="n">
        <v>0</v>
      </c>
      <c r="I1666" s="76" t="n">
        <f aca="false">IF(AND(ISNUMBER(G1666),ISNUMBER(H1666)),MAX(G1666-H1666,0),"")</f>
        <v>5</v>
      </c>
      <c r="J1666" s="78" t="n">
        <f aca="false">IF(AND(ISNUMBER(G1666),ISNUMBER(H1666)),IF(G1666&gt;0,H1666/G1666,""),"")</f>
        <v>0</v>
      </c>
      <c r="K1666" s="77"/>
      <c r="L1666" s="76" t="str">
        <f aca="false">IF(OR(G1666="",H1666=""),"Data tidak lengkap",IF(AND(G1666=0,H1666=0),IF(AND(F1666="",K1666=""),"Tidak dibuka","Tutup"),IF(H1666&gt;G1666,"Lebih kapasitas",IF(H1666=G1666,"Penuh",IF(H1666=0,IF(F1666="","Slot kosong","Belum terisi"),"Sebagian")))))</f>
        <v>Belum terisi</v>
      </c>
      <c r="M1666" s="79" t="str">
        <f aca="false">IF(L1666="Tidak dibuka","–",IF(F1666="","(tanpa age group)",F1666)&amp;"  "&amp;IF(H1666="","?",H1666)&amp;"/"&amp;IF(G1666="","?",G1666)&amp;CHAR(10)&amp;IF(K1666="","coach: –","coach: "&amp;K1666))</f>
        <v>Baby  0/5
coach: –</v>
      </c>
    </row>
    <row r="1667" customFormat="false" ht="22.35" hidden="false" customHeight="false" outlineLevel="0" collapsed="false">
      <c r="A1667" s="76" t="str">
        <f aca="false">B1667&amp;"|"&amp;C1667&amp;"|"&amp;D1667&amp;"|"&amp;E1667</f>
        <v>BTU|1|Sabtu|16:15</v>
      </c>
      <c r="B1667" s="76" t="s">
        <v>69</v>
      </c>
      <c r="C1667" s="76" t="n">
        <v>1</v>
      </c>
      <c r="D1667" s="76" t="s">
        <v>95</v>
      </c>
      <c r="E1667" s="76" t="s">
        <v>120</v>
      </c>
      <c r="F1667" s="77" t="s">
        <v>242</v>
      </c>
      <c r="G1667" s="77" t="n">
        <v>5</v>
      </c>
      <c r="H1667" s="77" t="n">
        <v>0</v>
      </c>
      <c r="I1667" s="76" t="n">
        <f aca="false">IF(AND(ISNUMBER(G1667),ISNUMBER(H1667)),MAX(G1667-H1667,0),"")</f>
        <v>5</v>
      </c>
      <c r="J1667" s="78" t="n">
        <f aca="false">IF(AND(ISNUMBER(G1667),ISNUMBER(H1667)),IF(G1667&gt;0,H1667/G1667,""),"")</f>
        <v>0</v>
      </c>
      <c r="K1667" s="77"/>
      <c r="L1667" s="76" t="str">
        <f aca="false">IF(OR(G1667="",H1667=""),"Data tidak lengkap",IF(AND(G1667=0,H1667=0),IF(AND(F1667="",K1667=""),"Tidak dibuka","Tutup"),IF(H1667&gt;G1667,"Lebih kapasitas",IF(H1667=G1667,"Penuh",IF(H1667=0,IF(F1667="","Slot kosong","Belum terisi"),"Sebagian")))))</f>
        <v>Belum terisi</v>
      </c>
      <c r="M1667" s="79" t="str">
        <f aca="false">IF(L1667="Tidak dibuka","–",IF(F1667="","(tanpa age group)",F1667)&amp;"  "&amp;IF(H1667="","?",H1667)&amp;"/"&amp;IF(G1667="","?",G1667)&amp;CHAR(10)&amp;IF(K1667="","coach: –","coach: "&amp;K1667))</f>
        <v>Baby  0/5
coach: –</v>
      </c>
    </row>
    <row r="1668" customFormat="false" ht="22.35" hidden="false" customHeight="false" outlineLevel="0" collapsed="false">
      <c r="A1668" s="76" t="str">
        <f aca="false">B1668&amp;"|"&amp;C1668&amp;"|"&amp;D1668&amp;"|"&amp;E1668</f>
        <v>BTU|1|Sabtu|17:00</v>
      </c>
      <c r="B1668" s="76" t="s">
        <v>69</v>
      </c>
      <c r="C1668" s="76" t="n">
        <v>1</v>
      </c>
      <c r="D1668" s="76" t="s">
        <v>95</v>
      </c>
      <c r="E1668" s="76" t="s">
        <v>121</v>
      </c>
      <c r="F1668" s="77" t="s">
        <v>242</v>
      </c>
      <c r="G1668" s="77" t="n">
        <v>5</v>
      </c>
      <c r="H1668" s="77" t="n">
        <v>0</v>
      </c>
      <c r="I1668" s="76" t="n">
        <f aca="false">IF(AND(ISNUMBER(G1668),ISNUMBER(H1668)),MAX(G1668-H1668,0),"")</f>
        <v>5</v>
      </c>
      <c r="J1668" s="78" t="n">
        <f aca="false">IF(AND(ISNUMBER(G1668),ISNUMBER(H1668)),IF(G1668&gt;0,H1668/G1668,""),"")</f>
        <v>0</v>
      </c>
      <c r="K1668" s="77"/>
      <c r="L1668" s="76" t="str">
        <f aca="false">IF(OR(G1668="",H1668=""),"Data tidak lengkap",IF(AND(G1668=0,H1668=0),IF(AND(F1668="",K1668=""),"Tidak dibuka","Tutup"),IF(H1668&gt;G1668,"Lebih kapasitas",IF(H1668=G1668,"Penuh",IF(H1668=0,IF(F1668="","Slot kosong","Belum terisi"),"Sebagian")))))</f>
        <v>Belum terisi</v>
      </c>
      <c r="M1668" s="79" t="str">
        <f aca="false">IF(L1668="Tidak dibuka","–",IF(F1668="","(tanpa age group)",F1668)&amp;"  "&amp;IF(H1668="","?",H1668)&amp;"/"&amp;IF(G1668="","?",G1668)&amp;CHAR(10)&amp;IF(K1668="","coach: –","coach: "&amp;K1668))</f>
        <v>Baby  0/5
coach: –</v>
      </c>
    </row>
    <row r="1669" customFormat="false" ht="22.35" hidden="false" customHeight="false" outlineLevel="0" collapsed="false">
      <c r="A1669" s="76" t="str">
        <f aca="false">B1669&amp;"|"&amp;C1669&amp;"|"&amp;D1669&amp;"|"&amp;E1669</f>
        <v>BTU|1|Minggu|08:00</v>
      </c>
      <c r="B1669" s="76" t="s">
        <v>69</v>
      </c>
      <c r="C1669" s="76" t="n">
        <v>1</v>
      </c>
      <c r="D1669" s="76" t="s">
        <v>78</v>
      </c>
      <c r="E1669" s="76" t="s">
        <v>110</v>
      </c>
      <c r="F1669" s="77" t="s">
        <v>242</v>
      </c>
      <c r="G1669" s="77" t="n">
        <v>5</v>
      </c>
      <c r="H1669" s="77" t="n">
        <v>0</v>
      </c>
      <c r="I1669" s="76" t="n">
        <f aca="false">IF(AND(ISNUMBER(G1669),ISNUMBER(H1669)),MAX(G1669-H1669,0),"")</f>
        <v>5</v>
      </c>
      <c r="J1669" s="78" t="n">
        <f aca="false">IF(AND(ISNUMBER(G1669),ISNUMBER(H1669)),IF(G1669&gt;0,H1669/G1669,""),"")</f>
        <v>0</v>
      </c>
      <c r="K1669" s="77"/>
      <c r="L1669" s="76" t="str">
        <f aca="false">IF(OR(G1669="",H1669=""),"Data tidak lengkap",IF(AND(G1669=0,H1669=0),IF(AND(F1669="",K1669=""),"Tidak dibuka","Tutup"),IF(H1669&gt;G1669,"Lebih kapasitas",IF(H1669=G1669,"Penuh",IF(H1669=0,IF(F1669="","Slot kosong","Belum terisi"),"Sebagian")))))</f>
        <v>Belum terisi</v>
      </c>
      <c r="M1669" s="79" t="str">
        <f aca="false">IF(L1669="Tidak dibuka","–",IF(F1669="","(tanpa age group)",F1669)&amp;"  "&amp;IF(H1669="","?",H1669)&amp;"/"&amp;IF(G1669="","?",G1669)&amp;CHAR(10)&amp;IF(K1669="","coach: –","coach: "&amp;K1669))</f>
        <v>Baby  0/5
coach: –</v>
      </c>
    </row>
    <row r="1670" customFormat="false" ht="22.35" hidden="false" customHeight="false" outlineLevel="0" collapsed="false">
      <c r="A1670" s="76" t="str">
        <f aca="false">B1670&amp;"|"&amp;C1670&amp;"|"&amp;D1670&amp;"|"&amp;E1670</f>
        <v>BTU|1|Minggu|08:45</v>
      </c>
      <c r="B1670" s="76" t="s">
        <v>69</v>
      </c>
      <c r="C1670" s="76" t="n">
        <v>1</v>
      </c>
      <c r="D1670" s="76" t="s">
        <v>78</v>
      </c>
      <c r="E1670" s="76" t="s">
        <v>111</v>
      </c>
      <c r="F1670" s="77" t="s">
        <v>242</v>
      </c>
      <c r="G1670" s="77" t="n">
        <v>5</v>
      </c>
      <c r="H1670" s="77" t="n">
        <v>0</v>
      </c>
      <c r="I1670" s="76" t="n">
        <f aca="false">IF(AND(ISNUMBER(G1670),ISNUMBER(H1670)),MAX(G1670-H1670,0),"")</f>
        <v>5</v>
      </c>
      <c r="J1670" s="78" t="n">
        <f aca="false">IF(AND(ISNUMBER(G1670),ISNUMBER(H1670)),IF(G1670&gt;0,H1670/G1670,""),"")</f>
        <v>0</v>
      </c>
      <c r="K1670" s="77"/>
      <c r="L1670" s="76" t="str">
        <f aca="false">IF(OR(G1670="",H1670=""),"Data tidak lengkap",IF(AND(G1670=0,H1670=0),IF(AND(F1670="",K1670=""),"Tidak dibuka","Tutup"),IF(H1670&gt;G1670,"Lebih kapasitas",IF(H1670=G1670,"Penuh",IF(H1670=0,IF(F1670="","Slot kosong","Belum terisi"),"Sebagian")))))</f>
        <v>Belum terisi</v>
      </c>
      <c r="M1670" s="79" t="str">
        <f aca="false">IF(L1670="Tidak dibuka","–",IF(F1670="","(tanpa age group)",F1670)&amp;"  "&amp;IF(H1670="","?",H1670)&amp;"/"&amp;IF(G1670="","?",G1670)&amp;CHAR(10)&amp;IF(K1670="","coach: –","coach: "&amp;K1670))</f>
        <v>Baby  0/5
coach: –</v>
      </c>
    </row>
    <row r="1671" customFormat="false" ht="22.35" hidden="false" customHeight="false" outlineLevel="0" collapsed="false">
      <c r="A1671" s="76" t="str">
        <f aca="false">B1671&amp;"|"&amp;C1671&amp;"|"&amp;D1671&amp;"|"&amp;E1671</f>
        <v>BTU|1|Minggu|09:30</v>
      </c>
      <c r="B1671" s="76" t="s">
        <v>69</v>
      </c>
      <c r="C1671" s="76" t="n">
        <v>1</v>
      </c>
      <c r="D1671" s="76" t="s">
        <v>78</v>
      </c>
      <c r="E1671" s="76" t="s">
        <v>112</v>
      </c>
      <c r="F1671" s="77" t="s">
        <v>242</v>
      </c>
      <c r="G1671" s="77" t="n">
        <v>5</v>
      </c>
      <c r="H1671" s="77" t="n">
        <v>2</v>
      </c>
      <c r="I1671" s="76" t="n">
        <f aca="false">IF(AND(ISNUMBER(G1671),ISNUMBER(H1671)),MAX(G1671-H1671,0),"")</f>
        <v>3</v>
      </c>
      <c r="J1671" s="78" t="n">
        <f aca="false">IF(AND(ISNUMBER(G1671),ISNUMBER(H1671)),IF(G1671&gt;0,H1671/G1671,""),"")</f>
        <v>0.4</v>
      </c>
      <c r="K1671" s="77" t="s">
        <v>437</v>
      </c>
      <c r="L1671" s="76" t="str">
        <f aca="false">IF(OR(G1671="",H1671=""),"Data tidak lengkap",IF(AND(G1671=0,H1671=0),IF(AND(F1671="",K1671=""),"Tidak dibuka","Tutup"),IF(H1671&gt;G1671,"Lebih kapasitas",IF(H1671=G1671,"Penuh",IF(H1671=0,IF(F1671="","Slot kosong","Belum terisi"),"Sebagian")))))</f>
        <v>Sebagian</v>
      </c>
      <c r="M1671" s="79" t="str">
        <f aca="false">IF(L1671="Tidak dibuka","–",IF(F1671="","(tanpa age group)",F1671)&amp;"  "&amp;IF(H1671="","?",H1671)&amp;"/"&amp;IF(G1671="","?",G1671)&amp;CHAR(10)&amp;IF(K1671="","coach: –","coach: "&amp;K1671))</f>
        <v>Baby  2/5
coach: Doni</v>
      </c>
    </row>
    <row r="1672" customFormat="false" ht="22.35" hidden="false" customHeight="false" outlineLevel="0" collapsed="false">
      <c r="A1672" s="76" t="str">
        <f aca="false">B1672&amp;"|"&amp;C1672&amp;"|"&amp;D1672&amp;"|"&amp;E1672</f>
        <v>BTU|1|Minggu|10:15</v>
      </c>
      <c r="B1672" s="76" t="s">
        <v>69</v>
      </c>
      <c r="C1672" s="76" t="n">
        <v>1</v>
      </c>
      <c r="D1672" s="76" t="s">
        <v>78</v>
      </c>
      <c r="E1672" s="76" t="s">
        <v>113</v>
      </c>
      <c r="F1672" s="77" t="s">
        <v>242</v>
      </c>
      <c r="G1672" s="77" t="n">
        <v>5</v>
      </c>
      <c r="H1672" s="77" t="n">
        <v>0</v>
      </c>
      <c r="I1672" s="76" t="n">
        <f aca="false">IF(AND(ISNUMBER(G1672),ISNUMBER(H1672)),MAX(G1672-H1672,0),"")</f>
        <v>5</v>
      </c>
      <c r="J1672" s="78" t="n">
        <f aca="false">IF(AND(ISNUMBER(G1672),ISNUMBER(H1672)),IF(G1672&gt;0,H1672/G1672,""),"")</f>
        <v>0</v>
      </c>
      <c r="K1672" s="77"/>
      <c r="L1672" s="76" t="str">
        <f aca="false">IF(OR(G1672="",H1672=""),"Data tidak lengkap",IF(AND(G1672=0,H1672=0),IF(AND(F1672="",K1672=""),"Tidak dibuka","Tutup"),IF(H1672&gt;G1672,"Lebih kapasitas",IF(H1672=G1672,"Penuh",IF(H1672=0,IF(F1672="","Slot kosong","Belum terisi"),"Sebagian")))))</f>
        <v>Belum terisi</v>
      </c>
      <c r="M1672" s="79" t="str">
        <f aca="false">IF(L1672="Tidak dibuka","–",IF(F1672="","(tanpa age group)",F1672)&amp;"  "&amp;IF(H1672="","?",H1672)&amp;"/"&amp;IF(G1672="","?",G1672)&amp;CHAR(10)&amp;IF(K1672="","coach: –","coach: "&amp;K1672))</f>
        <v>Baby  0/5
coach: –</v>
      </c>
    </row>
    <row r="1673" customFormat="false" ht="22.35" hidden="false" customHeight="false" outlineLevel="0" collapsed="false">
      <c r="A1673" s="76" t="str">
        <f aca="false">B1673&amp;"|"&amp;C1673&amp;"|"&amp;D1673&amp;"|"&amp;E1673</f>
        <v>BTU|1|Minggu|11:00</v>
      </c>
      <c r="B1673" s="76" t="s">
        <v>69</v>
      </c>
      <c r="C1673" s="76" t="n">
        <v>1</v>
      </c>
      <c r="D1673" s="76" t="s">
        <v>78</v>
      </c>
      <c r="E1673" s="76" t="s">
        <v>114</v>
      </c>
      <c r="F1673" s="77" t="s">
        <v>242</v>
      </c>
      <c r="G1673" s="77" t="n">
        <v>5</v>
      </c>
      <c r="H1673" s="77" t="n">
        <v>0</v>
      </c>
      <c r="I1673" s="76" t="n">
        <f aca="false">IF(AND(ISNUMBER(G1673),ISNUMBER(H1673)),MAX(G1673-H1673,0),"")</f>
        <v>5</v>
      </c>
      <c r="J1673" s="78" t="n">
        <f aca="false">IF(AND(ISNUMBER(G1673),ISNUMBER(H1673)),IF(G1673&gt;0,H1673/G1673,""),"")</f>
        <v>0</v>
      </c>
      <c r="K1673" s="77"/>
      <c r="L1673" s="76" t="str">
        <f aca="false">IF(OR(G1673="",H1673=""),"Data tidak lengkap",IF(AND(G1673=0,H1673=0),IF(AND(F1673="",K1673=""),"Tidak dibuka","Tutup"),IF(H1673&gt;G1673,"Lebih kapasitas",IF(H1673=G1673,"Penuh",IF(H1673=0,IF(F1673="","Slot kosong","Belum terisi"),"Sebagian")))))</f>
        <v>Belum terisi</v>
      </c>
      <c r="M1673" s="79" t="str">
        <f aca="false">IF(L1673="Tidak dibuka","–",IF(F1673="","(tanpa age group)",F1673)&amp;"  "&amp;IF(H1673="","?",H1673)&amp;"/"&amp;IF(G1673="","?",G1673)&amp;CHAR(10)&amp;IF(K1673="","coach: –","coach: "&amp;K1673))</f>
        <v>Baby  0/5
coach: –</v>
      </c>
    </row>
    <row r="1674" customFormat="false" ht="22.35" hidden="false" customHeight="false" outlineLevel="0" collapsed="false">
      <c r="A1674" s="76" t="str">
        <f aca="false">B1674&amp;"|"&amp;C1674&amp;"|"&amp;D1674&amp;"|"&amp;E1674</f>
        <v>BTU|1|Minggu|11:45</v>
      </c>
      <c r="B1674" s="76" t="s">
        <v>69</v>
      </c>
      <c r="C1674" s="76" t="n">
        <v>1</v>
      </c>
      <c r="D1674" s="76" t="s">
        <v>78</v>
      </c>
      <c r="E1674" s="76" t="s">
        <v>115</v>
      </c>
      <c r="F1674" s="77" t="s">
        <v>242</v>
      </c>
      <c r="G1674" s="77" t="n">
        <v>5</v>
      </c>
      <c r="H1674" s="77" t="n">
        <v>0</v>
      </c>
      <c r="I1674" s="76" t="n">
        <f aca="false">IF(AND(ISNUMBER(G1674),ISNUMBER(H1674)),MAX(G1674-H1674,0),"")</f>
        <v>5</v>
      </c>
      <c r="J1674" s="78" t="n">
        <f aca="false">IF(AND(ISNUMBER(G1674),ISNUMBER(H1674)),IF(G1674&gt;0,H1674/G1674,""),"")</f>
        <v>0</v>
      </c>
      <c r="K1674" s="77"/>
      <c r="L1674" s="76" t="str">
        <f aca="false">IF(OR(G1674="",H1674=""),"Data tidak lengkap",IF(AND(G1674=0,H1674=0),IF(AND(F1674="",K1674=""),"Tidak dibuka","Tutup"),IF(H1674&gt;G1674,"Lebih kapasitas",IF(H1674=G1674,"Penuh",IF(H1674=0,IF(F1674="","Slot kosong","Belum terisi"),"Sebagian")))))</f>
        <v>Belum terisi</v>
      </c>
      <c r="M1674" s="79" t="str">
        <f aca="false">IF(L1674="Tidak dibuka","–",IF(F1674="","(tanpa age group)",F1674)&amp;"  "&amp;IF(H1674="","?",H1674)&amp;"/"&amp;IF(G1674="","?",G1674)&amp;CHAR(10)&amp;IF(K1674="","coach: –","coach: "&amp;K1674))</f>
        <v>Baby  0/5
coach: –</v>
      </c>
    </row>
    <row r="1675" customFormat="false" ht="22.35" hidden="false" customHeight="false" outlineLevel="0" collapsed="false">
      <c r="A1675" s="76" t="str">
        <f aca="false">B1675&amp;"|"&amp;C1675&amp;"|"&amp;D1675&amp;"|"&amp;E1675</f>
        <v>BTU|1|Minggu|13:15</v>
      </c>
      <c r="B1675" s="76" t="s">
        <v>69</v>
      </c>
      <c r="C1675" s="76" t="n">
        <v>1</v>
      </c>
      <c r="D1675" s="76" t="s">
        <v>78</v>
      </c>
      <c r="E1675" s="76" t="s">
        <v>116</v>
      </c>
      <c r="F1675" s="77" t="s">
        <v>242</v>
      </c>
      <c r="G1675" s="77" t="n">
        <v>5</v>
      </c>
      <c r="H1675" s="77" t="n">
        <v>0</v>
      </c>
      <c r="I1675" s="76" t="n">
        <f aca="false">IF(AND(ISNUMBER(G1675),ISNUMBER(H1675)),MAX(G1675-H1675,0),"")</f>
        <v>5</v>
      </c>
      <c r="J1675" s="78" t="n">
        <f aca="false">IF(AND(ISNUMBER(G1675),ISNUMBER(H1675)),IF(G1675&gt;0,H1675/G1675,""),"")</f>
        <v>0</v>
      </c>
      <c r="K1675" s="77"/>
      <c r="L1675" s="76" t="str">
        <f aca="false">IF(OR(G1675="",H1675=""),"Data tidak lengkap",IF(AND(G1675=0,H1675=0),IF(AND(F1675="",K1675=""),"Tidak dibuka","Tutup"),IF(H1675&gt;G1675,"Lebih kapasitas",IF(H1675=G1675,"Penuh",IF(H1675=0,IF(F1675="","Slot kosong","Belum terisi"),"Sebagian")))))</f>
        <v>Belum terisi</v>
      </c>
      <c r="M1675" s="79" t="str">
        <f aca="false">IF(L1675="Tidak dibuka","–",IF(F1675="","(tanpa age group)",F1675)&amp;"  "&amp;IF(H1675="","?",H1675)&amp;"/"&amp;IF(G1675="","?",G1675)&amp;CHAR(10)&amp;IF(K1675="","coach: –","coach: "&amp;K1675))</f>
        <v>Baby  0/5
coach: –</v>
      </c>
    </row>
    <row r="1676" customFormat="false" ht="22.35" hidden="false" customHeight="false" outlineLevel="0" collapsed="false">
      <c r="A1676" s="76" t="str">
        <f aca="false">B1676&amp;"|"&amp;C1676&amp;"|"&amp;D1676&amp;"|"&amp;E1676</f>
        <v>BTU|1|Minggu|14:00</v>
      </c>
      <c r="B1676" s="76" t="s">
        <v>69</v>
      </c>
      <c r="C1676" s="76" t="n">
        <v>1</v>
      </c>
      <c r="D1676" s="76" t="s">
        <v>78</v>
      </c>
      <c r="E1676" s="76" t="s">
        <v>117</v>
      </c>
      <c r="F1676" s="77" t="s">
        <v>242</v>
      </c>
      <c r="G1676" s="77" t="n">
        <v>5</v>
      </c>
      <c r="H1676" s="77" t="n">
        <v>0</v>
      </c>
      <c r="I1676" s="76" t="n">
        <f aca="false">IF(AND(ISNUMBER(G1676),ISNUMBER(H1676)),MAX(G1676-H1676,0),"")</f>
        <v>5</v>
      </c>
      <c r="J1676" s="78" t="n">
        <f aca="false">IF(AND(ISNUMBER(G1676),ISNUMBER(H1676)),IF(G1676&gt;0,H1676/G1676,""),"")</f>
        <v>0</v>
      </c>
      <c r="K1676" s="77"/>
      <c r="L1676" s="76" t="str">
        <f aca="false">IF(OR(G1676="",H1676=""),"Data tidak lengkap",IF(AND(G1676=0,H1676=0),IF(AND(F1676="",K1676=""),"Tidak dibuka","Tutup"),IF(H1676&gt;G1676,"Lebih kapasitas",IF(H1676=G1676,"Penuh",IF(H1676=0,IF(F1676="","Slot kosong","Belum terisi"),"Sebagian")))))</f>
        <v>Belum terisi</v>
      </c>
      <c r="M1676" s="79" t="str">
        <f aca="false">IF(L1676="Tidak dibuka","–",IF(F1676="","(tanpa age group)",F1676)&amp;"  "&amp;IF(H1676="","?",H1676)&amp;"/"&amp;IF(G1676="","?",G1676)&amp;CHAR(10)&amp;IF(K1676="","coach: –","coach: "&amp;K1676))</f>
        <v>Baby  0/5
coach: –</v>
      </c>
    </row>
    <row r="1677" customFormat="false" ht="22.35" hidden="false" customHeight="false" outlineLevel="0" collapsed="false">
      <c r="A1677" s="76" t="str">
        <f aca="false">B1677&amp;"|"&amp;C1677&amp;"|"&amp;D1677&amp;"|"&amp;E1677</f>
        <v>BTU|1|Minggu|14:45</v>
      </c>
      <c r="B1677" s="76" t="s">
        <v>69</v>
      </c>
      <c r="C1677" s="76" t="n">
        <v>1</v>
      </c>
      <c r="D1677" s="76" t="s">
        <v>78</v>
      </c>
      <c r="E1677" s="76" t="s">
        <v>118</v>
      </c>
      <c r="F1677" s="77" t="s">
        <v>242</v>
      </c>
      <c r="G1677" s="77" t="n">
        <v>5</v>
      </c>
      <c r="H1677" s="77" t="n">
        <v>0</v>
      </c>
      <c r="I1677" s="76" t="n">
        <f aca="false">IF(AND(ISNUMBER(G1677),ISNUMBER(H1677)),MAX(G1677-H1677,0),"")</f>
        <v>5</v>
      </c>
      <c r="J1677" s="78" t="n">
        <f aca="false">IF(AND(ISNUMBER(G1677),ISNUMBER(H1677)),IF(G1677&gt;0,H1677/G1677,""),"")</f>
        <v>0</v>
      </c>
      <c r="K1677" s="77"/>
      <c r="L1677" s="76" t="str">
        <f aca="false">IF(OR(G1677="",H1677=""),"Data tidak lengkap",IF(AND(G1677=0,H1677=0),IF(AND(F1677="",K1677=""),"Tidak dibuka","Tutup"),IF(H1677&gt;G1677,"Lebih kapasitas",IF(H1677=G1677,"Penuh",IF(H1677=0,IF(F1677="","Slot kosong","Belum terisi"),"Sebagian")))))</f>
        <v>Belum terisi</v>
      </c>
      <c r="M1677" s="79" t="str">
        <f aca="false">IF(L1677="Tidak dibuka","–",IF(F1677="","(tanpa age group)",F1677)&amp;"  "&amp;IF(H1677="","?",H1677)&amp;"/"&amp;IF(G1677="","?",G1677)&amp;CHAR(10)&amp;IF(K1677="","coach: –","coach: "&amp;K1677))</f>
        <v>Baby  0/5
coach: –</v>
      </c>
    </row>
    <row r="1678" customFormat="false" ht="22.35" hidden="false" customHeight="false" outlineLevel="0" collapsed="false">
      <c r="A1678" s="76" t="str">
        <f aca="false">B1678&amp;"|"&amp;C1678&amp;"|"&amp;D1678&amp;"|"&amp;E1678</f>
        <v>BTU|1|Minggu|15:30</v>
      </c>
      <c r="B1678" s="76" t="s">
        <v>69</v>
      </c>
      <c r="C1678" s="76" t="n">
        <v>1</v>
      </c>
      <c r="D1678" s="76" t="s">
        <v>78</v>
      </c>
      <c r="E1678" s="76" t="s">
        <v>119</v>
      </c>
      <c r="F1678" s="77" t="s">
        <v>242</v>
      </c>
      <c r="G1678" s="77" t="n">
        <v>5</v>
      </c>
      <c r="H1678" s="77" t="n">
        <v>0</v>
      </c>
      <c r="I1678" s="76" t="n">
        <f aca="false">IF(AND(ISNUMBER(G1678),ISNUMBER(H1678)),MAX(G1678-H1678,0),"")</f>
        <v>5</v>
      </c>
      <c r="J1678" s="78" t="n">
        <f aca="false">IF(AND(ISNUMBER(G1678),ISNUMBER(H1678)),IF(G1678&gt;0,H1678/G1678,""),"")</f>
        <v>0</v>
      </c>
      <c r="K1678" s="77"/>
      <c r="L1678" s="76" t="str">
        <f aca="false">IF(OR(G1678="",H1678=""),"Data tidak lengkap",IF(AND(G1678=0,H1678=0),IF(AND(F1678="",K1678=""),"Tidak dibuka","Tutup"),IF(H1678&gt;G1678,"Lebih kapasitas",IF(H1678=G1678,"Penuh",IF(H1678=0,IF(F1678="","Slot kosong","Belum terisi"),"Sebagian")))))</f>
        <v>Belum terisi</v>
      </c>
      <c r="M1678" s="79" t="str">
        <f aca="false">IF(L1678="Tidak dibuka","–",IF(F1678="","(tanpa age group)",F1678)&amp;"  "&amp;IF(H1678="","?",H1678)&amp;"/"&amp;IF(G1678="","?",G1678)&amp;CHAR(10)&amp;IF(K1678="","coach: –","coach: "&amp;K1678))</f>
        <v>Baby  0/5
coach: –</v>
      </c>
    </row>
    <row r="1679" customFormat="false" ht="22.35" hidden="false" customHeight="false" outlineLevel="0" collapsed="false">
      <c r="A1679" s="76" t="str">
        <f aca="false">B1679&amp;"|"&amp;C1679&amp;"|"&amp;D1679&amp;"|"&amp;E1679</f>
        <v>BTU|1|Minggu|16:15</v>
      </c>
      <c r="B1679" s="76" t="s">
        <v>69</v>
      </c>
      <c r="C1679" s="76" t="n">
        <v>1</v>
      </c>
      <c r="D1679" s="76" t="s">
        <v>78</v>
      </c>
      <c r="E1679" s="76" t="s">
        <v>120</v>
      </c>
      <c r="F1679" s="77" t="s">
        <v>242</v>
      </c>
      <c r="G1679" s="77" t="n">
        <v>5</v>
      </c>
      <c r="H1679" s="77" t="n">
        <v>0</v>
      </c>
      <c r="I1679" s="76" t="n">
        <f aca="false">IF(AND(ISNUMBER(G1679),ISNUMBER(H1679)),MAX(G1679-H1679,0),"")</f>
        <v>5</v>
      </c>
      <c r="J1679" s="78" t="n">
        <f aca="false">IF(AND(ISNUMBER(G1679),ISNUMBER(H1679)),IF(G1679&gt;0,H1679/G1679,""),"")</f>
        <v>0</v>
      </c>
      <c r="K1679" s="77"/>
      <c r="L1679" s="76" t="str">
        <f aca="false">IF(OR(G1679="",H1679=""),"Data tidak lengkap",IF(AND(G1679=0,H1679=0),IF(AND(F1679="",K1679=""),"Tidak dibuka","Tutup"),IF(H1679&gt;G1679,"Lebih kapasitas",IF(H1679=G1679,"Penuh",IF(H1679=0,IF(F1679="","Slot kosong","Belum terisi"),"Sebagian")))))</f>
        <v>Belum terisi</v>
      </c>
      <c r="M1679" s="79" t="str">
        <f aca="false">IF(L1679="Tidak dibuka","–",IF(F1679="","(tanpa age group)",F1679)&amp;"  "&amp;IF(H1679="","?",H1679)&amp;"/"&amp;IF(G1679="","?",G1679)&amp;CHAR(10)&amp;IF(K1679="","coach: –","coach: "&amp;K1679))</f>
        <v>Baby  0/5
coach: –</v>
      </c>
    </row>
    <row r="1680" customFormat="false" ht="22.35" hidden="false" customHeight="false" outlineLevel="0" collapsed="false">
      <c r="A1680" s="76" t="str">
        <f aca="false">B1680&amp;"|"&amp;C1680&amp;"|"&amp;D1680&amp;"|"&amp;E1680</f>
        <v>BTU|1|Minggu|17:00</v>
      </c>
      <c r="B1680" s="76" t="s">
        <v>69</v>
      </c>
      <c r="C1680" s="76" t="n">
        <v>1</v>
      </c>
      <c r="D1680" s="76" t="s">
        <v>78</v>
      </c>
      <c r="E1680" s="76" t="s">
        <v>121</v>
      </c>
      <c r="F1680" s="77" t="s">
        <v>242</v>
      </c>
      <c r="G1680" s="77" t="n">
        <v>5</v>
      </c>
      <c r="H1680" s="77" t="n">
        <v>0</v>
      </c>
      <c r="I1680" s="76" t="n">
        <f aca="false">IF(AND(ISNUMBER(G1680),ISNUMBER(H1680)),MAX(G1680-H1680,0),"")</f>
        <v>5</v>
      </c>
      <c r="J1680" s="78" t="n">
        <f aca="false">IF(AND(ISNUMBER(G1680),ISNUMBER(H1680)),IF(G1680&gt;0,H1680/G1680,""),"")</f>
        <v>0</v>
      </c>
      <c r="K1680" s="77"/>
      <c r="L1680" s="76" t="str">
        <f aca="false">IF(OR(G1680="",H1680=""),"Data tidak lengkap",IF(AND(G1680=0,H1680=0),IF(AND(F1680="",K1680=""),"Tidak dibuka","Tutup"),IF(H1680&gt;G1680,"Lebih kapasitas",IF(H1680=G1680,"Penuh",IF(H1680=0,IF(F1680="","Slot kosong","Belum terisi"),"Sebagian")))))</f>
        <v>Belum terisi</v>
      </c>
      <c r="M1680" s="79" t="str">
        <f aca="false">IF(L1680="Tidak dibuka","–",IF(F1680="","(tanpa age group)",F1680)&amp;"  "&amp;IF(H1680="","?",H1680)&amp;"/"&amp;IF(G1680="","?",G1680)&amp;CHAR(10)&amp;IF(K1680="","coach: –","coach: "&amp;K1680))</f>
        <v>Baby  0/5
coach: –</v>
      </c>
    </row>
    <row r="1681" customFormat="false" ht="22.35" hidden="false" customHeight="false" outlineLevel="0" collapsed="false">
      <c r="A1681" s="76" t="str">
        <f aca="false">B1681&amp;"|"&amp;C1681&amp;"|"&amp;D1681&amp;"|"&amp;E1681</f>
        <v>BTU|2|Senin|08:00</v>
      </c>
      <c r="B1681" s="76" t="s">
        <v>69</v>
      </c>
      <c r="C1681" s="76" t="n">
        <v>2</v>
      </c>
      <c r="D1681" s="76" t="s">
        <v>90</v>
      </c>
      <c r="E1681" s="76" t="s">
        <v>110</v>
      </c>
      <c r="F1681" s="77" t="s">
        <v>42</v>
      </c>
      <c r="G1681" s="77" t="n">
        <v>5</v>
      </c>
      <c r="H1681" s="77" t="n">
        <v>0</v>
      </c>
      <c r="I1681" s="76" t="n">
        <f aca="false">IF(AND(ISNUMBER(G1681),ISNUMBER(H1681)),MAX(G1681-H1681,0),"")</f>
        <v>5</v>
      </c>
      <c r="J1681" s="78" t="n">
        <f aca="false">IF(AND(ISNUMBER(G1681),ISNUMBER(H1681)),IF(G1681&gt;0,H1681/G1681,""),"")</f>
        <v>0</v>
      </c>
      <c r="K1681" s="77"/>
      <c r="L1681" s="76" t="str">
        <f aca="false">IF(OR(G1681="",H1681=""),"Data tidak lengkap",IF(AND(G1681=0,H1681=0),IF(AND(F1681="",K1681=""),"Tidak dibuka","Tutup"),IF(H1681&gt;G1681,"Lebih kapasitas",IF(H1681=G1681,"Penuh",IF(H1681=0,IF(F1681="","Slot kosong","Belum terisi"),"Sebagian")))))</f>
        <v>Belum terisi</v>
      </c>
      <c r="M1681" s="79" t="str">
        <f aca="false">IF(L1681="Tidak dibuka","–",IF(F1681="","(tanpa age group)",F1681)&amp;"  "&amp;IF(H1681="","?",H1681)&amp;"/"&amp;IF(G1681="","?",G1681)&amp;CHAR(10)&amp;IF(K1681="","coach: –","coach: "&amp;K1681))</f>
        <v>Tiny  0/5
coach: –</v>
      </c>
    </row>
    <row r="1682" customFormat="false" ht="22.35" hidden="false" customHeight="false" outlineLevel="0" collapsed="false">
      <c r="A1682" s="76" t="str">
        <f aca="false">B1682&amp;"|"&amp;C1682&amp;"|"&amp;D1682&amp;"|"&amp;E1682</f>
        <v>BTU|2|Senin|08:45</v>
      </c>
      <c r="B1682" s="76" t="s">
        <v>69</v>
      </c>
      <c r="C1682" s="76" t="n">
        <v>2</v>
      </c>
      <c r="D1682" s="76" t="s">
        <v>90</v>
      </c>
      <c r="E1682" s="76" t="s">
        <v>111</v>
      </c>
      <c r="F1682" s="77" t="s">
        <v>42</v>
      </c>
      <c r="G1682" s="77" t="n">
        <v>5</v>
      </c>
      <c r="H1682" s="77" t="n">
        <v>1</v>
      </c>
      <c r="I1682" s="76" t="n">
        <f aca="false">IF(AND(ISNUMBER(G1682),ISNUMBER(H1682)),MAX(G1682-H1682,0),"")</f>
        <v>4</v>
      </c>
      <c r="J1682" s="78" t="n">
        <f aca="false">IF(AND(ISNUMBER(G1682),ISNUMBER(H1682)),IF(G1682&gt;0,H1682/G1682,""),"")</f>
        <v>0.2</v>
      </c>
      <c r="K1682" s="77" t="s">
        <v>441</v>
      </c>
      <c r="L1682" s="76" t="str">
        <f aca="false">IF(OR(G1682="",H1682=""),"Data tidak lengkap",IF(AND(G1682=0,H1682=0),IF(AND(F1682="",K1682=""),"Tidak dibuka","Tutup"),IF(H1682&gt;G1682,"Lebih kapasitas",IF(H1682=G1682,"Penuh",IF(H1682=0,IF(F1682="","Slot kosong","Belum terisi"),"Sebagian")))))</f>
        <v>Sebagian</v>
      </c>
      <c r="M1682" s="79" t="str">
        <f aca="false">IF(L1682="Tidak dibuka","–",IF(F1682="","(tanpa age group)",F1682)&amp;"  "&amp;IF(H1682="","?",H1682)&amp;"/"&amp;IF(G1682="","?",G1682)&amp;CHAR(10)&amp;IF(K1682="","coach: –","coach: "&amp;K1682))</f>
        <v>Tiny  1/5
coach: Tara</v>
      </c>
    </row>
    <row r="1683" customFormat="false" ht="22.35" hidden="false" customHeight="false" outlineLevel="0" collapsed="false">
      <c r="A1683" s="76" t="str">
        <f aca="false">B1683&amp;"|"&amp;C1683&amp;"|"&amp;D1683&amp;"|"&amp;E1683</f>
        <v>BTU|2|Senin|09:30</v>
      </c>
      <c r="B1683" s="76" t="s">
        <v>69</v>
      </c>
      <c r="C1683" s="76" t="n">
        <v>2</v>
      </c>
      <c r="D1683" s="76" t="s">
        <v>90</v>
      </c>
      <c r="E1683" s="76" t="s">
        <v>112</v>
      </c>
      <c r="F1683" s="77" t="s">
        <v>42</v>
      </c>
      <c r="G1683" s="77" t="n">
        <v>5</v>
      </c>
      <c r="H1683" s="77" t="n">
        <v>0</v>
      </c>
      <c r="I1683" s="76" t="n">
        <f aca="false">IF(AND(ISNUMBER(G1683),ISNUMBER(H1683)),MAX(G1683-H1683,0),"")</f>
        <v>5</v>
      </c>
      <c r="J1683" s="78" t="n">
        <f aca="false">IF(AND(ISNUMBER(G1683),ISNUMBER(H1683)),IF(G1683&gt;0,H1683/G1683,""),"")</f>
        <v>0</v>
      </c>
      <c r="K1683" s="77"/>
      <c r="L1683" s="76" t="str">
        <f aca="false">IF(OR(G1683="",H1683=""),"Data tidak lengkap",IF(AND(G1683=0,H1683=0),IF(AND(F1683="",K1683=""),"Tidak dibuka","Tutup"),IF(H1683&gt;G1683,"Lebih kapasitas",IF(H1683=G1683,"Penuh",IF(H1683=0,IF(F1683="","Slot kosong","Belum terisi"),"Sebagian")))))</f>
        <v>Belum terisi</v>
      </c>
      <c r="M1683" s="79" t="str">
        <f aca="false">IF(L1683="Tidak dibuka","–",IF(F1683="","(tanpa age group)",F1683)&amp;"  "&amp;IF(H1683="","?",H1683)&amp;"/"&amp;IF(G1683="","?",G1683)&amp;CHAR(10)&amp;IF(K1683="","coach: –","coach: "&amp;K1683))</f>
        <v>Tiny  0/5
coach: –</v>
      </c>
    </row>
    <row r="1684" customFormat="false" ht="22.35" hidden="false" customHeight="false" outlineLevel="0" collapsed="false">
      <c r="A1684" s="76" t="str">
        <f aca="false">B1684&amp;"|"&amp;C1684&amp;"|"&amp;D1684&amp;"|"&amp;E1684</f>
        <v>BTU|2|Senin|10:15</v>
      </c>
      <c r="B1684" s="76" t="s">
        <v>69</v>
      </c>
      <c r="C1684" s="76" t="n">
        <v>2</v>
      </c>
      <c r="D1684" s="76" t="s">
        <v>90</v>
      </c>
      <c r="E1684" s="76" t="s">
        <v>113</v>
      </c>
      <c r="F1684" s="77" t="s">
        <v>42</v>
      </c>
      <c r="G1684" s="77" t="n">
        <v>5</v>
      </c>
      <c r="H1684" s="77" t="n">
        <v>0</v>
      </c>
      <c r="I1684" s="76" t="n">
        <f aca="false">IF(AND(ISNUMBER(G1684),ISNUMBER(H1684)),MAX(G1684-H1684,0),"")</f>
        <v>5</v>
      </c>
      <c r="J1684" s="78" t="n">
        <f aca="false">IF(AND(ISNUMBER(G1684),ISNUMBER(H1684)),IF(G1684&gt;0,H1684/G1684,""),"")</f>
        <v>0</v>
      </c>
      <c r="K1684" s="77"/>
      <c r="L1684" s="76" t="str">
        <f aca="false">IF(OR(G1684="",H1684=""),"Data tidak lengkap",IF(AND(G1684=0,H1684=0),IF(AND(F1684="",K1684=""),"Tidak dibuka","Tutup"),IF(H1684&gt;G1684,"Lebih kapasitas",IF(H1684=G1684,"Penuh",IF(H1684=0,IF(F1684="","Slot kosong","Belum terisi"),"Sebagian")))))</f>
        <v>Belum terisi</v>
      </c>
      <c r="M1684" s="79" t="str">
        <f aca="false">IF(L1684="Tidak dibuka","–",IF(F1684="","(tanpa age group)",F1684)&amp;"  "&amp;IF(H1684="","?",H1684)&amp;"/"&amp;IF(G1684="","?",G1684)&amp;CHAR(10)&amp;IF(K1684="","coach: –","coach: "&amp;K1684))</f>
        <v>Tiny  0/5
coach: –</v>
      </c>
    </row>
    <row r="1685" customFormat="false" ht="22.35" hidden="false" customHeight="false" outlineLevel="0" collapsed="false">
      <c r="A1685" s="76" t="str">
        <f aca="false">B1685&amp;"|"&amp;C1685&amp;"|"&amp;D1685&amp;"|"&amp;E1685</f>
        <v>BTU|2|Senin|11:00</v>
      </c>
      <c r="B1685" s="76" t="s">
        <v>69</v>
      </c>
      <c r="C1685" s="76" t="n">
        <v>2</v>
      </c>
      <c r="D1685" s="76" t="s">
        <v>90</v>
      </c>
      <c r="E1685" s="76" t="s">
        <v>114</v>
      </c>
      <c r="F1685" s="77" t="s">
        <v>42</v>
      </c>
      <c r="G1685" s="77" t="n">
        <v>5</v>
      </c>
      <c r="H1685" s="77" t="n">
        <v>0</v>
      </c>
      <c r="I1685" s="76" t="n">
        <f aca="false">IF(AND(ISNUMBER(G1685),ISNUMBER(H1685)),MAX(G1685-H1685,0),"")</f>
        <v>5</v>
      </c>
      <c r="J1685" s="78" t="n">
        <f aca="false">IF(AND(ISNUMBER(G1685),ISNUMBER(H1685)),IF(G1685&gt;0,H1685/G1685,""),"")</f>
        <v>0</v>
      </c>
      <c r="K1685" s="77"/>
      <c r="L1685" s="76" t="str">
        <f aca="false">IF(OR(G1685="",H1685=""),"Data tidak lengkap",IF(AND(G1685=0,H1685=0),IF(AND(F1685="",K1685=""),"Tidak dibuka","Tutup"),IF(H1685&gt;G1685,"Lebih kapasitas",IF(H1685=G1685,"Penuh",IF(H1685=0,IF(F1685="","Slot kosong","Belum terisi"),"Sebagian")))))</f>
        <v>Belum terisi</v>
      </c>
      <c r="M1685" s="79" t="str">
        <f aca="false">IF(L1685="Tidak dibuka","–",IF(F1685="","(tanpa age group)",F1685)&amp;"  "&amp;IF(H1685="","?",H1685)&amp;"/"&amp;IF(G1685="","?",G1685)&amp;CHAR(10)&amp;IF(K1685="","coach: –","coach: "&amp;K1685))</f>
        <v>Tiny  0/5
coach: –</v>
      </c>
    </row>
    <row r="1686" customFormat="false" ht="22.35" hidden="false" customHeight="false" outlineLevel="0" collapsed="false">
      <c r="A1686" s="76" t="str">
        <f aca="false">B1686&amp;"|"&amp;C1686&amp;"|"&amp;D1686&amp;"|"&amp;E1686</f>
        <v>BTU|2|Senin|11:45</v>
      </c>
      <c r="B1686" s="76" t="s">
        <v>69</v>
      </c>
      <c r="C1686" s="76" t="n">
        <v>2</v>
      </c>
      <c r="D1686" s="76" t="s">
        <v>90</v>
      </c>
      <c r="E1686" s="76" t="s">
        <v>115</v>
      </c>
      <c r="F1686" s="77" t="s">
        <v>42</v>
      </c>
      <c r="G1686" s="77" t="n">
        <v>5</v>
      </c>
      <c r="H1686" s="77" t="n">
        <v>0</v>
      </c>
      <c r="I1686" s="76" t="n">
        <f aca="false">IF(AND(ISNUMBER(G1686),ISNUMBER(H1686)),MAX(G1686-H1686,0),"")</f>
        <v>5</v>
      </c>
      <c r="J1686" s="78" t="n">
        <f aca="false">IF(AND(ISNUMBER(G1686),ISNUMBER(H1686)),IF(G1686&gt;0,H1686/G1686,""),"")</f>
        <v>0</v>
      </c>
      <c r="K1686" s="77"/>
      <c r="L1686" s="76" t="str">
        <f aca="false">IF(OR(G1686="",H1686=""),"Data tidak lengkap",IF(AND(G1686=0,H1686=0),IF(AND(F1686="",K1686=""),"Tidak dibuka","Tutup"),IF(H1686&gt;G1686,"Lebih kapasitas",IF(H1686=G1686,"Penuh",IF(H1686=0,IF(F1686="","Slot kosong","Belum terisi"),"Sebagian")))))</f>
        <v>Belum terisi</v>
      </c>
      <c r="M1686" s="79" t="str">
        <f aca="false">IF(L1686="Tidak dibuka","–",IF(F1686="","(tanpa age group)",F1686)&amp;"  "&amp;IF(H1686="","?",H1686)&amp;"/"&amp;IF(G1686="","?",G1686)&amp;CHAR(10)&amp;IF(K1686="","coach: –","coach: "&amp;K1686))</f>
        <v>Tiny  0/5
coach: –</v>
      </c>
    </row>
    <row r="1687" customFormat="false" ht="22.35" hidden="false" customHeight="false" outlineLevel="0" collapsed="false">
      <c r="A1687" s="76" t="str">
        <f aca="false">B1687&amp;"|"&amp;C1687&amp;"|"&amp;D1687&amp;"|"&amp;E1687</f>
        <v>BTU|2|Senin|13:15</v>
      </c>
      <c r="B1687" s="76" t="s">
        <v>69</v>
      </c>
      <c r="C1687" s="76" t="n">
        <v>2</v>
      </c>
      <c r="D1687" s="76" t="s">
        <v>90</v>
      </c>
      <c r="E1687" s="76" t="s">
        <v>116</v>
      </c>
      <c r="F1687" s="77" t="s">
        <v>42</v>
      </c>
      <c r="G1687" s="77" t="n">
        <v>5</v>
      </c>
      <c r="H1687" s="77" t="n">
        <v>0</v>
      </c>
      <c r="I1687" s="76" t="n">
        <f aca="false">IF(AND(ISNUMBER(G1687),ISNUMBER(H1687)),MAX(G1687-H1687,0),"")</f>
        <v>5</v>
      </c>
      <c r="J1687" s="78" t="n">
        <f aca="false">IF(AND(ISNUMBER(G1687),ISNUMBER(H1687)),IF(G1687&gt;0,H1687/G1687,""),"")</f>
        <v>0</v>
      </c>
      <c r="K1687" s="77"/>
      <c r="L1687" s="76" t="str">
        <f aca="false">IF(OR(G1687="",H1687=""),"Data tidak lengkap",IF(AND(G1687=0,H1687=0),IF(AND(F1687="",K1687=""),"Tidak dibuka","Tutup"),IF(H1687&gt;G1687,"Lebih kapasitas",IF(H1687=G1687,"Penuh",IF(H1687=0,IF(F1687="","Slot kosong","Belum terisi"),"Sebagian")))))</f>
        <v>Belum terisi</v>
      </c>
      <c r="M1687" s="79" t="str">
        <f aca="false">IF(L1687="Tidak dibuka","–",IF(F1687="","(tanpa age group)",F1687)&amp;"  "&amp;IF(H1687="","?",H1687)&amp;"/"&amp;IF(G1687="","?",G1687)&amp;CHAR(10)&amp;IF(K1687="","coach: –","coach: "&amp;K1687))</f>
        <v>Tiny  0/5
coach: –</v>
      </c>
    </row>
    <row r="1688" customFormat="false" ht="22.35" hidden="false" customHeight="false" outlineLevel="0" collapsed="false">
      <c r="A1688" s="76" t="str">
        <f aca="false">B1688&amp;"|"&amp;C1688&amp;"|"&amp;D1688&amp;"|"&amp;E1688</f>
        <v>BTU|2|Senin|14:00</v>
      </c>
      <c r="B1688" s="76" t="s">
        <v>69</v>
      </c>
      <c r="C1688" s="76" t="n">
        <v>2</v>
      </c>
      <c r="D1688" s="76" t="s">
        <v>90</v>
      </c>
      <c r="E1688" s="76" t="s">
        <v>117</v>
      </c>
      <c r="F1688" s="77" t="s">
        <v>42</v>
      </c>
      <c r="G1688" s="77" t="n">
        <v>5</v>
      </c>
      <c r="H1688" s="77" t="n">
        <v>0</v>
      </c>
      <c r="I1688" s="76" t="n">
        <f aca="false">IF(AND(ISNUMBER(G1688),ISNUMBER(H1688)),MAX(G1688-H1688,0),"")</f>
        <v>5</v>
      </c>
      <c r="J1688" s="78" t="n">
        <f aca="false">IF(AND(ISNUMBER(G1688),ISNUMBER(H1688)),IF(G1688&gt;0,H1688/G1688,""),"")</f>
        <v>0</v>
      </c>
      <c r="K1688" s="77"/>
      <c r="L1688" s="76" t="str">
        <f aca="false">IF(OR(G1688="",H1688=""),"Data tidak lengkap",IF(AND(G1688=0,H1688=0),IF(AND(F1688="",K1688=""),"Tidak dibuka","Tutup"),IF(H1688&gt;G1688,"Lebih kapasitas",IF(H1688=G1688,"Penuh",IF(H1688=0,IF(F1688="","Slot kosong","Belum terisi"),"Sebagian")))))</f>
        <v>Belum terisi</v>
      </c>
      <c r="M1688" s="79" t="str">
        <f aca="false">IF(L1688="Tidak dibuka","–",IF(F1688="","(tanpa age group)",F1688)&amp;"  "&amp;IF(H1688="","?",H1688)&amp;"/"&amp;IF(G1688="","?",G1688)&amp;CHAR(10)&amp;IF(K1688="","coach: –","coach: "&amp;K1688))</f>
        <v>Tiny  0/5
coach: –</v>
      </c>
    </row>
    <row r="1689" customFormat="false" ht="22.35" hidden="false" customHeight="false" outlineLevel="0" collapsed="false">
      <c r="A1689" s="76" t="str">
        <f aca="false">B1689&amp;"|"&amp;C1689&amp;"|"&amp;D1689&amp;"|"&amp;E1689</f>
        <v>BTU|2|Senin|14:45</v>
      </c>
      <c r="B1689" s="76" t="s">
        <v>69</v>
      </c>
      <c r="C1689" s="76" t="n">
        <v>2</v>
      </c>
      <c r="D1689" s="76" t="s">
        <v>90</v>
      </c>
      <c r="E1689" s="76" t="s">
        <v>118</v>
      </c>
      <c r="F1689" s="77" t="s">
        <v>42</v>
      </c>
      <c r="G1689" s="77" t="n">
        <v>5</v>
      </c>
      <c r="H1689" s="77" t="n">
        <v>0</v>
      </c>
      <c r="I1689" s="76" t="n">
        <f aca="false">IF(AND(ISNUMBER(G1689),ISNUMBER(H1689)),MAX(G1689-H1689,0),"")</f>
        <v>5</v>
      </c>
      <c r="J1689" s="78" t="n">
        <f aca="false">IF(AND(ISNUMBER(G1689),ISNUMBER(H1689)),IF(G1689&gt;0,H1689/G1689,""),"")</f>
        <v>0</v>
      </c>
      <c r="K1689" s="77"/>
      <c r="L1689" s="76" t="str">
        <f aca="false">IF(OR(G1689="",H1689=""),"Data tidak lengkap",IF(AND(G1689=0,H1689=0),IF(AND(F1689="",K1689=""),"Tidak dibuka","Tutup"),IF(H1689&gt;G1689,"Lebih kapasitas",IF(H1689=G1689,"Penuh",IF(H1689=0,IF(F1689="","Slot kosong","Belum terisi"),"Sebagian")))))</f>
        <v>Belum terisi</v>
      </c>
      <c r="M1689" s="79" t="str">
        <f aca="false">IF(L1689="Tidak dibuka","–",IF(F1689="","(tanpa age group)",F1689)&amp;"  "&amp;IF(H1689="","?",H1689)&amp;"/"&amp;IF(G1689="","?",G1689)&amp;CHAR(10)&amp;IF(K1689="","coach: –","coach: "&amp;K1689))</f>
        <v>Tiny  0/5
coach: –</v>
      </c>
    </row>
    <row r="1690" customFormat="false" ht="22.35" hidden="false" customHeight="false" outlineLevel="0" collapsed="false">
      <c r="A1690" s="76" t="str">
        <f aca="false">B1690&amp;"|"&amp;C1690&amp;"|"&amp;D1690&amp;"|"&amp;E1690</f>
        <v>BTU|2|Senin|15:30</v>
      </c>
      <c r="B1690" s="76" t="s">
        <v>69</v>
      </c>
      <c r="C1690" s="76" t="n">
        <v>2</v>
      </c>
      <c r="D1690" s="76" t="s">
        <v>90</v>
      </c>
      <c r="E1690" s="76" t="s">
        <v>119</v>
      </c>
      <c r="F1690" s="77" t="s">
        <v>42</v>
      </c>
      <c r="G1690" s="77" t="n">
        <v>5</v>
      </c>
      <c r="H1690" s="77" t="n">
        <v>0</v>
      </c>
      <c r="I1690" s="76" t="n">
        <f aca="false">IF(AND(ISNUMBER(G1690),ISNUMBER(H1690)),MAX(G1690-H1690,0),"")</f>
        <v>5</v>
      </c>
      <c r="J1690" s="78" t="n">
        <f aca="false">IF(AND(ISNUMBER(G1690),ISNUMBER(H1690)),IF(G1690&gt;0,H1690/G1690,""),"")</f>
        <v>0</v>
      </c>
      <c r="K1690" s="77"/>
      <c r="L1690" s="76" t="str">
        <f aca="false">IF(OR(G1690="",H1690=""),"Data tidak lengkap",IF(AND(G1690=0,H1690=0),IF(AND(F1690="",K1690=""),"Tidak dibuka","Tutup"),IF(H1690&gt;G1690,"Lebih kapasitas",IF(H1690=G1690,"Penuh",IF(H1690=0,IF(F1690="","Slot kosong","Belum terisi"),"Sebagian")))))</f>
        <v>Belum terisi</v>
      </c>
      <c r="M1690" s="79" t="str">
        <f aca="false">IF(L1690="Tidak dibuka","–",IF(F1690="","(tanpa age group)",F1690)&amp;"  "&amp;IF(H1690="","?",H1690)&amp;"/"&amp;IF(G1690="","?",G1690)&amp;CHAR(10)&amp;IF(K1690="","coach: –","coach: "&amp;K1690))</f>
        <v>Tiny  0/5
coach: –</v>
      </c>
    </row>
    <row r="1691" customFormat="false" ht="22.35" hidden="false" customHeight="false" outlineLevel="0" collapsed="false">
      <c r="A1691" s="76" t="str">
        <f aca="false">B1691&amp;"|"&amp;C1691&amp;"|"&amp;D1691&amp;"|"&amp;E1691</f>
        <v>BTU|2|Senin|16:15</v>
      </c>
      <c r="B1691" s="76" t="s">
        <v>69</v>
      </c>
      <c r="C1691" s="76" t="n">
        <v>2</v>
      </c>
      <c r="D1691" s="76" t="s">
        <v>90</v>
      </c>
      <c r="E1691" s="76" t="s">
        <v>120</v>
      </c>
      <c r="F1691" s="77" t="s">
        <v>42</v>
      </c>
      <c r="G1691" s="77" t="n">
        <v>5</v>
      </c>
      <c r="H1691" s="77" t="n">
        <v>0</v>
      </c>
      <c r="I1691" s="76" t="n">
        <f aca="false">IF(AND(ISNUMBER(G1691),ISNUMBER(H1691)),MAX(G1691-H1691,0),"")</f>
        <v>5</v>
      </c>
      <c r="J1691" s="78" t="n">
        <f aca="false">IF(AND(ISNUMBER(G1691),ISNUMBER(H1691)),IF(G1691&gt;0,H1691/G1691,""),"")</f>
        <v>0</v>
      </c>
      <c r="K1691" s="77"/>
      <c r="L1691" s="76" t="str">
        <f aca="false">IF(OR(G1691="",H1691=""),"Data tidak lengkap",IF(AND(G1691=0,H1691=0),IF(AND(F1691="",K1691=""),"Tidak dibuka","Tutup"),IF(H1691&gt;G1691,"Lebih kapasitas",IF(H1691=G1691,"Penuh",IF(H1691=0,IF(F1691="","Slot kosong","Belum terisi"),"Sebagian")))))</f>
        <v>Belum terisi</v>
      </c>
      <c r="M1691" s="79" t="str">
        <f aca="false">IF(L1691="Tidak dibuka","–",IF(F1691="","(tanpa age group)",F1691)&amp;"  "&amp;IF(H1691="","?",H1691)&amp;"/"&amp;IF(G1691="","?",G1691)&amp;CHAR(10)&amp;IF(K1691="","coach: –","coach: "&amp;K1691))</f>
        <v>Tiny  0/5
coach: –</v>
      </c>
    </row>
    <row r="1692" customFormat="false" ht="22.35" hidden="false" customHeight="false" outlineLevel="0" collapsed="false">
      <c r="A1692" s="76" t="str">
        <f aca="false">B1692&amp;"|"&amp;C1692&amp;"|"&amp;D1692&amp;"|"&amp;E1692</f>
        <v>BTU|2|Senin|17:00</v>
      </c>
      <c r="B1692" s="76" t="s">
        <v>69</v>
      </c>
      <c r="C1692" s="76" t="n">
        <v>2</v>
      </c>
      <c r="D1692" s="76" t="s">
        <v>90</v>
      </c>
      <c r="E1692" s="76" t="s">
        <v>121</v>
      </c>
      <c r="F1692" s="77" t="s">
        <v>42</v>
      </c>
      <c r="G1692" s="77" t="n">
        <v>5</v>
      </c>
      <c r="H1692" s="77" t="n">
        <v>0</v>
      </c>
      <c r="I1692" s="76" t="n">
        <f aca="false">IF(AND(ISNUMBER(G1692),ISNUMBER(H1692)),MAX(G1692-H1692,0),"")</f>
        <v>5</v>
      </c>
      <c r="J1692" s="78" t="n">
        <f aca="false">IF(AND(ISNUMBER(G1692),ISNUMBER(H1692)),IF(G1692&gt;0,H1692/G1692,""),"")</f>
        <v>0</v>
      </c>
      <c r="K1692" s="77"/>
      <c r="L1692" s="76" t="str">
        <f aca="false">IF(OR(G1692="",H1692=""),"Data tidak lengkap",IF(AND(G1692=0,H1692=0),IF(AND(F1692="",K1692=""),"Tidak dibuka","Tutup"),IF(H1692&gt;G1692,"Lebih kapasitas",IF(H1692=G1692,"Penuh",IF(H1692=0,IF(F1692="","Slot kosong","Belum terisi"),"Sebagian")))))</f>
        <v>Belum terisi</v>
      </c>
      <c r="M1692" s="79" t="str">
        <f aca="false">IF(L1692="Tidak dibuka","–",IF(F1692="","(tanpa age group)",F1692)&amp;"  "&amp;IF(H1692="","?",H1692)&amp;"/"&amp;IF(G1692="","?",G1692)&amp;CHAR(10)&amp;IF(K1692="","coach: –","coach: "&amp;K1692))</f>
        <v>Tiny  0/5
coach: –</v>
      </c>
    </row>
    <row r="1693" customFormat="false" ht="22.35" hidden="false" customHeight="false" outlineLevel="0" collapsed="false">
      <c r="A1693" s="76" t="str">
        <f aca="false">B1693&amp;"|"&amp;C1693&amp;"|"&amp;D1693&amp;"|"&amp;E1693</f>
        <v>BTU|2|Selasa|08:00</v>
      </c>
      <c r="B1693" s="76" t="s">
        <v>69</v>
      </c>
      <c r="C1693" s="76" t="n">
        <v>2</v>
      </c>
      <c r="D1693" s="76" t="s">
        <v>91</v>
      </c>
      <c r="E1693" s="76" t="s">
        <v>110</v>
      </c>
      <c r="F1693" s="77" t="s">
        <v>42</v>
      </c>
      <c r="G1693" s="77" t="n">
        <v>5</v>
      </c>
      <c r="H1693" s="77" t="n">
        <v>0</v>
      </c>
      <c r="I1693" s="76" t="n">
        <f aca="false">IF(AND(ISNUMBER(G1693),ISNUMBER(H1693)),MAX(G1693-H1693,0),"")</f>
        <v>5</v>
      </c>
      <c r="J1693" s="78" t="n">
        <f aca="false">IF(AND(ISNUMBER(G1693),ISNUMBER(H1693)),IF(G1693&gt;0,H1693/G1693,""),"")</f>
        <v>0</v>
      </c>
      <c r="K1693" s="77"/>
      <c r="L1693" s="76" t="str">
        <f aca="false">IF(OR(G1693="",H1693=""),"Data tidak lengkap",IF(AND(G1693=0,H1693=0),IF(AND(F1693="",K1693=""),"Tidak dibuka","Tutup"),IF(H1693&gt;G1693,"Lebih kapasitas",IF(H1693=G1693,"Penuh",IF(H1693=0,IF(F1693="","Slot kosong","Belum terisi"),"Sebagian")))))</f>
        <v>Belum terisi</v>
      </c>
      <c r="M1693" s="79" t="str">
        <f aca="false">IF(L1693="Tidak dibuka","–",IF(F1693="","(tanpa age group)",F1693)&amp;"  "&amp;IF(H1693="","?",H1693)&amp;"/"&amp;IF(G1693="","?",G1693)&amp;CHAR(10)&amp;IF(K1693="","coach: –","coach: "&amp;K1693))</f>
        <v>Tiny  0/5
coach: –</v>
      </c>
    </row>
    <row r="1694" customFormat="false" ht="22.35" hidden="false" customHeight="false" outlineLevel="0" collapsed="false">
      <c r="A1694" s="76" t="str">
        <f aca="false">B1694&amp;"|"&amp;C1694&amp;"|"&amp;D1694&amp;"|"&amp;E1694</f>
        <v>BTU|2|Selasa|08:45</v>
      </c>
      <c r="B1694" s="76" t="s">
        <v>69</v>
      </c>
      <c r="C1694" s="76" t="n">
        <v>2</v>
      </c>
      <c r="D1694" s="76" t="s">
        <v>91</v>
      </c>
      <c r="E1694" s="76" t="s">
        <v>111</v>
      </c>
      <c r="F1694" s="77" t="s">
        <v>42</v>
      </c>
      <c r="G1694" s="77" t="n">
        <v>5</v>
      </c>
      <c r="H1694" s="77" t="n">
        <v>0</v>
      </c>
      <c r="I1694" s="76" t="n">
        <f aca="false">IF(AND(ISNUMBER(G1694),ISNUMBER(H1694)),MAX(G1694-H1694,0),"")</f>
        <v>5</v>
      </c>
      <c r="J1694" s="78" t="n">
        <f aca="false">IF(AND(ISNUMBER(G1694),ISNUMBER(H1694)),IF(G1694&gt;0,H1694/G1694,""),"")</f>
        <v>0</v>
      </c>
      <c r="K1694" s="77"/>
      <c r="L1694" s="76" t="str">
        <f aca="false">IF(OR(G1694="",H1694=""),"Data tidak lengkap",IF(AND(G1694=0,H1694=0),IF(AND(F1694="",K1694=""),"Tidak dibuka","Tutup"),IF(H1694&gt;G1694,"Lebih kapasitas",IF(H1694=G1694,"Penuh",IF(H1694=0,IF(F1694="","Slot kosong","Belum terisi"),"Sebagian")))))</f>
        <v>Belum terisi</v>
      </c>
      <c r="M1694" s="79" t="str">
        <f aca="false">IF(L1694="Tidak dibuka","–",IF(F1694="","(tanpa age group)",F1694)&amp;"  "&amp;IF(H1694="","?",H1694)&amp;"/"&amp;IF(G1694="","?",G1694)&amp;CHAR(10)&amp;IF(K1694="","coach: –","coach: "&amp;K1694))</f>
        <v>Tiny  0/5
coach: –</v>
      </c>
    </row>
    <row r="1695" customFormat="false" ht="22.35" hidden="false" customHeight="false" outlineLevel="0" collapsed="false">
      <c r="A1695" s="76" t="str">
        <f aca="false">B1695&amp;"|"&amp;C1695&amp;"|"&amp;D1695&amp;"|"&amp;E1695</f>
        <v>BTU|2|Selasa|09:30</v>
      </c>
      <c r="B1695" s="76" t="s">
        <v>69</v>
      </c>
      <c r="C1695" s="76" t="n">
        <v>2</v>
      </c>
      <c r="D1695" s="76" t="s">
        <v>91</v>
      </c>
      <c r="E1695" s="76" t="s">
        <v>112</v>
      </c>
      <c r="F1695" s="77" t="s">
        <v>42</v>
      </c>
      <c r="G1695" s="77" t="n">
        <v>5</v>
      </c>
      <c r="H1695" s="77" t="n">
        <v>0</v>
      </c>
      <c r="I1695" s="76" t="n">
        <f aca="false">IF(AND(ISNUMBER(G1695),ISNUMBER(H1695)),MAX(G1695-H1695,0),"")</f>
        <v>5</v>
      </c>
      <c r="J1695" s="78" t="n">
        <f aca="false">IF(AND(ISNUMBER(G1695),ISNUMBER(H1695)),IF(G1695&gt;0,H1695/G1695,""),"")</f>
        <v>0</v>
      </c>
      <c r="K1695" s="77"/>
      <c r="L1695" s="76" t="str">
        <f aca="false">IF(OR(G1695="",H1695=""),"Data tidak lengkap",IF(AND(G1695=0,H1695=0),IF(AND(F1695="",K1695=""),"Tidak dibuka","Tutup"),IF(H1695&gt;G1695,"Lebih kapasitas",IF(H1695=G1695,"Penuh",IF(H1695=0,IF(F1695="","Slot kosong","Belum terisi"),"Sebagian")))))</f>
        <v>Belum terisi</v>
      </c>
      <c r="M1695" s="79" t="str">
        <f aca="false">IF(L1695="Tidak dibuka","–",IF(F1695="","(tanpa age group)",F1695)&amp;"  "&amp;IF(H1695="","?",H1695)&amp;"/"&amp;IF(G1695="","?",G1695)&amp;CHAR(10)&amp;IF(K1695="","coach: –","coach: "&amp;K1695))</f>
        <v>Tiny  0/5
coach: –</v>
      </c>
    </row>
    <row r="1696" customFormat="false" ht="22.35" hidden="false" customHeight="false" outlineLevel="0" collapsed="false">
      <c r="A1696" s="76" t="str">
        <f aca="false">B1696&amp;"|"&amp;C1696&amp;"|"&amp;D1696&amp;"|"&amp;E1696</f>
        <v>BTU|2|Selasa|10:15</v>
      </c>
      <c r="B1696" s="76" t="s">
        <v>69</v>
      </c>
      <c r="C1696" s="76" t="n">
        <v>2</v>
      </c>
      <c r="D1696" s="76" t="s">
        <v>91</v>
      </c>
      <c r="E1696" s="76" t="s">
        <v>113</v>
      </c>
      <c r="F1696" s="77" t="s">
        <v>42</v>
      </c>
      <c r="G1696" s="77" t="n">
        <v>5</v>
      </c>
      <c r="H1696" s="77" t="n">
        <v>0</v>
      </c>
      <c r="I1696" s="76" t="n">
        <f aca="false">IF(AND(ISNUMBER(G1696),ISNUMBER(H1696)),MAX(G1696-H1696,0),"")</f>
        <v>5</v>
      </c>
      <c r="J1696" s="78" t="n">
        <f aca="false">IF(AND(ISNUMBER(G1696),ISNUMBER(H1696)),IF(G1696&gt;0,H1696/G1696,""),"")</f>
        <v>0</v>
      </c>
      <c r="K1696" s="77"/>
      <c r="L1696" s="76" t="str">
        <f aca="false">IF(OR(G1696="",H1696=""),"Data tidak lengkap",IF(AND(G1696=0,H1696=0),IF(AND(F1696="",K1696=""),"Tidak dibuka","Tutup"),IF(H1696&gt;G1696,"Lebih kapasitas",IF(H1696=G1696,"Penuh",IF(H1696=0,IF(F1696="","Slot kosong","Belum terisi"),"Sebagian")))))</f>
        <v>Belum terisi</v>
      </c>
      <c r="M1696" s="79" t="str">
        <f aca="false">IF(L1696="Tidak dibuka","–",IF(F1696="","(tanpa age group)",F1696)&amp;"  "&amp;IF(H1696="","?",H1696)&amp;"/"&amp;IF(G1696="","?",G1696)&amp;CHAR(10)&amp;IF(K1696="","coach: –","coach: "&amp;K1696))</f>
        <v>Tiny  0/5
coach: –</v>
      </c>
    </row>
    <row r="1697" customFormat="false" ht="22.35" hidden="false" customHeight="false" outlineLevel="0" collapsed="false">
      <c r="A1697" s="76" t="str">
        <f aca="false">B1697&amp;"|"&amp;C1697&amp;"|"&amp;D1697&amp;"|"&amp;E1697</f>
        <v>BTU|2|Selasa|11:00</v>
      </c>
      <c r="B1697" s="76" t="s">
        <v>69</v>
      </c>
      <c r="C1697" s="76" t="n">
        <v>2</v>
      </c>
      <c r="D1697" s="76" t="s">
        <v>91</v>
      </c>
      <c r="E1697" s="76" t="s">
        <v>114</v>
      </c>
      <c r="F1697" s="77" t="s">
        <v>42</v>
      </c>
      <c r="G1697" s="77" t="n">
        <v>5</v>
      </c>
      <c r="H1697" s="77" t="n">
        <v>0</v>
      </c>
      <c r="I1697" s="76" t="n">
        <f aca="false">IF(AND(ISNUMBER(G1697),ISNUMBER(H1697)),MAX(G1697-H1697,0),"")</f>
        <v>5</v>
      </c>
      <c r="J1697" s="78" t="n">
        <f aca="false">IF(AND(ISNUMBER(G1697),ISNUMBER(H1697)),IF(G1697&gt;0,H1697/G1697,""),"")</f>
        <v>0</v>
      </c>
      <c r="K1697" s="77"/>
      <c r="L1697" s="76" t="str">
        <f aca="false">IF(OR(G1697="",H1697=""),"Data tidak lengkap",IF(AND(G1697=0,H1697=0),IF(AND(F1697="",K1697=""),"Tidak dibuka","Tutup"),IF(H1697&gt;G1697,"Lebih kapasitas",IF(H1697=G1697,"Penuh",IF(H1697=0,IF(F1697="","Slot kosong","Belum terisi"),"Sebagian")))))</f>
        <v>Belum terisi</v>
      </c>
      <c r="M1697" s="79" t="str">
        <f aca="false">IF(L1697="Tidak dibuka","–",IF(F1697="","(tanpa age group)",F1697)&amp;"  "&amp;IF(H1697="","?",H1697)&amp;"/"&amp;IF(G1697="","?",G1697)&amp;CHAR(10)&amp;IF(K1697="","coach: –","coach: "&amp;K1697))</f>
        <v>Tiny  0/5
coach: –</v>
      </c>
    </row>
    <row r="1698" customFormat="false" ht="22.35" hidden="false" customHeight="false" outlineLevel="0" collapsed="false">
      <c r="A1698" s="76" t="str">
        <f aca="false">B1698&amp;"|"&amp;C1698&amp;"|"&amp;D1698&amp;"|"&amp;E1698</f>
        <v>BTU|2|Selasa|11:45</v>
      </c>
      <c r="B1698" s="76" t="s">
        <v>69</v>
      </c>
      <c r="C1698" s="76" t="n">
        <v>2</v>
      </c>
      <c r="D1698" s="76" t="s">
        <v>91</v>
      </c>
      <c r="E1698" s="76" t="s">
        <v>115</v>
      </c>
      <c r="F1698" s="77" t="s">
        <v>42</v>
      </c>
      <c r="G1698" s="77" t="n">
        <v>5</v>
      </c>
      <c r="H1698" s="77" t="n">
        <v>0</v>
      </c>
      <c r="I1698" s="76" t="n">
        <f aca="false">IF(AND(ISNUMBER(G1698),ISNUMBER(H1698)),MAX(G1698-H1698,0),"")</f>
        <v>5</v>
      </c>
      <c r="J1698" s="78" t="n">
        <f aca="false">IF(AND(ISNUMBER(G1698),ISNUMBER(H1698)),IF(G1698&gt;0,H1698/G1698,""),"")</f>
        <v>0</v>
      </c>
      <c r="K1698" s="77"/>
      <c r="L1698" s="76" t="str">
        <f aca="false">IF(OR(G1698="",H1698=""),"Data tidak lengkap",IF(AND(G1698=0,H1698=0),IF(AND(F1698="",K1698=""),"Tidak dibuka","Tutup"),IF(H1698&gt;G1698,"Lebih kapasitas",IF(H1698=G1698,"Penuh",IF(H1698=0,IF(F1698="","Slot kosong","Belum terisi"),"Sebagian")))))</f>
        <v>Belum terisi</v>
      </c>
      <c r="M1698" s="79" t="str">
        <f aca="false">IF(L1698="Tidak dibuka","–",IF(F1698="","(tanpa age group)",F1698)&amp;"  "&amp;IF(H1698="","?",H1698)&amp;"/"&amp;IF(G1698="","?",G1698)&amp;CHAR(10)&amp;IF(K1698="","coach: –","coach: "&amp;K1698))</f>
        <v>Tiny  0/5
coach: –</v>
      </c>
    </row>
    <row r="1699" customFormat="false" ht="22.35" hidden="false" customHeight="false" outlineLevel="0" collapsed="false">
      <c r="A1699" s="76" t="str">
        <f aca="false">B1699&amp;"|"&amp;C1699&amp;"|"&amp;D1699&amp;"|"&amp;E1699</f>
        <v>BTU|2|Selasa|13:15</v>
      </c>
      <c r="B1699" s="76" t="s">
        <v>69</v>
      </c>
      <c r="C1699" s="76" t="n">
        <v>2</v>
      </c>
      <c r="D1699" s="76" t="s">
        <v>91</v>
      </c>
      <c r="E1699" s="76" t="s">
        <v>116</v>
      </c>
      <c r="F1699" s="77" t="s">
        <v>42</v>
      </c>
      <c r="G1699" s="77" t="n">
        <v>5</v>
      </c>
      <c r="H1699" s="77" t="n">
        <v>0</v>
      </c>
      <c r="I1699" s="76" t="n">
        <f aca="false">IF(AND(ISNUMBER(G1699),ISNUMBER(H1699)),MAX(G1699-H1699,0),"")</f>
        <v>5</v>
      </c>
      <c r="J1699" s="78" t="n">
        <f aca="false">IF(AND(ISNUMBER(G1699),ISNUMBER(H1699)),IF(G1699&gt;0,H1699/G1699,""),"")</f>
        <v>0</v>
      </c>
      <c r="K1699" s="77"/>
      <c r="L1699" s="76" t="str">
        <f aca="false">IF(OR(G1699="",H1699=""),"Data tidak lengkap",IF(AND(G1699=0,H1699=0),IF(AND(F1699="",K1699=""),"Tidak dibuka","Tutup"),IF(H1699&gt;G1699,"Lebih kapasitas",IF(H1699=G1699,"Penuh",IF(H1699=0,IF(F1699="","Slot kosong","Belum terisi"),"Sebagian")))))</f>
        <v>Belum terisi</v>
      </c>
      <c r="M1699" s="79" t="str">
        <f aca="false">IF(L1699="Tidak dibuka","–",IF(F1699="","(tanpa age group)",F1699)&amp;"  "&amp;IF(H1699="","?",H1699)&amp;"/"&amp;IF(G1699="","?",G1699)&amp;CHAR(10)&amp;IF(K1699="","coach: –","coach: "&amp;K1699))</f>
        <v>Tiny  0/5
coach: –</v>
      </c>
    </row>
    <row r="1700" customFormat="false" ht="22.35" hidden="false" customHeight="false" outlineLevel="0" collapsed="false">
      <c r="A1700" s="76" t="str">
        <f aca="false">B1700&amp;"|"&amp;C1700&amp;"|"&amp;D1700&amp;"|"&amp;E1700</f>
        <v>BTU|2|Selasa|14:00</v>
      </c>
      <c r="B1700" s="76" t="s">
        <v>69</v>
      </c>
      <c r="C1700" s="76" t="n">
        <v>2</v>
      </c>
      <c r="D1700" s="76" t="s">
        <v>91</v>
      </c>
      <c r="E1700" s="76" t="s">
        <v>117</v>
      </c>
      <c r="F1700" s="77" t="s">
        <v>42</v>
      </c>
      <c r="G1700" s="77" t="n">
        <v>5</v>
      </c>
      <c r="H1700" s="77" t="n">
        <v>0</v>
      </c>
      <c r="I1700" s="76" t="n">
        <f aca="false">IF(AND(ISNUMBER(G1700),ISNUMBER(H1700)),MAX(G1700-H1700,0),"")</f>
        <v>5</v>
      </c>
      <c r="J1700" s="78" t="n">
        <f aca="false">IF(AND(ISNUMBER(G1700),ISNUMBER(H1700)),IF(G1700&gt;0,H1700/G1700,""),"")</f>
        <v>0</v>
      </c>
      <c r="K1700" s="77"/>
      <c r="L1700" s="76" t="str">
        <f aca="false">IF(OR(G1700="",H1700=""),"Data tidak lengkap",IF(AND(G1700=0,H1700=0),IF(AND(F1700="",K1700=""),"Tidak dibuka","Tutup"),IF(H1700&gt;G1700,"Lebih kapasitas",IF(H1700=G1700,"Penuh",IF(H1700=0,IF(F1700="","Slot kosong","Belum terisi"),"Sebagian")))))</f>
        <v>Belum terisi</v>
      </c>
      <c r="M1700" s="79" t="str">
        <f aca="false">IF(L1700="Tidak dibuka","–",IF(F1700="","(tanpa age group)",F1700)&amp;"  "&amp;IF(H1700="","?",H1700)&amp;"/"&amp;IF(G1700="","?",G1700)&amp;CHAR(10)&amp;IF(K1700="","coach: –","coach: "&amp;K1700))</f>
        <v>Tiny  0/5
coach: –</v>
      </c>
    </row>
    <row r="1701" customFormat="false" ht="22.35" hidden="false" customHeight="false" outlineLevel="0" collapsed="false">
      <c r="A1701" s="76" t="str">
        <f aca="false">B1701&amp;"|"&amp;C1701&amp;"|"&amp;D1701&amp;"|"&amp;E1701</f>
        <v>BTU|2|Selasa|14:45</v>
      </c>
      <c r="B1701" s="76" t="s">
        <v>69</v>
      </c>
      <c r="C1701" s="76" t="n">
        <v>2</v>
      </c>
      <c r="D1701" s="76" t="s">
        <v>91</v>
      </c>
      <c r="E1701" s="76" t="s">
        <v>118</v>
      </c>
      <c r="F1701" s="77" t="s">
        <v>42</v>
      </c>
      <c r="G1701" s="77" t="n">
        <v>5</v>
      </c>
      <c r="H1701" s="77" t="n">
        <v>0</v>
      </c>
      <c r="I1701" s="76" t="n">
        <f aca="false">IF(AND(ISNUMBER(G1701),ISNUMBER(H1701)),MAX(G1701-H1701,0),"")</f>
        <v>5</v>
      </c>
      <c r="J1701" s="78" t="n">
        <f aca="false">IF(AND(ISNUMBER(G1701),ISNUMBER(H1701)),IF(G1701&gt;0,H1701/G1701,""),"")</f>
        <v>0</v>
      </c>
      <c r="K1701" s="77"/>
      <c r="L1701" s="76" t="str">
        <f aca="false">IF(OR(G1701="",H1701=""),"Data tidak lengkap",IF(AND(G1701=0,H1701=0),IF(AND(F1701="",K1701=""),"Tidak dibuka","Tutup"),IF(H1701&gt;G1701,"Lebih kapasitas",IF(H1701=G1701,"Penuh",IF(H1701=0,IF(F1701="","Slot kosong","Belum terisi"),"Sebagian")))))</f>
        <v>Belum terisi</v>
      </c>
      <c r="M1701" s="79" t="str">
        <f aca="false">IF(L1701="Tidak dibuka","–",IF(F1701="","(tanpa age group)",F1701)&amp;"  "&amp;IF(H1701="","?",H1701)&amp;"/"&amp;IF(G1701="","?",G1701)&amp;CHAR(10)&amp;IF(K1701="","coach: –","coach: "&amp;K1701))</f>
        <v>Tiny  0/5
coach: –</v>
      </c>
    </row>
    <row r="1702" customFormat="false" ht="22.35" hidden="false" customHeight="false" outlineLevel="0" collapsed="false">
      <c r="A1702" s="76" t="str">
        <f aca="false">B1702&amp;"|"&amp;C1702&amp;"|"&amp;D1702&amp;"|"&amp;E1702</f>
        <v>BTU|2|Selasa|15:30</v>
      </c>
      <c r="B1702" s="76" t="s">
        <v>69</v>
      </c>
      <c r="C1702" s="76" t="n">
        <v>2</v>
      </c>
      <c r="D1702" s="76" t="s">
        <v>91</v>
      </c>
      <c r="E1702" s="76" t="s">
        <v>119</v>
      </c>
      <c r="F1702" s="77" t="s">
        <v>42</v>
      </c>
      <c r="G1702" s="77" t="n">
        <v>5</v>
      </c>
      <c r="H1702" s="77" t="n">
        <v>0</v>
      </c>
      <c r="I1702" s="76" t="n">
        <f aca="false">IF(AND(ISNUMBER(G1702),ISNUMBER(H1702)),MAX(G1702-H1702,0),"")</f>
        <v>5</v>
      </c>
      <c r="J1702" s="78" t="n">
        <f aca="false">IF(AND(ISNUMBER(G1702),ISNUMBER(H1702)),IF(G1702&gt;0,H1702/G1702,""),"")</f>
        <v>0</v>
      </c>
      <c r="K1702" s="77"/>
      <c r="L1702" s="76" t="str">
        <f aca="false">IF(OR(G1702="",H1702=""),"Data tidak lengkap",IF(AND(G1702=0,H1702=0),IF(AND(F1702="",K1702=""),"Tidak dibuka","Tutup"),IF(H1702&gt;G1702,"Lebih kapasitas",IF(H1702=G1702,"Penuh",IF(H1702=0,IF(F1702="","Slot kosong","Belum terisi"),"Sebagian")))))</f>
        <v>Belum terisi</v>
      </c>
      <c r="M1702" s="79" t="str">
        <f aca="false">IF(L1702="Tidak dibuka","–",IF(F1702="","(tanpa age group)",F1702)&amp;"  "&amp;IF(H1702="","?",H1702)&amp;"/"&amp;IF(G1702="","?",G1702)&amp;CHAR(10)&amp;IF(K1702="","coach: –","coach: "&amp;K1702))</f>
        <v>Tiny  0/5
coach: –</v>
      </c>
    </row>
    <row r="1703" customFormat="false" ht="22.35" hidden="false" customHeight="false" outlineLevel="0" collapsed="false">
      <c r="A1703" s="76" t="str">
        <f aca="false">B1703&amp;"|"&amp;C1703&amp;"|"&amp;D1703&amp;"|"&amp;E1703</f>
        <v>BTU|2|Selasa|16:15</v>
      </c>
      <c r="B1703" s="76" t="s">
        <v>69</v>
      </c>
      <c r="C1703" s="76" t="n">
        <v>2</v>
      </c>
      <c r="D1703" s="76" t="s">
        <v>91</v>
      </c>
      <c r="E1703" s="76" t="s">
        <v>120</v>
      </c>
      <c r="F1703" s="77" t="s">
        <v>42</v>
      </c>
      <c r="G1703" s="77" t="n">
        <v>5</v>
      </c>
      <c r="H1703" s="77" t="n">
        <v>0</v>
      </c>
      <c r="I1703" s="76" t="n">
        <f aca="false">IF(AND(ISNUMBER(G1703),ISNUMBER(H1703)),MAX(G1703-H1703,0),"")</f>
        <v>5</v>
      </c>
      <c r="J1703" s="78" t="n">
        <f aca="false">IF(AND(ISNUMBER(G1703),ISNUMBER(H1703)),IF(G1703&gt;0,H1703/G1703,""),"")</f>
        <v>0</v>
      </c>
      <c r="K1703" s="77"/>
      <c r="L1703" s="76" t="str">
        <f aca="false">IF(OR(G1703="",H1703=""),"Data tidak lengkap",IF(AND(G1703=0,H1703=0),IF(AND(F1703="",K1703=""),"Tidak dibuka","Tutup"),IF(H1703&gt;G1703,"Lebih kapasitas",IF(H1703=G1703,"Penuh",IF(H1703=0,IF(F1703="","Slot kosong","Belum terisi"),"Sebagian")))))</f>
        <v>Belum terisi</v>
      </c>
      <c r="M1703" s="79" t="str">
        <f aca="false">IF(L1703="Tidak dibuka","–",IF(F1703="","(tanpa age group)",F1703)&amp;"  "&amp;IF(H1703="","?",H1703)&amp;"/"&amp;IF(G1703="","?",G1703)&amp;CHAR(10)&amp;IF(K1703="","coach: –","coach: "&amp;K1703))</f>
        <v>Tiny  0/5
coach: –</v>
      </c>
    </row>
    <row r="1704" customFormat="false" ht="22.35" hidden="false" customHeight="false" outlineLevel="0" collapsed="false">
      <c r="A1704" s="76" t="str">
        <f aca="false">B1704&amp;"|"&amp;C1704&amp;"|"&amp;D1704&amp;"|"&amp;E1704</f>
        <v>BTU|2|Selasa|17:00</v>
      </c>
      <c r="B1704" s="76" t="s">
        <v>69</v>
      </c>
      <c r="C1704" s="76" t="n">
        <v>2</v>
      </c>
      <c r="D1704" s="76" t="s">
        <v>91</v>
      </c>
      <c r="E1704" s="76" t="s">
        <v>121</v>
      </c>
      <c r="F1704" s="77" t="s">
        <v>42</v>
      </c>
      <c r="G1704" s="77" t="n">
        <v>5</v>
      </c>
      <c r="H1704" s="77" t="n">
        <v>0</v>
      </c>
      <c r="I1704" s="76" t="n">
        <f aca="false">IF(AND(ISNUMBER(G1704),ISNUMBER(H1704)),MAX(G1704-H1704,0),"")</f>
        <v>5</v>
      </c>
      <c r="J1704" s="78" t="n">
        <f aca="false">IF(AND(ISNUMBER(G1704),ISNUMBER(H1704)),IF(G1704&gt;0,H1704/G1704,""),"")</f>
        <v>0</v>
      </c>
      <c r="K1704" s="77"/>
      <c r="L1704" s="76" t="str">
        <f aca="false">IF(OR(G1704="",H1704=""),"Data tidak lengkap",IF(AND(G1704=0,H1704=0),IF(AND(F1704="",K1704=""),"Tidak dibuka","Tutup"),IF(H1704&gt;G1704,"Lebih kapasitas",IF(H1704=G1704,"Penuh",IF(H1704=0,IF(F1704="","Slot kosong","Belum terisi"),"Sebagian")))))</f>
        <v>Belum terisi</v>
      </c>
      <c r="M1704" s="79" t="str">
        <f aca="false">IF(L1704="Tidak dibuka","–",IF(F1704="","(tanpa age group)",F1704)&amp;"  "&amp;IF(H1704="","?",H1704)&amp;"/"&amp;IF(G1704="","?",G1704)&amp;CHAR(10)&amp;IF(K1704="","coach: –","coach: "&amp;K1704))</f>
        <v>Tiny  0/5
coach: –</v>
      </c>
    </row>
    <row r="1705" customFormat="false" ht="22.35" hidden="false" customHeight="false" outlineLevel="0" collapsed="false">
      <c r="A1705" s="76" t="str">
        <f aca="false">B1705&amp;"|"&amp;C1705&amp;"|"&amp;D1705&amp;"|"&amp;E1705</f>
        <v>BTU|2|Rabu|08:00</v>
      </c>
      <c r="B1705" s="76" t="s">
        <v>69</v>
      </c>
      <c r="C1705" s="76" t="n">
        <v>2</v>
      </c>
      <c r="D1705" s="76" t="s">
        <v>92</v>
      </c>
      <c r="E1705" s="76" t="s">
        <v>110</v>
      </c>
      <c r="F1705" s="77" t="s">
        <v>42</v>
      </c>
      <c r="G1705" s="77" t="n">
        <v>5</v>
      </c>
      <c r="H1705" s="77" t="n">
        <v>0</v>
      </c>
      <c r="I1705" s="76" t="n">
        <f aca="false">IF(AND(ISNUMBER(G1705),ISNUMBER(H1705)),MAX(G1705-H1705,0),"")</f>
        <v>5</v>
      </c>
      <c r="J1705" s="78" t="n">
        <f aca="false">IF(AND(ISNUMBER(G1705),ISNUMBER(H1705)),IF(G1705&gt;0,H1705/G1705,""),"")</f>
        <v>0</v>
      </c>
      <c r="K1705" s="77"/>
      <c r="L1705" s="76" t="str">
        <f aca="false">IF(OR(G1705="",H1705=""),"Data tidak lengkap",IF(AND(G1705=0,H1705=0),IF(AND(F1705="",K1705=""),"Tidak dibuka","Tutup"),IF(H1705&gt;G1705,"Lebih kapasitas",IF(H1705=G1705,"Penuh",IF(H1705=0,IF(F1705="","Slot kosong","Belum terisi"),"Sebagian")))))</f>
        <v>Belum terisi</v>
      </c>
      <c r="M1705" s="79" t="str">
        <f aca="false">IF(L1705="Tidak dibuka","–",IF(F1705="","(tanpa age group)",F1705)&amp;"  "&amp;IF(H1705="","?",H1705)&amp;"/"&amp;IF(G1705="","?",G1705)&amp;CHAR(10)&amp;IF(K1705="","coach: –","coach: "&amp;K1705))</f>
        <v>Tiny  0/5
coach: –</v>
      </c>
    </row>
    <row r="1706" customFormat="false" ht="22.35" hidden="false" customHeight="false" outlineLevel="0" collapsed="false">
      <c r="A1706" s="76" t="str">
        <f aca="false">B1706&amp;"|"&amp;C1706&amp;"|"&amp;D1706&amp;"|"&amp;E1706</f>
        <v>BTU|2|Rabu|08:45</v>
      </c>
      <c r="B1706" s="76" t="s">
        <v>69</v>
      </c>
      <c r="C1706" s="76" t="n">
        <v>2</v>
      </c>
      <c r="D1706" s="76" t="s">
        <v>92</v>
      </c>
      <c r="E1706" s="76" t="s">
        <v>111</v>
      </c>
      <c r="F1706" s="77" t="s">
        <v>42</v>
      </c>
      <c r="G1706" s="77" t="n">
        <v>5</v>
      </c>
      <c r="H1706" s="77" t="n">
        <v>0</v>
      </c>
      <c r="I1706" s="76" t="n">
        <f aca="false">IF(AND(ISNUMBER(G1706),ISNUMBER(H1706)),MAX(G1706-H1706,0),"")</f>
        <v>5</v>
      </c>
      <c r="J1706" s="78" t="n">
        <f aca="false">IF(AND(ISNUMBER(G1706),ISNUMBER(H1706)),IF(G1706&gt;0,H1706/G1706,""),"")</f>
        <v>0</v>
      </c>
      <c r="K1706" s="77"/>
      <c r="L1706" s="76" t="str">
        <f aca="false">IF(OR(G1706="",H1706=""),"Data tidak lengkap",IF(AND(G1706=0,H1706=0),IF(AND(F1706="",K1706=""),"Tidak dibuka","Tutup"),IF(H1706&gt;G1706,"Lebih kapasitas",IF(H1706=G1706,"Penuh",IF(H1706=0,IF(F1706="","Slot kosong","Belum terisi"),"Sebagian")))))</f>
        <v>Belum terisi</v>
      </c>
      <c r="M1706" s="79" t="str">
        <f aca="false">IF(L1706="Tidak dibuka","–",IF(F1706="","(tanpa age group)",F1706)&amp;"  "&amp;IF(H1706="","?",H1706)&amp;"/"&amp;IF(G1706="","?",G1706)&amp;CHAR(10)&amp;IF(K1706="","coach: –","coach: "&amp;K1706))</f>
        <v>Tiny  0/5
coach: –</v>
      </c>
    </row>
    <row r="1707" customFormat="false" ht="22.35" hidden="false" customHeight="false" outlineLevel="0" collapsed="false">
      <c r="A1707" s="76" t="str">
        <f aca="false">B1707&amp;"|"&amp;C1707&amp;"|"&amp;D1707&amp;"|"&amp;E1707</f>
        <v>BTU|2|Rabu|09:30</v>
      </c>
      <c r="B1707" s="76" t="s">
        <v>69</v>
      </c>
      <c r="C1707" s="76" t="n">
        <v>2</v>
      </c>
      <c r="D1707" s="76" t="s">
        <v>92</v>
      </c>
      <c r="E1707" s="76" t="s">
        <v>112</v>
      </c>
      <c r="F1707" s="77" t="s">
        <v>42</v>
      </c>
      <c r="G1707" s="77" t="n">
        <v>5</v>
      </c>
      <c r="H1707" s="77" t="n">
        <v>2</v>
      </c>
      <c r="I1707" s="76" t="n">
        <f aca="false">IF(AND(ISNUMBER(G1707),ISNUMBER(H1707)),MAX(G1707-H1707,0),"")</f>
        <v>3</v>
      </c>
      <c r="J1707" s="78" t="n">
        <f aca="false">IF(AND(ISNUMBER(G1707),ISNUMBER(H1707)),IF(G1707&gt;0,H1707/G1707,""),"")</f>
        <v>0.4</v>
      </c>
      <c r="K1707" s="77" t="s">
        <v>437</v>
      </c>
      <c r="L1707" s="76" t="str">
        <f aca="false">IF(OR(G1707="",H1707=""),"Data tidak lengkap",IF(AND(G1707=0,H1707=0),IF(AND(F1707="",K1707=""),"Tidak dibuka","Tutup"),IF(H1707&gt;G1707,"Lebih kapasitas",IF(H1707=G1707,"Penuh",IF(H1707=0,IF(F1707="","Slot kosong","Belum terisi"),"Sebagian")))))</f>
        <v>Sebagian</v>
      </c>
      <c r="M1707" s="79" t="str">
        <f aca="false">IF(L1707="Tidak dibuka","–",IF(F1707="","(tanpa age group)",F1707)&amp;"  "&amp;IF(H1707="","?",H1707)&amp;"/"&amp;IF(G1707="","?",G1707)&amp;CHAR(10)&amp;IF(K1707="","coach: –","coach: "&amp;K1707))</f>
        <v>Tiny  2/5
coach: Doni</v>
      </c>
    </row>
    <row r="1708" customFormat="false" ht="22.35" hidden="false" customHeight="false" outlineLevel="0" collapsed="false">
      <c r="A1708" s="76" t="str">
        <f aca="false">B1708&amp;"|"&amp;C1708&amp;"|"&amp;D1708&amp;"|"&amp;E1708</f>
        <v>BTU|2|Rabu|10:15</v>
      </c>
      <c r="B1708" s="76" t="s">
        <v>69</v>
      </c>
      <c r="C1708" s="76" t="n">
        <v>2</v>
      </c>
      <c r="D1708" s="76" t="s">
        <v>92</v>
      </c>
      <c r="E1708" s="76" t="s">
        <v>113</v>
      </c>
      <c r="F1708" s="77" t="s">
        <v>42</v>
      </c>
      <c r="G1708" s="77" t="n">
        <v>5</v>
      </c>
      <c r="H1708" s="77" t="n">
        <v>4</v>
      </c>
      <c r="I1708" s="76" t="n">
        <f aca="false">IF(AND(ISNUMBER(G1708),ISNUMBER(H1708)),MAX(G1708-H1708,0),"")</f>
        <v>1</v>
      </c>
      <c r="J1708" s="78" t="n">
        <f aca="false">IF(AND(ISNUMBER(G1708),ISNUMBER(H1708)),IF(G1708&gt;0,H1708/G1708,""),"")</f>
        <v>0.8</v>
      </c>
      <c r="K1708" s="77" t="s">
        <v>433</v>
      </c>
      <c r="L1708" s="76" t="str">
        <f aca="false">IF(OR(G1708="",H1708=""),"Data tidak lengkap",IF(AND(G1708=0,H1708=0),IF(AND(F1708="",K1708=""),"Tidak dibuka","Tutup"),IF(H1708&gt;G1708,"Lebih kapasitas",IF(H1708=G1708,"Penuh",IF(H1708=0,IF(F1708="","Slot kosong","Belum terisi"),"Sebagian")))))</f>
        <v>Sebagian</v>
      </c>
      <c r="M1708" s="79" t="str">
        <f aca="false">IF(L1708="Tidak dibuka","–",IF(F1708="","(tanpa age group)",F1708)&amp;"  "&amp;IF(H1708="","?",H1708)&amp;"/"&amp;IF(G1708="","?",G1708)&amp;CHAR(10)&amp;IF(K1708="","coach: –","coach: "&amp;K1708))</f>
        <v>Tiny  4/5
coach: Shofi</v>
      </c>
    </row>
    <row r="1709" customFormat="false" ht="22.35" hidden="false" customHeight="false" outlineLevel="0" collapsed="false">
      <c r="A1709" s="76" t="str">
        <f aca="false">B1709&amp;"|"&amp;C1709&amp;"|"&amp;D1709&amp;"|"&amp;E1709</f>
        <v>BTU|2|Rabu|11:00</v>
      </c>
      <c r="B1709" s="76" t="s">
        <v>69</v>
      </c>
      <c r="C1709" s="76" t="n">
        <v>2</v>
      </c>
      <c r="D1709" s="76" t="s">
        <v>92</v>
      </c>
      <c r="E1709" s="76" t="s">
        <v>114</v>
      </c>
      <c r="F1709" s="77" t="s">
        <v>42</v>
      </c>
      <c r="G1709" s="77" t="n">
        <v>5</v>
      </c>
      <c r="H1709" s="77" t="n">
        <v>0</v>
      </c>
      <c r="I1709" s="76" t="n">
        <f aca="false">IF(AND(ISNUMBER(G1709),ISNUMBER(H1709)),MAX(G1709-H1709,0),"")</f>
        <v>5</v>
      </c>
      <c r="J1709" s="78" t="n">
        <f aca="false">IF(AND(ISNUMBER(G1709),ISNUMBER(H1709)),IF(G1709&gt;0,H1709/G1709,""),"")</f>
        <v>0</v>
      </c>
      <c r="K1709" s="77"/>
      <c r="L1709" s="76" t="str">
        <f aca="false">IF(OR(G1709="",H1709=""),"Data tidak lengkap",IF(AND(G1709=0,H1709=0),IF(AND(F1709="",K1709=""),"Tidak dibuka","Tutup"),IF(H1709&gt;G1709,"Lebih kapasitas",IF(H1709=G1709,"Penuh",IF(H1709=0,IF(F1709="","Slot kosong","Belum terisi"),"Sebagian")))))</f>
        <v>Belum terisi</v>
      </c>
      <c r="M1709" s="79" t="str">
        <f aca="false">IF(L1709="Tidak dibuka","–",IF(F1709="","(tanpa age group)",F1709)&amp;"  "&amp;IF(H1709="","?",H1709)&amp;"/"&amp;IF(G1709="","?",G1709)&amp;CHAR(10)&amp;IF(K1709="","coach: –","coach: "&amp;K1709))</f>
        <v>Tiny  0/5
coach: –</v>
      </c>
    </row>
    <row r="1710" customFormat="false" ht="22.35" hidden="false" customHeight="false" outlineLevel="0" collapsed="false">
      <c r="A1710" s="76" t="str">
        <f aca="false">B1710&amp;"|"&amp;C1710&amp;"|"&amp;D1710&amp;"|"&amp;E1710</f>
        <v>BTU|2|Rabu|11:45</v>
      </c>
      <c r="B1710" s="76" t="s">
        <v>69</v>
      </c>
      <c r="C1710" s="76" t="n">
        <v>2</v>
      </c>
      <c r="D1710" s="76" t="s">
        <v>92</v>
      </c>
      <c r="E1710" s="76" t="s">
        <v>115</v>
      </c>
      <c r="F1710" s="77" t="s">
        <v>42</v>
      </c>
      <c r="G1710" s="77" t="n">
        <v>5</v>
      </c>
      <c r="H1710" s="77" t="n">
        <v>0</v>
      </c>
      <c r="I1710" s="76" t="n">
        <f aca="false">IF(AND(ISNUMBER(G1710),ISNUMBER(H1710)),MAX(G1710-H1710,0),"")</f>
        <v>5</v>
      </c>
      <c r="J1710" s="78" t="n">
        <f aca="false">IF(AND(ISNUMBER(G1710),ISNUMBER(H1710)),IF(G1710&gt;0,H1710/G1710,""),"")</f>
        <v>0</v>
      </c>
      <c r="K1710" s="77"/>
      <c r="L1710" s="76" t="str">
        <f aca="false">IF(OR(G1710="",H1710=""),"Data tidak lengkap",IF(AND(G1710=0,H1710=0),IF(AND(F1710="",K1710=""),"Tidak dibuka","Tutup"),IF(H1710&gt;G1710,"Lebih kapasitas",IF(H1710=G1710,"Penuh",IF(H1710=0,IF(F1710="","Slot kosong","Belum terisi"),"Sebagian")))))</f>
        <v>Belum terisi</v>
      </c>
      <c r="M1710" s="79" t="str">
        <f aca="false">IF(L1710="Tidak dibuka","–",IF(F1710="","(tanpa age group)",F1710)&amp;"  "&amp;IF(H1710="","?",H1710)&amp;"/"&amp;IF(G1710="","?",G1710)&amp;CHAR(10)&amp;IF(K1710="","coach: –","coach: "&amp;K1710))</f>
        <v>Tiny  0/5
coach: –</v>
      </c>
    </row>
    <row r="1711" customFormat="false" ht="22.35" hidden="false" customHeight="false" outlineLevel="0" collapsed="false">
      <c r="A1711" s="76" t="str">
        <f aca="false">B1711&amp;"|"&amp;C1711&amp;"|"&amp;D1711&amp;"|"&amp;E1711</f>
        <v>BTU|2|Rabu|13:15</v>
      </c>
      <c r="B1711" s="76" t="s">
        <v>69</v>
      </c>
      <c r="C1711" s="76" t="n">
        <v>2</v>
      </c>
      <c r="D1711" s="76" t="s">
        <v>92</v>
      </c>
      <c r="E1711" s="76" t="s">
        <v>116</v>
      </c>
      <c r="F1711" s="77" t="s">
        <v>42</v>
      </c>
      <c r="G1711" s="77" t="n">
        <v>5</v>
      </c>
      <c r="H1711" s="77" t="n">
        <v>0</v>
      </c>
      <c r="I1711" s="76" t="n">
        <f aca="false">IF(AND(ISNUMBER(G1711),ISNUMBER(H1711)),MAX(G1711-H1711,0),"")</f>
        <v>5</v>
      </c>
      <c r="J1711" s="78" t="n">
        <f aca="false">IF(AND(ISNUMBER(G1711),ISNUMBER(H1711)),IF(G1711&gt;0,H1711/G1711,""),"")</f>
        <v>0</v>
      </c>
      <c r="K1711" s="77"/>
      <c r="L1711" s="76" t="str">
        <f aca="false">IF(OR(G1711="",H1711=""),"Data tidak lengkap",IF(AND(G1711=0,H1711=0),IF(AND(F1711="",K1711=""),"Tidak dibuka","Tutup"),IF(H1711&gt;G1711,"Lebih kapasitas",IF(H1711=G1711,"Penuh",IF(H1711=0,IF(F1711="","Slot kosong","Belum terisi"),"Sebagian")))))</f>
        <v>Belum terisi</v>
      </c>
      <c r="M1711" s="79" t="str">
        <f aca="false">IF(L1711="Tidak dibuka","–",IF(F1711="","(tanpa age group)",F1711)&amp;"  "&amp;IF(H1711="","?",H1711)&amp;"/"&amp;IF(G1711="","?",G1711)&amp;CHAR(10)&amp;IF(K1711="","coach: –","coach: "&amp;K1711))</f>
        <v>Tiny  0/5
coach: –</v>
      </c>
    </row>
    <row r="1712" customFormat="false" ht="22.35" hidden="false" customHeight="false" outlineLevel="0" collapsed="false">
      <c r="A1712" s="76" t="str">
        <f aca="false">B1712&amp;"|"&amp;C1712&amp;"|"&amp;D1712&amp;"|"&amp;E1712</f>
        <v>BTU|2|Rabu|14:00</v>
      </c>
      <c r="B1712" s="76" t="s">
        <v>69</v>
      </c>
      <c r="C1712" s="76" t="n">
        <v>2</v>
      </c>
      <c r="D1712" s="76" t="s">
        <v>92</v>
      </c>
      <c r="E1712" s="76" t="s">
        <v>117</v>
      </c>
      <c r="F1712" s="77" t="s">
        <v>42</v>
      </c>
      <c r="G1712" s="77" t="n">
        <v>5</v>
      </c>
      <c r="H1712" s="77" t="n">
        <v>0</v>
      </c>
      <c r="I1712" s="76" t="n">
        <f aca="false">IF(AND(ISNUMBER(G1712),ISNUMBER(H1712)),MAX(G1712-H1712,0),"")</f>
        <v>5</v>
      </c>
      <c r="J1712" s="78" t="n">
        <f aca="false">IF(AND(ISNUMBER(G1712),ISNUMBER(H1712)),IF(G1712&gt;0,H1712/G1712,""),"")</f>
        <v>0</v>
      </c>
      <c r="K1712" s="77"/>
      <c r="L1712" s="76" t="str">
        <f aca="false">IF(OR(G1712="",H1712=""),"Data tidak lengkap",IF(AND(G1712=0,H1712=0),IF(AND(F1712="",K1712=""),"Tidak dibuka","Tutup"),IF(H1712&gt;G1712,"Lebih kapasitas",IF(H1712=G1712,"Penuh",IF(H1712=0,IF(F1712="","Slot kosong","Belum terisi"),"Sebagian")))))</f>
        <v>Belum terisi</v>
      </c>
      <c r="M1712" s="79" t="str">
        <f aca="false">IF(L1712="Tidak dibuka","–",IF(F1712="","(tanpa age group)",F1712)&amp;"  "&amp;IF(H1712="","?",H1712)&amp;"/"&amp;IF(G1712="","?",G1712)&amp;CHAR(10)&amp;IF(K1712="","coach: –","coach: "&amp;K1712))</f>
        <v>Tiny  0/5
coach: –</v>
      </c>
    </row>
    <row r="1713" customFormat="false" ht="22.35" hidden="false" customHeight="false" outlineLevel="0" collapsed="false">
      <c r="A1713" s="76" t="str">
        <f aca="false">B1713&amp;"|"&amp;C1713&amp;"|"&amp;D1713&amp;"|"&amp;E1713</f>
        <v>BTU|2|Rabu|14:45</v>
      </c>
      <c r="B1713" s="76" t="s">
        <v>69</v>
      </c>
      <c r="C1713" s="76" t="n">
        <v>2</v>
      </c>
      <c r="D1713" s="76" t="s">
        <v>92</v>
      </c>
      <c r="E1713" s="76" t="s">
        <v>118</v>
      </c>
      <c r="F1713" s="77" t="s">
        <v>42</v>
      </c>
      <c r="G1713" s="77" t="n">
        <v>5</v>
      </c>
      <c r="H1713" s="77" t="n">
        <v>0</v>
      </c>
      <c r="I1713" s="76" t="n">
        <f aca="false">IF(AND(ISNUMBER(G1713),ISNUMBER(H1713)),MAX(G1713-H1713,0),"")</f>
        <v>5</v>
      </c>
      <c r="J1713" s="78" t="n">
        <f aca="false">IF(AND(ISNUMBER(G1713),ISNUMBER(H1713)),IF(G1713&gt;0,H1713/G1713,""),"")</f>
        <v>0</v>
      </c>
      <c r="K1713" s="77"/>
      <c r="L1713" s="76" t="str">
        <f aca="false">IF(OR(G1713="",H1713=""),"Data tidak lengkap",IF(AND(G1713=0,H1713=0),IF(AND(F1713="",K1713=""),"Tidak dibuka","Tutup"),IF(H1713&gt;G1713,"Lebih kapasitas",IF(H1713=G1713,"Penuh",IF(H1713=0,IF(F1713="","Slot kosong","Belum terisi"),"Sebagian")))))</f>
        <v>Belum terisi</v>
      </c>
      <c r="M1713" s="79" t="str">
        <f aca="false">IF(L1713="Tidak dibuka","–",IF(F1713="","(tanpa age group)",F1713)&amp;"  "&amp;IF(H1713="","?",H1713)&amp;"/"&amp;IF(G1713="","?",G1713)&amp;CHAR(10)&amp;IF(K1713="","coach: –","coach: "&amp;K1713))</f>
        <v>Tiny  0/5
coach: –</v>
      </c>
    </row>
    <row r="1714" customFormat="false" ht="22.35" hidden="false" customHeight="false" outlineLevel="0" collapsed="false">
      <c r="A1714" s="76" t="str">
        <f aca="false">B1714&amp;"|"&amp;C1714&amp;"|"&amp;D1714&amp;"|"&amp;E1714</f>
        <v>BTU|2|Rabu|15:30</v>
      </c>
      <c r="B1714" s="76" t="s">
        <v>69</v>
      </c>
      <c r="C1714" s="76" t="n">
        <v>2</v>
      </c>
      <c r="D1714" s="76" t="s">
        <v>92</v>
      </c>
      <c r="E1714" s="76" t="s">
        <v>119</v>
      </c>
      <c r="F1714" s="77" t="s">
        <v>42</v>
      </c>
      <c r="G1714" s="77" t="n">
        <v>5</v>
      </c>
      <c r="H1714" s="77" t="n">
        <v>0</v>
      </c>
      <c r="I1714" s="76" t="n">
        <f aca="false">IF(AND(ISNUMBER(G1714),ISNUMBER(H1714)),MAX(G1714-H1714,0),"")</f>
        <v>5</v>
      </c>
      <c r="J1714" s="78" t="n">
        <f aca="false">IF(AND(ISNUMBER(G1714),ISNUMBER(H1714)),IF(G1714&gt;0,H1714/G1714,""),"")</f>
        <v>0</v>
      </c>
      <c r="K1714" s="77"/>
      <c r="L1714" s="76" t="str">
        <f aca="false">IF(OR(G1714="",H1714=""),"Data tidak lengkap",IF(AND(G1714=0,H1714=0),IF(AND(F1714="",K1714=""),"Tidak dibuka","Tutup"),IF(H1714&gt;G1714,"Lebih kapasitas",IF(H1714=G1714,"Penuh",IF(H1714=0,IF(F1714="","Slot kosong","Belum terisi"),"Sebagian")))))</f>
        <v>Belum terisi</v>
      </c>
      <c r="M1714" s="79" t="str">
        <f aca="false">IF(L1714="Tidak dibuka","–",IF(F1714="","(tanpa age group)",F1714)&amp;"  "&amp;IF(H1714="","?",H1714)&amp;"/"&amp;IF(G1714="","?",G1714)&amp;CHAR(10)&amp;IF(K1714="","coach: –","coach: "&amp;K1714))</f>
        <v>Tiny  0/5
coach: –</v>
      </c>
    </row>
    <row r="1715" customFormat="false" ht="22.35" hidden="false" customHeight="false" outlineLevel="0" collapsed="false">
      <c r="A1715" s="76" t="str">
        <f aca="false">B1715&amp;"|"&amp;C1715&amp;"|"&amp;D1715&amp;"|"&amp;E1715</f>
        <v>BTU|2|Rabu|16:15</v>
      </c>
      <c r="B1715" s="76" t="s">
        <v>69</v>
      </c>
      <c r="C1715" s="76" t="n">
        <v>2</v>
      </c>
      <c r="D1715" s="76" t="s">
        <v>92</v>
      </c>
      <c r="E1715" s="76" t="s">
        <v>120</v>
      </c>
      <c r="F1715" s="77" t="s">
        <v>42</v>
      </c>
      <c r="G1715" s="77" t="n">
        <v>5</v>
      </c>
      <c r="H1715" s="77" t="n">
        <v>0</v>
      </c>
      <c r="I1715" s="76" t="n">
        <f aca="false">IF(AND(ISNUMBER(G1715),ISNUMBER(H1715)),MAX(G1715-H1715,0),"")</f>
        <v>5</v>
      </c>
      <c r="J1715" s="78" t="n">
        <f aca="false">IF(AND(ISNUMBER(G1715),ISNUMBER(H1715)),IF(G1715&gt;0,H1715/G1715,""),"")</f>
        <v>0</v>
      </c>
      <c r="K1715" s="77"/>
      <c r="L1715" s="76" t="str">
        <f aca="false">IF(OR(G1715="",H1715=""),"Data tidak lengkap",IF(AND(G1715=0,H1715=0),IF(AND(F1715="",K1715=""),"Tidak dibuka","Tutup"),IF(H1715&gt;G1715,"Lebih kapasitas",IF(H1715=G1715,"Penuh",IF(H1715=0,IF(F1715="","Slot kosong","Belum terisi"),"Sebagian")))))</f>
        <v>Belum terisi</v>
      </c>
      <c r="M1715" s="79" t="str">
        <f aca="false">IF(L1715="Tidak dibuka","–",IF(F1715="","(tanpa age group)",F1715)&amp;"  "&amp;IF(H1715="","?",H1715)&amp;"/"&amp;IF(G1715="","?",G1715)&amp;CHAR(10)&amp;IF(K1715="","coach: –","coach: "&amp;K1715))</f>
        <v>Tiny  0/5
coach: –</v>
      </c>
    </row>
    <row r="1716" customFormat="false" ht="22.35" hidden="false" customHeight="false" outlineLevel="0" collapsed="false">
      <c r="A1716" s="76" t="str">
        <f aca="false">B1716&amp;"|"&amp;C1716&amp;"|"&amp;D1716&amp;"|"&amp;E1716</f>
        <v>BTU|2|Rabu|17:00</v>
      </c>
      <c r="B1716" s="76" t="s">
        <v>69</v>
      </c>
      <c r="C1716" s="76" t="n">
        <v>2</v>
      </c>
      <c r="D1716" s="76" t="s">
        <v>92</v>
      </c>
      <c r="E1716" s="76" t="s">
        <v>121</v>
      </c>
      <c r="F1716" s="77" t="s">
        <v>42</v>
      </c>
      <c r="G1716" s="77" t="n">
        <v>5</v>
      </c>
      <c r="H1716" s="77" t="n">
        <v>0</v>
      </c>
      <c r="I1716" s="76" t="n">
        <f aca="false">IF(AND(ISNUMBER(G1716),ISNUMBER(H1716)),MAX(G1716-H1716,0),"")</f>
        <v>5</v>
      </c>
      <c r="J1716" s="78" t="n">
        <f aca="false">IF(AND(ISNUMBER(G1716),ISNUMBER(H1716)),IF(G1716&gt;0,H1716/G1716,""),"")</f>
        <v>0</v>
      </c>
      <c r="K1716" s="77"/>
      <c r="L1716" s="76" t="str">
        <f aca="false">IF(OR(G1716="",H1716=""),"Data tidak lengkap",IF(AND(G1716=0,H1716=0),IF(AND(F1716="",K1716=""),"Tidak dibuka","Tutup"),IF(H1716&gt;G1716,"Lebih kapasitas",IF(H1716=G1716,"Penuh",IF(H1716=0,IF(F1716="","Slot kosong","Belum terisi"),"Sebagian")))))</f>
        <v>Belum terisi</v>
      </c>
      <c r="M1716" s="79" t="str">
        <f aca="false">IF(L1716="Tidak dibuka","–",IF(F1716="","(tanpa age group)",F1716)&amp;"  "&amp;IF(H1716="","?",H1716)&amp;"/"&amp;IF(G1716="","?",G1716)&amp;CHAR(10)&amp;IF(K1716="","coach: –","coach: "&amp;K1716))</f>
        <v>Tiny  0/5
coach: –</v>
      </c>
    </row>
    <row r="1717" customFormat="false" ht="22.35" hidden="false" customHeight="false" outlineLevel="0" collapsed="false">
      <c r="A1717" s="76" t="str">
        <f aca="false">B1717&amp;"|"&amp;C1717&amp;"|"&amp;D1717&amp;"|"&amp;E1717</f>
        <v>BTU|2|Kamis|08:00</v>
      </c>
      <c r="B1717" s="76" t="s">
        <v>69</v>
      </c>
      <c r="C1717" s="76" t="n">
        <v>2</v>
      </c>
      <c r="D1717" s="76" t="s">
        <v>93</v>
      </c>
      <c r="E1717" s="76" t="s">
        <v>110</v>
      </c>
      <c r="F1717" s="77" t="s">
        <v>42</v>
      </c>
      <c r="G1717" s="77" t="n">
        <v>5</v>
      </c>
      <c r="H1717" s="77" t="n">
        <v>0</v>
      </c>
      <c r="I1717" s="76" t="n">
        <f aca="false">IF(AND(ISNUMBER(G1717),ISNUMBER(H1717)),MAX(G1717-H1717,0),"")</f>
        <v>5</v>
      </c>
      <c r="J1717" s="78" t="n">
        <f aca="false">IF(AND(ISNUMBER(G1717),ISNUMBER(H1717)),IF(G1717&gt;0,H1717/G1717,""),"")</f>
        <v>0</v>
      </c>
      <c r="K1717" s="77"/>
      <c r="L1717" s="76" t="str">
        <f aca="false">IF(OR(G1717="",H1717=""),"Data tidak lengkap",IF(AND(G1717=0,H1717=0),IF(AND(F1717="",K1717=""),"Tidak dibuka","Tutup"),IF(H1717&gt;G1717,"Lebih kapasitas",IF(H1717=G1717,"Penuh",IF(H1717=0,IF(F1717="","Slot kosong","Belum terisi"),"Sebagian")))))</f>
        <v>Belum terisi</v>
      </c>
      <c r="M1717" s="79" t="str">
        <f aca="false">IF(L1717="Tidak dibuka","–",IF(F1717="","(tanpa age group)",F1717)&amp;"  "&amp;IF(H1717="","?",H1717)&amp;"/"&amp;IF(G1717="","?",G1717)&amp;CHAR(10)&amp;IF(K1717="","coach: –","coach: "&amp;K1717))</f>
        <v>Tiny  0/5
coach: –</v>
      </c>
    </row>
    <row r="1718" customFormat="false" ht="22.35" hidden="false" customHeight="false" outlineLevel="0" collapsed="false">
      <c r="A1718" s="76" t="str">
        <f aca="false">B1718&amp;"|"&amp;C1718&amp;"|"&amp;D1718&amp;"|"&amp;E1718</f>
        <v>BTU|2|Kamis|08:45</v>
      </c>
      <c r="B1718" s="76" t="s">
        <v>69</v>
      </c>
      <c r="C1718" s="76" t="n">
        <v>2</v>
      </c>
      <c r="D1718" s="76" t="s">
        <v>93</v>
      </c>
      <c r="E1718" s="76" t="s">
        <v>111</v>
      </c>
      <c r="F1718" s="77" t="s">
        <v>42</v>
      </c>
      <c r="G1718" s="77" t="n">
        <v>5</v>
      </c>
      <c r="H1718" s="77" t="n">
        <v>1</v>
      </c>
      <c r="I1718" s="76" t="n">
        <f aca="false">IF(AND(ISNUMBER(G1718),ISNUMBER(H1718)),MAX(G1718-H1718,0),"")</f>
        <v>4</v>
      </c>
      <c r="J1718" s="78" t="n">
        <f aca="false">IF(AND(ISNUMBER(G1718),ISNUMBER(H1718)),IF(G1718&gt;0,H1718/G1718,""),"")</f>
        <v>0.2</v>
      </c>
      <c r="K1718" s="77" t="s">
        <v>434</v>
      </c>
      <c r="L1718" s="76" t="str">
        <f aca="false">IF(OR(G1718="",H1718=""),"Data tidak lengkap",IF(AND(G1718=0,H1718=0),IF(AND(F1718="",K1718=""),"Tidak dibuka","Tutup"),IF(H1718&gt;G1718,"Lebih kapasitas",IF(H1718=G1718,"Penuh",IF(H1718=0,IF(F1718="","Slot kosong","Belum terisi"),"Sebagian")))))</f>
        <v>Sebagian</v>
      </c>
      <c r="M1718" s="79" t="str">
        <f aca="false">IF(L1718="Tidak dibuka","–",IF(F1718="","(tanpa age group)",F1718)&amp;"  "&amp;IF(H1718="","?",H1718)&amp;"/"&amp;IF(G1718="","?",G1718)&amp;CHAR(10)&amp;IF(K1718="","coach: –","coach: "&amp;K1718))</f>
        <v>Tiny  1/5
coach: Alfi</v>
      </c>
    </row>
    <row r="1719" customFormat="false" ht="22.35" hidden="false" customHeight="false" outlineLevel="0" collapsed="false">
      <c r="A1719" s="76" t="str">
        <f aca="false">B1719&amp;"|"&amp;C1719&amp;"|"&amp;D1719&amp;"|"&amp;E1719</f>
        <v>BTU|2|Kamis|09:30</v>
      </c>
      <c r="B1719" s="76" t="s">
        <v>69</v>
      </c>
      <c r="C1719" s="76" t="n">
        <v>2</v>
      </c>
      <c r="D1719" s="76" t="s">
        <v>93</v>
      </c>
      <c r="E1719" s="76" t="s">
        <v>112</v>
      </c>
      <c r="F1719" s="77" t="s">
        <v>42</v>
      </c>
      <c r="G1719" s="77" t="n">
        <v>5</v>
      </c>
      <c r="H1719" s="77" t="n">
        <v>0</v>
      </c>
      <c r="I1719" s="76" t="n">
        <f aca="false">IF(AND(ISNUMBER(G1719),ISNUMBER(H1719)),MAX(G1719-H1719,0),"")</f>
        <v>5</v>
      </c>
      <c r="J1719" s="78" t="n">
        <f aca="false">IF(AND(ISNUMBER(G1719),ISNUMBER(H1719)),IF(G1719&gt;0,H1719/G1719,""),"")</f>
        <v>0</v>
      </c>
      <c r="K1719" s="77"/>
      <c r="L1719" s="76" t="str">
        <f aca="false">IF(OR(G1719="",H1719=""),"Data tidak lengkap",IF(AND(G1719=0,H1719=0),IF(AND(F1719="",K1719=""),"Tidak dibuka","Tutup"),IF(H1719&gt;G1719,"Lebih kapasitas",IF(H1719=G1719,"Penuh",IF(H1719=0,IF(F1719="","Slot kosong","Belum terisi"),"Sebagian")))))</f>
        <v>Belum terisi</v>
      </c>
      <c r="M1719" s="79" t="str">
        <f aca="false">IF(L1719="Tidak dibuka","–",IF(F1719="","(tanpa age group)",F1719)&amp;"  "&amp;IF(H1719="","?",H1719)&amp;"/"&amp;IF(G1719="","?",G1719)&amp;CHAR(10)&amp;IF(K1719="","coach: –","coach: "&amp;K1719))</f>
        <v>Tiny  0/5
coach: –</v>
      </c>
    </row>
    <row r="1720" customFormat="false" ht="22.35" hidden="false" customHeight="false" outlineLevel="0" collapsed="false">
      <c r="A1720" s="76" t="str">
        <f aca="false">B1720&amp;"|"&amp;C1720&amp;"|"&amp;D1720&amp;"|"&amp;E1720</f>
        <v>BTU|2|Kamis|10:15</v>
      </c>
      <c r="B1720" s="76" t="s">
        <v>69</v>
      </c>
      <c r="C1720" s="76" t="n">
        <v>2</v>
      </c>
      <c r="D1720" s="76" t="s">
        <v>93</v>
      </c>
      <c r="E1720" s="76" t="s">
        <v>113</v>
      </c>
      <c r="F1720" s="77" t="s">
        <v>42</v>
      </c>
      <c r="G1720" s="77" t="n">
        <v>5</v>
      </c>
      <c r="H1720" s="77" t="n">
        <v>0</v>
      </c>
      <c r="I1720" s="76" t="n">
        <f aca="false">IF(AND(ISNUMBER(G1720),ISNUMBER(H1720)),MAX(G1720-H1720,0),"")</f>
        <v>5</v>
      </c>
      <c r="J1720" s="78" t="n">
        <f aca="false">IF(AND(ISNUMBER(G1720),ISNUMBER(H1720)),IF(G1720&gt;0,H1720/G1720,""),"")</f>
        <v>0</v>
      </c>
      <c r="K1720" s="77"/>
      <c r="L1720" s="76" t="str">
        <f aca="false">IF(OR(G1720="",H1720=""),"Data tidak lengkap",IF(AND(G1720=0,H1720=0),IF(AND(F1720="",K1720=""),"Tidak dibuka","Tutup"),IF(H1720&gt;G1720,"Lebih kapasitas",IF(H1720=G1720,"Penuh",IF(H1720=0,IF(F1720="","Slot kosong","Belum terisi"),"Sebagian")))))</f>
        <v>Belum terisi</v>
      </c>
      <c r="M1720" s="79" t="str">
        <f aca="false">IF(L1720="Tidak dibuka","–",IF(F1720="","(tanpa age group)",F1720)&amp;"  "&amp;IF(H1720="","?",H1720)&amp;"/"&amp;IF(G1720="","?",G1720)&amp;CHAR(10)&amp;IF(K1720="","coach: –","coach: "&amp;K1720))</f>
        <v>Tiny  0/5
coach: –</v>
      </c>
    </row>
    <row r="1721" customFormat="false" ht="22.35" hidden="false" customHeight="false" outlineLevel="0" collapsed="false">
      <c r="A1721" s="76" t="str">
        <f aca="false">B1721&amp;"|"&amp;C1721&amp;"|"&amp;D1721&amp;"|"&amp;E1721</f>
        <v>BTU|2|Kamis|11:00</v>
      </c>
      <c r="B1721" s="76" t="s">
        <v>69</v>
      </c>
      <c r="C1721" s="76" t="n">
        <v>2</v>
      </c>
      <c r="D1721" s="76" t="s">
        <v>93</v>
      </c>
      <c r="E1721" s="76" t="s">
        <v>114</v>
      </c>
      <c r="F1721" s="77" t="s">
        <v>42</v>
      </c>
      <c r="G1721" s="77" t="n">
        <v>5</v>
      </c>
      <c r="H1721" s="77" t="n">
        <v>0</v>
      </c>
      <c r="I1721" s="76" t="n">
        <f aca="false">IF(AND(ISNUMBER(G1721),ISNUMBER(H1721)),MAX(G1721-H1721,0),"")</f>
        <v>5</v>
      </c>
      <c r="J1721" s="78" t="n">
        <f aca="false">IF(AND(ISNUMBER(G1721),ISNUMBER(H1721)),IF(G1721&gt;0,H1721/G1721,""),"")</f>
        <v>0</v>
      </c>
      <c r="K1721" s="77"/>
      <c r="L1721" s="76" t="str">
        <f aca="false">IF(OR(G1721="",H1721=""),"Data tidak lengkap",IF(AND(G1721=0,H1721=0),IF(AND(F1721="",K1721=""),"Tidak dibuka","Tutup"),IF(H1721&gt;G1721,"Lebih kapasitas",IF(H1721=G1721,"Penuh",IF(H1721=0,IF(F1721="","Slot kosong","Belum terisi"),"Sebagian")))))</f>
        <v>Belum terisi</v>
      </c>
      <c r="M1721" s="79" t="str">
        <f aca="false">IF(L1721="Tidak dibuka","–",IF(F1721="","(tanpa age group)",F1721)&amp;"  "&amp;IF(H1721="","?",H1721)&amp;"/"&amp;IF(G1721="","?",G1721)&amp;CHAR(10)&amp;IF(K1721="","coach: –","coach: "&amp;K1721))</f>
        <v>Tiny  0/5
coach: –</v>
      </c>
    </row>
    <row r="1722" customFormat="false" ht="22.35" hidden="false" customHeight="false" outlineLevel="0" collapsed="false">
      <c r="A1722" s="76" t="str">
        <f aca="false">B1722&amp;"|"&amp;C1722&amp;"|"&amp;D1722&amp;"|"&amp;E1722</f>
        <v>BTU|2|Kamis|11:45</v>
      </c>
      <c r="B1722" s="76" t="s">
        <v>69</v>
      </c>
      <c r="C1722" s="76" t="n">
        <v>2</v>
      </c>
      <c r="D1722" s="76" t="s">
        <v>93</v>
      </c>
      <c r="E1722" s="76" t="s">
        <v>115</v>
      </c>
      <c r="F1722" s="77" t="s">
        <v>42</v>
      </c>
      <c r="G1722" s="77" t="n">
        <v>5</v>
      </c>
      <c r="H1722" s="77" t="n">
        <v>0</v>
      </c>
      <c r="I1722" s="76" t="n">
        <f aca="false">IF(AND(ISNUMBER(G1722),ISNUMBER(H1722)),MAX(G1722-H1722,0),"")</f>
        <v>5</v>
      </c>
      <c r="J1722" s="78" t="n">
        <f aca="false">IF(AND(ISNUMBER(G1722),ISNUMBER(H1722)),IF(G1722&gt;0,H1722/G1722,""),"")</f>
        <v>0</v>
      </c>
      <c r="K1722" s="77"/>
      <c r="L1722" s="76" t="str">
        <f aca="false">IF(OR(G1722="",H1722=""),"Data tidak lengkap",IF(AND(G1722=0,H1722=0),IF(AND(F1722="",K1722=""),"Tidak dibuka","Tutup"),IF(H1722&gt;G1722,"Lebih kapasitas",IF(H1722=G1722,"Penuh",IF(H1722=0,IF(F1722="","Slot kosong","Belum terisi"),"Sebagian")))))</f>
        <v>Belum terisi</v>
      </c>
      <c r="M1722" s="79" t="str">
        <f aca="false">IF(L1722="Tidak dibuka","–",IF(F1722="","(tanpa age group)",F1722)&amp;"  "&amp;IF(H1722="","?",H1722)&amp;"/"&amp;IF(G1722="","?",G1722)&amp;CHAR(10)&amp;IF(K1722="","coach: –","coach: "&amp;K1722))</f>
        <v>Tiny  0/5
coach: –</v>
      </c>
    </row>
    <row r="1723" customFormat="false" ht="22.35" hidden="false" customHeight="false" outlineLevel="0" collapsed="false">
      <c r="A1723" s="76" t="str">
        <f aca="false">B1723&amp;"|"&amp;C1723&amp;"|"&amp;D1723&amp;"|"&amp;E1723</f>
        <v>BTU|2|Kamis|13:15</v>
      </c>
      <c r="B1723" s="76" t="s">
        <v>69</v>
      </c>
      <c r="C1723" s="76" t="n">
        <v>2</v>
      </c>
      <c r="D1723" s="76" t="s">
        <v>93</v>
      </c>
      <c r="E1723" s="76" t="s">
        <v>116</v>
      </c>
      <c r="F1723" s="77" t="s">
        <v>42</v>
      </c>
      <c r="G1723" s="77" t="n">
        <v>5</v>
      </c>
      <c r="H1723" s="77" t="n">
        <v>0</v>
      </c>
      <c r="I1723" s="76" t="n">
        <f aca="false">IF(AND(ISNUMBER(G1723),ISNUMBER(H1723)),MAX(G1723-H1723,0),"")</f>
        <v>5</v>
      </c>
      <c r="J1723" s="78" t="n">
        <f aca="false">IF(AND(ISNUMBER(G1723),ISNUMBER(H1723)),IF(G1723&gt;0,H1723/G1723,""),"")</f>
        <v>0</v>
      </c>
      <c r="K1723" s="77"/>
      <c r="L1723" s="76" t="str">
        <f aca="false">IF(OR(G1723="",H1723=""),"Data tidak lengkap",IF(AND(G1723=0,H1723=0),IF(AND(F1723="",K1723=""),"Tidak dibuka","Tutup"),IF(H1723&gt;G1723,"Lebih kapasitas",IF(H1723=G1723,"Penuh",IF(H1723=0,IF(F1723="","Slot kosong","Belum terisi"),"Sebagian")))))</f>
        <v>Belum terisi</v>
      </c>
      <c r="M1723" s="79" t="str">
        <f aca="false">IF(L1723="Tidak dibuka","–",IF(F1723="","(tanpa age group)",F1723)&amp;"  "&amp;IF(H1723="","?",H1723)&amp;"/"&amp;IF(G1723="","?",G1723)&amp;CHAR(10)&amp;IF(K1723="","coach: –","coach: "&amp;K1723))</f>
        <v>Tiny  0/5
coach: –</v>
      </c>
    </row>
    <row r="1724" customFormat="false" ht="22.35" hidden="false" customHeight="false" outlineLevel="0" collapsed="false">
      <c r="A1724" s="76" t="str">
        <f aca="false">B1724&amp;"|"&amp;C1724&amp;"|"&amp;D1724&amp;"|"&amp;E1724</f>
        <v>BTU|2|Kamis|14:00</v>
      </c>
      <c r="B1724" s="76" t="s">
        <v>69</v>
      </c>
      <c r="C1724" s="76" t="n">
        <v>2</v>
      </c>
      <c r="D1724" s="76" t="s">
        <v>93</v>
      </c>
      <c r="E1724" s="76" t="s">
        <v>117</v>
      </c>
      <c r="F1724" s="77" t="s">
        <v>42</v>
      </c>
      <c r="G1724" s="77" t="n">
        <v>5</v>
      </c>
      <c r="H1724" s="77" t="n">
        <v>0</v>
      </c>
      <c r="I1724" s="76" t="n">
        <f aca="false">IF(AND(ISNUMBER(G1724),ISNUMBER(H1724)),MAX(G1724-H1724,0),"")</f>
        <v>5</v>
      </c>
      <c r="J1724" s="78" t="n">
        <f aca="false">IF(AND(ISNUMBER(G1724),ISNUMBER(H1724)),IF(G1724&gt;0,H1724/G1724,""),"")</f>
        <v>0</v>
      </c>
      <c r="K1724" s="77"/>
      <c r="L1724" s="76" t="str">
        <f aca="false">IF(OR(G1724="",H1724=""),"Data tidak lengkap",IF(AND(G1724=0,H1724=0),IF(AND(F1724="",K1724=""),"Tidak dibuka","Tutup"),IF(H1724&gt;G1724,"Lebih kapasitas",IF(H1724=G1724,"Penuh",IF(H1724=0,IF(F1724="","Slot kosong","Belum terisi"),"Sebagian")))))</f>
        <v>Belum terisi</v>
      </c>
      <c r="M1724" s="79" t="str">
        <f aca="false">IF(L1724="Tidak dibuka","–",IF(F1724="","(tanpa age group)",F1724)&amp;"  "&amp;IF(H1724="","?",H1724)&amp;"/"&amp;IF(G1724="","?",G1724)&amp;CHAR(10)&amp;IF(K1724="","coach: –","coach: "&amp;K1724))</f>
        <v>Tiny  0/5
coach: –</v>
      </c>
    </row>
    <row r="1725" customFormat="false" ht="22.35" hidden="false" customHeight="false" outlineLevel="0" collapsed="false">
      <c r="A1725" s="76" t="str">
        <f aca="false">B1725&amp;"|"&amp;C1725&amp;"|"&amp;D1725&amp;"|"&amp;E1725</f>
        <v>BTU|2|Kamis|14:45</v>
      </c>
      <c r="B1725" s="76" t="s">
        <v>69</v>
      </c>
      <c r="C1725" s="76" t="n">
        <v>2</v>
      </c>
      <c r="D1725" s="76" t="s">
        <v>93</v>
      </c>
      <c r="E1725" s="76" t="s">
        <v>118</v>
      </c>
      <c r="F1725" s="77" t="s">
        <v>42</v>
      </c>
      <c r="G1725" s="77" t="n">
        <v>5</v>
      </c>
      <c r="H1725" s="77" t="n">
        <v>0</v>
      </c>
      <c r="I1725" s="76" t="n">
        <f aca="false">IF(AND(ISNUMBER(G1725),ISNUMBER(H1725)),MAX(G1725-H1725,0),"")</f>
        <v>5</v>
      </c>
      <c r="J1725" s="78" t="n">
        <f aca="false">IF(AND(ISNUMBER(G1725),ISNUMBER(H1725)),IF(G1725&gt;0,H1725/G1725,""),"")</f>
        <v>0</v>
      </c>
      <c r="K1725" s="77"/>
      <c r="L1725" s="76" t="str">
        <f aca="false">IF(OR(G1725="",H1725=""),"Data tidak lengkap",IF(AND(G1725=0,H1725=0),IF(AND(F1725="",K1725=""),"Tidak dibuka","Tutup"),IF(H1725&gt;G1725,"Lebih kapasitas",IF(H1725=G1725,"Penuh",IF(H1725=0,IF(F1725="","Slot kosong","Belum terisi"),"Sebagian")))))</f>
        <v>Belum terisi</v>
      </c>
      <c r="M1725" s="79" t="str">
        <f aca="false">IF(L1725="Tidak dibuka","–",IF(F1725="","(tanpa age group)",F1725)&amp;"  "&amp;IF(H1725="","?",H1725)&amp;"/"&amp;IF(G1725="","?",G1725)&amp;CHAR(10)&amp;IF(K1725="","coach: –","coach: "&amp;K1725))</f>
        <v>Tiny  0/5
coach: –</v>
      </c>
    </row>
    <row r="1726" customFormat="false" ht="22.35" hidden="false" customHeight="false" outlineLevel="0" collapsed="false">
      <c r="A1726" s="76" t="str">
        <f aca="false">B1726&amp;"|"&amp;C1726&amp;"|"&amp;D1726&amp;"|"&amp;E1726</f>
        <v>BTU|2|Kamis|15:30</v>
      </c>
      <c r="B1726" s="76" t="s">
        <v>69</v>
      </c>
      <c r="C1726" s="76" t="n">
        <v>2</v>
      </c>
      <c r="D1726" s="76" t="s">
        <v>93</v>
      </c>
      <c r="E1726" s="76" t="s">
        <v>119</v>
      </c>
      <c r="F1726" s="77" t="s">
        <v>42</v>
      </c>
      <c r="G1726" s="77" t="n">
        <v>5</v>
      </c>
      <c r="H1726" s="77" t="n">
        <v>0</v>
      </c>
      <c r="I1726" s="76" t="n">
        <f aca="false">IF(AND(ISNUMBER(G1726),ISNUMBER(H1726)),MAX(G1726-H1726,0),"")</f>
        <v>5</v>
      </c>
      <c r="J1726" s="78" t="n">
        <f aca="false">IF(AND(ISNUMBER(G1726),ISNUMBER(H1726)),IF(G1726&gt;0,H1726/G1726,""),"")</f>
        <v>0</v>
      </c>
      <c r="K1726" s="77"/>
      <c r="L1726" s="76" t="str">
        <f aca="false">IF(OR(G1726="",H1726=""),"Data tidak lengkap",IF(AND(G1726=0,H1726=0),IF(AND(F1726="",K1726=""),"Tidak dibuka","Tutup"),IF(H1726&gt;G1726,"Lebih kapasitas",IF(H1726=G1726,"Penuh",IF(H1726=0,IF(F1726="","Slot kosong","Belum terisi"),"Sebagian")))))</f>
        <v>Belum terisi</v>
      </c>
      <c r="M1726" s="79" t="str">
        <f aca="false">IF(L1726="Tidak dibuka","–",IF(F1726="","(tanpa age group)",F1726)&amp;"  "&amp;IF(H1726="","?",H1726)&amp;"/"&amp;IF(G1726="","?",G1726)&amp;CHAR(10)&amp;IF(K1726="","coach: –","coach: "&amp;K1726))</f>
        <v>Tiny  0/5
coach: –</v>
      </c>
    </row>
    <row r="1727" customFormat="false" ht="22.35" hidden="false" customHeight="false" outlineLevel="0" collapsed="false">
      <c r="A1727" s="76" t="str">
        <f aca="false">B1727&amp;"|"&amp;C1727&amp;"|"&amp;D1727&amp;"|"&amp;E1727</f>
        <v>BTU|2|Kamis|16:15</v>
      </c>
      <c r="B1727" s="76" t="s">
        <v>69</v>
      </c>
      <c r="C1727" s="76" t="n">
        <v>2</v>
      </c>
      <c r="D1727" s="76" t="s">
        <v>93</v>
      </c>
      <c r="E1727" s="76" t="s">
        <v>120</v>
      </c>
      <c r="F1727" s="77" t="s">
        <v>42</v>
      </c>
      <c r="G1727" s="77" t="n">
        <v>5</v>
      </c>
      <c r="H1727" s="77" t="n">
        <v>0</v>
      </c>
      <c r="I1727" s="76" t="n">
        <f aca="false">IF(AND(ISNUMBER(G1727),ISNUMBER(H1727)),MAX(G1727-H1727,0),"")</f>
        <v>5</v>
      </c>
      <c r="J1727" s="78" t="n">
        <f aca="false">IF(AND(ISNUMBER(G1727),ISNUMBER(H1727)),IF(G1727&gt;0,H1727/G1727,""),"")</f>
        <v>0</v>
      </c>
      <c r="K1727" s="77"/>
      <c r="L1727" s="76" t="str">
        <f aca="false">IF(OR(G1727="",H1727=""),"Data tidak lengkap",IF(AND(G1727=0,H1727=0),IF(AND(F1727="",K1727=""),"Tidak dibuka","Tutup"),IF(H1727&gt;G1727,"Lebih kapasitas",IF(H1727=G1727,"Penuh",IF(H1727=0,IF(F1727="","Slot kosong","Belum terisi"),"Sebagian")))))</f>
        <v>Belum terisi</v>
      </c>
      <c r="M1727" s="79" t="str">
        <f aca="false">IF(L1727="Tidak dibuka","–",IF(F1727="","(tanpa age group)",F1727)&amp;"  "&amp;IF(H1727="","?",H1727)&amp;"/"&amp;IF(G1727="","?",G1727)&amp;CHAR(10)&amp;IF(K1727="","coach: –","coach: "&amp;K1727))</f>
        <v>Tiny  0/5
coach: –</v>
      </c>
    </row>
    <row r="1728" customFormat="false" ht="22.35" hidden="false" customHeight="false" outlineLevel="0" collapsed="false">
      <c r="A1728" s="76" t="str">
        <f aca="false">B1728&amp;"|"&amp;C1728&amp;"|"&amp;D1728&amp;"|"&amp;E1728</f>
        <v>BTU|2|Kamis|17:00</v>
      </c>
      <c r="B1728" s="76" t="s">
        <v>69</v>
      </c>
      <c r="C1728" s="76" t="n">
        <v>2</v>
      </c>
      <c r="D1728" s="76" t="s">
        <v>93</v>
      </c>
      <c r="E1728" s="76" t="s">
        <v>121</v>
      </c>
      <c r="F1728" s="77" t="s">
        <v>42</v>
      </c>
      <c r="G1728" s="77" t="n">
        <v>5</v>
      </c>
      <c r="H1728" s="77" t="n">
        <v>0</v>
      </c>
      <c r="I1728" s="76" t="n">
        <f aca="false">IF(AND(ISNUMBER(G1728),ISNUMBER(H1728)),MAX(G1728-H1728,0),"")</f>
        <v>5</v>
      </c>
      <c r="J1728" s="78" t="n">
        <f aca="false">IF(AND(ISNUMBER(G1728),ISNUMBER(H1728)),IF(G1728&gt;0,H1728/G1728,""),"")</f>
        <v>0</v>
      </c>
      <c r="K1728" s="77"/>
      <c r="L1728" s="76" t="str">
        <f aca="false">IF(OR(G1728="",H1728=""),"Data tidak lengkap",IF(AND(G1728=0,H1728=0),IF(AND(F1728="",K1728=""),"Tidak dibuka","Tutup"),IF(H1728&gt;G1728,"Lebih kapasitas",IF(H1728=G1728,"Penuh",IF(H1728=0,IF(F1728="","Slot kosong","Belum terisi"),"Sebagian")))))</f>
        <v>Belum terisi</v>
      </c>
      <c r="M1728" s="79" t="str">
        <f aca="false">IF(L1728="Tidak dibuka","–",IF(F1728="","(tanpa age group)",F1728)&amp;"  "&amp;IF(H1728="","?",H1728)&amp;"/"&amp;IF(G1728="","?",G1728)&amp;CHAR(10)&amp;IF(K1728="","coach: –","coach: "&amp;K1728))</f>
        <v>Tiny  0/5
coach: –</v>
      </c>
    </row>
    <row r="1729" customFormat="false" ht="22.35" hidden="false" customHeight="false" outlineLevel="0" collapsed="false">
      <c r="A1729" s="76" t="str">
        <f aca="false">B1729&amp;"|"&amp;C1729&amp;"|"&amp;D1729&amp;"|"&amp;E1729</f>
        <v>BTU|2|Jumat|08:00</v>
      </c>
      <c r="B1729" s="76" t="s">
        <v>69</v>
      </c>
      <c r="C1729" s="76" t="n">
        <v>2</v>
      </c>
      <c r="D1729" s="76" t="s">
        <v>94</v>
      </c>
      <c r="E1729" s="76" t="s">
        <v>110</v>
      </c>
      <c r="F1729" s="77" t="s">
        <v>42</v>
      </c>
      <c r="G1729" s="77" t="n">
        <v>5</v>
      </c>
      <c r="H1729" s="77" t="n">
        <v>0</v>
      </c>
      <c r="I1729" s="76" t="n">
        <f aca="false">IF(AND(ISNUMBER(G1729),ISNUMBER(H1729)),MAX(G1729-H1729,0),"")</f>
        <v>5</v>
      </c>
      <c r="J1729" s="78" t="n">
        <f aca="false">IF(AND(ISNUMBER(G1729),ISNUMBER(H1729)),IF(G1729&gt;0,H1729/G1729,""),"")</f>
        <v>0</v>
      </c>
      <c r="K1729" s="77"/>
      <c r="L1729" s="76" t="str">
        <f aca="false">IF(OR(G1729="",H1729=""),"Data tidak lengkap",IF(AND(G1729=0,H1729=0),IF(AND(F1729="",K1729=""),"Tidak dibuka","Tutup"),IF(H1729&gt;G1729,"Lebih kapasitas",IF(H1729=G1729,"Penuh",IF(H1729=0,IF(F1729="","Slot kosong","Belum terisi"),"Sebagian")))))</f>
        <v>Belum terisi</v>
      </c>
      <c r="M1729" s="79" t="str">
        <f aca="false">IF(L1729="Tidak dibuka","–",IF(F1729="","(tanpa age group)",F1729)&amp;"  "&amp;IF(H1729="","?",H1729)&amp;"/"&amp;IF(G1729="","?",G1729)&amp;CHAR(10)&amp;IF(K1729="","coach: –","coach: "&amp;K1729))</f>
        <v>Tiny  0/5
coach: –</v>
      </c>
    </row>
    <row r="1730" customFormat="false" ht="22.35" hidden="false" customHeight="false" outlineLevel="0" collapsed="false">
      <c r="A1730" s="76" t="str">
        <f aca="false">B1730&amp;"|"&amp;C1730&amp;"|"&amp;D1730&amp;"|"&amp;E1730</f>
        <v>BTU|2|Jumat|08:45</v>
      </c>
      <c r="B1730" s="76" t="s">
        <v>69</v>
      </c>
      <c r="C1730" s="76" t="n">
        <v>2</v>
      </c>
      <c r="D1730" s="76" t="s">
        <v>94</v>
      </c>
      <c r="E1730" s="76" t="s">
        <v>111</v>
      </c>
      <c r="F1730" s="77" t="s">
        <v>42</v>
      </c>
      <c r="G1730" s="77" t="n">
        <v>5</v>
      </c>
      <c r="H1730" s="77" t="n">
        <v>2</v>
      </c>
      <c r="I1730" s="76" t="n">
        <f aca="false">IF(AND(ISNUMBER(G1730),ISNUMBER(H1730)),MAX(G1730-H1730,0),"")</f>
        <v>3</v>
      </c>
      <c r="J1730" s="78" t="n">
        <f aca="false">IF(AND(ISNUMBER(G1730),ISNUMBER(H1730)),IF(G1730&gt;0,H1730/G1730,""),"")</f>
        <v>0.4</v>
      </c>
      <c r="K1730" s="77" t="s">
        <v>433</v>
      </c>
      <c r="L1730" s="76" t="str">
        <f aca="false">IF(OR(G1730="",H1730=""),"Data tidak lengkap",IF(AND(G1730=0,H1730=0),IF(AND(F1730="",K1730=""),"Tidak dibuka","Tutup"),IF(H1730&gt;G1730,"Lebih kapasitas",IF(H1730=G1730,"Penuh",IF(H1730=0,IF(F1730="","Slot kosong","Belum terisi"),"Sebagian")))))</f>
        <v>Sebagian</v>
      </c>
      <c r="M1730" s="79" t="str">
        <f aca="false">IF(L1730="Tidak dibuka","–",IF(F1730="","(tanpa age group)",F1730)&amp;"  "&amp;IF(H1730="","?",H1730)&amp;"/"&amp;IF(G1730="","?",G1730)&amp;CHAR(10)&amp;IF(K1730="","coach: –","coach: "&amp;K1730))</f>
        <v>Tiny  2/5
coach: Shofi</v>
      </c>
    </row>
    <row r="1731" customFormat="false" ht="22.35" hidden="false" customHeight="false" outlineLevel="0" collapsed="false">
      <c r="A1731" s="76" t="str">
        <f aca="false">B1731&amp;"|"&amp;C1731&amp;"|"&amp;D1731&amp;"|"&amp;E1731</f>
        <v>BTU|2|Jumat|09:30</v>
      </c>
      <c r="B1731" s="76" t="s">
        <v>69</v>
      </c>
      <c r="C1731" s="76" t="n">
        <v>2</v>
      </c>
      <c r="D1731" s="76" t="s">
        <v>94</v>
      </c>
      <c r="E1731" s="76" t="s">
        <v>112</v>
      </c>
      <c r="F1731" s="77" t="s">
        <v>42</v>
      </c>
      <c r="G1731" s="77" t="n">
        <v>5</v>
      </c>
      <c r="H1731" s="77" t="n">
        <v>0</v>
      </c>
      <c r="I1731" s="76" t="n">
        <f aca="false">IF(AND(ISNUMBER(G1731),ISNUMBER(H1731)),MAX(G1731-H1731,0),"")</f>
        <v>5</v>
      </c>
      <c r="J1731" s="78" t="n">
        <f aca="false">IF(AND(ISNUMBER(G1731),ISNUMBER(H1731)),IF(G1731&gt;0,H1731/G1731,""),"")</f>
        <v>0</v>
      </c>
      <c r="K1731" s="77"/>
      <c r="L1731" s="76" t="str">
        <f aca="false">IF(OR(G1731="",H1731=""),"Data tidak lengkap",IF(AND(G1731=0,H1731=0),IF(AND(F1731="",K1731=""),"Tidak dibuka","Tutup"),IF(H1731&gt;G1731,"Lebih kapasitas",IF(H1731=G1731,"Penuh",IF(H1731=0,IF(F1731="","Slot kosong","Belum terisi"),"Sebagian")))))</f>
        <v>Belum terisi</v>
      </c>
      <c r="M1731" s="79" t="str">
        <f aca="false">IF(L1731="Tidak dibuka","–",IF(F1731="","(tanpa age group)",F1731)&amp;"  "&amp;IF(H1731="","?",H1731)&amp;"/"&amp;IF(G1731="","?",G1731)&amp;CHAR(10)&amp;IF(K1731="","coach: –","coach: "&amp;K1731))</f>
        <v>Tiny  0/5
coach: –</v>
      </c>
    </row>
    <row r="1732" customFormat="false" ht="22.35" hidden="false" customHeight="false" outlineLevel="0" collapsed="false">
      <c r="A1732" s="76" t="str">
        <f aca="false">B1732&amp;"|"&amp;C1732&amp;"|"&amp;D1732&amp;"|"&amp;E1732</f>
        <v>BTU|2|Jumat|10:15</v>
      </c>
      <c r="B1732" s="76" t="s">
        <v>69</v>
      </c>
      <c r="C1732" s="76" t="n">
        <v>2</v>
      </c>
      <c r="D1732" s="76" t="s">
        <v>94</v>
      </c>
      <c r="E1732" s="76" t="s">
        <v>113</v>
      </c>
      <c r="F1732" s="77" t="s">
        <v>42</v>
      </c>
      <c r="G1732" s="77" t="n">
        <v>5</v>
      </c>
      <c r="H1732" s="77" t="n">
        <v>0</v>
      </c>
      <c r="I1732" s="76" t="n">
        <f aca="false">IF(AND(ISNUMBER(G1732),ISNUMBER(H1732)),MAX(G1732-H1732,0),"")</f>
        <v>5</v>
      </c>
      <c r="J1732" s="78" t="n">
        <f aca="false">IF(AND(ISNUMBER(G1732),ISNUMBER(H1732)),IF(G1732&gt;0,H1732/G1732,""),"")</f>
        <v>0</v>
      </c>
      <c r="K1732" s="77"/>
      <c r="L1732" s="76" t="str">
        <f aca="false">IF(OR(G1732="",H1732=""),"Data tidak lengkap",IF(AND(G1732=0,H1732=0),IF(AND(F1732="",K1732=""),"Tidak dibuka","Tutup"),IF(H1732&gt;G1732,"Lebih kapasitas",IF(H1732=G1732,"Penuh",IF(H1732=0,IF(F1732="","Slot kosong","Belum terisi"),"Sebagian")))))</f>
        <v>Belum terisi</v>
      </c>
      <c r="M1732" s="79" t="str">
        <f aca="false">IF(L1732="Tidak dibuka","–",IF(F1732="","(tanpa age group)",F1732)&amp;"  "&amp;IF(H1732="","?",H1732)&amp;"/"&amp;IF(G1732="","?",G1732)&amp;CHAR(10)&amp;IF(K1732="","coach: –","coach: "&amp;K1732))</f>
        <v>Tiny  0/5
coach: –</v>
      </c>
    </row>
    <row r="1733" customFormat="false" ht="22.35" hidden="false" customHeight="false" outlineLevel="0" collapsed="false">
      <c r="A1733" s="76" t="str">
        <f aca="false">B1733&amp;"|"&amp;C1733&amp;"|"&amp;D1733&amp;"|"&amp;E1733</f>
        <v>BTU|2|Jumat|11:00</v>
      </c>
      <c r="B1733" s="76" t="s">
        <v>69</v>
      </c>
      <c r="C1733" s="76" t="n">
        <v>2</v>
      </c>
      <c r="D1733" s="76" t="s">
        <v>94</v>
      </c>
      <c r="E1733" s="76" t="s">
        <v>114</v>
      </c>
      <c r="F1733" s="77" t="s">
        <v>42</v>
      </c>
      <c r="G1733" s="77" t="n">
        <v>5</v>
      </c>
      <c r="H1733" s="77" t="n">
        <v>0</v>
      </c>
      <c r="I1733" s="76" t="n">
        <f aca="false">IF(AND(ISNUMBER(G1733),ISNUMBER(H1733)),MAX(G1733-H1733,0),"")</f>
        <v>5</v>
      </c>
      <c r="J1733" s="78" t="n">
        <f aca="false">IF(AND(ISNUMBER(G1733),ISNUMBER(H1733)),IF(G1733&gt;0,H1733/G1733,""),"")</f>
        <v>0</v>
      </c>
      <c r="K1733" s="77"/>
      <c r="L1733" s="76" t="str">
        <f aca="false">IF(OR(G1733="",H1733=""),"Data tidak lengkap",IF(AND(G1733=0,H1733=0),IF(AND(F1733="",K1733=""),"Tidak dibuka","Tutup"),IF(H1733&gt;G1733,"Lebih kapasitas",IF(H1733=G1733,"Penuh",IF(H1733=0,IF(F1733="","Slot kosong","Belum terisi"),"Sebagian")))))</f>
        <v>Belum terisi</v>
      </c>
      <c r="M1733" s="79" t="str">
        <f aca="false">IF(L1733="Tidak dibuka","–",IF(F1733="","(tanpa age group)",F1733)&amp;"  "&amp;IF(H1733="","?",H1733)&amp;"/"&amp;IF(G1733="","?",G1733)&amp;CHAR(10)&amp;IF(K1733="","coach: –","coach: "&amp;K1733))</f>
        <v>Tiny  0/5
coach: –</v>
      </c>
    </row>
    <row r="1734" customFormat="false" ht="22.35" hidden="false" customHeight="false" outlineLevel="0" collapsed="false">
      <c r="A1734" s="76" t="str">
        <f aca="false">B1734&amp;"|"&amp;C1734&amp;"|"&amp;D1734&amp;"|"&amp;E1734</f>
        <v>BTU|2|Jumat|11:45</v>
      </c>
      <c r="B1734" s="76" t="s">
        <v>69</v>
      </c>
      <c r="C1734" s="76" t="n">
        <v>2</v>
      </c>
      <c r="D1734" s="76" t="s">
        <v>94</v>
      </c>
      <c r="E1734" s="76" t="s">
        <v>115</v>
      </c>
      <c r="F1734" s="77" t="s">
        <v>42</v>
      </c>
      <c r="G1734" s="77" t="n">
        <v>5</v>
      </c>
      <c r="H1734" s="77" t="n">
        <v>0</v>
      </c>
      <c r="I1734" s="76" t="n">
        <f aca="false">IF(AND(ISNUMBER(G1734),ISNUMBER(H1734)),MAX(G1734-H1734,0),"")</f>
        <v>5</v>
      </c>
      <c r="J1734" s="78" t="n">
        <f aca="false">IF(AND(ISNUMBER(G1734),ISNUMBER(H1734)),IF(G1734&gt;0,H1734/G1734,""),"")</f>
        <v>0</v>
      </c>
      <c r="K1734" s="77"/>
      <c r="L1734" s="76" t="str">
        <f aca="false">IF(OR(G1734="",H1734=""),"Data tidak lengkap",IF(AND(G1734=0,H1734=0),IF(AND(F1734="",K1734=""),"Tidak dibuka","Tutup"),IF(H1734&gt;G1734,"Lebih kapasitas",IF(H1734=G1734,"Penuh",IF(H1734=0,IF(F1734="","Slot kosong","Belum terisi"),"Sebagian")))))</f>
        <v>Belum terisi</v>
      </c>
      <c r="M1734" s="79" t="str">
        <f aca="false">IF(L1734="Tidak dibuka","–",IF(F1734="","(tanpa age group)",F1734)&amp;"  "&amp;IF(H1734="","?",H1734)&amp;"/"&amp;IF(G1734="","?",G1734)&amp;CHAR(10)&amp;IF(K1734="","coach: –","coach: "&amp;K1734))</f>
        <v>Tiny  0/5
coach: –</v>
      </c>
    </row>
    <row r="1735" customFormat="false" ht="22.35" hidden="false" customHeight="false" outlineLevel="0" collapsed="false">
      <c r="A1735" s="76" t="str">
        <f aca="false">B1735&amp;"|"&amp;C1735&amp;"|"&amp;D1735&amp;"|"&amp;E1735</f>
        <v>BTU|2|Jumat|13:15</v>
      </c>
      <c r="B1735" s="76" t="s">
        <v>69</v>
      </c>
      <c r="C1735" s="76" t="n">
        <v>2</v>
      </c>
      <c r="D1735" s="76" t="s">
        <v>94</v>
      </c>
      <c r="E1735" s="76" t="s">
        <v>116</v>
      </c>
      <c r="F1735" s="77" t="s">
        <v>42</v>
      </c>
      <c r="G1735" s="77" t="n">
        <v>5</v>
      </c>
      <c r="H1735" s="77" t="n">
        <v>0</v>
      </c>
      <c r="I1735" s="76" t="n">
        <f aca="false">IF(AND(ISNUMBER(G1735),ISNUMBER(H1735)),MAX(G1735-H1735,0),"")</f>
        <v>5</v>
      </c>
      <c r="J1735" s="78" t="n">
        <f aca="false">IF(AND(ISNUMBER(G1735),ISNUMBER(H1735)),IF(G1735&gt;0,H1735/G1735,""),"")</f>
        <v>0</v>
      </c>
      <c r="K1735" s="77"/>
      <c r="L1735" s="76" t="str">
        <f aca="false">IF(OR(G1735="",H1735=""),"Data tidak lengkap",IF(AND(G1735=0,H1735=0),IF(AND(F1735="",K1735=""),"Tidak dibuka","Tutup"),IF(H1735&gt;G1735,"Lebih kapasitas",IF(H1735=G1735,"Penuh",IF(H1735=0,IF(F1735="","Slot kosong","Belum terisi"),"Sebagian")))))</f>
        <v>Belum terisi</v>
      </c>
      <c r="M1735" s="79" t="str">
        <f aca="false">IF(L1735="Tidak dibuka","–",IF(F1735="","(tanpa age group)",F1735)&amp;"  "&amp;IF(H1735="","?",H1735)&amp;"/"&amp;IF(G1735="","?",G1735)&amp;CHAR(10)&amp;IF(K1735="","coach: –","coach: "&amp;K1735))</f>
        <v>Tiny  0/5
coach: –</v>
      </c>
    </row>
    <row r="1736" customFormat="false" ht="22.35" hidden="false" customHeight="false" outlineLevel="0" collapsed="false">
      <c r="A1736" s="76" t="str">
        <f aca="false">B1736&amp;"|"&amp;C1736&amp;"|"&amp;D1736&amp;"|"&amp;E1736</f>
        <v>BTU|2|Jumat|14:00</v>
      </c>
      <c r="B1736" s="76" t="s">
        <v>69</v>
      </c>
      <c r="C1736" s="76" t="n">
        <v>2</v>
      </c>
      <c r="D1736" s="76" t="s">
        <v>94</v>
      </c>
      <c r="E1736" s="76" t="s">
        <v>117</v>
      </c>
      <c r="F1736" s="77" t="s">
        <v>42</v>
      </c>
      <c r="G1736" s="77" t="n">
        <v>5</v>
      </c>
      <c r="H1736" s="77" t="n">
        <v>0</v>
      </c>
      <c r="I1736" s="76" t="n">
        <f aca="false">IF(AND(ISNUMBER(G1736),ISNUMBER(H1736)),MAX(G1736-H1736,0),"")</f>
        <v>5</v>
      </c>
      <c r="J1736" s="78" t="n">
        <f aca="false">IF(AND(ISNUMBER(G1736),ISNUMBER(H1736)),IF(G1736&gt;0,H1736/G1736,""),"")</f>
        <v>0</v>
      </c>
      <c r="K1736" s="77"/>
      <c r="L1736" s="76" t="str">
        <f aca="false">IF(OR(G1736="",H1736=""),"Data tidak lengkap",IF(AND(G1736=0,H1736=0),IF(AND(F1736="",K1736=""),"Tidak dibuka","Tutup"),IF(H1736&gt;G1736,"Lebih kapasitas",IF(H1736=G1736,"Penuh",IF(H1736=0,IF(F1736="","Slot kosong","Belum terisi"),"Sebagian")))))</f>
        <v>Belum terisi</v>
      </c>
      <c r="M1736" s="79" t="str">
        <f aca="false">IF(L1736="Tidak dibuka","–",IF(F1736="","(tanpa age group)",F1736)&amp;"  "&amp;IF(H1736="","?",H1736)&amp;"/"&amp;IF(G1736="","?",G1736)&amp;CHAR(10)&amp;IF(K1736="","coach: –","coach: "&amp;K1736))</f>
        <v>Tiny  0/5
coach: –</v>
      </c>
    </row>
    <row r="1737" customFormat="false" ht="22.35" hidden="false" customHeight="false" outlineLevel="0" collapsed="false">
      <c r="A1737" s="76" t="str">
        <f aca="false">B1737&amp;"|"&amp;C1737&amp;"|"&amp;D1737&amp;"|"&amp;E1737</f>
        <v>BTU|2|Jumat|14:45</v>
      </c>
      <c r="B1737" s="76" t="s">
        <v>69</v>
      </c>
      <c r="C1737" s="76" t="n">
        <v>2</v>
      </c>
      <c r="D1737" s="76" t="s">
        <v>94</v>
      </c>
      <c r="E1737" s="76" t="s">
        <v>118</v>
      </c>
      <c r="F1737" s="77" t="s">
        <v>42</v>
      </c>
      <c r="G1737" s="77" t="n">
        <v>5</v>
      </c>
      <c r="H1737" s="77" t="n">
        <v>0</v>
      </c>
      <c r="I1737" s="76" t="n">
        <f aca="false">IF(AND(ISNUMBER(G1737),ISNUMBER(H1737)),MAX(G1737-H1737,0),"")</f>
        <v>5</v>
      </c>
      <c r="J1737" s="78" t="n">
        <f aca="false">IF(AND(ISNUMBER(G1737),ISNUMBER(H1737)),IF(G1737&gt;0,H1737/G1737,""),"")</f>
        <v>0</v>
      </c>
      <c r="K1737" s="77"/>
      <c r="L1737" s="76" t="str">
        <f aca="false">IF(OR(G1737="",H1737=""),"Data tidak lengkap",IF(AND(G1737=0,H1737=0),IF(AND(F1737="",K1737=""),"Tidak dibuka","Tutup"),IF(H1737&gt;G1737,"Lebih kapasitas",IF(H1737=G1737,"Penuh",IF(H1737=0,IF(F1737="","Slot kosong","Belum terisi"),"Sebagian")))))</f>
        <v>Belum terisi</v>
      </c>
      <c r="M1737" s="79" t="str">
        <f aca="false">IF(L1737="Tidak dibuka","–",IF(F1737="","(tanpa age group)",F1737)&amp;"  "&amp;IF(H1737="","?",H1737)&amp;"/"&amp;IF(G1737="","?",G1737)&amp;CHAR(10)&amp;IF(K1737="","coach: –","coach: "&amp;K1737))</f>
        <v>Tiny  0/5
coach: –</v>
      </c>
    </row>
    <row r="1738" customFormat="false" ht="22.35" hidden="false" customHeight="false" outlineLevel="0" collapsed="false">
      <c r="A1738" s="76" t="str">
        <f aca="false">B1738&amp;"|"&amp;C1738&amp;"|"&amp;D1738&amp;"|"&amp;E1738</f>
        <v>BTU|2|Jumat|15:30</v>
      </c>
      <c r="B1738" s="76" t="s">
        <v>69</v>
      </c>
      <c r="C1738" s="76" t="n">
        <v>2</v>
      </c>
      <c r="D1738" s="76" t="s">
        <v>94</v>
      </c>
      <c r="E1738" s="76" t="s">
        <v>119</v>
      </c>
      <c r="F1738" s="77" t="s">
        <v>42</v>
      </c>
      <c r="G1738" s="77" t="n">
        <v>5</v>
      </c>
      <c r="H1738" s="77" t="n">
        <v>0</v>
      </c>
      <c r="I1738" s="76" t="n">
        <f aca="false">IF(AND(ISNUMBER(G1738),ISNUMBER(H1738)),MAX(G1738-H1738,0),"")</f>
        <v>5</v>
      </c>
      <c r="J1738" s="78" t="n">
        <f aca="false">IF(AND(ISNUMBER(G1738),ISNUMBER(H1738)),IF(G1738&gt;0,H1738/G1738,""),"")</f>
        <v>0</v>
      </c>
      <c r="K1738" s="77"/>
      <c r="L1738" s="76" t="str">
        <f aca="false">IF(OR(G1738="",H1738=""),"Data tidak lengkap",IF(AND(G1738=0,H1738=0),IF(AND(F1738="",K1738=""),"Tidak dibuka","Tutup"),IF(H1738&gt;G1738,"Lebih kapasitas",IF(H1738=G1738,"Penuh",IF(H1738=0,IF(F1738="","Slot kosong","Belum terisi"),"Sebagian")))))</f>
        <v>Belum terisi</v>
      </c>
      <c r="M1738" s="79" t="str">
        <f aca="false">IF(L1738="Tidak dibuka","–",IF(F1738="","(tanpa age group)",F1738)&amp;"  "&amp;IF(H1738="","?",H1738)&amp;"/"&amp;IF(G1738="","?",G1738)&amp;CHAR(10)&amp;IF(K1738="","coach: –","coach: "&amp;K1738))</f>
        <v>Tiny  0/5
coach: –</v>
      </c>
    </row>
    <row r="1739" customFormat="false" ht="22.35" hidden="false" customHeight="false" outlineLevel="0" collapsed="false">
      <c r="A1739" s="76" t="str">
        <f aca="false">B1739&amp;"|"&amp;C1739&amp;"|"&amp;D1739&amp;"|"&amp;E1739</f>
        <v>BTU|2|Jumat|16:15</v>
      </c>
      <c r="B1739" s="76" t="s">
        <v>69</v>
      </c>
      <c r="C1739" s="76" t="n">
        <v>2</v>
      </c>
      <c r="D1739" s="76" t="s">
        <v>94</v>
      </c>
      <c r="E1739" s="76" t="s">
        <v>120</v>
      </c>
      <c r="F1739" s="77" t="s">
        <v>42</v>
      </c>
      <c r="G1739" s="77" t="n">
        <v>5</v>
      </c>
      <c r="H1739" s="77" t="n">
        <v>0</v>
      </c>
      <c r="I1739" s="76" t="n">
        <f aca="false">IF(AND(ISNUMBER(G1739),ISNUMBER(H1739)),MAX(G1739-H1739,0),"")</f>
        <v>5</v>
      </c>
      <c r="J1739" s="78" t="n">
        <f aca="false">IF(AND(ISNUMBER(G1739),ISNUMBER(H1739)),IF(G1739&gt;0,H1739/G1739,""),"")</f>
        <v>0</v>
      </c>
      <c r="K1739" s="77"/>
      <c r="L1739" s="76" t="str">
        <f aca="false">IF(OR(G1739="",H1739=""),"Data tidak lengkap",IF(AND(G1739=0,H1739=0),IF(AND(F1739="",K1739=""),"Tidak dibuka","Tutup"),IF(H1739&gt;G1739,"Lebih kapasitas",IF(H1739=G1739,"Penuh",IF(H1739=0,IF(F1739="","Slot kosong","Belum terisi"),"Sebagian")))))</f>
        <v>Belum terisi</v>
      </c>
      <c r="M1739" s="79" t="str">
        <f aca="false">IF(L1739="Tidak dibuka","–",IF(F1739="","(tanpa age group)",F1739)&amp;"  "&amp;IF(H1739="","?",H1739)&amp;"/"&amp;IF(G1739="","?",G1739)&amp;CHAR(10)&amp;IF(K1739="","coach: –","coach: "&amp;K1739))</f>
        <v>Tiny  0/5
coach: –</v>
      </c>
    </row>
    <row r="1740" customFormat="false" ht="22.35" hidden="false" customHeight="false" outlineLevel="0" collapsed="false">
      <c r="A1740" s="76" t="str">
        <f aca="false">B1740&amp;"|"&amp;C1740&amp;"|"&amp;D1740&amp;"|"&amp;E1740</f>
        <v>BTU|2|Jumat|17:00</v>
      </c>
      <c r="B1740" s="76" t="s">
        <v>69</v>
      </c>
      <c r="C1740" s="76" t="n">
        <v>2</v>
      </c>
      <c r="D1740" s="76" t="s">
        <v>94</v>
      </c>
      <c r="E1740" s="76" t="s">
        <v>121</v>
      </c>
      <c r="F1740" s="77" t="s">
        <v>42</v>
      </c>
      <c r="G1740" s="77" t="n">
        <v>5</v>
      </c>
      <c r="H1740" s="77" t="n">
        <v>0</v>
      </c>
      <c r="I1740" s="76" t="n">
        <f aca="false">IF(AND(ISNUMBER(G1740),ISNUMBER(H1740)),MAX(G1740-H1740,0),"")</f>
        <v>5</v>
      </c>
      <c r="J1740" s="78" t="n">
        <f aca="false">IF(AND(ISNUMBER(G1740),ISNUMBER(H1740)),IF(G1740&gt;0,H1740/G1740,""),"")</f>
        <v>0</v>
      </c>
      <c r="K1740" s="77"/>
      <c r="L1740" s="76" t="str">
        <f aca="false">IF(OR(G1740="",H1740=""),"Data tidak lengkap",IF(AND(G1740=0,H1740=0),IF(AND(F1740="",K1740=""),"Tidak dibuka","Tutup"),IF(H1740&gt;G1740,"Lebih kapasitas",IF(H1740=G1740,"Penuh",IF(H1740=0,IF(F1740="","Slot kosong","Belum terisi"),"Sebagian")))))</f>
        <v>Belum terisi</v>
      </c>
      <c r="M1740" s="79" t="str">
        <f aca="false">IF(L1740="Tidak dibuka","–",IF(F1740="","(tanpa age group)",F1740)&amp;"  "&amp;IF(H1740="","?",H1740)&amp;"/"&amp;IF(G1740="","?",G1740)&amp;CHAR(10)&amp;IF(K1740="","coach: –","coach: "&amp;K1740))</f>
        <v>Tiny  0/5
coach: –</v>
      </c>
    </row>
    <row r="1741" customFormat="false" ht="22.35" hidden="false" customHeight="false" outlineLevel="0" collapsed="false">
      <c r="A1741" s="76" t="str">
        <f aca="false">B1741&amp;"|"&amp;C1741&amp;"|"&amp;D1741&amp;"|"&amp;E1741</f>
        <v>BTU|2|Sabtu|08:00</v>
      </c>
      <c r="B1741" s="76" t="s">
        <v>69</v>
      </c>
      <c r="C1741" s="76" t="n">
        <v>2</v>
      </c>
      <c r="D1741" s="76" t="s">
        <v>95</v>
      </c>
      <c r="E1741" s="76" t="s">
        <v>110</v>
      </c>
      <c r="F1741" s="77" t="s">
        <v>42</v>
      </c>
      <c r="G1741" s="77" t="n">
        <v>5</v>
      </c>
      <c r="H1741" s="77" t="n">
        <v>0</v>
      </c>
      <c r="I1741" s="76" t="n">
        <f aca="false">IF(AND(ISNUMBER(G1741),ISNUMBER(H1741)),MAX(G1741-H1741,0),"")</f>
        <v>5</v>
      </c>
      <c r="J1741" s="78" t="n">
        <f aca="false">IF(AND(ISNUMBER(G1741),ISNUMBER(H1741)),IF(G1741&gt;0,H1741/G1741,""),"")</f>
        <v>0</v>
      </c>
      <c r="K1741" s="77"/>
      <c r="L1741" s="76" t="str">
        <f aca="false">IF(OR(G1741="",H1741=""),"Data tidak lengkap",IF(AND(G1741=0,H1741=0),IF(AND(F1741="",K1741=""),"Tidak dibuka","Tutup"),IF(H1741&gt;G1741,"Lebih kapasitas",IF(H1741=G1741,"Penuh",IF(H1741=0,IF(F1741="","Slot kosong","Belum terisi"),"Sebagian")))))</f>
        <v>Belum terisi</v>
      </c>
      <c r="M1741" s="79" t="str">
        <f aca="false">IF(L1741="Tidak dibuka","–",IF(F1741="","(tanpa age group)",F1741)&amp;"  "&amp;IF(H1741="","?",H1741)&amp;"/"&amp;IF(G1741="","?",G1741)&amp;CHAR(10)&amp;IF(K1741="","coach: –","coach: "&amp;K1741))</f>
        <v>Tiny  0/5
coach: –</v>
      </c>
    </row>
    <row r="1742" customFormat="false" ht="22.35" hidden="false" customHeight="false" outlineLevel="0" collapsed="false">
      <c r="A1742" s="76" t="str">
        <f aca="false">B1742&amp;"|"&amp;C1742&amp;"|"&amp;D1742&amp;"|"&amp;E1742</f>
        <v>BTU|2|Sabtu|08:45</v>
      </c>
      <c r="B1742" s="76" t="s">
        <v>69</v>
      </c>
      <c r="C1742" s="76" t="n">
        <v>2</v>
      </c>
      <c r="D1742" s="76" t="s">
        <v>95</v>
      </c>
      <c r="E1742" s="76" t="s">
        <v>111</v>
      </c>
      <c r="F1742" s="77" t="s">
        <v>42</v>
      </c>
      <c r="G1742" s="77" t="n">
        <v>5</v>
      </c>
      <c r="H1742" s="77" t="n">
        <v>3</v>
      </c>
      <c r="I1742" s="76" t="n">
        <f aca="false">IF(AND(ISNUMBER(G1742),ISNUMBER(H1742)),MAX(G1742-H1742,0),"")</f>
        <v>2</v>
      </c>
      <c r="J1742" s="78" t="n">
        <f aca="false">IF(AND(ISNUMBER(G1742),ISNUMBER(H1742)),IF(G1742&gt;0,H1742/G1742,""),"")</f>
        <v>0.6</v>
      </c>
      <c r="K1742" s="77" t="s">
        <v>433</v>
      </c>
      <c r="L1742" s="76" t="str">
        <f aca="false">IF(OR(G1742="",H1742=""),"Data tidak lengkap",IF(AND(G1742=0,H1742=0),IF(AND(F1742="",K1742=""),"Tidak dibuka","Tutup"),IF(H1742&gt;G1742,"Lebih kapasitas",IF(H1742=G1742,"Penuh",IF(H1742=0,IF(F1742="","Slot kosong","Belum terisi"),"Sebagian")))))</f>
        <v>Sebagian</v>
      </c>
      <c r="M1742" s="79" t="str">
        <f aca="false">IF(L1742="Tidak dibuka","–",IF(F1742="","(tanpa age group)",F1742)&amp;"  "&amp;IF(H1742="","?",H1742)&amp;"/"&amp;IF(G1742="","?",G1742)&amp;CHAR(10)&amp;IF(K1742="","coach: –","coach: "&amp;K1742))</f>
        <v>Tiny  3/5
coach: Shofi</v>
      </c>
    </row>
    <row r="1743" customFormat="false" ht="22.35" hidden="false" customHeight="false" outlineLevel="0" collapsed="false">
      <c r="A1743" s="76" t="str">
        <f aca="false">B1743&amp;"|"&amp;C1743&amp;"|"&amp;D1743&amp;"|"&amp;E1743</f>
        <v>BTU|2|Sabtu|09:30</v>
      </c>
      <c r="B1743" s="76" t="s">
        <v>69</v>
      </c>
      <c r="C1743" s="76" t="n">
        <v>2</v>
      </c>
      <c r="D1743" s="76" t="s">
        <v>95</v>
      </c>
      <c r="E1743" s="76" t="s">
        <v>112</v>
      </c>
      <c r="F1743" s="77" t="s">
        <v>42</v>
      </c>
      <c r="G1743" s="77" t="n">
        <v>5</v>
      </c>
      <c r="H1743" s="77" t="n">
        <v>0</v>
      </c>
      <c r="I1743" s="76" t="n">
        <f aca="false">IF(AND(ISNUMBER(G1743),ISNUMBER(H1743)),MAX(G1743-H1743,0),"")</f>
        <v>5</v>
      </c>
      <c r="J1743" s="78" t="n">
        <f aca="false">IF(AND(ISNUMBER(G1743),ISNUMBER(H1743)),IF(G1743&gt;0,H1743/G1743,""),"")</f>
        <v>0</v>
      </c>
      <c r="K1743" s="77"/>
      <c r="L1743" s="76" t="str">
        <f aca="false">IF(OR(G1743="",H1743=""),"Data tidak lengkap",IF(AND(G1743=0,H1743=0),IF(AND(F1743="",K1743=""),"Tidak dibuka","Tutup"),IF(H1743&gt;G1743,"Lebih kapasitas",IF(H1743=G1743,"Penuh",IF(H1743=0,IF(F1743="","Slot kosong","Belum terisi"),"Sebagian")))))</f>
        <v>Belum terisi</v>
      </c>
      <c r="M1743" s="79" t="str">
        <f aca="false">IF(L1743="Tidak dibuka","–",IF(F1743="","(tanpa age group)",F1743)&amp;"  "&amp;IF(H1743="","?",H1743)&amp;"/"&amp;IF(G1743="","?",G1743)&amp;CHAR(10)&amp;IF(K1743="","coach: –","coach: "&amp;K1743))</f>
        <v>Tiny  0/5
coach: –</v>
      </c>
    </row>
    <row r="1744" customFormat="false" ht="22.35" hidden="false" customHeight="false" outlineLevel="0" collapsed="false">
      <c r="A1744" s="76" t="str">
        <f aca="false">B1744&amp;"|"&amp;C1744&amp;"|"&amp;D1744&amp;"|"&amp;E1744</f>
        <v>BTU|2|Sabtu|10:15</v>
      </c>
      <c r="B1744" s="76" t="s">
        <v>69</v>
      </c>
      <c r="C1744" s="76" t="n">
        <v>2</v>
      </c>
      <c r="D1744" s="76" t="s">
        <v>95</v>
      </c>
      <c r="E1744" s="76" t="s">
        <v>113</v>
      </c>
      <c r="F1744" s="77" t="s">
        <v>42</v>
      </c>
      <c r="G1744" s="77" t="n">
        <v>5</v>
      </c>
      <c r="H1744" s="77" t="n">
        <v>5</v>
      </c>
      <c r="I1744" s="76" t="n">
        <f aca="false">IF(AND(ISNUMBER(G1744),ISNUMBER(H1744)),MAX(G1744-H1744,0),"")</f>
        <v>0</v>
      </c>
      <c r="J1744" s="78" t="n">
        <f aca="false">IF(AND(ISNUMBER(G1744),ISNUMBER(H1744)),IF(G1744&gt;0,H1744/G1744,""),"")</f>
        <v>1</v>
      </c>
      <c r="K1744" s="77" t="s">
        <v>433</v>
      </c>
      <c r="L1744" s="76" t="str">
        <f aca="false">IF(OR(G1744="",H1744=""),"Data tidak lengkap",IF(AND(G1744=0,H1744=0),IF(AND(F1744="",K1744=""),"Tidak dibuka","Tutup"),IF(H1744&gt;G1744,"Lebih kapasitas",IF(H1744=G1744,"Penuh",IF(H1744=0,IF(F1744="","Slot kosong","Belum terisi"),"Sebagian")))))</f>
        <v>Penuh</v>
      </c>
      <c r="M1744" s="79" t="str">
        <f aca="false">IF(L1744="Tidak dibuka","–",IF(F1744="","(tanpa age group)",F1744)&amp;"  "&amp;IF(H1744="","?",H1744)&amp;"/"&amp;IF(G1744="","?",G1744)&amp;CHAR(10)&amp;IF(K1744="","coach: –","coach: "&amp;K1744))</f>
        <v>Tiny  5/5
coach: Shofi</v>
      </c>
    </row>
    <row r="1745" customFormat="false" ht="22.35" hidden="false" customHeight="false" outlineLevel="0" collapsed="false">
      <c r="A1745" s="76" t="str">
        <f aca="false">B1745&amp;"|"&amp;C1745&amp;"|"&amp;D1745&amp;"|"&amp;E1745</f>
        <v>BTU|2|Sabtu|11:00</v>
      </c>
      <c r="B1745" s="76" t="s">
        <v>69</v>
      </c>
      <c r="C1745" s="76" t="n">
        <v>2</v>
      </c>
      <c r="D1745" s="76" t="s">
        <v>95</v>
      </c>
      <c r="E1745" s="76" t="s">
        <v>114</v>
      </c>
      <c r="F1745" s="77" t="s">
        <v>42</v>
      </c>
      <c r="G1745" s="77" t="n">
        <v>5</v>
      </c>
      <c r="H1745" s="77" t="n">
        <v>0</v>
      </c>
      <c r="I1745" s="76" t="n">
        <f aca="false">IF(AND(ISNUMBER(G1745),ISNUMBER(H1745)),MAX(G1745-H1745,0),"")</f>
        <v>5</v>
      </c>
      <c r="J1745" s="78" t="n">
        <f aca="false">IF(AND(ISNUMBER(G1745),ISNUMBER(H1745)),IF(G1745&gt;0,H1745/G1745,""),"")</f>
        <v>0</v>
      </c>
      <c r="K1745" s="77"/>
      <c r="L1745" s="76" t="str">
        <f aca="false">IF(OR(G1745="",H1745=""),"Data tidak lengkap",IF(AND(G1745=0,H1745=0),IF(AND(F1745="",K1745=""),"Tidak dibuka","Tutup"),IF(H1745&gt;G1745,"Lebih kapasitas",IF(H1745=G1745,"Penuh",IF(H1745=0,IF(F1745="","Slot kosong","Belum terisi"),"Sebagian")))))</f>
        <v>Belum terisi</v>
      </c>
      <c r="M1745" s="79" t="str">
        <f aca="false">IF(L1745="Tidak dibuka","–",IF(F1745="","(tanpa age group)",F1745)&amp;"  "&amp;IF(H1745="","?",H1745)&amp;"/"&amp;IF(G1745="","?",G1745)&amp;CHAR(10)&amp;IF(K1745="","coach: –","coach: "&amp;K1745))</f>
        <v>Tiny  0/5
coach: –</v>
      </c>
    </row>
    <row r="1746" customFormat="false" ht="22.35" hidden="false" customHeight="false" outlineLevel="0" collapsed="false">
      <c r="A1746" s="76" t="str">
        <f aca="false">B1746&amp;"|"&amp;C1746&amp;"|"&amp;D1746&amp;"|"&amp;E1746</f>
        <v>BTU|2|Sabtu|11:45</v>
      </c>
      <c r="B1746" s="76" t="s">
        <v>69</v>
      </c>
      <c r="C1746" s="76" t="n">
        <v>2</v>
      </c>
      <c r="D1746" s="76" t="s">
        <v>95</v>
      </c>
      <c r="E1746" s="76" t="s">
        <v>115</v>
      </c>
      <c r="F1746" s="77" t="s">
        <v>42</v>
      </c>
      <c r="G1746" s="77" t="n">
        <v>5</v>
      </c>
      <c r="H1746" s="77" t="n">
        <v>0</v>
      </c>
      <c r="I1746" s="76" t="n">
        <f aca="false">IF(AND(ISNUMBER(G1746),ISNUMBER(H1746)),MAX(G1746-H1746,0),"")</f>
        <v>5</v>
      </c>
      <c r="J1746" s="78" t="n">
        <f aca="false">IF(AND(ISNUMBER(G1746),ISNUMBER(H1746)),IF(G1746&gt;0,H1746/G1746,""),"")</f>
        <v>0</v>
      </c>
      <c r="K1746" s="77"/>
      <c r="L1746" s="76" t="str">
        <f aca="false">IF(OR(G1746="",H1746=""),"Data tidak lengkap",IF(AND(G1746=0,H1746=0),IF(AND(F1746="",K1746=""),"Tidak dibuka","Tutup"),IF(H1746&gt;G1746,"Lebih kapasitas",IF(H1746=G1746,"Penuh",IF(H1746=0,IF(F1746="","Slot kosong","Belum terisi"),"Sebagian")))))</f>
        <v>Belum terisi</v>
      </c>
      <c r="M1746" s="79" t="str">
        <f aca="false">IF(L1746="Tidak dibuka","–",IF(F1746="","(tanpa age group)",F1746)&amp;"  "&amp;IF(H1746="","?",H1746)&amp;"/"&amp;IF(G1746="","?",G1746)&amp;CHAR(10)&amp;IF(K1746="","coach: –","coach: "&amp;K1746))</f>
        <v>Tiny  0/5
coach: –</v>
      </c>
    </row>
    <row r="1747" customFormat="false" ht="22.35" hidden="false" customHeight="false" outlineLevel="0" collapsed="false">
      <c r="A1747" s="76" t="str">
        <f aca="false">B1747&amp;"|"&amp;C1747&amp;"|"&amp;D1747&amp;"|"&amp;E1747</f>
        <v>BTU|2|Sabtu|13:15</v>
      </c>
      <c r="B1747" s="76" t="s">
        <v>69</v>
      </c>
      <c r="C1747" s="76" t="n">
        <v>2</v>
      </c>
      <c r="D1747" s="76" t="s">
        <v>95</v>
      </c>
      <c r="E1747" s="76" t="s">
        <v>116</v>
      </c>
      <c r="F1747" s="77" t="s">
        <v>42</v>
      </c>
      <c r="G1747" s="77" t="n">
        <v>5</v>
      </c>
      <c r="H1747" s="77" t="n">
        <v>0</v>
      </c>
      <c r="I1747" s="76" t="n">
        <f aca="false">IF(AND(ISNUMBER(G1747),ISNUMBER(H1747)),MAX(G1747-H1747,0),"")</f>
        <v>5</v>
      </c>
      <c r="J1747" s="78" t="n">
        <f aca="false">IF(AND(ISNUMBER(G1747),ISNUMBER(H1747)),IF(G1747&gt;0,H1747/G1747,""),"")</f>
        <v>0</v>
      </c>
      <c r="K1747" s="77"/>
      <c r="L1747" s="76" t="str">
        <f aca="false">IF(OR(G1747="",H1747=""),"Data tidak lengkap",IF(AND(G1747=0,H1747=0),IF(AND(F1747="",K1747=""),"Tidak dibuka","Tutup"),IF(H1747&gt;G1747,"Lebih kapasitas",IF(H1747=G1747,"Penuh",IF(H1747=0,IF(F1747="","Slot kosong","Belum terisi"),"Sebagian")))))</f>
        <v>Belum terisi</v>
      </c>
      <c r="M1747" s="79" t="str">
        <f aca="false">IF(L1747="Tidak dibuka","–",IF(F1747="","(tanpa age group)",F1747)&amp;"  "&amp;IF(H1747="","?",H1747)&amp;"/"&amp;IF(G1747="","?",G1747)&amp;CHAR(10)&amp;IF(K1747="","coach: –","coach: "&amp;K1747))</f>
        <v>Tiny  0/5
coach: –</v>
      </c>
    </row>
    <row r="1748" customFormat="false" ht="22.35" hidden="false" customHeight="false" outlineLevel="0" collapsed="false">
      <c r="A1748" s="76" t="str">
        <f aca="false">B1748&amp;"|"&amp;C1748&amp;"|"&amp;D1748&amp;"|"&amp;E1748</f>
        <v>BTU|2|Sabtu|14:00</v>
      </c>
      <c r="B1748" s="76" t="s">
        <v>69</v>
      </c>
      <c r="C1748" s="76" t="n">
        <v>2</v>
      </c>
      <c r="D1748" s="76" t="s">
        <v>95</v>
      </c>
      <c r="E1748" s="76" t="s">
        <v>117</v>
      </c>
      <c r="F1748" s="77" t="s">
        <v>42</v>
      </c>
      <c r="G1748" s="77" t="n">
        <v>5</v>
      </c>
      <c r="H1748" s="77" t="n">
        <v>0</v>
      </c>
      <c r="I1748" s="76" t="n">
        <f aca="false">IF(AND(ISNUMBER(G1748),ISNUMBER(H1748)),MAX(G1748-H1748,0),"")</f>
        <v>5</v>
      </c>
      <c r="J1748" s="78" t="n">
        <f aca="false">IF(AND(ISNUMBER(G1748),ISNUMBER(H1748)),IF(G1748&gt;0,H1748/G1748,""),"")</f>
        <v>0</v>
      </c>
      <c r="K1748" s="77"/>
      <c r="L1748" s="76" t="str">
        <f aca="false">IF(OR(G1748="",H1748=""),"Data tidak lengkap",IF(AND(G1748=0,H1748=0),IF(AND(F1748="",K1748=""),"Tidak dibuka","Tutup"),IF(H1748&gt;G1748,"Lebih kapasitas",IF(H1748=G1748,"Penuh",IF(H1748=0,IF(F1748="","Slot kosong","Belum terisi"),"Sebagian")))))</f>
        <v>Belum terisi</v>
      </c>
      <c r="M1748" s="79" t="str">
        <f aca="false">IF(L1748="Tidak dibuka","–",IF(F1748="","(tanpa age group)",F1748)&amp;"  "&amp;IF(H1748="","?",H1748)&amp;"/"&amp;IF(G1748="","?",G1748)&amp;CHAR(10)&amp;IF(K1748="","coach: –","coach: "&amp;K1748))</f>
        <v>Tiny  0/5
coach: –</v>
      </c>
    </row>
    <row r="1749" customFormat="false" ht="22.35" hidden="false" customHeight="false" outlineLevel="0" collapsed="false">
      <c r="A1749" s="76" t="str">
        <f aca="false">B1749&amp;"|"&amp;C1749&amp;"|"&amp;D1749&amp;"|"&amp;E1749</f>
        <v>BTU|2|Sabtu|14:45</v>
      </c>
      <c r="B1749" s="76" t="s">
        <v>69</v>
      </c>
      <c r="C1749" s="76" t="n">
        <v>2</v>
      </c>
      <c r="D1749" s="76" t="s">
        <v>95</v>
      </c>
      <c r="E1749" s="76" t="s">
        <v>118</v>
      </c>
      <c r="F1749" s="77" t="s">
        <v>42</v>
      </c>
      <c r="G1749" s="77" t="n">
        <v>5</v>
      </c>
      <c r="H1749" s="77" t="n">
        <v>0</v>
      </c>
      <c r="I1749" s="76" t="n">
        <f aca="false">IF(AND(ISNUMBER(G1749),ISNUMBER(H1749)),MAX(G1749-H1749,0),"")</f>
        <v>5</v>
      </c>
      <c r="J1749" s="78" t="n">
        <f aca="false">IF(AND(ISNUMBER(G1749),ISNUMBER(H1749)),IF(G1749&gt;0,H1749/G1749,""),"")</f>
        <v>0</v>
      </c>
      <c r="K1749" s="77"/>
      <c r="L1749" s="76" t="str">
        <f aca="false">IF(OR(G1749="",H1749=""),"Data tidak lengkap",IF(AND(G1749=0,H1749=0),IF(AND(F1749="",K1749=""),"Tidak dibuka","Tutup"),IF(H1749&gt;G1749,"Lebih kapasitas",IF(H1749=G1749,"Penuh",IF(H1749=0,IF(F1749="","Slot kosong","Belum terisi"),"Sebagian")))))</f>
        <v>Belum terisi</v>
      </c>
      <c r="M1749" s="79" t="str">
        <f aca="false">IF(L1749="Tidak dibuka","–",IF(F1749="","(tanpa age group)",F1749)&amp;"  "&amp;IF(H1749="","?",H1749)&amp;"/"&amp;IF(G1749="","?",G1749)&amp;CHAR(10)&amp;IF(K1749="","coach: –","coach: "&amp;K1749))</f>
        <v>Tiny  0/5
coach: –</v>
      </c>
    </row>
    <row r="1750" customFormat="false" ht="22.35" hidden="false" customHeight="false" outlineLevel="0" collapsed="false">
      <c r="A1750" s="76" t="str">
        <f aca="false">B1750&amp;"|"&amp;C1750&amp;"|"&amp;D1750&amp;"|"&amp;E1750</f>
        <v>BTU|2|Sabtu|15:30</v>
      </c>
      <c r="B1750" s="76" t="s">
        <v>69</v>
      </c>
      <c r="C1750" s="76" t="n">
        <v>2</v>
      </c>
      <c r="D1750" s="76" t="s">
        <v>95</v>
      </c>
      <c r="E1750" s="76" t="s">
        <v>119</v>
      </c>
      <c r="F1750" s="77" t="s">
        <v>42</v>
      </c>
      <c r="G1750" s="77" t="n">
        <v>5</v>
      </c>
      <c r="H1750" s="77" t="n">
        <v>0</v>
      </c>
      <c r="I1750" s="76" t="n">
        <f aca="false">IF(AND(ISNUMBER(G1750),ISNUMBER(H1750)),MAX(G1750-H1750,0),"")</f>
        <v>5</v>
      </c>
      <c r="J1750" s="78" t="n">
        <f aca="false">IF(AND(ISNUMBER(G1750),ISNUMBER(H1750)),IF(G1750&gt;0,H1750/G1750,""),"")</f>
        <v>0</v>
      </c>
      <c r="K1750" s="77"/>
      <c r="L1750" s="76" t="str">
        <f aca="false">IF(OR(G1750="",H1750=""),"Data tidak lengkap",IF(AND(G1750=0,H1750=0),IF(AND(F1750="",K1750=""),"Tidak dibuka","Tutup"),IF(H1750&gt;G1750,"Lebih kapasitas",IF(H1750=G1750,"Penuh",IF(H1750=0,IF(F1750="","Slot kosong","Belum terisi"),"Sebagian")))))</f>
        <v>Belum terisi</v>
      </c>
      <c r="M1750" s="79" t="str">
        <f aca="false">IF(L1750="Tidak dibuka","–",IF(F1750="","(tanpa age group)",F1750)&amp;"  "&amp;IF(H1750="","?",H1750)&amp;"/"&amp;IF(G1750="","?",G1750)&amp;CHAR(10)&amp;IF(K1750="","coach: –","coach: "&amp;K1750))</f>
        <v>Tiny  0/5
coach: –</v>
      </c>
    </row>
    <row r="1751" customFormat="false" ht="22.35" hidden="false" customHeight="false" outlineLevel="0" collapsed="false">
      <c r="A1751" s="76" t="str">
        <f aca="false">B1751&amp;"|"&amp;C1751&amp;"|"&amp;D1751&amp;"|"&amp;E1751</f>
        <v>BTU|2|Sabtu|16:15</v>
      </c>
      <c r="B1751" s="76" t="s">
        <v>69</v>
      </c>
      <c r="C1751" s="76" t="n">
        <v>2</v>
      </c>
      <c r="D1751" s="76" t="s">
        <v>95</v>
      </c>
      <c r="E1751" s="76" t="s">
        <v>120</v>
      </c>
      <c r="F1751" s="77" t="s">
        <v>42</v>
      </c>
      <c r="G1751" s="77" t="n">
        <v>5</v>
      </c>
      <c r="H1751" s="77" t="n">
        <v>2</v>
      </c>
      <c r="I1751" s="76" t="n">
        <f aca="false">IF(AND(ISNUMBER(G1751),ISNUMBER(H1751)),MAX(G1751-H1751,0),"")</f>
        <v>3</v>
      </c>
      <c r="J1751" s="78" t="n">
        <f aca="false">IF(AND(ISNUMBER(G1751),ISNUMBER(H1751)),IF(G1751&gt;0,H1751/G1751,""),"")</f>
        <v>0.4</v>
      </c>
      <c r="K1751" s="77" t="s">
        <v>433</v>
      </c>
      <c r="L1751" s="76" t="str">
        <f aca="false">IF(OR(G1751="",H1751=""),"Data tidak lengkap",IF(AND(G1751=0,H1751=0),IF(AND(F1751="",K1751=""),"Tidak dibuka","Tutup"),IF(H1751&gt;G1751,"Lebih kapasitas",IF(H1751=G1751,"Penuh",IF(H1751=0,IF(F1751="","Slot kosong","Belum terisi"),"Sebagian")))))</f>
        <v>Sebagian</v>
      </c>
      <c r="M1751" s="79" t="str">
        <f aca="false">IF(L1751="Tidak dibuka","–",IF(F1751="","(tanpa age group)",F1751)&amp;"  "&amp;IF(H1751="","?",H1751)&amp;"/"&amp;IF(G1751="","?",G1751)&amp;CHAR(10)&amp;IF(K1751="","coach: –","coach: "&amp;K1751))</f>
        <v>Tiny  2/5
coach: Shofi</v>
      </c>
    </row>
    <row r="1752" customFormat="false" ht="22.35" hidden="false" customHeight="false" outlineLevel="0" collapsed="false">
      <c r="A1752" s="76" t="str">
        <f aca="false">B1752&amp;"|"&amp;C1752&amp;"|"&amp;D1752&amp;"|"&amp;E1752</f>
        <v>BTU|2|Sabtu|17:00</v>
      </c>
      <c r="B1752" s="76" t="s">
        <v>69</v>
      </c>
      <c r="C1752" s="76" t="n">
        <v>2</v>
      </c>
      <c r="D1752" s="76" t="s">
        <v>95</v>
      </c>
      <c r="E1752" s="76" t="s">
        <v>121</v>
      </c>
      <c r="F1752" s="77" t="s">
        <v>42</v>
      </c>
      <c r="G1752" s="77" t="n">
        <v>5</v>
      </c>
      <c r="H1752" s="77" t="n">
        <v>0</v>
      </c>
      <c r="I1752" s="76" t="n">
        <f aca="false">IF(AND(ISNUMBER(G1752),ISNUMBER(H1752)),MAX(G1752-H1752,0),"")</f>
        <v>5</v>
      </c>
      <c r="J1752" s="78" t="n">
        <f aca="false">IF(AND(ISNUMBER(G1752),ISNUMBER(H1752)),IF(G1752&gt;0,H1752/G1752,""),"")</f>
        <v>0</v>
      </c>
      <c r="K1752" s="77"/>
      <c r="L1752" s="76" t="str">
        <f aca="false">IF(OR(G1752="",H1752=""),"Data tidak lengkap",IF(AND(G1752=0,H1752=0),IF(AND(F1752="",K1752=""),"Tidak dibuka","Tutup"),IF(H1752&gt;G1752,"Lebih kapasitas",IF(H1752=G1752,"Penuh",IF(H1752=0,IF(F1752="","Slot kosong","Belum terisi"),"Sebagian")))))</f>
        <v>Belum terisi</v>
      </c>
      <c r="M1752" s="79" t="str">
        <f aca="false">IF(L1752="Tidak dibuka","–",IF(F1752="","(tanpa age group)",F1752)&amp;"  "&amp;IF(H1752="","?",H1752)&amp;"/"&amp;IF(G1752="","?",G1752)&amp;CHAR(10)&amp;IF(K1752="","coach: –","coach: "&amp;K1752))</f>
        <v>Tiny  0/5
coach: –</v>
      </c>
    </row>
    <row r="1753" customFormat="false" ht="22.35" hidden="false" customHeight="false" outlineLevel="0" collapsed="false">
      <c r="A1753" s="76" t="str">
        <f aca="false">B1753&amp;"|"&amp;C1753&amp;"|"&amp;D1753&amp;"|"&amp;E1753</f>
        <v>BTU|2|Minggu|08:00</v>
      </c>
      <c r="B1753" s="76" t="s">
        <v>69</v>
      </c>
      <c r="C1753" s="76" t="n">
        <v>2</v>
      </c>
      <c r="D1753" s="76" t="s">
        <v>78</v>
      </c>
      <c r="E1753" s="76" t="s">
        <v>110</v>
      </c>
      <c r="F1753" s="77" t="s">
        <v>42</v>
      </c>
      <c r="G1753" s="77" t="n">
        <v>5</v>
      </c>
      <c r="H1753" s="77" t="n">
        <v>0</v>
      </c>
      <c r="I1753" s="76" t="n">
        <f aca="false">IF(AND(ISNUMBER(G1753),ISNUMBER(H1753)),MAX(G1753-H1753,0),"")</f>
        <v>5</v>
      </c>
      <c r="J1753" s="78" t="n">
        <f aca="false">IF(AND(ISNUMBER(G1753),ISNUMBER(H1753)),IF(G1753&gt;0,H1753/G1753,""),"")</f>
        <v>0</v>
      </c>
      <c r="K1753" s="77"/>
      <c r="L1753" s="76" t="str">
        <f aca="false">IF(OR(G1753="",H1753=""),"Data tidak lengkap",IF(AND(G1753=0,H1753=0),IF(AND(F1753="",K1753=""),"Tidak dibuka","Tutup"),IF(H1753&gt;G1753,"Lebih kapasitas",IF(H1753=G1753,"Penuh",IF(H1753=0,IF(F1753="","Slot kosong","Belum terisi"),"Sebagian")))))</f>
        <v>Belum terisi</v>
      </c>
      <c r="M1753" s="79" t="str">
        <f aca="false">IF(L1753="Tidak dibuka","–",IF(F1753="","(tanpa age group)",F1753)&amp;"  "&amp;IF(H1753="","?",H1753)&amp;"/"&amp;IF(G1753="","?",G1753)&amp;CHAR(10)&amp;IF(K1753="","coach: –","coach: "&amp;K1753))</f>
        <v>Tiny  0/5
coach: –</v>
      </c>
    </row>
    <row r="1754" customFormat="false" ht="22.35" hidden="false" customHeight="false" outlineLevel="0" collapsed="false">
      <c r="A1754" s="76" t="str">
        <f aca="false">B1754&amp;"|"&amp;C1754&amp;"|"&amp;D1754&amp;"|"&amp;E1754</f>
        <v>BTU|2|Minggu|08:45</v>
      </c>
      <c r="B1754" s="76" t="s">
        <v>69</v>
      </c>
      <c r="C1754" s="76" t="n">
        <v>2</v>
      </c>
      <c r="D1754" s="76" t="s">
        <v>78</v>
      </c>
      <c r="E1754" s="76" t="s">
        <v>111</v>
      </c>
      <c r="F1754" s="77" t="s">
        <v>42</v>
      </c>
      <c r="G1754" s="77" t="n">
        <v>5</v>
      </c>
      <c r="H1754" s="77" t="n">
        <v>3</v>
      </c>
      <c r="I1754" s="76" t="n">
        <f aca="false">IF(AND(ISNUMBER(G1754),ISNUMBER(H1754)),MAX(G1754-H1754,0),"")</f>
        <v>2</v>
      </c>
      <c r="J1754" s="78" t="n">
        <f aca="false">IF(AND(ISNUMBER(G1754),ISNUMBER(H1754)),IF(G1754&gt;0,H1754/G1754,""),"")</f>
        <v>0.6</v>
      </c>
      <c r="K1754" s="77" t="s">
        <v>433</v>
      </c>
      <c r="L1754" s="76" t="str">
        <f aca="false">IF(OR(G1754="",H1754=""),"Data tidak lengkap",IF(AND(G1754=0,H1754=0),IF(AND(F1754="",K1754=""),"Tidak dibuka","Tutup"),IF(H1754&gt;G1754,"Lebih kapasitas",IF(H1754=G1754,"Penuh",IF(H1754=0,IF(F1754="","Slot kosong","Belum terisi"),"Sebagian")))))</f>
        <v>Sebagian</v>
      </c>
      <c r="M1754" s="79" t="str">
        <f aca="false">IF(L1754="Tidak dibuka","–",IF(F1754="","(tanpa age group)",F1754)&amp;"  "&amp;IF(H1754="","?",H1754)&amp;"/"&amp;IF(G1754="","?",G1754)&amp;CHAR(10)&amp;IF(K1754="","coach: –","coach: "&amp;K1754))</f>
        <v>Tiny  3/5
coach: Shofi</v>
      </c>
    </row>
    <row r="1755" customFormat="false" ht="22.35" hidden="false" customHeight="false" outlineLevel="0" collapsed="false">
      <c r="A1755" s="76" t="str">
        <f aca="false">B1755&amp;"|"&amp;C1755&amp;"|"&amp;D1755&amp;"|"&amp;E1755</f>
        <v>BTU|2|Minggu|09:30</v>
      </c>
      <c r="B1755" s="76" t="s">
        <v>69</v>
      </c>
      <c r="C1755" s="76" t="n">
        <v>2</v>
      </c>
      <c r="D1755" s="76" t="s">
        <v>78</v>
      </c>
      <c r="E1755" s="76" t="s">
        <v>112</v>
      </c>
      <c r="F1755" s="77" t="s">
        <v>42</v>
      </c>
      <c r="G1755" s="77" t="n">
        <v>5</v>
      </c>
      <c r="H1755" s="77" t="n">
        <v>3</v>
      </c>
      <c r="I1755" s="76" t="n">
        <f aca="false">IF(AND(ISNUMBER(G1755),ISNUMBER(H1755)),MAX(G1755-H1755,0),"")</f>
        <v>2</v>
      </c>
      <c r="J1755" s="78" t="n">
        <f aca="false">IF(AND(ISNUMBER(G1755),ISNUMBER(H1755)),IF(G1755&gt;0,H1755/G1755,""),"")</f>
        <v>0.6</v>
      </c>
      <c r="K1755" s="77" t="s">
        <v>433</v>
      </c>
      <c r="L1755" s="76" t="str">
        <f aca="false">IF(OR(G1755="",H1755=""),"Data tidak lengkap",IF(AND(G1755=0,H1755=0),IF(AND(F1755="",K1755=""),"Tidak dibuka","Tutup"),IF(H1755&gt;G1755,"Lebih kapasitas",IF(H1755=G1755,"Penuh",IF(H1755=0,IF(F1755="","Slot kosong","Belum terisi"),"Sebagian")))))</f>
        <v>Sebagian</v>
      </c>
      <c r="M1755" s="79" t="str">
        <f aca="false">IF(L1755="Tidak dibuka","–",IF(F1755="","(tanpa age group)",F1755)&amp;"  "&amp;IF(H1755="","?",H1755)&amp;"/"&amp;IF(G1755="","?",G1755)&amp;CHAR(10)&amp;IF(K1755="","coach: –","coach: "&amp;K1755))</f>
        <v>Tiny  3/5
coach: Shofi</v>
      </c>
    </row>
    <row r="1756" customFormat="false" ht="22.35" hidden="false" customHeight="false" outlineLevel="0" collapsed="false">
      <c r="A1756" s="76" t="str">
        <f aca="false">B1756&amp;"|"&amp;C1756&amp;"|"&amp;D1756&amp;"|"&amp;E1756</f>
        <v>BTU|2|Minggu|10:15</v>
      </c>
      <c r="B1756" s="76" t="s">
        <v>69</v>
      </c>
      <c r="C1756" s="76" t="n">
        <v>2</v>
      </c>
      <c r="D1756" s="76" t="s">
        <v>78</v>
      </c>
      <c r="E1756" s="76" t="s">
        <v>113</v>
      </c>
      <c r="F1756" s="77" t="s">
        <v>42</v>
      </c>
      <c r="G1756" s="77" t="n">
        <v>5</v>
      </c>
      <c r="H1756" s="77" t="n">
        <v>0</v>
      </c>
      <c r="I1756" s="76" t="n">
        <f aca="false">IF(AND(ISNUMBER(G1756),ISNUMBER(H1756)),MAX(G1756-H1756,0),"")</f>
        <v>5</v>
      </c>
      <c r="J1756" s="78" t="n">
        <f aca="false">IF(AND(ISNUMBER(G1756),ISNUMBER(H1756)),IF(G1756&gt;0,H1756/G1756,""),"")</f>
        <v>0</v>
      </c>
      <c r="K1756" s="77"/>
      <c r="L1756" s="76" t="str">
        <f aca="false">IF(OR(G1756="",H1756=""),"Data tidak lengkap",IF(AND(G1756=0,H1756=0),IF(AND(F1756="",K1756=""),"Tidak dibuka","Tutup"),IF(H1756&gt;G1756,"Lebih kapasitas",IF(H1756=G1756,"Penuh",IF(H1756=0,IF(F1756="","Slot kosong","Belum terisi"),"Sebagian")))))</f>
        <v>Belum terisi</v>
      </c>
      <c r="M1756" s="79" t="str">
        <f aca="false">IF(L1756="Tidak dibuka","–",IF(F1756="","(tanpa age group)",F1756)&amp;"  "&amp;IF(H1756="","?",H1756)&amp;"/"&amp;IF(G1756="","?",G1756)&amp;CHAR(10)&amp;IF(K1756="","coach: –","coach: "&amp;K1756))</f>
        <v>Tiny  0/5
coach: –</v>
      </c>
    </row>
    <row r="1757" customFormat="false" ht="22.35" hidden="false" customHeight="false" outlineLevel="0" collapsed="false">
      <c r="A1757" s="76" t="str">
        <f aca="false">B1757&amp;"|"&amp;C1757&amp;"|"&amp;D1757&amp;"|"&amp;E1757</f>
        <v>BTU|2|Minggu|11:00</v>
      </c>
      <c r="B1757" s="76" t="s">
        <v>69</v>
      </c>
      <c r="C1757" s="76" t="n">
        <v>2</v>
      </c>
      <c r="D1757" s="76" t="s">
        <v>78</v>
      </c>
      <c r="E1757" s="76" t="s">
        <v>114</v>
      </c>
      <c r="F1757" s="77" t="s">
        <v>42</v>
      </c>
      <c r="G1757" s="77" t="n">
        <v>5</v>
      </c>
      <c r="H1757" s="77" t="n">
        <v>0</v>
      </c>
      <c r="I1757" s="76" t="n">
        <f aca="false">IF(AND(ISNUMBER(G1757),ISNUMBER(H1757)),MAX(G1757-H1757,0),"")</f>
        <v>5</v>
      </c>
      <c r="J1757" s="78" t="n">
        <f aca="false">IF(AND(ISNUMBER(G1757),ISNUMBER(H1757)),IF(G1757&gt;0,H1757/G1757,""),"")</f>
        <v>0</v>
      </c>
      <c r="K1757" s="77"/>
      <c r="L1757" s="76" t="str">
        <f aca="false">IF(OR(G1757="",H1757=""),"Data tidak lengkap",IF(AND(G1757=0,H1757=0),IF(AND(F1757="",K1757=""),"Tidak dibuka","Tutup"),IF(H1757&gt;G1757,"Lebih kapasitas",IF(H1757=G1757,"Penuh",IF(H1757=0,IF(F1757="","Slot kosong","Belum terisi"),"Sebagian")))))</f>
        <v>Belum terisi</v>
      </c>
      <c r="M1757" s="79" t="str">
        <f aca="false">IF(L1757="Tidak dibuka","–",IF(F1757="","(tanpa age group)",F1757)&amp;"  "&amp;IF(H1757="","?",H1757)&amp;"/"&amp;IF(G1757="","?",G1757)&amp;CHAR(10)&amp;IF(K1757="","coach: –","coach: "&amp;K1757))</f>
        <v>Tiny  0/5
coach: –</v>
      </c>
    </row>
    <row r="1758" customFormat="false" ht="22.35" hidden="false" customHeight="false" outlineLevel="0" collapsed="false">
      <c r="A1758" s="76" t="str">
        <f aca="false">B1758&amp;"|"&amp;C1758&amp;"|"&amp;D1758&amp;"|"&amp;E1758</f>
        <v>BTU|2|Minggu|11:45</v>
      </c>
      <c r="B1758" s="76" t="s">
        <v>69</v>
      </c>
      <c r="C1758" s="76" t="n">
        <v>2</v>
      </c>
      <c r="D1758" s="76" t="s">
        <v>78</v>
      </c>
      <c r="E1758" s="76" t="s">
        <v>115</v>
      </c>
      <c r="F1758" s="77" t="s">
        <v>42</v>
      </c>
      <c r="G1758" s="77" t="n">
        <v>5</v>
      </c>
      <c r="H1758" s="77" t="n">
        <v>0</v>
      </c>
      <c r="I1758" s="76" t="n">
        <f aca="false">IF(AND(ISNUMBER(G1758),ISNUMBER(H1758)),MAX(G1758-H1758,0),"")</f>
        <v>5</v>
      </c>
      <c r="J1758" s="78" t="n">
        <f aca="false">IF(AND(ISNUMBER(G1758),ISNUMBER(H1758)),IF(G1758&gt;0,H1758/G1758,""),"")</f>
        <v>0</v>
      </c>
      <c r="K1758" s="77"/>
      <c r="L1758" s="76" t="str">
        <f aca="false">IF(OR(G1758="",H1758=""),"Data tidak lengkap",IF(AND(G1758=0,H1758=0),IF(AND(F1758="",K1758=""),"Tidak dibuka","Tutup"),IF(H1758&gt;G1758,"Lebih kapasitas",IF(H1758=G1758,"Penuh",IF(H1758=0,IF(F1758="","Slot kosong","Belum terisi"),"Sebagian")))))</f>
        <v>Belum terisi</v>
      </c>
      <c r="M1758" s="79" t="str">
        <f aca="false">IF(L1758="Tidak dibuka","–",IF(F1758="","(tanpa age group)",F1758)&amp;"  "&amp;IF(H1758="","?",H1758)&amp;"/"&amp;IF(G1758="","?",G1758)&amp;CHAR(10)&amp;IF(K1758="","coach: –","coach: "&amp;K1758))</f>
        <v>Tiny  0/5
coach: –</v>
      </c>
    </row>
    <row r="1759" customFormat="false" ht="22.35" hidden="false" customHeight="false" outlineLevel="0" collapsed="false">
      <c r="A1759" s="76" t="str">
        <f aca="false">B1759&amp;"|"&amp;C1759&amp;"|"&amp;D1759&amp;"|"&amp;E1759</f>
        <v>BTU|2|Minggu|13:15</v>
      </c>
      <c r="B1759" s="76" t="s">
        <v>69</v>
      </c>
      <c r="C1759" s="76" t="n">
        <v>2</v>
      </c>
      <c r="D1759" s="76" t="s">
        <v>78</v>
      </c>
      <c r="E1759" s="76" t="s">
        <v>116</v>
      </c>
      <c r="F1759" s="77" t="s">
        <v>42</v>
      </c>
      <c r="G1759" s="77" t="n">
        <v>5</v>
      </c>
      <c r="H1759" s="77" t="n">
        <v>0</v>
      </c>
      <c r="I1759" s="76" t="n">
        <f aca="false">IF(AND(ISNUMBER(G1759),ISNUMBER(H1759)),MAX(G1759-H1759,0),"")</f>
        <v>5</v>
      </c>
      <c r="J1759" s="78" t="n">
        <f aca="false">IF(AND(ISNUMBER(G1759),ISNUMBER(H1759)),IF(G1759&gt;0,H1759/G1759,""),"")</f>
        <v>0</v>
      </c>
      <c r="K1759" s="77"/>
      <c r="L1759" s="76" t="str">
        <f aca="false">IF(OR(G1759="",H1759=""),"Data tidak lengkap",IF(AND(G1759=0,H1759=0),IF(AND(F1759="",K1759=""),"Tidak dibuka","Tutup"),IF(H1759&gt;G1759,"Lebih kapasitas",IF(H1759=G1759,"Penuh",IF(H1759=0,IF(F1759="","Slot kosong","Belum terisi"),"Sebagian")))))</f>
        <v>Belum terisi</v>
      </c>
      <c r="M1759" s="79" t="str">
        <f aca="false">IF(L1759="Tidak dibuka","–",IF(F1759="","(tanpa age group)",F1759)&amp;"  "&amp;IF(H1759="","?",H1759)&amp;"/"&amp;IF(G1759="","?",G1759)&amp;CHAR(10)&amp;IF(K1759="","coach: –","coach: "&amp;K1759))</f>
        <v>Tiny  0/5
coach: –</v>
      </c>
    </row>
    <row r="1760" customFormat="false" ht="22.35" hidden="false" customHeight="false" outlineLevel="0" collapsed="false">
      <c r="A1760" s="76" t="str">
        <f aca="false">B1760&amp;"|"&amp;C1760&amp;"|"&amp;D1760&amp;"|"&amp;E1760</f>
        <v>BTU|2|Minggu|14:00</v>
      </c>
      <c r="B1760" s="76" t="s">
        <v>69</v>
      </c>
      <c r="C1760" s="76" t="n">
        <v>2</v>
      </c>
      <c r="D1760" s="76" t="s">
        <v>78</v>
      </c>
      <c r="E1760" s="76" t="s">
        <v>117</v>
      </c>
      <c r="F1760" s="77" t="s">
        <v>42</v>
      </c>
      <c r="G1760" s="77" t="n">
        <v>5</v>
      </c>
      <c r="H1760" s="77" t="n">
        <v>0</v>
      </c>
      <c r="I1760" s="76" t="n">
        <f aca="false">IF(AND(ISNUMBER(G1760),ISNUMBER(H1760)),MAX(G1760-H1760,0),"")</f>
        <v>5</v>
      </c>
      <c r="J1760" s="78" t="n">
        <f aca="false">IF(AND(ISNUMBER(G1760),ISNUMBER(H1760)),IF(G1760&gt;0,H1760/G1760,""),"")</f>
        <v>0</v>
      </c>
      <c r="K1760" s="77"/>
      <c r="L1760" s="76" t="str">
        <f aca="false">IF(OR(G1760="",H1760=""),"Data tidak lengkap",IF(AND(G1760=0,H1760=0),IF(AND(F1760="",K1760=""),"Tidak dibuka","Tutup"),IF(H1760&gt;G1760,"Lebih kapasitas",IF(H1760=G1760,"Penuh",IF(H1760=0,IF(F1760="","Slot kosong","Belum terisi"),"Sebagian")))))</f>
        <v>Belum terisi</v>
      </c>
      <c r="M1760" s="79" t="str">
        <f aca="false">IF(L1760="Tidak dibuka","–",IF(F1760="","(tanpa age group)",F1760)&amp;"  "&amp;IF(H1760="","?",H1760)&amp;"/"&amp;IF(G1760="","?",G1760)&amp;CHAR(10)&amp;IF(K1760="","coach: –","coach: "&amp;K1760))</f>
        <v>Tiny  0/5
coach: –</v>
      </c>
    </row>
    <row r="1761" customFormat="false" ht="22.35" hidden="false" customHeight="false" outlineLevel="0" collapsed="false">
      <c r="A1761" s="76" t="str">
        <f aca="false">B1761&amp;"|"&amp;C1761&amp;"|"&amp;D1761&amp;"|"&amp;E1761</f>
        <v>BTU|2|Minggu|14:45</v>
      </c>
      <c r="B1761" s="76" t="s">
        <v>69</v>
      </c>
      <c r="C1761" s="76" t="n">
        <v>2</v>
      </c>
      <c r="D1761" s="76" t="s">
        <v>78</v>
      </c>
      <c r="E1761" s="76" t="s">
        <v>118</v>
      </c>
      <c r="F1761" s="77" t="s">
        <v>42</v>
      </c>
      <c r="G1761" s="77" t="n">
        <v>5</v>
      </c>
      <c r="H1761" s="77" t="n">
        <v>0</v>
      </c>
      <c r="I1761" s="76" t="n">
        <f aca="false">IF(AND(ISNUMBER(G1761),ISNUMBER(H1761)),MAX(G1761-H1761,0),"")</f>
        <v>5</v>
      </c>
      <c r="J1761" s="78" t="n">
        <f aca="false">IF(AND(ISNUMBER(G1761),ISNUMBER(H1761)),IF(G1761&gt;0,H1761/G1761,""),"")</f>
        <v>0</v>
      </c>
      <c r="K1761" s="77"/>
      <c r="L1761" s="76" t="str">
        <f aca="false">IF(OR(G1761="",H1761=""),"Data tidak lengkap",IF(AND(G1761=0,H1761=0),IF(AND(F1761="",K1761=""),"Tidak dibuka","Tutup"),IF(H1761&gt;G1761,"Lebih kapasitas",IF(H1761=G1761,"Penuh",IF(H1761=0,IF(F1761="","Slot kosong","Belum terisi"),"Sebagian")))))</f>
        <v>Belum terisi</v>
      </c>
      <c r="M1761" s="79" t="str">
        <f aca="false">IF(L1761="Tidak dibuka","–",IF(F1761="","(tanpa age group)",F1761)&amp;"  "&amp;IF(H1761="","?",H1761)&amp;"/"&amp;IF(G1761="","?",G1761)&amp;CHAR(10)&amp;IF(K1761="","coach: –","coach: "&amp;K1761))</f>
        <v>Tiny  0/5
coach: –</v>
      </c>
    </row>
    <row r="1762" customFormat="false" ht="22.35" hidden="false" customHeight="false" outlineLevel="0" collapsed="false">
      <c r="A1762" s="76" t="str">
        <f aca="false">B1762&amp;"|"&amp;C1762&amp;"|"&amp;D1762&amp;"|"&amp;E1762</f>
        <v>BTU|2|Minggu|15:30</v>
      </c>
      <c r="B1762" s="76" t="s">
        <v>69</v>
      </c>
      <c r="C1762" s="76" t="n">
        <v>2</v>
      </c>
      <c r="D1762" s="76" t="s">
        <v>78</v>
      </c>
      <c r="E1762" s="76" t="s">
        <v>119</v>
      </c>
      <c r="F1762" s="77" t="s">
        <v>42</v>
      </c>
      <c r="G1762" s="77" t="n">
        <v>5</v>
      </c>
      <c r="H1762" s="77" t="n">
        <v>0</v>
      </c>
      <c r="I1762" s="76" t="n">
        <f aca="false">IF(AND(ISNUMBER(G1762),ISNUMBER(H1762)),MAX(G1762-H1762,0),"")</f>
        <v>5</v>
      </c>
      <c r="J1762" s="78" t="n">
        <f aca="false">IF(AND(ISNUMBER(G1762),ISNUMBER(H1762)),IF(G1762&gt;0,H1762/G1762,""),"")</f>
        <v>0</v>
      </c>
      <c r="K1762" s="77"/>
      <c r="L1762" s="76" t="str">
        <f aca="false">IF(OR(G1762="",H1762=""),"Data tidak lengkap",IF(AND(G1762=0,H1762=0),IF(AND(F1762="",K1762=""),"Tidak dibuka","Tutup"),IF(H1762&gt;G1762,"Lebih kapasitas",IF(H1762=G1762,"Penuh",IF(H1762=0,IF(F1762="","Slot kosong","Belum terisi"),"Sebagian")))))</f>
        <v>Belum terisi</v>
      </c>
      <c r="M1762" s="79" t="str">
        <f aca="false">IF(L1762="Tidak dibuka","–",IF(F1762="","(tanpa age group)",F1762)&amp;"  "&amp;IF(H1762="","?",H1762)&amp;"/"&amp;IF(G1762="","?",G1762)&amp;CHAR(10)&amp;IF(K1762="","coach: –","coach: "&amp;K1762))</f>
        <v>Tiny  0/5
coach: –</v>
      </c>
    </row>
    <row r="1763" customFormat="false" ht="22.35" hidden="false" customHeight="false" outlineLevel="0" collapsed="false">
      <c r="A1763" s="76" t="str">
        <f aca="false">B1763&amp;"|"&amp;C1763&amp;"|"&amp;D1763&amp;"|"&amp;E1763</f>
        <v>BTU|2|Minggu|16:15</v>
      </c>
      <c r="B1763" s="76" t="s">
        <v>69</v>
      </c>
      <c r="C1763" s="76" t="n">
        <v>2</v>
      </c>
      <c r="D1763" s="76" t="s">
        <v>78</v>
      </c>
      <c r="E1763" s="76" t="s">
        <v>120</v>
      </c>
      <c r="F1763" s="77" t="s">
        <v>42</v>
      </c>
      <c r="G1763" s="77" t="n">
        <v>5</v>
      </c>
      <c r="H1763" s="77" t="n">
        <v>1</v>
      </c>
      <c r="I1763" s="76" t="n">
        <f aca="false">IF(AND(ISNUMBER(G1763),ISNUMBER(H1763)),MAX(G1763-H1763,0),"")</f>
        <v>4</v>
      </c>
      <c r="J1763" s="78" t="n">
        <f aca="false">IF(AND(ISNUMBER(G1763),ISNUMBER(H1763)),IF(G1763&gt;0,H1763/G1763,""),"")</f>
        <v>0.2</v>
      </c>
      <c r="K1763" s="77" t="s">
        <v>434</v>
      </c>
      <c r="L1763" s="76" t="str">
        <f aca="false">IF(OR(G1763="",H1763=""),"Data tidak lengkap",IF(AND(G1763=0,H1763=0),IF(AND(F1763="",K1763=""),"Tidak dibuka","Tutup"),IF(H1763&gt;G1763,"Lebih kapasitas",IF(H1763=G1763,"Penuh",IF(H1763=0,IF(F1763="","Slot kosong","Belum terisi"),"Sebagian")))))</f>
        <v>Sebagian</v>
      </c>
      <c r="M1763" s="79" t="str">
        <f aca="false">IF(L1763="Tidak dibuka","–",IF(F1763="","(tanpa age group)",F1763)&amp;"  "&amp;IF(H1763="","?",H1763)&amp;"/"&amp;IF(G1763="","?",G1763)&amp;CHAR(10)&amp;IF(K1763="","coach: –","coach: "&amp;K1763))</f>
        <v>Tiny  1/5
coach: Alfi</v>
      </c>
    </row>
    <row r="1764" customFormat="false" ht="22.35" hidden="false" customHeight="false" outlineLevel="0" collapsed="false">
      <c r="A1764" s="76" t="str">
        <f aca="false">B1764&amp;"|"&amp;C1764&amp;"|"&amp;D1764&amp;"|"&amp;E1764</f>
        <v>BTU|2|Minggu|17:00</v>
      </c>
      <c r="B1764" s="76" t="s">
        <v>69</v>
      </c>
      <c r="C1764" s="76" t="n">
        <v>2</v>
      </c>
      <c r="D1764" s="76" t="s">
        <v>78</v>
      </c>
      <c r="E1764" s="76" t="s">
        <v>121</v>
      </c>
      <c r="F1764" s="77" t="s">
        <v>42</v>
      </c>
      <c r="G1764" s="77" t="n">
        <v>5</v>
      </c>
      <c r="H1764" s="77" t="n">
        <v>0</v>
      </c>
      <c r="I1764" s="76" t="n">
        <f aca="false">IF(AND(ISNUMBER(G1764),ISNUMBER(H1764)),MAX(G1764-H1764,0),"")</f>
        <v>5</v>
      </c>
      <c r="J1764" s="78" t="n">
        <f aca="false">IF(AND(ISNUMBER(G1764),ISNUMBER(H1764)),IF(G1764&gt;0,H1764/G1764,""),"")</f>
        <v>0</v>
      </c>
      <c r="K1764" s="77"/>
      <c r="L1764" s="76" t="str">
        <f aca="false">IF(OR(G1764="",H1764=""),"Data tidak lengkap",IF(AND(G1764=0,H1764=0),IF(AND(F1764="",K1764=""),"Tidak dibuka","Tutup"),IF(H1764&gt;G1764,"Lebih kapasitas",IF(H1764=G1764,"Penuh",IF(H1764=0,IF(F1764="","Slot kosong","Belum terisi"),"Sebagian")))))</f>
        <v>Belum terisi</v>
      </c>
      <c r="M1764" s="79" t="str">
        <f aca="false">IF(L1764="Tidak dibuka","–",IF(F1764="","(tanpa age group)",F1764)&amp;"  "&amp;IF(H1764="","?",H1764)&amp;"/"&amp;IF(G1764="","?",G1764)&amp;CHAR(10)&amp;IF(K1764="","coach: –","coach: "&amp;K1764))</f>
        <v>Tiny  0/5
coach: –</v>
      </c>
    </row>
    <row r="1765" customFormat="false" ht="22.35" hidden="false" customHeight="false" outlineLevel="0" collapsed="false">
      <c r="A1765" s="76" t="str">
        <f aca="false">B1765&amp;"|"&amp;C1765&amp;"|"&amp;D1765&amp;"|"&amp;E1765</f>
        <v>BTU|3|Senin|08:15</v>
      </c>
      <c r="B1765" s="76" t="s">
        <v>69</v>
      </c>
      <c r="C1765" s="76" t="n">
        <v>3</v>
      </c>
      <c r="D1765" s="76" t="s">
        <v>90</v>
      </c>
      <c r="E1765" s="76" t="s">
        <v>96</v>
      </c>
      <c r="F1765" s="77" t="s">
        <v>277</v>
      </c>
      <c r="G1765" s="77" t="n">
        <v>4</v>
      </c>
      <c r="H1765" s="77" t="n">
        <v>0</v>
      </c>
      <c r="I1765" s="76" t="n">
        <f aca="false">IF(AND(ISNUMBER(G1765),ISNUMBER(H1765)),MAX(G1765-H1765,0),"")</f>
        <v>4</v>
      </c>
      <c r="J1765" s="78" t="n">
        <f aca="false">IF(AND(ISNUMBER(G1765),ISNUMBER(H1765)),IF(G1765&gt;0,H1765/G1765,""),"")</f>
        <v>0</v>
      </c>
      <c r="K1765" s="77"/>
      <c r="L1765" s="76" t="str">
        <f aca="false">IF(OR(G1765="",H1765=""),"Data tidak lengkap",IF(AND(G1765=0,H1765=0),IF(AND(F1765="",K1765=""),"Tidak dibuka","Tutup"),IF(H1765&gt;G1765,"Lebih kapasitas",IF(H1765=G1765,"Penuh",IF(H1765=0,IF(F1765="","Slot kosong","Belum terisi"),"Sebagian")))))</f>
        <v>Belum terisi</v>
      </c>
      <c r="M1765" s="79" t="str">
        <f aca="false">IF(L1765="Tidak dibuka","–",IF(F1765="","(tanpa age group)",F1765)&amp;"  "&amp;IF(H1765="","?",H1765)&amp;"/"&amp;IF(G1765="","?",G1765)&amp;CHAR(10)&amp;IF(K1765="","coach: –","coach: "&amp;K1765))</f>
        <v>Little  0/4
coach: –</v>
      </c>
    </row>
    <row r="1766" customFormat="false" ht="22.35" hidden="false" customHeight="false" outlineLevel="0" collapsed="false">
      <c r="A1766" s="76" t="str">
        <f aca="false">B1766&amp;"|"&amp;C1766&amp;"|"&amp;D1766&amp;"|"&amp;E1766</f>
        <v>BTU|3|Senin|09:00</v>
      </c>
      <c r="B1766" s="76" t="s">
        <v>69</v>
      </c>
      <c r="C1766" s="76" t="n">
        <v>3</v>
      </c>
      <c r="D1766" s="76" t="s">
        <v>90</v>
      </c>
      <c r="E1766" s="76" t="s">
        <v>97</v>
      </c>
      <c r="F1766" s="77" t="s">
        <v>277</v>
      </c>
      <c r="G1766" s="77" t="n">
        <v>4</v>
      </c>
      <c r="H1766" s="77" t="n">
        <v>0</v>
      </c>
      <c r="I1766" s="76" t="n">
        <f aca="false">IF(AND(ISNUMBER(G1766),ISNUMBER(H1766)),MAX(G1766-H1766,0),"")</f>
        <v>4</v>
      </c>
      <c r="J1766" s="78" t="n">
        <f aca="false">IF(AND(ISNUMBER(G1766),ISNUMBER(H1766)),IF(G1766&gt;0,H1766/G1766,""),"")</f>
        <v>0</v>
      </c>
      <c r="K1766" s="77"/>
      <c r="L1766" s="76" t="str">
        <f aca="false">IF(OR(G1766="",H1766=""),"Data tidak lengkap",IF(AND(G1766=0,H1766=0),IF(AND(F1766="",K1766=""),"Tidak dibuka","Tutup"),IF(H1766&gt;G1766,"Lebih kapasitas",IF(H1766=G1766,"Penuh",IF(H1766=0,IF(F1766="","Slot kosong","Belum terisi"),"Sebagian")))))</f>
        <v>Belum terisi</v>
      </c>
      <c r="M1766" s="79" t="str">
        <f aca="false">IF(L1766="Tidak dibuka","–",IF(F1766="","(tanpa age group)",F1766)&amp;"  "&amp;IF(H1766="","?",H1766)&amp;"/"&amp;IF(G1766="","?",G1766)&amp;CHAR(10)&amp;IF(K1766="","coach: –","coach: "&amp;K1766))</f>
        <v>Little  0/4
coach: –</v>
      </c>
    </row>
    <row r="1767" customFormat="false" ht="22.35" hidden="false" customHeight="false" outlineLevel="0" collapsed="false">
      <c r="A1767" s="76" t="str">
        <f aca="false">B1767&amp;"|"&amp;C1767&amp;"|"&amp;D1767&amp;"|"&amp;E1767</f>
        <v>BTU|3|Senin|09:45</v>
      </c>
      <c r="B1767" s="76" t="s">
        <v>69</v>
      </c>
      <c r="C1767" s="76" t="n">
        <v>3</v>
      </c>
      <c r="D1767" s="76" t="s">
        <v>90</v>
      </c>
      <c r="E1767" s="76" t="s">
        <v>98</v>
      </c>
      <c r="F1767" s="77" t="s">
        <v>277</v>
      </c>
      <c r="G1767" s="77" t="n">
        <v>4</v>
      </c>
      <c r="H1767" s="77" t="n">
        <v>0</v>
      </c>
      <c r="I1767" s="76" t="n">
        <f aca="false">IF(AND(ISNUMBER(G1767),ISNUMBER(H1767)),MAX(G1767-H1767,0),"")</f>
        <v>4</v>
      </c>
      <c r="J1767" s="78" t="n">
        <f aca="false">IF(AND(ISNUMBER(G1767),ISNUMBER(H1767)),IF(G1767&gt;0,H1767/G1767,""),"")</f>
        <v>0</v>
      </c>
      <c r="K1767" s="77"/>
      <c r="L1767" s="76" t="str">
        <f aca="false">IF(OR(G1767="",H1767=""),"Data tidak lengkap",IF(AND(G1767=0,H1767=0),IF(AND(F1767="",K1767=""),"Tidak dibuka","Tutup"),IF(H1767&gt;G1767,"Lebih kapasitas",IF(H1767=G1767,"Penuh",IF(H1767=0,IF(F1767="","Slot kosong","Belum terisi"),"Sebagian")))))</f>
        <v>Belum terisi</v>
      </c>
      <c r="M1767" s="79" t="str">
        <f aca="false">IF(L1767="Tidak dibuka","–",IF(F1767="","(tanpa age group)",F1767)&amp;"  "&amp;IF(H1767="","?",H1767)&amp;"/"&amp;IF(G1767="","?",G1767)&amp;CHAR(10)&amp;IF(K1767="","coach: –","coach: "&amp;K1767))</f>
        <v>Little  0/4
coach: –</v>
      </c>
    </row>
    <row r="1768" customFormat="false" ht="22.35" hidden="false" customHeight="false" outlineLevel="0" collapsed="false">
      <c r="A1768" s="76" t="str">
        <f aca="false">B1768&amp;"|"&amp;C1768&amp;"|"&amp;D1768&amp;"|"&amp;E1768</f>
        <v>BTU|3|Senin|10:30</v>
      </c>
      <c r="B1768" s="76" t="s">
        <v>69</v>
      </c>
      <c r="C1768" s="76" t="n">
        <v>3</v>
      </c>
      <c r="D1768" s="76" t="s">
        <v>90</v>
      </c>
      <c r="E1768" s="76" t="s">
        <v>99</v>
      </c>
      <c r="F1768" s="77" t="s">
        <v>277</v>
      </c>
      <c r="G1768" s="77" t="n">
        <v>4</v>
      </c>
      <c r="H1768" s="77" t="n">
        <v>0</v>
      </c>
      <c r="I1768" s="76" t="n">
        <f aca="false">IF(AND(ISNUMBER(G1768),ISNUMBER(H1768)),MAX(G1768-H1768,0),"")</f>
        <v>4</v>
      </c>
      <c r="J1768" s="78" t="n">
        <f aca="false">IF(AND(ISNUMBER(G1768),ISNUMBER(H1768)),IF(G1768&gt;0,H1768/G1768,""),"")</f>
        <v>0</v>
      </c>
      <c r="K1768" s="77"/>
      <c r="L1768" s="76" t="str">
        <f aca="false">IF(OR(G1768="",H1768=""),"Data tidak lengkap",IF(AND(G1768=0,H1768=0),IF(AND(F1768="",K1768=""),"Tidak dibuka","Tutup"),IF(H1768&gt;G1768,"Lebih kapasitas",IF(H1768=G1768,"Penuh",IF(H1768=0,IF(F1768="","Slot kosong","Belum terisi"),"Sebagian")))))</f>
        <v>Belum terisi</v>
      </c>
      <c r="M1768" s="79" t="str">
        <f aca="false">IF(L1768="Tidak dibuka","–",IF(F1768="","(tanpa age group)",F1768)&amp;"  "&amp;IF(H1768="","?",H1768)&amp;"/"&amp;IF(G1768="","?",G1768)&amp;CHAR(10)&amp;IF(K1768="","coach: –","coach: "&amp;K1768))</f>
        <v>Little  0/4
coach: –</v>
      </c>
    </row>
    <row r="1769" customFormat="false" ht="22.35" hidden="false" customHeight="false" outlineLevel="0" collapsed="false">
      <c r="A1769" s="76" t="str">
        <f aca="false">B1769&amp;"|"&amp;C1769&amp;"|"&amp;D1769&amp;"|"&amp;E1769</f>
        <v>BTU|3|Senin|11:15</v>
      </c>
      <c r="B1769" s="76" t="s">
        <v>69</v>
      </c>
      <c r="C1769" s="76" t="n">
        <v>3</v>
      </c>
      <c r="D1769" s="76" t="s">
        <v>90</v>
      </c>
      <c r="E1769" s="76" t="s">
        <v>100</v>
      </c>
      <c r="F1769" s="77" t="s">
        <v>277</v>
      </c>
      <c r="G1769" s="77" t="n">
        <v>4</v>
      </c>
      <c r="H1769" s="77" t="n">
        <v>0</v>
      </c>
      <c r="I1769" s="76" t="n">
        <f aca="false">IF(AND(ISNUMBER(G1769),ISNUMBER(H1769)),MAX(G1769-H1769,0),"")</f>
        <v>4</v>
      </c>
      <c r="J1769" s="78" t="n">
        <f aca="false">IF(AND(ISNUMBER(G1769),ISNUMBER(H1769)),IF(G1769&gt;0,H1769/G1769,""),"")</f>
        <v>0</v>
      </c>
      <c r="K1769" s="77"/>
      <c r="L1769" s="76" t="str">
        <f aca="false">IF(OR(G1769="",H1769=""),"Data tidak lengkap",IF(AND(G1769=0,H1769=0),IF(AND(F1769="",K1769=""),"Tidak dibuka","Tutup"),IF(H1769&gt;G1769,"Lebih kapasitas",IF(H1769=G1769,"Penuh",IF(H1769=0,IF(F1769="","Slot kosong","Belum terisi"),"Sebagian")))))</f>
        <v>Belum terisi</v>
      </c>
      <c r="M1769" s="79" t="str">
        <f aca="false">IF(L1769="Tidak dibuka","–",IF(F1769="","(tanpa age group)",F1769)&amp;"  "&amp;IF(H1769="","?",H1769)&amp;"/"&amp;IF(G1769="","?",G1769)&amp;CHAR(10)&amp;IF(K1769="","coach: –","coach: "&amp;K1769))</f>
        <v>Little  0/4
coach: –</v>
      </c>
    </row>
    <row r="1770" customFormat="false" ht="22.35" hidden="false" customHeight="false" outlineLevel="0" collapsed="false">
      <c r="A1770" s="76" t="str">
        <f aca="false">B1770&amp;"|"&amp;C1770&amp;"|"&amp;D1770&amp;"|"&amp;E1770</f>
        <v>BTU|3|Senin|12:00</v>
      </c>
      <c r="B1770" s="76" t="s">
        <v>69</v>
      </c>
      <c r="C1770" s="76" t="n">
        <v>3</v>
      </c>
      <c r="D1770" s="76" t="s">
        <v>90</v>
      </c>
      <c r="E1770" s="76" t="s">
        <v>101</v>
      </c>
      <c r="F1770" s="77" t="s">
        <v>277</v>
      </c>
      <c r="G1770" s="77" t="n">
        <v>4</v>
      </c>
      <c r="H1770" s="77" t="n">
        <v>0</v>
      </c>
      <c r="I1770" s="76" t="n">
        <f aca="false">IF(AND(ISNUMBER(G1770),ISNUMBER(H1770)),MAX(G1770-H1770,0),"")</f>
        <v>4</v>
      </c>
      <c r="J1770" s="78" t="n">
        <f aca="false">IF(AND(ISNUMBER(G1770),ISNUMBER(H1770)),IF(G1770&gt;0,H1770/G1770,""),"")</f>
        <v>0</v>
      </c>
      <c r="K1770" s="77"/>
      <c r="L1770" s="76" t="str">
        <f aca="false">IF(OR(G1770="",H1770=""),"Data tidak lengkap",IF(AND(G1770=0,H1770=0),IF(AND(F1770="",K1770=""),"Tidak dibuka","Tutup"),IF(H1770&gt;G1770,"Lebih kapasitas",IF(H1770=G1770,"Penuh",IF(H1770=0,IF(F1770="","Slot kosong","Belum terisi"),"Sebagian")))))</f>
        <v>Belum terisi</v>
      </c>
      <c r="M1770" s="79" t="str">
        <f aca="false">IF(L1770="Tidak dibuka","–",IF(F1770="","(tanpa age group)",F1770)&amp;"  "&amp;IF(H1770="","?",H1770)&amp;"/"&amp;IF(G1770="","?",G1770)&amp;CHAR(10)&amp;IF(K1770="","coach: –","coach: "&amp;K1770))</f>
        <v>Little  0/4
coach: –</v>
      </c>
    </row>
    <row r="1771" customFormat="false" ht="22.35" hidden="false" customHeight="false" outlineLevel="0" collapsed="false">
      <c r="A1771" s="76" t="str">
        <f aca="false">B1771&amp;"|"&amp;C1771&amp;"|"&amp;D1771&amp;"|"&amp;E1771</f>
        <v>BTU|3|Senin|13:30</v>
      </c>
      <c r="B1771" s="76" t="s">
        <v>69</v>
      </c>
      <c r="C1771" s="76" t="n">
        <v>3</v>
      </c>
      <c r="D1771" s="76" t="s">
        <v>90</v>
      </c>
      <c r="E1771" s="76" t="s">
        <v>102</v>
      </c>
      <c r="F1771" s="77" t="s">
        <v>277</v>
      </c>
      <c r="G1771" s="77" t="n">
        <v>4</v>
      </c>
      <c r="H1771" s="77" t="n">
        <v>0</v>
      </c>
      <c r="I1771" s="76" t="n">
        <f aca="false">IF(AND(ISNUMBER(G1771),ISNUMBER(H1771)),MAX(G1771-H1771,0),"")</f>
        <v>4</v>
      </c>
      <c r="J1771" s="78" t="n">
        <f aca="false">IF(AND(ISNUMBER(G1771),ISNUMBER(H1771)),IF(G1771&gt;0,H1771/G1771,""),"")</f>
        <v>0</v>
      </c>
      <c r="K1771" s="77"/>
      <c r="L1771" s="76" t="str">
        <f aca="false">IF(OR(G1771="",H1771=""),"Data tidak lengkap",IF(AND(G1771=0,H1771=0),IF(AND(F1771="",K1771=""),"Tidak dibuka","Tutup"),IF(H1771&gt;G1771,"Lebih kapasitas",IF(H1771=G1771,"Penuh",IF(H1771=0,IF(F1771="","Slot kosong","Belum terisi"),"Sebagian")))))</f>
        <v>Belum terisi</v>
      </c>
      <c r="M1771" s="79" t="str">
        <f aca="false">IF(L1771="Tidak dibuka","–",IF(F1771="","(tanpa age group)",F1771)&amp;"  "&amp;IF(H1771="","?",H1771)&amp;"/"&amp;IF(G1771="","?",G1771)&amp;CHAR(10)&amp;IF(K1771="","coach: –","coach: "&amp;K1771))</f>
        <v>Little  0/4
coach: –</v>
      </c>
    </row>
    <row r="1772" customFormat="false" ht="22.35" hidden="false" customHeight="false" outlineLevel="0" collapsed="false">
      <c r="A1772" s="76" t="str">
        <f aca="false">B1772&amp;"|"&amp;C1772&amp;"|"&amp;D1772&amp;"|"&amp;E1772</f>
        <v>BTU|3|Senin|14:15</v>
      </c>
      <c r="B1772" s="76" t="s">
        <v>69</v>
      </c>
      <c r="C1772" s="76" t="n">
        <v>3</v>
      </c>
      <c r="D1772" s="76" t="s">
        <v>90</v>
      </c>
      <c r="E1772" s="76" t="s">
        <v>103</v>
      </c>
      <c r="F1772" s="77" t="s">
        <v>277</v>
      </c>
      <c r="G1772" s="77" t="n">
        <v>4</v>
      </c>
      <c r="H1772" s="77" t="n">
        <v>2</v>
      </c>
      <c r="I1772" s="76" t="n">
        <f aca="false">IF(AND(ISNUMBER(G1772),ISNUMBER(H1772)),MAX(G1772-H1772,0),"")</f>
        <v>2</v>
      </c>
      <c r="J1772" s="78" t="n">
        <f aca="false">IF(AND(ISNUMBER(G1772),ISNUMBER(H1772)),IF(G1772&gt;0,H1772/G1772,""),"")</f>
        <v>0.5</v>
      </c>
      <c r="K1772" s="77" t="s">
        <v>434</v>
      </c>
      <c r="L1772" s="76" t="str">
        <f aca="false">IF(OR(G1772="",H1772=""),"Data tidak lengkap",IF(AND(G1772=0,H1772=0),IF(AND(F1772="",K1772=""),"Tidak dibuka","Tutup"),IF(H1772&gt;G1772,"Lebih kapasitas",IF(H1772=G1772,"Penuh",IF(H1772=0,IF(F1772="","Slot kosong","Belum terisi"),"Sebagian")))))</f>
        <v>Sebagian</v>
      </c>
      <c r="M1772" s="79" t="str">
        <f aca="false">IF(L1772="Tidak dibuka","–",IF(F1772="","(tanpa age group)",F1772)&amp;"  "&amp;IF(H1772="","?",H1772)&amp;"/"&amp;IF(G1772="","?",G1772)&amp;CHAR(10)&amp;IF(K1772="","coach: –","coach: "&amp;K1772))</f>
        <v>Little  2/4
coach: Alfi</v>
      </c>
    </row>
    <row r="1773" customFormat="false" ht="22.35" hidden="false" customHeight="false" outlineLevel="0" collapsed="false">
      <c r="A1773" s="76" t="str">
        <f aca="false">B1773&amp;"|"&amp;C1773&amp;"|"&amp;D1773&amp;"|"&amp;E1773</f>
        <v>BTU|3|Senin|15:00</v>
      </c>
      <c r="B1773" s="76" t="s">
        <v>69</v>
      </c>
      <c r="C1773" s="76" t="n">
        <v>3</v>
      </c>
      <c r="D1773" s="76" t="s">
        <v>90</v>
      </c>
      <c r="E1773" s="76" t="s">
        <v>104</v>
      </c>
      <c r="F1773" s="77" t="s">
        <v>277</v>
      </c>
      <c r="G1773" s="77" t="n">
        <v>4</v>
      </c>
      <c r="H1773" s="77" t="n">
        <v>1</v>
      </c>
      <c r="I1773" s="76" t="n">
        <f aca="false">IF(AND(ISNUMBER(G1773),ISNUMBER(H1773)),MAX(G1773-H1773,0),"")</f>
        <v>3</v>
      </c>
      <c r="J1773" s="78" t="n">
        <f aca="false">IF(AND(ISNUMBER(G1773),ISNUMBER(H1773)),IF(G1773&gt;0,H1773/G1773,""),"")</f>
        <v>0.25</v>
      </c>
      <c r="K1773" s="77" t="s">
        <v>442</v>
      </c>
      <c r="L1773" s="76" t="str">
        <f aca="false">IF(OR(G1773="",H1773=""),"Data tidak lengkap",IF(AND(G1773=0,H1773=0),IF(AND(F1773="",K1773=""),"Tidak dibuka","Tutup"),IF(H1773&gt;G1773,"Lebih kapasitas",IF(H1773=G1773,"Penuh",IF(H1773=0,IF(F1773="","Slot kosong","Belum terisi"),"Sebagian")))))</f>
        <v>Sebagian</v>
      </c>
      <c r="M1773" s="79" t="str">
        <f aca="false">IF(L1773="Tidak dibuka","–",IF(F1773="","(tanpa age group)",F1773)&amp;"  "&amp;IF(H1773="","?",H1773)&amp;"/"&amp;IF(G1773="","?",G1773)&amp;CHAR(10)&amp;IF(K1773="","coach: –","coach: "&amp;K1773))</f>
        <v>Little  1/4
coach: Aldi</v>
      </c>
    </row>
    <row r="1774" customFormat="false" ht="22.35" hidden="false" customHeight="false" outlineLevel="0" collapsed="false">
      <c r="A1774" s="76" t="str">
        <f aca="false">B1774&amp;"|"&amp;C1774&amp;"|"&amp;D1774&amp;"|"&amp;E1774</f>
        <v>BTU|3|Senin|15:45</v>
      </c>
      <c r="B1774" s="76" t="s">
        <v>69</v>
      </c>
      <c r="C1774" s="76" t="n">
        <v>3</v>
      </c>
      <c r="D1774" s="76" t="s">
        <v>90</v>
      </c>
      <c r="E1774" s="76" t="s">
        <v>105</v>
      </c>
      <c r="F1774" s="77" t="s">
        <v>277</v>
      </c>
      <c r="G1774" s="77" t="n">
        <v>4</v>
      </c>
      <c r="H1774" s="77" t="n">
        <v>0</v>
      </c>
      <c r="I1774" s="76" t="n">
        <f aca="false">IF(AND(ISNUMBER(G1774),ISNUMBER(H1774)),MAX(G1774-H1774,0),"")</f>
        <v>4</v>
      </c>
      <c r="J1774" s="78" t="n">
        <f aca="false">IF(AND(ISNUMBER(G1774),ISNUMBER(H1774)),IF(G1774&gt;0,H1774/G1774,""),"")</f>
        <v>0</v>
      </c>
      <c r="K1774" s="77"/>
      <c r="L1774" s="76" t="str">
        <f aca="false">IF(OR(G1774="",H1774=""),"Data tidak lengkap",IF(AND(G1774=0,H1774=0),IF(AND(F1774="",K1774=""),"Tidak dibuka","Tutup"),IF(H1774&gt;G1774,"Lebih kapasitas",IF(H1774=G1774,"Penuh",IF(H1774=0,IF(F1774="","Slot kosong","Belum terisi"),"Sebagian")))))</f>
        <v>Belum terisi</v>
      </c>
      <c r="M1774" s="79" t="str">
        <f aca="false">IF(L1774="Tidak dibuka","–",IF(F1774="","(tanpa age group)",F1774)&amp;"  "&amp;IF(H1774="","?",H1774)&amp;"/"&amp;IF(G1774="","?",G1774)&amp;CHAR(10)&amp;IF(K1774="","coach: –","coach: "&amp;K1774))</f>
        <v>Little  0/4
coach: –</v>
      </c>
    </row>
    <row r="1775" customFormat="false" ht="22.35" hidden="false" customHeight="false" outlineLevel="0" collapsed="false">
      <c r="A1775" s="76" t="str">
        <f aca="false">B1775&amp;"|"&amp;C1775&amp;"|"&amp;D1775&amp;"|"&amp;E1775</f>
        <v>BTU|3|Senin|16:30</v>
      </c>
      <c r="B1775" s="76" t="s">
        <v>69</v>
      </c>
      <c r="C1775" s="76" t="n">
        <v>3</v>
      </c>
      <c r="D1775" s="76" t="s">
        <v>90</v>
      </c>
      <c r="E1775" s="76" t="s">
        <v>106</v>
      </c>
      <c r="F1775" s="77" t="s">
        <v>277</v>
      </c>
      <c r="G1775" s="77" t="n">
        <v>4</v>
      </c>
      <c r="H1775" s="77" t="n">
        <v>2</v>
      </c>
      <c r="I1775" s="76" t="n">
        <f aca="false">IF(AND(ISNUMBER(G1775),ISNUMBER(H1775)),MAX(G1775-H1775,0),"")</f>
        <v>2</v>
      </c>
      <c r="J1775" s="78" t="n">
        <f aca="false">IF(AND(ISNUMBER(G1775),ISNUMBER(H1775)),IF(G1775&gt;0,H1775/G1775,""),"")</f>
        <v>0.5</v>
      </c>
      <c r="K1775" s="77" t="s">
        <v>434</v>
      </c>
      <c r="L1775" s="76" t="str">
        <f aca="false">IF(OR(G1775="",H1775=""),"Data tidak lengkap",IF(AND(G1775=0,H1775=0),IF(AND(F1775="",K1775=""),"Tidak dibuka","Tutup"),IF(H1775&gt;G1775,"Lebih kapasitas",IF(H1775=G1775,"Penuh",IF(H1775=0,IF(F1775="","Slot kosong","Belum terisi"),"Sebagian")))))</f>
        <v>Sebagian</v>
      </c>
      <c r="M1775" s="79" t="str">
        <f aca="false">IF(L1775="Tidak dibuka","–",IF(F1775="","(tanpa age group)",F1775)&amp;"  "&amp;IF(H1775="","?",H1775)&amp;"/"&amp;IF(G1775="","?",G1775)&amp;CHAR(10)&amp;IF(K1775="","coach: –","coach: "&amp;K1775))</f>
        <v>Little  2/4
coach: Alfi</v>
      </c>
    </row>
    <row r="1776" customFormat="false" ht="22.35" hidden="false" customHeight="false" outlineLevel="0" collapsed="false">
      <c r="A1776" s="76" t="str">
        <f aca="false">B1776&amp;"|"&amp;C1776&amp;"|"&amp;D1776&amp;"|"&amp;E1776</f>
        <v>BTU|3|Senin|17:15</v>
      </c>
      <c r="B1776" s="76" t="s">
        <v>69</v>
      </c>
      <c r="C1776" s="76" t="n">
        <v>3</v>
      </c>
      <c r="D1776" s="76" t="s">
        <v>90</v>
      </c>
      <c r="E1776" s="76" t="s">
        <v>107</v>
      </c>
      <c r="F1776" s="77" t="s">
        <v>277</v>
      </c>
      <c r="G1776" s="77" t="n">
        <v>4</v>
      </c>
      <c r="H1776" s="77" t="n">
        <v>0</v>
      </c>
      <c r="I1776" s="76" t="n">
        <f aca="false">IF(AND(ISNUMBER(G1776),ISNUMBER(H1776)),MAX(G1776-H1776,0),"")</f>
        <v>4</v>
      </c>
      <c r="J1776" s="78" t="n">
        <f aca="false">IF(AND(ISNUMBER(G1776),ISNUMBER(H1776)),IF(G1776&gt;0,H1776/G1776,""),"")</f>
        <v>0</v>
      </c>
      <c r="K1776" s="77"/>
      <c r="L1776" s="76" t="str">
        <f aca="false">IF(OR(G1776="",H1776=""),"Data tidak lengkap",IF(AND(G1776=0,H1776=0),IF(AND(F1776="",K1776=""),"Tidak dibuka","Tutup"),IF(H1776&gt;G1776,"Lebih kapasitas",IF(H1776=G1776,"Penuh",IF(H1776=0,IF(F1776="","Slot kosong","Belum terisi"),"Sebagian")))))</f>
        <v>Belum terisi</v>
      </c>
      <c r="M1776" s="79" t="str">
        <f aca="false">IF(L1776="Tidak dibuka","–",IF(F1776="","(tanpa age group)",F1776)&amp;"  "&amp;IF(H1776="","?",H1776)&amp;"/"&amp;IF(G1776="","?",G1776)&amp;CHAR(10)&amp;IF(K1776="","coach: –","coach: "&amp;K1776))</f>
        <v>Little  0/4
coach: –</v>
      </c>
    </row>
    <row r="1777" customFormat="false" ht="22.35" hidden="false" customHeight="false" outlineLevel="0" collapsed="false">
      <c r="A1777" s="76" t="str">
        <f aca="false">B1777&amp;"|"&amp;C1777&amp;"|"&amp;D1777&amp;"|"&amp;E1777</f>
        <v>BTU|3|Selasa|08:15</v>
      </c>
      <c r="B1777" s="76" t="s">
        <v>69</v>
      </c>
      <c r="C1777" s="76" t="n">
        <v>3</v>
      </c>
      <c r="D1777" s="76" t="s">
        <v>91</v>
      </c>
      <c r="E1777" s="76" t="s">
        <v>96</v>
      </c>
      <c r="F1777" s="77" t="s">
        <v>277</v>
      </c>
      <c r="G1777" s="77" t="n">
        <v>4</v>
      </c>
      <c r="H1777" s="77" t="n">
        <v>0</v>
      </c>
      <c r="I1777" s="76" t="n">
        <f aca="false">IF(AND(ISNUMBER(G1777),ISNUMBER(H1777)),MAX(G1777-H1777,0),"")</f>
        <v>4</v>
      </c>
      <c r="J1777" s="78" t="n">
        <f aca="false">IF(AND(ISNUMBER(G1777),ISNUMBER(H1777)),IF(G1777&gt;0,H1777/G1777,""),"")</f>
        <v>0</v>
      </c>
      <c r="K1777" s="77"/>
      <c r="L1777" s="76" t="str">
        <f aca="false">IF(OR(G1777="",H1777=""),"Data tidak lengkap",IF(AND(G1777=0,H1777=0),IF(AND(F1777="",K1777=""),"Tidak dibuka","Tutup"),IF(H1777&gt;G1777,"Lebih kapasitas",IF(H1777=G1777,"Penuh",IF(H1777=0,IF(F1777="","Slot kosong","Belum terisi"),"Sebagian")))))</f>
        <v>Belum terisi</v>
      </c>
      <c r="M1777" s="79" t="str">
        <f aca="false">IF(L1777="Tidak dibuka","–",IF(F1777="","(tanpa age group)",F1777)&amp;"  "&amp;IF(H1777="","?",H1777)&amp;"/"&amp;IF(G1777="","?",G1777)&amp;CHAR(10)&amp;IF(K1777="","coach: –","coach: "&amp;K1777))</f>
        <v>Little  0/4
coach: –</v>
      </c>
    </row>
    <row r="1778" customFormat="false" ht="22.35" hidden="false" customHeight="false" outlineLevel="0" collapsed="false">
      <c r="A1778" s="76" t="str">
        <f aca="false">B1778&amp;"|"&amp;C1778&amp;"|"&amp;D1778&amp;"|"&amp;E1778</f>
        <v>BTU|3|Selasa|09:00</v>
      </c>
      <c r="B1778" s="76" t="s">
        <v>69</v>
      </c>
      <c r="C1778" s="76" t="n">
        <v>3</v>
      </c>
      <c r="D1778" s="76" t="s">
        <v>91</v>
      </c>
      <c r="E1778" s="76" t="s">
        <v>97</v>
      </c>
      <c r="F1778" s="77" t="s">
        <v>277</v>
      </c>
      <c r="G1778" s="77" t="n">
        <v>4</v>
      </c>
      <c r="H1778" s="77" t="n">
        <v>0</v>
      </c>
      <c r="I1778" s="76" t="n">
        <f aca="false">IF(AND(ISNUMBER(G1778),ISNUMBER(H1778)),MAX(G1778-H1778,0),"")</f>
        <v>4</v>
      </c>
      <c r="J1778" s="78" t="n">
        <f aca="false">IF(AND(ISNUMBER(G1778),ISNUMBER(H1778)),IF(G1778&gt;0,H1778/G1778,""),"")</f>
        <v>0</v>
      </c>
      <c r="K1778" s="77"/>
      <c r="L1778" s="76" t="str">
        <f aca="false">IF(OR(G1778="",H1778=""),"Data tidak lengkap",IF(AND(G1778=0,H1778=0),IF(AND(F1778="",K1778=""),"Tidak dibuka","Tutup"),IF(H1778&gt;G1778,"Lebih kapasitas",IF(H1778=G1778,"Penuh",IF(H1778=0,IF(F1778="","Slot kosong","Belum terisi"),"Sebagian")))))</f>
        <v>Belum terisi</v>
      </c>
      <c r="M1778" s="79" t="str">
        <f aca="false">IF(L1778="Tidak dibuka","–",IF(F1778="","(tanpa age group)",F1778)&amp;"  "&amp;IF(H1778="","?",H1778)&amp;"/"&amp;IF(G1778="","?",G1778)&amp;CHAR(10)&amp;IF(K1778="","coach: –","coach: "&amp;K1778))</f>
        <v>Little  0/4
coach: –</v>
      </c>
    </row>
    <row r="1779" customFormat="false" ht="22.35" hidden="false" customHeight="false" outlineLevel="0" collapsed="false">
      <c r="A1779" s="76" t="str">
        <f aca="false">B1779&amp;"|"&amp;C1779&amp;"|"&amp;D1779&amp;"|"&amp;E1779</f>
        <v>BTU|3|Selasa|09:45</v>
      </c>
      <c r="B1779" s="76" t="s">
        <v>69</v>
      </c>
      <c r="C1779" s="76" t="n">
        <v>3</v>
      </c>
      <c r="D1779" s="76" t="s">
        <v>91</v>
      </c>
      <c r="E1779" s="76" t="s">
        <v>98</v>
      </c>
      <c r="F1779" s="77" t="s">
        <v>277</v>
      </c>
      <c r="G1779" s="77" t="n">
        <v>4</v>
      </c>
      <c r="H1779" s="77" t="n">
        <v>0</v>
      </c>
      <c r="I1779" s="76" t="n">
        <f aca="false">IF(AND(ISNUMBER(G1779),ISNUMBER(H1779)),MAX(G1779-H1779,0),"")</f>
        <v>4</v>
      </c>
      <c r="J1779" s="78" t="n">
        <f aca="false">IF(AND(ISNUMBER(G1779),ISNUMBER(H1779)),IF(G1779&gt;0,H1779/G1779,""),"")</f>
        <v>0</v>
      </c>
      <c r="K1779" s="77"/>
      <c r="L1779" s="76" t="str">
        <f aca="false">IF(OR(G1779="",H1779=""),"Data tidak lengkap",IF(AND(G1779=0,H1779=0),IF(AND(F1779="",K1779=""),"Tidak dibuka","Tutup"),IF(H1779&gt;G1779,"Lebih kapasitas",IF(H1779=G1779,"Penuh",IF(H1779=0,IF(F1779="","Slot kosong","Belum terisi"),"Sebagian")))))</f>
        <v>Belum terisi</v>
      </c>
      <c r="M1779" s="79" t="str">
        <f aca="false">IF(L1779="Tidak dibuka","–",IF(F1779="","(tanpa age group)",F1779)&amp;"  "&amp;IF(H1779="","?",H1779)&amp;"/"&amp;IF(G1779="","?",G1779)&amp;CHAR(10)&amp;IF(K1779="","coach: –","coach: "&amp;K1779))</f>
        <v>Little  0/4
coach: –</v>
      </c>
    </row>
    <row r="1780" customFormat="false" ht="22.35" hidden="false" customHeight="false" outlineLevel="0" collapsed="false">
      <c r="A1780" s="76" t="str">
        <f aca="false">B1780&amp;"|"&amp;C1780&amp;"|"&amp;D1780&amp;"|"&amp;E1780</f>
        <v>BTU|3|Selasa|10:30</v>
      </c>
      <c r="B1780" s="76" t="s">
        <v>69</v>
      </c>
      <c r="C1780" s="76" t="n">
        <v>3</v>
      </c>
      <c r="D1780" s="76" t="s">
        <v>91</v>
      </c>
      <c r="E1780" s="76" t="s">
        <v>99</v>
      </c>
      <c r="F1780" s="77" t="s">
        <v>277</v>
      </c>
      <c r="G1780" s="77" t="n">
        <v>4</v>
      </c>
      <c r="H1780" s="77" t="n">
        <v>0</v>
      </c>
      <c r="I1780" s="76" t="n">
        <f aca="false">IF(AND(ISNUMBER(G1780),ISNUMBER(H1780)),MAX(G1780-H1780,0),"")</f>
        <v>4</v>
      </c>
      <c r="J1780" s="78" t="n">
        <f aca="false">IF(AND(ISNUMBER(G1780),ISNUMBER(H1780)),IF(G1780&gt;0,H1780/G1780,""),"")</f>
        <v>0</v>
      </c>
      <c r="K1780" s="77"/>
      <c r="L1780" s="76" t="str">
        <f aca="false">IF(OR(G1780="",H1780=""),"Data tidak lengkap",IF(AND(G1780=0,H1780=0),IF(AND(F1780="",K1780=""),"Tidak dibuka","Tutup"),IF(H1780&gt;G1780,"Lebih kapasitas",IF(H1780=G1780,"Penuh",IF(H1780=0,IF(F1780="","Slot kosong","Belum terisi"),"Sebagian")))))</f>
        <v>Belum terisi</v>
      </c>
      <c r="M1780" s="79" t="str">
        <f aca="false">IF(L1780="Tidak dibuka","–",IF(F1780="","(tanpa age group)",F1780)&amp;"  "&amp;IF(H1780="","?",H1780)&amp;"/"&amp;IF(G1780="","?",G1780)&amp;CHAR(10)&amp;IF(K1780="","coach: –","coach: "&amp;K1780))</f>
        <v>Little  0/4
coach: –</v>
      </c>
    </row>
    <row r="1781" customFormat="false" ht="22.35" hidden="false" customHeight="false" outlineLevel="0" collapsed="false">
      <c r="A1781" s="76" t="str">
        <f aca="false">B1781&amp;"|"&amp;C1781&amp;"|"&amp;D1781&amp;"|"&amp;E1781</f>
        <v>BTU|3|Selasa|11:15</v>
      </c>
      <c r="B1781" s="76" t="s">
        <v>69</v>
      </c>
      <c r="C1781" s="76" t="n">
        <v>3</v>
      </c>
      <c r="D1781" s="76" t="s">
        <v>91</v>
      </c>
      <c r="E1781" s="76" t="s">
        <v>100</v>
      </c>
      <c r="F1781" s="77" t="s">
        <v>277</v>
      </c>
      <c r="G1781" s="77" t="n">
        <v>4</v>
      </c>
      <c r="H1781" s="77" t="n">
        <v>0</v>
      </c>
      <c r="I1781" s="76" t="n">
        <f aca="false">IF(AND(ISNUMBER(G1781),ISNUMBER(H1781)),MAX(G1781-H1781,0),"")</f>
        <v>4</v>
      </c>
      <c r="J1781" s="78" t="n">
        <f aca="false">IF(AND(ISNUMBER(G1781),ISNUMBER(H1781)),IF(G1781&gt;0,H1781/G1781,""),"")</f>
        <v>0</v>
      </c>
      <c r="K1781" s="77"/>
      <c r="L1781" s="76" t="str">
        <f aca="false">IF(OR(G1781="",H1781=""),"Data tidak lengkap",IF(AND(G1781=0,H1781=0),IF(AND(F1781="",K1781=""),"Tidak dibuka","Tutup"),IF(H1781&gt;G1781,"Lebih kapasitas",IF(H1781=G1781,"Penuh",IF(H1781=0,IF(F1781="","Slot kosong","Belum terisi"),"Sebagian")))))</f>
        <v>Belum terisi</v>
      </c>
      <c r="M1781" s="79" t="str">
        <f aca="false">IF(L1781="Tidak dibuka","–",IF(F1781="","(tanpa age group)",F1781)&amp;"  "&amp;IF(H1781="","?",H1781)&amp;"/"&amp;IF(G1781="","?",G1781)&amp;CHAR(10)&amp;IF(K1781="","coach: –","coach: "&amp;K1781))</f>
        <v>Little  0/4
coach: –</v>
      </c>
    </row>
    <row r="1782" customFormat="false" ht="22.35" hidden="false" customHeight="false" outlineLevel="0" collapsed="false">
      <c r="A1782" s="76" t="str">
        <f aca="false">B1782&amp;"|"&amp;C1782&amp;"|"&amp;D1782&amp;"|"&amp;E1782</f>
        <v>BTU|3|Selasa|12:00</v>
      </c>
      <c r="B1782" s="76" t="s">
        <v>69</v>
      </c>
      <c r="C1782" s="76" t="n">
        <v>3</v>
      </c>
      <c r="D1782" s="76" t="s">
        <v>91</v>
      </c>
      <c r="E1782" s="76" t="s">
        <v>101</v>
      </c>
      <c r="F1782" s="77" t="s">
        <v>277</v>
      </c>
      <c r="G1782" s="77" t="n">
        <v>4</v>
      </c>
      <c r="H1782" s="77" t="n">
        <v>0</v>
      </c>
      <c r="I1782" s="76" t="n">
        <f aca="false">IF(AND(ISNUMBER(G1782),ISNUMBER(H1782)),MAX(G1782-H1782,0),"")</f>
        <v>4</v>
      </c>
      <c r="J1782" s="78" t="n">
        <f aca="false">IF(AND(ISNUMBER(G1782),ISNUMBER(H1782)),IF(G1782&gt;0,H1782/G1782,""),"")</f>
        <v>0</v>
      </c>
      <c r="K1782" s="77"/>
      <c r="L1782" s="76" t="str">
        <f aca="false">IF(OR(G1782="",H1782=""),"Data tidak lengkap",IF(AND(G1782=0,H1782=0),IF(AND(F1782="",K1782=""),"Tidak dibuka","Tutup"),IF(H1782&gt;G1782,"Lebih kapasitas",IF(H1782=G1782,"Penuh",IF(H1782=0,IF(F1782="","Slot kosong","Belum terisi"),"Sebagian")))))</f>
        <v>Belum terisi</v>
      </c>
      <c r="M1782" s="79" t="str">
        <f aca="false">IF(L1782="Tidak dibuka","–",IF(F1782="","(tanpa age group)",F1782)&amp;"  "&amp;IF(H1782="","?",H1782)&amp;"/"&amp;IF(G1782="","?",G1782)&amp;CHAR(10)&amp;IF(K1782="","coach: –","coach: "&amp;K1782))</f>
        <v>Little  0/4
coach: –</v>
      </c>
    </row>
    <row r="1783" customFormat="false" ht="22.35" hidden="false" customHeight="false" outlineLevel="0" collapsed="false">
      <c r="A1783" s="76" t="str">
        <f aca="false">B1783&amp;"|"&amp;C1783&amp;"|"&amp;D1783&amp;"|"&amp;E1783</f>
        <v>BTU|3|Selasa|13:30</v>
      </c>
      <c r="B1783" s="76" t="s">
        <v>69</v>
      </c>
      <c r="C1783" s="76" t="n">
        <v>3</v>
      </c>
      <c r="D1783" s="76" t="s">
        <v>91</v>
      </c>
      <c r="E1783" s="76" t="s">
        <v>102</v>
      </c>
      <c r="F1783" s="77" t="s">
        <v>277</v>
      </c>
      <c r="G1783" s="77" t="n">
        <v>4</v>
      </c>
      <c r="H1783" s="77" t="n">
        <v>0</v>
      </c>
      <c r="I1783" s="76" t="n">
        <f aca="false">IF(AND(ISNUMBER(G1783),ISNUMBER(H1783)),MAX(G1783-H1783,0),"")</f>
        <v>4</v>
      </c>
      <c r="J1783" s="78" t="n">
        <f aca="false">IF(AND(ISNUMBER(G1783),ISNUMBER(H1783)),IF(G1783&gt;0,H1783/G1783,""),"")</f>
        <v>0</v>
      </c>
      <c r="K1783" s="77"/>
      <c r="L1783" s="76" t="str">
        <f aca="false">IF(OR(G1783="",H1783=""),"Data tidak lengkap",IF(AND(G1783=0,H1783=0),IF(AND(F1783="",K1783=""),"Tidak dibuka","Tutup"),IF(H1783&gt;G1783,"Lebih kapasitas",IF(H1783=G1783,"Penuh",IF(H1783=0,IF(F1783="","Slot kosong","Belum terisi"),"Sebagian")))))</f>
        <v>Belum terisi</v>
      </c>
      <c r="M1783" s="79" t="str">
        <f aca="false">IF(L1783="Tidak dibuka","–",IF(F1783="","(tanpa age group)",F1783)&amp;"  "&amp;IF(H1783="","?",H1783)&amp;"/"&amp;IF(G1783="","?",G1783)&amp;CHAR(10)&amp;IF(K1783="","coach: –","coach: "&amp;K1783))</f>
        <v>Little  0/4
coach: –</v>
      </c>
    </row>
    <row r="1784" customFormat="false" ht="22.35" hidden="false" customHeight="false" outlineLevel="0" collapsed="false">
      <c r="A1784" s="76" t="str">
        <f aca="false">B1784&amp;"|"&amp;C1784&amp;"|"&amp;D1784&amp;"|"&amp;E1784</f>
        <v>BTU|3|Selasa|14:15</v>
      </c>
      <c r="B1784" s="76" t="s">
        <v>69</v>
      </c>
      <c r="C1784" s="76" t="n">
        <v>3</v>
      </c>
      <c r="D1784" s="76" t="s">
        <v>91</v>
      </c>
      <c r="E1784" s="76" t="s">
        <v>103</v>
      </c>
      <c r="F1784" s="77" t="s">
        <v>277</v>
      </c>
      <c r="G1784" s="77" t="n">
        <v>4</v>
      </c>
      <c r="H1784" s="77" t="n">
        <v>0</v>
      </c>
      <c r="I1784" s="76" t="n">
        <f aca="false">IF(AND(ISNUMBER(G1784),ISNUMBER(H1784)),MAX(G1784-H1784,0),"")</f>
        <v>4</v>
      </c>
      <c r="J1784" s="78" t="n">
        <f aca="false">IF(AND(ISNUMBER(G1784),ISNUMBER(H1784)),IF(G1784&gt;0,H1784/G1784,""),"")</f>
        <v>0</v>
      </c>
      <c r="K1784" s="77"/>
      <c r="L1784" s="76" t="str">
        <f aca="false">IF(OR(G1784="",H1784=""),"Data tidak lengkap",IF(AND(G1784=0,H1784=0),IF(AND(F1784="",K1784=""),"Tidak dibuka","Tutup"),IF(H1784&gt;G1784,"Lebih kapasitas",IF(H1784=G1784,"Penuh",IF(H1784=0,IF(F1784="","Slot kosong","Belum terisi"),"Sebagian")))))</f>
        <v>Belum terisi</v>
      </c>
      <c r="M1784" s="79" t="str">
        <f aca="false">IF(L1784="Tidak dibuka","–",IF(F1784="","(tanpa age group)",F1784)&amp;"  "&amp;IF(H1784="","?",H1784)&amp;"/"&amp;IF(G1784="","?",G1784)&amp;CHAR(10)&amp;IF(K1784="","coach: –","coach: "&amp;K1784))</f>
        <v>Little  0/4
coach: –</v>
      </c>
    </row>
    <row r="1785" customFormat="false" ht="22.35" hidden="false" customHeight="false" outlineLevel="0" collapsed="false">
      <c r="A1785" s="76" t="str">
        <f aca="false">B1785&amp;"|"&amp;C1785&amp;"|"&amp;D1785&amp;"|"&amp;E1785</f>
        <v>BTU|3|Selasa|15:00</v>
      </c>
      <c r="B1785" s="76" t="s">
        <v>69</v>
      </c>
      <c r="C1785" s="76" t="n">
        <v>3</v>
      </c>
      <c r="D1785" s="76" t="s">
        <v>91</v>
      </c>
      <c r="E1785" s="76" t="s">
        <v>104</v>
      </c>
      <c r="F1785" s="77" t="s">
        <v>277</v>
      </c>
      <c r="G1785" s="77" t="n">
        <v>4</v>
      </c>
      <c r="H1785" s="77" t="n">
        <v>0</v>
      </c>
      <c r="I1785" s="76" t="n">
        <f aca="false">IF(AND(ISNUMBER(G1785),ISNUMBER(H1785)),MAX(G1785-H1785,0),"")</f>
        <v>4</v>
      </c>
      <c r="J1785" s="78" t="n">
        <f aca="false">IF(AND(ISNUMBER(G1785),ISNUMBER(H1785)),IF(G1785&gt;0,H1785/G1785,""),"")</f>
        <v>0</v>
      </c>
      <c r="K1785" s="77"/>
      <c r="L1785" s="76" t="str">
        <f aca="false">IF(OR(G1785="",H1785=""),"Data tidak lengkap",IF(AND(G1785=0,H1785=0),IF(AND(F1785="",K1785=""),"Tidak dibuka","Tutup"),IF(H1785&gt;G1785,"Lebih kapasitas",IF(H1785=G1785,"Penuh",IF(H1785=0,IF(F1785="","Slot kosong","Belum terisi"),"Sebagian")))))</f>
        <v>Belum terisi</v>
      </c>
      <c r="M1785" s="79" t="str">
        <f aca="false">IF(L1785="Tidak dibuka","–",IF(F1785="","(tanpa age group)",F1785)&amp;"  "&amp;IF(H1785="","?",H1785)&amp;"/"&amp;IF(G1785="","?",G1785)&amp;CHAR(10)&amp;IF(K1785="","coach: –","coach: "&amp;K1785))</f>
        <v>Little  0/4
coach: –</v>
      </c>
    </row>
    <row r="1786" customFormat="false" ht="22.35" hidden="false" customHeight="false" outlineLevel="0" collapsed="false">
      <c r="A1786" s="76" t="str">
        <f aca="false">B1786&amp;"|"&amp;C1786&amp;"|"&amp;D1786&amp;"|"&amp;E1786</f>
        <v>BTU|3|Selasa|15:45</v>
      </c>
      <c r="B1786" s="76" t="s">
        <v>69</v>
      </c>
      <c r="C1786" s="76" t="n">
        <v>3</v>
      </c>
      <c r="D1786" s="76" t="s">
        <v>91</v>
      </c>
      <c r="E1786" s="76" t="s">
        <v>105</v>
      </c>
      <c r="F1786" s="77" t="s">
        <v>277</v>
      </c>
      <c r="G1786" s="77" t="n">
        <v>4</v>
      </c>
      <c r="H1786" s="77" t="n">
        <v>1</v>
      </c>
      <c r="I1786" s="76" t="n">
        <f aca="false">IF(AND(ISNUMBER(G1786),ISNUMBER(H1786)),MAX(G1786-H1786,0),"")</f>
        <v>3</v>
      </c>
      <c r="J1786" s="78" t="n">
        <f aca="false">IF(AND(ISNUMBER(G1786),ISNUMBER(H1786)),IF(G1786&gt;0,H1786/G1786,""),"")</f>
        <v>0.25</v>
      </c>
      <c r="K1786" s="77" t="s">
        <v>435</v>
      </c>
      <c r="L1786" s="76" t="str">
        <f aca="false">IF(OR(G1786="",H1786=""),"Data tidak lengkap",IF(AND(G1786=0,H1786=0),IF(AND(F1786="",K1786=""),"Tidak dibuka","Tutup"),IF(H1786&gt;G1786,"Lebih kapasitas",IF(H1786=G1786,"Penuh",IF(H1786=0,IF(F1786="","Slot kosong","Belum terisi"),"Sebagian")))))</f>
        <v>Sebagian</v>
      </c>
      <c r="M1786" s="79" t="str">
        <f aca="false">IF(L1786="Tidak dibuka","–",IF(F1786="","(tanpa age group)",F1786)&amp;"  "&amp;IF(H1786="","?",H1786)&amp;"/"&amp;IF(G1786="","?",G1786)&amp;CHAR(10)&amp;IF(K1786="","coach: –","coach: "&amp;K1786))</f>
        <v>Little  1/4
coach: Maulana</v>
      </c>
    </row>
    <row r="1787" customFormat="false" ht="22.35" hidden="false" customHeight="false" outlineLevel="0" collapsed="false">
      <c r="A1787" s="76" t="str">
        <f aca="false">B1787&amp;"|"&amp;C1787&amp;"|"&amp;D1787&amp;"|"&amp;E1787</f>
        <v>BTU|3|Selasa|16:30</v>
      </c>
      <c r="B1787" s="76" t="s">
        <v>69</v>
      </c>
      <c r="C1787" s="76" t="n">
        <v>3</v>
      </c>
      <c r="D1787" s="76" t="s">
        <v>91</v>
      </c>
      <c r="E1787" s="76" t="s">
        <v>106</v>
      </c>
      <c r="F1787" s="77" t="s">
        <v>277</v>
      </c>
      <c r="G1787" s="77" t="n">
        <v>4</v>
      </c>
      <c r="H1787" s="77" t="n">
        <v>0</v>
      </c>
      <c r="I1787" s="76" t="n">
        <f aca="false">IF(AND(ISNUMBER(G1787),ISNUMBER(H1787)),MAX(G1787-H1787,0),"")</f>
        <v>4</v>
      </c>
      <c r="J1787" s="78" t="n">
        <f aca="false">IF(AND(ISNUMBER(G1787),ISNUMBER(H1787)),IF(G1787&gt;0,H1787/G1787,""),"")</f>
        <v>0</v>
      </c>
      <c r="K1787" s="77"/>
      <c r="L1787" s="76" t="str">
        <f aca="false">IF(OR(G1787="",H1787=""),"Data tidak lengkap",IF(AND(G1787=0,H1787=0),IF(AND(F1787="",K1787=""),"Tidak dibuka","Tutup"),IF(H1787&gt;G1787,"Lebih kapasitas",IF(H1787=G1787,"Penuh",IF(H1787=0,IF(F1787="","Slot kosong","Belum terisi"),"Sebagian")))))</f>
        <v>Belum terisi</v>
      </c>
      <c r="M1787" s="79" t="str">
        <f aca="false">IF(L1787="Tidak dibuka","–",IF(F1787="","(tanpa age group)",F1787)&amp;"  "&amp;IF(H1787="","?",H1787)&amp;"/"&amp;IF(G1787="","?",G1787)&amp;CHAR(10)&amp;IF(K1787="","coach: –","coach: "&amp;K1787))</f>
        <v>Little  0/4
coach: –</v>
      </c>
    </row>
    <row r="1788" customFormat="false" ht="22.35" hidden="false" customHeight="false" outlineLevel="0" collapsed="false">
      <c r="A1788" s="76" t="str">
        <f aca="false">B1788&amp;"|"&amp;C1788&amp;"|"&amp;D1788&amp;"|"&amp;E1788</f>
        <v>BTU|3|Selasa|17:15</v>
      </c>
      <c r="B1788" s="76" t="s">
        <v>69</v>
      </c>
      <c r="C1788" s="76" t="n">
        <v>3</v>
      </c>
      <c r="D1788" s="76" t="s">
        <v>91</v>
      </c>
      <c r="E1788" s="76" t="s">
        <v>107</v>
      </c>
      <c r="F1788" s="77" t="s">
        <v>277</v>
      </c>
      <c r="G1788" s="77" t="n">
        <v>4</v>
      </c>
      <c r="H1788" s="77" t="n">
        <v>0</v>
      </c>
      <c r="I1788" s="76" t="n">
        <f aca="false">IF(AND(ISNUMBER(G1788),ISNUMBER(H1788)),MAX(G1788-H1788,0),"")</f>
        <v>4</v>
      </c>
      <c r="J1788" s="78" t="n">
        <f aca="false">IF(AND(ISNUMBER(G1788),ISNUMBER(H1788)),IF(G1788&gt;0,H1788/G1788,""),"")</f>
        <v>0</v>
      </c>
      <c r="K1788" s="77"/>
      <c r="L1788" s="76" t="str">
        <f aca="false">IF(OR(G1788="",H1788=""),"Data tidak lengkap",IF(AND(G1788=0,H1788=0),IF(AND(F1788="",K1788=""),"Tidak dibuka","Tutup"),IF(H1788&gt;G1788,"Lebih kapasitas",IF(H1788=G1788,"Penuh",IF(H1788=0,IF(F1788="","Slot kosong","Belum terisi"),"Sebagian")))))</f>
        <v>Belum terisi</v>
      </c>
      <c r="M1788" s="79" t="str">
        <f aca="false">IF(L1788="Tidak dibuka","–",IF(F1788="","(tanpa age group)",F1788)&amp;"  "&amp;IF(H1788="","?",H1788)&amp;"/"&amp;IF(G1788="","?",G1788)&amp;CHAR(10)&amp;IF(K1788="","coach: –","coach: "&amp;K1788))</f>
        <v>Little  0/4
coach: –</v>
      </c>
    </row>
    <row r="1789" customFormat="false" ht="22.35" hidden="false" customHeight="false" outlineLevel="0" collapsed="false">
      <c r="A1789" s="76" t="str">
        <f aca="false">B1789&amp;"|"&amp;C1789&amp;"|"&amp;D1789&amp;"|"&amp;E1789</f>
        <v>BTU|3|Rabu|08:15</v>
      </c>
      <c r="B1789" s="76" t="s">
        <v>69</v>
      </c>
      <c r="C1789" s="76" t="n">
        <v>3</v>
      </c>
      <c r="D1789" s="76" t="s">
        <v>92</v>
      </c>
      <c r="E1789" s="76" t="s">
        <v>96</v>
      </c>
      <c r="F1789" s="77" t="s">
        <v>277</v>
      </c>
      <c r="G1789" s="77" t="n">
        <v>4</v>
      </c>
      <c r="H1789" s="77" t="n">
        <v>0</v>
      </c>
      <c r="I1789" s="76" t="n">
        <f aca="false">IF(AND(ISNUMBER(G1789),ISNUMBER(H1789)),MAX(G1789-H1789,0),"")</f>
        <v>4</v>
      </c>
      <c r="J1789" s="78" t="n">
        <f aca="false">IF(AND(ISNUMBER(G1789),ISNUMBER(H1789)),IF(G1789&gt;0,H1789/G1789,""),"")</f>
        <v>0</v>
      </c>
      <c r="K1789" s="77"/>
      <c r="L1789" s="76" t="str">
        <f aca="false">IF(OR(G1789="",H1789=""),"Data tidak lengkap",IF(AND(G1789=0,H1789=0),IF(AND(F1789="",K1789=""),"Tidak dibuka","Tutup"),IF(H1789&gt;G1789,"Lebih kapasitas",IF(H1789=G1789,"Penuh",IF(H1789=0,IF(F1789="","Slot kosong","Belum terisi"),"Sebagian")))))</f>
        <v>Belum terisi</v>
      </c>
      <c r="M1789" s="79" t="str">
        <f aca="false">IF(L1789="Tidak dibuka","–",IF(F1789="","(tanpa age group)",F1789)&amp;"  "&amp;IF(H1789="","?",H1789)&amp;"/"&amp;IF(G1789="","?",G1789)&amp;CHAR(10)&amp;IF(K1789="","coach: –","coach: "&amp;K1789))</f>
        <v>Little  0/4
coach: –</v>
      </c>
    </row>
    <row r="1790" customFormat="false" ht="22.35" hidden="false" customHeight="false" outlineLevel="0" collapsed="false">
      <c r="A1790" s="76" t="str">
        <f aca="false">B1790&amp;"|"&amp;C1790&amp;"|"&amp;D1790&amp;"|"&amp;E1790</f>
        <v>BTU|3|Rabu|09:00</v>
      </c>
      <c r="B1790" s="76" t="s">
        <v>69</v>
      </c>
      <c r="C1790" s="76" t="n">
        <v>3</v>
      </c>
      <c r="D1790" s="76" t="s">
        <v>92</v>
      </c>
      <c r="E1790" s="76" t="s">
        <v>97</v>
      </c>
      <c r="F1790" s="77" t="s">
        <v>277</v>
      </c>
      <c r="G1790" s="77" t="n">
        <v>4</v>
      </c>
      <c r="H1790" s="77" t="n">
        <v>0</v>
      </c>
      <c r="I1790" s="76" t="n">
        <f aca="false">IF(AND(ISNUMBER(G1790),ISNUMBER(H1790)),MAX(G1790-H1790,0),"")</f>
        <v>4</v>
      </c>
      <c r="J1790" s="78" t="n">
        <f aca="false">IF(AND(ISNUMBER(G1790),ISNUMBER(H1790)),IF(G1790&gt;0,H1790/G1790,""),"")</f>
        <v>0</v>
      </c>
      <c r="K1790" s="77"/>
      <c r="L1790" s="76" t="str">
        <f aca="false">IF(OR(G1790="",H1790=""),"Data tidak lengkap",IF(AND(G1790=0,H1790=0),IF(AND(F1790="",K1790=""),"Tidak dibuka","Tutup"),IF(H1790&gt;G1790,"Lebih kapasitas",IF(H1790=G1790,"Penuh",IF(H1790=0,IF(F1790="","Slot kosong","Belum terisi"),"Sebagian")))))</f>
        <v>Belum terisi</v>
      </c>
      <c r="M1790" s="79" t="str">
        <f aca="false">IF(L1790="Tidak dibuka","–",IF(F1790="","(tanpa age group)",F1790)&amp;"  "&amp;IF(H1790="","?",H1790)&amp;"/"&amp;IF(G1790="","?",G1790)&amp;CHAR(10)&amp;IF(K1790="","coach: –","coach: "&amp;K1790))</f>
        <v>Little  0/4
coach: –</v>
      </c>
    </row>
    <row r="1791" customFormat="false" ht="22.35" hidden="false" customHeight="false" outlineLevel="0" collapsed="false">
      <c r="A1791" s="76" t="str">
        <f aca="false">B1791&amp;"|"&amp;C1791&amp;"|"&amp;D1791&amp;"|"&amp;E1791</f>
        <v>BTU|3|Rabu|09:45</v>
      </c>
      <c r="B1791" s="76" t="s">
        <v>69</v>
      </c>
      <c r="C1791" s="76" t="n">
        <v>3</v>
      </c>
      <c r="D1791" s="76" t="s">
        <v>92</v>
      </c>
      <c r="E1791" s="76" t="s">
        <v>98</v>
      </c>
      <c r="F1791" s="77" t="s">
        <v>277</v>
      </c>
      <c r="G1791" s="77" t="n">
        <v>4</v>
      </c>
      <c r="H1791" s="77" t="n">
        <v>0</v>
      </c>
      <c r="I1791" s="76" t="n">
        <f aca="false">IF(AND(ISNUMBER(G1791),ISNUMBER(H1791)),MAX(G1791-H1791,0),"")</f>
        <v>4</v>
      </c>
      <c r="J1791" s="78" t="n">
        <f aca="false">IF(AND(ISNUMBER(G1791),ISNUMBER(H1791)),IF(G1791&gt;0,H1791/G1791,""),"")</f>
        <v>0</v>
      </c>
      <c r="K1791" s="77"/>
      <c r="L1791" s="76" t="str">
        <f aca="false">IF(OR(G1791="",H1791=""),"Data tidak lengkap",IF(AND(G1791=0,H1791=0),IF(AND(F1791="",K1791=""),"Tidak dibuka","Tutup"),IF(H1791&gt;G1791,"Lebih kapasitas",IF(H1791=G1791,"Penuh",IF(H1791=0,IF(F1791="","Slot kosong","Belum terisi"),"Sebagian")))))</f>
        <v>Belum terisi</v>
      </c>
      <c r="M1791" s="79" t="str">
        <f aca="false">IF(L1791="Tidak dibuka","–",IF(F1791="","(tanpa age group)",F1791)&amp;"  "&amp;IF(H1791="","?",H1791)&amp;"/"&amp;IF(G1791="","?",G1791)&amp;CHAR(10)&amp;IF(K1791="","coach: –","coach: "&amp;K1791))</f>
        <v>Little  0/4
coach: –</v>
      </c>
    </row>
    <row r="1792" customFormat="false" ht="22.35" hidden="false" customHeight="false" outlineLevel="0" collapsed="false">
      <c r="A1792" s="76" t="str">
        <f aca="false">B1792&amp;"|"&amp;C1792&amp;"|"&amp;D1792&amp;"|"&amp;E1792</f>
        <v>BTU|3|Rabu|10:30</v>
      </c>
      <c r="B1792" s="76" t="s">
        <v>69</v>
      </c>
      <c r="C1792" s="76" t="n">
        <v>3</v>
      </c>
      <c r="D1792" s="76" t="s">
        <v>92</v>
      </c>
      <c r="E1792" s="76" t="s">
        <v>99</v>
      </c>
      <c r="F1792" s="77" t="s">
        <v>277</v>
      </c>
      <c r="G1792" s="77" t="n">
        <v>4</v>
      </c>
      <c r="H1792" s="77" t="n">
        <v>0</v>
      </c>
      <c r="I1792" s="76" t="n">
        <f aca="false">IF(AND(ISNUMBER(G1792),ISNUMBER(H1792)),MAX(G1792-H1792,0),"")</f>
        <v>4</v>
      </c>
      <c r="J1792" s="78" t="n">
        <f aca="false">IF(AND(ISNUMBER(G1792),ISNUMBER(H1792)),IF(G1792&gt;0,H1792/G1792,""),"")</f>
        <v>0</v>
      </c>
      <c r="K1792" s="77"/>
      <c r="L1792" s="76" t="str">
        <f aca="false">IF(OR(G1792="",H1792=""),"Data tidak lengkap",IF(AND(G1792=0,H1792=0),IF(AND(F1792="",K1792=""),"Tidak dibuka","Tutup"),IF(H1792&gt;G1792,"Lebih kapasitas",IF(H1792=G1792,"Penuh",IF(H1792=0,IF(F1792="","Slot kosong","Belum terisi"),"Sebagian")))))</f>
        <v>Belum terisi</v>
      </c>
      <c r="M1792" s="79" t="str">
        <f aca="false">IF(L1792="Tidak dibuka","–",IF(F1792="","(tanpa age group)",F1792)&amp;"  "&amp;IF(H1792="","?",H1792)&amp;"/"&amp;IF(G1792="","?",G1792)&amp;CHAR(10)&amp;IF(K1792="","coach: –","coach: "&amp;K1792))</f>
        <v>Little  0/4
coach: –</v>
      </c>
    </row>
    <row r="1793" customFormat="false" ht="22.35" hidden="false" customHeight="false" outlineLevel="0" collapsed="false">
      <c r="A1793" s="76" t="str">
        <f aca="false">B1793&amp;"|"&amp;C1793&amp;"|"&amp;D1793&amp;"|"&amp;E1793</f>
        <v>BTU|3|Rabu|11:15</v>
      </c>
      <c r="B1793" s="76" t="s">
        <v>69</v>
      </c>
      <c r="C1793" s="76" t="n">
        <v>3</v>
      </c>
      <c r="D1793" s="76" t="s">
        <v>92</v>
      </c>
      <c r="E1793" s="76" t="s">
        <v>100</v>
      </c>
      <c r="F1793" s="77" t="s">
        <v>277</v>
      </c>
      <c r="G1793" s="77" t="n">
        <v>4</v>
      </c>
      <c r="H1793" s="77" t="n">
        <v>0</v>
      </c>
      <c r="I1793" s="76" t="n">
        <f aca="false">IF(AND(ISNUMBER(G1793),ISNUMBER(H1793)),MAX(G1793-H1793,0),"")</f>
        <v>4</v>
      </c>
      <c r="J1793" s="78" t="n">
        <f aca="false">IF(AND(ISNUMBER(G1793),ISNUMBER(H1793)),IF(G1793&gt;0,H1793/G1793,""),"")</f>
        <v>0</v>
      </c>
      <c r="K1793" s="77"/>
      <c r="L1793" s="76" t="str">
        <f aca="false">IF(OR(G1793="",H1793=""),"Data tidak lengkap",IF(AND(G1793=0,H1793=0),IF(AND(F1793="",K1793=""),"Tidak dibuka","Tutup"),IF(H1793&gt;G1793,"Lebih kapasitas",IF(H1793=G1793,"Penuh",IF(H1793=0,IF(F1793="","Slot kosong","Belum terisi"),"Sebagian")))))</f>
        <v>Belum terisi</v>
      </c>
      <c r="M1793" s="79" t="str">
        <f aca="false">IF(L1793="Tidak dibuka","–",IF(F1793="","(tanpa age group)",F1793)&amp;"  "&amp;IF(H1793="","?",H1793)&amp;"/"&amp;IF(G1793="","?",G1793)&amp;CHAR(10)&amp;IF(K1793="","coach: –","coach: "&amp;K1793))</f>
        <v>Little  0/4
coach: –</v>
      </c>
    </row>
    <row r="1794" customFormat="false" ht="22.35" hidden="false" customHeight="false" outlineLevel="0" collapsed="false">
      <c r="A1794" s="76" t="str">
        <f aca="false">B1794&amp;"|"&amp;C1794&amp;"|"&amp;D1794&amp;"|"&amp;E1794</f>
        <v>BTU|3|Rabu|12:00</v>
      </c>
      <c r="B1794" s="76" t="s">
        <v>69</v>
      </c>
      <c r="C1794" s="76" t="n">
        <v>3</v>
      </c>
      <c r="D1794" s="76" t="s">
        <v>92</v>
      </c>
      <c r="E1794" s="76" t="s">
        <v>101</v>
      </c>
      <c r="F1794" s="77" t="s">
        <v>277</v>
      </c>
      <c r="G1794" s="77" t="n">
        <v>4</v>
      </c>
      <c r="H1794" s="77" t="n">
        <v>0</v>
      </c>
      <c r="I1794" s="76" t="n">
        <f aca="false">IF(AND(ISNUMBER(G1794),ISNUMBER(H1794)),MAX(G1794-H1794,0),"")</f>
        <v>4</v>
      </c>
      <c r="J1794" s="78" t="n">
        <f aca="false">IF(AND(ISNUMBER(G1794),ISNUMBER(H1794)),IF(G1794&gt;0,H1794/G1794,""),"")</f>
        <v>0</v>
      </c>
      <c r="K1794" s="77"/>
      <c r="L1794" s="76" t="str">
        <f aca="false">IF(OR(G1794="",H1794=""),"Data tidak lengkap",IF(AND(G1794=0,H1794=0),IF(AND(F1794="",K1794=""),"Tidak dibuka","Tutup"),IF(H1794&gt;G1794,"Lebih kapasitas",IF(H1794=G1794,"Penuh",IF(H1794=0,IF(F1794="","Slot kosong","Belum terisi"),"Sebagian")))))</f>
        <v>Belum terisi</v>
      </c>
      <c r="M1794" s="79" t="str">
        <f aca="false">IF(L1794="Tidak dibuka","–",IF(F1794="","(tanpa age group)",F1794)&amp;"  "&amp;IF(H1794="","?",H1794)&amp;"/"&amp;IF(G1794="","?",G1794)&amp;CHAR(10)&amp;IF(K1794="","coach: –","coach: "&amp;K1794))</f>
        <v>Little  0/4
coach: –</v>
      </c>
    </row>
    <row r="1795" customFormat="false" ht="22.35" hidden="false" customHeight="false" outlineLevel="0" collapsed="false">
      <c r="A1795" s="76" t="str">
        <f aca="false">B1795&amp;"|"&amp;C1795&amp;"|"&amp;D1795&amp;"|"&amp;E1795</f>
        <v>BTU|3|Rabu|13:30</v>
      </c>
      <c r="B1795" s="76" t="s">
        <v>69</v>
      </c>
      <c r="C1795" s="76" t="n">
        <v>3</v>
      </c>
      <c r="D1795" s="76" t="s">
        <v>92</v>
      </c>
      <c r="E1795" s="76" t="s">
        <v>102</v>
      </c>
      <c r="F1795" s="77" t="s">
        <v>277</v>
      </c>
      <c r="G1795" s="77" t="n">
        <v>4</v>
      </c>
      <c r="H1795" s="77" t="n">
        <v>3</v>
      </c>
      <c r="I1795" s="76" t="n">
        <f aca="false">IF(AND(ISNUMBER(G1795),ISNUMBER(H1795)),MAX(G1795-H1795,0),"")</f>
        <v>1</v>
      </c>
      <c r="J1795" s="78" t="n">
        <f aca="false">IF(AND(ISNUMBER(G1795),ISNUMBER(H1795)),IF(G1795&gt;0,H1795/G1795,""),"")</f>
        <v>0.75</v>
      </c>
      <c r="K1795" s="77" t="s">
        <v>435</v>
      </c>
      <c r="L1795" s="76" t="str">
        <f aca="false">IF(OR(G1795="",H1795=""),"Data tidak lengkap",IF(AND(G1795=0,H1795=0),IF(AND(F1795="",K1795=""),"Tidak dibuka","Tutup"),IF(H1795&gt;G1795,"Lebih kapasitas",IF(H1795=G1795,"Penuh",IF(H1795=0,IF(F1795="","Slot kosong","Belum terisi"),"Sebagian")))))</f>
        <v>Sebagian</v>
      </c>
      <c r="M1795" s="79" t="str">
        <f aca="false">IF(L1795="Tidak dibuka","–",IF(F1795="","(tanpa age group)",F1795)&amp;"  "&amp;IF(H1795="","?",H1795)&amp;"/"&amp;IF(G1795="","?",G1795)&amp;CHAR(10)&amp;IF(K1795="","coach: –","coach: "&amp;K1795))</f>
        <v>Little  3/4
coach: Maulana</v>
      </c>
    </row>
    <row r="1796" customFormat="false" ht="22.35" hidden="false" customHeight="false" outlineLevel="0" collapsed="false">
      <c r="A1796" s="76" t="str">
        <f aca="false">B1796&amp;"|"&amp;C1796&amp;"|"&amp;D1796&amp;"|"&amp;E1796</f>
        <v>BTU|3|Rabu|14:15</v>
      </c>
      <c r="B1796" s="76" t="s">
        <v>69</v>
      </c>
      <c r="C1796" s="76" t="n">
        <v>3</v>
      </c>
      <c r="D1796" s="76" t="s">
        <v>92</v>
      </c>
      <c r="E1796" s="76" t="s">
        <v>103</v>
      </c>
      <c r="F1796" s="77" t="s">
        <v>277</v>
      </c>
      <c r="G1796" s="77" t="n">
        <v>4</v>
      </c>
      <c r="H1796" s="77" t="n">
        <v>0</v>
      </c>
      <c r="I1796" s="76" t="n">
        <f aca="false">IF(AND(ISNUMBER(G1796),ISNUMBER(H1796)),MAX(G1796-H1796,0),"")</f>
        <v>4</v>
      </c>
      <c r="J1796" s="78" t="n">
        <f aca="false">IF(AND(ISNUMBER(G1796),ISNUMBER(H1796)),IF(G1796&gt;0,H1796/G1796,""),"")</f>
        <v>0</v>
      </c>
      <c r="K1796" s="77"/>
      <c r="L1796" s="76" t="str">
        <f aca="false">IF(OR(G1796="",H1796=""),"Data tidak lengkap",IF(AND(G1796=0,H1796=0),IF(AND(F1796="",K1796=""),"Tidak dibuka","Tutup"),IF(H1796&gt;G1796,"Lebih kapasitas",IF(H1796=G1796,"Penuh",IF(H1796=0,IF(F1796="","Slot kosong","Belum terisi"),"Sebagian")))))</f>
        <v>Belum terisi</v>
      </c>
      <c r="M1796" s="79" t="str">
        <f aca="false">IF(L1796="Tidak dibuka","–",IF(F1796="","(tanpa age group)",F1796)&amp;"  "&amp;IF(H1796="","?",H1796)&amp;"/"&amp;IF(G1796="","?",G1796)&amp;CHAR(10)&amp;IF(K1796="","coach: –","coach: "&amp;K1796))</f>
        <v>Little  0/4
coach: –</v>
      </c>
    </row>
    <row r="1797" customFormat="false" ht="22.35" hidden="false" customHeight="false" outlineLevel="0" collapsed="false">
      <c r="A1797" s="76" t="str">
        <f aca="false">B1797&amp;"|"&amp;C1797&amp;"|"&amp;D1797&amp;"|"&amp;E1797</f>
        <v>BTU|3|Rabu|15:00</v>
      </c>
      <c r="B1797" s="76" t="s">
        <v>69</v>
      </c>
      <c r="C1797" s="76" t="n">
        <v>3</v>
      </c>
      <c r="D1797" s="76" t="s">
        <v>92</v>
      </c>
      <c r="E1797" s="76" t="s">
        <v>104</v>
      </c>
      <c r="F1797" s="77" t="s">
        <v>277</v>
      </c>
      <c r="G1797" s="77" t="n">
        <v>4</v>
      </c>
      <c r="H1797" s="77" t="n">
        <v>2</v>
      </c>
      <c r="I1797" s="76" t="n">
        <f aca="false">IF(AND(ISNUMBER(G1797),ISNUMBER(H1797)),MAX(G1797-H1797,0),"")</f>
        <v>2</v>
      </c>
      <c r="J1797" s="78" t="n">
        <f aca="false">IF(AND(ISNUMBER(G1797),ISNUMBER(H1797)),IF(G1797&gt;0,H1797/G1797,""),"")</f>
        <v>0.5</v>
      </c>
      <c r="K1797" s="77" t="s">
        <v>439</v>
      </c>
      <c r="L1797" s="76" t="str">
        <f aca="false">IF(OR(G1797="",H1797=""),"Data tidak lengkap",IF(AND(G1797=0,H1797=0),IF(AND(F1797="",K1797=""),"Tidak dibuka","Tutup"),IF(H1797&gt;G1797,"Lebih kapasitas",IF(H1797=G1797,"Penuh",IF(H1797=0,IF(F1797="","Slot kosong","Belum terisi"),"Sebagian")))))</f>
        <v>Sebagian</v>
      </c>
      <c r="M1797" s="79" t="str">
        <f aca="false">IF(L1797="Tidak dibuka","–",IF(F1797="","(tanpa age group)",F1797)&amp;"  "&amp;IF(H1797="","?",H1797)&amp;"/"&amp;IF(G1797="","?",G1797)&amp;CHAR(10)&amp;IF(K1797="","coach: –","coach: "&amp;K1797))</f>
        <v>Little  2/4
coach: Bagas</v>
      </c>
    </row>
    <row r="1798" customFormat="false" ht="22.35" hidden="false" customHeight="false" outlineLevel="0" collapsed="false">
      <c r="A1798" s="76" t="str">
        <f aca="false">B1798&amp;"|"&amp;C1798&amp;"|"&amp;D1798&amp;"|"&amp;E1798</f>
        <v>BTU|3|Rabu|15:45</v>
      </c>
      <c r="B1798" s="76" t="s">
        <v>69</v>
      </c>
      <c r="C1798" s="76" t="n">
        <v>3</v>
      </c>
      <c r="D1798" s="76" t="s">
        <v>92</v>
      </c>
      <c r="E1798" s="76" t="s">
        <v>105</v>
      </c>
      <c r="F1798" s="77" t="s">
        <v>277</v>
      </c>
      <c r="G1798" s="77" t="n">
        <v>4</v>
      </c>
      <c r="H1798" s="77" t="n">
        <v>4</v>
      </c>
      <c r="I1798" s="76" t="n">
        <f aca="false">IF(AND(ISNUMBER(G1798),ISNUMBER(H1798)),MAX(G1798-H1798,0),"")</f>
        <v>0</v>
      </c>
      <c r="J1798" s="78" t="n">
        <f aca="false">IF(AND(ISNUMBER(G1798),ISNUMBER(H1798)),IF(G1798&gt;0,H1798/G1798,""),"")</f>
        <v>1</v>
      </c>
      <c r="K1798" s="77" t="s">
        <v>433</v>
      </c>
      <c r="L1798" s="76" t="str">
        <f aca="false">IF(OR(G1798="",H1798=""),"Data tidak lengkap",IF(AND(G1798=0,H1798=0),IF(AND(F1798="",K1798=""),"Tidak dibuka","Tutup"),IF(H1798&gt;G1798,"Lebih kapasitas",IF(H1798=G1798,"Penuh",IF(H1798=0,IF(F1798="","Slot kosong","Belum terisi"),"Sebagian")))))</f>
        <v>Penuh</v>
      </c>
      <c r="M1798" s="79" t="str">
        <f aca="false">IF(L1798="Tidak dibuka","–",IF(F1798="","(tanpa age group)",F1798)&amp;"  "&amp;IF(H1798="","?",H1798)&amp;"/"&amp;IF(G1798="","?",G1798)&amp;CHAR(10)&amp;IF(K1798="","coach: –","coach: "&amp;K1798))</f>
        <v>Little  4/4
coach: Shofi</v>
      </c>
    </row>
    <row r="1799" customFormat="false" ht="22.35" hidden="false" customHeight="false" outlineLevel="0" collapsed="false">
      <c r="A1799" s="76" t="str">
        <f aca="false">B1799&amp;"|"&amp;C1799&amp;"|"&amp;D1799&amp;"|"&amp;E1799</f>
        <v>BTU|3|Rabu|16:30</v>
      </c>
      <c r="B1799" s="76" t="s">
        <v>69</v>
      </c>
      <c r="C1799" s="76" t="n">
        <v>3</v>
      </c>
      <c r="D1799" s="76" t="s">
        <v>92</v>
      </c>
      <c r="E1799" s="76" t="s">
        <v>106</v>
      </c>
      <c r="F1799" s="77" t="s">
        <v>277</v>
      </c>
      <c r="G1799" s="77" t="n">
        <v>4</v>
      </c>
      <c r="H1799" s="77" t="n">
        <v>3</v>
      </c>
      <c r="I1799" s="76" t="n">
        <f aca="false">IF(AND(ISNUMBER(G1799),ISNUMBER(H1799)),MAX(G1799-H1799,0),"")</f>
        <v>1</v>
      </c>
      <c r="J1799" s="78" t="n">
        <f aca="false">IF(AND(ISNUMBER(G1799),ISNUMBER(H1799)),IF(G1799&gt;0,H1799/G1799,""),"")</f>
        <v>0.75</v>
      </c>
      <c r="K1799" s="77" t="s">
        <v>435</v>
      </c>
      <c r="L1799" s="76" t="str">
        <f aca="false">IF(OR(G1799="",H1799=""),"Data tidak lengkap",IF(AND(G1799=0,H1799=0),IF(AND(F1799="",K1799=""),"Tidak dibuka","Tutup"),IF(H1799&gt;G1799,"Lebih kapasitas",IF(H1799=G1799,"Penuh",IF(H1799=0,IF(F1799="","Slot kosong","Belum terisi"),"Sebagian")))))</f>
        <v>Sebagian</v>
      </c>
      <c r="M1799" s="79" t="str">
        <f aca="false">IF(L1799="Tidak dibuka","–",IF(F1799="","(tanpa age group)",F1799)&amp;"  "&amp;IF(H1799="","?",H1799)&amp;"/"&amp;IF(G1799="","?",G1799)&amp;CHAR(10)&amp;IF(K1799="","coach: –","coach: "&amp;K1799))</f>
        <v>Little  3/4
coach: Maulana</v>
      </c>
    </row>
    <row r="1800" customFormat="false" ht="22.35" hidden="false" customHeight="false" outlineLevel="0" collapsed="false">
      <c r="A1800" s="76" t="str">
        <f aca="false">B1800&amp;"|"&amp;C1800&amp;"|"&amp;D1800&amp;"|"&amp;E1800</f>
        <v>BTU|3|Rabu|17:15</v>
      </c>
      <c r="B1800" s="76" t="s">
        <v>69</v>
      </c>
      <c r="C1800" s="76" t="n">
        <v>3</v>
      </c>
      <c r="D1800" s="76" t="s">
        <v>92</v>
      </c>
      <c r="E1800" s="76" t="s">
        <v>107</v>
      </c>
      <c r="F1800" s="77" t="s">
        <v>277</v>
      </c>
      <c r="G1800" s="77" t="n">
        <v>4</v>
      </c>
      <c r="H1800" s="77" t="n">
        <v>0</v>
      </c>
      <c r="I1800" s="76" t="n">
        <f aca="false">IF(AND(ISNUMBER(G1800),ISNUMBER(H1800)),MAX(G1800-H1800,0),"")</f>
        <v>4</v>
      </c>
      <c r="J1800" s="78" t="n">
        <f aca="false">IF(AND(ISNUMBER(G1800),ISNUMBER(H1800)),IF(G1800&gt;0,H1800/G1800,""),"")</f>
        <v>0</v>
      </c>
      <c r="K1800" s="77"/>
      <c r="L1800" s="76" t="str">
        <f aca="false">IF(OR(G1800="",H1800=""),"Data tidak lengkap",IF(AND(G1800=0,H1800=0),IF(AND(F1800="",K1800=""),"Tidak dibuka","Tutup"),IF(H1800&gt;G1800,"Lebih kapasitas",IF(H1800=G1800,"Penuh",IF(H1800=0,IF(F1800="","Slot kosong","Belum terisi"),"Sebagian")))))</f>
        <v>Belum terisi</v>
      </c>
      <c r="M1800" s="79" t="str">
        <f aca="false">IF(L1800="Tidak dibuka","–",IF(F1800="","(tanpa age group)",F1800)&amp;"  "&amp;IF(H1800="","?",H1800)&amp;"/"&amp;IF(G1800="","?",G1800)&amp;CHAR(10)&amp;IF(K1800="","coach: –","coach: "&amp;K1800))</f>
        <v>Little  0/4
coach: –</v>
      </c>
    </row>
    <row r="1801" customFormat="false" ht="22.35" hidden="false" customHeight="false" outlineLevel="0" collapsed="false">
      <c r="A1801" s="76" t="str">
        <f aca="false">B1801&amp;"|"&amp;C1801&amp;"|"&amp;D1801&amp;"|"&amp;E1801</f>
        <v>BTU|3|Kamis|08:15</v>
      </c>
      <c r="B1801" s="76" t="s">
        <v>69</v>
      </c>
      <c r="C1801" s="76" t="n">
        <v>3</v>
      </c>
      <c r="D1801" s="76" t="s">
        <v>93</v>
      </c>
      <c r="E1801" s="76" t="s">
        <v>96</v>
      </c>
      <c r="F1801" s="77" t="s">
        <v>277</v>
      </c>
      <c r="G1801" s="77" t="n">
        <v>4</v>
      </c>
      <c r="H1801" s="77" t="n">
        <v>0</v>
      </c>
      <c r="I1801" s="76" t="n">
        <f aca="false">IF(AND(ISNUMBER(G1801),ISNUMBER(H1801)),MAX(G1801-H1801,0),"")</f>
        <v>4</v>
      </c>
      <c r="J1801" s="78" t="n">
        <f aca="false">IF(AND(ISNUMBER(G1801),ISNUMBER(H1801)),IF(G1801&gt;0,H1801/G1801,""),"")</f>
        <v>0</v>
      </c>
      <c r="K1801" s="77"/>
      <c r="L1801" s="76" t="str">
        <f aca="false">IF(OR(G1801="",H1801=""),"Data tidak lengkap",IF(AND(G1801=0,H1801=0),IF(AND(F1801="",K1801=""),"Tidak dibuka","Tutup"),IF(H1801&gt;G1801,"Lebih kapasitas",IF(H1801=G1801,"Penuh",IF(H1801=0,IF(F1801="","Slot kosong","Belum terisi"),"Sebagian")))))</f>
        <v>Belum terisi</v>
      </c>
      <c r="M1801" s="79" t="str">
        <f aca="false">IF(L1801="Tidak dibuka","–",IF(F1801="","(tanpa age group)",F1801)&amp;"  "&amp;IF(H1801="","?",H1801)&amp;"/"&amp;IF(G1801="","?",G1801)&amp;CHAR(10)&amp;IF(K1801="","coach: –","coach: "&amp;K1801))</f>
        <v>Little  0/4
coach: –</v>
      </c>
    </row>
    <row r="1802" customFormat="false" ht="22.35" hidden="false" customHeight="false" outlineLevel="0" collapsed="false">
      <c r="A1802" s="76" t="str">
        <f aca="false">B1802&amp;"|"&amp;C1802&amp;"|"&amp;D1802&amp;"|"&amp;E1802</f>
        <v>BTU|3|Kamis|09:00</v>
      </c>
      <c r="B1802" s="76" t="s">
        <v>69</v>
      </c>
      <c r="C1802" s="76" t="n">
        <v>3</v>
      </c>
      <c r="D1802" s="76" t="s">
        <v>93</v>
      </c>
      <c r="E1802" s="76" t="s">
        <v>97</v>
      </c>
      <c r="F1802" s="77" t="s">
        <v>277</v>
      </c>
      <c r="G1802" s="77" t="n">
        <v>4</v>
      </c>
      <c r="H1802" s="77" t="n">
        <v>0</v>
      </c>
      <c r="I1802" s="76" t="n">
        <f aca="false">IF(AND(ISNUMBER(G1802),ISNUMBER(H1802)),MAX(G1802-H1802,0),"")</f>
        <v>4</v>
      </c>
      <c r="J1802" s="78" t="n">
        <f aca="false">IF(AND(ISNUMBER(G1802),ISNUMBER(H1802)),IF(G1802&gt;0,H1802/G1802,""),"")</f>
        <v>0</v>
      </c>
      <c r="K1802" s="77"/>
      <c r="L1802" s="76" t="str">
        <f aca="false">IF(OR(G1802="",H1802=""),"Data tidak lengkap",IF(AND(G1802=0,H1802=0),IF(AND(F1802="",K1802=""),"Tidak dibuka","Tutup"),IF(H1802&gt;G1802,"Lebih kapasitas",IF(H1802=G1802,"Penuh",IF(H1802=0,IF(F1802="","Slot kosong","Belum terisi"),"Sebagian")))))</f>
        <v>Belum terisi</v>
      </c>
      <c r="M1802" s="79" t="str">
        <f aca="false">IF(L1802="Tidak dibuka","–",IF(F1802="","(tanpa age group)",F1802)&amp;"  "&amp;IF(H1802="","?",H1802)&amp;"/"&amp;IF(G1802="","?",G1802)&amp;CHAR(10)&amp;IF(K1802="","coach: –","coach: "&amp;K1802))</f>
        <v>Little  0/4
coach: –</v>
      </c>
    </row>
    <row r="1803" customFormat="false" ht="22.35" hidden="false" customHeight="false" outlineLevel="0" collapsed="false">
      <c r="A1803" s="76" t="str">
        <f aca="false">B1803&amp;"|"&amp;C1803&amp;"|"&amp;D1803&amp;"|"&amp;E1803</f>
        <v>BTU|3|Kamis|09:45</v>
      </c>
      <c r="B1803" s="76" t="s">
        <v>69</v>
      </c>
      <c r="C1803" s="76" t="n">
        <v>3</v>
      </c>
      <c r="D1803" s="76" t="s">
        <v>93</v>
      </c>
      <c r="E1803" s="76" t="s">
        <v>98</v>
      </c>
      <c r="F1803" s="77" t="s">
        <v>277</v>
      </c>
      <c r="G1803" s="77" t="n">
        <v>4</v>
      </c>
      <c r="H1803" s="77" t="n">
        <v>3</v>
      </c>
      <c r="I1803" s="76" t="n">
        <f aca="false">IF(AND(ISNUMBER(G1803),ISNUMBER(H1803)),MAX(G1803-H1803,0),"")</f>
        <v>1</v>
      </c>
      <c r="J1803" s="78" t="n">
        <f aca="false">IF(AND(ISNUMBER(G1803),ISNUMBER(H1803)),IF(G1803&gt;0,H1803/G1803,""),"")</f>
        <v>0.75</v>
      </c>
      <c r="K1803" s="77" t="s">
        <v>433</v>
      </c>
      <c r="L1803" s="76" t="str">
        <f aca="false">IF(OR(G1803="",H1803=""),"Data tidak lengkap",IF(AND(G1803=0,H1803=0),IF(AND(F1803="",K1803=""),"Tidak dibuka","Tutup"),IF(H1803&gt;G1803,"Lebih kapasitas",IF(H1803=G1803,"Penuh",IF(H1803=0,IF(F1803="","Slot kosong","Belum terisi"),"Sebagian")))))</f>
        <v>Sebagian</v>
      </c>
      <c r="M1803" s="79" t="str">
        <f aca="false">IF(L1803="Tidak dibuka","–",IF(F1803="","(tanpa age group)",F1803)&amp;"  "&amp;IF(H1803="","?",H1803)&amp;"/"&amp;IF(G1803="","?",G1803)&amp;CHAR(10)&amp;IF(K1803="","coach: –","coach: "&amp;K1803))</f>
        <v>Little  3/4
coach: Shofi</v>
      </c>
    </row>
    <row r="1804" customFormat="false" ht="22.35" hidden="false" customHeight="false" outlineLevel="0" collapsed="false">
      <c r="A1804" s="76" t="str">
        <f aca="false">B1804&amp;"|"&amp;C1804&amp;"|"&amp;D1804&amp;"|"&amp;E1804</f>
        <v>BTU|3|Kamis|10:30</v>
      </c>
      <c r="B1804" s="76" t="s">
        <v>69</v>
      </c>
      <c r="C1804" s="76" t="n">
        <v>3</v>
      </c>
      <c r="D1804" s="76" t="s">
        <v>93</v>
      </c>
      <c r="E1804" s="76" t="s">
        <v>99</v>
      </c>
      <c r="F1804" s="77" t="s">
        <v>277</v>
      </c>
      <c r="G1804" s="77" t="n">
        <v>4</v>
      </c>
      <c r="H1804" s="77" t="n">
        <v>0</v>
      </c>
      <c r="I1804" s="76" t="n">
        <f aca="false">IF(AND(ISNUMBER(G1804),ISNUMBER(H1804)),MAX(G1804-H1804,0),"")</f>
        <v>4</v>
      </c>
      <c r="J1804" s="78" t="n">
        <f aca="false">IF(AND(ISNUMBER(G1804),ISNUMBER(H1804)),IF(G1804&gt;0,H1804/G1804,""),"")</f>
        <v>0</v>
      </c>
      <c r="K1804" s="77"/>
      <c r="L1804" s="76" t="str">
        <f aca="false">IF(OR(G1804="",H1804=""),"Data tidak lengkap",IF(AND(G1804=0,H1804=0),IF(AND(F1804="",K1804=""),"Tidak dibuka","Tutup"),IF(H1804&gt;G1804,"Lebih kapasitas",IF(H1804=G1804,"Penuh",IF(H1804=0,IF(F1804="","Slot kosong","Belum terisi"),"Sebagian")))))</f>
        <v>Belum terisi</v>
      </c>
      <c r="M1804" s="79" t="str">
        <f aca="false">IF(L1804="Tidak dibuka","–",IF(F1804="","(tanpa age group)",F1804)&amp;"  "&amp;IF(H1804="","?",H1804)&amp;"/"&amp;IF(G1804="","?",G1804)&amp;CHAR(10)&amp;IF(K1804="","coach: –","coach: "&amp;K1804))</f>
        <v>Little  0/4
coach: –</v>
      </c>
    </row>
    <row r="1805" customFormat="false" ht="22.35" hidden="false" customHeight="false" outlineLevel="0" collapsed="false">
      <c r="A1805" s="76" t="str">
        <f aca="false">B1805&amp;"|"&amp;C1805&amp;"|"&amp;D1805&amp;"|"&amp;E1805</f>
        <v>BTU|3|Kamis|11:15</v>
      </c>
      <c r="B1805" s="76" t="s">
        <v>69</v>
      </c>
      <c r="C1805" s="76" t="n">
        <v>3</v>
      </c>
      <c r="D1805" s="76" t="s">
        <v>93</v>
      </c>
      <c r="E1805" s="76" t="s">
        <v>100</v>
      </c>
      <c r="F1805" s="77" t="s">
        <v>277</v>
      </c>
      <c r="G1805" s="77" t="n">
        <v>4</v>
      </c>
      <c r="H1805" s="77" t="n">
        <v>0</v>
      </c>
      <c r="I1805" s="76" t="n">
        <f aca="false">IF(AND(ISNUMBER(G1805),ISNUMBER(H1805)),MAX(G1805-H1805,0),"")</f>
        <v>4</v>
      </c>
      <c r="J1805" s="78" t="n">
        <f aca="false">IF(AND(ISNUMBER(G1805),ISNUMBER(H1805)),IF(G1805&gt;0,H1805/G1805,""),"")</f>
        <v>0</v>
      </c>
      <c r="K1805" s="77"/>
      <c r="L1805" s="76" t="str">
        <f aca="false">IF(OR(G1805="",H1805=""),"Data tidak lengkap",IF(AND(G1805=0,H1805=0),IF(AND(F1805="",K1805=""),"Tidak dibuka","Tutup"),IF(H1805&gt;G1805,"Lebih kapasitas",IF(H1805=G1805,"Penuh",IF(H1805=0,IF(F1805="","Slot kosong","Belum terisi"),"Sebagian")))))</f>
        <v>Belum terisi</v>
      </c>
      <c r="M1805" s="79" t="str">
        <f aca="false">IF(L1805="Tidak dibuka","–",IF(F1805="","(tanpa age group)",F1805)&amp;"  "&amp;IF(H1805="","?",H1805)&amp;"/"&amp;IF(G1805="","?",G1805)&amp;CHAR(10)&amp;IF(K1805="","coach: –","coach: "&amp;K1805))</f>
        <v>Little  0/4
coach: –</v>
      </c>
    </row>
    <row r="1806" customFormat="false" ht="22.35" hidden="false" customHeight="false" outlineLevel="0" collapsed="false">
      <c r="A1806" s="76" t="str">
        <f aca="false">B1806&amp;"|"&amp;C1806&amp;"|"&amp;D1806&amp;"|"&amp;E1806</f>
        <v>BTU|3|Kamis|12:00</v>
      </c>
      <c r="B1806" s="76" t="s">
        <v>69</v>
      </c>
      <c r="C1806" s="76" t="n">
        <v>3</v>
      </c>
      <c r="D1806" s="76" t="s">
        <v>93</v>
      </c>
      <c r="E1806" s="76" t="s">
        <v>101</v>
      </c>
      <c r="F1806" s="77" t="s">
        <v>277</v>
      </c>
      <c r="G1806" s="77" t="n">
        <v>4</v>
      </c>
      <c r="H1806" s="77" t="n">
        <v>0</v>
      </c>
      <c r="I1806" s="76" t="n">
        <f aca="false">IF(AND(ISNUMBER(G1806),ISNUMBER(H1806)),MAX(G1806-H1806,0),"")</f>
        <v>4</v>
      </c>
      <c r="J1806" s="78" t="n">
        <f aca="false">IF(AND(ISNUMBER(G1806),ISNUMBER(H1806)),IF(G1806&gt;0,H1806/G1806,""),"")</f>
        <v>0</v>
      </c>
      <c r="K1806" s="77"/>
      <c r="L1806" s="76" t="str">
        <f aca="false">IF(OR(G1806="",H1806=""),"Data tidak lengkap",IF(AND(G1806=0,H1806=0),IF(AND(F1806="",K1806=""),"Tidak dibuka","Tutup"),IF(H1806&gt;G1806,"Lebih kapasitas",IF(H1806=G1806,"Penuh",IF(H1806=0,IF(F1806="","Slot kosong","Belum terisi"),"Sebagian")))))</f>
        <v>Belum terisi</v>
      </c>
      <c r="M1806" s="79" t="str">
        <f aca="false">IF(L1806="Tidak dibuka","–",IF(F1806="","(tanpa age group)",F1806)&amp;"  "&amp;IF(H1806="","?",H1806)&amp;"/"&amp;IF(G1806="","?",G1806)&amp;CHAR(10)&amp;IF(K1806="","coach: –","coach: "&amp;K1806))</f>
        <v>Little  0/4
coach: –</v>
      </c>
    </row>
    <row r="1807" customFormat="false" ht="22.35" hidden="false" customHeight="false" outlineLevel="0" collapsed="false">
      <c r="A1807" s="76" t="str">
        <f aca="false">B1807&amp;"|"&amp;C1807&amp;"|"&amp;D1807&amp;"|"&amp;E1807</f>
        <v>BTU|3|Kamis|13:30</v>
      </c>
      <c r="B1807" s="76" t="s">
        <v>69</v>
      </c>
      <c r="C1807" s="76" t="n">
        <v>3</v>
      </c>
      <c r="D1807" s="76" t="s">
        <v>93</v>
      </c>
      <c r="E1807" s="76" t="s">
        <v>102</v>
      </c>
      <c r="F1807" s="77" t="s">
        <v>277</v>
      </c>
      <c r="G1807" s="77" t="n">
        <v>4</v>
      </c>
      <c r="H1807" s="77" t="n">
        <v>1</v>
      </c>
      <c r="I1807" s="76" t="n">
        <f aca="false">IF(AND(ISNUMBER(G1807),ISNUMBER(H1807)),MAX(G1807-H1807,0),"")</f>
        <v>3</v>
      </c>
      <c r="J1807" s="78" t="n">
        <f aca="false">IF(AND(ISNUMBER(G1807),ISNUMBER(H1807)),IF(G1807&gt;0,H1807/G1807,""),"")</f>
        <v>0.25</v>
      </c>
      <c r="K1807" s="77" t="s">
        <v>439</v>
      </c>
      <c r="L1807" s="76" t="str">
        <f aca="false">IF(OR(G1807="",H1807=""),"Data tidak lengkap",IF(AND(G1807=0,H1807=0),IF(AND(F1807="",K1807=""),"Tidak dibuka","Tutup"),IF(H1807&gt;G1807,"Lebih kapasitas",IF(H1807=G1807,"Penuh",IF(H1807=0,IF(F1807="","Slot kosong","Belum terisi"),"Sebagian")))))</f>
        <v>Sebagian</v>
      </c>
      <c r="M1807" s="79" t="str">
        <f aca="false">IF(L1807="Tidak dibuka","–",IF(F1807="","(tanpa age group)",F1807)&amp;"  "&amp;IF(H1807="","?",H1807)&amp;"/"&amp;IF(G1807="","?",G1807)&amp;CHAR(10)&amp;IF(K1807="","coach: –","coach: "&amp;K1807))</f>
        <v>Little  1/4
coach: Bagas</v>
      </c>
    </row>
    <row r="1808" customFormat="false" ht="22.35" hidden="false" customHeight="false" outlineLevel="0" collapsed="false">
      <c r="A1808" s="76" t="str">
        <f aca="false">B1808&amp;"|"&amp;C1808&amp;"|"&amp;D1808&amp;"|"&amp;E1808</f>
        <v>BTU|3|Kamis|14:15</v>
      </c>
      <c r="B1808" s="76" t="s">
        <v>69</v>
      </c>
      <c r="C1808" s="76" t="n">
        <v>3</v>
      </c>
      <c r="D1808" s="76" t="s">
        <v>93</v>
      </c>
      <c r="E1808" s="76" t="s">
        <v>103</v>
      </c>
      <c r="F1808" s="77" t="s">
        <v>277</v>
      </c>
      <c r="G1808" s="77" t="n">
        <v>4</v>
      </c>
      <c r="H1808" s="77" t="n">
        <v>0</v>
      </c>
      <c r="I1808" s="76" t="n">
        <f aca="false">IF(AND(ISNUMBER(G1808),ISNUMBER(H1808)),MAX(G1808-H1808,0),"")</f>
        <v>4</v>
      </c>
      <c r="J1808" s="78" t="n">
        <f aca="false">IF(AND(ISNUMBER(G1808),ISNUMBER(H1808)),IF(G1808&gt;0,H1808/G1808,""),"")</f>
        <v>0</v>
      </c>
      <c r="K1808" s="77"/>
      <c r="L1808" s="76" t="str">
        <f aca="false">IF(OR(G1808="",H1808=""),"Data tidak lengkap",IF(AND(G1808=0,H1808=0),IF(AND(F1808="",K1808=""),"Tidak dibuka","Tutup"),IF(H1808&gt;G1808,"Lebih kapasitas",IF(H1808=G1808,"Penuh",IF(H1808=0,IF(F1808="","Slot kosong","Belum terisi"),"Sebagian")))))</f>
        <v>Belum terisi</v>
      </c>
      <c r="M1808" s="79" t="str">
        <f aca="false">IF(L1808="Tidak dibuka","–",IF(F1808="","(tanpa age group)",F1808)&amp;"  "&amp;IF(H1808="","?",H1808)&amp;"/"&amp;IF(G1808="","?",G1808)&amp;CHAR(10)&amp;IF(K1808="","coach: –","coach: "&amp;K1808))</f>
        <v>Little  0/4
coach: –</v>
      </c>
    </row>
    <row r="1809" customFormat="false" ht="22.35" hidden="false" customHeight="false" outlineLevel="0" collapsed="false">
      <c r="A1809" s="76" t="str">
        <f aca="false">B1809&amp;"|"&amp;C1809&amp;"|"&amp;D1809&amp;"|"&amp;E1809</f>
        <v>BTU|3|Kamis|15:00</v>
      </c>
      <c r="B1809" s="76" t="s">
        <v>69</v>
      </c>
      <c r="C1809" s="76" t="n">
        <v>3</v>
      </c>
      <c r="D1809" s="76" t="s">
        <v>93</v>
      </c>
      <c r="E1809" s="76" t="s">
        <v>104</v>
      </c>
      <c r="F1809" s="77" t="s">
        <v>277</v>
      </c>
      <c r="G1809" s="77" t="n">
        <v>4</v>
      </c>
      <c r="H1809" s="77" t="n">
        <v>0</v>
      </c>
      <c r="I1809" s="76" t="n">
        <f aca="false">IF(AND(ISNUMBER(G1809),ISNUMBER(H1809)),MAX(G1809-H1809,0),"")</f>
        <v>4</v>
      </c>
      <c r="J1809" s="78" t="n">
        <f aca="false">IF(AND(ISNUMBER(G1809),ISNUMBER(H1809)),IF(G1809&gt;0,H1809/G1809,""),"")</f>
        <v>0</v>
      </c>
      <c r="K1809" s="77"/>
      <c r="L1809" s="76" t="str">
        <f aca="false">IF(OR(G1809="",H1809=""),"Data tidak lengkap",IF(AND(G1809=0,H1809=0),IF(AND(F1809="",K1809=""),"Tidak dibuka","Tutup"),IF(H1809&gt;G1809,"Lebih kapasitas",IF(H1809=G1809,"Penuh",IF(H1809=0,IF(F1809="","Slot kosong","Belum terisi"),"Sebagian")))))</f>
        <v>Belum terisi</v>
      </c>
      <c r="M1809" s="79" t="str">
        <f aca="false">IF(L1809="Tidak dibuka","–",IF(F1809="","(tanpa age group)",F1809)&amp;"  "&amp;IF(H1809="","?",H1809)&amp;"/"&amp;IF(G1809="","?",G1809)&amp;CHAR(10)&amp;IF(K1809="","coach: –","coach: "&amp;K1809))</f>
        <v>Little  0/4
coach: –</v>
      </c>
    </row>
    <row r="1810" customFormat="false" ht="22.35" hidden="false" customHeight="false" outlineLevel="0" collapsed="false">
      <c r="A1810" s="76" t="str">
        <f aca="false">B1810&amp;"|"&amp;C1810&amp;"|"&amp;D1810&amp;"|"&amp;E1810</f>
        <v>BTU|3|Kamis|15:45</v>
      </c>
      <c r="B1810" s="76" t="s">
        <v>69</v>
      </c>
      <c r="C1810" s="76" t="n">
        <v>3</v>
      </c>
      <c r="D1810" s="76" t="s">
        <v>93</v>
      </c>
      <c r="E1810" s="76" t="s">
        <v>105</v>
      </c>
      <c r="F1810" s="77" t="s">
        <v>277</v>
      </c>
      <c r="G1810" s="77" t="n">
        <v>4</v>
      </c>
      <c r="H1810" s="77" t="n">
        <v>2</v>
      </c>
      <c r="I1810" s="76" t="n">
        <f aca="false">IF(AND(ISNUMBER(G1810),ISNUMBER(H1810)),MAX(G1810-H1810,0),"")</f>
        <v>2</v>
      </c>
      <c r="J1810" s="78" t="n">
        <f aca="false">IF(AND(ISNUMBER(G1810),ISNUMBER(H1810)),IF(G1810&gt;0,H1810/G1810,""),"")</f>
        <v>0.5</v>
      </c>
      <c r="K1810" s="77" t="s">
        <v>433</v>
      </c>
      <c r="L1810" s="76" t="str">
        <f aca="false">IF(OR(G1810="",H1810=""),"Data tidak lengkap",IF(AND(G1810=0,H1810=0),IF(AND(F1810="",K1810=""),"Tidak dibuka","Tutup"),IF(H1810&gt;G1810,"Lebih kapasitas",IF(H1810=G1810,"Penuh",IF(H1810=0,IF(F1810="","Slot kosong","Belum terisi"),"Sebagian")))))</f>
        <v>Sebagian</v>
      </c>
      <c r="M1810" s="79" t="str">
        <f aca="false">IF(L1810="Tidak dibuka","–",IF(F1810="","(tanpa age group)",F1810)&amp;"  "&amp;IF(H1810="","?",H1810)&amp;"/"&amp;IF(G1810="","?",G1810)&amp;CHAR(10)&amp;IF(K1810="","coach: –","coach: "&amp;K1810))</f>
        <v>Little  2/4
coach: Shofi</v>
      </c>
    </row>
    <row r="1811" customFormat="false" ht="22.35" hidden="false" customHeight="false" outlineLevel="0" collapsed="false">
      <c r="A1811" s="76" t="str">
        <f aca="false">B1811&amp;"|"&amp;C1811&amp;"|"&amp;D1811&amp;"|"&amp;E1811</f>
        <v>BTU|3|Kamis|16:30</v>
      </c>
      <c r="B1811" s="76" t="s">
        <v>69</v>
      </c>
      <c r="C1811" s="76" t="n">
        <v>3</v>
      </c>
      <c r="D1811" s="76" t="s">
        <v>93</v>
      </c>
      <c r="E1811" s="76" t="s">
        <v>106</v>
      </c>
      <c r="F1811" s="77" t="s">
        <v>277</v>
      </c>
      <c r="G1811" s="77" t="n">
        <v>4</v>
      </c>
      <c r="H1811" s="77" t="n">
        <v>3</v>
      </c>
      <c r="I1811" s="76" t="n">
        <f aca="false">IF(AND(ISNUMBER(G1811),ISNUMBER(H1811)),MAX(G1811-H1811,0),"")</f>
        <v>1</v>
      </c>
      <c r="J1811" s="78" t="n">
        <f aca="false">IF(AND(ISNUMBER(G1811),ISNUMBER(H1811)),IF(G1811&gt;0,H1811/G1811,""),"")</f>
        <v>0.75</v>
      </c>
      <c r="K1811" s="77" t="s">
        <v>433</v>
      </c>
      <c r="L1811" s="76" t="str">
        <f aca="false">IF(OR(G1811="",H1811=""),"Data tidak lengkap",IF(AND(G1811=0,H1811=0),IF(AND(F1811="",K1811=""),"Tidak dibuka","Tutup"),IF(H1811&gt;G1811,"Lebih kapasitas",IF(H1811=G1811,"Penuh",IF(H1811=0,IF(F1811="","Slot kosong","Belum terisi"),"Sebagian")))))</f>
        <v>Sebagian</v>
      </c>
      <c r="M1811" s="79" t="str">
        <f aca="false">IF(L1811="Tidak dibuka","–",IF(F1811="","(tanpa age group)",F1811)&amp;"  "&amp;IF(H1811="","?",H1811)&amp;"/"&amp;IF(G1811="","?",G1811)&amp;CHAR(10)&amp;IF(K1811="","coach: –","coach: "&amp;K1811))</f>
        <v>Little  3/4
coach: Shofi</v>
      </c>
    </row>
    <row r="1812" customFormat="false" ht="22.35" hidden="false" customHeight="false" outlineLevel="0" collapsed="false">
      <c r="A1812" s="76" t="str">
        <f aca="false">B1812&amp;"|"&amp;C1812&amp;"|"&amp;D1812&amp;"|"&amp;E1812</f>
        <v>BTU|3|Kamis|17:15</v>
      </c>
      <c r="B1812" s="76" t="s">
        <v>69</v>
      </c>
      <c r="C1812" s="76" t="n">
        <v>3</v>
      </c>
      <c r="D1812" s="76" t="s">
        <v>93</v>
      </c>
      <c r="E1812" s="76" t="s">
        <v>107</v>
      </c>
      <c r="F1812" s="77" t="s">
        <v>277</v>
      </c>
      <c r="G1812" s="77" t="n">
        <v>4</v>
      </c>
      <c r="H1812" s="77" t="n">
        <v>0</v>
      </c>
      <c r="I1812" s="76" t="n">
        <f aca="false">IF(AND(ISNUMBER(G1812),ISNUMBER(H1812)),MAX(G1812-H1812,0),"")</f>
        <v>4</v>
      </c>
      <c r="J1812" s="78" t="n">
        <f aca="false">IF(AND(ISNUMBER(G1812),ISNUMBER(H1812)),IF(G1812&gt;0,H1812/G1812,""),"")</f>
        <v>0</v>
      </c>
      <c r="K1812" s="77"/>
      <c r="L1812" s="76" t="str">
        <f aca="false">IF(OR(G1812="",H1812=""),"Data tidak lengkap",IF(AND(G1812=0,H1812=0),IF(AND(F1812="",K1812=""),"Tidak dibuka","Tutup"),IF(H1812&gt;G1812,"Lebih kapasitas",IF(H1812=G1812,"Penuh",IF(H1812=0,IF(F1812="","Slot kosong","Belum terisi"),"Sebagian")))))</f>
        <v>Belum terisi</v>
      </c>
      <c r="M1812" s="79" t="str">
        <f aca="false">IF(L1812="Tidak dibuka","–",IF(F1812="","(tanpa age group)",F1812)&amp;"  "&amp;IF(H1812="","?",H1812)&amp;"/"&amp;IF(G1812="","?",G1812)&amp;CHAR(10)&amp;IF(K1812="","coach: –","coach: "&amp;K1812))</f>
        <v>Little  0/4
coach: –</v>
      </c>
    </row>
    <row r="1813" customFormat="false" ht="22.35" hidden="false" customHeight="false" outlineLevel="0" collapsed="false">
      <c r="A1813" s="76" t="str">
        <f aca="false">B1813&amp;"|"&amp;C1813&amp;"|"&amp;D1813&amp;"|"&amp;E1813</f>
        <v>BTU|3|Jumat|08:15</v>
      </c>
      <c r="B1813" s="76" t="s">
        <v>69</v>
      </c>
      <c r="C1813" s="76" t="n">
        <v>3</v>
      </c>
      <c r="D1813" s="76" t="s">
        <v>94</v>
      </c>
      <c r="E1813" s="76" t="s">
        <v>96</v>
      </c>
      <c r="F1813" s="77" t="s">
        <v>277</v>
      </c>
      <c r="G1813" s="77" t="n">
        <v>4</v>
      </c>
      <c r="H1813" s="77" t="n">
        <v>0</v>
      </c>
      <c r="I1813" s="76" t="n">
        <f aca="false">IF(AND(ISNUMBER(G1813),ISNUMBER(H1813)),MAX(G1813-H1813,0),"")</f>
        <v>4</v>
      </c>
      <c r="J1813" s="78" t="n">
        <f aca="false">IF(AND(ISNUMBER(G1813),ISNUMBER(H1813)),IF(G1813&gt;0,H1813/G1813,""),"")</f>
        <v>0</v>
      </c>
      <c r="K1813" s="77"/>
      <c r="L1813" s="76" t="str">
        <f aca="false">IF(OR(G1813="",H1813=""),"Data tidak lengkap",IF(AND(G1813=0,H1813=0),IF(AND(F1813="",K1813=""),"Tidak dibuka","Tutup"),IF(H1813&gt;G1813,"Lebih kapasitas",IF(H1813=G1813,"Penuh",IF(H1813=0,IF(F1813="","Slot kosong","Belum terisi"),"Sebagian")))))</f>
        <v>Belum terisi</v>
      </c>
      <c r="M1813" s="79" t="str">
        <f aca="false">IF(L1813="Tidak dibuka","–",IF(F1813="","(tanpa age group)",F1813)&amp;"  "&amp;IF(H1813="","?",H1813)&amp;"/"&amp;IF(G1813="","?",G1813)&amp;CHAR(10)&amp;IF(K1813="","coach: –","coach: "&amp;K1813))</f>
        <v>Little  0/4
coach: –</v>
      </c>
    </row>
    <row r="1814" customFormat="false" ht="22.35" hidden="false" customHeight="false" outlineLevel="0" collapsed="false">
      <c r="A1814" s="76" t="str">
        <f aca="false">B1814&amp;"|"&amp;C1814&amp;"|"&amp;D1814&amp;"|"&amp;E1814</f>
        <v>BTU|3|Jumat|09:00</v>
      </c>
      <c r="B1814" s="76" t="s">
        <v>69</v>
      </c>
      <c r="C1814" s="76" t="n">
        <v>3</v>
      </c>
      <c r="D1814" s="76" t="s">
        <v>94</v>
      </c>
      <c r="E1814" s="76" t="s">
        <v>97</v>
      </c>
      <c r="F1814" s="77" t="s">
        <v>277</v>
      </c>
      <c r="G1814" s="77" t="n">
        <v>4</v>
      </c>
      <c r="H1814" s="77" t="n">
        <v>0</v>
      </c>
      <c r="I1814" s="76" t="n">
        <f aca="false">IF(AND(ISNUMBER(G1814),ISNUMBER(H1814)),MAX(G1814-H1814,0),"")</f>
        <v>4</v>
      </c>
      <c r="J1814" s="78" t="n">
        <f aca="false">IF(AND(ISNUMBER(G1814),ISNUMBER(H1814)),IF(G1814&gt;0,H1814/G1814,""),"")</f>
        <v>0</v>
      </c>
      <c r="K1814" s="77"/>
      <c r="L1814" s="76" t="str">
        <f aca="false">IF(OR(G1814="",H1814=""),"Data tidak lengkap",IF(AND(G1814=0,H1814=0),IF(AND(F1814="",K1814=""),"Tidak dibuka","Tutup"),IF(H1814&gt;G1814,"Lebih kapasitas",IF(H1814=G1814,"Penuh",IF(H1814=0,IF(F1814="","Slot kosong","Belum terisi"),"Sebagian")))))</f>
        <v>Belum terisi</v>
      </c>
      <c r="M1814" s="79" t="str">
        <f aca="false">IF(L1814="Tidak dibuka","–",IF(F1814="","(tanpa age group)",F1814)&amp;"  "&amp;IF(H1814="","?",H1814)&amp;"/"&amp;IF(G1814="","?",G1814)&amp;CHAR(10)&amp;IF(K1814="","coach: –","coach: "&amp;K1814))</f>
        <v>Little  0/4
coach: –</v>
      </c>
    </row>
    <row r="1815" customFormat="false" ht="22.35" hidden="false" customHeight="false" outlineLevel="0" collapsed="false">
      <c r="A1815" s="76" t="str">
        <f aca="false">B1815&amp;"|"&amp;C1815&amp;"|"&amp;D1815&amp;"|"&amp;E1815</f>
        <v>BTU|3|Jumat|09:45</v>
      </c>
      <c r="B1815" s="76" t="s">
        <v>69</v>
      </c>
      <c r="C1815" s="76" t="n">
        <v>3</v>
      </c>
      <c r="D1815" s="76" t="s">
        <v>94</v>
      </c>
      <c r="E1815" s="76" t="s">
        <v>98</v>
      </c>
      <c r="F1815" s="77" t="s">
        <v>277</v>
      </c>
      <c r="G1815" s="77" t="n">
        <v>4</v>
      </c>
      <c r="H1815" s="77" t="n">
        <v>0</v>
      </c>
      <c r="I1815" s="76" t="n">
        <f aca="false">IF(AND(ISNUMBER(G1815),ISNUMBER(H1815)),MAX(G1815-H1815,0),"")</f>
        <v>4</v>
      </c>
      <c r="J1815" s="78" t="n">
        <f aca="false">IF(AND(ISNUMBER(G1815),ISNUMBER(H1815)),IF(G1815&gt;0,H1815/G1815,""),"")</f>
        <v>0</v>
      </c>
      <c r="K1815" s="77"/>
      <c r="L1815" s="76" t="str">
        <f aca="false">IF(OR(G1815="",H1815=""),"Data tidak lengkap",IF(AND(G1815=0,H1815=0),IF(AND(F1815="",K1815=""),"Tidak dibuka","Tutup"),IF(H1815&gt;G1815,"Lebih kapasitas",IF(H1815=G1815,"Penuh",IF(H1815=0,IF(F1815="","Slot kosong","Belum terisi"),"Sebagian")))))</f>
        <v>Belum terisi</v>
      </c>
      <c r="M1815" s="79" t="str">
        <f aca="false">IF(L1815="Tidak dibuka","–",IF(F1815="","(tanpa age group)",F1815)&amp;"  "&amp;IF(H1815="","?",H1815)&amp;"/"&amp;IF(G1815="","?",G1815)&amp;CHAR(10)&amp;IF(K1815="","coach: –","coach: "&amp;K1815))</f>
        <v>Little  0/4
coach: –</v>
      </c>
    </row>
    <row r="1816" customFormat="false" ht="22.35" hidden="false" customHeight="false" outlineLevel="0" collapsed="false">
      <c r="A1816" s="76" t="str">
        <f aca="false">B1816&amp;"|"&amp;C1816&amp;"|"&amp;D1816&amp;"|"&amp;E1816</f>
        <v>BTU|3|Jumat|10:30</v>
      </c>
      <c r="B1816" s="76" t="s">
        <v>69</v>
      </c>
      <c r="C1816" s="76" t="n">
        <v>3</v>
      </c>
      <c r="D1816" s="76" t="s">
        <v>94</v>
      </c>
      <c r="E1816" s="76" t="s">
        <v>99</v>
      </c>
      <c r="F1816" s="77" t="s">
        <v>277</v>
      </c>
      <c r="G1816" s="77" t="n">
        <v>4</v>
      </c>
      <c r="H1816" s="77" t="n">
        <v>0</v>
      </c>
      <c r="I1816" s="76" t="n">
        <f aca="false">IF(AND(ISNUMBER(G1816),ISNUMBER(H1816)),MAX(G1816-H1816,0),"")</f>
        <v>4</v>
      </c>
      <c r="J1816" s="78" t="n">
        <f aca="false">IF(AND(ISNUMBER(G1816),ISNUMBER(H1816)),IF(G1816&gt;0,H1816/G1816,""),"")</f>
        <v>0</v>
      </c>
      <c r="K1816" s="77"/>
      <c r="L1816" s="76" t="str">
        <f aca="false">IF(OR(G1816="",H1816=""),"Data tidak lengkap",IF(AND(G1816=0,H1816=0),IF(AND(F1816="",K1816=""),"Tidak dibuka","Tutup"),IF(H1816&gt;G1816,"Lebih kapasitas",IF(H1816=G1816,"Penuh",IF(H1816=0,IF(F1816="","Slot kosong","Belum terisi"),"Sebagian")))))</f>
        <v>Belum terisi</v>
      </c>
      <c r="M1816" s="79" t="str">
        <f aca="false">IF(L1816="Tidak dibuka","–",IF(F1816="","(tanpa age group)",F1816)&amp;"  "&amp;IF(H1816="","?",H1816)&amp;"/"&amp;IF(G1816="","?",G1816)&amp;CHAR(10)&amp;IF(K1816="","coach: –","coach: "&amp;K1816))</f>
        <v>Little  0/4
coach: –</v>
      </c>
    </row>
    <row r="1817" customFormat="false" ht="22.35" hidden="false" customHeight="false" outlineLevel="0" collapsed="false">
      <c r="A1817" s="76" t="str">
        <f aca="false">B1817&amp;"|"&amp;C1817&amp;"|"&amp;D1817&amp;"|"&amp;E1817</f>
        <v>BTU|3|Jumat|11:15</v>
      </c>
      <c r="B1817" s="76" t="s">
        <v>69</v>
      </c>
      <c r="C1817" s="76" t="n">
        <v>3</v>
      </c>
      <c r="D1817" s="76" t="s">
        <v>94</v>
      </c>
      <c r="E1817" s="76" t="s">
        <v>100</v>
      </c>
      <c r="F1817" s="77" t="s">
        <v>277</v>
      </c>
      <c r="G1817" s="77" t="n">
        <v>4</v>
      </c>
      <c r="H1817" s="77" t="n">
        <v>0</v>
      </c>
      <c r="I1817" s="76" t="n">
        <f aca="false">IF(AND(ISNUMBER(G1817),ISNUMBER(H1817)),MAX(G1817-H1817,0),"")</f>
        <v>4</v>
      </c>
      <c r="J1817" s="78" t="n">
        <f aca="false">IF(AND(ISNUMBER(G1817),ISNUMBER(H1817)),IF(G1817&gt;0,H1817/G1817,""),"")</f>
        <v>0</v>
      </c>
      <c r="K1817" s="77"/>
      <c r="L1817" s="76" t="str">
        <f aca="false">IF(OR(G1817="",H1817=""),"Data tidak lengkap",IF(AND(G1817=0,H1817=0),IF(AND(F1817="",K1817=""),"Tidak dibuka","Tutup"),IF(H1817&gt;G1817,"Lebih kapasitas",IF(H1817=G1817,"Penuh",IF(H1817=0,IF(F1817="","Slot kosong","Belum terisi"),"Sebagian")))))</f>
        <v>Belum terisi</v>
      </c>
      <c r="M1817" s="79" t="str">
        <f aca="false">IF(L1817="Tidak dibuka","–",IF(F1817="","(tanpa age group)",F1817)&amp;"  "&amp;IF(H1817="","?",H1817)&amp;"/"&amp;IF(G1817="","?",G1817)&amp;CHAR(10)&amp;IF(K1817="","coach: –","coach: "&amp;K1817))</f>
        <v>Little  0/4
coach: –</v>
      </c>
    </row>
    <row r="1818" customFormat="false" ht="22.35" hidden="false" customHeight="false" outlineLevel="0" collapsed="false">
      <c r="A1818" s="76" t="str">
        <f aca="false">B1818&amp;"|"&amp;C1818&amp;"|"&amp;D1818&amp;"|"&amp;E1818</f>
        <v>BTU|3|Jumat|12:00</v>
      </c>
      <c r="B1818" s="76" t="s">
        <v>69</v>
      </c>
      <c r="C1818" s="76" t="n">
        <v>3</v>
      </c>
      <c r="D1818" s="76" t="s">
        <v>94</v>
      </c>
      <c r="E1818" s="76" t="s">
        <v>101</v>
      </c>
      <c r="F1818" s="77" t="s">
        <v>277</v>
      </c>
      <c r="G1818" s="77" t="n">
        <v>4</v>
      </c>
      <c r="H1818" s="77" t="n">
        <v>0</v>
      </c>
      <c r="I1818" s="76" t="n">
        <f aca="false">IF(AND(ISNUMBER(G1818),ISNUMBER(H1818)),MAX(G1818-H1818,0),"")</f>
        <v>4</v>
      </c>
      <c r="J1818" s="78" t="n">
        <f aca="false">IF(AND(ISNUMBER(G1818),ISNUMBER(H1818)),IF(G1818&gt;0,H1818/G1818,""),"")</f>
        <v>0</v>
      </c>
      <c r="K1818" s="77"/>
      <c r="L1818" s="76" t="str">
        <f aca="false">IF(OR(G1818="",H1818=""),"Data tidak lengkap",IF(AND(G1818=0,H1818=0),IF(AND(F1818="",K1818=""),"Tidak dibuka","Tutup"),IF(H1818&gt;G1818,"Lebih kapasitas",IF(H1818=G1818,"Penuh",IF(H1818=0,IF(F1818="","Slot kosong","Belum terisi"),"Sebagian")))))</f>
        <v>Belum terisi</v>
      </c>
      <c r="M1818" s="79" t="str">
        <f aca="false">IF(L1818="Tidak dibuka","–",IF(F1818="","(tanpa age group)",F1818)&amp;"  "&amp;IF(H1818="","?",H1818)&amp;"/"&amp;IF(G1818="","?",G1818)&amp;CHAR(10)&amp;IF(K1818="","coach: –","coach: "&amp;K1818))</f>
        <v>Little  0/4
coach: –</v>
      </c>
    </row>
    <row r="1819" customFormat="false" ht="22.35" hidden="false" customHeight="false" outlineLevel="0" collapsed="false">
      <c r="A1819" s="76" t="str">
        <f aca="false">B1819&amp;"|"&amp;C1819&amp;"|"&amp;D1819&amp;"|"&amp;E1819</f>
        <v>BTU|3|Jumat|13:30</v>
      </c>
      <c r="B1819" s="76" t="s">
        <v>69</v>
      </c>
      <c r="C1819" s="76" t="n">
        <v>3</v>
      </c>
      <c r="D1819" s="76" t="s">
        <v>94</v>
      </c>
      <c r="E1819" s="76" t="s">
        <v>102</v>
      </c>
      <c r="F1819" s="77" t="s">
        <v>277</v>
      </c>
      <c r="G1819" s="77" t="n">
        <v>4</v>
      </c>
      <c r="H1819" s="77" t="n">
        <v>0</v>
      </c>
      <c r="I1819" s="76" t="n">
        <f aca="false">IF(AND(ISNUMBER(G1819),ISNUMBER(H1819)),MAX(G1819-H1819,0),"")</f>
        <v>4</v>
      </c>
      <c r="J1819" s="78" t="n">
        <f aca="false">IF(AND(ISNUMBER(G1819),ISNUMBER(H1819)),IF(G1819&gt;0,H1819/G1819,""),"")</f>
        <v>0</v>
      </c>
      <c r="K1819" s="77"/>
      <c r="L1819" s="76" t="str">
        <f aca="false">IF(OR(G1819="",H1819=""),"Data tidak lengkap",IF(AND(G1819=0,H1819=0),IF(AND(F1819="",K1819=""),"Tidak dibuka","Tutup"),IF(H1819&gt;G1819,"Lebih kapasitas",IF(H1819=G1819,"Penuh",IF(H1819=0,IF(F1819="","Slot kosong","Belum terisi"),"Sebagian")))))</f>
        <v>Belum terisi</v>
      </c>
      <c r="M1819" s="79" t="str">
        <f aca="false">IF(L1819="Tidak dibuka","–",IF(F1819="","(tanpa age group)",F1819)&amp;"  "&amp;IF(H1819="","?",H1819)&amp;"/"&amp;IF(G1819="","?",G1819)&amp;CHAR(10)&amp;IF(K1819="","coach: –","coach: "&amp;K1819))</f>
        <v>Little  0/4
coach: –</v>
      </c>
    </row>
    <row r="1820" customFormat="false" ht="22.35" hidden="false" customHeight="false" outlineLevel="0" collapsed="false">
      <c r="A1820" s="76" t="str">
        <f aca="false">B1820&amp;"|"&amp;C1820&amp;"|"&amp;D1820&amp;"|"&amp;E1820</f>
        <v>BTU|3|Jumat|14:15</v>
      </c>
      <c r="B1820" s="76" t="s">
        <v>69</v>
      </c>
      <c r="C1820" s="76" t="n">
        <v>3</v>
      </c>
      <c r="D1820" s="76" t="s">
        <v>94</v>
      </c>
      <c r="E1820" s="76" t="s">
        <v>103</v>
      </c>
      <c r="F1820" s="77" t="s">
        <v>277</v>
      </c>
      <c r="G1820" s="77" t="n">
        <v>4</v>
      </c>
      <c r="H1820" s="77" t="n">
        <v>0</v>
      </c>
      <c r="I1820" s="76" t="n">
        <f aca="false">IF(AND(ISNUMBER(G1820),ISNUMBER(H1820)),MAX(G1820-H1820,0),"")</f>
        <v>4</v>
      </c>
      <c r="J1820" s="78" t="n">
        <f aca="false">IF(AND(ISNUMBER(G1820),ISNUMBER(H1820)),IF(G1820&gt;0,H1820/G1820,""),"")</f>
        <v>0</v>
      </c>
      <c r="K1820" s="77"/>
      <c r="L1820" s="76" t="str">
        <f aca="false">IF(OR(G1820="",H1820=""),"Data tidak lengkap",IF(AND(G1820=0,H1820=0),IF(AND(F1820="",K1820=""),"Tidak dibuka","Tutup"),IF(H1820&gt;G1820,"Lebih kapasitas",IF(H1820=G1820,"Penuh",IF(H1820=0,IF(F1820="","Slot kosong","Belum terisi"),"Sebagian")))))</f>
        <v>Belum terisi</v>
      </c>
      <c r="M1820" s="79" t="str">
        <f aca="false">IF(L1820="Tidak dibuka","–",IF(F1820="","(tanpa age group)",F1820)&amp;"  "&amp;IF(H1820="","?",H1820)&amp;"/"&amp;IF(G1820="","?",G1820)&amp;CHAR(10)&amp;IF(K1820="","coach: –","coach: "&amp;K1820))</f>
        <v>Little  0/4
coach: –</v>
      </c>
    </row>
    <row r="1821" customFormat="false" ht="22.35" hidden="false" customHeight="false" outlineLevel="0" collapsed="false">
      <c r="A1821" s="76" t="str">
        <f aca="false">B1821&amp;"|"&amp;C1821&amp;"|"&amp;D1821&amp;"|"&amp;E1821</f>
        <v>BTU|3|Jumat|15:00</v>
      </c>
      <c r="B1821" s="76" t="s">
        <v>69</v>
      </c>
      <c r="C1821" s="76" t="n">
        <v>3</v>
      </c>
      <c r="D1821" s="76" t="s">
        <v>94</v>
      </c>
      <c r="E1821" s="76" t="s">
        <v>104</v>
      </c>
      <c r="F1821" s="77" t="s">
        <v>277</v>
      </c>
      <c r="G1821" s="77" t="n">
        <v>4</v>
      </c>
      <c r="H1821" s="77" t="n">
        <v>3</v>
      </c>
      <c r="I1821" s="76" t="n">
        <f aca="false">IF(AND(ISNUMBER(G1821),ISNUMBER(H1821)),MAX(G1821-H1821,0),"")</f>
        <v>1</v>
      </c>
      <c r="J1821" s="78" t="n">
        <f aca="false">IF(AND(ISNUMBER(G1821),ISNUMBER(H1821)),IF(G1821&gt;0,H1821/G1821,""),"")</f>
        <v>0.75</v>
      </c>
      <c r="K1821" s="77" t="s">
        <v>439</v>
      </c>
      <c r="L1821" s="76" t="str">
        <f aca="false">IF(OR(G1821="",H1821=""),"Data tidak lengkap",IF(AND(G1821=0,H1821=0),IF(AND(F1821="",K1821=""),"Tidak dibuka","Tutup"),IF(H1821&gt;G1821,"Lebih kapasitas",IF(H1821=G1821,"Penuh",IF(H1821=0,IF(F1821="","Slot kosong","Belum terisi"),"Sebagian")))))</f>
        <v>Sebagian</v>
      </c>
      <c r="M1821" s="79" t="str">
        <f aca="false">IF(L1821="Tidak dibuka","–",IF(F1821="","(tanpa age group)",F1821)&amp;"  "&amp;IF(H1821="","?",H1821)&amp;"/"&amp;IF(G1821="","?",G1821)&amp;CHAR(10)&amp;IF(K1821="","coach: –","coach: "&amp;K1821))</f>
        <v>Little  3/4
coach: Bagas</v>
      </c>
    </row>
    <row r="1822" customFormat="false" ht="22.35" hidden="false" customHeight="false" outlineLevel="0" collapsed="false">
      <c r="A1822" s="76" t="str">
        <f aca="false">B1822&amp;"|"&amp;C1822&amp;"|"&amp;D1822&amp;"|"&amp;E1822</f>
        <v>BTU|3|Jumat|15:45</v>
      </c>
      <c r="B1822" s="76" t="s">
        <v>69</v>
      </c>
      <c r="C1822" s="76" t="n">
        <v>3</v>
      </c>
      <c r="D1822" s="76" t="s">
        <v>94</v>
      </c>
      <c r="E1822" s="76" t="s">
        <v>105</v>
      </c>
      <c r="F1822" s="77" t="s">
        <v>277</v>
      </c>
      <c r="G1822" s="77" t="n">
        <v>4</v>
      </c>
      <c r="H1822" s="77" t="n">
        <v>1</v>
      </c>
      <c r="I1822" s="76" t="n">
        <f aca="false">IF(AND(ISNUMBER(G1822),ISNUMBER(H1822)),MAX(G1822-H1822,0),"")</f>
        <v>3</v>
      </c>
      <c r="J1822" s="78" t="n">
        <f aca="false">IF(AND(ISNUMBER(G1822),ISNUMBER(H1822)),IF(G1822&gt;0,H1822/G1822,""),"")</f>
        <v>0.25</v>
      </c>
      <c r="K1822" s="77" t="s">
        <v>441</v>
      </c>
      <c r="L1822" s="76" t="str">
        <f aca="false">IF(OR(G1822="",H1822=""),"Data tidak lengkap",IF(AND(G1822=0,H1822=0),IF(AND(F1822="",K1822=""),"Tidak dibuka","Tutup"),IF(H1822&gt;G1822,"Lebih kapasitas",IF(H1822=G1822,"Penuh",IF(H1822=0,IF(F1822="","Slot kosong","Belum terisi"),"Sebagian")))))</f>
        <v>Sebagian</v>
      </c>
      <c r="M1822" s="79" t="str">
        <f aca="false">IF(L1822="Tidak dibuka","–",IF(F1822="","(tanpa age group)",F1822)&amp;"  "&amp;IF(H1822="","?",H1822)&amp;"/"&amp;IF(G1822="","?",G1822)&amp;CHAR(10)&amp;IF(K1822="","coach: –","coach: "&amp;K1822))</f>
        <v>Little  1/4
coach: Tara</v>
      </c>
    </row>
    <row r="1823" customFormat="false" ht="22.35" hidden="false" customHeight="false" outlineLevel="0" collapsed="false">
      <c r="A1823" s="76" t="str">
        <f aca="false">B1823&amp;"|"&amp;C1823&amp;"|"&amp;D1823&amp;"|"&amp;E1823</f>
        <v>BTU|3|Jumat|16:30</v>
      </c>
      <c r="B1823" s="76" t="s">
        <v>69</v>
      </c>
      <c r="C1823" s="76" t="n">
        <v>3</v>
      </c>
      <c r="D1823" s="76" t="s">
        <v>94</v>
      </c>
      <c r="E1823" s="76" t="s">
        <v>106</v>
      </c>
      <c r="F1823" s="77" t="s">
        <v>277</v>
      </c>
      <c r="G1823" s="77" t="n">
        <v>4</v>
      </c>
      <c r="H1823" s="77" t="n">
        <v>4</v>
      </c>
      <c r="I1823" s="76" t="n">
        <f aca="false">IF(AND(ISNUMBER(G1823),ISNUMBER(H1823)),MAX(G1823-H1823,0),"")</f>
        <v>0</v>
      </c>
      <c r="J1823" s="78" t="n">
        <f aca="false">IF(AND(ISNUMBER(G1823),ISNUMBER(H1823)),IF(G1823&gt;0,H1823/G1823,""),"")</f>
        <v>1</v>
      </c>
      <c r="K1823" s="77" t="s">
        <v>433</v>
      </c>
      <c r="L1823" s="76" t="str">
        <f aca="false">IF(OR(G1823="",H1823=""),"Data tidak lengkap",IF(AND(G1823=0,H1823=0),IF(AND(F1823="",K1823=""),"Tidak dibuka","Tutup"),IF(H1823&gt;G1823,"Lebih kapasitas",IF(H1823=G1823,"Penuh",IF(H1823=0,IF(F1823="","Slot kosong","Belum terisi"),"Sebagian")))))</f>
        <v>Penuh</v>
      </c>
      <c r="M1823" s="79" t="str">
        <f aca="false">IF(L1823="Tidak dibuka","–",IF(F1823="","(tanpa age group)",F1823)&amp;"  "&amp;IF(H1823="","?",H1823)&amp;"/"&amp;IF(G1823="","?",G1823)&amp;CHAR(10)&amp;IF(K1823="","coach: –","coach: "&amp;K1823))</f>
        <v>Little  4/4
coach: Shofi</v>
      </c>
    </row>
    <row r="1824" customFormat="false" ht="22.35" hidden="false" customHeight="false" outlineLevel="0" collapsed="false">
      <c r="A1824" s="76" t="str">
        <f aca="false">B1824&amp;"|"&amp;C1824&amp;"|"&amp;D1824&amp;"|"&amp;E1824</f>
        <v>BTU|3|Jumat|17:15</v>
      </c>
      <c r="B1824" s="76" t="s">
        <v>69</v>
      </c>
      <c r="C1824" s="76" t="n">
        <v>3</v>
      </c>
      <c r="D1824" s="76" t="s">
        <v>94</v>
      </c>
      <c r="E1824" s="76" t="s">
        <v>107</v>
      </c>
      <c r="F1824" s="77" t="s">
        <v>277</v>
      </c>
      <c r="G1824" s="77" t="n">
        <v>4</v>
      </c>
      <c r="H1824" s="77" t="n">
        <v>3</v>
      </c>
      <c r="I1824" s="76" t="n">
        <f aca="false">IF(AND(ISNUMBER(G1824),ISNUMBER(H1824)),MAX(G1824-H1824,0),"")</f>
        <v>1</v>
      </c>
      <c r="J1824" s="78" t="n">
        <f aca="false">IF(AND(ISNUMBER(G1824),ISNUMBER(H1824)),IF(G1824&gt;0,H1824/G1824,""),"")</f>
        <v>0.75</v>
      </c>
      <c r="K1824" s="77" t="s">
        <v>442</v>
      </c>
      <c r="L1824" s="76" t="str">
        <f aca="false">IF(OR(G1824="",H1824=""),"Data tidak lengkap",IF(AND(G1824=0,H1824=0),IF(AND(F1824="",K1824=""),"Tidak dibuka","Tutup"),IF(H1824&gt;G1824,"Lebih kapasitas",IF(H1824=G1824,"Penuh",IF(H1824=0,IF(F1824="","Slot kosong","Belum terisi"),"Sebagian")))))</f>
        <v>Sebagian</v>
      </c>
      <c r="M1824" s="79" t="str">
        <f aca="false">IF(L1824="Tidak dibuka","–",IF(F1824="","(tanpa age group)",F1824)&amp;"  "&amp;IF(H1824="","?",H1824)&amp;"/"&amp;IF(G1824="","?",G1824)&amp;CHAR(10)&amp;IF(K1824="","coach: –","coach: "&amp;K1824))</f>
        <v>Little  3/4
coach: Aldi</v>
      </c>
    </row>
    <row r="1825" customFormat="false" ht="22.35" hidden="false" customHeight="false" outlineLevel="0" collapsed="false">
      <c r="A1825" s="76" t="str">
        <f aca="false">B1825&amp;"|"&amp;C1825&amp;"|"&amp;D1825&amp;"|"&amp;E1825</f>
        <v>BTU|3|Sabtu|08:15</v>
      </c>
      <c r="B1825" s="76" t="s">
        <v>69</v>
      </c>
      <c r="C1825" s="76" t="n">
        <v>3</v>
      </c>
      <c r="D1825" s="76" t="s">
        <v>95</v>
      </c>
      <c r="E1825" s="76" t="s">
        <v>96</v>
      </c>
      <c r="F1825" s="77" t="s">
        <v>277</v>
      </c>
      <c r="G1825" s="77" t="n">
        <v>4</v>
      </c>
      <c r="H1825" s="77" t="n">
        <v>0</v>
      </c>
      <c r="I1825" s="76" t="n">
        <f aca="false">IF(AND(ISNUMBER(G1825),ISNUMBER(H1825)),MAX(G1825-H1825,0),"")</f>
        <v>4</v>
      </c>
      <c r="J1825" s="78" t="n">
        <f aca="false">IF(AND(ISNUMBER(G1825),ISNUMBER(H1825)),IF(G1825&gt;0,H1825/G1825,""),"")</f>
        <v>0</v>
      </c>
      <c r="K1825" s="77"/>
      <c r="L1825" s="76" t="str">
        <f aca="false">IF(OR(G1825="",H1825=""),"Data tidak lengkap",IF(AND(G1825=0,H1825=0),IF(AND(F1825="",K1825=""),"Tidak dibuka","Tutup"),IF(H1825&gt;G1825,"Lebih kapasitas",IF(H1825=G1825,"Penuh",IF(H1825=0,IF(F1825="","Slot kosong","Belum terisi"),"Sebagian")))))</f>
        <v>Belum terisi</v>
      </c>
      <c r="M1825" s="79" t="str">
        <f aca="false">IF(L1825="Tidak dibuka","–",IF(F1825="","(tanpa age group)",F1825)&amp;"  "&amp;IF(H1825="","?",H1825)&amp;"/"&amp;IF(G1825="","?",G1825)&amp;CHAR(10)&amp;IF(K1825="","coach: –","coach: "&amp;K1825))</f>
        <v>Little  0/4
coach: –</v>
      </c>
    </row>
    <row r="1826" customFormat="false" ht="22.35" hidden="false" customHeight="false" outlineLevel="0" collapsed="false">
      <c r="A1826" s="76" t="str">
        <f aca="false">B1826&amp;"|"&amp;C1826&amp;"|"&amp;D1826&amp;"|"&amp;E1826</f>
        <v>BTU|3|Sabtu|09:00</v>
      </c>
      <c r="B1826" s="76" t="s">
        <v>69</v>
      </c>
      <c r="C1826" s="76" t="n">
        <v>3</v>
      </c>
      <c r="D1826" s="76" t="s">
        <v>95</v>
      </c>
      <c r="E1826" s="76" t="s">
        <v>97</v>
      </c>
      <c r="F1826" s="77" t="s">
        <v>277</v>
      </c>
      <c r="G1826" s="77" t="n">
        <v>4</v>
      </c>
      <c r="H1826" s="77" t="n">
        <v>3</v>
      </c>
      <c r="I1826" s="76" t="n">
        <f aca="false">IF(AND(ISNUMBER(G1826),ISNUMBER(H1826)),MAX(G1826-H1826,0),"")</f>
        <v>1</v>
      </c>
      <c r="J1826" s="78" t="n">
        <f aca="false">IF(AND(ISNUMBER(G1826),ISNUMBER(H1826)),IF(G1826&gt;0,H1826/G1826,""),"")</f>
        <v>0.75</v>
      </c>
      <c r="K1826" s="77" t="s">
        <v>435</v>
      </c>
      <c r="L1826" s="76" t="str">
        <f aca="false">IF(OR(G1826="",H1826=""),"Data tidak lengkap",IF(AND(G1826=0,H1826=0),IF(AND(F1826="",K1826=""),"Tidak dibuka","Tutup"),IF(H1826&gt;G1826,"Lebih kapasitas",IF(H1826=G1826,"Penuh",IF(H1826=0,IF(F1826="","Slot kosong","Belum terisi"),"Sebagian")))))</f>
        <v>Sebagian</v>
      </c>
      <c r="M1826" s="79" t="str">
        <f aca="false">IF(L1826="Tidak dibuka","–",IF(F1826="","(tanpa age group)",F1826)&amp;"  "&amp;IF(H1826="","?",H1826)&amp;"/"&amp;IF(G1826="","?",G1826)&amp;CHAR(10)&amp;IF(K1826="","coach: –","coach: "&amp;K1826))</f>
        <v>Little  3/4
coach: Maulana</v>
      </c>
    </row>
    <row r="1827" customFormat="false" ht="22.35" hidden="false" customHeight="false" outlineLevel="0" collapsed="false">
      <c r="A1827" s="76" t="str">
        <f aca="false">B1827&amp;"|"&amp;C1827&amp;"|"&amp;D1827&amp;"|"&amp;E1827</f>
        <v>BTU|3|Sabtu|09:45</v>
      </c>
      <c r="B1827" s="76" t="s">
        <v>69</v>
      </c>
      <c r="C1827" s="76" t="n">
        <v>3</v>
      </c>
      <c r="D1827" s="76" t="s">
        <v>95</v>
      </c>
      <c r="E1827" s="76" t="s">
        <v>98</v>
      </c>
      <c r="F1827" s="77" t="s">
        <v>277</v>
      </c>
      <c r="G1827" s="77" t="n">
        <v>4</v>
      </c>
      <c r="H1827" s="77" t="n">
        <v>2</v>
      </c>
      <c r="I1827" s="76" t="n">
        <f aca="false">IF(AND(ISNUMBER(G1827),ISNUMBER(H1827)),MAX(G1827-H1827,0),"")</f>
        <v>2</v>
      </c>
      <c r="J1827" s="78" t="n">
        <f aca="false">IF(AND(ISNUMBER(G1827),ISNUMBER(H1827)),IF(G1827&gt;0,H1827/G1827,""),"")</f>
        <v>0.5</v>
      </c>
      <c r="K1827" s="77" t="s">
        <v>435</v>
      </c>
      <c r="L1827" s="76" t="str">
        <f aca="false">IF(OR(G1827="",H1827=""),"Data tidak lengkap",IF(AND(G1827=0,H1827=0),IF(AND(F1827="",K1827=""),"Tidak dibuka","Tutup"),IF(H1827&gt;G1827,"Lebih kapasitas",IF(H1827=G1827,"Penuh",IF(H1827=0,IF(F1827="","Slot kosong","Belum terisi"),"Sebagian")))))</f>
        <v>Sebagian</v>
      </c>
      <c r="M1827" s="79" t="str">
        <f aca="false">IF(L1827="Tidak dibuka","–",IF(F1827="","(tanpa age group)",F1827)&amp;"  "&amp;IF(H1827="","?",H1827)&amp;"/"&amp;IF(G1827="","?",G1827)&amp;CHAR(10)&amp;IF(K1827="","coach: –","coach: "&amp;K1827))</f>
        <v>Little  2/4
coach: Maulana</v>
      </c>
    </row>
    <row r="1828" customFormat="false" ht="22.35" hidden="false" customHeight="false" outlineLevel="0" collapsed="false">
      <c r="A1828" s="76" t="str">
        <f aca="false">B1828&amp;"|"&amp;C1828&amp;"|"&amp;D1828&amp;"|"&amp;E1828</f>
        <v>BTU|3|Sabtu|10:30</v>
      </c>
      <c r="B1828" s="76" t="s">
        <v>69</v>
      </c>
      <c r="C1828" s="76" t="n">
        <v>3</v>
      </c>
      <c r="D1828" s="76" t="s">
        <v>95</v>
      </c>
      <c r="E1828" s="76" t="s">
        <v>99</v>
      </c>
      <c r="F1828" s="77" t="s">
        <v>277</v>
      </c>
      <c r="G1828" s="77" t="n">
        <v>4</v>
      </c>
      <c r="H1828" s="77" t="n">
        <v>2</v>
      </c>
      <c r="I1828" s="76" t="n">
        <f aca="false">IF(AND(ISNUMBER(G1828),ISNUMBER(H1828)),MAX(G1828-H1828,0),"")</f>
        <v>2</v>
      </c>
      <c r="J1828" s="78" t="n">
        <f aca="false">IF(AND(ISNUMBER(G1828),ISNUMBER(H1828)),IF(G1828&gt;0,H1828/G1828,""),"")</f>
        <v>0.5</v>
      </c>
      <c r="K1828" s="77" t="s">
        <v>439</v>
      </c>
      <c r="L1828" s="76" t="str">
        <f aca="false">IF(OR(G1828="",H1828=""),"Data tidak lengkap",IF(AND(G1828=0,H1828=0),IF(AND(F1828="",K1828=""),"Tidak dibuka","Tutup"),IF(H1828&gt;G1828,"Lebih kapasitas",IF(H1828=G1828,"Penuh",IF(H1828=0,IF(F1828="","Slot kosong","Belum terisi"),"Sebagian")))))</f>
        <v>Sebagian</v>
      </c>
      <c r="M1828" s="79" t="str">
        <f aca="false">IF(L1828="Tidak dibuka","–",IF(F1828="","(tanpa age group)",F1828)&amp;"  "&amp;IF(H1828="","?",H1828)&amp;"/"&amp;IF(G1828="","?",G1828)&amp;CHAR(10)&amp;IF(K1828="","coach: –","coach: "&amp;K1828))</f>
        <v>Little  2/4
coach: Bagas</v>
      </c>
    </row>
    <row r="1829" customFormat="false" ht="22.35" hidden="false" customHeight="false" outlineLevel="0" collapsed="false">
      <c r="A1829" s="76" t="str">
        <f aca="false">B1829&amp;"|"&amp;C1829&amp;"|"&amp;D1829&amp;"|"&amp;E1829</f>
        <v>BTU|3|Sabtu|11:15</v>
      </c>
      <c r="B1829" s="76" t="s">
        <v>69</v>
      </c>
      <c r="C1829" s="76" t="n">
        <v>3</v>
      </c>
      <c r="D1829" s="76" t="s">
        <v>95</v>
      </c>
      <c r="E1829" s="76" t="s">
        <v>100</v>
      </c>
      <c r="F1829" s="77" t="s">
        <v>277</v>
      </c>
      <c r="G1829" s="77" t="n">
        <v>4</v>
      </c>
      <c r="H1829" s="77" t="n">
        <v>0</v>
      </c>
      <c r="I1829" s="76" t="n">
        <f aca="false">IF(AND(ISNUMBER(G1829),ISNUMBER(H1829)),MAX(G1829-H1829,0),"")</f>
        <v>4</v>
      </c>
      <c r="J1829" s="78" t="n">
        <f aca="false">IF(AND(ISNUMBER(G1829),ISNUMBER(H1829)),IF(G1829&gt;0,H1829/G1829,""),"")</f>
        <v>0</v>
      </c>
      <c r="K1829" s="77"/>
      <c r="L1829" s="76" t="str">
        <f aca="false">IF(OR(G1829="",H1829=""),"Data tidak lengkap",IF(AND(G1829=0,H1829=0),IF(AND(F1829="",K1829=""),"Tidak dibuka","Tutup"),IF(H1829&gt;G1829,"Lebih kapasitas",IF(H1829=G1829,"Penuh",IF(H1829=0,IF(F1829="","Slot kosong","Belum terisi"),"Sebagian")))))</f>
        <v>Belum terisi</v>
      </c>
      <c r="M1829" s="79" t="str">
        <f aca="false">IF(L1829="Tidak dibuka","–",IF(F1829="","(tanpa age group)",F1829)&amp;"  "&amp;IF(H1829="","?",H1829)&amp;"/"&amp;IF(G1829="","?",G1829)&amp;CHAR(10)&amp;IF(K1829="","coach: –","coach: "&amp;K1829))</f>
        <v>Little  0/4
coach: –</v>
      </c>
    </row>
    <row r="1830" customFormat="false" ht="22.35" hidden="false" customHeight="false" outlineLevel="0" collapsed="false">
      <c r="A1830" s="76" t="str">
        <f aca="false">B1830&amp;"|"&amp;C1830&amp;"|"&amp;D1830&amp;"|"&amp;E1830</f>
        <v>BTU|3|Sabtu|12:00</v>
      </c>
      <c r="B1830" s="76" t="s">
        <v>69</v>
      </c>
      <c r="C1830" s="76" t="n">
        <v>3</v>
      </c>
      <c r="D1830" s="76" t="s">
        <v>95</v>
      </c>
      <c r="E1830" s="76" t="s">
        <v>101</v>
      </c>
      <c r="F1830" s="77" t="s">
        <v>277</v>
      </c>
      <c r="G1830" s="77" t="n">
        <v>4</v>
      </c>
      <c r="H1830" s="77" t="n">
        <v>0</v>
      </c>
      <c r="I1830" s="76" t="n">
        <f aca="false">IF(AND(ISNUMBER(G1830),ISNUMBER(H1830)),MAX(G1830-H1830,0),"")</f>
        <v>4</v>
      </c>
      <c r="J1830" s="78" t="n">
        <f aca="false">IF(AND(ISNUMBER(G1830),ISNUMBER(H1830)),IF(G1830&gt;0,H1830/G1830,""),"")</f>
        <v>0</v>
      </c>
      <c r="K1830" s="77"/>
      <c r="L1830" s="76" t="str">
        <f aca="false">IF(OR(G1830="",H1830=""),"Data tidak lengkap",IF(AND(G1830=0,H1830=0),IF(AND(F1830="",K1830=""),"Tidak dibuka","Tutup"),IF(H1830&gt;G1830,"Lebih kapasitas",IF(H1830=G1830,"Penuh",IF(H1830=0,IF(F1830="","Slot kosong","Belum terisi"),"Sebagian")))))</f>
        <v>Belum terisi</v>
      </c>
      <c r="M1830" s="79" t="str">
        <f aca="false">IF(L1830="Tidak dibuka","–",IF(F1830="","(tanpa age group)",F1830)&amp;"  "&amp;IF(H1830="","?",H1830)&amp;"/"&amp;IF(G1830="","?",G1830)&amp;CHAR(10)&amp;IF(K1830="","coach: –","coach: "&amp;K1830))</f>
        <v>Little  0/4
coach: –</v>
      </c>
    </row>
    <row r="1831" customFormat="false" ht="22.35" hidden="false" customHeight="false" outlineLevel="0" collapsed="false">
      <c r="A1831" s="76" t="str">
        <f aca="false">B1831&amp;"|"&amp;C1831&amp;"|"&amp;D1831&amp;"|"&amp;E1831</f>
        <v>BTU|3|Sabtu|13:30</v>
      </c>
      <c r="B1831" s="76" t="s">
        <v>69</v>
      </c>
      <c r="C1831" s="76" t="n">
        <v>3</v>
      </c>
      <c r="D1831" s="76" t="s">
        <v>95</v>
      </c>
      <c r="E1831" s="76" t="s">
        <v>102</v>
      </c>
      <c r="F1831" s="77" t="s">
        <v>277</v>
      </c>
      <c r="G1831" s="77" t="n">
        <v>4</v>
      </c>
      <c r="H1831" s="77" t="n">
        <v>0</v>
      </c>
      <c r="I1831" s="76" t="n">
        <f aca="false">IF(AND(ISNUMBER(G1831),ISNUMBER(H1831)),MAX(G1831-H1831,0),"")</f>
        <v>4</v>
      </c>
      <c r="J1831" s="78" t="n">
        <f aca="false">IF(AND(ISNUMBER(G1831),ISNUMBER(H1831)),IF(G1831&gt;0,H1831/G1831,""),"")</f>
        <v>0</v>
      </c>
      <c r="K1831" s="77"/>
      <c r="L1831" s="76" t="str">
        <f aca="false">IF(OR(G1831="",H1831=""),"Data tidak lengkap",IF(AND(G1831=0,H1831=0),IF(AND(F1831="",K1831=""),"Tidak dibuka","Tutup"),IF(H1831&gt;G1831,"Lebih kapasitas",IF(H1831=G1831,"Penuh",IF(H1831=0,IF(F1831="","Slot kosong","Belum terisi"),"Sebagian")))))</f>
        <v>Belum terisi</v>
      </c>
      <c r="M1831" s="79" t="str">
        <f aca="false">IF(L1831="Tidak dibuka","–",IF(F1831="","(tanpa age group)",F1831)&amp;"  "&amp;IF(H1831="","?",H1831)&amp;"/"&amp;IF(G1831="","?",G1831)&amp;CHAR(10)&amp;IF(K1831="","coach: –","coach: "&amp;K1831))</f>
        <v>Little  0/4
coach: –</v>
      </c>
    </row>
    <row r="1832" customFormat="false" ht="22.35" hidden="false" customHeight="false" outlineLevel="0" collapsed="false">
      <c r="A1832" s="76" t="str">
        <f aca="false">B1832&amp;"|"&amp;C1832&amp;"|"&amp;D1832&amp;"|"&amp;E1832</f>
        <v>BTU|3|Sabtu|14:15</v>
      </c>
      <c r="B1832" s="76" t="s">
        <v>69</v>
      </c>
      <c r="C1832" s="76" t="n">
        <v>3</v>
      </c>
      <c r="D1832" s="76" t="s">
        <v>95</v>
      </c>
      <c r="E1832" s="76" t="s">
        <v>103</v>
      </c>
      <c r="F1832" s="77" t="s">
        <v>277</v>
      </c>
      <c r="G1832" s="77" t="n">
        <v>4</v>
      </c>
      <c r="H1832" s="77" t="n">
        <v>0</v>
      </c>
      <c r="I1832" s="76" t="n">
        <f aca="false">IF(AND(ISNUMBER(G1832),ISNUMBER(H1832)),MAX(G1832-H1832,0),"")</f>
        <v>4</v>
      </c>
      <c r="J1832" s="78" t="n">
        <f aca="false">IF(AND(ISNUMBER(G1832),ISNUMBER(H1832)),IF(G1832&gt;0,H1832/G1832,""),"")</f>
        <v>0</v>
      </c>
      <c r="K1832" s="77"/>
      <c r="L1832" s="76" t="str">
        <f aca="false">IF(OR(G1832="",H1832=""),"Data tidak lengkap",IF(AND(G1832=0,H1832=0),IF(AND(F1832="",K1832=""),"Tidak dibuka","Tutup"),IF(H1832&gt;G1832,"Lebih kapasitas",IF(H1832=G1832,"Penuh",IF(H1832=0,IF(F1832="","Slot kosong","Belum terisi"),"Sebagian")))))</f>
        <v>Belum terisi</v>
      </c>
      <c r="M1832" s="79" t="str">
        <f aca="false">IF(L1832="Tidak dibuka","–",IF(F1832="","(tanpa age group)",F1832)&amp;"  "&amp;IF(H1832="","?",H1832)&amp;"/"&amp;IF(G1832="","?",G1832)&amp;CHAR(10)&amp;IF(K1832="","coach: –","coach: "&amp;K1832))</f>
        <v>Little  0/4
coach: –</v>
      </c>
    </row>
    <row r="1833" customFormat="false" ht="22.35" hidden="false" customHeight="false" outlineLevel="0" collapsed="false">
      <c r="A1833" s="76" t="str">
        <f aca="false">B1833&amp;"|"&amp;C1833&amp;"|"&amp;D1833&amp;"|"&amp;E1833</f>
        <v>BTU|3|Sabtu|15:00</v>
      </c>
      <c r="B1833" s="76" t="s">
        <v>69</v>
      </c>
      <c r="C1833" s="76" t="n">
        <v>3</v>
      </c>
      <c r="D1833" s="76" t="s">
        <v>95</v>
      </c>
      <c r="E1833" s="76" t="s">
        <v>104</v>
      </c>
      <c r="F1833" s="77" t="s">
        <v>277</v>
      </c>
      <c r="G1833" s="77" t="n">
        <v>4</v>
      </c>
      <c r="H1833" s="77" t="n">
        <v>0</v>
      </c>
      <c r="I1833" s="76" t="n">
        <f aca="false">IF(AND(ISNUMBER(G1833),ISNUMBER(H1833)),MAX(G1833-H1833,0),"")</f>
        <v>4</v>
      </c>
      <c r="J1833" s="78" t="n">
        <f aca="false">IF(AND(ISNUMBER(G1833),ISNUMBER(H1833)),IF(G1833&gt;0,H1833/G1833,""),"")</f>
        <v>0</v>
      </c>
      <c r="K1833" s="77"/>
      <c r="L1833" s="76" t="str">
        <f aca="false">IF(OR(G1833="",H1833=""),"Data tidak lengkap",IF(AND(G1833=0,H1833=0),IF(AND(F1833="",K1833=""),"Tidak dibuka","Tutup"),IF(H1833&gt;G1833,"Lebih kapasitas",IF(H1833=G1833,"Penuh",IF(H1833=0,IF(F1833="","Slot kosong","Belum terisi"),"Sebagian")))))</f>
        <v>Belum terisi</v>
      </c>
      <c r="M1833" s="79" t="str">
        <f aca="false">IF(L1833="Tidak dibuka","–",IF(F1833="","(tanpa age group)",F1833)&amp;"  "&amp;IF(H1833="","?",H1833)&amp;"/"&amp;IF(G1833="","?",G1833)&amp;CHAR(10)&amp;IF(K1833="","coach: –","coach: "&amp;K1833))</f>
        <v>Little  0/4
coach: –</v>
      </c>
    </row>
    <row r="1834" customFormat="false" ht="22.35" hidden="false" customHeight="false" outlineLevel="0" collapsed="false">
      <c r="A1834" s="76" t="str">
        <f aca="false">B1834&amp;"|"&amp;C1834&amp;"|"&amp;D1834&amp;"|"&amp;E1834</f>
        <v>BTU|3|Sabtu|15:45</v>
      </c>
      <c r="B1834" s="76" t="s">
        <v>69</v>
      </c>
      <c r="C1834" s="76" t="n">
        <v>3</v>
      </c>
      <c r="D1834" s="76" t="s">
        <v>95</v>
      </c>
      <c r="E1834" s="76" t="s">
        <v>105</v>
      </c>
      <c r="F1834" s="77" t="s">
        <v>277</v>
      </c>
      <c r="G1834" s="77" t="n">
        <v>4</v>
      </c>
      <c r="H1834" s="77" t="n">
        <v>1</v>
      </c>
      <c r="I1834" s="76" t="n">
        <f aca="false">IF(AND(ISNUMBER(G1834),ISNUMBER(H1834)),MAX(G1834-H1834,0),"")</f>
        <v>3</v>
      </c>
      <c r="J1834" s="78" t="n">
        <f aca="false">IF(AND(ISNUMBER(G1834),ISNUMBER(H1834)),IF(G1834&gt;0,H1834/G1834,""),"")</f>
        <v>0.25</v>
      </c>
      <c r="K1834" s="77" t="s">
        <v>439</v>
      </c>
      <c r="L1834" s="76" t="str">
        <f aca="false">IF(OR(G1834="",H1834=""),"Data tidak lengkap",IF(AND(G1834=0,H1834=0),IF(AND(F1834="",K1834=""),"Tidak dibuka","Tutup"),IF(H1834&gt;G1834,"Lebih kapasitas",IF(H1834=G1834,"Penuh",IF(H1834=0,IF(F1834="","Slot kosong","Belum terisi"),"Sebagian")))))</f>
        <v>Sebagian</v>
      </c>
      <c r="M1834" s="79" t="str">
        <f aca="false">IF(L1834="Tidak dibuka","–",IF(F1834="","(tanpa age group)",F1834)&amp;"  "&amp;IF(H1834="","?",H1834)&amp;"/"&amp;IF(G1834="","?",G1834)&amp;CHAR(10)&amp;IF(K1834="","coach: –","coach: "&amp;K1834))</f>
        <v>Little  1/4
coach: Bagas</v>
      </c>
    </row>
    <row r="1835" customFormat="false" ht="22.35" hidden="false" customHeight="false" outlineLevel="0" collapsed="false">
      <c r="A1835" s="76" t="str">
        <f aca="false">B1835&amp;"|"&amp;C1835&amp;"|"&amp;D1835&amp;"|"&amp;E1835</f>
        <v>BTU|3|Sabtu|16:30</v>
      </c>
      <c r="B1835" s="76" t="s">
        <v>69</v>
      </c>
      <c r="C1835" s="76" t="n">
        <v>3</v>
      </c>
      <c r="D1835" s="76" t="s">
        <v>95</v>
      </c>
      <c r="E1835" s="76" t="s">
        <v>106</v>
      </c>
      <c r="F1835" s="77" t="s">
        <v>277</v>
      </c>
      <c r="G1835" s="77" t="n">
        <v>4</v>
      </c>
      <c r="H1835" s="77" t="n">
        <v>3</v>
      </c>
      <c r="I1835" s="76" t="n">
        <f aca="false">IF(AND(ISNUMBER(G1835),ISNUMBER(H1835)),MAX(G1835-H1835,0),"")</f>
        <v>1</v>
      </c>
      <c r="J1835" s="78" t="n">
        <f aca="false">IF(AND(ISNUMBER(G1835),ISNUMBER(H1835)),IF(G1835&gt;0,H1835/G1835,""),"")</f>
        <v>0.75</v>
      </c>
      <c r="K1835" s="77" t="s">
        <v>434</v>
      </c>
      <c r="L1835" s="76" t="str">
        <f aca="false">IF(OR(G1835="",H1835=""),"Data tidak lengkap",IF(AND(G1835=0,H1835=0),IF(AND(F1835="",K1835=""),"Tidak dibuka","Tutup"),IF(H1835&gt;G1835,"Lebih kapasitas",IF(H1835=G1835,"Penuh",IF(H1835=0,IF(F1835="","Slot kosong","Belum terisi"),"Sebagian")))))</f>
        <v>Sebagian</v>
      </c>
      <c r="M1835" s="79" t="str">
        <f aca="false">IF(L1835="Tidak dibuka","–",IF(F1835="","(tanpa age group)",F1835)&amp;"  "&amp;IF(H1835="","?",H1835)&amp;"/"&amp;IF(G1835="","?",G1835)&amp;CHAR(10)&amp;IF(K1835="","coach: –","coach: "&amp;K1835))</f>
        <v>Little  3/4
coach: Alfi</v>
      </c>
    </row>
    <row r="1836" customFormat="false" ht="22.35" hidden="false" customHeight="false" outlineLevel="0" collapsed="false">
      <c r="A1836" s="76" t="str">
        <f aca="false">B1836&amp;"|"&amp;C1836&amp;"|"&amp;D1836&amp;"|"&amp;E1836</f>
        <v>BTU|3|Sabtu|17:15</v>
      </c>
      <c r="B1836" s="76" t="s">
        <v>69</v>
      </c>
      <c r="C1836" s="76" t="n">
        <v>3</v>
      </c>
      <c r="D1836" s="76" t="s">
        <v>95</v>
      </c>
      <c r="E1836" s="76" t="s">
        <v>107</v>
      </c>
      <c r="F1836" s="77" t="s">
        <v>277</v>
      </c>
      <c r="G1836" s="77" t="n">
        <v>4</v>
      </c>
      <c r="H1836" s="77" t="n">
        <v>0</v>
      </c>
      <c r="I1836" s="76" t="n">
        <f aca="false">IF(AND(ISNUMBER(G1836),ISNUMBER(H1836)),MAX(G1836-H1836,0),"")</f>
        <v>4</v>
      </c>
      <c r="J1836" s="78" t="n">
        <f aca="false">IF(AND(ISNUMBER(G1836),ISNUMBER(H1836)),IF(G1836&gt;0,H1836/G1836,""),"")</f>
        <v>0</v>
      </c>
      <c r="K1836" s="77"/>
      <c r="L1836" s="76" t="str">
        <f aca="false">IF(OR(G1836="",H1836=""),"Data tidak lengkap",IF(AND(G1836=0,H1836=0),IF(AND(F1836="",K1836=""),"Tidak dibuka","Tutup"),IF(H1836&gt;G1836,"Lebih kapasitas",IF(H1836=G1836,"Penuh",IF(H1836=0,IF(F1836="","Slot kosong","Belum terisi"),"Sebagian")))))</f>
        <v>Belum terisi</v>
      </c>
      <c r="M1836" s="79" t="str">
        <f aca="false">IF(L1836="Tidak dibuka","–",IF(F1836="","(tanpa age group)",F1836)&amp;"  "&amp;IF(H1836="","?",H1836)&amp;"/"&amp;IF(G1836="","?",G1836)&amp;CHAR(10)&amp;IF(K1836="","coach: –","coach: "&amp;K1836))</f>
        <v>Little  0/4
coach: –</v>
      </c>
    </row>
    <row r="1837" customFormat="false" ht="22.35" hidden="false" customHeight="false" outlineLevel="0" collapsed="false">
      <c r="A1837" s="76" t="str">
        <f aca="false">B1837&amp;"|"&amp;C1837&amp;"|"&amp;D1837&amp;"|"&amp;E1837</f>
        <v>BTU|3|Minggu|08:15</v>
      </c>
      <c r="B1837" s="76" t="s">
        <v>69</v>
      </c>
      <c r="C1837" s="76" t="n">
        <v>3</v>
      </c>
      <c r="D1837" s="76" t="s">
        <v>78</v>
      </c>
      <c r="E1837" s="76" t="s">
        <v>96</v>
      </c>
      <c r="F1837" s="77" t="s">
        <v>277</v>
      </c>
      <c r="G1837" s="77" t="n">
        <v>4</v>
      </c>
      <c r="H1837" s="77" t="n">
        <v>0</v>
      </c>
      <c r="I1837" s="76" t="n">
        <f aca="false">IF(AND(ISNUMBER(G1837),ISNUMBER(H1837)),MAX(G1837-H1837,0),"")</f>
        <v>4</v>
      </c>
      <c r="J1837" s="78" t="n">
        <f aca="false">IF(AND(ISNUMBER(G1837),ISNUMBER(H1837)),IF(G1837&gt;0,H1837/G1837,""),"")</f>
        <v>0</v>
      </c>
      <c r="K1837" s="77"/>
      <c r="L1837" s="76" t="str">
        <f aca="false">IF(OR(G1837="",H1837=""),"Data tidak lengkap",IF(AND(G1837=0,H1837=0),IF(AND(F1837="",K1837=""),"Tidak dibuka","Tutup"),IF(H1837&gt;G1837,"Lebih kapasitas",IF(H1837=G1837,"Penuh",IF(H1837=0,IF(F1837="","Slot kosong","Belum terisi"),"Sebagian")))))</f>
        <v>Belum terisi</v>
      </c>
      <c r="M1837" s="79" t="str">
        <f aca="false">IF(L1837="Tidak dibuka","–",IF(F1837="","(tanpa age group)",F1837)&amp;"  "&amp;IF(H1837="","?",H1837)&amp;"/"&amp;IF(G1837="","?",G1837)&amp;CHAR(10)&amp;IF(K1837="","coach: –","coach: "&amp;K1837))</f>
        <v>Little  0/4
coach: –</v>
      </c>
    </row>
    <row r="1838" customFormat="false" ht="22.35" hidden="false" customHeight="false" outlineLevel="0" collapsed="false">
      <c r="A1838" s="76" t="str">
        <f aca="false">B1838&amp;"|"&amp;C1838&amp;"|"&amp;D1838&amp;"|"&amp;E1838</f>
        <v>BTU|3|Minggu|09:00</v>
      </c>
      <c r="B1838" s="76" t="s">
        <v>69</v>
      </c>
      <c r="C1838" s="76" t="n">
        <v>3</v>
      </c>
      <c r="D1838" s="76" t="s">
        <v>78</v>
      </c>
      <c r="E1838" s="76" t="s">
        <v>97</v>
      </c>
      <c r="F1838" s="77" t="s">
        <v>277</v>
      </c>
      <c r="G1838" s="77" t="n">
        <v>4</v>
      </c>
      <c r="H1838" s="77" t="n">
        <v>2</v>
      </c>
      <c r="I1838" s="76" t="n">
        <f aca="false">IF(AND(ISNUMBER(G1838),ISNUMBER(H1838)),MAX(G1838-H1838,0),"")</f>
        <v>2</v>
      </c>
      <c r="J1838" s="78" t="n">
        <f aca="false">IF(AND(ISNUMBER(G1838),ISNUMBER(H1838)),IF(G1838&gt;0,H1838/G1838,""),"")</f>
        <v>0.5</v>
      </c>
      <c r="K1838" s="77" t="s">
        <v>434</v>
      </c>
      <c r="L1838" s="76" t="str">
        <f aca="false">IF(OR(G1838="",H1838=""),"Data tidak lengkap",IF(AND(G1838=0,H1838=0),IF(AND(F1838="",K1838=""),"Tidak dibuka","Tutup"),IF(H1838&gt;G1838,"Lebih kapasitas",IF(H1838=G1838,"Penuh",IF(H1838=0,IF(F1838="","Slot kosong","Belum terisi"),"Sebagian")))))</f>
        <v>Sebagian</v>
      </c>
      <c r="M1838" s="79" t="str">
        <f aca="false">IF(L1838="Tidak dibuka","–",IF(F1838="","(tanpa age group)",F1838)&amp;"  "&amp;IF(H1838="","?",H1838)&amp;"/"&amp;IF(G1838="","?",G1838)&amp;CHAR(10)&amp;IF(K1838="","coach: –","coach: "&amp;K1838))</f>
        <v>Little  2/4
coach: Alfi</v>
      </c>
    </row>
    <row r="1839" customFormat="false" ht="22.35" hidden="false" customHeight="false" outlineLevel="0" collapsed="false">
      <c r="A1839" s="76" t="str">
        <f aca="false">B1839&amp;"|"&amp;C1839&amp;"|"&amp;D1839&amp;"|"&amp;E1839</f>
        <v>BTU|3|Minggu|09:45</v>
      </c>
      <c r="B1839" s="76" t="s">
        <v>69</v>
      </c>
      <c r="C1839" s="76" t="n">
        <v>3</v>
      </c>
      <c r="D1839" s="76" t="s">
        <v>78</v>
      </c>
      <c r="E1839" s="76" t="s">
        <v>98</v>
      </c>
      <c r="F1839" s="77" t="s">
        <v>277</v>
      </c>
      <c r="G1839" s="77" t="n">
        <v>4</v>
      </c>
      <c r="H1839" s="77" t="n">
        <v>3</v>
      </c>
      <c r="I1839" s="76" t="n">
        <f aca="false">IF(AND(ISNUMBER(G1839),ISNUMBER(H1839)),MAX(G1839-H1839,0),"")</f>
        <v>1</v>
      </c>
      <c r="J1839" s="78" t="n">
        <f aca="false">IF(AND(ISNUMBER(G1839),ISNUMBER(H1839)),IF(G1839&gt;0,H1839/G1839,""),"")</f>
        <v>0.75</v>
      </c>
      <c r="K1839" s="77" t="s">
        <v>434</v>
      </c>
      <c r="L1839" s="76" t="str">
        <f aca="false">IF(OR(G1839="",H1839=""),"Data tidak lengkap",IF(AND(G1839=0,H1839=0),IF(AND(F1839="",K1839=""),"Tidak dibuka","Tutup"),IF(H1839&gt;G1839,"Lebih kapasitas",IF(H1839=G1839,"Penuh",IF(H1839=0,IF(F1839="","Slot kosong","Belum terisi"),"Sebagian")))))</f>
        <v>Sebagian</v>
      </c>
      <c r="M1839" s="79" t="str">
        <f aca="false">IF(L1839="Tidak dibuka","–",IF(F1839="","(tanpa age group)",F1839)&amp;"  "&amp;IF(H1839="","?",H1839)&amp;"/"&amp;IF(G1839="","?",G1839)&amp;CHAR(10)&amp;IF(K1839="","coach: –","coach: "&amp;K1839))</f>
        <v>Little  3/4
coach: Alfi</v>
      </c>
    </row>
    <row r="1840" customFormat="false" ht="22.35" hidden="false" customHeight="false" outlineLevel="0" collapsed="false">
      <c r="A1840" s="76" t="str">
        <f aca="false">B1840&amp;"|"&amp;C1840&amp;"|"&amp;D1840&amp;"|"&amp;E1840</f>
        <v>BTU|3|Minggu|10:30</v>
      </c>
      <c r="B1840" s="76" t="s">
        <v>69</v>
      </c>
      <c r="C1840" s="76" t="n">
        <v>3</v>
      </c>
      <c r="D1840" s="76" t="s">
        <v>78</v>
      </c>
      <c r="E1840" s="76" t="s">
        <v>99</v>
      </c>
      <c r="F1840" s="77" t="s">
        <v>277</v>
      </c>
      <c r="G1840" s="77" t="n">
        <v>4</v>
      </c>
      <c r="H1840" s="77" t="n">
        <v>1</v>
      </c>
      <c r="I1840" s="76" t="n">
        <f aca="false">IF(AND(ISNUMBER(G1840),ISNUMBER(H1840)),MAX(G1840-H1840,0),"")</f>
        <v>3</v>
      </c>
      <c r="J1840" s="78" t="n">
        <f aca="false">IF(AND(ISNUMBER(G1840),ISNUMBER(H1840)),IF(G1840&gt;0,H1840/G1840,""),"")</f>
        <v>0.25</v>
      </c>
      <c r="K1840" s="77" t="s">
        <v>435</v>
      </c>
      <c r="L1840" s="76" t="str">
        <f aca="false">IF(OR(G1840="",H1840=""),"Data tidak lengkap",IF(AND(G1840=0,H1840=0),IF(AND(F1840="",K1840=""),"Tidak dibuka","Tutup"),IF(H1840&gt;G1840,"Lebih kapasitas",IF(H1840=G1840,"Penuh",IF(H1840=0,IF(F1840="","Slot kosong","Belum terisi"),"Sebagian")))))</f>
        <v>Sebagian</v>
      </c>
      <c r="M1840" s="79" t="str">
        <f aca="false">IF(L1840="Tidak dibuka","–",IF(F1840="","(tanpa age group)",F1840)&amp;"  "&amp;IF(H1840="","?",H1840)&amp;"/"&amp;IF(G1840="","?",G1840)&amp;CHAR(10)&amp;IF(K1840="","coach: –","coach: "&amp;K1840))</f>
        <v>Little  1/4
coach: Maulana</v>
      </c>
    </row>
    <row r="1841" customFormat="false" ht="22.35" hidden="false" customHeight="false" outlineLevel="0" collapsed="false">
      <c r="A1841" s="76" t="str">
        <f aca="false">B1841&amp;"|"&amp;C1841&amp;"|"&amp;D1841&amp;"|"&amp;E1841</f>
        <v>BTU|3|Minggu|11:15</v>
      </c>
      <c r="B1841" s="76" t="s">
        <v>69</v>
      </c>
      <c r="C1841" s="76" t="n">
        <v>3</v>
      </c>
      <c r="D1841" s="76" t="s">
        <v>78</v>
      </c>
      <c r="E1841" s="76" t="s">
        <v>100</v>
      </c>
      <c r="F1841" s="77" t="s">
        <v>277</v>
      </c>
      <c r="G1841" s="77" t="n">
        <v>4</v>
      </c>
      <c r="H1841" s="77" t="n">
        <v>0</v>
      </c>
      <c r="I1841" s="76" t="n">
        <f aca="false">IF(AND(ISNUMBER(G1841),ISNUMBER(H1841)),MAX(G1841-H1841,0),"")</f>
        <v>4</v>
      </c>
      <c r="J1841" s="78" t="n">
        <f aca="false">IF(AND(ISNUMBER(G1841),ISNUMBER(H1841)),IF(G1841&gt;0,H1841/G1841,""),"")</f>
        <v>0</v>
      </c>
      <c r="K1841" s="77"/>
      <c r="L1841" s="76" t="str">
        <f aca="false">IF(OR(G1841="",H1841=""),"Data tidak lengkap",IF(AND(G1841=0,H1841=0),IF(AND(F1841="",K1841=""),"Tidak dibuka","Tutup"),IF(H1841&gt;G1841,"Lebih kapasitas",IF(H1841=G1841,"Penuh",IF(H1841=0,IF(F1841="","Slot kosong","Belum terisi"),"Sebagian")))))</f>
        <v>Belum terisi</v>
      </c>
      <c r="M1841" s="79" t="str">
        <f aca="false">IF(L1841="Tidak dibuka","–",IF(F1841="","(tanpa age group)",F1841)&amp;"  "&amp;IF(H1841="","?",H1841)&amp;"/"&amp;IF(G1841="","?",G1841)&amp;CHAR(10)&amp;IF(K1841="","coach: –","coach: "&amp;K1841))</f>
        <v>Little  0/4
coach: –</v>
      </c>
    </row>
    <row r="1842" customFormat="false" ht="22.35" hidden="false" customHeight="false" outlineLevel="0" collapsed="false">
      <c r="A1842" s="76" t="str">
        <f aca="false">B1842&amp;"|"&amp;C1842&amp;"|"&amp;D1842&amp;"|"&amp;E1842</f>
        <v>BTU|3|Minggu|12:00</v>
      </c>
      <c r="B1842" s="76" t="s">
        <v>69</v>
      </c>
      <c r="C1842" s="76" t="n">
        <v>3</v>
      </c>
      <c r="D1842" s="76" t="s">
        <v>78</v>
      </c>
      <c r="E1842" s="76" t="s">
        <v>101</v>
      </c>
      <c r="F1842" s="77" t="s">
        <v>277</v>
      </c>
      <c r="G1842" s="77" t="n">
        <v>4</v>
      </c>
      <c r="H1842" s="77" t="n">
        <v>0</v>
      </c>
      <c r="I1842" s="76" t="n">
        <f aca="false">IF(AND(ISNUMBER(G1842),ISNUMBER(H1842)),MAX(G1842-H1842,0),"")</f>
        <v>4</v>
      </c>
      <c r="J1842" s="78" t="n">
        <f aca="false">IF(AND(ISNUMBER(G1842),ISNUMBER(H1842)),IF(G1842&gt;0,H1842/G1842,""),"")</f>
        <v>0</v>
      </c>
      <c r="K1842" s="77"/>
      <c r="L1842" s="76" t="str">
        <f aca="false">IF(OR(G1842="",H1842=""),"Data tidak lengkap",IF(AND(G1842=0,H1842=0),IF(AND(F1842="",K1842=""),"Tidak dibuka","Tutup"),IF(H1842&gt;G1842,"Lebih kapasitas",IF(H1842=G1842,"Penuh",IF(H1842=0,IF(F1842="","Slot kosong","Belum terisi"),"Sebagian")))))</f>
        <v>Belum terisi</v>
      </c>
      <c r="M1842" s="79" t="str">
        <f aca="false">IF(L1842="Tidak dibuka","–",IF(F1842="","(tanpa age group)",F1842)&amp;"  "&amp;IF(H1842="","?",H1842)&amp;"/"&amp;IF(G1842="","?",G1842)&amp;CHAR(10)&amp;IF(K1842="","coach: –","coach: "&amp;K1842))</f>
        <v>Little  0/4
coach: –</v>
      </c>
    </row>
    <row r="1843" customFormat="false" ht="22.35" hidden="false" customHeight="false" outlineLevel="0" collapsed="false">
      <c r="A1843" s="76" t="str">
        <f aca="false">B1843&amp;"|"&amp;C1843&amp;"|"&amp;D1843&amp;"|"&amp;E1843</f>
        <v>BTU|3|Minggu|13:30</v>
      </c>
      <c r="B1843" s="76" t="s">
        <v>69</v>
      </c>
      <c r="C1843" s="76" t="n">
        <v>3</v>
      </c>
      <c r="D1843" s="76" t="s">
        <v>78</v>
      </c>
      <c r="E1843" s="76" t="s">
        <v>102</v>
      </c>
      <c r="F1843" s="77" t="s">
        <v>277</v>
      </c>
      <c r="G1843" s="77" t="n">
        <v>4</v>
      </c>
      <c r="H1843" s="77" t="n">
        <v>0</v>
      </c>
      <c r="I1843" s="76" t="n">
        <f aca="false">IF(AND(ISNUMBER(G1843),ISNUMBER(H1843)),MAX(G1843-H1843,0),"")</f>
        <v>4</v>
      </c>
      <c r="J1843" s="78" t="n">
        <f aca="false">IF(AND(ISNUMBER(G1843),ISNUMBER(H1843)),IF(G1843&gt;0,H1843/G1843,""),"")</f>
        <v>0</v>
      </c>
      <c r="K1843" s="77"/>
      <c r="L1843" s="76" t="str">
        <f aca="false">IF(OR(G1843="",H1843=""),"Data tidak lengkap",IF(AND(G1843=0,H1843=0),IF(AND(F1843="",K1843=""),"Tidak dibuka","Tutup"),IF(H1843&gt;G1843,"Lebih kapasitas",IF(H1843=G1843,"Penuh",IF(H1843=0,IF(F1843="","Slot kosong","Belum terisi"),"Sebagian")))))</f>
        <v>Belum terisi</v>
      </c>
      <c r="M1843" s="79" t="str">
        <f aca="false">IF(L1843="Tidak dibuka","–",IF(F1843="","(tanpa age group)",F1843)&amp;"  "&amp;IF(H1843="","?",H1843)&amp;"/"&amp;IF(G1843="","?",G1843)&amp;CHAR(10)&amp;IF(K1843="","coach: –","coach: "&amp;K1843))</f>
        <v>Little  0/4
coach: –</v>
      </c>
    </row>
    <row r="1844" customFormat="false" ht="22.35" hidden="false" customHeight="false" outlineLevel="0" collapsed="false">
      <c r="A1844" s="76" t="str">
        <f aca="false">B1844&amp;"|"&amp;C1844&amp;"|"&amp;D1844&amp;"|"&amp;E1844</f>
        <v>BTU|3|Minggu|14:15</v>
      </c>
      <c r="B1844" s="76" t="s">
        <v>69</v>
      </c>
      <c r="C1844" s="76" t="n">
        <v>3</v>
      </c>
      <c r="D1844" s="76" t="s">
        <v>78</v>
      </c>
      <c r="E1844" s="76" t="s">
        <v>103</v>
      </c>
      <c r="F1844" s="77" t="s">
        <v>277</v>
      </c>
      <c r="G1844" s="77" t="n">
        <v>4</v>
      </c>
      <c r="H1844" s="77" t="n">
        <v>0</v>
      </c>
      <c r="I1844" s="76" t="n">
        <f aca="false">IF(AND(ISNUMBER(G1844),ISNUMBER(H1844)),MAX(G1844-H1844,0),"")</f>
        <v>4</v>
      </c>
      <c r="J1844" s="78" t="n">
        <f aca="false">IF(AND(ISNUMBER(G1844),ISNUMBER(H1844)),IF(G1844&gt;0,H1844/G1844,""),"")</f>
        <v>0</v>
      </c>
      <c r="K1844" s="77"/>
      <c r="L1844" s="76" t="str">
        <f aca="false">IF(OR(G1844="",H1844=""),"Data tidak lengkap",IF(AND(G1844=0,H1844=0),IF(AND(F1844="",K1844=""),"Tidak dibuka","Tutup"),IF(H1844&gt;G1844,"Lebih kapasitas",IF(H1844=G1844,"Penuh",IF(H1844=0,IF(F1844="","Slot kosong","Belum terisi"),"Sebagian")))))</f>
        <v>Belum terisi</v>
      </c>
      <c r="M1844" s="79" t="str">
        <f aca="false">IF(L1844="Tidak dibuka","–",IF(F1844="","(tanpa age group)",F1844)&amp;"  "&amp;IF(H1844="","?",H1844)&amp;"/"&amp;IF(G1844="","?",G1844)&amp;CHAR(10)&amp;IF(K1844="","coach: –","coach: "&amp;K1844))</f>
        <v>Little  0/4
coach: –</v>
      </c>
    </row>
    <row r="1845" customFormat="false" ht="22.35" hidden="false" customHeight="false" outlineLevel="0" collapsed="false">
      <c r="A1845" s="76" t="str">
        <f aca="false">B1845&amp;"|"&amp;C1845&amp;"|"&amp;D1845&amp;"|"&amp;E1845</f>
        <v>BTU|3|Minggu|15:00</v>
      </c>
      <c r="B1845" s="76" t="s">
        <v>69</v>
      </c>
      <c r="C1845" s="76" t="n">
        <v>3</v>
      </c>
      <c r="D1845" s="76" t="s">
        <v>78</v>
      </c>
      <c r="E1845" s="76" t="s">
        <v>104</v>
      </c>
      <c r="F1845" s="77" t="s">
        <v>277</v>
      </c>
      <c r="G1845" s="77" t="n">
        <v>4</v>
      </c>
      <c r="H1845" s="77" t="n">
        <v>3</v>
      </c>
      <c r="I1845" s="76" t="n">
        <f aca="false">IF(AND(ISNUMBER(G1845),ISNUMBER(H1845)),MAX(G1845-H1845,0),"")</f>
        <v>1</v>
      </c>
      <c r="J1845" s="78" t="n">
        <f aca="false">IF(AND(ISNUMBER(G1845),ISNUMBER(H1845)),IF(G1845&gt;0,H1845/G1845,""),"")</f>
        <v>0.75</v>
      </c>
      <c r="K1845" s="77" t="s">
        <v>437</v>
      </c>
      <c r="L1845" s="76" t="str">
        <f aca="false">IF(OR(G1845="",H1845=""),"Data tidak lengkap",IF(AND(G1845=0,H1845=0),IF(AND(F1845="",K1845=""),"Tidak dibuka","Tutup"),IF(H1845&gt;G1845,"Lebih kapasitas",IF(H1845=G1845,"Penuh",IF(H1845=0,IF(F1845="","Slot kosong","Belum terisi"),"Sebagian")))))</f>
        <v>Sebagian</v>
      </c>
      <c r="M1845" s="79" t="str">
        <f aca="false">IF(L1845="Tidak dibuka","–",IF(F1845="","(tanpa age group)",F1845)&amp;"  "&amp;IF(H1845="","?",H1845)&amp;"/"&amp;IF(G1845="","?",G1845)&amp;CHAR(10)&amp;IF(K1845="","coach: –","coach: "&amp;K1845))</f>
        <v>Little  3/4
coach: Doni</v>
      </c>
    </row>
    <row r="1846" customFormat="false" ht="22.35" hidden="false" customHeight="false" outlineLevel="0" collapsed="false">
      <c r="A1846" s="76" t="str">
        <f aca="false">B1846&amp;"|"&amp;C1846&amp;"|"&amp;D1846&amp;"|"&amp;E1846</f>
        <v>BTU|3|Minggu|15:45</v>
      </c>
      <c r="B1846" s="76" t="s">
        <v>69</v>
      </c>
      <c r="C1846" s="76" t="n">
        <v>3</v>
      </c>
      <c r="D1846" s="76" t="s">
        <v>78</v>
      </c>
      <c r="E1846" s="76" t="s">
        <v>105</v>
      </c>
      <c r="F1846" s="77" t="s">
        <v>277</v>
      </c>
      <c r="G1846" s="77" t="n">
        <v>4</v>
      </c>
      <c r="H1846" s="77" t="n">
        <v>2</v>
      </c>
      <c r="I1846" s="76" t="n">
        <f aca="false">IF(AND(ISNUMBER(G1846),ISNUMBER(H1846)),MAX(G1846-H1846,0),"")</f>
        <v>2</v>
      </c>
      <c r="J1846" s="78" t="n">
        <f aca="false">IF(AND(ISNUMBER(G1846),ISNUMBER(H1846)),IF(G1846&gt;0,H1846/G1846,""),"")</f>
        <v>0.5</v>
      </c>
      <c r="K1846" s="77" t="s">
        <v>433</v>
      </c>
      <c r="L1846" s="76" t="str">
        <f aca="false">IF(OR(G1846="",H1846=""),"Data tidak lengkap",IF(AND(G1846=0,H1846=0),IF(AND(F1846="",K1846=""),"Tidak dibuka","Tutup"),IF(H1846&gt;G1846,"Lebih kapasitas",IF(H1846=G1846,"Penuh",IF(H1846=0,IF(F1846="","Slot kosong","Belum terisi"),"Sebagian")))))</f>
        <v>Sebagian</v>
      </c>
      <c r="M1846" s="79" t="str">
        <f aca="false">IF(L1846="Tidak dibuka","–",IF(F1846="","(tanpa age group)",F1846)&amp;"  "&amp;IF(H1846="","?",H1846)&amp;"/"&amp;IF(G1846="","?",G1846)&amp;CHAR(10)&amp;IF(K1846="","coach: –","coach: "&amp;K1846))</f>
        <v>Little  2/4
coach: Shofi</v>
      </c>
    </row>
    <row r="1847" customFormat="false" ht="22.35" hidden="false" customHeight="false" outlineLevel="0" collapsed="false">
      <c r="A1847" s="76" t="str">
        <f aca="false">B1847&amp;"|"&amp;C1847&amp;"|"&amp;D1847&amp;"|"&amp;E1847</f>
        <v>BTU|3|Minggu|16:30</v>
      </c>
      <c r="B1847" s="76" t="s">
        <v>69</v>
      </c>
      <c r="C1847" s="76" t="n">
        <v>3</v>
      </c>
      <c r="D1847" s="76" t="s">
        <v>78</v>
      </c>
      <c r="E1847" s="76" t="s">
        <v>106</v>
      </c>
      <c r="F1847" s="77" t="s">
        <v>277</v>
      </c>
      <c r="G1847" s="77" t="n">
        <v>4</v>
      </c>
      <c r="H1847" s="77" t="n">
        <v>0</v>
      </c>
      <c r="I1847" s="76" t="n">
        <f aca="false">IF(AND(ISNUMBER(G1847),ISNUMBER(H1847)),MAX(G1847-H1847,0),"")</f>
        <v>4</v>
      </c>
      <c r="J1847" s="78" t="n">
        <f aca="false">IF(AND(ISNUMBER(G1847),ISNUMBER(H1847)),IF(G1847&gt;0,H1847/G1847,""),"")</f>
        <v>0</v>
      </c>
      <c r="K1847" s="77"/>
      <c r="L1847" s="76" t="str">
        <f aca="false">IF(OR(G1847="",H1847=""),"Data tidak lengkap",IF(AND(G1847=0,H1847=0),IF(AND(F1847="",K1847=""),"Tidak dibuka","Tutup"),IF(H1847&gt;G1847,"Lebih kapasitas",IF(H1847=G1847,"Penuh",IF(H1847=0,IF(F1847="","Slot kosong","Belum terisi"),"Sebagian")))))</f>
        <v>Belum terisi</v>
      </c>
      <c r="M1847" s="79" t="str">
        <f aca="false">IF(L1847="Tidak dibuka","–",IF(F1847="","(tanpa age group)",F1847)&amp;"  "&amp;IF(H1847="","?",H1847)&amp;"/"&amp;IF(G1847="","?",G1847)&amp;CHAR(10)&amp;IF(K1847="","coach: –","coach: "&amp;K1847))</f>
        <v>Little  0/4
coach: –</v>
      </c>
    </row>
    <row r="1848" customFormat="false" ht="22.35" hidden="false" customHeight="false" outlineLevel="0" collapsed="false">
      <c r="A1848" s="76" t="str">
        <f aca="false">B1848&amp;"|"&amp;C1848&amp;"|"&amp;D1848&amp;"|"&amp;E1848</f>
        <v>BTU|3|Minggu|17:15</v>
      </c>
      <c r="B1848" s="76" t="s">
        <v>69</v>
      </c>
      <c r="C1848" s="76" t="n">
        <v>3</v>
      </c>
      <c r="D1848" s="76" t="s">
        <v>78</v>
      </c>
      <c r="E1848" s="76" t="s">
        <v>107</v>
      </c>
      <c r="F1848" s="77" t="s">
        <v>277</v>
      </c>
      <c r="G1848" s="77" t="n">
        <v>4</v>
      </c>
      <c r="H1848" s="77" t="n">
        <v>0</v>
      </c>
      <c r="I1848" s="76" t="n">
        <f aca="false">IF(AND(ISNUMBER(G1848),ISNUMBER(H1848)),MAX(G1848-H1848,0),"")</f>
        <v>4</v>
      </c>
      <c r="J1848" s="78" t="n">
        <f aca="false">IF(AND(ISNUMBER(G1848),ISNUMBER(H1848)),IF(G1848&gt;0,H1848/G1848,""),"")</f>
        <v>0</v>
      </c>
      <c r="K1848" s="77"/>
      <c r="L1848" s="76" t="str">
        <f aca="false">IF(OR(G1848="",H1848=""),"Data tidak lengkap",IF(AND(G1848=0,H1848=0),IF(AND(F1848="",K1848=""),"Tidak dibuka","Tutup"),IF(H1848&gt;G1848,"Lebih kapasitas",IF(H1848=G1848,"Penuh",IF(H1848=0,IF(F1848="","Slot kosong","Belum terisi"),"Sebagian")))))</f>
        <v>Belum terisi</v>
      </c>
      <c r="M1848" s="79" t="str">
        <f aca="false">IF(L1848="Tidak dibuka","–",IF(F1848="","(tanpa age group)",F1848)&amp;"  "&amp;IF(H1848="","?",H1848)&amp;"/"&amp;IF(G1848="","?",G1848)&amp;CHAR(10)&amp;IF(K1848="","coach: –","coach: "&amp;K1848))</f>
        <v>Little  0/4
coach: –</v>
      </c>
    </row>
    <row r="1849" customFormat="false" ht="22.35" hidden="false" customHeight="false" outlineLevel="0" collapsed="false">
      <c r="A1849" s="76" t="str">
        <f aca="false">B1849&amp;"|"&amp;C1849&amp;"|"&amp;D1849&amp;"|"&amp;E1849</f>
        <v>BTU|4|Senin|08:15</v>
      </c>
      <c r="B1849" s="76" t="s">
        <v>69</v>
      </c>
      <c r="C1849" s="76" t="n">
        <v>4</v>
      </c>
      <c r="D1849" s="76" t="s">
        <v>90</v>
      </c>
      <c r="E1849" s="76" t="s">
        <v>96</v>
      </c>
      <c r="F1849" s="77" t="s">
        <v>210</v>
      </c>
      <c r="G1849" s="77" t="n">
        <v>4</v>
      </c>
      <c r="H1849" s="77" t="n">
        <v>0</v>
      </c>
      <c r="I1849" s="76" t="n">
        <f aca="false">IF(AND(ISNUMBER(G1849),ISNUMBER(H1849)),MAX(G1849-H1849,0),"")</f>
        <v>4</v>
      </c>
      <c r="J1849" s="78" t="n">
        <f aca="false">IF(AND(ISNUMBER(G1849),ISNUMBER(H1849)),IF(G1849&gt;0,H1849/G1849,""),"")</f>
        <v>0</v>
      </c>
      <c r="K1849" s="77"/>
      <c r="L1849" s="76" t="str">
        <f aca="false">IF(OR(G1849="",H1849=""),"Data tidak lengkap",IF(AND(G1849=0,H1849=0),IF(AND(F1849="",K1849=""),"Tidak dibuka","Tutup"),IF(H1849&gt;G1849,"Lebih kapasitas",IF(H1849=G1849,"Penuh",IF(H1849=0,IF(F1849="","Slot kosong","Belum terisi"),"Sebagian")))))</f>
        <v>Belum terisi</v>
      </c>
      <c r="M1849" s="79" t="str">
        <f aca="false">IF(L1849="Tidak dibuka","–",IF(F1849="","(tanpa age group)",F1849)&amp;"  "&amp;IF(H1849="","?",H1849)&amp;"/"&amp;IF(G1849="","?",G1849)&amp;CHAR(10)&amp;IF(K1849="","coach: –","coach: "&amp;K1849))</f>
        <v>Kids  0/4
coach: –</v>
      </c>
    </row>
    <row r="1850" customFormat="false" ht="22.35" hidden="false" customHeight="false" outlineLevel="0" collapsed="false">
      <c r="A1850" s="76" t="str">
        <f aca="false">B1850&amp;"|"&amp;C1850&amp;"|"&amp;D1850&amp;"|"&amp;E1850</f>
        <v>BTU|4|Senin|09:00</v>
      </c>
      <c r="B1850" s="76" t="s">
        <v>69</v>
      </c>
      <c r="C1850" s="76" t="n">
        <v>4</v>
      </c>
      <c r="D1850" s="76" t="s">
        <v>90</v>
      </c>
      <c r="E1850" s="76" t="s">
        <v>97</v>
      </c>
      <c r="F1850" s="77" t="s">
        <v>210</v>
      </c>
      <c r="G1850" s="77" t="n">
        <v>4</v>
      </c>
      <c r="H1850" s="77" t="n">
        <v>0</v>
      </c>
      <c r="I1850" s="76" t="n">
        <f aca="false">IF(AND(ISNUMBER(G1850),ISNUMBER(H1850)),MAX(G1850-H1850,0),"")</f>
        <v>4</v>
      </c>
      <c r="J1850" s="78" t="n">
        <f aca="false">IF(AND(ISNUMBER(G1850),ISNUMBER(H1850)),IF(G1850&gt;0,H1850/G1850,""),"")</f>
        <v>0</v>
      </c>
      <c r="K1850" s="77"/>
      <c r="L1850" s="76" t="str">
        <f aca="false">IF(OR(G1850="",H1850=""),"Data tidak lengkap",IF(AND(G1850=0,H1850=0),IF(AND(F1850="",K1850=""),"Tidak dibuka","Tutup"),IF(H1850&gt;G1850,"Lebih kapasitas",IF(H1850=G1850,"Penuh",IF(H1850=0,IF(F1850="","Slot kosong","Belum terisi"),"Sebagian")))))</f>
        <v>Belum terisi</v>
      </c>
      <c r="M1850" s="79" t="str">
        <f aca="false">IF(L1850="Tidak dibuka","–",IF(F1850="","(tanpa age group)",F1850)&amp;"  "&amp;IF(H1850="","?",H1850)&amp;"/"&amp;IF(G1850="","?",G1850)&amp;CHAR(10)&amp;IF(K1850="","coach: –","coach: "&amp;K1850))</f>
        <v>Kids  0/4
coach: –</v>
      </c>
    </row>
    <row r="1851" customFormat="false" ht="22.35" hidden="false" customHeight="false" outlineLevel="0" collapsed="false">
      <c r="A1851" s="76" t="str">
        <f aca="false">B1851&amp;"|"&amp;C1851&amp;"|"&amp;D1851&amp;"|"&amp;E1851</f>
        <v>BTU|4|Senin|09:45</v>
      </c>
      <c r="B1851" s="76" t="s">
        <v>69</v>
      </c>
      <c r="C1851" s="76" t="n">
        <v>4</v>
      </c>
      <c r="D1851" s="76" t="s">
        <v>90</v>
      </c>
      <c r="E1851" s="76" t="s">
        <v>98</v>
      </c>
      <c r="F1851" s="77" t="s">
        <v>210</v>
      </c>
      <c r="G1851" s="77" t="n">
        <v>4</v>
      </c>
      <c r="H1851" s="77" t="n">
        <v>0</v>
      </c>
      <c r="I1851" s="76" t="n">
        <f aca="false">IF(AND(ISNUMBER(G1851),ISNUMBER(H1851)),MAX(G1851-H1851,0),"")</f>
        <v>4</v>
      </c>
      <c r="J1851" s="78" t="n">
        <f aca="false">IF(AND(ISNUMBER(G1851),ISNUMBER(H1851)),IF(G1851&gt;0,H1851/G1851,""),"")</f>
        <v>0</v>
      </c>
      <c r="K1851" s="77"/>
      <c r="L1851" s="76" t="str">
        <f aca="false">IF(OR(G1851="",H1851=""),"Data tidak lengkap",IF(AND(G1851=0,H1851=0),IF(AND(F1851="",K1851=""),"Tidak dibuka","Tutup"),IF(H1851&gt;G1851,"Lebih kapasitas",IF(H1851=G1851,"Penuh",IF(H1851=0,IF(F1851="","Slot kosong","Belum terisi"),"Sebagian")))))</f>
        <v>Belum terisi</v>
      </c>
      <c r="M1851" s="79" t="str">
        <f aca="false">IF(L1851="Tidak dibuka","–",IF(F1851="","(tanpa age group)",F1851)&amp;"  "&amp;IF(H1851="","?",H1851)&amp;"/"&amp;IF(G1851="","?",G1851)&amp;CHAR(10)&amp;IF(K1851="","coach: –","coach: "&amp;K1851))</f>
        <v>Kids  0/4
coach: –</v>
      </c>
    </row>
    <row r="1852" customFormat="false" ht="22.35" hidden="false" customHeight="false" outlineLevel="0" collapsed="false">
      <c r="A1852" s="76" t="str">
        <f aca="false">B1852&amp;"|"&amp;C1852&amp;"|"&amp;D1852&amp;"|"&amp;E1852</f>
        <v>BTU|4|Senin|10:30</v>
      </c>
      <c r="B1852" s="76" t="s">
        <v>69</v>
      </c>
      <c r="C1852" s="76" t="n">
        <v>4</v>
      </c>
      <c r="D1852" s="76" t="s">
        <v>90</v>
      </c>
      <c r="E1852" s="76" t="s">
        <v>99</v>
      </c>
      <c r="F1852" s="77" t="s">
        <v>210</v>
      </c>
      <c r="G1852" s="77" t="n">
        <v>4</v>
      </c>
      <c r="H1852" s="77" t="n">
        <v>0</v>
      </c>
      <c r="I1852" s="76" t="n">
        <f aca="false">IF(AND(ISNUMBER(G1852),ISNUMBER(H1852)),MAX(G1852-H1852,0),"")</f>
        <v>4</v>
      </c>
      <c r="J1852" s="78" t="n">
        <f aca="false">IF(AND(ISNUMBER(G1852),ISNUMBER(H1852)),IF(G1852&gt;0,H1852/G1852,""),"")</f>
        <v>0</v>
      </c>
      <c r="K1852" s="77"/>
      <c r="L1852" s="76" t="str">
        <f aca="false">IF(OR(G1852="",H1852=""),"Data tidak lengkap",IF(AND(G1852=0,H1852=0),IF(AND(F1852="",K1852=""),"Tidak dibuka","Tutup"),IF(H1852&gt;G1852,"Lebih kapasitas",IF(H1852=G1852,"Penuh",IF(H1852=0,IF(F1852="","Slot kosong","Belum terisi"),"Sebagian")))))</f>
        <v>Belum terisi</v>
      </c>
      <c r="M1852" s="79" t="str">
        <f aca="false">IF(L1852="Tidak dibuka","–",IF(F1852="","(tanpa age group)",F1852)&amp;"  "&amp;IF(H1852="","?",H1852)&amp;"/"&amp;IF(G1852="","?",G1852)&amp;CHAR(10)&amp;IF(K1852="","coach: –","coach: "&amp;K1852))</f>
        <v>Kids  0/4
coach: –</v>
      </c>
    </row>
    <row r="1853" customFormat="false" ht="22.35" hidden="false" customHeight="false" outlineLevel="0" collapsed="false">
      <c r="A1853" s="76" t="str">
        <f aca="false">B1853&amp;"|"&amp;C1853&amp;"|"&amp;D1853&amp;"|"&amp;E1853</f>
        <v>BTU|4|Senin|11:15</v>
      </c>
      <c r="B1853" s="76" t="s">
        <v>69</v>
      </c>
      <c r="C1853" s="76" t="n">
        <v>4</v>
      </c>
      <c r="D1853" s="76" t="s">
        <v>90</v>
      </c>
      <c r="E1853" s="76" t="s">
        <v>100</v>
      </c>
      <c r="F1853" s="77" t="s">
        <v>210</v>
      </c>
      <c r="G1853" s="77" t="n">
        <v>4</v>
      </c>
      <c r="H1853" s="77" t="n">
        <v>0</v>
      </c>
      <c r="I1853" s="76" t="n">
        <f aca="false">IF(AND(ISNUMBER(G1853),ISNUMBER(H1853)),MAX(G1853-H1853,0),"")</f>
        <v>4</v>
      </c>
      <c r="J1853" s="78" t="n">
        <f aca="false">IF(AND(ISNUMBER(G1853),ISNUMBER(H1853)),IF(G1853&gt;0,H1853/G1853,""),"")</f>
        <v>0</v>
      </c>
      <c r="K1853" s="77"/>
      <c r="L1853" s="76" t="str">
        <f aca="false">IF(OR(G1853="",H1853=""),"Data tidak lengkap",IF(AND(G1853=0,H1853=0),IF(AND(F1853="",K1853=""),"Tidak dibuka","Tutup"),IF(H1853&gt;G1853,"Lebih kapasitas",IF(H1853=G1853,"Penuh",IF(H1853=0,IF(F1853="","Slot kosong","Belum terisi"),"Sebagian")))))</f>
        <v>Belum terisi</v>
      </c>
      <c r="M1853" s="79" t="str">
        <f aca="false">IF(L1853="Tidak dibuka","–",IF(F1853="","(tanpa age group)",F1853)&amp;"  "&amp;IF(H1853="","?",H1853)&amp;"/"&amp;IF(G1853="","?",G1853)&amp;CHAR(10)&amp;IF(K1853="","coach: –","coach: "&amp;K1853))</f>
        <v>Kids  0/4
coach: –</v>
      </c>
    </row>
    <row r="1854" customFormat="false" ht="22.35" hidden="false" customHeight="false" outlineLevel="0" collapsed="false">
      <c r="A1854" s="76" t="str">
        <f aca="false">B1854&amp;"|"&amp;C1854&amp;"|"&amp;D1854&amp;"|"&amp;E1854</f>
        <v>BTU|4|Senin|12:00</v>
      </c>
      <c r="B1854" s="76" t="s">
        <v>69</v>
      </c>
      <c r="C1854" s="76" t="n">
        <v>4</v>
      </c>
      <c r="D1854" s="76" t="s">
        <v>90</v>
      </c>
      <c r="E1854" s="76" t="s">
        <v>101</v>
      </c>
      <c r="F1854" s="77" t="s">
        <v>210</v>
      </c>
      <c r="G1854" s="77" t="n">
        <v>4</v>
      </c>
      <c r="H1854" s="77" t="n">
        <v>0</v>
      </c>
      <c r="I1854" s="76" t="n">
        <f aca="false">IF(AND(ISNUMBER(G1854),ISNUMBER(H1854)),MAX(G1854-H1854,0),"")</f>
        <v>4</v>
      </c>
      <c r="J1854" s="78" t="n">
        <f aca="false">IF(AND(ISNUMBER(G1854),ISNUMBER(H1854)),IF(G1854&gt;0,H1854/G1854,""),"")</f>
        <v>0</v>
      </c>
      <c r="K1854" s="77"/>
      <c r="L1854" s="76" t="str">
        <f aca="false">IF(OR(G1854="",H1854=""),"Data tidak lengkap",IF(AND(G1854=0,H1854=0),IF(AND(F1854="",K1854=""),"Tidak dibuka","Tutup"),IF(H1854&gt;G1854,"Lebih kapasitas",IF(H1854=G1854,"Penuh",IF(H1854=0,IF(F1854="","Slot kosong","Belum terisi"),"Sebagian")))))</f>
        <v>Belum terisi</v>
      </c>
      <c r="M1854" s="79" t="str">
        <f aca="false">IF(L1854="Tidak dibuka","–",IF(F1854="","(tanpa age group)",F1854)&amp;"  "&amp;IF(H1854="","?",H1854)&amp;"/"&amp;IF(G1854="","?",G1854)&amp;CHAR(10)&amp;IF(K1854="","coach: –","coach: "&amp;K1854))</f>
        <v>Kids  0/4
coach: –</v>
      </c>
    </row>
    <row r="1855" customFormat="false" ht="22.35" hidden="false" customHeight="false" outlineLevel="0" collapsed="false">
      <c r="A1855" s="76" t="str">
        <f aca="false">B1855&amp;"|"&amp;C1855&amp;"|"&amp;D1855&amp;"|"&amp;E1855</f>
        <v>BTU|4|Senin|13:30</v>
      </c>
      <c r="B1855" s="76" t="s">
        <v>69</v>
      </c>
      <c r="C1855" s="76" t="n">
        <v>4</v>
      </c>
      <c r="D1855" s="76" t="s">
        <v>90</v>
      </c>
      <c r="E1855" s="76" t="s">
        <v>102</v>
      </c>
      <c r="F1855" s="77" t="s">
        <v>210</v>
      </c>
      <c r="G1855" s="77" t="n">
        <v>4</v>
      </c>
      <c r="H1855" s="77" t="n">
        <v>0</v>
      </c>
      <c r="I1855" s="76" t="n">
        <f aca="false">IF(AND(ISNUMBER(G1855),ISNUMBER(H1855)),MAX(G1855-H1855,0),"")</f>
        <v>4</v>
      </c>
      <c r="J1855" s="78" t="n">
        <f aca="false">IF(AND(ISNUMBER(G1855),ISNUMBER(H1855)),IF(G1855&gt;0,H1855/G1855,""),"")</f>
        <v>0</v>
      </c>
      <c r="K1855" s="77"/>
      <c r="L1855" s="76" t="str">
        <f aca="false">IF(OR(G1855="",H1855=""),"Data tidak lengkap",IF(AND(G1855=0,H1855=0),IF(AND(F1855="",K1855=""),"Tidak dibuka","Tutup"),IF(H1855&gt;G1855,"Lebih kapasitas",IF(H1855=G1855,"Penuh",IF(H1855=0,IF(F1855="","Slot kosong","Belum terisi"),"Sebagian")))))</f>
        <v>Belum terisi</v>
      </c>
      <c r="M1855" s="79" t="str">
        <f aca="false">IF(L1855="Tidak dibuka","–",IF(F1855="","(tanpa age group)",F1855)&amp;"  "&amp;IF(H1855="","?",H1855)&amp;"/"&amp;IF(G1855="","?",G1855)&amp;CHAR(10)&amp;IF(K1855="","coach: –","coach: "&amp;K1855))</f>
        <v>Kids  0/4
coach: –</v>
      </c>
    </row>
    <row r="1856" customFormat="false" ht="22.35" hidden="false" customHeight="false" outlineLevel="0" collapsed="false">
      <c r="A1856" s="76" t="str">
        <f aca="false">B1856&amp;"|"&amp;C1856&amp;"|"&amp;D1856&amp;"|"&amp;E1856</f>
        <v>BTU|4|Senin|14:15</v>
      </c>
      <c r="B1856" s="76" t="s">
        <v>69</v>
      </c>
      <c r="C1856" s="76" t="n">
        <v>4</v>
      </c>
      <c r="D1856" s="76" t="s">
        <v>90</v>
      </c>
      <c r="E1856" s="76" t="s">
        <v>103</v>
      </c>
      <c r="F1856" s="77" t="s">
        <v>210</v>
      </c>
      <c r="G1856" s="77" t="n">
        <v>4</v>
      </c>
      <c r="H1856" s="77" t="n">
        <v>1</v>
      </c>
      <c r="I1856" s="76" t="n">
        <f aca="false">IF(AND(ISNUMBER(G1856),ISNUMBER(H1856)),MAX(G1856-H1856,0),"")</f>
        <v>3</v>
      </c>
      <c r="J1856" s="78" t="n">
        <f aca="false">IF(AND(ISNUMBER(G1856),ISNUMBER(H1856)),IF(G1856&gt;0,H1856/G1856,""),"")</f>
        <v>0.25</v>
      </c>
      <c r="K1856" s="77" t="s">
        <v>437</v>
      </c>
      <c r="L1856" s="76" t="str">
        <f aca="false">IF(OR(G1856="",H1856=""),"Data tidak lengkap",IF(AND(G1856=0,H1856=0),IF(AND(F1856="",K1856=""),"Tidak dibuka","Tutup"),IF(H1856&gt;G1856,"Lebih kapasitas",IF(H1856=G1856,"Penuh",IF(H1856=0,IF(F1856="","Slot kosong","Belum terisi"),"Sebagian")))))</f>
        <v>Sebagian</v>
      </c>
      <c r="M1856" s="79" t="str">
        <f aca="false">IF(L1856="Tidak dibuka","–",IF(F1856="","(tanpa age group)",F1856)&amp;"  "&amp;IF(H1856="","?",H1856)&amp;"/"&amp;IF(G1856="","?",G1856)&amp;CHAR(10)&amp;IF(K1856="","coach: –","coach: "&amp;K1856))</f>
        <v>Kids  1/4
coach: Doni</v>
      </c>
    </row>
    <row r="1857" customFormat="false" ht="22.35" hidden="false" customHeight="false" outlineLevel="0" collapsed="false">
      <c r="A1857" s="76" t="str">
        <f aca="false">B1857&amp;"|"&amp;C1857&amp;"|"&amp;D1857&amp;"|"&amp;E1857</f>
        <v>BTU|4|Senin|15:00</v>
      </c>
      <c r="B1857" s="76" t="s">
        <v>69</v>
      </c>
      <c r="C1857" s="76" t="n">
        <v>4</v>
      </c>
      <c r="D1857" s="76" t="s">
        <v>90</v>
      </c>
      <c r="E1857" s="76" t="s">
        <v>104</v>
      </c>
      <c r="F1857" s="77" t="s">
        <v>210</v>
      </c>
      <c r="G1857" s="77" t="n">
        <v>4</v>
      </c>
      <c r="H1857" s="77" t="n">
        <v>3</v>
      </c>
      <c r="I1857" s="76" t="n">
        <f aca="false">IF(AND(ISNUMBER(G1857),ISNUMBER(H1857)),MAX(G1857-H1857,0),"")</f>
        <v>1</v>
      </c>
      <c r="J1857" s="78" t="n">
        <f aca="false">IF(AND(ISNUMBER(G1857),ISNUMBER(H1857)),IF(G1857&gt;0,H1857/G1857,""),"")</f>
        <v>0.75</v>
      </c>
      <c r="K1857" s="77" t="s">
        <v>441</v>
      </c>
      <c r="L1857" s="76" t="str">
        <f aca="false">IF(OR(G1857="",H1857=""),"Data tidak lengkap",IF(AND(G1857=0,H1857=0),IF(AND(F1857="",K1857=""),"Tidak dibuka","Tutup"),IF(H1857&gt;G1857,"Lebih kapasitas",IF(H1857=G1857,"Penuh",IF(H1857=0,IF(F1857="","Slot kosong","Belum terisi"),"Sebagian")))))</f>
        <v>Sebagian</v>
      </c>
      <c r="M1857" s="79" t="str">
        <f aca="false">IF(L1857="Tidak dibuka","–",IF(F1857="","(tanpa age group)",F1857)&amp;"  "&amp;IF(H1857="","?",H1857)&amp;"/"&amp;IF(G1857="","?",G1857)&amp;CHAR(10)&amp;IF(K1857="","coach: –","coach: "&amp;K1857))</f>
        <v>Kids  3/4
coach: Tara</v>
      </c>
    </row>
    <row r="1858" customFormat="false" ht="22.35" hidden="false" customHeight="false" outlineLevel="0" collapsed="false">
      <c r="A1858" s="76" t="str">
        <f aca="false">B1858&amp;"|"&amp;C1858&amp;"|"&amp;D1858&amp;"|"&amp;E1858</f>
        <v>BTU|4|Senin|15:45</v>
      </c>
      <c r="B1858" s="76" t="s">
        <v>69</v>
      </c>
      <c r="C1858" s="76" t="n">
        <v>4</v>
      </c>
      <c r="D1858" s="76" t="s">
        <v>90</v>
      </c>
      <c r="E1858" s="76" t="s">
        <v>105</v>
      </c>
      <c r="F1858" s="77" t="s">
        <v>210</v>
      </c>
      <c r="G1858" s="77" t="n">
        <v>4</v>
      </c>
      <c r="H1858" s="77" t="n">
        <v>4</v>
      </c>
      <c r="I1858" s="76" t="n">
        <f aca="false">IF(AND(ISNUMBER(G1858),ISNUMBER(H1858)),MAX(G1858-H1858,0),"")</f>
        <v>0</v>
      </c>
      <c r="J1858" s="78" t="n">
        <f aca="false">IF(AND(ISNUMBER(G1858),ISNUMBER(H1858)),IF(G1858&gt;0,H1858/G1858,""),"")</f>
        <v>1</v>
      </c>
      <c r="K1858" s="77" t="s">
        <v>435</v>
      </c>
      <c r="L1858" s="76" t="str">
        <f aca="false">IF(OR(G1858="",H1858=""),"Data tidak lengkap",IF(AND(G1858=0,H1858=0),IF(AND(F1858="",K1858=""),"Tidak dibuka","Tutup"),IF(H1858&gt;G1858,"Lebih kapasitas",IF(H1858=G1858,"Penuh",IF(H1858=0,IF(F1858="","Slot kosong","Belum terisi"),"Sebagian")))))</f>
        <v>Penuh</v>
      </c>
      <c r="M1858" s="79" t="str">
        <f aca="false">IF(L1858="Tidak dibuka","–",IF(F1858="","(tanpa age group)",F1858)&amp;"  "&amp;IF(H1858="","?",H1858)&amp;"/"&amp;IF(G1858="","?",G1858)&amp;CHAR(10)&amp;IF(K1858="","coach: –","coach: "&amp;K1858))</f>
        <v>Kids  4/4
coach: Maulana</v>
      </c>
    </row>
    <row r="1859" customFormat="false" ht="22.35" hidden="false" customHeight="false" outlineLevel="0" collapsed="false">
      <c r="A1859" s="76" t="str">
        <f aca="false">B1859&amp;"|"&amp;C1859&amp;"|"&amp;D1859&amp;"|"&amp;E1859</f>
        <v>BTU|4|Senin|16:30</v>
      </c>
      <c r="B1859" s="76" t="s">
        <v>69</v>
      </c>
      <c r="C1859" s="76" t="n">
        <v>4</v>
      </c>
      <c r="D1859" s="76" t="s">
        <v>90</v>
      </c>
      <c r="E1859" s="76" t="s">
        <v>106</v>
      </c>
      <c r="F1859" s="77" t="s">
        <v>210</v>
      </c>
      <c r="G1859" s="77" t="n">
        <v>4</v>
      </c>
      <c r="H1859" s="77" t="n">
        <v>4</v>
      </c>
      <c r="I1859" s="76" t="n">
        <f aca="false">IF(AND(ISNUMBER(G1859),ISNUMBER(H1859)),MAX(G1859-H1859,0),"")</f>
        <v>0</v>
      </c>
      <c r="J1859" s="78" t="n">
        <f aca="false">IF(AND(ISNUMBER(G1859),ISNUMBER(H1859)),IF(G1859&gt;0,H1859/G1859,""),"")</f>
        <v>1</v>
      </c>
      <c r="K1859" s="77" t="s">
        <v>435</v>
      </c>
      <c r="L1859" s="76" t="str">
        <f aca="false">IF(OR(G1859="",H1859=""),"Data tidak lengkap",IF(AND(G1859=0,H1859=0),IF(AND(F1859="",K1859=""),"Tidak dibuka","Tutup"),IF(H1859&gt;G1859,"Lebih kapasitas",IF(H1859=G1859,"Penuh",IF(H1859=0,IF(F1859="","Slot kosong","Belum terisi"),"Sebagian")))))</f>
        <v>Penuh</v>
      </c>
      <c r="M1859" s="79" t="str">
        <f aca="false">IF(L1859="Tidak dibuka","–",IF(F1859="","(tanpa age group)",F1859)&amp;"  "&amp;IF(H1859="","?",H1859)&amp;"/"&amp;IF(G1859="","?",G1859)&amp;CHAR(10)&amp;IF(K1859="","coach: –","coach: "&amp;K1859))</f>
        <v>Kids  4/4
coach: Maulana</v>
      </c>
    </row>
    <row r="1860" customFormat="false" ht="22.35" hidden="false" customHeight="false" outlineLevel="0" collapsed="false">
      <c r="A1860" s="76" t="str">
        <f aca="false">B1860&amp;"|"&amp;C1860&amp;"|"&amp;D1860&amp;"|"&amp;E1860</f>
        <v>BTU|4|Senin|17:15</v>
      </c>
      <c r="B1860" s="76" t="s">
        <v>69</v>
      </c>
      <c r="C1860" s="76" t="n">
        <v>4</v>
      </c>
      <c r="D1860" s="76" t="s">
        <v>90</v>
      </c>
      <c r="E1860" s="76" t="s">
        <v>107</v>
      </c>
      <c r="F1860" s="77" t="s">
        <v>210</v>
      </c>
      <c r="G1860" s="77" t="n">
        <v>4</v>
      </c>
      <c r="H1860" s="77" t="n">
        <v>0</v>
      </c>
      <c r="I1860" s="76" t="n">
        <f aca="false">IF(AND(ISNUMBER(G1860),ISNUMBER(H1860)),MAX(G1860-H1860,0),"")</f>
        <v>4</v>
      </c>
      <c r="J1860" s="78" t="n">
        <f aca="false">IF(AND(ISNUMBER(G1860),ISNUMBER(H1860)),IF(G1860&gt;0,H1860/G1860,""),"")</f>
        <v>0</v>
      </c>
      <c r="K1860" s="77"/>
      <c r="L1860" s="76" t="str">
        <f aca="false">IF(OR(G1860="",H1860=""),"Data tidak lengkap",IF(AND(G1860=0,H1860=0),IF(AND(F1860="",K1860=""),"Tidak dibuka","Tutup"),IF(H1860&gt;G1860,"Lebih kapasitas",IF(H1860=G1860,"Penuh",IF(H1860=0,IF(F1860="","Slot kosong","Belum terisi"),"Sebagian")))))</f>
        <v>Belum terisi</v>
      </c>
      <c r="M1860" s="79" t="str">
        <f aca="false">IF(L1860="Tidak dibuka","–",IF(F1860="","(tanpa age group)",F1860)&amp;"  "&amp;IF(H1860="","?",H1860)&amp;"/"&amp;IF(G1860="","?",G1860)&amp;CHAR(10)&amp;IF(K1860="","coach: –","coach: "&amp;K1860))</f>
        <v>Kids  0/4
coach: –</v>
      </c>
    </row>
    <row r="1861" customFormat="false" ht="22.35" hidden="false" customHeight="false" outlineLevel="0" collapsed="false">
      <c r="A1861" s="76" t="str">
        <f aca="false">B1861&amp;"|"&amp;C1861&amp;"|"&amp;D1861&amp;"|"&amp;E1861</f>
        <v>BTU|4|Selasa|08:15</v>
      </c>
      <c r="B1861" s="76" t="s">
        <v>69</v>
      </c>
      <c r="C1861" s="76" t="n">
        <v>4</v>
      </c>
      <c r="D1861" s="76" t="s">
        <v>91</v>
      </c>
      <c r="E1861" s="76" t="s">
        <v>96</v>
      </c>
      <c r="F1861" s="77" t="s">
        <v>210</v>
      </c>
      <c r="G1861" s="77" t="n">
        <v>4</v>
      </c>
      <c r="H1861" s="77" t="n">
        <v>0</v>
      </c>
      <c r="I1861" s="76" t="n">
        <f aca="false">IF(AND(ISNUMBER(G1861),ISNUMBER(H1861)),MAX(G1861-H1861,0),"")</f>
        <v>4</v>
      </c>
      <c r="J1861" s="78" t="n">
        <f aca="false">IF(AND(ISNUMBER(G1861),ISNUMBER(H1861)),IF(G1861&gt;0,H1861/G1861,""),"")</f>
        <v>0</v>
      </c>
      <c r="K1861" s="77"/>
      <c r="L1861" s="76" t="str">
        <f aca="false">IF(OR(G1861="",H1861=""),"Data tidak lengkap",IF(AND(G1861=0,H1861=0),IF(AND(F1861="",K1861=""),"Tidak dibuka","Tutup"),IF(H1861&gt;G1861,"Lebih kapasitas",IF(H1861=G1861,"Penuh",IF(H1861=0,IF(F1861="","Slot kosong","Belum terisi"),"Sebagian")))))</f>
        <v>Belum terisi</v>
      </c>
      <c r="M1861" s="79" t="str">
        <f aca="false">IF(L1861="Tidak dibuka","–",IF(F1861="","(tanpa age group)",F1861)&amp;"  "&amp;IF(H1861="","?",H1861)&amp;"/"&amp;IF(G1861="","?",G1861)&amp;CHAR(10)&amp;IF(K1861="","coach: –","coach: "&amp;K1861))</f>
        <v>Kids  0/4
coach: –</v>
      </c>
    </row>
    <row r="1862" customFormat="false" ht="22.35" hidden="false" customHeight="false" outlineLevel="0" collapsed="false">
      <c r="A1862" s="76" t="str">
        <f aca="false">B1862&amp;"|"&amp;C1862&amp;"|"&amp;D1862&amp;"|"&amp;E1862</f>
        <v>BTU|4|Selasa|09:00</v>
      </c>
      <c r="B1862" s="76" t="s">
        <v>69</v>
      </c>
      <c r="C1862" s="76" t="n">
        <v>4</v>
      </c>
      <c r="D1862" s="76" t="s">
        <v>91</v>
      </c>
      <c r="E1862" s="76" t="s">
        <v>97</v>
      </c>
      <c r="F1862" s="77" t="s">
        <v>210</v>
      </c>
      <c r="G1862" s="77" t="n">
        <v>4</v>
      </c>
      <c r="H1862" s="77" t="n">
        <v>0</v>
      </c>
      <c r="I1862" s="76" t="n">
        <f aca="false">IF(AND(ISNUMBER(G1862),ISNUMBER(H1862)),MAX(G1862-H1862,0),"")</f>
        <v>4</v>
      </c>
      <c r="J1862" s="78" t="n">
        <f aca="false">IF(AND(ISNUMBER(G1862),ISNUMBER(H1862)),IF(G1862&gt;0,H1862/G1862,""),"")</f>
        <v>0</v>
      </c>
      <c r="K1862" s="77"/>
      <c r="L1862" s="76" t="str">
        <f aca="false">IF(OR(G1862="",H1862=""),"Data tidak lengkap",IF(AND(G1862=0,H1862=0),IF(AND(F1862="",K1862=""),"Tidak dibuka","Tutup"),IF(H1862&gt;G1862,"Lebih kapasitas",IF(H1862=G1862,"Penuh",IF(H1862=0,IF(F1862="","Slot kosong","Belum terisi"),"Sebagian")))))</f>
        <v>Belum terisi</v>
      </c>
      <c r="M1862" s="79" t="str">
        <f aca="false">IF(L1862="Tidak dibuka","–",IF(F1862="","(tanpa age group)",F1862)&amp;"  "&amp;IF(H1862="","?",H1862)&amp;"/"&amp;IF(G1862="","?",G1862)&amp;CHAR(10)&amp;IF(K1862="","coach: –","coach: "&amp;K1862))</f>
        <v>Kids  0/4
coach: –</v>
      </c>
    </row>
    <row r="1863" customFormat="false" ht="22.35" hidden="false" customHeight="false" outlineLevel="0" collapsed="false">
      <c r="A1863" s="76" t="str">
        <f aca="false">B1863&amp;"|"&amp;C1863&amp;"|"&amp;D1863&amp;"|"&amp;E1863</f>
        <v>BTU|4|Selasa|09:45</v>
      </c>
      <c r="B1863" s="76" t="s">
        <v>69</v>
      </c>
      <c r="C1863" s="76" t="n">
        <v>4</v>
      </c>
      <c r="D1863" s="76" t="s">
        <v>91</v>
      </c>
      <c r="E1863" s="76" t="s">
        <v>98</v>
      </c>
      <c r="F1863" s="77" t="s">
        <v>210</v>
      </c>
      <c r="G1863" s="77" t="n">
        <v>4</v>
      </c>
      <c r="H1863" s="77" t="n">
        <v>0</v>
      </c>
      <c r="I1863" s="76" t="n">
        <f aca="false">IF(AND(ISNUMBER(G1863),ISNUMBER(H1863)),MAX(G1863-H1863,0),"")</f>
        <v>4</v>
      </c>
      <c r="J1863" s="78" t="n">
        <f aca="false">IF(AND(ISNUMBER(G1863),ISNUMBER(H1863)),IF(G1863&gt;0,H1863/G1863,""),"")</f>
        <v>0</v>
      </c>
      <c r="K1863" s="77"/>
      <c r="L1863" s="76" t="str">
        <f aca="false">IF(OR(G1863="",H1863=""),"Data tidak lengkap",IF(AND(G1863=0,H1863=0),IF(AND(F1863="",K1863=""),"Tidak dibuka","Tutup"),IF(H1863&gt;G1863,"Lebih kapasitas",IF(H1863=G1863,"Penuh",IF(H1863=0,IF(F1863="","Slot kosong","Belum terisi"),"Sebagian")))))</f>
        <v>Belum terisi</v>
      </c>
      <c r="M1863" s="79" t="str">
        <f aca="false">IF(L1863="Tidak dibuka","–",IF(F1863="","(tanpa age group)",F1863)&amp;"  "&amp;IF(H1863="","?",H1863)&amp;"/"&amp;IF(G1863="","?",G1863)&amp;CHAR(10)&amp;IF(K1863="","coach: –","coach: "&amp;K1863))</f>
        <v>Kids  0/4
coach: –</v>
      </c>
    </row>
    <row r="1864" customFormat="false" ht="22.35" hidden="false" customHeight="false" outlineLevel="0" collapsed="false">
      <c r="A1864" s="76" t="str">
        <f aca="false">B1864&amp;"|"&amp;C1864&amp;"|"&amp;D1864&amp;"|"&amp;E1864</f>
        <v>BTU|4|Selasa|10:30</v>
      </c>
      <c r="B1864" s="76" t="s">
        <v>69</v>
      </c>
      <c r="C1864" s="76" t="n">
        <v>4</v>
      </c>
      <c r="D1864" s="76" t="s">
        <v>91</v>
      </c>
      <c r="E1864" s="76" t="s">
        <v>99</v>
      </c>
      <c r="F1864" s="77" t="s">
        <v>210</v>
      </c>
      <c r="G1864" s="77" t="n">
        <v>4</v>
      </c>
      <c r="H1864" s="77" t="n">
        <v>0</v>
      </c>
      <c r="I1864" s="76" t="n">
        <f aca="false">IF(AND(ISNUMBER(G1864),ISNUMBER(H1864)),MAX(G1864-H1864,0),"")</f>
        <v>4</v>
      </c>
      <c r="J1864" s="78" t="n">
        <f aca="false">IF(AND(ISNUMBER(G1864),ISNUMBER(H1864)),IF(G1864&gt;0,H1864/G1864,""),"")</f>
        <v>0</v>
      </c>
      <c r="K1864" s="77"/>
      <c r="L1864" s="76" t="str">
        <f aca="false">IF(OR(G1864="",H1864=""),"Data tidak lengkap",IF(AND(G1864=0,H1864=0),IF(AND(F1864="",K1864=""),"Tidak dibuka","Tutup"),IF(H1864&gt;G1864,"Lebih kapasitas",IF(H1864=G1864,"Penuh",IF(H1864=0,IF(F1864="","Slot kosong","Belum terisi"),"Sebagian")))))</f>
        <v>Belum terisi</v>
      </c>
      <c r="M1864" s="79" t="str">
        <f aca="false">IF(L1864="Tidak dibuka","–",IF(F1864="","(tanpa age group)",F1864)&amp;"  "&amp;IF(H1864="","?",H1864)&amp;"/"&amp;IF(G1864="","?",G1864)&amp;CHAR(10)&amp;IF(K1864="","coach: –","coach: "&amp;K1864))</f>
        <v>Kids  0/4
coach: –</v>
      </c>
    </row>
    <row r="1865" customFormat="false" ht="22.35" hidden="false" customHeight="false" outlineLevel="0" collapsed="false">
      <c r="A1865" s="76" t="str">
        <f aca="false">B1865&amp;"|"&amp;C1865&amp;"|"&amp;D1865&amp;"|"&amp;E1865</f>
        <v>BTU|4|Selasa|11:15</v>
      </c>
      <c r="B1865" s="76" t="s">
        <v>69</v>
      </c>
      <c r="C1865" s="76" t="n">
        <v>4</v>
      </c>
      <c r="D1865" s="76" t="s">
        <v>91</v>
      </c>
      <c r="E1865" s="76" t="s">
        <v>100</v>
      </c>
      <c r="F1865" s="77" t="s">
        <v>210</v>
      </c>
      <c r="G1865" s="77" t="n">
        <v>4</v>
      </c>
      <c r="H1865" s="77" t="n">
        <v>0</v>
      </c>
      <c r="I1865" s="76" t="n">
        <f aca="false">IF(AND(ISNUMBER(G1865),ISNUMBER(H1865)),MAX(G1865-H1865,0),"")</f>
        <v>4</v>
      </c>
      <c r="J1865" s="78" t="n">
        <f aca="false">IF(AND(ISNUMBER(G1865),ISNUMBER(H1865)),IF(G1865&gt;0,H1865/G1865,""),"")</f>
        <v>0</v>
      </c>
      <c r="K1865" s="77"/>
      <c r="L1865" s="76" t="str">
        <f aca="false">IF(OR(G1865="",H1865=""),"Data tidak lengkap",IF(AND(G1865=0,H1865=0),IF(AND(F1865="",K1865=""),"Tidak dibuka","Tutup"),IF(H1865&gt;G1865,"Lebih kapasitas",IF(H1865=G1865,"Penuh",IF(H1865=0,IF(F1865="","Slot kosong","Belum terisi"),"Sebagian")))))</f>
        <v>Belum terisi</v>
      </c>
      <c r="M1865" s="79" t="str">
        <f aca="false">IF(L1865="Tidak dibuka","–",IF(F1865="","(tanpa age group)",F1865)&amp;"  "&amp;IF(H1865="","?",H1865)&amp;"/"&amp;IF(G1865="","?",G1865)&amp;CHAR(10)&amp;IF(K1865="","coach: –","coach: "&amp;K1865))</f>
        <v>Kids  0/4
coach: –</v>
      </c>
    </row>
    <row r="1866" customFormat="false" ht="22.35" hidden="false" customHeight="false" outlineLevel="0" collapsed="false">
      <c r="A1866" s="76" t="str">
        <f aca="false">B1866&amp;"|"&amp;C1866&amp;"|"&amp;D1866&amp;"|"&amp;E1866</f>
        <v>BTU|4|Selasa|12:00</v>
      </c>
      <c r="B1866" s="76" t="s">
        <v>69</v>
      </c>
      <c r="C1866" s="76" t="n">
        <v>4</v>
      </c>
      <c r="D1866" s="76" t="s">
        <v>91</v>
      </c>
      <c r="E1866" s="76" t="s">
        <v>101</v>
      </c>
      <c r="F1866" s="77" t="s">
        <v>210</v>
      </c>
      <c r="G1866" s="77" t="n">
        <v>4</v>
      </c>
      <c r="H1866" s="77" t="n">
        <v>0</v>
      </c>
      <c r="I1866" s="76" t="n">
        <f aca="false">IF(AND(ISNUMBER(G1866),ISNUMBER(H1866)),MAX(G1866-H1866,0),"")</f>
        <v>4</v>
      </c>
      <c r="J1866" s="78" t="n">
        <f aca="false">IF(AND(ISNUMBER(G1866),ISNUMBER(H1866)),IF(G1866&gt;0,H1866/G1866,""),"")</f>
        <v>0</v>
      </c>
      <c r="K1866" s="77"/>
      <c r="L1866" s="76" t="str">
        <f aca="false">IF(OR(G1866="",H1866=""),"Data tidak lengkap",IF(AND(G1866=0,H1866=0),IF(AND(F1866="",K1866=""),"Tidak dibuka","Tutup"),IF(H1866&gt;G1866,"Lebih kapasitas",IF(H1866=G1866,"Penuh",IF(H1866=0,IF(F1866="","Slot kosong","Belum terisi"),"Sebagian")))))</f>
        <v>Belum terisi</v>
      </c>
      <c r="M1866" s="79" t="str">
        <f aca="false">IF(L1866="Tidak dibuka","–",IF(F1866="","(tanpa age group)",F1866)&amp;"  "&amp;IF(H1866="","?",H1866)&amp;"/"&amp;IF(G1866="","?",G1866)&amp;CHAR(10)&amp;IF(K1866="","coach: –","coach: "&amp;K1866))</f>
        <v>Kids  0/4
coach: –</v>
      </c>
    </row>
    <row r="1867" customFormat="false" ht="22.35" hidden="false" customHeight="false" outlineLevel="0" collapsed="false">
      <c r="A1867" s="76" t="str">
        <f aca="false">B1867&amp;"|"&amp;C1867&amp;"|"&amp;D1867&amp;"|"&amp;E1867</f>
        <v>BTU|4|Selasa|13:30</v>
      </c>
      <c r="B1867" s="76" t="s">
        <v>69</v>
      </c>
      <c r="C1867" s="76" t="n">
        <v>4</v>
      </c>
      <c r="D1867" s="76" t="s">
        <v>91</v>
      </c>
      <c r="E1867" s="76" t="s">
        <v>102</v>
      </c>
      <c r="F1867" s="77" t="s">
        <v>210</v>
      </c>
      <c r="G1867" s="77" t="n">
        <v>4</v>
      </c>
      <c r="H1867" s="77" t="n">
        <v>0</v>
      </c>
      <c r="I1867" s="76" t="n">
        <f aca="false">IF(AND(ISNUMBER(G1867),ISNUMBER(H1867)),MAX(G1867-H1867,0),"")</f>
        <v>4</v>
      </c>
      <c r="J1867" s="78" t="n">
        <f aca="false">IF(AND(ISNUMBER(G1867),ISNUMBER(H1867)),IF(G1867&gt;0,H1867/G1867,""),"")</f>
        <v>0</v>
      </c>
      <c r="K1867" s="77"/>
      <c r="L1867" s="76" t="str">
        <f aca="false">IF(OR(G1867="",H1867=""),"Data tidak lengkap",IF(AND(G1867=0,H1867=0),IF(AND(F1867="",K1867=""),"Tidak dibuka","Tutup"),IF(H1867&gt;G1867,"Lebih kapasitas",IF(H1867=G1867,"Penuh",IF(H1867=0,IF(F1867="","Slot kosong","Belum terisi"),"Sebagian")))))</f>
        <v>Belum terisi</v>
      </c>
      <c r="M1867" s="79" t="str">
        <f aca="false">IF(L1867="Tidak dibuka","–",IF(F1867="","(tanpa age group)",F1867)&amp;"  "&amp;IF(H1867="","?",H1867)&amp;"/"&amp;IF(G1867="","?",G1867)&amp;CHAR(10)&amp;IF(K1867="","coach: –","coach: "&amp;K1867))</f>
        <v>Kids  0/4
coach: –</v>
      </c>
    </row>
    <row r="1868" customFormat="false" ht="22.35" hidden="false" customHeight="false" outlineLevel="0" collapsed="false">
      <c r="A1868" s="76" t="str">
        <f aca="false">B1868&amp;"|"&amp;C1868&amp;"|"&amp;D1868&amp;"|"&amp;E1868</f>
        <v>BTU|4|Selasa|14:15</v>
      </c>
      <c r="B1868" s="76" t="s">
        <v>69</v>
      </c>
      <c r="C1868" s="76" t="n">
        <v>4</v>
      </c>
      <c r="D1868" s="76" t="s">
        <v>91</v>
      </c>
      <c r="E1868" s="76" t="s">
        <v>103</v>
      </c>
      <c r="F1868" s="77" t="s">
        <v>210</v>
      </c>
      <c r="G1868" s="77" t="n">
        <v>4</v>
      </c>
      <c r="H1868" s="77" t="n">
        <v>0</v>
      </c>
      <c r="I1868" s="76" t="n">
        <f aca="false">IF(AND(ISNUMBER(G1868),ISNUMBER(H1868)),MAX(G1868-H1868,0),"")</f>
        <v>4</v>
      </c>
      <c r="J1868" s="78" t="n">
        <f aca="false">IF(AND(ISNUMBER(G1868),ISNUMBER(H1868)),IF(G1868&gt;0,H1868/G1868,""),"")</f>
        <v>0</v>
      </c>
      <c r="K1868" s="77"/>
      <c r="L1868" s="76" t="str">
        <f aca="false">IF(OR(G1868="",H1868=""),"Data tidak lengkap",IF(AND(G1868=0,H1868=0),IF(AND(F1868="",K1868=""),"Tidak dibuka","Tutup"),IF(H1868&gt;G1868,"Lebih kapasitas",IF(H1868=G1868,"Penuh",IF(H1868=0,IF(F1868="","Slot kosong","Belum terisi"),"Sebagian")))))</f>
        <v>Belum terisi</v>
      </c>
      <c r="M1868" s="79" t="str">
        <f aca="false">IF(L1868="Tidak dibuka","–",IF(F1868="","(tanpa age group)",F1868)&amp;"  "&amp;IF(H1868="","?",H1868)&amp;"/"&amp;IF(G1868="","?",G1868)&amp;CHAR(10)&amp;IF(K1868="","coach: –","coach: "&amp;K1868))</f>
        <v>Kids  0/4
coach: –</v>
      </c>
    </row>
    <row r="1869" customFormat="false" ht="22.35" hidden="false" customHeight="false" outlineLevel="0" collapsed="false">
      <c r="A1869" s="76" t="str">
        <f aca="false">B1869&amp;"|"&amp;C1869&amp;"|"&amp;D1869&amp;"|"&amp;E1869</f>
        <v>BTU|4|Selasa|15:00</v>
      </c>
      <c r="B1869" s="76" t="s">
        <v>69</v>
      </c>
      <c r="C1869" s="76" t="n">
        <v>4</v>
      </c>
      <c r="D1869" s="76" t="s">
        <v>91</v>
      </c>
      <c r="E1869" s="76" t="s">
        <v>104</v>
      </c>
      <c r="F1869" s="77" t="s">
        <v>210</v>
      </c>
      <c r="G1869" s="77" t="n">
        <v>4</v>
      </c>
      <c r="H1869" s="77" t="n">
        <v>2</v>
      </c>
      <c r="I1869" s="76" t="n">
        <f aca="false">IF(AND(ISNUMBER(G1869),ISNUMBER(H1869)),MAX(G1869-H1869,0),"")</f>
        <v>2</v>
      </c>
      <c r="J1869" s="78" t="n">
        <f aca="false">IF(AND(ISNUMBER(G1869),ISNUMBER(H1869)),IF(G1869&gt;0,H1869/G1869,""),"")</f>
        <v>0.5</v>
      </c>
      <c r="K1869" s="77" t="s">
        <v>435</v>
      </c>
      <c r="L1869" s="76" t="str">
        <f aca="false">IF(OR(G1869="",H1869=""),"Data tidak lengkap",IF(AND(G1869=0,H1869=0),IF(AND(F1869="",K1869=""),"Tidak dibuka","Tutup"),IF(H1869&gt;G1869,"Lebih kapasitas",IF(H1869=G1869,"Penuh",IF(H1869=0,IF(F1869="","Slot kosong","Belum terisi"),"Sebagian")))))</f>
        <v>Sebagian</v>
      </c>
      <c r="M1869" s="79" t="str">
        <f aca="false">IF(L1869="Tidak dibuka","–",IF(F1869="","(tanpa age group)",F1869)&amp;"  "&amp;IF(H1869="","?",H1869)&amp;"/"&amp;IF(G1869="","?",G1869)&amp;CHAR(10)&amp;IF(K1869="","coach: –","coach: "&amp;K1869))</f>
        <v>Kids  2/4
coach: Maulana</v>
      </c>
    </row>
    <row r="1870" customFormat="false" ht="22.35" hidden="false" customHeight="false" outlineLevel="0" collapsed="false">
      <c r="A1870" s="76" t="str">
        <f aca="false">B1870&amp;"|"&amp;C1870&amp;"|"&amp;D1870&amp;"|"&amp;E1870</f>
        <v>BTU|4|Selasa|15:45</v>
      </c>
      <c r="B1870" s="76" t="s">
        <v>69</v>
      </c>
      <c r="C1870" s="76" t="n">
        <v>4</v>
      </c>
      <c r="D1870" s="76" t="s">
        <v>91</v>
      </c>
      <c r="E1870" s="76" t="s">
        <v>105</v>
      </c>
      <c r="F1870" s="77" t="s">
        <v>210</v>
      </c>
      <c r="G1870" s="77" t="n">
        <v>4</v>
      </c>
      <c r="H1870" s="77" t="n">
        <v>0</v>
      </c>
      <c r="I1870" s="76" t="n">
        <f aca="false">IF(AND(ISNUMBER(G1870),ISNUMBER(H1870)),MAX(G1870-H1870,0),"")</f>
        <v>4</v>
      </c>
      <c r="J1870" s="78" t="n">
        <f aca="false">IF(AND(ISNUMBER(G1870),ISNUMBER(H1870)),IF(G1870&gt;0,H1870/G1870,""),"")</f>
        <v>0</v>
      </c>
      <c r="K1870" s="77"/>
      <c r="L1870" s="76" t="str">
        <f aca="false">IF(OR(G1870="",H1870=""),"Data tidak lengkap",IF(AND(G1870=0,H1870=0),IF(AND(F1870="",K1870=""),"Tidak dibuka","Tutup"),IF(H1870&gt;G1870,"Lebih kapasitas",IF(H1870=G1870,"Penuh",IF(H1870=0,IF(F1870="","Slot kosong","Belum terisi"),"Sebagian")))))</f>
        <v>Belum terisi</v>
      </c>
      <c r="M1870" s="79" t="str">
        <f aca="false">IF(L1870="Tidak dibuka","–",IF(F1870="","(tanpa age group)",F1870)&amp;"  "&amp;IF(H1870="","?",H1870)&amp;"/"&amp;IF(G1870="","?",G1870)&amp;CHAR(10)&amp;IF(K1870="","coach: –","coach: "&amp;K1870))</f>
        <v>Kids  0/4
coach: –</v>
      </c>
    </row>
    <row r="1871" customFormat="false" ht="22.35" hidden="false" customHeight="false" outlineLevel="0" collapsed="false">
      <c r="A1871" s="76" t="str">
        <f aca="false">B1871&amp;"|"&amp;C1871&amp;"|"&amp;D1871&amp;"|"&amp;E1871</f>
        <v>BTU|4|Selasa|16:30</v>
      </c>
      <c r="B1871" s="76" t="s">
        <v>69</v>
      </c>
      <c r="C1871" s="76" t="n">
        <v>4</v>
      </c>
      <c r="D1871" s="76" t="s">
        <v>91</v>
      </c>
      <c r="E1871" s="76" t="s">
        <v>106</v>
      </c>
      <c r="F1871" s="77" t="s">
        <v>210</v>
      </c>
      <c r="G1871" s="77" t="n">
        <v>4</v>
      </c>
      <c r="H1871" s="77" t="n">
        <v>1</v>
      </c>
      <c r="I1871" s="76" t="n">
        <f aca="false">IF(AND(ISNUMBER(G1871),ISNUMBER(H1871)),MAX(G1871-H1871,0),"")</f>
        <v>3</v>
      </c>
      <c r="J1871" s="78" t="n">
        <f aca="false">IF(AND(ISNUMBER(G1871),ISNUMBER(H1871)),IF(G1871&gt;0,H1871/G1871,""),"")</f>
        <v>0.25</v>
      </c>
      <c r="K1871" s="77" t="s">
        <v>441</v>
      </c>
      <c r="L1871" s="76" t="str">
        <f aca="false">IF(OR(G1871="",H1871=""),"Data tidak lengkap",IF(AND(G1871=0,H1871=0),IF(AND(F1871="",K1871=""),"Tidak dibuka","Tutup"),IF(H1871&gt;G1871,"Lebih kapasitas",IF(H1871=G1871,"Penuh",IF(H1871=0,IF(F1871="","Slot kosong","Belum terisi"),"Sebagian")))))</f>
        <v>Sebagian</v>
      </c>
      <c r="M1871" s="79" t="str">
        <f aca="false">IF(L1871="Tidak dibuka","–",IF(F1871="","(tanpa age group)",F1871)&amp;"  "&amp;IF(H1871="","?",H1871)&amp;"/"&amp;IF(G1871="","?",G1871)&amp;CHAR(10)&amp;IF(K1871="","coach: –","coach: "&amp;K1871))</f>
        <v>Kids  1/4
coach: Tara</v>
      </c>
    </row>
    <row r="1872" customFormat="false" ht="22.35" hidden="false" customHeight="false" outlineLevel="0" collapsed="false">
      <c r="A1872" s="76" t="str">
        <f aca="false">B1872&amp;"|"&amp;C1872&amp;"|"&amp;D1872&amp;"|"&amp;E1872</f>
        <v>BTU|4|Selasa|17:15</v>
      </c>
      <c r="B1872" s="76" t="s">
        <v>69</v>
      </c>
      <c r="C1872" s="76" t="n">
        <v>4</v>
      </c>
      <c r="D1872" s="76" t="s">
        <v>91</v>
      </c>
      <c r="E1872" s="76" t="s">
        <v>107</v>
      </c>
      <c r="F1872" s="77" t="s">
        <v>210</v>
      </c>
      <c r="G1872" s="77" t="n">
        <v>4</v>
      </c>
      <c r="H1872" s="77" t="n">
        <v>0</v>
      </c>
      <c r="I1872" s="76" t="n">
        <f aca="false">IF(AND(ISNUMBER(G1872),ISNUMBER(H1872)),MAX(G1872-H1872,0),"")</f>
        <v>4</v>
      </c>
      <c r="J1872" s="78" t="n">
        <f aca="false">IF(AND(ISNUMBER(G1872),ISNUMBER(H1872)),IF(G1872&gt;0,H1872/G1872,""),"")</f>
        <v>0</v>
      </c>
      <c r="K1872" s="77"/>
      <c r="L1872" s="76" t="str">
        <f aca="false">IF(OR(G1872="",H1872=""),"Data tidak lengkap",IF(AND(G1872=0,H1872=0),IF(AND(F1872="",K1872=""),"Tidak dibuka","Tutup"),IF(H1872&gt;G1872,"Lebih kapasitas",IF(H1872=G1872,"Penuh",IF(H1872=0,IF(F1872="","Slot kosong","Belum terisi"),"Sebagian")))))</f>
        <v>Belum terisi</v>
      </c>
      <c r="M1872" s="79" t="str">
        <f aca="false">IF(L1872="Tidak dibuka","–",IF(F1872="","(tanpa age group)",F1872)&amp;"  "&amp;IF(H1872="","?",H1872)&amp;"/"&amp;IF(G1872="","?",G1872)&amp;CHAR(10)&amp;IF(K1872="","coach: –","coach: "&amp;K1872))</f>
        <v>Kids  0/4
coach: –</v>
      </c>
    </row>
    <row r="1873" customFormat="false" ht="22.35" hidden="false" customHeight="false" outlineLevel="0" collapsed="false">
      <c r="A1873" s="76" t="str">
        <f aca="false">B1873&amp;"|"&amp;C1873&amp;"|"&amp;D1873&amp;"|"&amp;E1873</f>
        <v>BTU|4|Rabu|08:15</v>
      </c>
      <c r="B1873" s="76" t="s">
        <v>69</v>
      </c>
      <c r="C1873" s="76" t="n">
        <v>4</v>
      </c>
      <c r="D1873" s="76" t="s">
        <v>92</v>
      </c>
      <c r="E1873" s="76" t="s">
        <v>96</v>
      </c>
      <c r="F1873" s="77" t="s">
        <v>210</v>
      </c>
      <c r="G1873" s="77" t="n">
        <v>4</v>
      </c>
      <c r="H1873" s="77" t="n">
        <v>0</v>
      </c>
      <c r="I1873" s="76" t="n">
        <f aca="false">IF(AND(ISNUMBER(G1873),ISNUMBER(H1873)),MAX(G1873-H1873,0),"")</f>
        <v>4</v>
      </c>
      <c r="J1873" s="78" t="n">
        <f aca="false">IF(AND(ISNUMBER(G1873),ISNUMBER(H1873)),IF(G1873&gt;0,H1873/G1873,""),"")</f>
        <v>0</v>
      </c>
      <c r="K1873" s="77"/>
      <c r="L1873" s="76" t="str">
        <f aca="false">IF(OR(G1873="",H1873=""),"Data tidak lengkap",IF(AND(G1873=0,H1873=0),IF(AND(F1873="",K1873=""),"Tidak dibuka","Tutup"),IF(H1873&gt;G1873,"Lebih kapasitas",IF(H1873=G1873,"Penuh",IF(H1873=0,IF(F1873="","Slot kosong","Belum terisi"),"Sebagian")))))</f>
        <v>Belum terisi</v>
      </c>
      <c r="M1873" s="79" t="str">
        <f aca="false">IF(L1873="Tidak dibuka","–",IF(F1873="","(tanpa age group)",F1873)&amp;"  "&amp;IF(H1873="","?",H1873)&amp;"/"&amp;IF(G1873="","?",G1873)&amp;CHAR(10)&amp;IF(K1873="","coach: –","coach: "&amp;K1873))</f>
        <v>Kids  0/4
coach: –</v>
      </c>
    </row>
    <row r="1874" customFormat="false" ht="22.35" hidden="false" customHeight="false" outlineLevel="0" collapsed="false">
      <c r="A1874" s="76" t="str">
        <f aca="false">B1874&amp;"|"&amp;C1874&amp;"|"&amp;D1874&amp;"|"&amp;E1874</f>
        <v>BTU|4|Rabu|09:00</v>
      </c>
      <c r="B1874" s="76" t="s">
        <v>69</v>
      </c>
      <c r="C1874" s="76" t="n">
        <v>4</v>
      </c>
      <c r="D1874" s="76" t="s">
        <v>92</v>
      </c>
      <c r="E1874" s="76" t="s">
        <v>97</v>
      </c>
      <c r="F1874" s="77" t="s">
        <v>210</v>
      </c>
      <c r="G1874" s="77" t="n">
        <v>4</v>
      </c>
      <c r="H1874" s="77" t="n">
        <v>0</v>
      </c>
      <c r="I1874" s="76" t="n">
        <f aca="false">IF(AND(ISNUMBER(G1874),ISNUMBER(H1874)),MAX(G1874-H1874,0),"")</f>
        <v>4</v>
      </c>
      <c r="J1874" s="78" t="n">
        <f aca="false">IF(AND(ISNUMBER(G1874),ISNUMBER(H1874)),IF(G1874&gt;0,H1874/G1874,""),"")</f>
        <v>0</v>
      </c>
      <c r="K1874" s="77"/>
      <c r="L1874" s="76" t="str">
        <f aca="false">IF(OR(G1874="",H1874=""),"Data tidak lengkap",IF(AND(G1874=0,H1874=0),IF(AND(F1874="",K1874=""),"Tidak dibuka","Tutup"),IF(H1874&gt;G1874,"Lebih kapasitas",IF(H1874=G1874,"Penuh",IF(H1874=0,IF(F1874="","Slot kosong","Belum terisi"),"Sebagian")))))</f>
        <v>Belum terisi</v>
      </c>
      <c r="M1874" s="79" t="str">
        <f aca="false">IF(L1874="Tidak dibuka","–",IF(F1874="","(tanpa age group)",F1874)&amp;"  "&amp;IF(H1874="","?",H1874)&amp;"/"&amp;IF(G1874="","?",G1874)&amp;CHAR(10)&amp;IF(K1874="","coach: –","coach: "&amp;K1874))</f>
        <v>Kids  0/4
coach: –</v>
      </c>
    </row>
    <row r="1875" customFormat="false" ht="22.35" hidden="false" customHeight="false" outlineLevel="0" collapsed="false">
      <c r="A1875" s="76" t="str">
        <f aca="false">B1875&amp;"|"&amp;C1875&amp;"|"&amp;D1875&amp;"|"&amp;E1875</f>
        <v>BTU|4|Rabu|09:45</v>
      </c>
      <c r="B1875" s="76" t="s">
        <v>69</v>
      </c>
      <c r="C1875" s="76" t="n">
        <v>4</v>
      </c>
      <c r="D1875" s="76" t="s">
        <v>92</v>
      </c>
      <c r="E1875" s="76" t="s">
        <v>98</v>
      </c>
      <c r="F1875" s="77" t="s">
        <v>210</v>
      </c>
      <c r="G1875" s="77" t="n">
        <v>4</v>
      </c>
      <c r="H1875" s="77" t="n">
        <v>0</v>
      </c>
      <c r="I1875" s="76" t="n">
        <f aca="false">IF(AND(ISNUMBER(G1875),ISNUMBER(H1875)),MAX(G1875-H1875,0),"")</f>
        <v>4</v>
      </c>
      <c r="J1875" s="78" t="n">
        <f aca="false">IF(AND(ISNUMBER(G1875),ISNUMBER(H1875)),IF(G1875&gt;0,H1875/G1875,""),"")</f>
        <v>0</v>
      </c>
      <c r="K1875" s="77"/>
      <c r="L1875" s="76" t="str">
        <f aca="false">IF(OR(G1875="",H1875=""),"Data tidak lengkap",IF(AND(G1875=0,H1875=0),IF(AND(F1875="",K1875=""),"Tidak dibuka","Tutup"),IF(H1875&gt;G1875,"Lebih kapasitas",IF(H1875=G1875,"Penuh",IF(H1875=0,IF(F1875="","Slot kosong","Belum terisi"),"Sebagian")))))</f>
        <v>Belum terisi</v>
      </c>
      <c r="M1875" s="79" t="str">
        <f aca="false">IF(L1875="Tidak dibuka","–",IF(F1875="","(tanpa age group)",F1875)&amp;"  "&amp;IF(H1875="","?",H1875)&amp;"/"&amp;IF(G1875="","?",G1875)&amp;CHAR(10)&amp;IF(K1875="","coach: –","coach: "&amp;K1875))</f>
        <v>Kids  0/4
coach: –</v>
      </c>
    </row>
    <row r="1876" customFormat="false" ht="22.35" hidden="false" customHeight="false" outlineLevel="0" collapsed="false">
      <c r="A1876" s="76" t="str">
        <f aca="false">B1876&amp;"|"&amp;C1876&amp;"|"&amp;D1876&amp;"|"&amp;E1876</f>
        <v>BTU|4|Rabu|10:30</v>
      </c>
      <c r="B1876" s="76" t="s">
        <v>69</v>
      </c>
      <c r="C1876" s="76" t="n">
        <v>4</v>
      </c>
      <c r="D1876" s="76" t="s">
        <v>92</v>
      </c>
      <c r="E1876" s="76" t="s">
        <v>99</v>
      </c>
      <c r="F1876" s="77" t="s">
        <v>210</v>
      </c>
      <c r="G1876" s="77" t="n">
        <v>4</v>
      </c>
      <c r="H1876" s="77" t="n">
        <v>0</v>
      </c>
      <c r="I1876" s="76" t="n">
        <f aca="false">IF(AND(ISNUMBER(G1876),ISNUMBER(H1876)),MAX(G1876-H1876,0),"")</f>
        <v>4</v>
      </c>
      <c r="J1876" s="78" t="n">
        <f aca="false">IF(AND(ISNUMBER(G1876),ISNUMBER(H1876)),IF(G1876&gt;0,H1876/G1876,""),"")</f>
        <v>0</v>
      </c>
      <c r="K1876" s="77"/>
      <c r="L1876" s="76" t="str">
        <f aca="false">IF(OR(G1876="",H1876=""),"Data tidak lengkap",IF(AND(G1876=0,H1876=0),IF(AND(F1876="",K1876=""),"Tidak dibuka","Tutup"),IF(H1876&gt;G1876,"Lebih kapasitas",IF(H1876=G1876,"Penuh",IF(H1876=0,IF(F1876="","Slot kosong","Belum terisi"),"Sebagian")))))</f>
        <v>Belum terisi</v>
      </c>
      <c r="M1876" s="79" t="str">
        <f aca="false">IF(L1876="Tidak dibuka","–",IF(F1876="","(tanpa age group)",F1876)&amp;"  "&amp;IF(H1876="","?",H1876)&amp;"/"&amp;IF(G1876="","?",G1876)&amp;CHAR(10)&amp;IF(K1876="","coach: –","coach: "&amp;K1876))</f>
        <v>Kids  0/4
coach: –</v>
      </c>
    </row>
    <row r="1877" customFormat="false" ht="22.35" hidden="false" customHeight="false" outlineLevel="0" collapsed="false">
      <c r="A1877" s="76" t="str">
        <f aca="false">B1877&amp;"|"&amp;C1877&amp;"|"&amp;D1877&amp;"|"&amp;E1877</f>
        <v>BTU|4|Rabu|11:15</v>
      </c>
      <c r="B1877" s="76" t="s">
        <v>69</v>
      </c>
      <c r="C1877" s="76" t="n">
        <v>4</v>
      </c>
      <c r="D1877" s="76" t="s">
        <v>92</v>
      </c>
      <c r="E1877" s="76" t="s">
        <v>100</v>
      </c>
      <c r="F1877" s="77" t="s">
        <v>210</v>
      </c>
      <c r="G1877" s="77" t="n">
        <v>4</v>
      </c>
      <c r="H1877" s="77" t="n">
        <v>1</v>
      </c>
      <c r="I1877" s="76" t="n">
        <f aca="false">IF(AND(ISNUMBER(G1877),ISNUMBER(H1877)),MAX(G1877-H1877,0),"")</f>
        <v>3</v>
      </c>
      <c r="J1877" s="78" t="n">
        <f aca="false">IF(AND(ISNUMBER(G1877),ISNUMBER(H1877)),IF(G1877&gt;0,H1877/G1877,""),"")</f>
        <v>0.25</v>
      </c>
      <c r="K1877" s="77" t="s">
        <v>435</v>
      </c>
      <c r="L1877" s="76" t="str">
        <f aca="false">IF(OR(G1877="",H1877=""),"Data tidak lengkap",IF(AND(G1877=0,H1877=0),IF(AND(F1877="",K1877=""),"Tidak dibuka","Tutup"),IF(H1877&gt;G1877,"Lebih kapasitas",IF(H1877=G1877,"Penuh",IF(H1877=0,IF(F1877="","Slot kosong","Belum terisi"),"Sebagian")))))</f>
        <v>Sebagian</v>
      </c>
      <c r="M1877" s="79" t="str">
        <f aca="false">IF(L1877="Tidak dibuka","–",IF(F1877="","(tanpa age group)",F1877)&amp;"  "&amp;IF(H1877="","?",H1877)&amp;"/"&amp;IF(G1877="","?",G1877)&amp;CHAR(10)&amp;IF(K1877="","coach: –","coach: "&amp;K1877))</f>
        <v>Kids  1/4
coach: Maulana</v>
      </c>
    </row>
    <row r="1878" customFormat="false" ht="22.35" hidden="false" customHeight="false" outlineLevel="0" collapsed="false">
      <c r="A1878" s="76" t="str">
        <f aca="false">B1878&amp;"|"&amp;C1878&amp;"|"&amp;D1878&amp;"|"&amp;E1878</f>
        <v>BTU|4|Rabu|12:00</v>
      </c>
      <c r="B1878" s="76" t="s">
        <v>69</v>
      </c>
      <c r="C1878" s="76" t="n">
        <v>4</v>
      </c>
      <c r="D1878" s="76" t="s">
        <v>92</v>
      </c>
      <c r="E1878" s="76" t="s">
        <v>101</v>
      </c>
      <c r="F1878" s="77" t="s">
        <v>210</v>
      </c>
      <c r="G1878" s="77" t="n">
        <v>4</v>
      </c>
      <c r="H1878" s="77" t="n">
        <v>0</v>
      </c>
      <c r="I1878" s="76" t="n">
        <f aca="false">IF(AND(ISNUMBER(G1878),ISNUMBER(H1878)),MAX(G1878-H1878,0),"")</f>
        <v>4</v>
      </c>
      <c r="J1878" s="78" t="n">
        <f aca="false">IF(AND(ISNUMBER(G1878),ISNUMBER(H1878)),IF(G1878&gt;0,H1878/G1878,""),"")</f>
        <v>0</v>
      </c>
      <c r="K1878" s="77"/>
      <c r="L1878" s="76" t="str">
        <f aca="false">IF(OR(G1878="",H1878=""),"Data tidak lengkap",IF(AND(G1878=0,H1878=0),IF(AND(F1878="",K1878=""),"Tidak dibuka","Tutup"),IF(H1878&gt;G1878,"Lebih kapasitas",IF(H1878=G1878,"Penuh",IF(H1878=0,IF(F1878="","Slot kosong","Belum terisi"),"Sebagian")))))</f>
        <v>Belum terisi</v>
      </c>
      <c r="M1878" s="79" t="str">
        <f aca="false">IF(L1878="Tidak dibuka","–",IF(F1878="","(tanpa age group)",F1878)&amp;"  "&amp;IF(H1878="","?",H1878)&amp;"/"&amp;IF(G1878="","?",G1878)&amp;CHAR(10)&amp;IF(K1878="","coach: –","coach: "&amp;K1878))</f>
        <v>Kids  0/4
coach: –</v>
      </c>
    </row>
    <row r="1879" customFormat="false" ht="22.35" hidden="false" customHeight="false" outlineLevel="0" collapsed="false">
      <c r="A1879" s="76" t="str">
        <f aca="false">B1879&amp;"|"&amp;C1879&amp;"|"&amp;D1879&amp;"|"&amp;E1879</f>
        <v>BTU|4|Rabu|13:30</v>
      </c>
      <c r="B1879" s="76" t="s">
        <v>69</v>
      </c>
      <c r="C1879" s="76" t="n">
        <v>4</v>
      </c>
      <c r="D1879" s="76" t="s">
        <v>92</v>
      </c>
      <c r="E1879" s="76" t="s">
        <v>102</v>
      </c>
      <c r="F1879" s="77" t="s">
        <v>210</v>
      </c>
      <c r="G1879" s="77" t="n">
        <v>4</v>
      </c>
      <c r="H1879" s="77" t="n">
        <v>0</v>
      </c>
      <c r="I1879" s="76" t="n">
        <f aca="false">IF(AND(ISNUMBER(G1879),ISNUMBER(H1879)),MAX(G1879-H1879,0),"")</f>
        <v>4</v>
      </c>
      <c r="J1879" s="78" t="n">
        <f aca="false">IF(AND(ISNUMBER(G1879),ISNUMBER(H1879)),IF(G1879&gt;0,H1879/G1879,""),"")</f>
        <v>0</v>
      </c>
      <c r="K1879" s="77"/>
      <c r="L1879" s="76" t="str">
        <f aca="false">IF(OR(G1879="",H1879=""),"Data tidak lengkap",IF(AND(G1879=0,H1879=0),IF(AND(F1879="",K1879=""),"Tidak dibuka","Tutup"),IF(H1879&gt;G1879,"Lebih kapasitas",IF(H1879=G1879,"Penuh",IF(H1879=0,IF(F1879="","Slot kosong","Belum terisi"),"Sebagian")))))</f>
        <v>Belum terisi</v>
      </c>
      <c r="M1879" s="79" t="str">
        <f aca="false">IF(L1879="Tidak dibuka","–",IF(F1879="","(tanpa age group)",F1879)&amp;"  "&amp;IF(H1879="","?",H1879)&amp;"/"&amp;IF(G1879="","?",G1879)&amp;CHAR(10)&amp;IF(K1879="","coach: –","coach: "&amp;K1879))</f>
        <v>Kids  0/4
coach: –</v>
      </c>
    </row>
    <row r="1880" customFormat="false" ht="22.35" hidden="false" customHeight="false" outlineLevel="0" collapsed="false">
      <c r="A1880" s="76" t="str">
        <f aca="false">B1880&amp;"|"&amp;C1880&amp;"|"&amp;D1880&amp;"|"&amp;E1880</f>
        <v>BTU|4|Rabu|14:15</v>
      </c>
      <c r="B1880" s="76" t="s">
        <v>69</v>
      </c>
      <c r="C1880" s="76" t="n">
        <v>4</v>
      </c>
      <c r="D1880" s="76" t="s">
        <v>92</v>
      </c>
      <c r="E1880" s="76" t="s">
        <v>103</v>
      </c>
      <c r="F1880" s="77" t="s">
        <v>210</v>
      </c>
      <c r="G1880" s="77" t="n">
        <v>4</v>
      </c>
      <c r="H1880" s="77" t="n">
        <v>0</v>
      </c>
      <c r="I1880" s="76" t="n">
        <f aca="false">IF(AND(ISNUMBER(G1880),ISNUMBER(H1880)),MAX(G1880-H1880,0),"")</f>
        <v>4</v>
      </c>
      <c r="J1880" s="78" t="n">
        <f aca="false">IF(AND(ISNUMBER(G1880),ISNUMBER(H1880)),IF(G1880&gt;0,H1880/G1880,""),"")</f>
        <v>0</v>
      </c>
      <c r="K1880" s="77"/>
      <c r="L1880" s="76" t="str">
        <f aca="false">IF(OR(G1880="",H1880=""),"Data tidak lengkap",IF(AND(G1880=0,H1880=0),IF(AND(F1880="",K1880=""),"Tidak dibuka","Tutup"),IF(H1880&gt;G1880,"Lebih kapasitas",IF(H1880=G1880,"Penuh",IF(H1880=0,IF(F1880="","Slot kosong","Belum terisi"),"Sebagian")))))</f>
        <v>Belum terisi</v>
      </c>
      <c r="M1880" s="79" t="str">
        <f aca="false">IF(L1880="Tidak dibuka","–",IF(F1880="","(tanpa age group)",F1880)&amp;"  "&amp;IF(H1880="","?",H1880)&amp;"/"&amp;IF(G1880="","?",G1880)&amp;CHAR(10)&amp;IF(K1880="","coach: –","coach: "&amp;K1880))</f>
        <v>Kids  0/4
coach: –</v>
      </c>
    </row>
    <row r="1881" customFormat="false" ht="22.35" hidden="false" customHeight="false" outlineLevel="0" collapsed="false">
      <c r="A1881" s="76" t="str">
        <f aca="false">B1881&amp;"|"&amp;C1881&amp;"|"&amp;D1881&amp;"|"&amp;E1881</f>
        <v>BTU|4|Rabu|15:00</v>
      </c>
      <c r="B1881" s="76" t="s">
        <v>69</v>
      </c>
      <c r="C1881" s="76" t="n">
        <v>4</v>
      </c>
      <c r="D1881" s="76" t="s">
        <v>92</v>
      </c>
      <c r="E1881" s="76" t="s">
        <v>104</v>
      </c>
      <c r="F1881" s="77" t="s">
        <v>210</v>
      </c>
      <c r="G1881" s="77" t="n">
        <v>4</v>
      </c>
      <c r="H1881" s="77" t="n">
        <v>3</v>
      </c>
      <c r="I1881" s="76" t="n">
        <f aca="false">IF(AND(ISNUMBER(G1881),ISNUMBER(H1881)),MAX(G1881-H1881,0),"")</f>
        <v>1</v>
      </c>
      <c r="J1881" s="78" t="n">
        <f aca="false">IF(AND(ISNUMBER(G1881),ISNUMBER(H1881)),IF(G1881&gt;0,H1881/G1881,""),"")</f>
        <v>0.75</v>
      </c>
      <c r="K1881" s="77" t="s">
        <v>435</v>
      </c>
      <c r="L1881" s="76" t="str">
        <f aca="false">IF(OR(G1881="",H1881=""),"Data tidak lengkap",IF(AND(G1881=0,H1881=0),IF(AND(F1881="",K1881=""),"Tidak dibuka","Tutup"),IF(H1881&gt;G1881,"Lebih kapasitas",IF(H1881=G1881,"Penuh",IF(H1881=0,IF(F1881="","Slot kosong","Belum terisi"),"Sebagian")))))</f>
        <v>Sebagian</v>
      </c>
      <c r="M1881" s="79" t="str">
        <f aca="false">IF(L1881="Tidak dibuka","–",IF(F1881="","(tanpa age group)",F1881)&amp;"  "&amp;IF(H1881="","?",H1881)&amp;"/"&amp;IF(G1881="","?",G1881)&amp;CHAR(10)&amp;IF(K1881="","coach: –","coach: "&amp;K1881))</f>
        <v>Kids  3/4
coach: Maulana</v>
      </c>
    </row>
    <row r="1882" customFormat="false" ht="22.35" hidden="false" customHeight="false" outlineLevel="0" collapsed="false">
      <c r="A1882" s="76" t="str">
        <f aca="false">B1882&amp;"|"&amp;C1882&amp;"|"&amp;D1882&amp;"|"&amp;E1882</f>
        <v>BTU|4|Rabu|15:45</v>
      </c>
      <c r="B1882" s="76" t="s">
        <v>69</v>
      </c>
      <c r="C1882" s="76" t="n">
        <v>4</v>
      </c>
      <c r="D1882" s="76" t="s">
        <v>92</v>
      </c>
      <c r="E1882" s="76" t="s">
        <v>105</v>
      </c>
      <c r="F1882" s="77" t="s">
        <v>210</v>
      </c>
      <c r="G1882" s="77" t="n">
        <v>4</v>
      </c>
      <c r="H1882" s="77" t="n">
        <v>0</v>
      </c>
      <c r="I1882" s="76" t="n">
        <f aca="false">IF(AND(ISNUMBER(G1882),ISNUMBER(H1882)),MAX(G1882-H1882,0),"")</f>
        <v>4</v>
      </c>
      <c r="J1882" s="78" t="n">
        <f aca="false">IF(AND(ISNUMBER(G1882),ISNUMBER(H1882)),IF(G1882&gt;0,H1882/G1882,""),"")</f>
        <v>0</v>
      </c>
      <c r="K1882" s="77"/>
      <c r="L1882" s="76" t="str">
        <f aca="false">IF(OR(G1882="",H1882=""),"Data tidak lengkap",IF(AND(G1882=0,H1882=0),IF(AND(F1882="",K1882=""),"Tidak dibuka","Tutup"),IF(H1882&gt;G1882,"Lebih kapasitas",IF(H1882=G1882,"Penuh",IF(H1882=0,IF(F1882="","Slot kosong","Belum terisi"),"Sebagian")))))</f>
        <v>Belum terisi</v>
      </c>
      <c r="M1882" s="79" t="str">
        <f aca="false">IF(L1882="Tidak dibuka","–",IF(F1882="","(tanpa age group)",F1882)&amp;"  "&amp;IF(H1882="","?",H1882)&amp;"/"&amp;IF(G1882="","?",G1882)&amp;CHAR(10)&amp;IF(K1882="","coach: –","coach: "&amp;K1882))</f>
        <v>Kids  0/4
coach: –</v>
      </c>
    </row>
    <row r="1883" customFormat="false" ht="22.35" hidden="false" customHeight="false" outlineLevel="0" collapsed="false">
      <c r="A1883" s="76" t="str">
        <f aca="false">B1883&amp;"|"&amp;C1883&amp;"|"&amp;D1883&amp;"|"&amp;E1883</f>
        <v>BTU|4|Rabu|16:30</v>
      </c>
      <c r="B1883" s="76" t="s">
        <v>69</v>
      </c>
      <c r="C1883" s="76" t="n">
        <v>4</v>
      </c>
      <c r="D1883" s="76" t="s">
        <v>92</v>
      </c>
      <c r="E1883" s="76" t="s">
        <v>106</v>
      </c>
      <c r="F1883" s="77" t="s">
        <v>210</v>
      </c>
      <c r="G1883" s="77" t="n">
        <v>4</v>
      </c>
      <c r="H1883" s="77" t="n">
        <v>4</v>
      </c>
      <c r="I1883" s="76" t="n">
        <f aca="false">IF(AND(ISNUMBER(G1883),ISNUMBER(H1883)),MAX(G1883-H1883,0),"")</f>
        <v>0</v>
      </c>
      <c r="J1883" s="78" t="n">
        <f aca="false">IF(AND(ISNUMBER(G1883),ISNUMBER(H1883)),IF(G1883&gt;0,H1883/G1883,""),"")</f>
        <v>1</v>
      </c>
      <c r="K1883" s="77" t="s">
        <v>433</v>
      </c>
      <c r="L1883" s="76" t="str">
        <f aca="false">IF(OR(G1883="",H1883=""),"Data tidak lengkap",IF(AND(G1883=0,H1883=0),IF(AND(F1883="",K1883=""),"Tidak dibuka","Tutup"),IF(H1883&gt;G1883,"Lebih kapasitas",IF(H1883=G1883,"Penuh",IF(H1883=0,IF(F1883="","Slot kosong","Belum terisi"),"Sebagian")))))</f>
        <v>Penuh</v>
      </c>
      <c r="M1883" s="79" t="str">
        <f aca="false">IF(L1883="Tidak dibuka","–",IF(F1883="","(tanpa age group)",F1883)&amp;"  "&amp;IF(H1883="","?",H1883)&amp;"/"&amp;IF(G1883="","?",G1883)&amp;CHAR(10)&amp;IF(K1883="","coach: –","coach: "&amp;K1883))</f>
        <v>Kids  4/4
coach: Shofi</v>
      </c>
    </row>
    <row r="1884" customFormat="false" ht="22.35" hidden="false" customHeight="false" outlineLevel="0" collapsed="false">
      <c r="A1884" s="76" t="str">
        <f aca="false">B1884&amp;"|"&amp;C1884&amp;"|"&amp;D1884&amp;"|"&amp;E1884</f>
        <v>BTU|4|Rabu|17:15</v>
      </c>
      <c r="B1884" s="76" t="s">
        <v>69</v>
      </c>
      <c r="C1884" s="76" t="n">
        <v>4</v>
      </c>
      <c r="D1884" s="76" t="s">
        <v>92</v>
      </c>
      <c r="E1884" s="76" t="s">
        <v>107</v>
      </c>
      <c r="F1884" s="77" t="s">
        <v>210</v>
      </c>
      <c r="G1884" s="77" t="n">
        <v>4</v>
      </c>
      <c r="H1884" s="77" t="n">
        <v>0</v>
      </c>
      <c r="I1884" s="76" t="n">
        <f aca="false">IF(AND(ISNUMBER(G1884),ISNUMBER(H1884)),MAX(G1884-H1884,0),"")</f>
        <v>4</v>
      </c>
      <c r="J1884" s="78" t="n">
        <f aca="false">IF(AND(ISNUMBER(G1884),ISNUMBER(H1884)),IF(G1884&gt;0,H1884/G1884,""),"")</f>
        <v>0</v>
      </c>
      <c r="K1884" s="77"/>
      <c r="L1884" s="76" t="str">
        <f aca="false">IF(OR(G1884="",H1884=""),"Data tidak lengkap",IF(AND(G1884=0,H1884=0),IF(AND(F1884="",K1884=""),"Tidak dibuka","Tutup"),IF(H1884&gt;G1884,"Lebih kapasitas",IF(H1884=G1884,"Penuh",IF(H1884=0,IF(F1884="","Slot kosong","Belum terisi"),"Sebagian")))))</f>
        <v>Belum terisi</v>
      </c>
      <c r="M1884" s="79" t="str">
        <f aca="false">IF(L1884="Tidak dibuka","–",IF(F1884="","(tanpa age group)",F1884)&amp;"  "&amp;IF(H1884="","?",H1884)&amp;"/"&amp;IF(G1884="","?",G1884)&amp;CHAR(10)&amp;IF(K1884="","coach: –","coach: "&amp;K1884))</f>
        <v>Kids  0/4
coach: –</v>
      </c>
    </row>
    <row r="1885" customFormat="false" ht="22.35" hidden="false" customHeight="false" outlineLevel="0" collapsed="false">
      <c r="A1885" s="76" t="str">
        <f aca="false">B1885&amp;"|"&amp;C1885&amp;"|"&amp;D1885&amp;"|"&amp;E1885</f>
        <v>BTU|4|Kamis|08:15</v>
      </c>
      <c r="B1885" s="76" t="s">
        <v>69</v>
      </c>
      <c r="C1885" s="76" t="n">
        <v>4</v>
      </c>
      <c r="D1885" s="76" t="s">
        <v>93</v>
      </c>
      <c r="E1885" s="76" t="s">
        <v>96</v>
      </c>
      <c r="F1885" s="77" t="s">
        <v>210</v>
      </c>
      <c r="G1885" s="77" t="n">
        <v>4</v>
      </c>
      <c r="H1885" s="77" t="n">
        <v>0</v>
      </c>
      <c r="I1885" s="76" t="n">
        <f aca="false">IF(AND(ISNUMBER(G1885),ISNUMBER(H1885)),MAX(G1885-H1885,0),"")</f>
        <v>4</v>
      </c>
      <c r="J1885" s="78" t="n">
        <f aca="false">IF(AND(ISNUMBER(G1885),ISNUMBER(H1885)),IF(G1885&gt;0,H1885/G1885,""),"")</f>
        <v>0</v>
      </c>
      <c r="K1885" s="77"/>
      <c r="L1885" s="76" t="str">
        <f aca="false">IF(OR(G1885="",H1885=""),"Data tidak lengkap",IF(AND(G1885=0,H1885=0),IF(AND(F1885="",K1885=""),"Tidak dibuka","Tutup"),IF(H1885&gt;G1885,"Lebih kapasitas",IF(H1885=G1885,"Penuh",IF(H1885=0,IF(F1885="","Slot kosong","Belum terisi"),"Sebagian")))))</f>
        <v>Belum terisi</v>
      </c>
      <c r="M1885" s="79" t="str">
        <f aca="false">IF(L1885="Tidak dibuka","–",IF(F1885="","(tanpa age group)",F1885)&amp;"  "&amp;IF(H1885="","?",H1885)&amp;"/"&amp;IF(G1885="","?",G1885)&amp;CHAR(10)&amp;IF(K1885="","coach: –","coach: "&amp;K1885))</f>
        <v>Kids  0/4
coach: –</v>
      </c>
    </row>
    <row r="1886" customFormat="false" ht="22.35" hidden="false" customHeight="false" outlineLevel="0" collapsed="false">
      <c r="A1886" s="76" t="str">
        <f aca="false">B1886&amp;"|"&amp;C1886&amp;"|"&amp;D1886&amp;"|"&amp;E1886</f>
        <v>BTU|4|Kamis|09:00</v>
      </c>
      <c r="B1886" s="76" t="s">
        <v>69</v>
      </c>
      <c r="C1886" s="76" t="n">
        <v>4</v>
      </c>
      <c r="D1886" s="76" t="s">
        <v>93</v>
      </c>
      <c r="E1886" s="76" t="s">
        <v>97</v>
      </c>
      <c r="F1886" s="77" t="s">
        <v>210</v>
      </c>
      <c r="G1886" s="77" t="n">
        <v>4</v>
      </c>
      <c r="H1886" s="77" t="n">
        <v>0</v>
      </c>
      <c r="I1886" s="76" t="n">
        <f aca="false">IF(AND(ISNUMBER(G1886),ISNUMBER(H1886)),MAX(G1886-H1886,0),"")</f>
        <v>4</v>
      </c>
      <c r="J1886" s="78" t="n">
        <f aca="false">IF(AND(ISNUMBER(G1886),ISNUMBER(H1886)),IF(G1886&gt;0,H1886/G1886,""),"")</f>
        <v>0</v>
      </c>
      <c r="K1886" s="77"/>
      <c r="L1886" s="76" t="str">
        <f aca="false">IF(OR(G1886="",H1886=""),"Data tidak lengkap",IF(AND(G1886=0,H1886=0),IF(AND(F1886="",K1886=""),"Tidak dibuka","Tutup"),IF(H1886&gt;G1886,"Lebih kapasitas",IF(H1886=G1886,"Penuh",IF(H1886=0,IF(F1886="","Slot kosong","Belum terisi"),"Sebagian")))))</f>
        <v>Belum terisi</v>
      </c>
      <c r="M1886" s="79" t="str">
        <f aca="false">IF(L1886="Tidak dibuka","–",IF(F1886="","(tanpa age group)",F1886)&amp;"  "&amp;IF(H1886="","?",H1886)&amp;"/"&amp;IF(G1886="","?",G1886)&amp;CHAR(10)&amp;IF(K1886="","coach: –","coach: "&amp;K1886))</f>
        <v>Kids  0/4
coach: –</v>
      </c>
    </row>
    <row r="1887" customFormat="false" ht="22.35" hidden="false" customHeight="false" outlineLevel="0" collapsed="false">
      <c r="A1887" s="76" t="str">
        <f aca="false">B1887&amp;"|"&amp;C1887&amp;"|"&amp;D1887&amp;"|"&amp;E1887</f>
        <v>BTU|4|Kamis|09:45</v>
      </c>
      <c r="B1887" s="76" t="s">
        <v>69</v>
      </c>
      <c r="C1887" s="76" t="n">
        <v>4</v>
      </c>
      <c r="D1887" s="76" t="s">
        <v>93</v>
      </c>
      <c r="E1887" s="76" t="s">
        <v>98</v>
      </c>
      <c r="F1887" s="77" t="s">
        <v>210</v>
      </c>
      <c r="G1887" s="77" t="n">
        <v>4</v>
      </c>
      <c r="H1887" s="77" t="n">
        <v>0</v>
      </c>
      <c r="I1887" s="76" t="n">
        <f aca="false">IF(AND(ISNUMBER(G1887),ISNUMBER(H1887)),MAX(G1887-H1887,0),"")</f>
        <v>4</v>
      </c>
      <c r="J1887" s="78" t="n">
        <f aca="false">IF(AND(ISNUMBER(G1887),ISNUMBER(H1887)),IF(G1887&gt;0,H1887/G1887,""),"")</f>
        <v>0</v>
      </c>
      <c r="K1887" s="77"/>
      <c r="L1887" s="76" t="str">
        <f aca="false">IF(OR(G1887="",H1887=""),"Data tidak lengkap",IF(AND(G1887=0,H1887=0),IF(AND(F1887="",K1887=""),"Tidak dibuka","Tutup"),IF(H1887&gt;G1887,"Lebih kapasitas",IF(H1887=G1887,"Penuh",IF(H1887=0,IF(F1887="","Slot kosong","Belum terisi"),"Sebagian")))))</f>
        <v>Belum terisi</v>
      </c>
      <c r="M1887" s="79" t="str">
        <f aca="false">IF(L1887="Tidak dibuka","–",IF(F1887="","(tanpa age group)",F1887)&amp;"  "&amp;IF(H1887="","?",H1887)&amp;"/"&amp;IF(G1887="","?",G1887)&amp;CHAR(10)&amp;IF(K1887="","coach: –","coach: "&amp;K1887))</f>
        <v>Kids  0/4
coach: –</v>
      </c>
    </row>
    <row r="1888" customFormat="false" ht="22.35" hidden="false" customHeight="false" outlineLevel="0" collapsed="false">
      <c r="A1888" s="76" t="str">
        <f aca="false">B1888&amp;"|"&amp;C1888&amp;"|"&amp;D1888&amp;"|"&amp;E1888</f>
        <v>BTU|4|Kamis|10:30</v>
      </c>
      <c r="B1888" s="76" t="s">
        <v>69</v>
      </c>
      <c r="C1888" s="76" t="n">
        <v>4</v>
      </c>
      <c r="D1888" s="76" t="s">
        <v>93</v>
      </c>
      <c r="E1888" s="76" t="s">
        <v>99</v>
      </c>
      <c r="F1888" s="77" t="s">
        <v>210</v>
      </c>
      <c r="G1888" s="77" t="n">
        <v>4</v>
      </c>
      <c r="H1888" s="77" t="n">
        <v>0</v>
      </c>
      <c r="I1888" s="76" t="n">
        <f aca="false">IF(AND(ISNUMBER(G1888),ISNUMBER(H1888)),MAX(G1888-H1888,0),"")</f>
        <v>4</v>
      </c>
      <c r="J1888" s="78" t="n">
        <f aca="false">IF(AND(ISNUMBER(G1888),ISNUMBER(H1888)),IF(G1888&gt;0,H1888/G1888,""),"")</f>
        <v>0</v>
      </c>
      <c r="K1888" s="77"/>
      <c r="L1888" s="76" t="str">
        <f aca="false">IF(OR(G1888="",H1888=""),"Data tidak lengkap",IF(AND(G1888=0,H1888=0),IF(AND(F1888="",K1888=""),"Tidak dibuka","Tutup"),IF(H1888&gt;G1888,"Lebih kapasitas",IF(H1888=G1888,"Penuh",IF(H1888=0,IF(F1888="","Slot kosong","Belum terisi"),"Sebagian")))))</f>
        <v>Belum terisi</v>
      </c>
      <c r="M1888" s="79" t="str">
        <f aca="false">IF(L1888="Tidak dibuka","–",IF(F1888="","(tanpa age group)",F1888)&amp;"  "&amp;IF(H1888="","?",H1888)&amp;"/"&amp;IF(G1888="","?",G1888)&amp;CHAR(10)&amp;IF(K1888="","coach: –","coach: "&amp;K1888))</f>
        <v>Kids  0/4
coach: –</v>
      </c>
    </row>
    <row r="1889" customFormat="false" ht="22.35" hidden="false" customHeight="false" outlineLevel="0" collapsed="false">
      <c r="A1889" s="76" t="str">
        <f aca="false">B1889&amp;"|"&amp;C1889&amp;"|"&amp;D1889&amp;"|"&amp;E1889</f>
        <v>BTU|4|Kamis|11:15</v>
      </c>
      <c r="B1889" s="76" t="s">
        <v>69</v>
      </c>
      <c r="C1889" s="76" t="n">
        <v>4</v>
      </c>
      <c r="D1889" s="76" t="s">
        <v>93</v>
      </c>
      <c r="E1889" s="76" t="s">
        <v>100</v>
      </c>
      <c r="F1889" s="77" t="s">
        <v>210</v>
      </c>
      <c r="G1889" s="77" t="n">
        <v>4</v>
      </c>
      <c r="H1889" s="77" t="n">
        <v>0</v>
      </c>
      <c r="I1889" s="76" t="n">
        <f aca="false">IF(AND(ISNUMBER(G1889),ISNUMBER(H1889)),MAX(G1889-H1889,0),"")</f>
        <v>4</v>
      </c>
      <c r="J1889" s="78" t="n">
        <f aca="false">IF(AND(ISNUMBER(G1889),ISNUMBER(H1889)),IF(G1889&gt;0,H1889/G1889,""),"")</f>
        <v>0</v>
      </c>
      <c r="K1889" s="77"/>
      <c r="L1889" s="76" t="str">
        <f aca="false">IF(OR(G1889="",H1889=""),"Data tidak lengkap",IF(AND(G1889=0,H1889=0),IF(AND(F1889="",K1889=""),"Tidak dibuka","Tutup"),IF(H1889&gt;G1889,"Lebih kapasitas",IF(H1889=G1889,"Penuh",IF(H1889=0,IF(F1889="","Slot kosong","Belum terisi"),"Sebagian")))))</f>
        <v>Belum terisi</v>
      </c>
      <c r="M1889" s="79" t="str">
        <f aca="false">IF(L1889="Tidak dibuka","–",IF(F1889="","(tanpa age group)",F1889)&amp;"  "&amp;IF(H1889="","?",H1889)&amp;"/"&amp;IF(G1889="","?",G1889)&amp;CHAR(10)&amp;IF(K1889="","coach: –","coach: "&amp;K1889))</f>
        <v>Kids  0/4
coach: –</v>
      </c>
    </row>
    <row r="1890" customFormat="false" ht="22.35" hidden="false" customHeight="false" outlineLevel="0" collapsed="false">
      <c r="A1890" s="76" t="str">
        <f aca="false">B1890&amp;"|"&amp;C1890&amp;"|"&amp;D1890&amp;"|"&amp;E1890</f>
        <v>BTU|4|Kamis|12:00</v>
      </c>
      <c r="B1890" s="76" t="s">
        <v>69</v>
      </c>
      <c r="C1890" s="76" t="n">
        <v>4</v>
      </c>
      <c r="D1890" s="76" t="s">
        <v>93</v>
      </c>
      <c r="E1890" s="76" t="s">
        <v>101</v>
      </c>
      <c r="F1890" s="77" t="s">
        <v>210</v>
      </c>
      <c r="G1890" s="77" t="n">
        <v>4</v>
      </c>
      <c r="H1890" s="77" t="n">
        <v>0</v>
      </c>
      <c r="I1890" s="76" t="n">
        <f aca="false">IF(AND(ISNUMBER(G1890),ISNUMBER(H1890)),MAX(G1890-H1890,0),"")</f>
        <v>4</v>
      </c>
      <c r="J1890" s="78" t="n">
        <f aca="false">IF(AND(ISNUMBER(G1890),ISNUMBER(H1890)),IF(G1890&gt;0,H1890/G1890,""),"")</f>
        <v>0</v>
      </c>
      <c r="K1890" s="77"/>
      <c r="L1890" s="76" t="str">
        <f aca="false">IF(OR(G1890="",H1890=""),"Data tidak lengkap",IF(AND(G1890=0,H1890=0),IF(AND(F1890="",K1890=""),"Tidak dibuka","Tutup"),IF(H1890&gt;G1890,"Lebih kapasitas",IF(H1890=G1890,"Penuh",IF(H1890=0,IF(F1890="","Slot kosong","Belum terisi"),"Sebagian")))))</f>
        <v>Belum terisi</v>
      </c>
      <c r="M1890" s="79" t="str">
        <f aca="false">IF(L1890="Tidak dibuka","–",IF(F1890="","(tanpa age group)",F1890)&amp;"  "&amp;IF(H1890="","?",H1890)&amp;"/"&amp;IF(G1890="","?",G1890)&amp;CHAR(10)&amp;IF(K1890="","coach: –","coach: "&amp;K1890))</f>
        <v>Kids  0/4
coach: –</v>
      </c>
    </row>
    <row r="1891" customFormat="false" ht="22.35" hidden="false" customHeight="false" outlineLevel="0" collapsed="false">
      <c r="A1891" s="76" t="str">
        <f aca="false">B1891&amp;"|"&amp;C1891&amp;"|"&amp;D1891&amp;"|"&amp;E1891</f>
        <v>BTU|4|Kamis|13:30</v>
      </c>
      <c r="B1891" s="76" t="s">
        <v>69</v>
      </c>
      <c r="C1891" s="76" t="n">
        <v>4</v>
      </c>
      <c r="D1891" s="76" t="s">
        <v>93</v>
      </c>
      <c r="E1891" s="76" t="s">
        <v>102</v>
      </c>
      <c r="F1891" s="77" t="s">
        <v>210</v>
      </c>
      <c r="G1891" s="77" t="n">
        <v>4</v>
      </c>
      <c r="H1891" s="77" t="n">
        <v>0</v>
      </c>
      <c r="I1891" s="76" t="n">
        <f aca="false">IF(AND(ISNUMBER(G1891),ISNUMBER(H1891)),MAX(G1891-H1891,0),"")</f>
        <v>4</v>
      </c>
      <c r="J1891" s="78" t="n">
        <f aca="false">IF(AND(ISNUMBER(G1891),ISNUMBER(H1891)),IF(G1891&gt;0,H1891/G1891,""),"")</f>
        <v>0</v>
      </c>
      <c r="K1891" s="77"/>
      <c r="L1891" s="76" t="str">
        <f aca="false">IF(OR(G1891="",H1891=""),"Data tidak lengkap",IF(AND(G1891=0,H1891=0),IF(AND(F1891="",K1891=""),"Tidak dibuka","Tutup"),IF(H1891&gt;G1891,"Lebih kapasitas",IF(H1891=G1891,"Penuh",IF(H1891=0,IF(F1891="","Slot kosong","Belum terisi"),"Sebagian")))))</f>
        <v>Belum terisi</v>
      </c>
      <c r="M1891" s="79" t="str">
        <f aca="false">IF(L1891="Tidak dibuka","–",IF(F1891="","(tanpa age group)",F1891)&amp;"  "&amp;IF(H1891="","?",H1891)&amp;"/"&amp;IF(G1891="","?",G1891)&amp;CHAR(10)&amp;IF(K1891="","coach: –","coach: "&amp;K1891))</f>
        <v>Kids  0/4
coach: –</v>
      </c>
    </row>
    <row r="1892" customFormat="false" ht="22.35" hidden="false" customHeight="false" outlineLevel="0" collapsed="false">
      <c r="A1892" s="76" t="str">
        <f aca="false">B1892&amp;"|"&amp;C1892&amp;"|"&amp;D1892&amp;"|"&amp;E1892</f>
        <v>BTU|4|Kamis|14:15</v>
      </c>
      <c r="B1892" s="76" t="s">
        <v>69</v>
      </c>
      <c r="C1892" s="76" t="n">
        <v>4</v>
      </c>
      <c r="D1892" s="76" t="s">
        <v>93</v>
      </c>
      <c r="E1892" s="76" t="s">
        <v>103</v>
      </c>
      <c r="F1892" s="77" t="s">
        <v>210</v>
      </c>
      <c r="G1892" s="77" t="n">
        <v>4</v>
      </c>
      <c r="H1892" s="77" t="n">
        <v>0</v>
      </c>
      <c r="I1892" s="76" t="n">
        <f aca="false">IF(AND(ISNUMBER(G1892),ISNUMBER(H1892)),MAX(G1892-H1892,0),"")</f>
        <v>4</v>
      </c>
      <c r="J1892" s="78" t="n">
        <f aca="false">IF(AND(ISNUMBER(G1892),ISNUMBER(H1892)),IF(G1892&gt;0,H1892/G1892,""),"")</f>
        <v>0</v>
      </c>
      <c r="K1892" s="77"/>
      <c r="L1892" s="76" t="str">
        <f aca="false">IF(OR(G1892="",H1892=""),"Data tidak lengkap",IF(AND(G1892=0,H1892=0),IF(AND(F1892="",K1892=""),"Tidak dibuka","Tutup"),IF(H1892&gt;G1892,"Lebih kapasitas",IF(H1892=G1892,"Penuh",IF(H1892=0,IF(F1892="","Slot kosong","Belum terisi"),"Sebagian")))))</f>
        <v>Belum terisi</v>
      </c>
      <c r="M1892" s="79" t="str">
        <f aca="false">IF(L1892="Tidak dibuka","–",IF(F1892="","(tanpa age group)",F1892)&amp;"  "&amp;IF(H1892="","?",H1892)&amp;"/"&amp;IF(G1892="","?",G1892)&amp;CHAR(10)&amp;IF(K1892="","coach: –","coach: "&amp;K1892))</f>
        <v>Kids  0/4
coach: –</v>
      </c>
    </row>
    <row r="1893" customFormat="false" ht="22.35" hidden="false" customHeight="false" outlineLevel="0" collapsed="false">
      <c r="A1893" s="76" t="str">
        <f aca="false">B1893&amp;"|"&amp;C1893&amp;"|"&amp;D1893&amp;"|"&amp;E1893</f>
        <v>BTU|4|Kamis|15:00</v>
      </c>
      <c r="B1893" s="76" t="s">
        <v>69</v>
      </c>
      <c r="C1893" s="76" t="n">
        <v>4</v>
      </c>
      <c r="D1893" s="76" t="s">
        <v>93</v>
      </c>
      <c r="E1893" s="76" t="s">
        <v>104</v>
      </c>
      <c r="F1893" s="77" t="s">
        <v>210</v>
      </c>
      <c r="G1893" s="77" t="n">
        <v>4</v>
      </c>
      <c r="H1893" s="77" t="n">
        <v>3</v>
      </c>
      <c r="I1893" s="76" t="n">
        <f aca="false">IF(AND(ISNUMBER(G1893),ISNUMBER(H1893)),MAX(G1893-H1893,0),"")</f>
        <v>1</v>
      </c>
      <c r="J1893" s="78" t="n">
        <f aca="false">IF(AND(ISNUMBER(G1893),ISNUMBER(H1893)),IF(G1893&gt;0,H1893/G1893,""),"")</f>
        <v>0.75</v>
      </c>
      <c r="K1893" s="77" t="s">
        <v>434</v>
      </c>
      <c r="L1893" s="76" t="str">
        <f aca="false">IF(OR(G1893="",H1893=""),"Data tidak lengkap",IF(AND(G1893=0,H1893=0),IF(AND(F1893="",K1893=""),"Tidak dibuka","Tutup"),IF(H1893&gt;G1893,"Lebih kapasitas",IF(H1893=G1893,"Penuh",IF(H1893=0,IF(F1893="","Slot kosong","Belum terisi"),"Sebagian")))))</f>
        <v>Sebagian</v>
      </c>
      <c r="M1893" s="79" t="str">
        <f aca="false">IF(L1893="Tidak dibuka","–",IF(F1893="","(tanpa age group)",F1893)&amp;"  "&amp;IF(H1893="","?",H1893)&amp;"/"&amp;IF(G1893="","?",G1893)&amp;CHAR(10)&amp;IF(K1893="","coach: –","coach: "&amp;K1893))</f>
        <v>Kids  3/4
coach: Alfi</v>
      </c>
    </row>
    <row r="1894" customFormat="false" ht="22.35" hidden="false" customHeight="false" outlineLevel="0" collapsed="false">
      <c r="A1894" s="76" t="str">
        <f aca="false">B1894&amp;"|"&amp;C1894&amp;"|"&amp;D1894&amp;"|"&amp;E1894</f>
        <v>BTU|4|Kamis|15:45</v>
      </c>
      <c r="B1894" s="76" t="s">
        <v>69</v>
      </c>
      <c r="C1894" s="76" t="n">
        <v>4</v>
      </c>
      <c r="D1894" s="76" t="s">
        <v>93</v>
      </c>
      <c r="E1894" s="76" t="s">
        <v>105</v>
      </c>
      <c r="F1894" s="77" t="s">
        <v>210</v>
      </c>
      <c r="G1894" s="77" t="n">
        <v>4</v>
      </c>
      <c r="H1894" s="77" t="n">
        <v>3</v>
      </c>
      <c r="I1894" s="76" t="n">
        <f aca="false">IF(AND(ISNUMBER(G1894),ISNUMBER(H1894)),MAX(G1894-H1894,0),"")</f>
        <v>1</v>
      </c>
      <c r="J1894" s="78" t="n">
        <f aca="false">IF(AND(ISNUMBER(G1894),ISNUMBER(H1894)),IF(G1894&gt;0,H1894/G1894,""),"")</f>
        <v>0.75</v>
      </c>
      <c r="K1894" s="77" t="s">
        <v>434</v>
      </c>
      <c r="L1894" s="76" t="str">
        <f aca="false">IF(OR(G1894="",H1894=""),"Data tidak lengkap",IF(AND(G1894=0,H1894=0),IF(AND(F1894="",K1894=""),"Tidak dibuka","Tutup"),IF(H1894&gt;G1894,"Lebih kapasitas",IF(H1894=G1894,"Penuh",IF(H1894=0,IF(F1894="","Slot kosong","Belum terisi"),"Sebagian")))))</f>
        <v>Sebagian</v>
      </c>
      <c r="M1894" s="79" t="str">
        <f aca="false">IF(L1894="Tidak dibuka","–",IF(F1894="","(tanpa age group)",F1894)&amp;"  "&amp;IF(H1894="","?",H1894)&amp;"/"&amp;IF(G1894="","?",G1894)&amp;CHAR(10)&amp;IF(K1894="","coach: –","coach: "&amp;K1894))</f>
        <v>Kids  3/4
coach: Alfi</v>
      </c>
    </row>
    <row r="1895" customFormat="false" ht="22.35" hidden="false" customHeight="false" outlineLevel="0" collapsed="false">
      <c r="A1895" s="76" t="str">
        <f aca="false">B1895&amp;"|"&amp;C1895&amp;"|"&amp;D1895&amp;"|"&amp;E1895</f>
        <v>BTU|4|Kamis|16:30</v>
      </c>
      <c r="B1895" s="76" t="s">
        <v>69</v>
      </c>
      <c r="C1895" s="76" t="n">
        <v>4</v>
      </c>
      <c r="D1895" s="76" t="s">
        <v>93</v>
      </c>
      <c r="E1895" s="76" t="s">
        <v>106</v>
      </c>
      <c r="F1895" s="77" t="s">
        <v>210</v>
      </c>
      <c r="G1895" s="77" t="n">
        <v>4</v>
      </c>
      <c r="H1895" s="77" t="n">
        <v>3</v>
      </c>
      <c r="I1895" s="76" t="n">
        <f aca="false">IF(AND(ISNUMBER(G1895),ISNUMBER(H1895)),MAX(G1895-H1895,0),"")</f>
        <v>1</v>
      </c>
      <c r="J1895" s="78" t="n">
        <f aca="false">IF(AND(ISNUMBER(G1895),ISNUMBER(H1895)),IF(G1895&gt;0,H1895/G1895,""),"")</f>
        <v>0.75</v>
      </c>
      <c r="K1895" s="77" t="s">
        <v>439</v>
      </c>
      <c r="L1895" s="76" t="str">
        <f aca="false">IF(OR(G1895="",H1895=""),"Data tidak lengkap",IF(AND(G1895=0,H1895=0),IF(AND(F1895="",K1895=""),"Tidak dibuka","Tutup"),IF(H1895&gt;G1895,"Lebih kapasitas",IF(H1895=G1895,"Penuh",IF(H1895=0,IF(F1895="","Slot kosong","Belum terisi"),"Sebagian")))))</f>
        <v>Sebagian</v>
      </c>
      <c r="M1895" s="79" t="str">
        <f aca="false">IF(L1895="Tidak dibuka","–",IF(F1895="","(tanpa age group)",F1895)&amp;"  "&amp;IF(H1895="","?",H1895)&amp;"/"&amp;IF(G1895="","?",G1895)&amp;CHAR(10)&amp;IF(K1895="","coach: –","coach: "&amp;K1895))</f>
        <v>Kids  3/4
coach: Bagas</v>
      </c>
    </row>
    <row r="1896" customFormat="false" ht="22.35" hidden="false" customHeight="false" outlineLevel="0" collapsed="false">
      <c r="A1896" s="76" t="str">
        <f aca="false">B1896&amp;"|"&amp;C1896&amp;"|"&amp;D1896&amp;"|"&amp;E1896</f>
        <v>BTU|4|Kamis|17:15</v>
      </c>
      <c r="B1896" s="76" t="s">
        <v>69</v>
      </c>
      <c r="C1896" s="76" t="n">
        <v>4</v>
      </c>
      <c r="D1896" s="76" t="s">
        <v>93</v>
      </c>
      <c r="E1896" s="76" t="s">
        <v>107</v>
      </c>
      <c r="F1896" s="77" t="s">
        <v>210</v>
      </c>
      <c r="G1896" s="77" t="n">
        <v>4</v>
      </c>
      <c r="H1896" s="77" t="n">
        <v>1</v>
      </c>
      <c r="I1896" s="76" t="n">
        <f aca="false">IF(AND(ISNUMBER(G1896),ISNUMBER(H1896)),MAX(G1896-H1896,0),"")</f>
        <v>3</v>
      </c>
      <c r="J1896" s="78" t="n">
        <f aca="false">IF(AND(ISNUMBER(G1896),ISNUMBER(H1896)),IF(G1896&gt;0,H1896/G1896,""),"")</f>
        <v>0.25</v>
      </c>
      <c r="K1896" s="77" t="s">
        <v>442</v>
      </c>
      <c r="L1896" s="76" t="str">
        <f aca="false">IF(OR(G1896="",H1896=""),"Data tidak lengkap",IF(AND(G1896=0,H1896=0),IF(AND(F1896="",K1896=""),"Tidak dibuka","Tutup"),IF(H1896&gt;G1896,"Lebih kapasitas",IF(H1896=G1896,"Penuh",IF(H1896=0,IF(F1896="","Slot kosong","Belum terisi"),"Sebagian")))))</f>
        <v>Sebagian</v>
      </c>
      <c r="M1896" s="79" t="str">
        <f aca="false">IF(L1896="Tidak dibuka","–",IF(F1896="","(tanpa age group)",F1896)&amp;"  "&amp;IF(H1896="","?",H1896)&amp;"/"&amp;IF(G1896="","?",G1896)&amp;CHAR(10)&amp;IF(K1896="","coach: –","coach: "&amp;K1896))</f>
        <v>Kids  1/4
coach: Aldi</v>
      </c>
    </row>
    <row r="1897" customFormat="false" ht="22.35" hidden="false" customHeight="false" outlineLevel="0" collapsed="false">
      <c r="A1897" s="76" t="str">
        <f aca="false">B1897&amp;"|"&amp;C1897&amp;"|"&amp;D1897&amp;"|"&amp;E1897</f>
        <v>BTU|4|Jumat|08:15</v>
      </c>
      <c r="B1897" s="76" t="s">
        <v>69</v>
      </c>
      <c r="C1897" s="76" t="n">
        <v>4</v>
      </c>
      <c r="D1897" s="76" t="s">
        <v>94</v>
      </c>
      <c r="E1897" s="76" t="s">
        <v>96</v>
      </c>
      <c r="F1897" s="77" t="s">
        <v>210</v>
      </c>
      <c r="G1897" s="77" t="n">
        <v>4</v>
      </c>
      <c r="H1897" s="77" t="n">
        <v>0</v>
      </c>
      <c r="I1897" s="76" t="n">
        <f aca="false">IF(AND(ISNUMBER(G1897),ISNUMBER(H1897)),MAX(G1897-H1897,0),"")</f>
        <v>4</v>
      </c>
      <c r="J1897" s="78" t="n">
        <f aca="false">IF(AND(ISNUMBER(G1897),ISNUMBER(H1897)),IF(G1897&gt;0,H1897/G1897,""),"")</f>
        <v>0</v>
      </c>
      <c r="K1897" s="77"/>
      <c r="L1897" s="76" t="str">
        <f aca="false">IF(OR(G1897="",H1897=""),"Data tidak lengkap",IF(AND(G1897=0,H1897=0),IF(AND(F1897="",K1897=""),"Tidak dibuka","Tutup"),IF(H1897&gt;G1897,"Lebih kapasitas",IF(H1897=G1897,"Penuh",IF(H1897=0,IF(F1897="","Slot kosong","Belum terisi"),"Sebagian")))))</f>
        <v>Belum terisi</v>
      </c>
      <c r="M1897" s="79" t="str">
        <f aca="false">IF(L1897="Tidak dibuka","–",IF(F1897="","(tanpa age group)",F1897)&amp;"  "&amp;IF(H1897="","?",H1897)&amp;"/"&amp;IF(G1897="","?",G1897)&amp;CHAR(10)&amp;IF(K1897="","coach: –","coach: "&amp;K1897))</f>
        <v>Kids  0/4
coach: –</v>
      </c>
    </row>
    <row r="1898" customFormat="false" ht="22.35" hidden="false" customHeight="false" outlineLevel="0" collapsed="false">
      <c r="A1898" s="76" t="str">
        <f aca="false">B1898&amp;"|"&amp;C1898&amp;"|"&amp;D1898&amp;"|"&amp;E1898</f>
        <v>BTU|4|Jumat|09:00</v>
      </c>
      <c r="B1898" s="76" t="s">
        <v>69</v>
      </c>
      <c r="C1898" s="76" t="n">
        <v>4</v>
      </c>
      <c r="D1898" s="76" t="s">
        <v>94</v>
      </c>
      <c r="E1898" s="76" t="s">
        <v>97</v>
      </c>
      <c r="F1898" s="77" t="s">
        <v>210</v>
      </c>
      <c r="G1898" s="77" t="n">
        <v>4</v>
      </c>
      <c r="H1898" s="77" t="n">
        <v>0</v>
      </c>
      <c r="I1898" s="76" t="n">
        <f aca="false">IF(AND(ISNUMBER(G1898),ISNUMBER(H1898)),MAX(G1898-H1898,0),"")</f>
        <v>4</v>
      </c>
      <c r="J1898" s="78" t="n">
        <f aca="false">IF(AND(ISNUMBER(G1898),ISNUMBER(H1898)),IF(G1898&gt;0,H1898/G1898,""),"")</f>
        <v>0</v>
      </c>
      <c r="K1898" s="77"/>
      <c r="L1898" s="76" t="str">
        <f aca="false">IF(OR(G1898="",H1898=""),"Data tidak lengkap",IF(AND(G1898=0,H1898=0),IF(AND(F1898="",K1898=""),"Tidak dibuka","Tutup"),IF(H1898&gt;G1898,"Lebih kapasitas",IF(H1898=G1898,"Penuh",IF(H1898=0,IF(F1898="","Slot kosong","Belum terisi"),"Sebagian")))))</f>
        <v>Belum terisi</v>
      </c>
      <c r="M1898" s="79" t="str">
        <f aca="false">IF(L1898="Tidak dibuka","–",IF(F1898="","(tanpa age group)",F1898)&amp;"  "&amp;IF(H1898="","?",H1898)&amp;"/"&amp;IF(G1898="","?",G1898)&amp;CHAR(10)&amp;IF(K1898="","coach: –","coach: "&amp;K1898))</f>
        <v>Kids  0/4
coach: –</v>
      </c>
    </row>
    <row r="1899" customFormat="false" ht="22.35" hidden="false" customHeight="false" outlineLevel="0" collapsed="false">
      <c r="A1899" s="76" t="str">
        <f aca="false">B1899&amp;"|"&amp;C1899&amp;"|"&amp;D1899&amp;"|"&amp;E1899</f>
        <v>BTU|4|Jumat|09:45</v>
      </c>
      <c r="B1899" s="76" t="s">
        <v>69</v>
      </c>
      <c r="C1899" s="76" t="n">
        <v>4</v>
      </c>
      <c r="D1899" s="76" t="s">
        <v>94</v>
      </c>
      <c r="E1899" s="76" t="s">
        <v>98</v>
      </c>
      <c r="F1899" s="77" t="s">
        <v>210</v>
      </c>
      <c r="G1899" s="77" t="n">
        <v>4</v>
      </c>
      <c r="H1899" s="77" t="n">
        <v>0</v>
      </c>
      <c r="I1899" s="76" t="n">
        <f aca="false">IF(AND(ISNUMBER(G1899),ISNUMBER(H1899)),MAX(G1899-H1899,0),"")</f>
        <v>4</v>
      </c>
      <c r="J1899" s="78" t="n">
        <f aca="false">IF(AND(ISNUMBER(G1899),ISNUMBER(H1899)),IF(G1899&gt;0,H1899/G1899,""),"")</f>
        <v>0</v>
      </c>
      <c r="K1899" s="77"/>
      <c r="L1899" s="76" t="str">
        <f aca="false">IF(OR(G1899="",H1899=""),"Data tidak lengkap",IF(AND(G1899=0,H1899=0),IF(AND(F1899="",K1899=""),"Tidak dibuka","Tutup"),IF(H1899&gt;G1899,"Lebih kapasitas",IF(H1899=G1899,"Penuh",IF(H1899=0,IF(F1899="","Slot kosong","Belum terisi"),"Sebagian")))))</f>
        <v>Belum terisi</v>
      </c>
      <c r="M1899" s="79" t="str">
        <f aca="false">IF(L1899="Tidak dibuka","–",IF(F1899="","(tanpa age group)",F1899)&amp;"  "&amp;IF(H1899="","?",H1899)&amp;"/"&amp;IF(G1899="","?",G1899)&amp;CHAR(10)&amp;IF(K1899="","coach: –","coach: "&amp;K1899))</f>
        <v>Kids  0/4
coach: –</v>
      </c>
    </row>
    <row r="1900" customFormat="false" ht="22.35" hidden="false" customHeight="false" outlineLevel="0" collapsed="false">
      <c r="A1900" s="76" t="str">
        <f aca="false">B1900&amp;"|"&amp;C1900&amp;"|"&amp;D1900&amp;"|"&amp;E1900</f>
        <v>BTU|4|Jumat|10:30</v>
      </c>
      <c r="B1900" s="76" t="s">
        <v>69</v>
      </c>
      <c r="C1900" s="76" t="n">
        <v>4</v>
      </c>
      <c r="D1900" s="76" t="s">
        <v>94</v>
      </c>
      <c r="E1900" s="76" t="s">
        <v>99</v>
      </c>
      <c r="F1900" s="77" t="s">
        <v>210</v>
      </c>
      <c r="G1900" s="77" t="n">
        <v>4</v>
      </c>
      <c r="H1900" s="77" t="n">
        <v>0</v>
      </c>
      <c r="I1900" s="76" t="n">
        <f aca="false">IF(AND(ISNUMBER(G1900),ISNUMBER(H1900)),MAX(G1900-H1900,0),"")</f>
        <v>4</v>
      </c>
      <c r="J1900" s="78" t="n">
        <f aca="false">IF(AND(ISNUMBER(G1900),ISNUMBER(H1900)),IF(G1900&gt;0,H1900/G1900,""),"")</f>
        <v>0</v>
      </c>
      <c r="K1900" s="77"/>
      <c r="L1900" s="76" t="str">
        <f aca="false">IF(OR(G1900="",H1900=""),"Data tidak lengkap",IF(AND(G1900=0,H1900=0),IF(AND(F1900="",K1900=""),"Tidak dibuka","Tutup"),IF(H1900&gt;G1900,"Lebih kapasitas",IF(H1900=G1900,"Penuh",IF(H1900=0,IF(F1900="","Slot kosong","Belum terisi"),"Sebagian")))))</f>
        <v>Belum terisi</v>
      </c>
      <c r="M1900" s="79" t="str">
        <f aca="false">IF(L1900="Tidak dibuka","–",IF(F1900="","(tanpa age group)",F1900)&amp;"  "&amp;IF(H1900="","?",H1900)&amp;"/"&amp;IF(G1900="","?",G1900)&amp;CHAR(10)&amp;IF(K1900="","coach: –","coach: "&amp;K1900))</f>
        <v>Kids  0/4
coach: –</v>
      </c>
    </row>
    <row r="1901" customFormat="false" ht="22.35" hidden="false" customHeight="false" outlineLevel="0" collapsed="false">
      <c r="A1901" s="76" t="str">
        <f aca="false">B1901&amp;"|"&amp;C1901&amp;"|"&amp;D1901&amp;"|"&amp;E1901</f>
        <v>BTU|4|Jumat|11:15</v>
      </c>
      <c r="B1901" s="76" t="s">
        <v>69</v>
      </c>
      <c r="C1901" s="76" t="n">
        <v>4</v>
      </c>
      <c r="D1901" s="76" t="s">
        <v>94</v>
      </c>
      <c r="E1901" s="76" t="s">
        <v>100</v>
      </c>
      <c r="F1901" s="77" t="s">
        <v>210</v>
      </c>
      <c r="G1901" s="77" t="n">
        <v>4</v>
      </c>
      <c r="H1901" s="77" t="n">
        <v>0</v>
      </c>
      <c r="I1901" s="76" t="n">
        <f aca="false">IF(AND(ISNUMBER(G1901),ISNUMBER(H1901)),MAX(G1901-H1901,0),"")</f>
        <v>4</v>
      </c>
      <c r="J1901" s="78" t="n">
        <f aca="false">IF(AND(ISNUMBER(G1901),ISNUMBER(H1901)),IF(G1901&gt;0,H1901/G1901,""),"")</f>
        <v>0</v>
      </c>
      <c r="K1901" s="77"/>
      <c r="L1901" s="76" t="str">
        <f aca="false">IF(OR(G1901="",H1901=""),"Data tidak lengkap",IF(AND(G1901=0,H1901=0),IF(AND(F1901="",K1901=""),"Tidak dibuka","Tutup"),IF(H1901&gt;G1901,"Lebih kapasitas",IF(H1901=G1901,"Penuh",IF(H1901=0,IF(F1901="","Slot kosong","Belum terisi"),"Sebagian")))))</f>
        <v>Belum terisi</v>
      </c>
      <c r="M1901" s="79" t="str">
        <f aca="false">IF(L1901="Tidak dibuka","–",IF(F1901="","(tanpa age group)",F1901)&amp;"  "&amp;IF(H1901="","?",H1901)&amp;"/"&amp;IF(G1901="","?",G1901)&amp;CHAR(10)&amp;IF(K1901="","coach: –","coach: "&amp;K1901))</f>
        <v>Kids  0/4
coach: –</v>
      </c>
    </row>
    <row r="1902" customFormat="false" ht="22.35" hidden="false" customHeight="false" outlineLevel="0" collapsed="false">
      <c r="A1902" s="76" t="str">
        <f aca="false">B1902&amp;"|"&amp;C1902&amp;"|"&amp;D1902&amp;"|"&amp;E1902</f>
        <v>BTU|4|Jumat|12:00</v>
      </c>
      <c r="B1902" s="76" t="s">
        <v>69</v>
      </c>
      <c r="C1902" s="76" t="n">
        <v>4</v>
      </c>
      <c r="D1902" s="76" t="s">
        <v>94</v>
      </c>
      <c r="E1902" s="76" t="s">
        <v>101</v>
      </c>
      <c r="F1902" s="77" t="s">
        <v>210</v>
      </c>
      <c r="G1902" s="77" t="n">
        <v>4</v>
      </c>
      <c r="H1902" s="77" t="n">
        <v>0</v>
      </c>
      <c r="I1902" s="76" t="n">
        <f aca="false">IF(AND(ISNUMBER(G1902),ISNUMBER(H1902)),MAX(G1902-H1902,0),"")</f>
        <v>4</v>
      </c>
      <c r="J1902" s="78" t="n">
        <f aca="false">IF(AND(ISNUMBER(G1902),ISNUMBER(H1902)),IF(G1902&gt;0,H1902/G1902,""),"")</f>
        <v>0</v>
      </c>
      <c r="K1902" s="77"/>
      <c r="L1902" s="76" t="str">
        <f aca="false">IF(OR(G1902="",H1902=""),"Data tidak lengkap",IF(AND(G1902=0,H1902=0),IF(AND(F1902="",K1902=""),"Tidak dibuka","Tutup"),IF(H1902&gt;G1902,"Lebih kapasitas",IF(H1902=G1902,"Penuh",IF(H1902=0,IF(F1902="","Slot kosong","Belum terisi"),"Sebagian")))))</f>
        <v>Belum terisi</v>
      </c>
      <c r="M1902" s="79" t="str">
        <f aca="false">IF(L1902="Tidak dibuka","–",IF(F1902="","(tanpa age group)",F1902)&amp;"  "&amp;IF(H1902="","?",H1902)&amp;"/"&amp;IF(G1902="","?",G1902)&amp;CHAR(10)&amp;IF(K1902="","coach: –","coach: "&amp;K1902))</f>
        <v>Kids  0/4
coach: –</v>
      </c>
    </row>
    <row r="1903" customFormat="false" ht="22.35" hidden="false" customHeight="false" outlineLevel="0" collapsed="false">
      <c r="A1903" s="76" t="str">
        <f aca="false">B1903&amp;"|"&amp;C1903&amp;"|"&amp;D1903&amp;"|"&amp;E1903</f>
        <v>BTU|4|Jumat|13:30</v>
      </c>
      <c r="B1903" s="76" t="s">
        <v>69</v>
      </c>
      <c r="C1903" s="76" t="n">
        <v>4</v>
      </c>
      <c r="D1903" s="76" t="s">
        <v>94</v>
      </c>
      <c r="E1903" s="76" t="s">
        <v>102</v>
      </c>
      <c r="F1903" s="77" t="s">
        <v>210</v>
      </c>
      <c r="G1903" s="77" t="n">
        <v>4</v>
      </c>
      <c r="H1903" s="77" t="n">
        <v>0</v>
      </c>
      <c r="I1903" s="76" t="n">
        <f aca="false">IF(AND(ISNUMBER(G1903),ISNUMBER(H1903)),MAX(G1903-H1903,0),"")</f>
        <v>4</v>
      </c>
      <c r="J1903" s="78" t="n">
        <f aca="false">IF(AND(ISNUMBER(G1903),ISNUMBER(H1903)),IF(G1903&gt;0,H1903/G1903,""),"")</f>
        <v>0</v>
      </c>
      <c r="K1903" s="77"/>
      <c r="L1903" s="76" t="str">
        <f aca="false">IF(OR(G1903="",H1903=""),"Data tidak lengkap",IF(AND(G1903=0,H1903=0),IF(AND(F1903="",K1903=""),"Tidak dibuka","Tutup"),IF(H1903&gt;G1903,"Lebih kapasitas",IF(H1903=G1903,"Penuh",IF(H1903=0,IF(F1903="","Slot kosong","Belum terisi"),"Sebagian")))))</f>
        <v>Belum terisi</v>
      </c>
      <c r="M1903" s="79" t="str">
        <f aca="false">IF(L1903="Tidak dibuka","–",IF(F1903="","(tanpa age group)",F1903)&amp;"  "&amp;IF(H1903="","?",H1903)&amp;"/"&amp;IF(G1903="","?",G1903)&amp;CHAR(10)&amp;IF(K1903="","coach: –","coach: "&amp;K1903))</f>
        <v>Kids  0/4
coach: –</v>
      </c>
    </row>
    <row r="1904" customFormat="false" ht="22.35" hidden="false" customHeight="false" outlineLevel="0" collapsed="false">
      <c r="A1904" s="76" t="str">
        <f aca="false">B1904&amp;"|"&amp;C1904&amp;"|"&amp;D1904&amp;"|"&amp;E1904</f>
        <v>BTU|4|Jumat|14:15</v>
      </c>
      <c r="B1904" s="76" t="s">
        <v>69</v>
      </c>
      <c r="C1904" s="76" t="n">
        <v>4</v>
      </c>
      <c r="D1904" s="76" t="s">
        <v>94</v>
      </c>
      <c r="E1904" s="76" t="s">
        <v>103</v>
      </c>
      <c r="F1904" s="77" t="s">
        <v>210</v>
      </c>
      <c r="G1904" s="77" t="n">
        <v>4</v>
      </c>
      <c r="H1904" s="77" t="n">
        <v>3</v>
      </c>
      <c r="I1904" s="76" t="n">
        <f aca="false">IF(AND(ISNUMBER(G1904),ISNUMBER(H1904)),MAX(G1904-H1904,0),"")</f>
        <v>1</v>
      </c>
      <c r="J1904" s="78" t="n">
        <f aca="false">IF(AND(ISNUMBER(G1904),ISNUMBER(H1904)),IF(G1904&gt;0,H1904/G1904,""),"")</f>
        <v>0.75</v>
      </c>
      <c r="K1904" s="77" t="s">
        <v>434</v>
      </c>
      <c r="L1904" s="76" t="str">
        <f aca="false">IF(OR(G1904="",H1904=""),"Data tidak lengkap",IF(AND(G1904=0,H1904=0),IF(AND(F1904="",K1904=""),"Tidak dibuka","Tutup"),IF(H1904&gt;G1904,"Lebih kapasitas",IF(H1904=G1904,"Penuh",IF(H1904=0,IF(F1904="","Slot kosong","Belum terisi"),"Sebagian")))))</f>
        <v>Sebagian</v>
      </c>
      <c r="M1904" s="79" t="str">
        <f aca="false">IF(L1904="Tidak dibuka","–",IF(F1904="","(tanpa age group)",F1904)&amp;"  "&amp;IF(H1904="","?",H1904)&amp;"/"&amp;IF(G1904="","?",G1904)&amp;CHAR(10)&amp;IF(K1904="","coach: –","coach: "&amp;K1904))</f>
        <v>Kids  3/4
coach: Alfi</v>
      </c>
    </row>
    <row r="1905" customFormat="false" ht="22.35" hidden="false" customHeight="false" outlineLevel="0" collapsed="false">
      <c r="A1905" s="76" t="str">
        <f aca="false">B1905&amp;"|"&amp;C1905&amp;"|"&amp;D1905&amp;"|"&amp;E1905</f>
        <v>BTU|4|Jumat|15:00</v>
      </c>
      <c r="B1905" s="76" t="s">
        <v>69</v>
      </c>
      <c r="C1905" s="76" t="n">
        <v>4</v>
      </c>
      <c r="D1905" s="76" t="s">
        <v>94</v>
      </c>
      <c r="E1905" s="76" t="s">
        <v>104</v>
      </c>
      <c r="F1905" s="77" t="s">
        <v>210</v>
      </c>
      <c r="G1905" s="77" t="n">
        <v>4</v>
      </c>
      <c r="H1905" s="77" t="n">
        <v>4</v>
      </c>
      <c r="I1905" s="76" t="n">
        <f aca="false">IF(AND(ISNUMBER(G1905),ISNUMBER(H1905)),MAX(G1905-H1905,0),"")</f>
        <v>0</v>
      </c>
      <c r="J1905" s="78" t="n">
        <f aca="false">IF(AND(ISNUMBER(G1905),ISNUMBER(H1905)),IF(G1905&gt;0,H1905/G1905,""),"")</f>
        <v>1</v>
      </c>
      <c r="K1905" s="77" t="s">
        <v>433</v>
      </c>
      <c r="L1905" s="76" t="str">
        <f aca="false">IF(OR(G1905="",H1905=""),"Data tidak lengkap",IF(AND(G1905=0,H1905=0),IF(AND(F1905="",K1905=""),"Tidak dibuka","Tutup"),IF(H1905&gt;G1905,"Lebih kapasitas",IF(H1905=G1905,"Penuh",IF(H1905=0,IF(F1905="","Slot kosong","Belum terisi"),"Sebagian")))))</f>
        <v>Penuh</v>
      </c>
      <c r="M1905" s="79" t="str">
        <f aca="false">IF(L1905="Tidak dibuka","–",IF(F1905="","(tanpa age group)",F1905)&amp;"  "&amp;IF(H1905="","?",H1905)&amp;"/"&amp;IF(G1905="","?",G1905)&amp;CHAR(10)&amp;IF(K1905="","coach: –","coach: "&amp;K1905))</f>
        <v>Kids  4/4
coach: Shofi</v>
      </c>
    </row>
    <row r="1906" customFormat="false" ht="22.35" hidden="false" customHeight="false" outlineLevel="0" collapsed="false">
      <c r="A1906" s="76" t="str">
        <f aca="false">B1906&amp;"|"&amp;C1906&amp;"|"&amp;D1906&amp;"|"&amp;E1906</f>
        <v>BTU|4|Jumat|15:45</v>
      </c>
      <c r="B1906" s="76" t="s">
        <v>69</v>
      </c>
      <c r="C1906" s="76" t="n">
        <v>4</v>
      </c>
      <c r="D1906" s="76" t="s">
        <v>94</v>
      </c>
      <c r="E1906" s="76" t="s">
        <v>105</v>
      </c>
      <c r="F1906" s="77" t="s">
        <v>210</v>
      </c>
      <c r="G1906" s="77" t="n">
        <v>4</v>
      </c>
      <c r="H1906" s="77" t="n">
        <v>2</v>
      </c>
      <c r="I1906" s="76" t="n">
        <f aca="false">IF(AND(ISNUMBER(G1906),ISNUMBER(H1906)),MAX(G1906-H1906,0),"")</f>
        <v>2</v>
      </c>
      <c r="J1906" s="78" t="n">
        <f aca="false">IF(AND(ISNUMBER(G1906),ISNUMBER(H1906)),IF(G1906&gt;0,H1906/G1906,""),"")</f>
        <v>0.5</v>
      </c>
      <c r="K1906" s="77" t="s">
        <v>434</v>
      </c>
      <c r="L1906" s="76" t="str">
        <f aca="false">IF(OR(G1906="",H1906=""),"Data tidak lengkap",IF(AND(G1906=0,H1906=0),IF(AND(F1906="",K1906=""),"Tidak dibuka","Tutup"),IF(H1906&gt;G1906,"Lebih kapasitas",IF(H1906=G1906,"Penuh",IF(H1906=0,IF(F1906="","Slot kosong","Belum terisi"),"Sebagian")))))</f>
        <v>Sebagian</v>
      </c>
      <c r="M1906" s="79" t="str">
        <f aca="false">IF(L1906="Tidak dibuka","–",IF(F1906="","(tanpa age group)",F1906)&amp;"  "&amp;IF(H1906="","?",H1906)&amp;"/"&amp;IF(G1906="","?",G1906)&amp;CHAR(10)&amp;IF(K1906="","coach: –","coach: "&amp;K1906))</f>
        <v>Kids  2/4
coach: Alfi</v>
      </c>
    </row>
    <row r="1907" customFormat="false" ht="22.35" hidden="false" customHeight="false" outlineLevel="0" collapsed="false">
      <c r="A1907" s="76" t="str">
        <f aca="false">B1907&amp;"|"&amp;C1907&amp;"|"&amp;D1907&amp;"|"&amp;E1907</f>
        <v>BTU|4|Jumat|16:30</v>
      </c>
      <c r="B1907" s="76" t="s">
        <v>69</v>
      </c>
      <c r="C1907" s="76" t="n">
        <v>4</v>
      </c>
      <c r="D1907" s="76" t="s">
        <v>94</v>
      </c>
      <c r="E1907" s="76" t="s">
        <v>106</v>
      </c>
      <c r="F1907" s="77" t="s">
        <v>210</v>
      </c>
      <c r="G1907" s="77" t="n">
        <v>4</v>
      </c>
      <c r="H1907" s="77" t="n">
        <v>4</v>
      </c>
      <c r="I1907" s="76" t="n">
        <f aca="false">IF(AND(ISNUMBER(G1907),ISNUMBER(H1907)),MAX(G1907-H1907,0),"")</f>
        <v>0</v>
      </c>
      <c r="J1907" s="78" t="n">
        <f aca="false">IF(AND(ISNUMBER(G1907),ISNUMBER(H1907)),IF(G1907&gt;0,H1907/G1907,""),"")</f>
        <v>1</v>
      </c>
      <c r="K1907" s="77" t="s">
        <v>434</v>
      </c>
      <c r="L1907" s="76" t="str">
        <f aca="false">IF(OR(G1907="",H1907=""),"Data tidak lengkap",IF(AND(G1907=0,H1907=0),IF(AND(F1907="",K1907=""),"Tidak dibuka","Tutup"),IF(H1907&gt;G1907,"Lebih kapasitas",IF(H1907=G1907,"Penuh",IF(H1907=0,IF(F1907="","Slot kosong","Belum terisi"),"Sebagian")))))</f>
        <v>Penuh</v>
      </c>
      <c r="M1907" s="79" t="str">
        <f aca="false">IF(L1907="Tidak dibuka","–",IF(F1907="","(tanpa age group)",F1907)&amp;"  "&amp;IF(H1907="","?",H1907)&amp;"/"&amp;IF(G1907="","?",G1907)&amp;CHAR(10)&amp;IF(K1907="","coach: –","coach: "&amp;K1907))</f>
        <v>Kids  4/4
coach: Alfi</v>
      </c>
    </row>
    <row r="1908" customFormat="false" ht="22.35" hidden="false" customHeight="false" outlineLevel="0" collapsed="false">
      <c r="A1908" s="76" t="str">
        <f aca="false">B1908&amp;"|"&amp;C1908&amp;"|"&amp;D1908&amp;"|"&amp;E1908</f>
        <v>BTU|4|Jumat|17:15</v>
      </c>
      <c r="B1908" s="76" t="s">
        <v>69</v>
      </c>
      <c r="C1908" s="76" t="n">
        <v>4</v>
      </c>
      <c r="D1908" s="76" t="s">
        <v>94</v>
      </c>
      <c r="E1908" s="76" t="s">
        <v>107</v>
      </c>
      <c r="F1908" s="77" t="s">
        <v>210</v>
      </c>
      <c r="G1908" s="77" t="n">
        <v>4</v>
      </c>
      <c r="H1908" s="77" t="n">
        <v>4</v>
      </c>
      <c r="I1908" s="76" t="n">
        <f aca="false">IF(AND(ISNUMBER(G1908),ISNUMBER(H1908)),MAX(G1908-H1908,0),"")</f>
        <v>0</v>
      </c>
      <c r="J1908" s="78" t="n">
        <f aca="false">IF(AND(ISNUMBER(G1908),ISNUMBER(H1908)),IF(G1908&gt;0,H1908/G1908,""),"")</f>
        <v>1</v>
      </c>
      <c r="K1908" s="77" t="s">
        <v>439</v>
      </c>
      <c r="L1908" s="76" t="str">
        <f aca="false">IF(OR(G1908="",H1908=""),"Data tidak lengkap",IF(AND(G1908=0,H1908=0),IF(AND(F1908="",K1908=""),"Tidak dibuka","Tutup"),IF(H1908&gt;G1908,"Lebih kapasitas",IF(H1908=G1908,"Penuh",IF(H1908=0,IF(F1908="","Slot kosong","Belum terisi"),"Sebagian")))))</f>
        <v>Penuh</v>
      </c>
      <c r="M1908" s="79" t="str">
        <f aca="false">IF(L1908="Tidak dibuka","–",IF(F1908="","(tanpa age group)",F1908)&amp;"  "&amp;IF(H1908="","?",H1908)&amp;"/"&amp;IF(G1908="","?",G1908)&amp;CHAR(10)&amp;IF(K1908="","coach: –","coach: "&amp;K1908))</f>
        <v>Kids  4/4
coach: Bagas</v>
      </c>
    </row>
    <row r="1909" customFormat="false" ht="22.35" hidden="false" customHeight="false" outlineLevel="0" collapsed="false">
      <c r="A1909" s="76" t="str">
        <f aca="false">B1909&amp;"|"&amp;C1909&amp;"|"&amp;D1909&amp;"|"&amp;E1909</f>
        <v>BTU|4|Sabtu|08:15</v>
      </c>
      <c r="B1909" s="76" t="s">
        <v>69</v>
      </c>
      <c r="C1909" s="76" t="n">
        <v>4</v>
      </c>
      <c r="D1909" s="76" t="s">
        <v>95</v>
      </c>
      <c r="E1909" s="76" t="s">
        <v>96</v>
      </c>
      <c r="F1909" s="77" t="s">
        <v>210</v>
      </c>
      <c r="G1909" s="77" t="n">
        <v>4</v>
      </c>
      <c r="H1909" s="77" t="n">
        <v>0</v>
      </c>
      <c r="I1909" s="76" t="n">
        <f aca="false">IF(AND(ISNUMBER(G1909),ISNUMBER(H1909)),MAX(G1909-H1909,0),"")</f>
        <v>4</v>
      </c>
      <c r="J1909" s="78" t="n">
        <f aca="false">IF(AND(ISNUMBER(G1909),ISNUMBER(H1909)),IF(G1909&gt;0,H1909/G1909,""),"")</f>
        <v>0</v>
      </c>
      <c r="K1909" s="77"/>
      <c r="L1909" s="76" t="str">
        <f aca="false">IF(OR(G1909="",H1909=""),"Data tidak lengkap",IF(AND(G1909=0,H1909=0),IF(AND(F1909="",K1909=""),"Tidak dibuka","Tutup"),IF(H1909&gt;G1909,"Lebih kapasitas",IF(H1909=G1909,"Penuh",IF(H1909=0,IF(F1909="","Slot kosong","Belum terisi"),"Sebagian")))))</f>
        <v>Belum terisi</v>
      </c>
      <c r="M1909" s="79" t="str">
        <f aca="false">IF(L1909="Tidak dibuka","–",IF(F1909="","(tanpa age group)",F1909)&amp;"  "&amp;IF(H1909="","?",H1909)&amp;"/"&amp;IF(G1909="","?",G1909)&amp;CHAR(10)&amp;IF(K1909="","coach: –","coach: "&amp;K1909))</f>
        <v>Kids  0/4
coach: –</v>
      </c>
    </row>
    <row r="1910" customFormat="false" ht="22.35" hidden="false" customHeight="false" outlineLevel="0" collapsed="false">
      <c r="A1910" s="76" t="str">
        <f aca="false">B1910&amp;"|"&amp;C1910&amp;"|"&amp;D1910&amp;"|"&amp;E1910</f>
        <v>BTU|4|Sabtu|09:00</v>
      </c>
      <c r="B1910" s="76" t="s">
        <v>69</v>
      </c>
      <c r="C1910" s="76" t="n">
        <v>4</v>
      </c>
      <c r="D1910" s="76" t="s">
        <v>95</v>
      </c>
      <c r="E1910" s="76" t="s">
        <v>97</v>
      </c>
      <c r="F1910" s="77" t="s">
        <v>210</v>
      </c>
      <c r="G1910" s="77" t="n">
        <v>4</v>
      </c>
      <c r="H1910" s="77" t="n">
        <v>0</v>
      </c>
      <c r="I1910" s="76" t="n">
        <f aca="false">IF(AND(ISNUMBER(G1910),ISNUMBER(H1910)),MAX(G1910-H1910,0),"")</f>
        <v>4</v>
      </c>
      <c r="J1910" s="78" t="n">
        <f aca="false">IF(AND(ISNUMBER(G1910),ISNUMBER(H1910)),IF(G1910&gt;0,H1910/G1910,""),"")</f>
        <v>0</v>
      </c>
      <c r="K1910" s="77"/>
      <c r="L1910" s="76" t="str">
        <f aca="false">IF(OR(G1910="",H1910=""),"Data tidak lengkap",IF(AND(G1910=0,H1910=0),IF(AND(F1910="",K1910=""),"Tidak dibuka","Tutup"),IF(H1910&gt;G1910,"Lebih kapasitas",IF(H1910=G1910,"Penuh",IF(H1910=0,IF(F1910="","Slot kosong","Belum terisi"),"Sebagian")))))</f>
        <v>Belum terisi</v>
      </c>
      <c r="M1910" s="79" t="str">
        <f aca="false">IF(L1910="Tidak dibuka","–",IF(F1910="","(tanpa age group)",F1910)&amp;"  "&amp;IF(H1910="","?",H1910)&amp;"/"&amp;IF(G1910="","?",G1910)&amp;CHAR(10)&amp;IF(K1910="","coach: –","coach: "&amp;K1910))</f>
        <v>Kids  0/4
coach: –</v>
      </c>
    </row>
    <row r="1911" customFormat="false" ht="22.35" hidden="false" customHeight="false" outlineLevel="0" collapsed="false">
      <c r="A1911" s="76" t="str">
        <f aca="false">B1911&amp;"|"&amp;C1911&amp;"|"&amp;D1911&amp;"|"&amp;E1911</f>
        <v>BTU|4|Sabtu|09:45</v>
      </c>
      <c r="B1911" s="76" t="s">
        <v>69</v>
      </c>
      <c r="C1911" s="76" t="n">
        <v>4</v>
      </c>
      <c r="D1911" s="76" t="s">
        <v>95</v>
      </c>
      <c r="E1911" s="76" t="s">
        <v>98</v>
      </c>
      <c r="F1911" s="77" t="s">
        <v>210</v>
      </c>
      <c r="G1911" s="77" t="n">
        <v>4</v>
      </c>
      <c r="H1911" s="77" t="n">
        <v>3</v>
      </c>
      <c r="I1911" s="76" t="n">
        <f aca="false">IF(AND(ISNUMBER(G1911),ISNUMBER(H1911)),MAX(G1911-H1911,0),"")</f>
        <v>1</v>
      </c>
      <c r="J1911" s="78" t="n">
        <f aca="false">IF(AND(ISNUMBER(G1911),ISNUMBER(H1911)),IF(G1911&gt;0,H1911/G1911,""),"")</f>
        <v>0.75</v>
      </c>
      <c r="K1911" s="77" t="s">
        <v>434</v>
      </c>
      <c r="L1911" s="76" t="str">
        <f aca="false">IF(OR(G1911="",H1911=""),"Data tidak lengkap",IF(AND(G1911=0,H1911=0),IF(AND(F1911="",K1911=""),"Tidak dibuka","Tutup"),IF(H1911&gt;G1911,"Lebih kapasitas",IF(H1911=G1911,"Penuh",IF(H1911=0,IF(F1911="","Slot kosong","Belum terisi"),"Sebagian")))))</f>
        <v>Sebagian</v>
      </c>
      <c r="M1911" s="79" t="str">
        <f aca="false">IF(L1911="Tidak dibuka","–",IF(F1911="","(tanpa age group)",F1911)&amp;"  "&amp;IF(H1911="","?",H1911)&amp;"/"&amp;IF(G1911="","?",G1911)&amp;CHAR(10)&amp;IF(K1911="","coach: –","coach: "&amp;K1911))</f>
        <v>Kids  3/4
coach: Alfi</v>
      </c>
    </row>
    <row r="1912" customFormat="false" ht="22.35" hidden="false" customHeight="false" outlineLevel="0" collapsed="false">
      <c r="A1912" s="76" t="str">
        <f aca="false">B1912&amp;"|"&amp;C1912&amp;"|"&amp;D1912&amp;"|"&amp;E1912</f>
        <v>BTU|4|Sabtu|10:30</v>
      </c>
      <c r="B1912" s="76" t="s">
        <v>69</v>
      </c>
      <c r="C1912" s="76" t="n">
        <v>4</v>
      </c>
      <c r="D1912" s="76" t="s">
        <v>95</v>
      </c>
      <c r="E1912" s="76" t="s">
        <v>99</v>
      </c>
      <c r="F1912" s="77" t="s">
        <v>210</v>
      </c>
      <c r="G1912" s="77" t="n">
        <v>4</v>
      </c>
      <c r="H1912" s="77" t="n">
        <v>2</v>
      </c>
      <c r="I1912" s="76" t="n">
        <f aca="false">IF(AND(ISNUMBER(G1912),ISNUMBER(H1912)),MAX(G1912-H1912,0),"")</f>
        <v>2</v>
      </c>
      <c r="J1912" s="78" t="n">
        <f aca="false">IF(AND(ISNUMBER(G1912),ISNUMBER(H1912)),IF(G1912&gt;0,H1912/G1912,""),"")</f>
        <v>0.5</v>
      </c>
      <c r="K1912" s="77" t="s">
        <v>437</v>
      </c>
      <c r="L1912" s="76" t="str">
        <f aca="false">IF(OR(G1912="",H1912=""),"Data tidak lengkap",IF(AND(G1912=0,H1912=0),IF(AND(F1912="",K1912=""),"Tidak dibuka","Tutup"),IF(H1912&gt;G1912,"Lebih kapasitas",IF(H1912=G1912,"Penuh",IF(H1912=0,IF(F1912="","Slot kosong","Belum terisi"),"Sebagian")))))</f>
        <v>Sebagian</v>
      </c>
      <c r="M1912" s="79" t="str">
        <f aca="false">IF(L1912="Tidak dibuka","–",IF(F1912="","(tanpa age group)",F1912)&amp;"  "&amp;IF(H1912="","?",H1912)&amp;"/"&amp;IF(G1912="","?",G1912)&amp;CHAR(10)&amp;IF(K1912="","coach: –","coach: "&amp;K1912))</f>
        <v>Kids  2/4
coach: Doni</v>
      </c>
    </row>
    <row r="1913" customFormat="false" ht="22.35" hidden="false" customHeight="false" outlineLevel="0" collapsed="false">
      <c r="A1913" s="76" t="str">
        <f aca="false">B1913&amp;"|"&amp;C1913&amp;"|"&amp;D1913&amp;"|"&amp;E1913</f>
        <v>BTU|4|Sabtu|11:15</v>
      </c>
      <c r="B1913" s="76" t="s">
        <v>69</v>
      </c>
      <c r="C1913" s="76" t="n">
        <v>4</v>
      </c>
      <c r="D1913" s="76" t="s">
        <v>95</v>
      </c>
      <c r="E1913" s="76" t="s">
        <v>100</v>
      </c>
      <c r="F1913" s="77" t="s">
        <v>210</v>
      </c>
      <c r="G1913" s="77" t="n">
        <v>4</v>
      </c>
      <c r="H1913" s="77" t="n">
        <v>0</v>
      </c>
      <c r="I1913" s="76" t="n">
        <f aca="false">IF(AND(ISNUMBER(G1913),ISNUMBER(H1913)),MAX(G1913-H1913,0),"")</f>
        <v>4</v>
      </c>
      <c r="J1913" s="78" t="n">
        <f aca="false">IF(AND(ISNUMBER(G1913),ISNUMBER(H1913)),IF(G1913&gt;0,H1913/G1913,""),"")</f>
        <v>0</v>
      </c>
      <c r="K1913" s="77"/>
      <c r="L1913" s="76" t="str">
        <f aca="false">IF(OR(G1913="",H1913=""),"Data tidak lengkap",IF(AND(G1913=0,H1913=0),IF(AND(F1913="",K1913=""),"Tidak dibuka","Tutup"),IF(H1913&gt;G1913,"Lebih kapasitas",IF(H1913=G1913,"Penuh",IF(H1913=0,IF(F1913="","Slot kosong","Belum terisi"),"Sebagian")))))</f>
        <v>Belum terisi</v>
      </c>
      <c r="M1913" s="79" t="str">
        <f aca="false">IF(L1913="Tidak dibuka","–",IF(F1913="","(tanpa age group)",F1913)&amp;"  "&amp;IF(H1913="","?",H1913)&amp;"/"&amp;IF(G1913="","?",G1913)&amp;CHAR(10)&amp;IF(K1913="","coach: –","coach: "&amp;K1913))</f>
        <v>Kids  0/4
coach: –</v>
      </c>
    </row>
    <row r="1914" customFormat="false" ht="22.35" hidden="false" customHeight="false" outlineLevel="0" collapsed="false">
      <c r="A1914" s="76" t="str">
        <f aca="false">B1914&amp;"|"&amp;C1914&amp;"|"&amp;D1914&amp;"|"&amp;E1914</f>
        <v>BTU|4|Sabtu|12:00</v>
      </c>
      <c r="B1914" s="76" t="s">
        <v>69</v>
      </c>
      <c r="C1914" s="76" t="n">
        <v>4</v>
      </c>
      <c r="D1914" s="76" t="s">
        <v>95</v>
      </c>
      <c r="E1914" s="76" t="s">
        <v>101</v>
      </c>
      <c r="F1914" s="77" t="s">
        <v>210</v>
      </c>
      <c r="G1914" s="77" t="n">
        <v>4</v>
      </c>
      <c r="H1914" s="77" t="n">
        <v>0</v>
      </c>
      <c r="I1914" s="76" t="n">
        <f aca="false">IF(AND(ISNUMBER(G1914),ISNUMBER(H1914)),MAX(G1914-H1914,0),"")</f>
        <v>4</v>
      </c>
      <c r="J1914" s="78" t="n">
        <f aca="false">IF(AND(ISNUMBER(G1914),ISNUMBER(H1914)),IF(G1914&gt;0,H1914/G1914,""),"")</f>
        <v>0</v>
      </c>
      <c r="K1914" s="77"/>
      <c r="L1914" s="76" t="str">
        <f aca="false">IF(OR(G1914="",H1914=""),"Data tidak lengkap",IF(AND(G1914=0,H1914=0),IF(AND(F1914="",K1914=""),"Tidak dibuka","Tutup"),IF(H1914&gt;G1914,"Lebih kapasitas",IF(H1914=G1914,"Penuh",IF(H1914=0,IF(F1914="","Slot kosong","Belum terisi"),"Sebagian")))))</f>
        <v>Belum terisi</v>
      </c>
      <c r="M1914" s="79" t="str">
        <f aca="false">IF(L1914="Tidak dibuka","–",IF(F1914="","(tanpa age group)",F1914)&amp;"  "&amp;IF(H1914="","?",H1914)&amp;"/"&amp;IF(G1914="","?",G1914)&amp;CHAR(10)&amp;IF(K1914="","coach: –","coach: "&amp;K1914))</f>
        <v>Kids  0/4
coach: –</v>
      </c>
    </row>
    <row r="1915" customFormat="false" ht="22.35" hidden="false" customHeight="false" outlineLevel="0" collapsed="false">
      <c r="A1915" s="76" t="str">
        <f aca="false">B1915&amp;"|"&amp;C1915&amp;"|"&amp;D1915&amp;"|"&amp;E1915</f>
        <v>BTU|4|Sabtu|13:30</v>
      </c>
      <c r="B1915" s="76" t="s">
        <v>69</v>
      </c>
      <c r="C1915" s="76" t="n">
        <v>4</v>
      </c>
      <c r="D1915" s="76" t="s">
        <v>95</v>
      </c>
      <c r="E1915" s="76" t="s">
        <v>102</v>
      </c>
      <c r="F1915" s="77" t="s">
        <v>210</v>
      </c>
      <c r="G1915" s="77" t="n">
        <v>4</v>
      </c>
      <c r="H1915" s="77" t="n">
        <v>0</v>
      </c>
      <c r="I1915" s="76" t="n">
        <f aca="false">IF(AND(ISNUMBER(G1915),ISNUMBER(H1915)),MAX(G1915-H1915,0),"")</f>
        <v>4</v>
      </c>
      <c r="J1915" s="78" t="n">
        <f aca="false">IF(AND(ISNUMBER(G1915),ISNUMBER(H1915)),IF(G1915&gt;0,H1915/G1915,""),"")</f>
        <v>0</v>
      </c>
      <c r="K1915" s="77"/>
      <c r="L1915" s="76" t="str">
        <f aca="false">IF(OR(G1915="",H1915=""),"Data tidak lengkap",IF(AND(G1915=0,H1915=0),IF(AND(F1915="",K1915=""),"Tidak dibuka","Tutup"),IF(H1915&gt;G1915,"Lebih kapasitas",IF(H1915=G1915,"Penuh",IF(H1915=0,IF(F1915="","Slot kosong","Belum terisi"),"Sebagian")))))</f>
        <v>Belum terisi</v>
      </c>
      <c r="M1915" s="79" t="str">
        <f aca="false">IF(L1915="Tidak dibuka","–",IF(F1915="","(tanpa age group)",F1915)&amp;"  "&amp;IF(H1915="","?",H1915)&amp;"/"&amp;IF(G1915="","?",G1915)&amp;CHAR(10)&amp;IF(K1915="","coach: –","coach: "&amp;K1915))</f>
        <v>Kids  0/4
coach: –</v>
      </c>
    </row>
    <row r="1916" customFormat="false" ht="22.35" hidden="false" customHeight="false" outlineLevel="0" collapsed="false">
      <c r="A1916" s="76" t="str">
        <f aca="false">B1916&amp;"|"&amp;C1916&amp;"|"&amp;D1916&amp;"|"&amp;E1916</f>
        <v>BTU|4|Sabtu|14:15</v>
      </c>
      <c r="B1916" s="76" t="s">
        <v>69</v>
      </c>
      <c r="C1916" s="76" t="n">
        <v>4</v>
      </c>
      <c r="D1916" s="76" t="s">
        <v>95</v>
      </c>
      <c r="E1916" s="76" t="s">
        <v>103</v>
      </c>
      <c r="F1916" s="77" t="s">
        <v>210</v>
      </c>
      <c r="G1916" s="77" t="n">
        <v>4</v>
      </c>
      <c r="H1916" s="77" t="n">
        <v>3</v>
      </c>
      <c r="I1916" s="76" t="n">
        <f aca="false">IF(AND(ISNUMBER(G1916),ISNUMBER(H1916)),MAX(G1916-H1916,0),"")</f>
        <v>1</v>
      </c>
      <c r="J1916" s="78" t="n">
        <f aca="false">IF(AND(ISNUMBER(G1916),ISNUMBER(H1916)),IF(G1916&gt;0,H1916/G1916,""),"")</f>
        <v>0.75</v>
      </c>
      <c r="K1916" s="77" t="s">
        <v>437</v>
      </c>
      <c r="L1916" s="76" t="str">
        <f aca="false">IF(OR(G1916="",H1916=""),"Data tidak lengkap",IF(AND(G1916=0,H1916=0),IF(AND(F1916="",K1916=""),"Tidak dibuka","Tutup"),IF(H1916&gt;G1916,"Lebih kapasitas",IF(H1916=G1916,"Penuh",IF(H1916=0,IF(F1916="","Slot kosong","Belum terisi"),"Sebagian")))))</f>
        <v>Sebagian</v>
      </c>
      <c r="M1916" s="79" t="str">
        <f aca="false">IF(L1916="Tidak dibuka","–",IF(F1916="","(tanpa age group)",F1916)&amp;"  "&amp;IF(H1916="","?",H1916)&amp;"/"&amp;IF(G1916="","?",G1916)&amp;CHAR(10)&amp;IF(K1916="","coach: –","coach: "&amp;K1916))</f>
        <v>Kids  3/4
coach: Doni</v>
      </c>
    </row>
    <row r="1917" customFormat="false" ht="22.35" hidden="false" customHeight="false" outlineLevel="0" collapsed="false">
      <c r="A1917" s="76" t="str">
        <f aca="false">B1917&amp;"|"&amp;C1917&amp;"|"&amp;D1917&amp;"|"&amp;E1917</f>
        <v>BTU|4|Sabtu|15:00</v>
      </c>
      <c r="B1917" s="76" t="s">
        <v>69</v>
      </c>
      <c r="C1917" s="76" t="n">
        <v>4</v>
      </c>
      <c r="D1917" s="76" t="s">
        <v>95</v>
      </c>
      <c r="E1917" s="76" t="s">
        <v>104</v>
      </c>
      <c r="F1917" s="77" t="s">
        <v>210</v>
      </c>
      <c r="G1917" s="77" t="n">
        <v>4</v>
      </c>
      <c r="H1917" s="77" t="n">
        <v>1</v>
      </c>
      <c r="I1917" s="76" t="n">
        <f aca="false">IF(AND(ISNUMBER(G1917),ISNUMBER(H1917)),MAX(G1917-H1917,0),"")</f>
        <v>3</v>
      </c>
      <c r="J1917" s="78" t="n">
        <f aca="false">IF(AND(ISNUMBER(G1917),ISNUMBER(H1917)),IF(G1917&gt;0,H1917/G1917,""),"")</f>
        <v>0.25</v>
      </c>
      <c r="K1917" s="77" t="s">
        <v>442</v>
      </c>
      <c r="L1917" s="76" t="str">
        <f aca="false">IF(OR(G1917="",H1917=""),"Data tidak lengkap",IF(AND(G1917=0,H1917=0),IF(AND(F1917="",K1917=""),"Tidak dibuka","Tutup"),IF(H1917&gt;G1917,"Lebih kapasitas",IF(H1917=G1917,"Penuh",IF(H1917=0,IF(F1917="","Slot kosong","Belum terisi"),"Sebagian")))))</f>
        <v>Sebagian</v>
      </c>
      <c r="M1917" s="79" t="str">
        <f aca="false">IF(L1917="Tidak dibuka","–",IF(F1917="","(tanpa age group)",F1917)&amp;"  "&amp;IF(H1917="","?",H1917)&amp;"/"&amp;IF(G1917="","?",G1917)&amp;CHAR(10)&amp;IF(K1917="","coach: –","coach: "&amp;K1917))</f>
        <v>Kids  1/4
coach: Aldi</v>
      </c>
    </row>
    <row r="1918" customFormat="false" ht="22.35" hidden="false" customHeight="false" outlineLevel="0" collapsed="false">
      <c r="A1918" s="76" t="str">
        <f aca="false">B1918&amp;"|"&amp;C1918&amp;"|"&amp;D1918&amp;"|"&amp;E1918</f>
        <v>BTU|4|Sabtu|15:45</v>
      </c>
      <c r="B1918" s="76" t="s">
        <v>69</v>
      </c>
      <c r="C1918" s="76" t="n">
        <v>4</v>
      </c>
      <c r="D1918" s="76" t="s">
        <v>95</v>
      </c>
      <c r="E1918" s="76" t="s">
        <v>105</v>
      </c>
      <c r="F1918" s="77" t="s">
        <v>210</v>
      </c>
      <c r="G1918" s="77" t="n">
        <v>4</v>
      </c>
      <c r="H1918" s="77" t="n">
        <v>0</v>
      </c>
      <c r="I1918" s="76" t="n">
        <f aca="false">IF(AND(ISNUMBER(G1918),ISNUMBER(H1918)),MAX(G1918-H1918,0),"")</f>
        <v>4</v>
      </c>
      <c r="J1918" s="78" t="n">
        <f aca="false">IF(AND(ISNUMBER(G1918),ISNUMBER(H1918)),IF(G1918&gt;0,H1918/G1918,""),"")</f>
        <v>0</v>
      </c>
      <c r="K1918" s="77"/>
      <c r="L1918" s="76" t="str">
        <f aca="false">IF(OR(G1918="",H1918=""),"Data tidak lengkap",IF(AND(G1918=0,H1918=0),IF(AND(F1918="",K1918=""),"Tidak dibuka","Tutup"),IF(H1918&gt;G1918,"Lebih kapasitas",IF(H1918=G1918,"Penuh",IF(H1918=0,IF(F1918="","Slot kosong","Belum terisi"),"Sebagian")))))</f>
        <v>Belum terisi</v>
      </c>
      <c r="M1918" s="79" t="str">
        <f aca="false">IF(L1918="Tidak dibuka","–",IF(F1918="","(tanpa age group)",F1918)&amp;"  "&amp;IF(H1918="","?",H1918)&amp;"/"&amp;IF(G1918="","?",G1918)&amp;CHAR(10)&amp;IF(K1918="","coach: –","coach: "&amp;K1918))</f>
        <v>Kids  0/4
coach: –</v>
      </c>
    </row>
    <row r="1919" customFormat="false" ht="22.35" hidden="false" customHeight="false" outlineLevel="0" collapsed="false">
      <c r="A1919" s="76" t="str">
        <f aca="false">B1919&amp;"|"&amp;C1919&amp;"|"&amp;D1919&amp;"|"&amp;E1919</f>
        <v>BTU|4|Sabtu|16:30</v>
      </c>
      <c r="B1919" s="76" t="s">
        <v>69</v>
      </c>
      <c r="C1919" s="76" t="n">
        <v>4</v>
      </c>
      <c r="D1919" s="76" t="s">
        <v>95</v>
      </c>
      <c r="E1919" s="76" t="s">
        <v>106</v>
      </c>
      <c r="F1919" s="77" t="s">
        <v>210</v>
      </c>
      <c r="G1919" s="77" t="n">
        <v>4</v>
      </c>
      <c r="H1919" s="77" t="n">
        <v>3</v>
      </c>
      <c r="I1919" s="76" t="n">
        <f aca="false">IF(AND(ISNUMBER(G1919),ISNUMBER(H1919)),MAX(G1919-H1919,0),"")</f>
        <v>1</v>
      </c>
      <c r="J1919" s="78" t="n">
        <f aca="false">IF(AND(ISNUMBER(G1919),ISNUMBER(H1919)),IF(G1919&gt;0,H1919/G1919,""),"")</f>
        <v>0.75</v>
      </c>
      <c r="K1919" s="77" t="s">
        <v>435</v>
      </c>
      <c r="L1919" s="76" t="str">
        <f aca="false">IF(OR(G1919="",H1919=""),"Data tidak lengkap",IF(AND(G1919=0,H1919=0),IF(AND(F1919="",K1919=""),"Tidak dibuka","Tutup"),IF(H1919&gt;G1919,"Lebih kapasitas",IF(H1919=G1919,"Penuh",IF(H1919=0,IF(F1919="","Slot kosong","Belum terisi"),"Sebagian")))))</f>
        <v>Sebagian</v>
      </c>
      <c r="M1919" s="79" t="str">
        <f aca="false">IF(L1919="Tidak dibuka","–",IF(F1919="","(tanpa age group)",F1919)&amp;"  "&amp;IF(H1919="","?",H1919)&amp;"/"&amp;IF(G1919="","?",G1919)&amp;CHAR(10)&amp;IF(K1919="","coach: –","coach: "&amp;K1919))</f>
        <v>Kids  3/4
coach: Maulana</v>
      </c>
    </row>
    <row r="1920" customFormat="false" ht="22.35" hidden="false" customHeight="false" outlineLevel="0" collapsed="false">
      <c r="A1920" s="76" t="str">
        <f aca="false">B1920&amp;"|"&amp;C1920&amp;"|"&amp;D1920&amp;"|"&amp;E1920</f>
        <v>BTU|4|Sabtu|17:15</v>
      </c>
      <c r="B1920" s="76" t="s">
        <v>69</v>
      </c>
      <c r="C1920" s="76" t="n">
        <v>4</v>
      </c>
      <c r="D1920" s="76" t="s">
        <v>95</v>
      </c>
      <c r="E1920" s="76" t="s">
        <v>107</v>
      </c>
      <c r="F1920" s="77" t="s">
        <v>210</v>
      </c>
      <c r="G1920" s="77" t="n">
        <v>4</v>
      </c>
      <c r="H1920" s="77" t="n">
        <v>0</v>
      </c>
      <c r="I1920" s="76" t="n">
        <f aca="false">IF(AND(ISNUMBER(G1920),ISNUMBER(H1920)),MAX(G1920-H1920,0),"")</f>
        <v>4</v>
      </c>
      <c r="J1920" s="78" t="n">
        <f aca="false">IF(AND(ISNUMBER(G1920),ISNUMBER(H1920)),IF(G1920&gt;0,H1920/G1920,""),"")</f>
        <v>0</v>
      </c>
      <c r="K1920" s="77"/>
      <c r="L1920" s="76" t="str">
        <f aca="false">IF(OR(G1920="",H1920=""),"Data tidak lengkap",IF(AND(G1920=0,H1920=0),IF(AND(F1920="",K1920=""),"Tidak dibuka","Tutup"),IF(H1920&gt;G1920,"Lebih kapasitas",IF(H1920=G1920,"Penuh",IF(H1920=0,IF(F1920="","Slot kosong","Belum terisi"),"Sebagian")))))</f>
        <v>Belum terisi</v>
      </c>
      <c r="M1920" s="79" t="str">
        <f aca="false">IF(L1920="Tidak dibuka","–",IF(F1920="","(tanpa age group)",F1920)&amp;"  "&amp;IF(H1920="","?",H1920)&amp;"/"&amp;IF(G1920="","?",G1920)&amp;CHAR(10)&amp;IF(K1920="","coach: –","coach: "&amp;K1920))</f>
        <v>Kids  0/4
coach: –</v>
      </c>
    </row>
    <row r="1921" customFormat="false" ht="22.35" hidden="false" customHeight="false" outlineLevel="0" collapsed="false">
      <c r="A1921" s="76" t="str">
        <f aca="false">B1921&amp;"|"&amp;C1921&amp;"|"&amp;D1921&amp;"|"&amp;E1921</f>
        <v>BTU|4|Minggu|08:15</v>
      </c>
      <c r="B1921" s="76" t="s">
        <v>69</v>
      </c>
      <c r="C1921" s="76" t="n">
        <v>4</v>
      </c>
      <c r="D1921" s="76" t="s">
        <v>78</v>
      </c>
      <c r="E1921" s="76" t="s">
        <v>96</v>
      </c>
      <c r="F1921" s="77" t="s">
        <v>210</v>
      </c>
      <c r="G1921" s="77" t="n">
        <v>4</v>
      </c>
      <c r="H1921" s="77" t="n">
        <v>0</v>
      </c>
      <c r="I1921" s="76" t="n">
        <f aca="false">IF(AND(ISNUMBER(G1921),ISNUMBER(H1921)),MAX(G1921-H1921,0),"")</f>
        <v>4</v>
      </c>
      <c r="J1921" s="78" t="n">
        <f aca="false">IF(AND(ISNUMBER(G1921),ISNUMBER(H1921)),IF(G1921&gt;0,H1921/G1921,""),"")</f>
        <v>0</v>
      </c>
      <c r="K1921" s="77"/>
      <c r="L1921" s="76" t="str">
        <f aca="false">IF(OR(G1921="",H1921=""),"Data tidak lengkap",IF(AND(G1921=0,H1921=0),IF(AND(F1921="",K1921=""),"Tidak dibuka","Tutup"),IF(H1921&gt;G1921,"Lebih kapasitas",IF(H1921=G1921,"Penuh",IF(H1921=0,IF(F1921="","Slot kosong","Belum terisi"),"Sebagian")))))</f>
        <v>Belum terisi</v>
      </c>
      <c r="M1921" s="79" t="str">
        <f aca="false">IF(L1921="Tidak dibuka","–",IF(F1921="","(tanpa age group)",F1921)&amp;"  "&amp;IF(H1921="","?",H1921)&amp;"/"&amp;IF(G1921="","?",G1921)&amp;CHAR(10)&amp;IF(K1921="","coach: –","coach: "&amp;K1921))</f>
        <v>Kids  0/4
coach: –</v>
      </c>
    </row>
    <row r="1922" customFormat="false" ht="22.35" hidden="false" customHeight="false" outlineLevel="0" collapsed="false">
      <c r="A1922" s="76" t="str">
        <f aca="false">B1922&amp;"|"&amp;C1922&amp;"|"&amp;D1922&amp;"|"&amp;E1922</f>
        <v>BTU|4|Minggu|09:00</v>
      </c>
      <c r="B1922" s="76" t="s">
        <v>69</v>
      </c>
      <c r="C1922" s="76" t="n">
        <v>4</v>
      </c>
      <c r="D1922" s="76" t="s">
        <v>78</v>
      </c>
      <c r="E1922" s="76" t="s">
        <v>97</v>
      </c>
      <c r="F1922" s="77" t="s">
        <v>210</v>
      </c>
      <c r="G1922" s="77" t="n">
        <v>4</v>
      </c>
      <c r="H1922" s="77" t="n">
        <v>4</v>
      </c>
      <c r="I1922" s="76" t="n">
        <f aca="false">IF(AND(ISNUMBER(G1922),ISNUMBER(H1922)),MAX(G1922-H1922,0),"")</f>
        <v>0</v>
      </c>
      <c r="J1922" s="78" t="n">
        <f aca="false">IF(AND(ISNUMBER(G1922),ISNUMBER(H1922)),IF(G1922&gt;0,H1922/G1922,""),"")</f>
        <v>1</v>
      </c>
      <c r="K1922" s="77" t="s">
        <v>435</v>
      </c>
      <c r="L1922" s="76" t="str">
        <f aca="false">IF(OR(G1922="",H1922=""),"Data tidak lengkap",IF(AND(G1922=0,H1922=0),IF(AND(F1922="",K1922=""),"Tidak dibuka","Tutup"),IF(H1922&gt;G1922,"Lebih kapasitas",IF(H1922=G1922,"Penuh",IF(H1922=0,IF(F1922="","Slot kosong","Belum terisi"),"Sebagian")))))</f>
        <v>Penuh</v>
      </c>
      <c r="M1922" s="79" t="str">
        <f aca="false">IF(L1922="Tidak dibuka","–",IF(F1922="","(tanpa age group)",F1922)&amp;"  "&amp;IF(H1922="","?",H1922)&amp;"/"&amp;IF(G1922="","?",G1922)&amp;CHAR(10)&amp;IF(K1922="","coach: –","coach: "&amp;K1922))</f>
        <v>Kids  4/4
coach: Maulana</v>
      </c>
    </row>
    <row r="1923" customFormat="false" ht="22.35" hidden="false" customHeight="false" outlineLevel="0" collapsed="false">
      <c r="A1923" s="76" t="str">
        <f aca="false">B1923&amp;"|"&amp;C1923&amp;"|"&amp;D1923&amp;"|"&amp;E1923</f>
        <v>BTU|4|Minggu|09:45</v>
      </c>
      <c r="B1923" s="76" t="s">
        <v>69</v>
      </c>
      <c r="C1923" s="76" t="n">
        <v>4</v>
      </c>
      <c r="D1923" s="76" t="s">
        <v>78</v>
      </c>
      <c r="E1923" s="76" t="s">
        <v>98</v>
      </c>
      <c r="F1923" s="77" t="s">
        <v>210</v>
      </c>
      <c r="G1923" s="77" t="n">
        <v>4</v>
      </c>
      <c r="H1923" s="77" t="n">
        <v>0</v>
      </c>
      <c r="I1923" s="76" t="n">
        <f aca="false">IF(AND(ISNUMBER(G1923),ISNUMBER(H1923)),MAX(G1923-H1923,0),"")</f>
        <v>4</v>
      </c>
      <c r="J1923" s="78" t="n">
        <f aca="false">IF(AND(ISNUMBER(G1923),ISNUMBER(H1923)),IF(G1923&gt;0,H1923/G1923,""),"")</f>
        <v>0</v>
      </c>
      <c r="K1923" s="77"/>
      <c r="L1923" s="76" t="str">
        <f aca="false">IF(OR(G1923="",H1923=""),"Data tidak lengkap",IF(AND(G1923=0,H1923=0),IF(AND(F1923="",K1923=""),"Tidak dibuka","Tutup"),IF(H1923&gt;G1923,"Lebih kapasitas",IF(H1923=G1923,"Penuh",IF(H1923=0,IF(F1923="","Slot kosong","Belum terisi"),"Sebagian")))))</f>
        <v>Belum terisi</v>
      </c>
      <c r="M1923" s="79" t="str">
        <f aca="false">IF(L1923="Tidak dibuka","–",IF(F1923="","(tanpa age group)",F1923)&amp;"  "&amp;IF(H1923="","?",H1923)&amp;"/"&amp;IF(G1923="","?",G1923)&amp;CHAR(10)&amp;IF(K1923="","coach: –","coach: "&amp;K1923))</f>
        <v>Kids  0/4
coach: –</v>
      </c>
    </row>
    <row r="1924" customFormat="false" ht="22.35" hidden="false" customHeight="false" outlineLevel="0" collapsed="false">
      <c r="A1924" s="76" t="str">
        <f aca="false">B1924&amp;"|"&amp;C1924&amp;"|"&amp;D1924&amp;"|"&amp;E1924</f>
        <v>BTU|4|Minggu|10:30</v>
      </c>
      <c r="B1924" s="76" t="s">
        <v>69</v>
      </c>
      <c r="C1924" s="76" t="n">
        <v>4</v>
      </c>
      <c r="D1924" s="76" t="s">
        <v>78</v>
      </c>
      <c r="E1924" s="76" t="s">
        <v>99</v>
      </c>
      <c r="F1924" s="77" t="s">
        <v>210</v>
      </c>
      <c r="G1924" s="77" t="n">
        <v>4</v>
      </c>
      <c r="H1924" s="77" t="n">
        <v>0</v>
      </c>
      <c r="I1924" s="76" t="n">
        <f aca="false">IF(AND(ISNUMBER(G1924),ISNUMBER(H1924)),MAX(G1924-H1924,0),"")</f>
        <v>4</v>
      </c>
      <c r="J1924" s="78" t="n">
        <f aca="false">IF(AND(ISNUMBER(G1924),ISNUMBER(H1924)),IF(G1924&gt;0,H1924/G1924,""),"")</f>
        <v>0</v>
      </c>
      <c r="K1924" s="77"/>
      <c r="L1924" s="76" t="str">
        <f aca="false">IF(OR(G1924="",H1924=""),"Data tidak lengkap",IF(AND(G1924=0,H1924=0),IF(AND(F1924="",K1924=""),"Tidak dibuka","Tutup"),IF(H1924&gt;G1924,"Lebih kapasitas",IF(H1924=G1924,"Penuh",IF(H1924=0,IF(F1924="","Slot kosong","Belum terisi"),"Sebagian")))))</f>
        <v>Belum terisi</v>
      </c>
      <c r="M1924" s="79" t="str">
        <f aca="false">IF(L1924="Tidak dibuka","–",IF(F1924="","(tanpa age group)",F1924)&amp;"  "&amp;IF(H1924="","?",H1924)&amp;"/"&amp;IF(G1924="","?",G1924)&amp;CHAR(10)&amp;IF(K1924="","coach: –","coach: "&amp;K1924))</f>
        <v>Kids  0/4
coach: –</v>
      </c>
    </row>
    <row r="1925" customFormat="false" ht="22.35" hidden="false" customHeight="false" outlineLevel="0" collapsed="false">
      <c r="A1925" s="76" t="str">
        <f aca="false">B1925&amp;"|"&amp;C1925&amp;"|"&amp;D1925&amp;"|"&amp;E1925</f>
        <v>BTU|4|Minggu|11:15</v>
      </c>
      <c r="B1925" s="76" t="s">
        <v>69</v>
      </c>
      <c r="C1925" s="76" t="n">
        <v>4</v>
      </c>
      <c r="D1925" s="76" t="s">
        <v>78</v>
      </c>
      <c r="E1925" s="76" t="s">
        <v>100</v>
      </c>
      <c r="F1925" s="77" t="s">
        <v>210</v>
      </c>
      <c r="G1925" s="77" t="n">
        <v>4</v>
      </c>
      <c r="H1925" s="77" t="n">
        <v>0</v>
      </c>
      <c r="I1925" s="76" t="n">
        <f aca="false">IF(AND(ISNUMBER(G1925),ISNUMBER(H1925)),MAX(G1925-H1925,0),"")</f>
        <v>4</v>
      </c>
      <c r="J1925" s="78" t="n">
        <f aca="false">IF(AND(ISNUMBER(G1925),ISNUMBER(H1925)),IF(G1925&gt;0,H1925/G1925,""),"")</f>
        <v>0</v>
      </c>
      <c r="K1925" s="77"/>
      <c r="L1925" s="76" t="str">
        <f aca="false">IF(OR(G1925="",H1925=""),"Data tidak lengkap",IF(AND(G1925=0,H1925=0),IF(AND(F1925="",K1925=""),"Tidak dibuka","Tutup"),IF(H1925&gt;G1925,"Lebih kapasitas",IF(H1925=G1925,"Penuh",IF(H1925=0,IF(F1925="","Slot kosong","Belum terisi"),"Sebagian")))))</f>
        <v>Belum terisi</v>
      </c>
      <c r="M1925" s="79" t="str">
        <f aca="false">IF(L1925="Tidak dibuka","–",IF(F1925="","(tanpa age group)",F1925)&amp;"  "&amp;IF(H1925="","?",H1925)&amp;"/"&amp;IF(G1925="","?",G1925)&amp;CHAR(10)&amp;IF(K1925="","coach: –","coach: "&amp;K1925))</f>
        <v>Kids  0/4
coach: –</v>
      </c>
    </row>
    <row r="1926" customFormat="false" ht="22.35" hidden="false" customHeight="false" outlineLevel="0" collapsed="false">
      <c r="A1926" s="76" t="str">
        <f aca="false">B1926&amp;"|"&amp;C1926&amp;"|"&amp;D1926&amp;"|"&amp;E1926</f>
        <v>BTU|4|Minggu|12:00</v>
      </c>
      <c r="B1926" s="76" t="s">
        <v>69</v>
      </c>
      <c r="C1926" s="76" t="n">
        <v>4</v>
      </c>
      <c r="D1926" s="76" t="s">
        <v>78</v>
      </c>
      <c r="E1926" s="76" t="s">
        <v>101</v>
      </c>
      <c r="F1926" s="77" t="s">
        <v>210</v>
      </c>
      <c r="G1926" s="77" t="n">
        <v>4</v>
      </c>
      <c r="H1926" s="77" t="n">
        <v>0</v>
      </c>
      <c r="I1926" s="76" t="n">
        <f aca="false">IF(AND(ISNUMBER(G1926),ISNUMBER(H1926)),MAX(G1926-H1926,0),"")</f>
        <v>4</v>
      </c>
      <c r="J1926" s="78" t="n">
        <f aca="false">IF(AND(ISNUMBER(G1926),ISNUMBER(H1926)),IF(G1926&gt;0,H1926/G1926,""),"")</f>
        <v>0</v>
      </c>
      <c r="K1926" s="77"/>
      <c r="L1926" s="76" t="str">
        <f aca="false">IF(OR(G1926="",H1926=""),"Data tidak lengkap",IF(AND(G1926=0,H1926=0),IF(AND(F1926="",K1926=""),"Tidak dibuka","Tutup"),IF(H1926&gt;G1926,"Lebih kapasitas",IF(H1926=G1926,"Penuh",IF(H1926=0,IF(F1926="","Slot kosong","Belum terisi"),"Sebagian")))))</f>
        <v>Belum terisi</v>
      </c>
      <c r="M1926" s="79" t="str">
        <f aca="false">IF(L1926="Tidak dibuka","–",IF(F1926="","(tanpa age group)",F1926)&amp;"  "&amp;IF(H1926="","?",H1926)&amp;"/"&amp;IF(G1926="","?",G1926)&amp;CHAR(10)&amp;IF(K1926="","coach: –","coach: "&amp;K1926))</f>
        <v>Kids  0/4
coach: –</v>
      </c>
    </row>
    <row r="1927" customFormat="false" ht="22.35" hidden="false" customHeight="false" outlineLevel="0" collapsed="false">
      <c r="A1927" s="76" t="str">
        <f aca="false">B1927&amp;"|"&amp;C1927&amp;"|"&amp;D1927&amp;"|"&amp;E1927</f>
        <v>BTU|4|Minggu|13:30</v>
      </c>
      <c r="B1927" s="76" t="s">
        <v>69</v>
      </c>
      <c r="C1927" s="76" t="n">
        <v>4</v>
      </c>
      <c r="D1927" s="76" t="s">
        <v>78</v>
      </c>
      <c r="E1927" s="76" t="s">
        <v>102</v>
      </c>
      <c r="F1927" s="77" t="s">
        <v>210</v>
      </c>
      <c r="G1927" s="77" t="n">
        <v>4</v>
      </c>
      <c r="H1927" s="77" t="n">
        <v>0</v>
      </c>
      <c r="I1927" s="76" t="n">
        <f aca="false">IF(AND(ISNUMBER(G1927),ISNUMBER(H1927)),MAX(G1927-H1927,0),"")</f>
        <v>4</v>
      </c>
      <c r="J1927" s="78" t="n">
        <f aca="false">IF(AND(ISNUMBER(G1927),ISNUMBER(H1927)),IF(G1927&gt;0,H1927/G1927,""),"")</f>
        <v>0</v>
      </c>
      <c r="K1927" s="77"/>
      <c r="L1927" s="76" t="str">
        <f aca="false">IF(OR(G1927="",H1927=""),"Data tidak lengkap",IF(AND(G1927=0,H1927=0),IF(AND(F1927="",K1927=""),"Tidak dibuka","Tutup"),IF(H1927&gt;G1927,"Lebih kapasitas",IF(H1927=G1927,"Penuh",IF(H1927=0,IF(F1927="","Slot kosong","Belum terisi"),"Sebagian")))))</f>
        <v>Belum terisi</v>
      </c>
      <c r="M1927" s="79" t="str">
        <f aca="false">IF(L1927="Tidak dibuka","–",IF(F1927="","(tanpa age group)",F1927)&amp;"  "&amp;IF(H1927="","?",H1927)&amp;"/"&amp;IF(G1927="","?",G1927)&amp;CHAR(10)&amp;IF(K1927="","coach: –","coach: "&amp;K1927))</f>
        <v>Kids  0/4
coach: –</v>
      </c>
    </row>
    <row r="1928" customFormat="false" ht="22.35" hidden="false" customHeight="false" outlineLevel="0" collapsed="false">
      <c r="A1928" s="76" t="str">
        <f aca="false">B1928&amp;"|"&amp;C1928&amp;"|"&amp;D1928&amp;"|"&amp;E1928</f>
        <v>BTU|4|Minggu|14:15</v>
      </c>
      <c r="B1928" s="76" t="s">
        <v>69</v>
      </c>
      <c r="C1928" s="76" t="n">
        <v>4</v>
      </c>
      <c r="D1928" s="76" t="s">
        <v>78</v>
      </c>
      <c r="E1928" s="76" t="s">
        <v>103</v>
      </c>
      <c r="F1928" s="77" t="s">
        <v>210</v>
      </c>
      <c r="G1928" s="77" t="n">
        <v>4</v>
      </c>
      <c r="H1928" s="77" t="n">
        <v>3</v>
      </c>
      <c r="I1928" s="76" t="n">
        <f aca="false">IF(AND(ISNUMBER(G1928),ISNUMBER(H1928)),MAX(G1928-H1928,0),"")</f>
        <v>1</v>
      </c>
      <c r="J1928" s="78" t="n">
        <f aca="false">IF(AND(ISNUMBER(G1928),ISNUMBER(H1928)),IF(G1928&gt;0,H1928/G1928,""),"")</f>
        <v>0.75</v>
      </c>
      <c r="K1928" s="77" t="s">
        <v>433</v>
      </c>
      <c r="L1928" s="76" t="str">
        <f aca="false">IF(OR(G1928="",H1928=""),"Data tidak lengkap",IF(AND(G1928=0,H1928=0),IF(AND(F1928="",K1928=""),"Tidak dibuka","Tutup"),IF(H1928&gt;G1928,"Lebih kapasitas",IF(H1928=G1928,"Penuh",IF(H1928=0,IF(F1928="","Slot kosong","Belum terisi"),"Sebagian")))))</f>
        <v>Sebagian</v>
      </c>
      <c r="M1928" s="79" t="str">
        <f aca="false">IF(L1928="Tidak dibuka","–",IF(F1928="","(tanpa age group)",F1928)&amp;"  "&amp;IF(H1928="","?",H1928)&amp;"/"&amp;IF(G1928="","?",G1928)&amp;CHAR(10)&amp;IF(K1928="","coach: –","coach: "&amp;K1928))</f>
        <v>Kids  3/4
coach: Shofi</v>
      </c>
    </row>
    <row r="1929" customFormat="false" ht="22.35" hidden="false" customHeight="false" outlineLevel="0" collapsed="false">
      <c r="A1929" s="76" t="str">
        <f aca="false">B1929&amp;"|"&amp;C1929&amp;"|"&amp;D1929&amp;"|"&amp;E1929</f>
        <v>BTU|4|Minggu|15:00</v>
      </c>
      <c r="B1929" s="76" t="s">
        <v>69</v>
      </c>
      <c r="C1929" s="76" t="n">
        <v>4</v>
      </c>
      <c r="D1929" s="76" t="s">
        <v>78</v>
      </c>
      <c r="E1929" s="76" t="s">
        <v>104</v>
      </c>
      <c r="F1929" s="77" t="s">
        <v>210</v>
      </c>
      <c r="G1929" s="77" t="n">
        <v>4</v>
      </c>
      <c r="H1929" s="77" t="n">
        <v>0</v>
      </c>
      <c r="I1929" s="76" t="n">
        <f aca="false">IF(AND(ISNUMBER(G1929),ISNUMBER(H1929)),MAX(G1929-H1929,0),"")</f>
        <v>4</v>
      </c>
      <c r="J1929" s="78" t="n">
        <f aca="false">IF(AND(ISNUMBER(G1929),ISNUMBER(H1929)),IF(G1929&gt;0,H1929/G1929,""),"")</f>
        <v>0</v>
      </c>
      <c r="K1929" s="77"/>
      <c r="L1929" s="76" t="str">
        <f aca="false">IF(OR(G1929="",H1929=""),"Data tidak lengkap",IF(AND(G1929=0,H1929=0),IF(AND(F1929="",K1929=""),"Tidak dibuka","Tutup"),IF(H1929&gt;G1929,"Lebih kapasitas",IF(H1929=G1929,"Penuh",IF(H1929=0,IF(F1929="","Slot kosong","Belum terisi"),"Sebagian")))))</f>
        <v>Belum terisi</v>
      </c>
      <c r="M1929" s="79" t="str">
        <f aca="false">IF(L1929="Tidak dibuka","–",IF(F1929="","(tanpa age group)",F1929)&amp;"  "&amp;IF(H1929="","?",H1929)&amp;"/"&amp;IF(G1929="","?",G1929)&amp;CHAR(10)&amp;IF(K1929="","coach: –","coach: "&amp;K1929))</f>
        <v>Kids  0/4
coach: –</v>
      </c>
    </row>
    <row r="1930" customFormat="false" ht="22.35" hidden="false" customHeight="false" outlineLevel="0" collapsed="false">
      <c r="A1930" s="76" t="str">
        <f aca="false">B1930&amp;"|"&amp;C1930&amp;"|"&amp;D1930&amp;"|"&amp;E1930</f>
        <v>BTU|4|Minggu|15:45</v>
      </c>
      <c r="B1930" s="76" t="s">
        <v>69</v>
      </c>
      <c r="C1930" s="76" t="n">
        <v>4</v>
      </c>
      <c r="D1930" s="76" t="s">
        <v>78</v>
      </c>
      <c r="E1930" s="76" t="s">
        <v>105</v>
      </c>
      <c r="F1930" s="77" t="s">
        <v>210</v>
      </c>
      <c r="G1930" s="77" t="n">
        <v>4</v>
      </c>
      <c r="H1930" s="77" t="n">
        <v>1</v>
      </c>
      <c r="I1930" s="76" t="n">
        <f aca="false">IF(AND(ISNUMBER(G1930),ISNUMBER(H1930)),MAX(G1930-H1930,0),"")</f>
        <v>3</v>
      </c>
      <c r="J1930" s="78" t="n">
        <f aca="false">IF(AND(ISNUMBER(G1930),ISNUMBER(H1930)),IF(G1930&gt;0,H1930/G1930,""),"")</f>
        <v>0.25</v>
      </c>
      <c r="K1930" s="77" t="s">
        <v>435</v>
      </c>
      <c r="L1930" s="76" t="str">
        <f aca="false">IF(OR(G1930="",H1930=""),"Data tidak lengkap",IF(AND(G1930=0,H1930=0),IF(AND(F1930="",K1930=""),"Tidak dibuka","Tutup"),IF(H1930&gt;G1930,"Lebih kapasitas",IF(H1930=G1930,"Penuh",IF(H1930=0,IF(F1930="","Slot kosong","Belum terisi"),"Sebagian")))))</f>
        <v>Sebagian</v>
      </c>
      <c r="M1930" s="79" t="str">
        <f aca="false">IF(L1930="Tidak dibuka","–",IF(F1930="","(tanpa age group)",F1930)&amp;"  "&amp;IF(H1930="","?",H1930)&amp;"/"&amp;IF(G1930="","?",G1930)&amp;CHAR(10)&amp;IF(K1930="","coach: –","coach: "&amp;K1930))</f>
        <v>Kids  1/4
coach: Maulana</v>
      </c>
    </row>
    <row r="1931" customFormat="false" ht="22.35" hidden="false" customHeight="false" outlineLevel="0" collapsed="false">
      <c r="A1931" s="76" t="str">
        <f aca="false">B1931&amp;"|"&amp;C1931&amp;"|"&amp;D1931&amp;"|"&amp;E1931</f>
        <v>BTU|4|Minggu|16:30</v>
      </c>
      <c r="B1931" s="76" t="s">
        <v>69</v>
      </c>
      <c r="C1931" s="76" t="n">
        <v>4</v>
      </c>
      <c r="D1931" s="76" t="s">
        <v>78</v>
      </c>
      <c r="E1931" s="76" t="s">
        <v>106</v>
      </c>
      <c r="F1931" s="77" t="s">
        <v>210</v>
      </c>
      <c r="G1931" s="77" t="n">
        <v>4</v>
      </c>
      <c r="H1931" s="77" t="n">
        <v>0</v>
      </c>
      <c r="I1931" s="76" t="n">
        <f aca="false">IF(AND(ISNUMBER(G1931),ISNUMBER(H1931)),MAX(G1931-H1931,0),"")</f>
        <v>4</v>
      </c>
      <c r="J1931" s="78" t="n">
        <f aca="false">IF(AND(ISNUMBER(G1931),ISNUMBER(H1931)),IF(G1931&gt;0,H1931/G1931,""),"")</f>
        <v>0</v>
      </c>
      <c r="K1931" s="77"/>
      <c r="L1931" s="76" t="str">
        <f aca="false">IF(OR(G1931="",H1931=""),"Data tidak lengkap",IF(AND(G1931=0,H1931=0),IF(AND(F1931="",K1931=""),"Tidak dibuka","Tutup"),IF(H1931&gt;G1931,"Lebih kapasitas",IF(H1931=G1931,"Penuh",IF(H1931=0,IF(F1931="","Slot kosong","Belum terisi"),"Sebagian")))))</f>
        <v>Belum terisi</v>
      </c>
      <c r="M1931" s="79" t="str">
        <f aca="false">IF(L1931="Tidak dibuka","–",IF(F1931="","(tanpa age group)",F1931)&amp;"  "&amp;IF(H1931="","?",H1931)&amp;"/"&amp;IF(G1931="","?",G1931)&amp;CHAR(10)&amp;IF(K1931="","coach: –","coach: "&amp;K1931))</f>
        <v>Kids  0/4
coach: –</v>
      </c>
    </row>
    <row r="1932" customFormat="false" ht="22.35" hidden="false" customHeight="false" outlineLevel="0" collapsed="false">
      <c r="A1932" s="76" t="str">
        <f aca="false">B1932&amp;"|"&amp;C1932&amp;"|"&amp;D1932&amp;"|"&amp;E1932</f>
        <v>BTU|4|Minggu|17:15</v>
      </c>
      <c r="B1932" s="76" t="s">
        <v>69</v>
      </c>
      <c r="C1932" s="76" t="n">
        <v>4</v>
      </c>
      <c r="D1932" s="76" t="s">
        <v>78</v>
      </c>
      <c r="E1932" s="76" t="s">
        <v>107</v>
      </c>
      <c r="F1932" s="77" t="s">
        <v>210</v>
      </c>
      <c r="G1932" s="77" t="n">
        <v>4</v>
      </c>
      <c r="H1932" s="77" t="n">
        <v>0</v>
      </c>
      <c r="I1932" s="76" t="n">
        <f aca="false">IF(AND(ISNUMBER(G1932),ISNUMBER(H1932)),MAX(G1932-H1932,0),"")</f>
        <v>4</v>
      </c>
      <c r="J1932" s="78" t="n">
        <f aca="false">IF(AND(ISNUMBER(G1932),ISNUMBER(H1932)),IF(G1932&gt;0,H1932/G1932,""),"")</f>
        <v>0</v>
      </c>
      <c r="K1932" s="77"/>
      <c r="L1932" s="76" t="str">
        <f aca="false">IF(OR(G1932="",H1932=""),"Data tidak lengkap",IF(AND(G1932=0,H1932=0),IF(AND(F1932="",K1932=""),"Tidak dibuka","Tutup"),IF(H1932&gt;G1932,"Lebih kapasitas",IF(H1932=G1932,"Penuh",IF(H1932=0,IF(F1932="","Slot kosong","Belum terisi"),"Sebagian")))))</f>
        <v>Belum terisi</v>
      </c>
      <c r="M1932" s="79" t="str">
        <f aca="false">IF(L1932="Tidak dibuka","–",IF(F1932="","(tanpa age group)",F1932)&amp;"  "&amp;IF(H1932="","?",H1932)&amp;"/"&amp;IF(G1932="","?",G1932)&amp;CHAR(10)&amp;IF(K1932="","coach: –","coach: "&amp;K1932))</f>
        <v>Kids  0/4
coach: –</v>
      </c>
    </row>
    <row r="1933" customFormat="false" ht="22.35" hidden="false" customHeight="false" outlineLevel="0" collapsed="false">
      <c r="A1933" s="76" t="str">
        <f aca="false">B1933&amp;"|"&amp;C1933&amp;"|"&amp;D1933&amp;"|"&amp;E1933</f>
        <v>BTU|5|Senin|08:00</v>
      </c>
      <c r="B1933" s="76" t="s">
        <v>69</v>
      </c>
      <c r="C1933" s="76" t="n">
        <v>5</v>
      </c>
      <c r="D1933" s="76" t="s">
        <v>90</v>
      </c>
      <c r="E1933" s="76" t="s">
        <v>110</v>
      </c>
      <c r="F1933" s="77"/>
      <c r="G1933" s="77" t="n">
        <v>4</v>
      </c>
      <c r="H1933" s="77" t="n">
        <v>0</v>
      </c>
      <c r="I1933" s="76" t="n">
        <f aca="false">IF(AND(ISNUMBER(G1933),ISNUMBER(H1933)),MAX(G1933-H1933,0),"")</f>
        <v>4</v>
      </c>
      <c r="J1933" s="78" t="n">
        <f aca="false">IF(AND(ISNUMBER(G1933),ISNUMBER(H1933)),IF(G1933&gt;0,H1933/G1933,""),"")</f>
        <v>0</v>
      </c>
      <c r="K1933" s="77"/>
      <c r="L1933" s="76" t="str">
        <f aca="false">IF(OR(G1933="",H1933=""),"Data tidak lengkap",IF(AND(G1933=0,H1933=0),IF(AND(F1933="",K1933=""),"Tidak dibuka","Tutup"),IF(H1933&gt;G1933,"Lebih kapasitas",IF(H1933=G1933,"Penuh",IF(H1933=0,IF(F1933="","Slot kosong","Belum terisi"),"Sebagian")))))</f>
        <v>Slot kosong</v>
      </c>
      <c r="M1933" s="79" t="str">
        <f aca="false">IF(L1933="Tidak dibuka","–",IF(F1933="","(tanpa age group)",F1933)&amp;"  "&amp;IF(H1933="","?",H1933)&amp;"/"&amp;IF(G1933="","?",G1933)&amp;CHAR(10)&amp;IF(K1933="","coach: –","coach: "&amp;K1933))</f>
        <v>(tanpa age group)  0/4
coach: –</v>
      </c>
    </row>
    <row r="1934" customFormat="false" ht="22.35" hidden="false" customHeight="false" outlineLevel="0" collapsed="false">
      <c r="A1934" s="76" t="str">
        <f aca="false">B1934&amp;"|"&amp;C1934&amp;"|"&amp;D1934&amp;"|"&amp;E1934</f>
        <v>BTU|5|Senin|08:45</v>
      </c>
      <c r="B1934" s="76" t="s">
        <v>69</v>
      </c>
      <c r="C1934" s="76" t="n">
        <v>5</v>
      </c>
      <c r="D1934" s="76" t="s">
        <v>90</v>
      </c>
      <c r="E1934" s="76" t="s">
        <v>111</v>
      </c>
      <c r="F1934" s="77"/>
      <c r="G1934" s="77" t="n">
        <v>4</v>
      </c>
      <c r="H1934" s="77" t="n">
        <v>0</v>
      </c>
      <c r="I1934" s="76" t="n">
        <f aca="false">IF(AND(ISNUMBER(G1934),ISNUMBER(H1934)),MAX(G1934-H1934,0),"")</f>
        <v>4</v>
      </c>
      <c r="J1934" s="78" t="n">
        <f aca="false">IF(AND(ISNUMBER(G1934),ISNUMBER(H1934)),IF(G1934&gt;0,H1934/G1934,""),"")</f>
        <v>0</v>
      </c>
      <c r="K1934" s="77"/>
      <c r="L1934" s="76" t="str">
        <f aca="false">IF(OR(G1934="",H1934=""),"Data tidak lengkap",IF(AND(G1934=0,H1934=0),IF(AND(F1934="",K1934=""),"Tidak dibuka","Tutup"),IF(H1934&gt;G1934,"Lebih kapasitas",IF(H1934=G1934,"Penuh",IF(H1934=0,IF(F1934="","Slot kosong","Belum terisi"),"Sebagian")))))</f>
        <v>Slot kosong</v>
      </c>
      <c r="M1934" s="79" t="str">
        <f aca="false">IF(L1934="Tidak dibuka","–",IF(F1934="","(tanpa age group)",F1934)&amp;"  "&amp;IF(H1934="","?",H1934)&amp;"/"&amp;IF(G1934="","?",G1934)&amp;CHAR(10)&amp;IF(K1934="","coach: –","coach: "&amp;K1934))</f>
        <v>(tanpa age group)  0/4
coach: –</v>
      </c>
    </row>
    <row r="1935" customFormat="false" ht="22.35" hidden="false" customHeight="false" outlineLevel="0" collapsed="false">
      <c r="A1935" s="76" t="str">
        <f aca="false">B1935&amp;"|"&amp;C1935&amp;"|"&amp;D1935&amp;"|"&amp;E1935</f>
        <v>BTU|5|Senin|09:30</v>
      </c>
      <c r="B1935" s="76" t="s">
        <v>69</v>
      </c>
      <c r="C1935" s="76" t="n">
        <v>5</v>
      </c>
      <c r="D1935" s="76" t="s">
        <v>90</v>
      </c>
      <c r="E1935" s="76" t="s">
        <v>112</v>
      </c>
      <c r="F1935" s="77"/>
      <c r="G1935" s="77" t="n">
        <v>4</v>
      </c>
      <c r="H1935" s="77" t="n">
        <v>0</v>
      </c>
      <c r="I1935" s="76" t="n">
        <f aca="false">IF(AND(ISNUMBER(G1935),ISNUMBER(H1935)),MAX(G1935-H1935,0),"")</f>
        <v>4</v>
      </c>
      <c r="J1935" s="78" t="n">
        <f aca="false">IF(AND(ISNUMBER(G1935),ISNUMBER(H1935)),IF(G1935&gt;0,H1935/G1935,""),"")</f>
        <v>0</v>
      </c>
      <c r="K1935" s="77"/>
      <c r="L1935" s="76" t="str">
        <f aca="false">IF(OR(G1935="",H1935=""),"Data tidak lengkap",IF(AND(G1935=0,H1935=0),IF(AND(F1935="",K1935=""),"Tidak dibuka","Tutup"),IF(H1935&gt;G1935,"Lebih kapasitas",IF(H1935=G1935,"Penuh",IF(H1935=0,IF(F1935="","Slot kosong","Belum terisi"),"Sebagian")))))</f>
        <v>Slot kosong</v>
      </c>
      <c r="M1935" s="79" t="str">
        <f aca="false">IF(L1935="Tidak dibuka","–",IF(F1935="","(tanpa age group)",F1935)&amp;"  "&amp;IF(H1935="","?",H1935)&amp;"/"&amp;IF(G1935="","?",G1935)&amp;CHAR(10)&amp;IF(K1935="","coach: –","coach: "&amp;K1935))</f>
        <v>(tanpa age group)  0/4
coach: –</v>
      </c>
    </row>
    <row r="1936" customFormat="false" ht="22.35" hidden="false" customHeight="false" outlineLevel="0" collapsed="false">
      <c r="A1936" s="76" t="str">
        <f aca="false">B1936&amp;"|"&amp;C1936&amp;"|"&amp;D1936&amp;"|"&amp;E1936</f>
        <v>BTU|5|Senin|10:15</v>
      </c>
      <c r="B1936" s="76" t="s">
        <v>69</v>
      </c>
      <c r="C1936" s="76" t="n">
        <v>5</v>
      </c>
      <c r="D1936" s="76" t="s">
        <v>90</v>
      </c>
      <c r="E1936" s="76" t="s">
        <v>113</v>
      </c>
      <c r="F1936" s="77"/>
      <c r="G1936" s="77" t="n">
        <v>4</v>
      </c>
      <c r="H1936" s="77" t="n">
        <v>0</v>
      </c>
      <c r="I1936" s="76" t="n">
        <f aca="false">IF(AND(ISNUMBER(G1936),ISNUMBER(H1936)),MAX(G1936-H1936,0),"")</f>
        <v>4</v>
      </c>
      <c r="J1936" s="78" t="n">
        <f aca="false">IF(AND(ISNUMBER(G1936),ISNUMBER(H1936)),IF(G1936&gt;0,H1936/G1936,""),"")</f>
        <v>0</v>
      </c>
      <c r="K1936" s="77"/>
      <c r="L1936" s="76" t="str">
        <f aca="false">IF(OR(G1936="",H1936=""),"Data tidak lengkap",IF(AND(G1936=0,H1936=0),IF(AND(F1936="",K1936=""),"Tidak dibuka","Tutup"),IF(H1936&gt;G1936,"Lebih kapasitas",IF(H1936=G1936,"Penuh",IF(H1936=0,IF(F1936="","Slot kosong","Belum terisi"),"Sebagian")))))</f>
        <v>Slot kosong</v>
      </c>
      <c r="M1936" s="79" t="str">
        <f aca="false">IF(L1936="Tidak dibuka","–",IF(F1936="","(tanpa age group)",F1936)&amp;"  "&amp;IF(H1936="","?",H1936)&amp;"/"&amp;IF(G1936="","?",G1936)&amp;CHAR(10)&amp;IF(K1936="","coach: –","coach: "&amp;K1936))</f>
        <v>(tanpa age group)  0/4
coach: –</v>
      </c>
    </row>
    <row r="1937" customFormat="false" ht="22.35" hidden="false" customHeight="false" outlineLevel="0" collapsed="false">
      <c r="A1937" s="76" t="str">
        <f aca="false">B1937&amp;"|"&amp;C1937&amp;"|"&amp;D1937&amp;"|"&amp;E1937</f>
        <v>BTU|5|Senin|11:00</v>
      </c>
      <c r="B1937" s="76" t="s">
        <v>69</v>
      </c>
      <c r="C1937" s="76" t="n">
        <v>5</v>
      </c>
      <c r="D1937" s="76" t="s">
        <v>90</v>
      </c>
      <c r="E1937" s="76" t="s">
        <v>114</v>
      </c>
      <c r="F1937" s="77"/>
      <c r="G1937" s="77" t="n">
        <v>4</v>
      </c>
      <c r="H1937" s="77" t="n">
        <v>0</v>
      </c>
      <c r="I1937" s="76" t="n">
        <f aca="false">IF(AND(ISNUMBER(G1937),ISNUMBER(H1937)),MAX(G1937-H1937,0),"")</f>
        <v>4</v>
      </c>
      <c r="J1937" s="78" t="n">
        <f aca="false">IF(AND(ISNUMBER(G1937),ISNUMBER(H1937)),IF(G1937&gt;0,H1937/G1937,""),"")</f>
        <v>0</v>
      </c>
      <c r="K1937" s="77"/>
      <c r="L1937" s="76" t="str">
        <f aca="false">IF(OR(G1937="",H1937=""),"Data tidak lengkap",IF(AND(G1937=0,H1937=0),IF(AND(F1937="",K1937=""),"Tidak dibuka","Tutup"),IF(H1937&gt;G1937,"Lebih kapasitas",IF(H1937=G1937,"Penuh",IF(H1937=0,IF(F1937="","Slot kosong","Belum terisi"),"Sebagian")))))</f>
        <v>Slot kosong</v>
      </c>
      <c r="M1937" s="79" t="str">
        <f aca="false">IF(L1937="Tidak dibuka","–",IF(F1937="","(tanpa age group)",F1937)&amp;"  "&amp;IF(H1937="","?",H1937)&amp;"/"&amp;IF(G1937="","?",G1937)&amp;CHAR(10)&amp;IF(K1937="","coach: –","coach: "&amp;K1937))</f>
        <v>(tanpa age group)  0/4
coach: –</v>
      </c>
    </row>
    <row r="1938" customFormat="false" ht="22.35" hidden="false" customHeight="false" outlineLevel="0" collapsed="false">
      <c r="A1938" s="76" t="str">
        <f aca="false">B1938&amp;"|"&amp;C1938&amp;"|"&amp;D1938&amp;"|"&amp;E1938</f>
        <v>BTU|5|Senin|11:45</v>
      </c>
      <c r="B1938" s="76" t="s">
        <v>69</v>
      </c>
      <c r="C1938" s="76" t="n">
        <v>5</v>
      </c>
      <c r="D1938" s="76" t="s">
        <v>90</v>
      </c>
      <c r="E1938" s="76" t="s">
        <v>115</v>
      </c>
      <c r="F1938" s="77"/>
      <c r="G1938" s="77" t="n">
        <v>4</v>
      </c>
      <c r="H1938" s="77" t="n">
        <v>0</v>
      </c>
      <c r="I1938" s="76" t="n">
        <f aca="false">IF(AND(ISNUMBER(G1938),ISNUMBER(H1938)),MAX(G1938-H1938,0),"")</f>
        <v>4</v>
      </c>
      <c r="J1938" s="78" t="n">
        <f aca="false">IF(AND(ISNUMBER(G1938),ISNUMBER(H1938)),IF(G1938&gt;0,H1938/G1938,""),"")</f>
        <v>0</v>
      </c>
      <c r="K1938" s="77"/>
      <c r="L1938" s="76" t="str">
        <f aca="false">IF(OR(G1938="",H1938=""),"Data tidak lengkap",IF(AND(G1938=0,H1938=0),IF(AND(F1938="",K1938=""),"Tidak dibuka","Tutup"),IF(H1938&gt;G1938,"Lebih kapasitas",IF(H1938=G1938,"Penuh",IF(H1938=0,IF(F1938="","Slot kosong","Belum terisi"),"Sebagian")))))</f>
        <v>Slot kosong</v>
      </c>
      <c r="M1938" s="79" t="str">
        <f aca="false">IF(L1938="Tidak dibuka","–",IF(F1938="","(tanpa age group)",F1938)&amp;"  "&amp;IF(H1938="","?",H1938)&amp;"/"&amp;IF(G1938="","?",G1938)&amp;CHAR(10)&amp;IF(K1938="","coach: –","coach: "&amp;K1938))</f>
        <v>(tanpa age group)  0/4
coach: –</v>
      </c>
    </row>
    <row r="1939" customFormat="false" ht="22.35" hidden="false" customHeight="false" outlineLevel="0" collapsed="false">
      <c r="A1939" s="76" t="str">
        <f aca="false">B1939&amp;"|"&amp;C1939&amp;"|"&amp;D1939&amp;"|"&amp;E1939</f>
        <v>BTU|5|Senin|13:15</v>
      </c>
      <c r="B1939" s="76" t="s">
        <v>69</v>
      </c>
      <c r="C1939" s="76" t="n">
        <v>5</v>
      </c>
      <c r="D1939" s="76" t="s">
        <v>90</v>
      </c>
      <c r="E1939" s="76" t="s">
        <v>116</v>
      </c>
      <c r="F1939" s="77"/>
      <c r="G1939" s="77" t="n">
        <v>4</v>
      </c>
      <c r="H1939" s="77" t="n">
        <v>0</v>
      </c>
      <c r="I1939" s="76" t="n">
        <f aca="false">IF(AND(ISNUMBER(G1939),ISNUMBER(H1939)),MAX(G1939-H1939,0),"")</f>
        <v>4</v>
      </c>
      <c r="J1939" s="78" t="n">
        <f aca="false">IF(AND(ISNUMBER(G1939),ISNUMBER(H1939)),IF(G1939&gt;0,H1939/G1939,""),"")</f>
        <v>0</v>
      </c>
      <c r="K1939" s="77"/>
      <c r="L1939" s="76" t="str">
        <f aca="false">IF(OR(G1939="",H1939=""),"Data tidak lengkap",IF(AND(G1939=0,H1939=0),IF(AND(F1939="",K1939=""),"Tidak dibuka","Tutup"),IF(H1939&gt;G1939,"Lebih kapasitas",IF(H1939=G1939,"Penuh",IF(H1939=0,IF(F1939="","Slot kosong","Belum terisi"),"Sebagian")))))</f>
        <v>Slot kosong</v>
      </c>
      <c r="M1939" s="79" t="str">
        <f aca="false">IF(L1939="Tidak dibuka","–",IF(F1939="","(tanpa age group)",F1939)&amp;"  "&amp;IF(H1939="","?",H1939)&amp;"/"&amp;IF(G1939="","?",G1939)&amp;CHAR(10)&amp;IF(K1939="","coach: –","coach: "&amp;K1939))</f>
        <v>(tanpa age group)  0/4
coach: –</v>
      </c>
    </row>
    <row r="1940" customFormat="false" ht="22.35" hidden="false" customHeight="false" outlineLevel="0" collapsed="false">
      <c r="A1940" s="76" t="str">
        <f aca="false">B1940&amp;"|"&amp;C1940&amp;"|"&amp;D1940&amp;"|"&amp;E1940</f>
        <v>BTU|5|Senin|14:00</v>
      </c>
      <c r="B1940" s="76" t="s">
        <v>69</v>
      </c>
      <c r="C1940" s="76" t="n">
        <v>5</v>
      </c>
      <c r="D1940" s="76" t="s">
        <v>90</v>
      </c>
      <c r="E1940" s="76" t="s">
        <v>117</v>
      </c>
      <c r="F1940" s="77"/>
      <c r="G1940" s="77" t="n">
        <v>4</v>
      </c>
      <c r="H1940" s="77" t="n">
        <v>0</v>
      </c>
      <c r="I1940" s="76" t="n">
        <f aca="false">IF(AND(ISNUMBER(G1940),ISNUMBER(H1940)),MAX(G1940-H1940,0),"")</f>
        <v>4</v>
      </c>
      <c r="J1940" s="78" t="n">
        <f aca="false">IF(AND(ISNUMBER(G1940),ISNUMBER(H1940)),IF(G1940&gt;0,H1940/G1940,""),"")</f>
        <v>0</v>
      </c>
      <c r="K1940" s="77"/>
      <c r="L1940" s="76" t="str">
        <f aca="false">IF(OR(G1940="",H1940=""),"Data tidak lengkap",IF(AND(G1940=0,H1940=0),IF(AND(F1940="",K1940=""),"Tidak dibuka","Tutup"),IF(H1940&gt;G1940,"Lebih kapasitas",IF(H1940=G1940,"Penuh",IF(H1940=0,IF(F1940="","Slot kosong","Belum terisi"),"Sebagian")))))</f>
        <v>Slot kosong</v>
      </c>
      <c r="M1940" s="79" t="str">
        <f aca="false">IF(L1940="Tidak dibuka","–",IF(F1940="","(tanpa age group)",F1940)&amp;"  "&amp;IF(H1940="","?",H1940)&amp;"/"&amp;IF(G1940="","?",G1940)&amp;CHAR(10)&amp;IF(K1940="","coach: –","coach: "&amp;K1940))</f>
        <v>(tanpa age group)  0/4
coach: –</v>
      </c>
    </row>
    <row r="1941" customFormat="false" ht="22.35" hidden="false" customHeight="false" outlineLevel="0" collapsed="false">
      <c r="A1941" s="76" t="str">
        <f aca="false">B1941&amp;"|"&amp;C1941&amp;"|"&amp;D1941&amp;"|"&amp;E1941</f>
        <v>BTU|5|Senin|14:45</v>
      </c>
      <c r="B1941" s="76" t="s">
        <v>69</v>
      </c>
      <c r="C1941" s="76" t="n">
        <v>5</v>
      </c>
      <c r="D1941" s="76" t="s">
        <v>90</v>
      </c>
      <c r="E1941" s="76" t="s">
        <v>118</v>
      </c>
      <c r="F1941" s="77"/>
      <c r="G1941" s="77" t="n">
        <v>4</v>
      </c>
      <c r="H1941" s="77" t="n">
        <v>0</v>
      </c>
      <c r="I1941" s="76" t="n">
        <f aca="false">IF(AND(ISNUMBER(G1941),ISNUMBER(H1941)),MAX(G1941-H1941,0),"")</f>
        <v>4</v>
      </c>
      <c r="J1941" s="78" t="n">
        <f aca="false">IF(AND(ISNUMBER(G1941),ISNUMBER(H1941)),IF(G1941&gt;0,H1941/G1941,""),"")</f>
        <v>0</v>
      </c>
      <c r="K1941" s="77"/>
      <c r="L1941" s="76" t="str">
        <f aca="false">IF(OR(G1941="",H1941=""),"Data tidak lengkap",IF(AND(G1941=0,H1941=0),IF(AND(F1941="",K1941=""),"Tidak dibuka","Tutup"),IF(H1941&gt;G1941,"Lebih kapasitas",IF(H1941=G1941,"Penuh",IF(H1941=0,IF(F1941="","Slot kosong","Belum terisi"),"Sebagian")))))</f>
        <v>Slot kosong</v>
      </c>
      <c r="M1941" s="79" t="str">
        <f aca="false">IF(L1941="Tidak dibuka","–",IF(F1941="","(tanpa age group)",F1941)&amp;"  "&amp;IF(H1941="","?",H1941)&amp;"/"&amp;IF(G1941="","?",G1941)&amp;CHAR(10)&amp;IF(K1941="","coach: –","coach: "&amp;K1941))</f>
        <v>(tanpa age group)  0/4
coach: –</v>
      </c>
    </row>
    <row r="1942" customFormat="false" ht="22.35" hidden="false" customHeight="false" outlineLevel="0" collapsed="false">
      <c r="A1942" s="76" t="str">
        <f aca="false">B1942&amp;"|"&amp;C1942&amp;"|"&amp;D1942&amp;"|"&amp;E1942</f>
        <v>BTU|5|Senin|15:30</v>
      </c>
      <c r="B1942" s="76" t="s">
        <v>69</v>
      </c>
      <c r="C1942" s="76" t="n">
        <v>5</v>
      </c>
      <c r="D1942" s="76" t="s">
        <v>90</v>
      </c>
      <c r="E1942" s="76" t="s">
        <v>119</v>
      </c>
      <c r="F1942" s="77"/>
      <c r="G1942" s="77" t="n">
        <v>4</v>
      </c>
      <c r="H1942" s="77" t="n">
        <v>0</v>
      </c>
      <c r="I1942" s="76" t="n">
        <f aca="false">IF(AND(ISNUMBER(G1942),ISNUMBER(H1942)),MAX(G1942-H1942,0),"")</f>
        <v>4</v>
      </c>
      <c r="J1942" s="78" t="n">
        <f aca="false">IF(AND(ISNUMBER(G1942),ISNUMBER(H1942)),IF(G1942&gt;0,H1942/G1942,""),"")</f>
        <v>0</v>
      </c>
      <c r="K1942" s="77"/>
      <c r="L1942" s="76" t="str">
        <f aca="false">IF(OR(G1942="",H1942=""),"Data tidak lengkap",IF(AND(G1942=0,H1942=0),IF(AND(F1942="",K1942=""),"Tidak dibuka","Tutup"),IF(H1942&gt;G1942,"Lebih kapasitas",IF(H1942=G1942,"Penuh",IF(H1942=0,IF(F1942="","Slot kosong","Belum terisi"),"Sebagian")))))</f>
        <v>Slot kosong</v>
      </c>
      <c r="M1942" s="79" t="str">
        <f aca="false">IF(L1942="Tidak dibuka","–",IF(F1942="","(tanpa age group)",F1942)&amp;"  "&amp;IF(H1942="","?",H1942)&amp;"/"&amp;IF(G1942="","?",G1942)&amp;CHAR(10)&amp;IF(K1942="","coach: –","coach: "&amp;K1942))</f>
        <v>(tanpa age group)  0/4
coach: –</v>
      </c>
    </row>
    <row r="1943" customFormat="false" ht="22.35" hidden="false" customHeight="false" outlineLevel="0" collapsed="false">
      <c r="A1943" s="76" t="str">
        <f aca="false">B1943&amp;"|"&amp;C1943&amp;"|"&amp;D1943&amp;"|"&amp;E1943</f>
        <v>BTU|5|Senin|16:15</v>
      </c>
      <c r="B1943" s="76" t="s">
        <v>69</v>
      </c>
      <c r="C1943" s="76" t="n">
        <v>5</v>
      </c>
      <c r="D1943" s="76" t="s">
        <v>90</v>
      </c>
      <c r="E1943" s="76" t="s">
        <v>120</v>
      </c>
      <c r="F1943" s="77"/>
      <c r="G1943" s="77" t="n">
        <v>4</v>
      </c>
      <c r="H1943" s="77" t="n">
        <v>0</v>
      </c>
      <c r="I1943" s="76" t="n">
        <f aca="false">IF(AND(ISNUMBER(G1943),ISNUMBER(H1943)),MAX(G1943-H1943,0),"")</f>
        <v>4</v>
      </c>
      <c r="J1943" s="78" t="n">
        <f aca="false">IF(AND(ISNUMBER(G1943),ISNUMBER(H1943)),IF(G1943&gt;0,H1943/G1943,""),"")</f>
        <v>0</v>
      </c>
      <c r="K1943" s="77"/>
      <c r="L1943" s="76" t="str">
        <f aca="false">IF(OR(G1943="",H1943=""),"Data tidak lengkap",IF(AND(G1943=0,H1943=0),IF(AND(F1943="",K1943=""),"Tidak dibuka","Tutup"),IF(H1943&gt;G1943,"Lebih kapasitas",IF(H1943=G1943,"Penuh",IF(H1943=0,IF(F1943="","Slot kosong","Belum terisi"),"Sebagian")))))</f>
        <v>Slot kosong</v>
      </c>
      <c r="M1943" s="79" t="str">
        <f aca="false">IF(L1943="Tidak dibuka","–",IF(F1943="","(tanpa age group)",F1943)&amp;"  "&amp;IF(H1943="","?",H1943)&amp;"/"&amp;IF(G1943="","?",G1943)&amp;CHAR(10)&amp;IF(K1943="","coach: –","coach: "&amp;K1943))</f>
        <v>(tanpa age group)  0/4
coach: –</v>
      </c>
    </row>
    <row r="1944" customFormat="false" ht="22.35" hidden="false" customHeight="false" outlineLevel="0" collapsed="false">
      <c r="A1944" s="76" t="str">
        <f aca="false">B1944&amp;"|"&amp;C1944&amp;"|"&amp;D1944&amp;"|"&amp;E1944</f>
        <v>BTU|5|Senin|17:00</v>
      </c>
      <c r="B1944" s="76" t="s">
        <v>69</v>
      </c>
      <c r="C1944" s="76" t="n">
        <v>5</v>
      </c>
      <c r="D1944" s="76" t="s">
        <v>90</v>
      </c>
      <c r="E1944" s="76" t="s">
        <v>121</v>
      </c>
      <c r="F1944" s="77"/>
      <c r="G1944" s="77" t="n">
        <v>4</v>
      </c>
      <c r="H1944" s="77" t="n">
        <v>0</v>
      </c>
      <c r="I1944" s="76" t="n">
        <f aca="false">IF(AND(ISNUMBER(G1944),ISNUMBER(H1944)),MAX(G1944-H1944,0),"")</f>
        <v>4</v>
      </c>
      <c r="J1944" s="78" t="n">
        <f aca="false">IF(AND(ISNUMBER(G1944),ISNUMBER(H1944)),IF(G1944&gt;0,H1944/G1944,""),"")</f>
        <v>0</v>
      </c>
      <c r="K1944" s="77"/>
      <c r="L1944" s="76" t="str">
        <f aca="false">IF(OR(G1944="",H1944=""),"Data tidak lengkap",IF(AND(G1944=0,H1944=0),IF(AND(F1944="",K1944=""),"Tidak dibuka","Tutup"),IF(H1944&gt;G1944,"Lebih kapasitas",IF(H1944=G1944,"Penuh",IF(H1944=0,IF(F1944="","Slot kosong","Belum terisi"),"Sebagian")))))</f>
        <v>Slot kosong</v>
      </c>
      <c r="M1944" s="79" t="str">
        <f aca="false">IF(L1944="Tidak dibuka","–",IF(F1944="","(tanpa age group)",F1944)&amp;"  "&amp;IF(H1944="","?",H1944)&amp;"/"&amp;IF(G1944="","?",G1944)&amp;CHAR(10)&amp;IF(K1944="","coach: –","coach: "&amp;K1944))</f>
        <v>(tanpa age group)  0/4
coach: –</v>
      </c>
    </row>
    <row r="1945" customFormat="false" ht="22.35" hidden="false" customHeight="false" outlineLevel="0" collapsed="false">
      <c r="A1945" s="76" t="str">
        <f aca="false">B1945&amp;"|"&amp;C1945&amp;"|"&amp;D1945&amp;"|"&amp;E1945</f>
        <v>BTU|5|Selasa|08:00</v>
      </c>
      <c r="B1945" s="76" t="s">
        <v>69</v>
      </c>
      <c r="C1945" s="76" t="n">
        <v>5</v>
      </c>
      <c r="D1945" s="76" t="s">
        <v>91</v>
      </c>
      <c r="E1945" s="76" t="s">
        <v>110</v>
      </c>
      <c r="F1945" s="77"/>
      <c r="G1945" s="77" t="n">
        <v>4</v>
      </c>
      <c r="H1945" s="77" t="n">
        <v>0</v>
      </c>
      <c r="I1945" s="76" t="n">
        <f aca="false">IF(AND(ISNUMBER(G1945),ISNUMBER(H1945)),MAX(G1945-H1945,0),"")</f>
        <v>4</v>
      </c>
      <c r="J1945" s="78" t="n">
        <f aca="false">IF(AND(ISNUMBER(G1945),ISNUMBER(H1945)),IF(G1945&gt;0,H1945/G1945,""),"")</f>
        <v>0</v>
      </c>
      <c r="K1945" s="77"/>
      <c r="L1945" s="76" t="str">
        <f aca="false">IF(OR(G1945="",H1945=""),"Data tidak lengkap",IF(AND(G1945=0,H1945=0),IF(AND(F1945="",K1945=""),"Tidak dibuka","Tutup"),IF(H1945&gt;G1945,"Lebih kapasitas",IF(H1945=G1945,"Penuh",IF(H1945=0,IF(F1945="","Slot kosong","Belum terisi"),"Sebagian")))))</f>
        <v>Slot kosong</v>
      </c>
      <c r="M1945" s="79" t="str">
        <f aca="false">IF(L1945="Tidak dibuka","–",IF(F1945="","(tanpa age group)",F1945)&amp;"  "&amp;IF(H1945="","?",H1945)&amp;"/"&amp;IF(G1945="","?",G1945)&amp;CHAR(10)&amp;IF(K1945="","coach: –","coach: "&amp;K1945))</f>
        <v>(tanpa age group)  0/4
coach: –</v>
      </c>
    </row>
    <row r="1946" customFormat="false" ht="22.35" hidden="false" customHeight="false" outlineLevel="0" collapsed="false">
      <c r="A1946" s="76" t="str">
        <f aca="false">B1946&amp;"|"&amp;C1946&amp;"|"&amp;D1946&amp;"|"&amp;E1946</f>
        <v>BTU|5|Selasa|08:45</v>
      </c>
      <c r="B1946" s="76" t="s">
        <v>69</v>
      </c>
      <c r="C1946" s="76" t="n">
        <v>5</v>
      </c>
      <c r="D1946" s="76" t="s">
        <v>91</v>
      </c>
      <c r="E1946" s="76" t="s">
        <v>111</v>
      </c>
      <c r="F1946" s="77"/>
      <c r="G1946" s="77" t="n">
        <v>4</v>
      </c>
      <c r="H1946" s="77" t="n">
        <v>0</v>
      </c>
      <c r="I1946" s="76" t="n">
        <f aca="false">IF(AND(ISNUMBER(G1946),ISNUMBER(H1946)),MAX(G1946-H1946,0),"")</f>
        <v>4</v>
      </c>
      <c r="J1946" s="78" t="n">
        <f aca="false">IF(AND(ISNUMBER(G1946),ISNUMBER(H1946)),IF(G1946&gt;0,H1946/G1946,""),"")</f>
        <v>0</v>
      </c>
      <c r="K1946" s="77"/>
      <c r="L1946" s="76" t="str">
        <f aca="false">IF(OR(G1946="",H1946=""),"Data tidak lengkap",IF(AND(G1946=0,H1946=0),IF(AND(F1946="",K1946=""),"Tidak dibuka","Tutup"),IF(H1946&gt;G1946,"Lebih kapasitas",IF(H1946=G1946,"Penuh",IF(H1946=0,IF(F1946="","Slot kosong","Belum terisi"),"Sebagian")))))</f>
        <v>Slot kosong</v>
      </c>
      <c r="M1946" s="79" t="str">
        <f aca="false">IF(L1946="Tidak dibuka","–",IF(F1946="","(tanpa age group)",F1946)&amp;"  "&amp;IF(H1946="","?",H1946)&amp;"/"&amp;IF(G1946="","?",G1946)&amp;CHAR(10)&amp;IF(K1946="","coach: –","coach: "&amp;K1946))</f>
        <v>(tanpa age group)  0/4
coach: –</v>
      </c>
    </row>
    <row r="1947" customFormat="false" ht="22.35" hidden="false" customHeight="false" outlineLevel="0" collapsed="false">
      <c r="A1947" s="76" t="str">
        <f aca="false">B1947&amp;"|"&amp;C1947&amp;"|"&amp;D1947&amp;"|"&amp;E1947</f>
        <v>BTU|5|Selasa|09:30</v>
      </c>
      <c r="B1947" s="76" t="s">
        <v>69</v>
      </c>
      <c r="C1947" s="76" t="n">
        <v>5</v>
      </c>
      <c r="D1947" s="76" t="s">
        <v>91</v>
      </c>
      <c r="E1947" s="76" t="s">
        <v>112</v>
      </c>
      <c r="F1947" s="77"/>
      <c r="G1947" s="77" t="n">
        <v>4</v>
      </c>
      <c r="H1947" s="77" t="n">
        <v>0</v>
      </c>
      <c r="I1947" s="76" t="n">
        <f aca="false">IF(AND(ISNUMBER(G1947),ISNUMBER(H1947)),MAX(G1947-H1947,0),"")</f>
        <v>4</v>
      </c>
      <c r="J1947" s="78" t="n">
        <f aca="false">IF(AND(ISNUMBER(G1947),ISNUMBER(H1947)),IF(G1947&gt;0,H1947/G1947,""),"")</f>
        <v>0</v>
      </c>
      <c r="K1947" s="77"/>
      <c r="L1947" s="76" t="str">
        <f aca="false">IF(OR(G1947="",H1947=""),"Data tidak lengkap",IF(AND(G1947=0,H1947=0),IF(AND(F1947="",K1947=""),"Tidak dibuka","Tutup"),IF(H1947&gt;G1947,"Lebih kapasitas",IF(H1947=G1947,"Penuh",IF(H1947=0,IF(F1947="","Slot kosong","Belum terisi"),"Sebagian")))))</f>
        <v>Slot kosong</v>
      </c>
      <c r="M1947" s="79" t="str">
        <f aca="false">IF(L1947="Tidak dibuka","–",IF(F1947="","(tanpa age group)",F1947)&amp;"  "&amp;IF(H1947="","?",H1947)&amp;"/"&amp;IF(G1947="","?",G1947)&amp;CHAR(10)&amp;IF(K1947="","coach: –","coach: "&amp;K1947))</f>
        <v>(tanpa age group)  0/4
coach: –</v>
      </c>
    </row>
    <row r="1948" customFormat="false" ht="22.35" hidden="false" customHeight="false" outlineLevel="0" collapsed="false">
      <c r="A1948" s="76" t="str">
        <f aca="false">B1948&amp;"|"&amp;C1948&amp;"|"&amp;D1948&amp;"|"&amp;E1948</f>
        <v>BTU|5|Selasa|10:15</v>
      </c>
      <c r="B1948" s="76" t="s">
        <v>69</v>
      </c>
      <c r="C1948" s="76" t="n">
        <v>5</v>
      </c>
      <c r="D1948" s="76" t="s">
        <v>91</v>
      </c>
      <c r="E1948" s="76" t="s">
        <v>113</v>
      </c>
      <c r="F1948" s="77"/>
      <c r="G1948" s="77" t="n">
        <v>4</v>
      </c>
      <c r="H1948" s="77" t="n">
        <v>0</v>
      </c>
      <c r="I1948" s="76" t="n">
        <f aca="false">IF(AND(ISNUMBER(G1948),ISNUMBER(H1948)),MAX(G1948-H1948,0),"")</f>
        <v>4</v>
      </c>
      <c r="J1948" s="78" t="n">
        <f aca="false">IF(AND(ISNUMBER(G1948),ISNUMBER(H1948)),IF(G1948&gt;0,H1948/G1948,""),"")</f>
        <v>0</v>
      </c>
      <c r="K1948" s="77"/>
      <c r="L1948" s="76" t="str">
        <f aca="false">IF(OR(G1948="",H1948=""),"Data tidak lengkap",IF(AND(G1948=0,H1948=0),IF(AND(F1948="",K1948=""),"Tidak dibuka","Tutup"),IF(H1948&gt;G1948,"Lebih kapasitas",IF(H1948=G1948,"Penuh",IF(H1948=0,IF(F1948="","Slot kosong","Belum terisi"),"Sebagian")))))</f>
        <v>Slot kosong</v>
      </c>
      <c r="M1948" s="79" t="str">
        <f aca="false">IF(L1948="Tidak dibuka","–",IF(F1948="","(tanpa age group)",F1948)&amp;"  "&amp;IF(H1948="","?",H1948)&amp;"/"&amp;IF(G1948="","?",G1948)&amp;CHAR(10)&amp;IF(K1948="","coach: –","coach: "&amp;K1948))</f>
        <v>(tanpa age group)  0/4
coach: –</v>
      </c>
    </row>
    <row r="1949" customFormat="false" ht="22.35" hidden="false" customHeight="false" outlineLevel="0" collapsed="false">
      <c r="A1949" s="76" t="str">
        <f aca="false">B1949&amp;"|"&amp;C1949&amp;"|"&amp;D1949&amp;"|"&amp;E1949</f>
        <v>BTU|5|Selasa|11:00</v>
      </c>
      <c r="B1949" s="76" t="s">
        <v>69</v>
      </c>
      <c r="C1949" s="76" t="n">
        <v>5</v>
      </c>
      <c r="D1949" s="76" t="s">
        <v>91</v>
      </c>
      <c r="E1949" s="76" t="s">
        <v>114</v>
      </c>
      <c r="F1949" s="77"/>
      <c r="G1949" s="77" t="n">
        <v>4</v>
      </c>
      <c r="H1949" s="77" t="n">
        <v>0</v>
      </c>
      <c r="I1949" s="76" t="n">
        <f aca="false">IF(AND(ISNUMBER(G1949),ISNUMBER(H1949)),MAX(G1949-H1949,0),"")</f>
        <v>4</v>
      </c>
      <c r="J1949" s="78" t="n">
        <f aca="false">IF(AND(ISNUMBER(G1949),ISNUMBER(H1949)),IF(G1949&gt;0,H1949/G1949,""),"")</f>
        <v>0</v>
      </c>
      <c r="K1949" s="77"/>
      <c r="L1949" s="76" t="str">
        <f aca="false">IF(OR(G1949="",H1949=""),"Data tidak lengkap",IF(AND(G1949=0,H1949=0),IF(AND(F1949="",K1949=""),"Tidak dibuka","Tutup"),IF(H1949&gt;G1949,"Lebih kapasitas",IF(H1949=G1949,"Penuh",IF(H1949=0,IF(F1949="","Slot kosong","Belum terisi"),"Sebagian")))))</f>
        <v>Slot kosong</v>
      </c>
      <c r="M1949" s="79" t="str">
        <f aca="false">IF(L1949="Tidak dibuka","–",IF(F1949="","(tanpa age group)",F1949)&amp;"  "&amp;IF(H1949="","?",H1949)&amp;"/"&amp;IF(G1949="","?",G1949)&amp;CHAR(10)&amp;IF(K1949="","coach: –","coach: "&amp;K1949))</f>
        <v>(tanpa age group)  0/4
coach: –</v>
      </c>
    </row>
    <row r="1950" customFormat="false" ht="22.35" hidden="false" customHeight="false" outlineLevel="0" collapsed="false">
      <c r="A1950" s="76" t="str">
        <f aca="false">B1950&amp;"|"&amp;C1950&amp;"|"&amp;D1950&amp;"|"&amp;E1950</f>
        <v>BTU|5|Selasa|11:45</v>
      </c>
      <c r="B1950" s="76" t="s">
        <v>69</v>
      </c>
      <c r="C1950" s="76" t="n">
        <v>5</v>
      </c>
      <c r="D1950" s="76" t="s">
        <v>91</v>
      </c>
      <c r="E1950" s="76" t="s">
        <v>115</v>
      </c>
      <c r="F1950" s="77"/>
      <c r="G1950" s="77" t="n">
        <v>4</v>
      </c>
      <c r="H1950" s="77" t="n">
        <v>0</v>
      </c>
      <c r="I1950" s="76" t="n">
        <f aca="false">IF(AND(ISNUMBER(G1950),ISNUMBER(H1950)),MAX(G1950-H1950,0),"")</f>
        <v>4</v>
      </c>
      <c r="J1950" s="78" t="n">
        <f aca="false">IF(AND(ISNUMBER(G1950),ISNUMBER(H1950)),IF(G1950&gt;0,H1950/G1950,""),"")</f>
        <v>0</v>
      </c>
      <c r="K1950" s="77"/>
      <c r="L1950" s="76" t="str">
        <f aca="false">IF(OR(G1950="",H1950=""),"Data tidak lengkap",IF(AND(G1950=0,H1950=0),IF(AND(F1950="",K1950=""),"Tidak dibuka","Tutup"),IF(H1950&gt;G1950,"Lebih kapasitas",IF(H1950=G1950,"Penuh",IF(H1950=0,IF(F1950="","Slot kosong","Belum terisi"),"Sebagian")))))</f>
        <v>Slot kosong</v>
      </c>
      <c r="M1950" s="79" t="str">
        <f aca="false">IF(L1950="Tidak dibuka","–",IF(F1950="","(tanpa age group)",F1950)&amp;"  "&amp;IF(H1950="","?",H1950)&amp;"/"&amp;IF(G1950="","?",G1950)&amp;CHAR(10)&amp;IF(K1950="","coach: –","coach: "&amp;K1950))</f>
        <v>(tanpa age group)  0/4
coach: –</v>
      </c>
    </row>
    <row r="1951" customFormat="false" ht="22.35" hidden="false" customHeight="false" outlineLevel="0" collapsed="false">
      <c r="A1951" s="76" t="str">
        <f aca="false">B1951&amp;"|"&amp;C1951&amp;"|"&amp;D1951&amp;"|"&amp;E1951</f>
        <v>BTU|5|Selasa|13:15</v>
      </c>
      <c r="B1951" s="76" t="s">
        <v>69</v>
      </c>
      <c r="C1951" s="76" t="n">
        <v>5</v>
      </c>
      <c r="D1951" s="76" t="s">
        <v>91</v>
      </c>
      <c r="E1951" s="76" t="s">
        <v>116</v>
      </c>
      <c r="F1951" s="77"/>
      <c r="G1951" s="77" t="n">
        <v>4</v>
      </c>
      <c r="H1951" s="77" t="n">
        <v>0</v>
      </c>
      <c r="I1951" s="76" t="n">
        <f aca="false">IF(AND(ISNUMBER(G1951),ISNUMBER(H1951)),MAX(G1951-H1951,0),"")</f>
        <v>4</v>
      </c>
      <c r="J1951" s="78" t="n">
        <f aca="false">IF(AND(ISNUMBER(G1951),ISNUMBER(H1951)),IF(G1951&gt;0,H1951/G1951,""),"")</f>
        <v>0</v>
      </c>
      <c r="K1951" s="77"/>
      <c r="L1951" s="76" t="str">
        <f aca="false">IF(OR(G1951="",H1951=""),"Data tidak lengkap",IF(AND(G1951=0,H1951=0),IF(AND(F1951="",K1951=""),"Tidak dibuka","Tutup"),IF(H1951&gt;G1951,"Lebih kapasitas",IF(H1951=G1951,"Penuh",IF(H1951=0,IF(F1951="","Slot kosong","Belum terisi"),"Sebagian")))))</f>
        <v>Slot kosong</v>
      </c>
      <c r="M1951" s="79" t="str">
        <f aca="false">IF(L1951="Tidak dibuka","–",IF(F1951="","(tanpa age group)",F1951)&amp;"  "&amp;IF(H1951="","?",H1951)&amp;"/"&amp;IF(G1951="","?",G1951)&amp;CHAR(10)&amp;IF(K1951="","coach: –","coach: "&amp;K1951))</f>
        <v>(tanpa age group)  0/4
coach: –</v>
      </c>
    </row>
    <row r="1952" customFormat="false" ht="22.35" hidden="false" customHeight="false" outlineLevel="0" collapsed="false">
      <c r="A1952" s="76" t="str">
        <f aca="false">B1952&amp;"|"&amp;C1952&amp;"|"&amp;D1952&amp;"|"&amp;E1952</f>
        <v>BTU|5|Selasa|14:00</v>
      </c>
      <c r="B1952" s="76" t="s">
        <v>69</v>
      </c>
      <c r="C1952" s="76" t="n">
        <v>5</v>
      </c>
      <c r="D1952" s="76" t="s">
        <v>91</v>
      </c>
      <c r="E1952" s="76" t="s">
        <v>117</v>
      </c>
      <c r="F1952" s="77"/>
      <c r="G1952" s="77" t="n">
        <v>4</v>
      </c>
      <c r="H1952" s="77" t="n">
        <v>0</v>
      </c>
      <c r="I1952" s="76" t="n">
        <f aca="false">IF(AND(ISNUMBER(G1952),ISNUMBER(H1952)),MAX(G1952-H1952,0),"")</f>
        <v>4</v>
      </c>
      <c r="J1952" s="78" t="n">
        <f aca="false">IF(AND(ISNUMBER(G1952),ISNUMBER(H1952)),IF(G1952&gt;0,H1952/G1952,""),"")</f>
        <v>0</v>
      </c>
      <c r="K1952" s="77"/>
      <c r="L1952" s="76" t="str">
        <f aca="false">IF(OR(G1952="",H1952=""),"Data tidak lengkap",IF(AND(G1952=0,H1952=0),IF(AND(F1952="",K1952=""),"Tidak dibuka","Tutup"),IF(H1952&gt;G1952,"Lebih kapasitas",IF(H1952=G1952,"Penuh",IF(H1952=0,IF(F1952="","Slot kosong","Belum terisi"),"Sebagian")))))</f>
        <v>Slot kosong</v>
      </c>
      <c r="M1952" s="79" t="str">
        <f aca="false">IF(L1952="Tidak dibuka","–",IF(F1952="","(tanpa age group)",F1952)&amp;"  "&amp;IF(H1952="","?",H1952)&amp;"/"&amp;IF(G1952="","?",G1952)&amp;CHAR(10)&amp;IF(K1952="","coach: –","coach: "&amp;K1952))</f>
        <v>(tanpa age group)  0/4
coach: –</v>
      </c>
    </row>
    <row r="1953" customFormat="false" ht="22.35" hidden="false" customHeight="false" outlineLevel="0" collapsed="false">
      <c r="A1953" s="76" t="str">
        <f aca="false">B1953&amp;"|"&amp;C1953&amp;"|"&amp;D1953&amp;"|"&amp;E1953</f>
        <v>BTU|5|Selasa|14:45</v>
      </c>
      <c r="B1953" s="76" t="s">
        <v>69</v>
      </c>
      <c r="C1953" s="76" t="n">
        <v>5</v>
      </c>
      <c r="D1953" s="76" t="s">
        <v>91</v>
      </c>
      <c r="E1953" s="76" t="s">
        <v>118</v>
      </c>
      <c r="F1953" s="77"/>
      <c r="G1953" s="77" t="n">
        <v>4</v>
      </c>
      <c r="H1953" s="77" t="n">
        <v>0</v>
      </c>
      <c r="I1953" s="76" t="n">
        <f aca="false">IF(AND(ISNUMBER(G1953),ISNUMBER(H1953)),MAX(G1953-H1953,0),"")</f>
        <v>4</v>
      </c>
      <c r="J1953" s="78" t="n">
        <f aca="false">IF(AND(ISNUMBER(G1953),ISNUMBER(H1953)),IF(G1953&gt;0,H1953/G1953,""),"")</f>
        <v>0</v>
      </c>
      <c r="K1953" s="77"/>
      <c r="L1953" s="76" t="str">
        <f aca="false">IF(OR(G1953="",H1953=""),"Data tidak lengkap",IF(AND(G1953=0,H1953=0),IF(AND(F1953="",K1953=""),"Tidak dibuka","Tutup"),IF(H1953&gt;G1953,"Lebih kapasitas",IF(H1953=G1953,"Penuh",IF(H1953=0,IF(F1953="","Slot kosong","Belum terisi"),"Sebagian")))))</f>
        <v>Slot kosong</v>
      </c>
      <c r="M1953" s="79" t="str">
        <f aca="false">IF(L1953="Tidak dibuka","–",IF(F1953="","(tanpa age group)",F1953)&amp;"  "&amp;IF(H1953="","?",H1953)&amp;"/"&amp;IF(G1953="","?",G1953)&amp;CHAR(10)&amp;IF(K1953="","coach: –","coach: "&amp;K1953))</f>
        <v>(tanpa age group)  0/4
coach: –</v>
      </c>
    </row>
    <row r="1954" customFormat="false" ht="22.35" hidden="false" customHeight="false" outlineLevel="0" collapsed="false">
      <c r="A1954" s="76" t="str">
        <f aca="false">B1954&amp;"|"&amp;C1954&amp;"|"&amp;D1954&amp;"|"&amp;E1954</f>
        <v>BTU|5|Selasa|15:30</v>
      </c>
      <c r="B1954" s="76" t="s">
        <v>69</v>
      </c>
      <c r="C1954" s="76" t="n">
        <v>5</v>
      </c>
      <c r="D1954" s="76" t="s">
        <v>91</v>
      </c>
      <c r="E1954" s="76" t="s">
        <v>119</v>
      </c>
      <c r="F1954" s="77"/>
      <c r="G1954" s="77" t="n">
        <v>4</v>
      </c>
      <c r="H1954" s="77" t="n">
        <v>0</v>
      </c>
      <c r="I1954" s="76" t="n">
        <f aca="false">IF(AND(ISNUMBER(G1954),ISNUMBER(H1954)),MAX(G1954-H1954,0),"")</f>
        <v>4</v>
      </c>
      <c r="J1954" s="78" t="n">
        <f aca="false">IF(AND(ISNUMBER(G1954),ISNUMBER(H1954)),IF(G1954&gt;0,H1954/G1954,""),"")</f>
        <v>0</v>
      </c>
      <c r="K1954" s="77"/>
      <c r="L1954" s="76" t="str">
        <f aca="false">IF(OR(G1954="",H1954=""),"Data tidak lengkap",IF(AND(G1954=0,H1954=0),IF(AND(F1954="",K1954=""),"Tidak dibuka","Tutup"),IF(H1954&gt;G1954,"Lebih kapasitas",IF(H1954=G1954,"Penuh",IF(H1954=0,IF(F1954="","Slot kosong","Belum terisi"),"Sebagian")))))</f>
        <v>Slot kosong</v>
      </c>
      <c r="M1954" s="79" t="str">
        <f aca="false">IF(L1954="Tidak dibuka","–",IF(F1954="","(tanpa age group)",F1954)&amp;"  "&amp;IF(H1954="","?",H1954)&amp;"/"&amp;IF(G1954="","?",G1954)&amp;CHAR(10)&amp;IF(K1954="","coach: –","coach: "&amp;K1954))</f>
        <v>(tanpa age group)  0/4
coach: –</v>
      </c>
    </row>
    <row r="1955" customFormat="false" ht="22.35" hidden="false" customHeight="false" outlineLevel="0" collapsed="false">
      <c r="A1955" s="76" t="str">
        <f aca="false">B1955&amp;"|"&amp;C1955&amp;"|"&amp;D1955&amp;"|"&amp;E1955</f>
        <v>BTU|5|Selasa|16:15</v>
      </c>
      <c r="B1955" s="76" t="s">
        <v>69</v>
      </c>
      <c r="C1955" s="76" t="n">
        <v>5</v>
      </c>
      <c r="D1955" s="76" t="s">
        <v>91</v>
      </c>
      <c r="E1955" s="76" t="s">
        <v>120</v>
      </c>
      <c r="F1955" s="77"/>
      <c r="G1955" s="77" t="n">
        <v>4</v>
      </c>
      <c r="H1955" s="77" t="n">
        <v>0</v>
      </c>
      <c r="I1955" s="76" t="n">
        <f aca="false">IF(AND(ISNUMBER(G1955),ISNUMBER(H1955)),MAX(G1955-H1955,0),"")</f>
        <v>4</v>
      </c>
      <c r="J1955" s="78" t="n">
        <f aca="false">IF(AND(ISNUMBER(G1955),ISNUMBER(H1955)),IF(G1955&gt;0,H1955/G1955,""),"")</f>
        <v>0</v>
      </c>
      <c r="K1955" s="77"/>
      <c r="L1955" s="76" t="str">
        <f aca="false">IF(OR(G1955="",H1955=""),"Data tidak lengkap",IF(AND(G1955=0,H1955=0),IF(AND(F1955="",K1955=""),"Tidak dibuka","Tutup"),IF(H1955&gt;G1955,"Lebih kapasitas",IF(H1955=G1955,"Penuh",IF(H1955=0,IF(F1955="","Slot kosong","Belum terisi"),"Sebagian")))))</f>
        <v>Slot kosong</v>
      </c>
      <c r="M1955" s="79" t="str">
        <f aca="false">IF(L1955="Tidak dibuka","–",IF(F1955="","(tanpa age group)",F1955)&amp;"  "&amp;IF(H1955="","?",H1955)&amp;"/"&amp;IF(G1955="","?",G1955)&amp;CHAR(10)&amp;IF(K1955="","coach: –","coach: "&amp;K1955))</f>
        <v>(tanpa age group)  0/4
coach: –</v>
      </c>
    </row>
    <row r="1956" customFormat="false" ht="22.35" hidden="false" customHeight="false" outlineLevel="0" collapsed="false">
      <c r="A1956" s="76" t="str">
        <f aca="false">B1956&amp;"|"&amp;C1956&amp;"|"&amp;D1956&amp;"|"&amp;E1956</f>
        <v>BTU|5|Selasa|17:00</v>
      </c>
      <c r="B1956" s="76" t="s">
        <v>69</v>
      </c>
      <c r="C1956" s="76" t="n">
        <v>5</v>
      </c>
      <c r="D1956" s="76" t="s">
        <v>91</v>
      </c>
      <c r="E1956" s="76" t="s">
        <v>121</v>
      </c>
      <c r="F1956" s="77"/>
      <c r="G1956" s="77" t="n">
        <v>4</v>
      </c>
      <c r="H1956" s="77" t="n">
        <v>0</v>
      </c>
      <c r="I1956" s="76" t="n">
        <f aca="false">IF(AND(ISNUMBER(G1956),ISNUMBER(H1956)),MAX(G1956-H1956,0),"")</f>
        <v>4</v>
      </c>
      <c r="J1956" s="78" t="n">
        <f aca="false">IF(AND(ISNUMBER(G1956),ISNUMBER(H1956)),IF(G1956&gt;0,H1956/G1956,""),"")</f>
        <v>0</v>
      </c>
      <c r="K1956" s="77"/>
      <c r="L1956" s="76" t="str">
        <f aca="false">IF(OR(G1956="",H1956=""),"Data tidak lengkap",IF(AND(G1956=0,H1956=0),IF(AND(F1956="",K1956=""),"Tidak dibuka","Tutup"),IF(H1956&gt;G1956,"Lebih kapasitas",IF(H1956=G1956,"Penuh",IF(H1956=0,IF(F1956="","Slot kosong","Belum terisi"),"Sebagian")))))</f>
        <v>Slot kosong</v>
      </c>
      <c r="M1956" s="79" t="str">
        <f aca="false">IF(L1956="Tidak dibuka","–",IF(F1956="","(tanpa age group)",F1956)&amp;"  "&amp;IF(H1956="","?",H1956)&amp;"/"&amp;IF(G1956="","?",G1956)&amp;CHAR(10)&amp;IF(K1956="","coach: –","coach: "&amp;K1956))</f>
        <v>(tanpa age group)  0/4
coach: –</v>
      </c>
    </row>
    <row r="1957" customFormat="false" ht="22.35" hidden="false" customHeight="false" outlineLevel="0" collapsed="false">
      <c r="A1957" s="76" t="str">
        <f aca="false">B1957&amp;"|"&amp;C1957&amp;"|"&amp;D1957&amp;"|"&amp;E1957</f>
        <v>BTU|5|Rabu|08:00</v>
      </c>
      <c r="B1957" s="76" t="s">
        <v>69</v>
      </c>
      <c r="C1957" s="76" t="n">
        <v>5</v>
      </c>
      <c r="D1957" s="76" t="s">
        <v>92</v>
      </c>
      <c r="E1957" s="76" t="s">
        <v>110</v>
      </c>
      <c r="F1957" s="77"/>
      <c r="G1957" s="77" t="n">
        <v>4</v>
      </c>
      <c r="H1957" s="77" t="n">
        <v>0</v>
      </c>
      <c r="I1957" s="76" t="n">
        <f aca="false">IF(AND(ISNUMBER(G1957),ISNUMBER(H1957)),MAX(G1957-H1957,0),"")</f>
        <v>4</v>
      </c>
      <c r="J1957" s="78" t="n">
        <f aca="false">IF(AND(ISNUMBER(G1957),ISNUMBER(H1957)),IF(G1957&gt;0,H1957/G1957,""),"")</f>
        <v>0</v>
      </c>
      <c r="K1957" s="77"/>
      <c r="L1957" s="76" t="str">
        <f aca="false">IF(OR(G1957="",H1957=""),"Data tidak lengkap",IF(AND(G1957=0,H1957=0),IF(AND(F1957="",K1957=""),"Tidak dibuka","Tutup"),IF(H1957&gt;G1957,"Lebih kapasitas",IF(H1957=G1957,"Penuh",IF(H1957=0,IF(F1957="","Slot kosong","Belum terisi"),"Sebagian")))))</f>
        <v>Slot kosong</v>
      </c>
      <c r="M1957" s="79" t="str">
        <f aca="false">IF(L1957="Tidak dibuka","–",IF(F1957="","(tanpa age group)",F1957)&amp;"  "&amp;IF(H1957="","?",H1957)&amp;"/"&amp;IF(G1957="","?",G1957)&amp;CHAR(10)&amp;IF(K1957="","coach: –","coach: "&amp;K1957))</f>
        <v>(tanpa age group)  0/4
coach: –</v>
      </c>
    </row>
    <row r="1958" customFormat="false" ht="22.35" hidden="false" customHeight="false" outlineLevel="0" collapsed="false">
      <c r="A1958" s="76" t="str">
        <f aca="false">B1958&amp;"|"&amp;C1958&amp;"|"&amp;D1958&amp;"|"&amp;E1958</f>
        <v>BTU|5|Rabu|08:45</v>
      </c>
      <c r="B1958" s="76" t="s">
        <v>69</v>
      </c>
      <c r="C1958" s="76" t="n">
        <v>5</v>
      </c>
      <c r="D1958" s="76" t="s">
        <v>92</v>
      </c>
      <c r="E1958" s="76" t="s">
        <v>111</v>
      </c>
      <c r="F1958" s="77"/>
      <c r="G1958" s="77" t="n">
        <v>4</v>
      </c>
      <c r="H1958" s="77" t="n">
        <v>0</v>
      </c>
      <c r="I1958" s="76" t="n">
        <f aca="false">IF(AND(ISNUMBER(G1958),ISNUMBER(H1958)),MAX(G1958-H1958,0),"")</f>
        <v>4</v>
      </c>
      <c r="J1958" s="78" t="n">
        <f aca="false">IF(AND(ISNUMBER(G1958),ISNUMBER(H1958)),IF(G1958&gt;0,H1958/G1958,""),"")</f>
        <v>0</v>
      </c>
      <c r="K1958" s="77"/>
      <c r="L1958" s="76" t="str">
        <f aca="false">IF(OR(G1958="",H1958=""),"Data tidak lengkap",IF(AND(G1958=0,H1958=0),IF(AND(F1958="",K1958=""),"Tidak dibuka","Tutup"),IF(H1958&gt;G1958,"Lebih kapasitas",IF(H1958=G1958,"Penuh",IF(H1958=0,IF(F1958="","Slot kosong","Belum terisi"),"Sebagian")))))</f>
        <v>Slot kosong</v>
      </c>
      <c r="M1958" s="79" t="str">
        <f aca="false">IF(L1958="Tidak dibuka","–",IF(F1958="","(tanpa age group)",F1958)&amp;"  "&amp;IF(H1958="","?",H1958)&amp;"/"&amp;IF(G1958="","?",G1958)&amp;CHAR(10)&amp;IF(K1958="","coach: –","coach: "&amp;K1958))</f>
        <v>(tanpa age group)  0/4
coach: –</v>
      </c>
    </row>
    <row r="1959" customFormat="false" ht="22.35" hidden="false" customHeight="false" outlineLevel="0" collapsed="false">
      <c r="A1959" s="76" t="str">
        <f aca="false">B1959&amp;"|"&amp;C1959&amp;"|"&amp;D1959&amp;"|"&amp;E1959</f>
        <v>BTU|5|Rabu|09:30</v>
      </c>
      <c r="B1959" s="76" t="s">
        <v>69</v>
      </c>
      <c r="C1959" s="76" t="n">
        <v>5</v>
      </c>
      <c r="D1959" s="76" t="s">
        <v>92</v>
      </c>
      <c r="E1959" s="76" t="s">
        <v>112</v>
      </c>
      <c r="F1959" s="77"/>
      <c r="G1959" s="77" t="n">
        <v>4</v>
      </c>
      <c r="H1959" s="77" t="n">
        <v>0</v>
      </c>
      <c r="I1959" s="76" t="n">
        <f aca="false">IF(AND(ISNUMBER(G1959),ISNUMBER(H1959)),MAX(G1959-H1959,0),"")</f>
        <v>4</v>
      </c>
      <c r="J1959" s="78" t="n">
        <f aca="false">IF(AND(ISNUMBER(G1959),ISNUMBER(H1959)),IF(G1959&gt;0,H1959/G1959,""),"")</f>
        <v>0</v>
      </c>
      <c r="K1959" s="77"/>
      <c r="L1959" s="76" t="str">
        <f aca="false">IF(OR(G1959="",H1959=""),"Data tidak lengkap",IF(AND(G1959=0,H1959=0),IF(AND(F1959="",K1959=""),"Tidak dibuka","Tutup"),IF(H1959&gt;G1959,"Lebih kapasitas",IF(H1959=G1959,"Penuh",IF(H1959=0,IF(F1959="","Slot kosong","Belum terisi"),"Sebagian")))))</f>
        <v>Slot kosong</v>
      </c>
      <c r="M1959" s="79" t="str">
        <f aca="false">IF(L1959="Tidak dibuka","–",IF(F1959="","(tanpa age group)",F1959)&amp;"  "&amp;IF(H1959="","?",H1959)&amp;"/"&amp;IF(G1959="","?",G1959)&amp;CHAR(10)&amp;IF(K1959="","coach: –","coach: "&amp;K1959))</f>
        <v>(tanpa age group)  0/4
coach: –</v>
      </c>
    </row>
    <row r="1960" customFormat="false" ht="22.35" hidden="false" customHeight="false" outlineLevel="0" collapsed="false">
      <c r="A1960" s="76" t="str">
        <f aca="false">B1960&amp;"|"&amp;C1960&amp;"|"&amp;D1960&amp;"|"&amp;E1960</f>
        <v>BTU|5|Rabu|10:15</v>
      </c>
      <c r="B1960" s="76" t="s">
        <v>69</v>
      </c>
      <c r="C1960" s="76" t="n">
        <v>5</v>
      </c>
      <c r="D1960" s="76" t="s">
        <v>92</v>
      </c>
      <c r="E1960" s="76" t="s">
        <v>113</v>
      </c>
      <c r="F1960" s="77"/>
      <c r="G1960" s="77" t="n">
        <v>4</v>
      </c>
      <c r="H1960" s="77" t="n">
        <v>0</v>
      </c>
      <c r="I1960" s="76" t="n">
        <f aca="false">IF(AND(ISNUMBER(G1960),ISNUMBER(H1960)),MAX(G1960-H1960,0),"")</f>
        <v>4</v>
      </c>
      <c r="J1960" s="78" t="n">
        <f aca="false">IF(AND(ISNUMBER(G1960),ISNUMBER(H1960)),IF(G1960&gt;0,H1960/G1960,""),"")</f>
        <v>0</v>
      </c>
      <c r="K1960" s="77"/>
      <c r="L1960" s="76" t="str">
        <f aca="false">IF(OR(G1960="",H1960=""),"Data tidak lengkap",IF(AND(G1960=0,H1960=0),IF(AND(F1960="",K1960=""),"Tidak dibuka","Tutup"),IF(H1960&gt;G1960,"Lebih kapasitas",IF(H1960=G1960,"Penuh",IF(H1960=0,IF(F1960="","Slot kosong","Belum terisi"),"Sebagian")))))</f>
        <v>Slot kosong</v>
      </c>
      <c r="M1960" s="79" t="str">
        <f aca="false">IF(L1960="Tidak dibuka","–",IF(F1960="","(tanpa age group)",F1960)&amp;"  "&amp;IF(H1960="","?",H1960)&amp;"/"&amp;IF(G1960="","?",G1960)&amp;CHAR(10)&amp;IF(K1960="","coach: –","coach: "&amp;K1960))</f>
        <v>(tanpa age group)  0/4
coach: –</v>
      </c>
    </row>
    <row r="1961" customFormat="false" ht="22.35" hidden="false" customHeight="false" outlineLevel="0" collapsed="false">
      <c r="A1961" s="76" t="str">
        <f aca="false">B1961&amp;"|"&amp;C1961&amp;"|"&amp;D1961&amp;"|"&amp;E1961</f>
        <v>BTU|5|Rabu|11:00</v>
      </c>
      <c r="B1961" s="76" t="s">
        <v>69</v>
      </c>
      <c r="C1961" s="76" t="n">
        <v>5</v>
      </c>
      <c r="D1961" s="76" t="s">
        <v>92</v>
      </c>
      <c r="E1961" s="76" t="s">
        <v>114</v>
      </c>
      <c r="F1961" s="77"/>
      <c r="G1961" s="77" t="n">
        <v>4</v>
      </c>
      <c r="H1961" s="77" t="n">
        <v>0</v>
      </c>
      <c r="I1961" s="76" t="n">
        <f aca="false">IF(AND(ISNUMBER(G1961),ISNUMBER(H1961)),MAX(G1961-H1961,0),"")</f>
        <v>4</v>
      </c>
      <c r="J1961" s="78" t="n">
        <f aca="false">IF(AND(ISNUMBER(G1961),ISNUMBER(H1961)),IF(G1961&gt;0,H1961/G1961,""),"")</f>
        <v>0</v>
      </c>
      <c r="K1961" s="77"/>
      <c r="L1961" s="76" t="str">
        <f aca="false">IF(OR(G1961="",H1961=""),"Data tidak lengkap",IF(AND(G1961=0,H1961=0),IF(AND(F1961="",K1961=""),"Tidak dibuka","Tutup"),IF(H1961&gt;G1961,"Lebih kapasitas",IF(H1961=G1961,"Penuh",IF(H1961=0,IF(F1961="","Slot kosong","Belum terisi"),"Sebagian")))))</f>
        <v>Slot kosong</v>
      </c>
      <c r="M1961" s="79" t="str">
        <f aca="false">IF(L1961="Tidak dibuka","–",IF(F1961="","(tanpa age group)",F1961)&amp;"  "&amp;IF(H1961="","?",H1961)&amp;"/"&amp;IF(G1961="","?",G1961)&amp;CHAR(10)&amp;IF(K1961="","coach: –","coach: "&amp;K1961))</f>
        <v>(tanpa age group)  0/4
coach: –</v>
      </c>
    </row>
    <row r="1962" customFormat="false" ht="22.35" hidden="false" customHeight="false" outlineLevel="0" collapsed="false">
      <c r="A1962" s="76" t="str">
        <f aca="false">B1962&amp;"|"&amp;C1962&amp;"|"&amp;D1962&amp;"|"&amp;E1962</f>
        <v>BTU|5|Rabu|11:45</v>
      </c>
      <c r="B1962" s="76" t="s">
        <v>69</v>
      </c>
      <c r="C1962" s="76" t="n">
        <v>5</v>
      </c>
      <c r="D1962" s="76" t="s">
        <v>92</v>
      </c>
      <c r="E1962" s="76" t="s">
        <v>115</v>
      </c>
      <c r="F1962" s="77"/>
      <c r="G1962" s="77" t="n">
        <v>4</v>
      </c>
      <c r="H1962" s="77" t="n">
        <v>0</v>
      </c>
      <c r="I1962" s="76" t="n">
        <f aca="false">IF(AND(ISNUMBER(G1962),ISNUMBER(H1962)),MAX(G1962-H1962,0),"")</f>
        <v>4</v>
      </c>
      <c r="J1962" s="78" t="n">
        <f aca="false">IF(AND(ISNUMBER(G1962),ISNUMBER(H1962)),IF(G1962&gt;0,H1962/G1962,""),"")</f>
        <v>0</v>
      </c>
      <c r="K1962" s="77"/>
      <c r="L1962" s="76" t="str">
        <f aca="false">IF(OR(G1962="",H1962=""),"Data tidak lengkap",IF(AND(G1962=0,H1962=0),IF(AND(F1962="",K1962=""),"Tidak dibuka","Tutup"),IF(H1962&gt;G1962,"Lebih kapasitas",IF(H1962=G1962,"Penuh",IF(H1962=0,IF(F1962="","Slot kosong","Belum terisi"),"Sebagian")))))</f>
        <v>Slot kosong</v>
      </c>
      <c r="M1962" s="79" t="str">
        <f aca="false">IF(L1962="Tidak dibuka","–",IF(F1962="","(tanpa age group)",F1962)&amp;"  "&amp;IF(H1962="","?",H1962)&amp;"/"&amp;IF(G1962="","?",G1962)&amp;CHAR(10)&amp;IF(K1962="","coach: –","coach: "&amp;K1962))</f>
        <v>(tanpa age group)  0/4
coach: –</v>
      </c>
    </row>
    <row r="1963" customFormat="false" ht="22.35" hidden="false" customHeight="false" outlineLevel="0" collapsed="false">
      <c r="A1963" s="76" t="str">
        <f aca="false">B1963&amp;"|"&amp;C1963&amp;"|"&amp;D1963&amp;"|"&amp;E1963</f>
        <v>BTU|5|Rabu|13:15</v>
      </c>
      <c r="B1963" s="76" t="s">
        <v>69</v>
      </c>
      <c r="C1963" s="76" t="n">
        <v>5</v>
      </c>
      <c r="D1963" s="76" t="s">
        <v>92</v>
      </c>
      <c r="E1963" s="76" t="s">
        <v>116</v>
      </c>
      <c r="F1963" s="77"/>
      <c r="G1963" s="77" t="n">
        <v>4</v>
      </c>
      <c r="H1963" s="77" t="n">
        <v>0</v>
      </c>
      <c r="I1963" s="76" t="n">
        <f aca="false">IF(AND(ISNUMBER(G1963),ISNUMBER(H1963)),MAX(G1963-H1963,0),"")</f>
        <v>4</v>
      </c>
      <c r="J1963" s="78" t="n">
        <f aca="false">IF(AND(ISNUMBER(G1963),ISNUMBER(H1963)),IF(G1963&gt;0,H1963/G1963,""),"")</f>
        <v>0</v>
      </c>
      <c r="K1963" s="77"/>
      <c r="L1963" s="76" t="str">
        <f aca="false">IF(OR(G1963="",H1963=""),"Data tidak lengkap",IF(AND(G1963=0,H1963=0),IF(AND(F1963="",K1963=""),"Tidak dibuka","Tutup"),IF(H1963&gt;G1963,"Lebih kapasitas",IF(H1963=G1963,"Penuh",IF(H1963=0,IF(F1963="","Slot kosong","Belum terisi"),"Sebagian")))))</f>
        <v>Slot kosong</v>
      </c>
      <c r="M1963" s="79" t="str">
        <f aca="false">IF(L1963="Tidak dibuka","–",IF(F1963="","(tanpa age group)",F1963)&amp;"  "&amp;IF(H1963="","?",H1963)&amp;"/"&amp;IF(G1963="","?",G1963)&amp;CHAR(10)&amp;IF(K1963="","coach: –","coach: "&amp;K1963))</f>
        <v>(tanpa age group)  0/4
coach: –</v>
      </c>
    </row>
    <row r="1964" customFormat="false" ht="22.35" hidden="false" customHeight="false" outlineLevel="0" collapsed="false">
      <c r="A1964" s="76" t="str">
        <f aca="false">B1964&amp;"|"&amp;C1964&amp;"|"&amp;D1964&amp;"|"&amp;E1964</f>
        <v>BTU|5|Rabu|14:00</v>
      </c>
      <c r="B1964" s="76" t="s">
        <v>69</v>
      </c>
      <c r="C1964" s="76" t="n">
        <v>5</v>
      </c>
      <c r="D1964" s="76" t="s">
        <v>92</v>
      </c>
      <c r="E1964" s="76" t="s">
        <v>117</v>
      </c>
      <c r="F1964" s="77"/>
      <c r="G1964" s="77" t="n">
        <v>4</v>
      </c>
      <c r="H1964" s="77" t="n">
        <v>0</v>
      </c>
      <c r="I1964" s="76" t="n">
        <f aca="false">IF(AND(ISNUMBER(G1964),ISNUMBER(H1964)),MAX(G1964-H1964,0),"")</f>
        <v>4</v>
      </c>
      <c r="J1964" s="78" t="n">
        <f aca="false">IF(AND(ISNUMBER(G1964),ISNUMBER(H1964)),IF(G1964&gt;0,H1964/G1964,""),"")</f>
        <v>0</v>
      </c>
      <c r="K1964" s="77"/>
      <c r="L1964" s="76" t="str">
        <f aca="false">IF(OR(G1964="",H1964=""),"Data tidak lengkap",IF(AND(G1964=0,H1964=0),IF(AND(F1964="",K1964=""),"Tidak dibuka","Tutup"),IF(H1964&gt;G1964,"Lebih kapasitas",IF(H1964=G1964,"Penuh",IF(H1964=0,IF(F1964="","Slot kosong","Belum terisi"),"Sebagian")))))</f>
        <v>Slot kosong</v>
      </c>
      <c r="M1964" s="79" t="str">
        <f aca="false">IF(L1964="Tidak dibuka","–",IF(F1964="","(tanpa age group)",F1964)&amp;"  "&amp;IF(H1964="","?",H1964)&amp;"/"&amp;IF(G1964="","?",G1964)&amp;CHAR(10)&amp;IF(K1964="","coach: –","coach: "&amp;K1964))</f>
        <v>(tanpa age group)  0/4
coach: –</v>
      </c>
    </row>
    <row r="1965" customFormat="false" ht="22.35" hidden="false" customHeight="false" outlineLevel="0" collapsed="false">
      <c r="A1965" s="76" t="str">
        <f aca="false">B1965&amp;"|"&amp;C1965&amp;"|"&amp;D1965&amp;"|"&amp;E1965</f>
        <v>BTU|5|Rabu|14:45</v>
      </c>
      <c r="B1965" s="76" t="s">
        <v>69</v>
      </c>
      <c r="C1965" s="76" t="n">
        <v>5</v>
      </c>
      <c r="D1965" s="76" t="s">
        <v>92</v>
      </c>
      <c r="E1965" s="76" t="s">
        <v>118</v>
      </c>
      <c r="F1965" s="77"/>
      <c r="G1965" s="77" t="n">
        <v>4</v>
      </c>
      <c r="H1965" s="77" t="n">
        <v>0</v>
      </c>
      <c r="I1965" s="76" t="n">
        <f aca="false">IF(AND(ISNUMBER(G1965),ISNUMBER(H1965)),MAX(G1965-H1965,0),"")</f>
        <v>4</v>
      </c>
      <c r="J1965" s="78" t="n">
        <f aca="false">IF(AND(ISNUMBER(G1965),ISNUMBER(H1965)),IF(G1965&gt;0,H1965/G1965,""),"")</f>
        <v>0</v>
      </c>
      <c r="K1965" s="77"/>
      <c r="L1965" s="76" t="str">
        <f aca="false">IF(OR(G1965="",H1965=""),"Data tidak lengkap",IF(AND(G1965=0,H1965=0),IF(AND(F1965="",K1965=""),"Tidak dibuka","Tutup"),IF(H1965&gt;G1965,"Lebih kapasitas",IF(H1965=G1965,"Penuh",IF(H1965=0,IF(F1965="","Slot kosong","Belum terisi"),"Sebagian")))))</f>
        <v>Slot kosong</v>
      </c>
      <c r="M1965" s="79" t="str">
        <f aca="false">IF(L1965="Tidak dibuka","–",IF(F1965="","(tanpa age group)",F1965)&amp;"  "&amp;IF(H1965="","?",H1965)&amp;"/"&amp;IF(G1965="","?",G1965)&amp;CHAR(10)&amp;IF(K1965="","coach: –","coach: "&amp;K1965))</f>
        <v>(tanpa age group)  0/4
coach: –</v>
      </c>
    </row>
    <row r="1966" customFormat="false" ht="22.35" hidden="false" customHeight="false" outlineLevel="0" collapsed="false">
      <c r="A1966" s="76" t="str">
        <f aca="false">B1966&amp;"|"&amp;C1966&amp;"|"&amp;D1966&amp;"|"&amp;E1966</f>
        <v>BTU|5|Rabu|15:30</v>
      </c>
      <c r="B1966" s="76" t="s">
        <v>69</v>
      </c>
      <c r="C1966" s="76" t="n">
        <v>5</v>
      </c>
      <c r="D1966" s="76" t="s">
        <v>92</v>
      </c>
      <c r="E1966" s="76" t="s">
        <v>119</v>
      </c>
      <c r="F1966" s="77"/>
      <c r="G1966" s="77" t="n">
        <v>4</v>
      </c>
      <c r="H1966" s="77" t="n">
        <v>0</v>
      </c>
      <c r="I1966" s="76" t="n">
        <f aca="false">IF(AND(ISNUMBER(G1966),ISNUMBER(H1966)),MAX(G1966-H1966,0),"")</f>
        <v>4</v>
      </c>
      <c r="J1966" s="78" t="n">
        <f aca="false">IF(AND(ISNUMBER(G1966),ISNUMBER(H1966)),IF(G1966&gt;0,H1966/G1966,""),"")</f>
        <v>0</v>
      </c>
      <c r="K1966" s="77"/>
      <c r="L1966" s="76" t="str">
        <f aca="false">IF(OR(G1966="",H1966=""),"Data tidak lengkap",IF(AND(G1966=0,H1966=0),IF(AND(F1966="",K1966=""),"Tidak dibuka","Tutup"),IF(H1966&gt;G1966,"Lebih kapasitas",IF(H1966=G1966,"Penuh",IF(H1966=0,IF(F1966="","Slot kosong","Belum terisi"),"Sebagian")))))</f>
        <v>Slot kosong</v>
      </c>
      <c r="M1966" s="79" t="str">
        <f aca="false">IF(L1966="Tidak dibuka","–",IF(F1966="","(tanpa age group)",F1966)&amp;"  "&amp;IF(H1966="","?",H1966)&amp;"/"&amp;IF(G1966="","?",G1966)&amp;CHAR(10)&amp;IF(K1966="","coach: –","coach: "&amp;K1966))</f>
        <v>(tanpa age group)  0/4
coach: –</v>
      </c>
    </row>
    <row r="1967" customFormat="false" ht="22.35" hidden="false" customHeight="false" outlineLevel="0" collapsed="false">
      <c r="A1967" s="76" t="str">
        <f aca="false">B1967&amp;"|"&amp;C1967&amp;"|"&amp;D1967&amp;"|"&amp;E1967</f>
        <v>BTU|5|Rabu|16:15</v>
      </c>
      <c r="B1967" s="76" t="s">
        <v>69</v>
      </c>
      <c r="C1967" s="76" t="n">
        <v>5</v>
      </c>
      <c r="D1967" s="76" t="s">
        <v>92</v>
      </c>
      <c r="E1967" s="76" t="s">
        <v>120</v>
      </c>
      <c r="F1967" s="77"/>
      <c r="G1967" s="77" t="n">
        <v>4</v>
      </c>
      <c r="H1967" s="77" t="n">
        <v>0</v>
      </c>
      <c r="I1967" s="76" t="n">
        <f aca="false">IF(AND(ISNUMBER(G1967),ISNUMBER(H1967)),MAX(G1967-H1967,0),"")</f>
        <v>4</v>
      </c>
      <c r="J1967" s="78" t="n">
        <f aca="false">IF(AND(ISNUMBER(G1967),ISNUMBER(H1967)),IF(G1967&gt;0,H1967/G1967,""),"")</f>
        <v>0</v>
      </c>
      <c r="K1967" s="77"/>
      <c r="L1967" s="76" t="str">
        <f aca="false">IF(OR(G1967="",H1967=""),"Data tidak lengkap",IF(AND(G1967=0,H1967=0),IF(AND(F1967="",K1967=""),"Tidak dibuka","Tutup"),IF(H1967&gt;G1967,"Lebih kapasitas",IF(H1967=G1967,"Penuh",IF(H1967=0,IF(F1967="","Slot kosong","Belum terisi"),"Sebagian")))))</f>
        <v>Slot kosong</v>
      </c>
      <c r="M1967" s="79" t="str">
        <f aca="false">IF(L1967="Tidak dibuka","–",IF(F1967="","(tanpa age group)",F1967)&amp;"  "&amp;IF(H1967="","?",H1967)&amp;"/"&amp;IF(G1967="","?",G1967)&amp;CHAR(10)&amp;IF(K1967="","coach: –","coach: "&amp;K1967))</f>
        <v>(tanpa age group)  0/4
coach: –</v>
      </c>
    </row>
    <row r="1968" customFormat="false" ht="22.35" hidden="false" customHeight="false" outlineLevel="0" collapsed="false">
      <c r="A1968" s="76" t="str">
        <f aca="false">B1968&amp;"|"&amp;C1968&amp;"|"&amp;D1968&amp;"|"&amp;E1968</f>
        <v>BTU|5|Rabu|17:00</v>
      </c>
      <c r="B1968" s="76" t="s">
        <v>69</v>
      </c>
      <c r="C1968" s="76" t="n">
        <v>5</v>
      </c>
      <c r="D1968" s="76" t="s">
        <v>92</v>
      </c>
      <c r="E1968" s="76" t="s">
        <v>121</v>
      </c>
      <c r="F1968" s="77"/>
      <c r="G1968" s="77" t="n">
        <v>4</v>
      </c>
      <c r="H1968" s="77" t="n">
        <v>0</v>
      </c>
      <c r="I1968" s="76" t="n">
        <f aca="false">IF(AND(ISNUMBER(G1968),ISNUMBER(H1968)),MAX(G1968-H1968,0),"")</f>
        <v>4</v>
      </c>
      <c r="J1968" s="78" t="n">
        <f aca="false">IF(AND(ISNUMBER(G1968),ISNUMBER(H1968)),IF(G1968&gt;0,H1968/G1968,""),"")</f>
        <v>0</v>
      </c>
      <c r="K1968" s="77"/>
      <c r="L1968" s="76" t="str">
        <f aca="false">IF(OR(G1968="",H1968=""),"Data tidak lengkap",IF(AND(G1968=0,H1968=0),IF(AND(F1968="",K1968=""),"Tidak dibuka","Tutup"),IF(H1968&gt;G1968,"Lebih kapasitas",IF(H1968=G1968,"Penuh",IF(H1968=0,IF(F1968="","Slot kosong","Belum terisi"),"Sebagian")))))</f>
        <v>Slot kosong</v>
      </c>
      <c r="M1968" s="79" t="str">
        <f aca="false">IF(L1968="Tidak dibuka","–",IF(F1968="","(tanpa age group)",F1968)&amp;"  "&amp;IF(H1968="","?",H1968)&amp;"/"&amp;IF(G1968="","?",G1968)&amp;CHAR(10)&amp;IF(K1968="","coach: –","coach: "&amp;K1968))</f>
        <v>(tanpa age group)  0/4
coach: –</v>
      </c>
    </row>
    <row r="1969" customFormat="false" ht="22.35" hidden="false" customHeight="false" outlineLevel="0" collapsed="false">
      <c r="A1969" s="76" t="str">
        <f aca="false">B1969&amp;"|"&amp;C1969&amp;"|"&amp;D1969&amp;"|"&amp;E1969</f>
        <v>BTU|5|Kamis|08:00</v>
      </c>
      <c r="B1969" s="76" t="s">
        <v>69</v>
      </c>
      <c r="C1969" s="76" t="n">
        <v>5</v>
      </c>
      <c r="D1969" s="76" t="s">
        <v>93</v>
      </c>
      <c r="E1969" s="76" t="s">
        <v>110</v>
      </c>
      <c r="F1969" s="77"/>
      <c r="G1969" s="77" t="n">
        <v>4</v>
      </c>
      <c r="H1969" s="77" t="n">
        <v>0</v>
      </c>
      <c r="I1969" s="76" t="n">
        <f aca="false">IF(AND(ISNUMBER(G1969),ISNUMBER(H1969)),MAX(G1969-H1969,0),"")</f>
        <v>4</v>
      </c>
      <c r="J1969" s="78" t="n">
        <f aca="false">IF(AND(ISNUMBER(G1969),ISNUMBER(H1969)),IF(G1969&gt;0,H1969/G1969,""),"")</f>
        <v>0</v>
      </c>
      <c r="K1969" s="77"/>
      <c r="L1969" s="76" t="str">
        <f aca="false">IF(OR(G1969="",H1969=""),"Data tidak lengkap",IF(AND(G1969=0,H1969=0),IF(AND(F1969="",K1969=""),"Tidak dibuka","Tutup"),IF(H1969&gt;G1969,"Lebih kapasitas",IF(H1969=G1969,"Penuh",IF(H1969=0,IF(F1969="","Slot kosong","Belum terisi"),"Sebagian")))))</f>
        <v>Slot kosong</v>
      </c>
      <c r="M1969" s="79" t="str">
        <f aca="false">IF(L1969="Tidak dibuka","–",IF(F1969="","(tanpa age group)",F1969)&amp;"  "&amp;IF(H1969="","?",H1969)&amp;"/"&amp;IF(G1969="","?",G1969)&amp;CHAR(10)&amp;IF(K1969="","coach: –","coach: "&amp;K1969))</f>
        <v>(tanpa age group)  0/4
coach: –</v>
      </c>
    </row>
    <row r="1970" customFormat="false" ht="22.35" hidden="false" customHeight="false" outlineLevel="0" collapsed="false">
      <c r="A1970" s="76" t="str">
        <f aca="false">B1970&amp;"|"&amp;C1970&amp;"|"&amp;D1970&amp;"|"&amp;E1970</f>
        <v>BTU|5|Kamis|08:45</v>
      </c>
      <c r="B1970" s="76" t="s">
        <v>69</v>
      </c>
      <c r="C1970" s="76" t="n">
        <v>5</v>
      </c>
      <c r="D1970" s="76" t="s">
        <v>93</v>
      </c>
      <c r="E1970" s="76" t="s">
        <v>111</v>
      </c>
      <c r="F1970" s="77"/>
      <c r="G1970" s="77" t="n">
        <v>4</v>
      </c>
      <c r="H1970" s="77" t="n">
        <v>0</v>
      </c>
      <c r="I1970" s="76" t="n">
        <f aca="false">IF(AND(ISNUMBER(G1970),ISNUMBER(H1970)),MAX(G1970-H1970,0),"")</f>
        <v>4</v>
      </c>
      <c r="J1970" s="78" t="n">
        <f aca="false">IF(AND(ISNUMBER(G1970),ISNUMBER(H1970)),IF(G1970&gt;0,H1970/G1970,""),"")</f>
        <v>0</v>
      </c>
      <c r="K1970" s="77"/>
      <c r="L1970" s="76" t="str">
        <f aca="false">IF(OR(G1970="",H1970=""),"Data tidak lengkap",IF(AND(G1970=0,H1970=0),IF(AND(F1970="",K1970=""),"Tidak dibuka","Tutup"),IF(H1970&gt;G1970,"Lebih kapasitas",IF(H1970=G1970,"Penuh",IF(H1970=0,IF(F1970="","Slot kosong","Belum terisi"),"Sebagian")))))</f>
        <v>Slot kosong</v>
      </c>
      <c r="M1970" s="79" t="str">
        <f aca="false">IF(L1970="Tidak dibuka","–",IF(F1970="","(tanpa age group)",F1970)&amp;"  "&amp;IF(H1970="","?",H1970)&amp;"/"&amp;IF(G1970="","?",G1970)&amp;CHAR(10)&amp;IF(K1970="","coach: –","coach: "&amp;K1970))</f>
        <v>(tanpa age group)  0/4
coach: –</v>
      </c>
    </row>
    <row r="1971" customFormat="false" ht="22.35" hidden="false" customHeight="false" outlineLevel="0" collapsed="false">
      <c r="A1971" s="76" t="str">
        <f aca="false">B1971&amp;"|"&amp;C1971&amp;"|"&amp;D1971&amp;"|"&amp;E1971</f>
        <v>BTU|5|Kamis|09:30</v>
      </c>
      <c r="B1971" s="76" t="s">
        <v>69</v>
      </c>
      <c r="C1971" s="76" t="n">
        <v>5</v>
      </c>
      <c r="D1971" s="76" t="s">
        <v>93</v>
      </c>
      <c r="E1971" s="76" t="s">
        <v>112</v>
      </c>
      <c r="F1971" s="77"/>
      <c r="G1971" s="77" t="n">
        <v>4</v>
      </c>
      <c r="H1971" s="77" t="n">
        <v>0</v>
      </c>
      <c r="I1971" s="76" t="n">
        <f aca="false">IF(AND(ISNUMBER(G1971),ISNUMBER(H1971)),MAX(G1971-H1971,0),"")</f>
        <v>4</v>
      </c>
      <c r="J1971" s="78" t="n">
        <f aca="false">IF(AND(ISNUMBER(G1971),ISNUMBER(H1971)),IF(G1971&gt;0,H1971/G1971,""),"")</f>
        <v>0</v>
      </c>
      <c r="K1971" s="77"/>
      <c r="L1971" s="76" t="str">
        <f aca="false">IF(OR(G1971="",H1971=""),"Data tidak lengkap",IF(AND(G1971=0,H1971=0),IF(AND(F1971="",K1971=""),"Tidak dibuka","Tutup"),IF(H1971&gt;G1971,"Lebih kapasitas",IF(H1971=G1971,"Penuh",IF(H1971=0,IF(F1971="","Slot kosong","Belum terisi"),"Sebagian")))))</f>
        <v>Slot kosong</v>
      </c>
      <c r="M1971" s="79" t="str">
        <f aca="false">IF(L1971="Tidak dibuka","–",IF(F1971="","(tanpa age group)",F1971)&amp;"  "&amp;IF(H1971="","?",H1971)&amp;"/"&amp;IF(G1971="","?",G1971)&amp;CHAR(10)&amp;IF(K1971="","coach: –","coach: "&amp;K1971))</f>
        <v>(tanpa age group)  0/4
coach: –</v>
      </c>
    </row>
    <row r="1972" customFormat="false" ht="22.35" hidden="false" customHeight="false" outlineLevel="0" collapsed="false">
      <c r="A1972" s="76" t="str">
        <f aca="false">B1972&amp;"|"&amp;C1972&amp;"|"&amp;D1972&amp;"|"&amp;E1972</f>
        <v>BTU|5|Kamis|10:15</v>
      </c>
      <c r="B1972" s="76" t="s">
        <v>69</v>
      </c>
      <c r="C1972" s="76" t="n">
        <v>5</v>
      </c>
      <c r="D1972" s="76" t="s">
        <v>93</v>
      </c>
      <c r="E1972" s="76" t="s">
        <v>113</v>
      </c>
      <c r="F1972" s="77"/>
      <c r="G1972" s="77" t="n">
        <v>4</v>
      </c>
      <c r="H1972" s="77" t="n">
        <v>0</v>
      </c>
      <c r="I1972" s="76" t="n">
        <f aca="false">IF(AND(ISNUMBER(G1972),ISNUMBER(H1972)),MAX(G1972-H1972,0),"")</f>
        <v>4</v>
      </c>
      <c r="J1972" s="78" t="n">
        <f aca="false">IF(AND(ISNUMBER(G1972),ISNUMBER(H1972)),IF(G1972&gt;0,H1972/G1972,""),"")</f>
        <v>0</v>
      </c>
      <c r="K1972" s="77"/>
      <c r="L1972" s="76" t="str">
        <f aca="false">IF(OR(G1972="",H1972=""),"Data tidak lengkap",IF(AND(G1972=0,H1972=0),IF(AND(F1972="",K1972=""),"Tidak dibuka","Tutup"),IF(H1972&gt;G1972,"Lebih kapasitas",IF(H1972=G1972,"Penuh",IF(H1972=0,IF(F1972="","Slot kosong","Belum terisi"),"Sebagian")))))</f>
        <v>Slot kosong</v>
      </c>
      <c r="M1972" s="79" t="str">
        <f aca="false">IF(L1972="Tidak dibuka","–",IF(F1972="","(tanpa age group)",F1972)&amp;"  "&amp;IF(H1972="","?",H1972)&amp;"/"&amp;IF(G1972="","?",G1972)&amp;CHAR(10)&amp;IF(K1972="","coach: –","coach: "&amp;K1972))</f>
        <v>(tanpa age group)  0/4
coach: –</v>
      </c>
    </row>
    <row r="1973" customFormat="false" ht="22.35" hidden="false" customHeight="false" outlineLevel="0" collapsed="false">
      <c r="A1973" s="76" t="str">
        <f aca="false">B1973&amp;"|"&amp;C1973&amp;"|"&amp;D1973&amp;"|"&amp;E1973</f>
        <v>BTU|5|Kamis|11:00</v>
      </c>
      <c r="B1973" s="76" t="s">
        <v>69</v>
      </c>
      <c r="C1973" s="76" t="n">
        <v>5</v>
      </c>
      <c r="D1973" s="76" t="s">
        <v>93</v>
      </c>
      <c r="E1973" s="76" t="s">
        <v>114</v>
      </c>
      <c r="F1973" s="77"/>
      <c r="G1973" s="77" t="n">
        <v>4</v>
      </c>
      <c r="H1973" s="77" t="n">
        <v>0</v>
      </c>
      <c r="I1973" s="76" t="n">
        <f aca="false">IF(AND(ISNUMBER(G1973),ISNUMBER(H1973)),MAX(G1973-H1973,0),"")</f>
        <v>4</v>
      </c>
      <c r="J1973" s="78" t="n">
        <f aca="false">IF(AND(ISNUMBER(G1973),ISNUMBER(H1973)),IF(G1973&gt;0,H1973/G1973,""),"")</f>
        <v>0</v>
      </c>
      <c r="K1973" s="77"/>
      <c r="L1973" s="76" t="str">
        <f aca="false">IF(OR(G1973="",H1973=""),"Data tidak lengkap",IF(AND(G1973=0,H1973=0),IF(AND(F1973="",K1973=""),"Tidak dibuka","Tutup"),IF(H1973&gt;G1973,"Lebih kapasitas",IF(H1973=G1973,"Penuh",IF(H1973=0,IF(F1973="","Slot kosong","Belum terisi"),"Sebagian")))))</f>
        <v>Slot kosong</v>
      </c>
      <c r="M1973" s="79" t="str">
        <f aca="false">IF(L1973="Tidak dibuka","–",IF(F1973="","(tanpa age group)",F1973)&amp;"  "&amp;IF(H1973="","?",H1973)&amp;"/"&amp;IF(G1973="","?",G1973)&amp;CHAR(10)&amp;IF(K1973="","coach: –","coach: "&amp;K1973))</f>
        <v>(tanpa age group)  0/4
coach: –</v>
      </c>
    </row>
    <row r="1974" customFormat="false" ht="22.35" hidden="false" customHeight="false" outlineLevel="0" collapsed="false">
      <c r="A1974" s="76" t="str">
        <f aca="false">B1974&amp;"|"&amp;C1974&amp;"|"&amp;D1974&amp;"|"&amp;E1974</f>
        <v>BTU|5|Kamis|11:45</v>
      </c>
      <c r="B1974" s="76" t="s">
        <v>69</v>
      </c>
      <c r="C1974" s="76" t="n">
        <v>5</v>
      </c>
      <c r="D1974" s="76" t="s">
        <v>93</v>
      </c>
      <c r="E1974" s="76" t="s">
        <v>115</v>
      </c>
      <c r="F1974" s="77"/>
      <c r="G1974" s="77" t="n">
        <v>4</v>
      </c>
      <c r="H1974" s="77" t="n">
        <v>0</v>
      </c>
      <c r="I1974" s="76" t="n">
        <f aca="false">IF(AND(ISNUMBER(G1974),ISNUMBER(H1974)),MAX(G1974-H1974,0),"")</f>
        <v>4</v>
      </c>
      <c r="J1974" s="78" t="n">
        <f aca="false">IF(AND(ISNUMBER(G1974),ISNUMBER(H1974)),IF(G1974&gt;0,H1974/G1974,""),"")</f>
        <v>0</v>
      </c>
      <c r="K1974" s="77"/>
      <c r="L1974" s="76" t="str">
        <f aca="false">IF(OR(G1974="",H1974=""),"Data tidak lengkap",IF(AND(G1974=0,H1974=0),IF(AND(F1974="",K1974=""),"Tidak dibuka","Tutup"),IF(H1974&gt;G1974,"Lebih kapasitas",IF(H1974=G1974,"Penuh",IF(H1974=0,IF(F1974="","Slot kosong","Belum terisi"),"Sebagian")))))</f>
        <v>Slot kosong</v>
      </c>
      <c r="M1974" s="79" t="str">
        <f aca="false">IF(L1974="Tidak dibuka","–",IF(F1974="","(tanpa age group)",F1974)&amp;"  "&amp;IF(H1974="","?",H1974)&amp;"/"&amp;IF(G1974="","?",G1974)&amp;CHAR(10)&amp;IF(K1974="","coach: –","coach: "&amp;K1974))</f>
        <v>(tanpa age group)  0/4
coach: –</v>
      </c>
    </row>
    <row r="1975" customFormat="false" ht="22.35" hidden="false" customHeight="false" outlineLevel="0" collapsed="false">
      <c r="A1975" s="76" t="str">
        <f aca="false">B1975&amp;"|"&amp;C1975&amp;"|"&amp;D1975&amp;"|"&amp;E1975</f>
        <v>BTU|5|Kamis|13:15</v>
      </c>
      <c r="B1975" s="76" t="s">
        <v>69</v>
      </c>
      <c r="C1975" s="76" t="n">
        <v>5</v>
      </c>
      <c r="D1975" s="76" t="s">
        <v>93</v>
      </c>
      <c r="E1975" s="76" t="s">
        <v>116</v>
      </c>
      <c r="F1975" s="77"/>
      <c r="G1975" s="77" t="n">
        <v>4</v>
      </c>
      <c r="H1975" s="77" t="n">
        <v>0</v>
      </c>
      <c r="I1975" s="76" t="n">
        <f aca="false">IF(AND(ISNUMBER(G1975),ISNUMBER(H1975)),MAX(G1975-H1975,0),"")</f>
        <v>4</v>
      </c>
      <c r="J1975" s="78" t="n">
        <f aca="false">IF(AND(ISNUMBER(G1975),ISNUMBER(H1975)),IF(G1975&gt;0,H1975/G1975,""),"")</f>
        <v>0</v>
      </c>
      <c r="K1975" s="77"/>
      <c r="L1975" s="76" t="str">
        <f aca="false">IF(OR(G1975="",H1975=""),"Data tidak lengkap",IF(AND(G1975=0,H1975=0),IF(AND(F1975="",K1975=""),"Tidak dibuka","Tutup"),IF(H1975&gt;G1975,"Lebih kapasitas",IF(H1975=G1975,"Penuh",IF(H1975=0,IF(F1975="","Slot kosong","Belum terisi"),"Sebagian")))))</f>
        <v>Slot kosong</v>
      </c>
      <c r="M1975" s="79" t="str">
        <f aca="false">IF(L1975="Tidak dibuka","–",IF(F1975="","(tanpa age group)",F1975)&amp;"  "&amp;IF(H1975="","?",H1975)&amp;"/"&amp;IF(G1975="","?",G1975)&amp;CHAR(10)&amp;IF(K1975="","coach: –","coach: "&amp;K1975))</f>
        <v>(tanpa age group)  0/4
coach: –</v>
      </c>
    </row>
    <row r="1976" customFormat="false" ht="22.35" hidden="false" customHeight="false" outlineLevel="0" collapsed="false">
      <c r="A1976" s="76" t="str">
        <f aca="false">B1976&amp;"|"&amp;C1976&amp;"|"&amp;D1976&amp;"|"&amp;E1976</f>
        <v>BTU|5|Kamis|14:00</v>
      </c>
      <c r="B1976" s="76" t="s">
        <v>69</v>
      </c>
      <c r="C1976" s="76" t="n">
        <v>5</v>
      </c>
      <c r="D1976" s="76" t="s">
        <v>93</v>
      </c>
      <c r="E1976" s="76" t="s">
        <v>117</v>
      </c>
      <c r="F1976" s="77"/>
      <c r="G1976" s="77" t="n">
        <v>4</v>
      </c>
      <c r="H1976" s="77" t="n">
        <v>0</v>
      </c>
      <c r="I1976" s="76" t="n">
        <f aca="false">IF(AND(ISNUMBER(G1976),ISNUMBER(H1976)),MAX(G1976-H1976,0),"")</f>
        <v>4</v>
      </c>
      <c r="J1976" s="78" t="n">
        <f aca="false">IF(AND(ISNUMBER(G1976),ISNUMBER(H1976)),IF(G1976&gt;0,H1976/G1976,""),"")</f>
        <v>0</v>
      </c>
      <c r="K1976" s="77"/>
      <c r="L1976" s="76" t="str">
        <f aca="false">IF(OR(G1976="",H1976=""),"Data tidak lengkap",IF(AND(G1976=0,H1976=0),IF(AND(F1976="",K1976=""),"Tidak dibuka","Tutup"),IF(H1976&gt;G1976,"Lebih kapasitas",IF(H1976=G1976,"Penuh",IF(H1976=0,IF(F1976="","Slot kosong","Belum terisi"),"Sebagian")))))</f>
        <v>Slot kosong</v>
      </c>
      <c r="M1976" s="79" t="str">
        <f aca="false">IF(L1976="Tidak dibuka","–",IF(F1976="","(tanpa age group)",F1976)&amp;"  "&amp;IF(H1976="","?",H1976)&amp;"/"&amp;IF(G1976="","?",G1976)&amp;CHAR(10)&amp;IF(K1976="","coach: –","coach: "&amp;K1976))</f>
        <v>(tanpa age group)  0/4
coach: –</v>
      </c>
    </row>
    <row r="1977" customFormat="false" ht="22.35" hidden="false" customHeight="false" outlineLevel="0" collapsed="false">
      <c r="A1977" s="76" t="str">
        <f aca="false">B1977&amp;"|"&amp;C1977&amp;"|"&amp;D1977&amp;"|"&amp;E1977</f>
        <v>BTU|5|Kamis|14:45</v>
      </c>
      <c r="B1977" s="76" t="s">
        <v>69</v>
      </c>
      <c r="C1977" s="76" t="n">
        <v>5</v>
      </c>
      <c r="D1977" s="76" t="s">
        <v>93</v>
      </c>
      <c r="E1977" s="76" t="s">
        <v>118</v>
      </c>
      <c r="F1977" s="77"/>
      <c r="G1977" s="77" t="n">
        <v>4</v>
      </c>
      <c r="H1977" s="77" t="n">
        <v>0</v>
      </c>
      <c r="I1977" s="76" t="n">
        <f aca="false">IF(AND(ISNUMBER(G1977),ISNUMBER(H1977)),MAX(G1977-H1977,0),"")</f>
        <v>4</v>
      </c>
      <c r="J1977" s="78" t="n">
        <f aca="false">IF(AND(ISNUMBER(G1977),ISNUMBER(H1977)),IF(G1977&gt;0,H1977/G1977,""),"")</f>
        <v>0</v>
      </c>
      <c r="K1977" s="77"/>
      <c r="L1977" s="76" t="str">
        <f aca="false">IF(OR(G1977="",H1977=""),"Data tidak lengkap",IF(AND(G1977=0,H1977=0),IF(AND(F1977="",K1977=""),"Tidak dibuka","Tutup"),IF(H1977&gt;G1977,"Lebih kapasitas",IF(H1977=G1977,"Penuh",IF(H1977=0,IF(F1977="","Slot kosong","Belum terisi"),"Sebagian")))))</f>
        <v>Slot kosong</v>
      </c>
      <c r="M1977" s="79" t="str">
        <f aca="false">IF(L1977="Tidak dibuka","–",IF(F1977="","(tanpa age group)",F1977)&amp;"  "&amp;IF(H1977="","?",H1977)&amp;"/"&amp;IF(G1977="","?",G1977)&amp;CHAR(10)&amp;IF(K1977="","coach: –","coach: "&amp;K1977))</f>
        <v>(tanpa age group)  0/4
coach: –</v>
      </c>
    </row>
    <row r="1978" customFormat="false" ht="22.35" hidden="false" customHeight="false" outlineLevel="0" collapsed="false">
      <c r="A1978" s="76" t="str">
        <f aca="false">B1978&amp;"|"&amp;C1978&amp;"|"&amp;D1978&amp;"|"&amp;E1978</f>
        <v>BTU|5|Kamis|15:30</v>
      </c>
      <c r="B1978" s="76" t="s">
        <v>69</v>
      </c>
      <c r="C1978" s="76" t="n">
        <v>5</v>
      </c>
      <c r="D1978" s="76" t="s">
        <v>93</v>
      </c>
      <c r="E1978" s="76" t="s">
        <v>119</v>
      </c>
      <c r="F1978" s="77"/>
      <c r="G1978" s="77" t="n">
        <v>4</v>
      </c>
      <c r="H1978" s="77" t="n">
        <v>0</v>
      </c>
      <c r="I1978" s="76" t="n">
        <f aca="false">IF(AND(ISNUMBER(G1978),ISNUMBER(H1978)),MAX(G1978-H1978,0),"")</f>
        <v>4</v>
      </c>
      <c r="J1978" s="78" t="n">
        <f aca="false">IF(AND(ISNUMBER(G1978),ISNUMBER(H1978)),IF(G1978&gt;0,H1978/G1978,""),"")</f>
        <v>0</v>
      </c>
      <c r="K1978" s="77"/>
      <c r="L1978" s="76" t="str">
        <f aca="false">IF(OR(G1978="",H1978=""),"Data tidak lengkap",IF(AND(G1978=0,H1978=0),IF(AND(F1978="",K1978=""),"Tidak dibuka","Tutup"),IF(H1978&gt;G1978,"Lebih kapasitas",IF(H1978=G1978,"Penuh",IF(H1978=0,IF(F1978="","Slot kosong","Belum terisi"),"Sebagian")))))</f>
        <v>Slot kosong</v>
      </c>
      <c r="M1978" s="79" t="str">
        <f aca="false">IF(L1978="Tidak dibuka","–",IF(F1978="","(tanpa age group)",F1978)&amp;"  "&amp;IF(H1978="","?",H1978)&amp;"/"&amp;IF(G1978="","?",G1978)&amp;CHAR(10)&amp;IF(K1978="","coach: –","coach: "&amp;K1978))</f>
        <v>(tanpa age group)  0/4
coach: –</v>
      </c>
    </row>
    <row r="1979" customFormat="false" ht="22.35" hidden="false" customHeight="false" outlineLevel="0" collapsed="false">
      <c r="A1979" s="76" t="str">
        <f aca="false">B1979&amp;"|"&amp;C1979&amp;"|"&amp;D1979&amp;"|"&amp;E1979</f>
        <v>BTU|5|Kamis|16:15</v>
      </c>
      <c r="B1979" s="76" t="s">
        <v>69</v>
      </c>
      <c r="C1979" s="76" t="n">
        <v>5</v>
      </c>
      <c r="D1979" s="76" t="s">
        <v>93</v>
      </c>
      <c r="E1979" s="76" t="s">
        <v>120</v>
      </c>
      <c r="F1979" s="77"/>
      <c r="G1979" s="77" t="n">
        <v>4</v>
      </c>
      <c r="H1979" s="77" t="n">
        <v>0</v>
      </c>
      <c r="I1979" s="76" t="n">
        <f aca="false">IF(AND(ISNUMBER(G1979),ISNUMBER(H1979)),MAX(G1979-H1979,0),"")</f>
        <v>4</v>
      </c>
      <c r="J1979" s="78" t="n">
        <f aca="false">IF(AND(ISNUMBER(G1979),ISNUMBER(H1979)),IF(G1979&gt;0,H1979/G1979,""),"")</f>
        <v>0</v>
      </c>
      <c r="K1979" s="77"/>
      <c r="L1979" s="76" t="str">
        <f aca="false">IF(OR(G1979="",H1979=""),"Data tidak lengkap",IF(AND(G1979=0,H1979=0),IF(AND(F1979="",K1979=""),"Tidak dibuka","Tutup"),IF(H1979&gt;G1979,"Lebih kapasitas",IF(H1979=G1979,"Penuh",IF(H1979=0,IF(F1979="","Slot kosong","Belum terisi"),"Sebagian")))))</f>
        <v>Slot kosong</v>
      </c>
      <c r="M1979" s="79" t="str">
        <f aca="false">IF(L1979="Tidak dibuka","–",IF(F1979="","(tanpa age group)",F1979)&amp;"  "&amp;IF(H1979="","?",H1979)&amp;"/"&amp;IF(G1979="","?",G1979)&amp;CHAR(10)&amp;IF(K1979="","coach: –","coach: "&amp;K1979))</f>
        <v>(tanpa age group)  0/4
coach: –</v>
      </c>
    </row>
    <row r="1980" customFormat="false" ht="22.35" hidden="false" customHeight="false" outlineLevel="0" collapsed="false">
      <c r="A1980" s="76" t="str">
        <f aca="false">B1980&amp;"|"&amp;C1980&amp;"|"&amp;D1980&amp;"|"&amp;E1980</f>
        <v>BTU|5|Kamis|17:00</v>
      </c>
      <c r="B1980" s="76" t="s">
        <v>69</v>
      </c>
      <c r="C1980" s="76" t="n">
        <v>5</v>
      </c>
      <c r="D1980" s="76" t="s">
        <v>93</v>
      </c>
      <c r="E1980" s="76" t="s">
        <v>121</v>
      </c>
      <c r="F1980" s="77"/>
      <c r="G1980" s="77" t="n">
        <v>4</v>
      </c>
      <c r="H1980" s="77" t="n">
        <v>0</v>
      </c>
      <c r="I1980" s="76" t="n">
        <f aca="false">IF(AND(ISNUMBER(G1980),ISNUMBER(H1980)),MAX(G1980-H1980,0),"")</f>
        <v>4</v>
      </c>
      <c r="J1980" s="78" t="n">
        <f aca="false">IF(AND(ISNUMBER(G1980),ISNUMBER(H1980)),IF(G1980&gt;0,H1980/G1980,""),"")</f>
        <v>0</v>
      </c>
      <c r="K1980" s="77"/>
      <c r="L1980" s="76" t="str">
        <f aca="false">IF(OR(G1980="",H1980=""),"Data tidak lengkap",IF(AND(G1980=0,H1980=0),IF(AND(F1980="",K1980=""),"Tidak dibuka","Tutup"),IF(H1980&gt;G1980,"Lebih kapasitas",IF(H1980=G1980,"Penuh",IF(H1980=0,IF(F1980="","Slot kosong","Belum terisi"),"Sebagian")))))</f>
        <v>Slot kosong</v>
      </c>
      <c r="M1980" s="79" t="str">
        <f aca="false">IF(L1980="Tidak dibuka","–",IF(F1980="","(tanpa age group)",F1980)&amp;"  "&amp;IF(H1980="","?",H1980)&amp;"/"&amp;IF(G1980="","?",G1980)&amp;CHAR(10)&amp;IF(K1980="","coach: –","coach: "&amp;K1980))</f>
        <v>(tanpa age group)  0/4
coach: –</v>
      </c>
    </row>
    <row r="1981" customFormat="false" ht="22.35" hidden="false" customHeight="false" outlineLevel="0" collapsed="false">
      <c r="A1981" s="76" t="str">
        <f aca="false">B1981&amp;"|"&amp;C1981&amp;"|"&amp;D1981&amp;"|"&amp;E1981</f>
        <v>BTU|5|Jumat|08:00</v>
      </c>
      <c r="B1981" s="76" t="s">
        <v>69</v>
      </c>
      <c r="C1981" s="76" t="n">
        <v>5</v>
      </c>
      <c r="D1981" s="76" t="s">
        <v>94</v>
      </c>
      <c r="E1981" s="76" t="s">
        <v>110</v>
      </c>
      <c r="F1981" s="77"/>
      <c r="G1981" s="77" t="n">
        <v>4</v>
      </c>
      <c r="H1981" s="77" t="n">
        <v>0</v>
      </c>
      <c r="I1981" s="76" t="n">
        <f aca="false">IF(AND(ISNUMBER(G1981),ISNUMBER(H1981)),MAX(G1981-H1981,0),"")</f>
        <v>4</v>
      </c>
      <c r="J1981" s="78" t="n">
        <f aca="false">IF(AND(ISNUMBER(G1981),ISNUMBER(H1981)),IF(G1981&gt;0,H1981/G1981,""),"")</f>
        <v>0</v>
      </c>
      <c r="K1981" s="77"/>
      <c r="L1981" s="76" t="str">
        <f aca="false">IF(OR(G1981="",H1981=""),"Data tidak lengkap",IF(AND(G1981=0,H1981=0),IF(AND(F1981="",K1981=""),"Tidak dibuka","Tutup"),IF(H1981&gt;G1981,"Lebih kapasitas",IF(H1981=G1981,"Penuh",IF(H1981=0,IF(F1981="","Slot kosong","Belum terisi"),"Sebagian")))))</f>
        <v>Slot kosong</v>
      </c>
      <c r="M1981" s="79" t="str">
        <f aca="false">IF(L1981="Tidak dibuka","–",IF(F1981="","(tanpa age group)",F1981)&amp;"  "&amp;IF(H1981="","?",H1981)&amp;"/"&amp;IF(G1981="","?",G1981)&amp;CHAR(10)&amp;IF(K1981="","coach: –","coach: "&amp;K1981))</f>
        <v>(tanpa age group)  0/4
coach: –</v>
      </c>
    </row>
    <row r="1982" customFormat="false" ht="22.35" hidden="false" customHeight="false" outlineLevel="0" collapsed="false">
      <c r="A1982" s="76" t="str">
        <f aca="false">B1982&amp;"|"&amp;C1982&amp;"|"&amp;D1982&amp;"|"&amp;E1982</f>
        <v>BTU|5|Jumat|08:45</v>
      </c>
      <c r="B1982" s="76" t="s">
        <v>69</v>
      </c>
      <c r="C1982" s="76" t="n">
        <v>5</v>
      </c>
      <c r="D1982" s="76" t="s">
        <v>94</v>
      </c>
      <c r="E1982" s="76" t="s">
        <v>111</v>
      </c>
      <c r="F1982" s="77"/>
      <c r="G1982" s="77" t="n">
        <v>4</v>
      </c>
      <c r="H1982" s="77" t="n">
        <v>0</v>
      </c>
      <c r="I1982" s="76" t="n">
        <f aca="false">IF(AND(ISNUMBER(G1982),ISNUMBER(H1982)),MAX(G1982-H1982,0),"")</f>
        <v>4</v>
      </c>
      <c r="J1982" s="78" t="n">
        <f aca="false">IF(AND(ISNUMBER(G1982),ISNUMBER(H1982)),IF(G1982&gt;0,H1982/G1982,""),"")</f>
        <v>0</v>
      </c>
      <c r="K1982" s="77"/>
      <c r="L1982" s="76" t="str">
        <f aca="false">IF(OR(G1982="",H1982=""),"Data tidak lengkap",IF(AND(G1982=0,H1982=0),IF(AND(F1982="",K1982=""),"Tidak dibuka","Tutup"),IF(H1982&gt;G1982,"Lebih kapasitas",IF(H1982=G1982,"Penuh",IF(H1982=0,IF(F1982="","Slot kosong","Belum terisi"),"Sebagian")))))</f>
        <v>Slot kosong</v>
      </c>
      <c r="M1982" s="79" t="str">
        <f aca="false">IF(L1982="Tidak dibuka","–",IF(F1982="","(tanpa age group)",F1982)&amp;"  "&amp;IF(H1982="","?",H1982)&amp;"/"&amp;IF(G1982="","?",G1982)&amp;CHAR(10)&amp;IF(K1982="","coach: –","coach: "&amp;K1982))</f>
        <v>(tanpa age group)  0/4
coach: –</v>
      </c>
    </row>
    <row r="1983" customFormat="false" ht="22.35" hidden="false" customHeight="false" outlineLevel="0" collapsed="false">
      <c r="A1983" s="76" t="str">
        <f aca="false">B1983&amp;"|"&amp;C1983&amp;"|"&amp;D1983&amp;"|"&amp;E1983</f>
        <v>BTU|5|Jumat|09:30</v>
      </c>
      <c r="B1983" s="76" t="s">
        <v>69</v>
      </c>
      <c r="C1983" s="76" t="n">
        <v>5</v>
      </c>
      <c r="D1983" s="76" t="s">
        <v>94</v>
      </c>
      <c r="E1983" s="76" t="s">
        <v>112</v>
      </c>
      <c r="F1983" s="77"/>
      <c r="G1983" s="77" t="n">
        <v>4</v>
      </c>
      <c r="H1983" s="77" t="n">
        <v>0</v>
      </c>
      <c r="I1983" s="76" t="n">
        <f aca="false">IF(AND(ISNUMBER(G1983),ISNUMBER(H1983)),MAX(G1983-H1983,0),"")</f>
        <v>4</v>
      </c>
      <c r="J1983" s="78" t="n">
        <f aca="false">IF(AND(ISNUMBER(G1983),ISNUMBER(H1983)),IF(G1983&gt;0,H1983/G1983,""),"")</f>
        <v>0</v>
      </c>
      <c r="K1983" s="77"/>
      <c r="L1983" s="76" t="str">
        <f aca="false">IF(OR(G1983="",H1983=""),"Data tidak lengkap",IF(AND(G1983=0,H1983=0),IF(AND(F1983="",K1983=""),"Tidak dibuka","Tutup"),IF(H1983&gt;G1983,"Lebih kapasitas",IF(H1983=G1983,"Penuh",IF(H1983=0,IF(F1983="","Slot kosong","Belum terisi"),"Sebagian")))))</f>
        <v>Slot kosong</v>
      </c>
      <c r="M1983" s="79" t="str">
        <f aca="false">IF(L1983="Tidak dibuka","–",IF(F1983="","(tanpa age group)",F1983)&amp;"  "&amp;IF(H1983="","?",H1983)&amp;"/"&amp;IF(G1983="","?",G1983)&amp;CHAR(10)&amp;IF(K1983="","coach: –","coach: "&amp;K1983))</f>
        <v>(tanpa age group)  0/4
coach: –</v>
      </c>
    </row>
    <row r="1984" customFormat="false" ht="22.35" hidden="false" customHeight="false" outlineLevel="0" collapsed="false">
      <c r="A1984" s="76" t="str">
        <f aca="false">B1984&amp;"|"&amp;C1984&amp;"|"&amp;D1984&amp;"|"&amp;E1984</f>
        <v>BTU|5|Jumat|10:15</v>
      </c>
      <c r="B1984" s="76" t="s">
        <v>69</v>
      </c>
      <c r="C1984" s="76" t="n">
        <v>5</v>
      </c>
      <c r="D1984" s="76" t="s">
        <v>94</v>
      </c>
      <c r="E1984" s="76" t="s">
        <v>113</v>
      </c>
      <c r="F1984" s="77"/>
      <c r="G1984" s="77" t="n">
        <v>4</v>
      </c>
      <c r="H1984" s="77" t="n">
        <v>0</v>
      </c>
      <c r="I1984" s="76" t="n">
        <f aca="false">IF(AND(ISNUMBER(G1984),ISNUMBER(H1984)),MAX(G1984-H1984,0),"")</f>
        <v>4</v>
      </c>
      <c r="J1984" s="78" t="n">
        <f aca="false">IF(AND(ISNUMBER(G1984),ISNUMBER(H1984)),IF(G1984&gt;0,H1984/G1984,""),"")</f>
        <v>0</v>
      </c>
      <c r="K1984" s="77"/>
      <c r="L1984" s="76" t="str">
        <f aca="false">IF(OR(G1984="",H1984=""),"Data tidak lengkap",IF(AND(G1984=0,H1984=0),IF(AND(F1984="",K1984=""),"Tidak dibuka","Tutup"),IF(H1984&gt;G1984,"Lebih kapasitas",IF(H1984=G1984,"Penuh",IF(H1984=0,IF(F1984="","Slot kosong","Belum terisi"),"Sebagian")))))</f>
        <v>Slot kosong</v>
      </c>
      <c r="M1984" s="79" t="str">
        <f aca="false">IF(L1984="Tidak dibuka","–",IF(F1984="","(tanpa age group)",F1984)&amp;"  "&amp;IF(H1984="","?",H1984)&amp;"/"&amp;IF(G1984="","?",G1984)&amp;CHAR(10)&amp;IF(K1984="","coach: –","coach: "&amp;K1984))</f>
        <v>(tanpa age group)  0/4
coach: –</v>
      </c>
    </row>
    <row r="1985" customFormat="false" ht="22.35" hidden="false" customHeight="false" outlineLevel="0" collapsed="false">
      <c r="A1985" s="76" t="str">
        <f aca="false">B1985&amp;"|"&amp;C1985&amp;"|"&amp;D1985&amp;"|"&amp;E1985</f>
        <v>BTU|5|Jumat|11:00</v>
      </c>
      <c r="B1985" s="76" t="s">
        <v>69</v>
      </c>
      <c r="C1985" s="76" t="n">
        <v>5</v>
      </c>
      <c r="D1985" s="76" t="s">
        <v>94</v>
      </c>
      <c r="E1985" s="76" t="s">
        <v>114</v>
      </c>
      <c r="F1985" s="77"/>
      <c r="G1985" s="77" t="n">
        <v>4</v>
      </c>
      <c r="H1985" s="77" t="n">
        <v>0</v>
      </c>
      <c r="I1985" s="76" t="n">
        <f aca="false">IF(AND(ISNUMBER(G1985),ISNUMBER(H1985)),MAX(G1985-H1985,0),"")</f>
        <v>4</v>
      </c>
      <c r="J1985" s="78" t="n">
        <f aca="false">IF(AND(ISNUMBER(G1985),ISNUMBER(H1985)),IF(G1985&gt;0,H1985/G1985,""),"")</f>
        <v>0</v>
      </c>
      <c r="K1985" s="77"/>
      <c r="L1985" s="76" t="str">
        <f aca="false">IF(OR(G1985="",H1985=""),"Data tidak lengkap",IF(AND(G1985=0,H1985=0),IF(AND(F1985="",K1985=""),"Tidak dibuka","Tutup"),IF(H1985&gt;G1985,"Lebih kapasitas",IF(H1985=G1985,"Penuh",IF(H1985=0,IF(F1985="","Slot kosong","Belum terisi"),"Sebagian")))))</f>
        <v>Slot kosong</v>
      </c>
      <c r="M1985" s="79" t="str">
        <f aca="false">IF(L1985="Tidak dibuka","–",IF(F1985="","(tanpa age group)",F1985)&amp;"  "&amp;IF(H1985="","?",H1985)&amp;"/"&amp;IF(G1985="","?",G1985)&amp;CHAR(10)&amp;IF(K1985="","coach: –","coach: "&amp;K1985))</f>
        <v>(tanpa age group)  0/4
coach: –</v>
      </c>
    </row>
    <row r="1986" customFormat="false" ht="22.35" hidden="false" customHeight="false" outlineLevel="0" collapsed="false">
      <c r="A1986" s="76" t="str">
        <f aca="false">B1986&amp;"|"&amp;C1986&amp;"|"&amp;D1986&amp;"|"&amp;E1986</f>
        <v>BTU|5|Jumat|11:45</v>
      </c>
      <c r="B1986" s="76" t="s">
        <v>69</v>
      </c>
      <c r="C1986" s="76" t="n">
        <v>5</v>
      </c>
      <c r="D1986" s="76" t="s">
        <v>94</v>
      </c>
      <c r="E1986" s="76" t="s">
        <v>115</v>
      </c>
      <c r="F1986" s="77"/>
      <c r="G1986" s="77" t="n">
        <v>4</v>
      </c>
      <c r="H1986" s="77" t="n">
        <v>0</v>
      </c>
      <c r="I1986" s="76" t="n">
        <f aca="false">IF(AND(ISNUMBER(G1986),ISNUMBER(H1986)),MAX(G1986-H1986,0),"")</f>
        <v>4</v>
      </c>
      <c r="J1986" s="78" t="n">
        <f aca="false">IF(AND(ISNUMBER(G1986),ISNUMBER(H1986)),IF(G1986&gt;0,H1986/G1986,""),"")</f>
        <v>0</v>
      </c>
      <c r="K1986" s="77"/>
      <c r="L1986" s="76" t="str">
        <f aca="false">IF(OR(G1986="",H1986=""),"Data tidak lengkap",IF(AND(G1986=0,H1986=0),IF(AND(F1986="",K1986=""),"Tidak dibuka","Tutup"),IF(H1986&gt;G1986,"Lebih kapasitas",IF(H1986=G1986,"Penuh",IF(H1986=0,IF(F1986="","Slot kosong","Belum terisi"),"Sebagian")))))</f>
        <v>Slot kosong</v>
      </c>
      <c r="M1986" s="79" t="str">
        <f aca="false">IF(L1986="Tidak dibuka","–",IF(F1986="","(tanpa age group)",F1986)&amp;"  "&amp;IF(H1986="","?",H1986)&amp;"/"&amp;IF(G1986="","?",G1986)&amp;CHAR(10)&amp;IF(K1986="","coach: –","coach: "&amp;K1986))</f>
        <v>(tanpa age group)  0/4
coach: –</v>
      </c>
    </row>
    <row r="1987" customFormat="false" ht="22.35" hidden="false" customHeight="false" outlineLevel="0" collapsed="false">
      <c r="A1987" s="76" t="str">
        <f aca="false">B1987&amp;"|"&amp;C1987&amp;"|"&amp;D1987&amp;"|"&amp;E1987</f>
        <v>BTU|5|Jumat|13:15</v>
      </c>
      <c r="B1987" s="76" t="s">
        <v>69</v>
      </c>
      <c r="C1987" s="76" t="n">
        <v>5</v>
      </c>
      <c r="D1987" s="76" t="s">
        <v>94</v>
      </c>
      <c r="E1987" s="76" t="s">
        <v>116</v>
      </c>
      <c r="F1987" s="77"/>
      <c r="G1987" s="77" t="n">
        <v>4</v>
      </c>
      <c r="H1987" s="77" t="n">
        <v>0</v>
      </c>
      <c r="I1987" s="76" t="n">
        <f aca="false">IF(AND(ISNUMBER(G1987),ISNUMBER(H1987)),MAX(G1987-H1987,0),"")</f>
        <v>4</v>
      </c>
      <c r="J1987" s="78" t="n">
        <f aca="false">IF(AND(ISNUMBER(G1987),ISNUMBER(H1987)),IF(G1987&gt;0,H1987/G1987,""),"")</f>
        <v>0</v>
      </c>
      <c r="K1987" s="77"/>
      <c r="L1987" s="76" t="str">
        <f aca="false">IF(OR(G1987="",H1987=""),"Data tidak lengkap",IF(AND(G1987=0,H1987=0),IF(AND(F1987="",K1987=""),"Tidak dibuka","Tutup"),IF(H1987&gt;G1987,"Lebih kapasitas",IF(H1987=G1987,"Penuh",IF(H1987=0,IF(F1987="","Slot kosong","Belum terisi"),"Sebagian")))))</f>
        <v>Slot kosong</v>
      </c>
      <c r="M1987" s="79" t="str">
        <f aca="false">IF(L1987="Tidak dibuka","–",IF(F1987="","(tanpa age group)",F1987)&amp;"  "&amp;IF(H1987="","?",H1987)&amp;"/"&amp;IF(G1987="","?",G1987)&amp;CHAR(10)&amp;IF(K1987="","coach: –","coach: "&amp;K1987))</f>
        <v>(tanpa age group)  0/4
coach: –</v>
      </c>
    </row>
    <row r="1988" customFormat="false" ht="22.35" hidden="false" customHeight="false" outlineLevel="0" collapsed="false">
      <c r="A1988" s="76" t="str">
        <f aca="false">B1988&amp;"|"&amp;C1988&amp;"|"&amp;D1988&amp;"|"&amp;E1988</f>
        <v>BTU|5|Jumat|14:00</v>
      </c>
      <c r="B1988" s="76" t="s">
        <v>69</v>
      </c>
      <c r="C1988" s="76" t="n">
        <v>5</v>
      </c>
      <c r="D1988" s="76" t="s">
        <v>94</v>
      </c>
      <c r="E1988" s="76" t="s">
        <v>117</v>
      </c>
      <c r="F1988" s="77"/>
      <c r="G1988" s="77" t="n">
        <v>4</v>
      </c>
      <c r="H1988" s="77" t="n">
        <v>0</v>
      </c>
      <c r="I1988" s="76" t="n">
        <f aca="false">IF(AND(ISNUMBER(G1988),ISNUMBER(H1988)),MAX(G1988-H1988,0),"")</f>
        <v>4</v>
      </c>
      <c r="J1988" s="78" t="n">
        <f aca="false">IF(AND(ISNUMBER(G1988),ISNUMBER(H1988)),IF(G1988&gt;0,H1988/G1988,""),"")</f>
        <v>0</v>
      </c>
      <c r="K1988" s="77"/>
      <c r="L1988" s="76" t="str">
        <f aca="false">IF(OR(G1988="",H1988=""),"Data tidak lengkap",IF(AND(G1988=0,H1988=0),IF(AND(F1988="",K1988=""),"Tidak dibuka","Tutup"),IF(H1988&gt;G1988,"Lebih kapasitas",IF(H1988=G1988,"Penuh",IF(H1988=0,IF(F1988="","Slot kosong","Belum terisi"),"Sebagian")))))</f>
        <v>Slot kosong</v>
      </c>
      <c r="M1988" s="79" t="str">
        <f aca="false">IF(L1988="Tidak dibuka","–",IF(F1988="","(tanpa age group)",F1988)&amp;"  "&amp;IF(H1988="","?",H1988)&amp;"/"&amp;IF(G1988="","?",G1988)&amp;CHAR(10)&amp;IF(K1988="","coach: –","coach: "&amp;K1988))</f>
        <v>(tanpa age group)  0/4
coach: –</v>
      </c>
    </row>
    <row r="1989" customFormat="false" ht="22.35" hidden="false" customHeight="false" outlineLevel="0" collapsed="false">
      <c r="A1989" s="76" t="str">
        <f aca="false">B1989&amp;"|"&amp;C1989&amp;"|"&amp;D1989&amp;"|"&amp;E1989</f>
        <v>BTU|5|Jumat|14:45</v>
      </c>
      <c r="B1989" s="76" t="s">
        <v>69</v>
      </c>
      <c r="C1989" s="76" t="n">
        <v>5</v>
      </c>
      <c r="D1989" s="76" t="s">
        <v>94</v>
      </c>
      <c r="E1989" s="76" t="s">
        <v>118</v>
      </c>
      <c r="F1989" s="77"/>
      <c r="G1989" s="77" t="n">
        <v>4</v>
      </c>
      <c r="H1989" s="77" t="n">
        <v>0</v>
      </c>
      <c r="I1989" s="76" t="n">
        <f aca="false">IF(AND(ISNUMBER(G1989),ISNUMBER(H1989)),MAX(G1989-H1989,0),"")</f>
        <v>4</v>
      </c>
      <c r="J1989" s="78" t="n">
        <f aca="false">IF(AND(ISNUMBER(G1989),ISNUMBER(H1989)),IF(G1989&gt;0,H1989/G1989,""),"")</f>
        <v>0</v>
      </c>
      <c r="K1989" s="77"/>
      <c r="L1989" s="76" t="str">
        <f aca="false">IF(OR(G1989="",H1989=""),"Data tidak lengkap",IF(AND(G1989=0,H1989=0),IF(AND(F1989="",K1989=""),"Tidak dibuka","Tutup"),IF(H1989&gt;G1989,"Lebih kapasitas",IF(H1989=G1989,"Penuh",IF(H1989=0,IF(F1989="","Slot kosong","Belum terisi"),"Sebagian")))))</f>
        <v>Slot kosong</v>
      </c>
      <c r="M1989" s="79" t="str">
        <f aca="false">IF(L1989="Tidak dibuka","–",IF(F1989="","(tanpa age group)",F1989)&amp;"  "&amp;IF(H1989="","?",H1989)&amp;"/"&amp;IF(G1989="","?",G1989)&amp;CHAR(10)&amp;IF(K1989="","coach: –","coach: "&amp;K1989))</f>
        <v>(tanpa age group)  0/4
coach: –</v>
      </c>
    </row>
    <row r="1990" customFormat="false" ht="22.35" hidden="false" customHeight="false" outlineLevel="0" collapsed="false">
      <c r="A1990" s="76" t="str">
        <f aca="false">B1990&amp;"|"&amp;C1990&amp;"|"&amp;D1990&amp;"|"&amp;E1990</f>
        <v>BTU|5|Jumat|15:30</v>
      </c>
      <c r="B1990" s="76" t="s">
        <v>69</v>
      </c>
      <c r="C1990" s="76" t="n">
        <v>5</v>
      </c>
      <c r="D1990" s="76" t="s">
        <v>94</v>
      </c>
      <c r="E1990" s="76" t="s">
        <v>119</v>
      </c>
      <c r="F1990" s="77"/>
      <c r="G1990" s="77" t="n">
        <v>4</v>
      </c>
      <c r="H1990" s="77" t="n">
        <v>0</v>
      </c>
      <c r="I1990" s="76" t="n">
        <f aca="false">IF(AND(ISNUMBER(G1990),ISNUMBER(H1990)),MAX(G1990-H1990,0),"")</f>
        <v>4</v>
      </c>
      <c r="J1990" s="78" t="n">
        <f aca="false">IF(AND(ISNUMBER(G1990),ISNUMBER(H1990)),IF(G1990&gt;0,H1990/G1990,""),"")</f>
        <v>0</v>
      </c>
      <c r="K1990" s="77"/>
      <c r="L1990" s="76" t="str">
        <f aca="false">IF(OR(G1990="",H1990=""),"Data tidak lengkap",IF(AND(G1990=0,H1990=0),IF(AND(F1990="",K1990=""),"Tidak dibuka","Tutup"),IF(H1990&gt;G1990,"Lebih kapasitas",IF(H1990=G1990,"Penuh",IF(H1990=0,IF(F1990="","Slot kosong","Belum terisi"),"Sebagian")))))</f>
        <v>Slot kosong</v>
      </c>
      <c r="M1990" s="79" t="str">
        <f aca="false">IF(L1990="Tidak dibuka","–",IF(F1990="","(tanpa age group)",F1990)&amp;"  "&amp;IF(H1990="","?",H1990)&amp;"/"&amp;IF(G1990="","?",G1990)&amp;CHAR(10)&amp;IF(K1990="","coach: –","coach: "&amp;K1990))</f>
        <v>(tanpa age group)  0/4
coach: –</v>
      </c>
    </row>
    <row r="1991" customFormat="false" ht="22.35" hidden="false" customHeight="false" outlineLevel="0" collapsed="false">
      <c r="A1991" s="76" t="str">
        <f aca="false">B1991&amp;"|"&amp;C1991&amp;"|"&amp;D1991&amp;"|"&amp;E1991</f>
        <v>BTU|5|Jumat|16:15</v>
      </c>
      <c r="B1991" s="76" t="s">
        <v>69</v>
      </c>
      <c r="C1991" s="76" t="n">
        <v>5</v>
      </c>
      <c r="D1991" s="76" t="s">
        <v>94</v>
      </c>
      <c r="E1991" s="76" t="s">
        <v>120</v>
      </c>
      <c r="F1991" s="77"/>
      <c r="G1991" s="77" t="n">
        <v>4</v>
      </c>
      <c r="H1991" s="77" t="n">
        <v>0</v>
      </c>
      <c r="I1991" s="76" t="n">
        <f aca="false">IF(AND(ISNUMBER(G1991),ISNUMBER(H1991)),MAX(G1991-H1991,0),"")</f>
        <v>4</v>
      </c>
      <c r="J1991" s="78" t="n">
        <f aca="false">IF(AND(ISNUMBER(G1991),ISNUMBER(H1991)),IF(G1991&gt;0,H1991/G1991,""),"")</f>
        <v>0</v>
      </c>
      <c r="K1991" s="77"/>
      <c r="L1991" s="76" t="str">
        <f aca="false">IF(OR(G1991="",H1991=""),"Data tidak lengkap",IF(AND(G1991=0,H1991=0),IF(AND(F1991="",K1991=""),"Tidak dibuka","Tutup"),IF(H1991&gt;G1991,"Lebih kapasitas",IF(H1991=G1991,"Penuh",IF(H1991=0,IF(F1991="","Slot kosong","Belum terisi"),"Sebagian")))))</f>
        <v>Slot kosong</v>
      </c>
      <c r="M1991" s="79" t="str">
        <f aca="false">IF(L1991="Tidak dibuka","–",IF(F1991="","(tanpa age group)",F1991)&amp;"  "&amp;IF(H1991="","?",H1991)&amp;"/"&amp;IF(G1991="","?",G1991)&amp;CHAR(10)&amp;IF(K1991="","coach: –","coach: "&amp;K1991))</f>
        <v>(tanpa age group)  0/4
coach: –</v>
      </c>
    </row>
    <row r="1992" customFormat="false" ht="22.35" hidden="false" customHeight="false" outlineLevel="0" collapsed="false">
      <c r="A1992" s="76" t="str">
        <f aca="false">B1992&amp;"|"&amp;C1992&amp;"|"&amp;D1992&amp;"|"&amp;E1992</f>
        <v>BTU|5|Jumat|17:00</v>
      </c>
      <c r="B1992" s="76" t="s">
        <v>69</v>
      </c>
      <c r="C1992" s="76" t="n">
        <v>5</v>
      </c>
      <c r="D1992" s="76" t="s">
        <v>94</v>
      </c>
      <c r="E1992" s="76" t="s">
        <v>121</v>
      </c>
      <c r="F1992" s="77"/>
      <c r="G1992" s="77" t="n">
        <v>4</v>
      </c>
      <c r="H1992" s="77" t="n">
        <v>0</v>
      </c>
      <c r="I1992" s="76" t="n">
        <f aca="false">IF(AND(ISNUMBER(G1992),ISNUMBER(H1992)),MAX(G1992-H1992,0),"")</f>
        <v>4</v>
      </c>
      <c r="J1992" s="78" t="n">
        <f aca="false">IF(AND(ISNUMBER(G1992),ISNUMBER(H1992)),IF(G1992&gt;0,H1992/G1992,""),"")</f>
        <v>0</v>
      </c>
      <c r="K1992" s="77"/>
      <c r="L1992" s="76" t="str">
        <f aca="false">IF(OR(G1992="",H1992=""),"Data tidak lengkap",IF(AND(G1992=0,H1992=0),IF(AND(F1992="",K1992=""),"Tidak dibuka","Tutup"),IF(H1992&gt;G1992,"Lebih kapasitas",IF(H1992=G1992,"Penuh",IF(H1992=0,IF(F1992="","Slot kosong","Belum terisi"),"Sebagian")))))</f>
        <v>Slot kosong</v>
      </c>
      <c r="M1992" s="79" t="str">
        <f aca="false">IF(L1992="Tidak dibuka","–",IF(F1992="","(tanpa age group)",F1992)&amp;"  "&amp;IF(H1992="","?",H1992)&amp;"/"&amp;IF(G1992="","?",G1992)&amp;CHAR(10)&amp;IF(K1992="","coach: –","coach: "&amp;K1992))</f>
        <v>(tanpa age group)  0/4
coach: –</v>
      </c>
    </row>
    <row r="1993" customFormat="false" ht="22.35" hidden="false" customHeight="false" outlineLevel="0" collapsed="false">
      <c r="A1993" s="76" t="str">
        <f aca="false">B1993&amp;"|"&amp;C1993&amp;"|"&amp;D1993&amp;"|"&amp;E1993</f>
        <v>BTU|5|Sabtu|08:00</v>
      </c>
      <c r="B1993" s="76" t="s">
        <v>69</v>
      </c>
      <c r="C1993" s="76" t="n">
        <v>5</v>
      </c>
      <c r="D1993" s="76" t="s">
        <v>95</v>
      </c>
      <c r="E1993" s="76" t="s">
        <v>110</v>
      </c>
      <c r="F1993" s="77"/>
      <c r="G1993" s="77" t="n">
        <v>4</v>
      </c>
      <c r="H1993" s="77" t="n">
        <v>0</v>
      </c>
      <c r="I1993" s="76" t="n">
        <f aca="false">IF(AND(ISNUMBER(G1993),ISNUMBER(H1993)),MAX(G1993-H1993,0),"")</f>
        <v>4</v>
      </c>
      <c r="J1993" s="78" t="n">
        <f aca="false">IF(AND(ISNUMBER(G1993),ISNUMBER(H1993)),IF(G1993&gt;0,H1993/G1993,""),"")</f>
        <v>0</v>
      </c>
      <c r="K1993" s="77"/>
      <c r="L1993" s="76" t="str">
        <f aca="false">IF(OR(G1993="",H1993=""),"Data tidak lengkap",IF(AND(G1993=0,H1993=0),IF(AND(F1993="",K1993=""),"Tidak dibuka","Tutup"),IF(H1993&gt;G1993,"Lebih kapasitas",IF(H1993=G1993,"Penuh",IF(H1993=0,IF(F1993="","Slot kosong","Belum terisi"),"Sebagian")))))</f>
        <v>Slot kosong</v>
      </c>
      <c r="M1993" s="79" t="str">
        <f aca="false">IF(L1993="Tidak dibuka","–",IF(F1993="","(tanpa age group)",F1993)&amp;"  "&amp;IF(H1993="","?",H1993)&amp;"/"&amp;IF(G1993="","?",G1993)&amp;CHAR(10)&amp;IF(K1993="","coach: –","coach: "&amp;K1993))</f>
        <v>(tanpa age group)  0/4
coach: –</v>
      </c>
    </row>
    <row r="1994" customFormat="false" ht="22.35" hidden="false" customHeight="false" outlineLevel="0" collapsed="false">
      <c r="A1994" s="76" t="str">
        <f aca="false">B1994&amp;"|"&amp;C1994&amp;"|"&amp;D1994&amp;"|"&amp;E1994</f>
        <v>BTU|5|Sabtu|08:45</v>
      </c>
      <c r="B1994" s="76" t="s">
        <v>69</v>
      </c>
      <c r="C1994" s="76" t="n">
        <v>5</v>
      </c>
      <c r="D1994" s="76" t="s">
        <v>95</v>
      </c>
      <c r="E1994" s="76" t="s">
        <v>111</v>
      </c>
      <c r="F1994" s="77"/>
      <c r="G1994" s="77" t="n">
        <v>4</v>
      </c>
      <c r="H1994" s="77" t="n">
        <v>0</v>
      </c>
      <c r="I1994" s="76" t="n">
        <f aca="false">IF(AND(ISNUMBER(G1994),ISNUMBER(H1994)),MAX(G1994-H1994,0),"")</f>
        <v>4</v>
      </c>
      <c r="J1994" s="78" t="n">
        <f aca="false">IF(AND(ISNUMBER(G1994),ISNUMBER(H1994)),IF(G1994&gt;0,H1994/G1994,""),"")</f>
        <v>0</v>
      </c>
      <c r="K1994" s="77"/>
      <c r="L1994" s="76" t="str">
        <f aca="false">IF(OR(G1994="",H1994=""),"Data tidak lengkap",IF(AND(G1994=0,H1994=0),IF(AND(F1994="",K1994=""),"Tidak dibuka","Tutup"),IF(H1994&gt;G1994,"Lebih kapasitas",IF(H1994=G1994,"Penuh",IF(H1994=0,IF(F1994="","Slot kosong","Belum terisi"),"Sebagian")))))</f>
        <v>Slot kosong</v>
      </c>
      <c r="M1994" s="79" t="str">
        <f aca="false">IF(L1994="Tidak dibuka","–",IF(F1994="","(tanpa age group)",F1994)&amp;"  "&amp;IF(H1994="","?",H1994)&amp;"/"&amp;IF(G1994="","?",G1994)&amp;CHAR(10)&amp;IF(K1994="","coach: –","coach: "&amp;K1994))</f>
        <v>(tanpa age group)  0/4
coach: –</v>
      </c>
    </row>
    <row r="1995" customFormat="false" ht="22.35" hidden="false" customHeight="false" outlineLevel="0" collapsed="false">
      <c r="A1995" s="76" t="str">
        <f aca="false">B1995&amp;"|"&amp;C1995&amp;"|"&amp;D1995&amp;"|"&amp;E1995</f>
        <v>BTU|5|Sabtu|09:30</v>
      </c>
      <c r="B1995" s="76" t="s">
        <v>69</v>
      </c>
      <c r="C1995" s="76" t="n">
        <v>5</v>
      </c>
      <c r="D1995" s="76" t="s">
        <v>95</v>
      </c>
      <c r="E1995" s="76" t="s">
        <v>112</v>
      </c>
      <c r="F1995" s="77"/>
      <c r="G1995" s="77" t="n">
        <v>4</v>
      </c>
      <c r="H1995" s="77" t="n">
        <v>0</v>
      </c>
      <c r="I1995" s="76" t="n">
        <f aca="false">IF(AND(ISNUMBER(G1995),ISNUMBER(H1995)),MAX(G1995-H1995,0),"")</f>
        <v>4</v>
      </c>
      <c r="J1995" s="78" t="n">
        <f aca="false">IF(AND(ISNUMBER(G1995),ISNUMBER(H1995)),IF(G1995&gt;0,H1995/G1995,""),"")</f>
        <v>0</v>
      </c>
      <c r="K1995" s="77"/>
      <c r="L1995" s="76" t="str">
        <f aca="false">IF(OR(G1995="",H1995=""),"Data tidak lengkap",IF(AND(G1995=0,H1995=0),IF(AND(F1995="",K1995=""),"Tidak dibuka","Tutup"),IF(H1995&gt;G1995,"Lebih kapasitas",IF(H1995=G1995,"Penuh",IF(H1995=0,IF(F1995="","Slot kosong","Belum terisi"),"Sebagian")))))</f>
        <v>Slot kosong</v>
      </c>
      <c r="M1995" s="79" t="str">
        <f aca="false">IF(L1995="Tidak dibuka","–",IF(F1995="","(tanpa age group)",F1995)&amp;"  "&amp;IF(H1995="","?",H1995)&amp;"/"&amp;IF(G1995="","?",G1995)&amp;CHAR(10)&amp;IF(K1995="","coach: –","coach: "&amp;K1995))</f>
        <v>(tanpa age group)  0/4
coach: –</v>
      </c>
    </row>
    <row r="1996" customFormat="false" ht="22.35" hidden="false" customHeight="false" outlineLevel="0" collapsed="false">
      <c r="A1996" s="76" t="str">
        <f aca="false">B1996&amp;"|"&amp;C1996&amp;"|"&amp;D1996&amp;"|"&amp;E1996</f>
        <v>BTU|5|Sabtu|10:15</v>
      </c>
      <c r="B1996" s="76" t="s">
        <v>69</v>
      </c>
      <c r="C1996" s="76" t="n">
        <v>5</v>
      </c>
      <c r="D1996" s="76" t="s">
        <v>95</v>
      </c>
      <c r="E1996" s="76" t="s">
        <v>113</v>
      </c>
      <c r="F1996" s="77"/>
      <c r="G1996" s="77" t="n">
        <v>4</v>
      </c>
      <c r="H1996" s="77" t="n">
        <v>0</v>
      </c>
      <c r="I1996" s="76" t="n">
        <f aca="false">IF(AND(ISNUMBER(G1996),ISNUMBER(H1996)),MAX(G1996-H1996,0),"")</f>
        <v>4</v>
      </c>
      <c r="J1996" s="78" t="n">
        <f aca="false">IF(AND(ISNUMBER(G1996),ISNUMBER(H1996)),IF(G1996&gt;0,H1996/G1996,""),"")</f>
        <v>0</v>
      </c>
      <c r="K1996" s="77"/>
      <c r="L1996" s="76" t="str">
        <f aca="false">IF(OR(G1996="",H1996=""),"Data tidak lengkap",IF(AND(G1996=0,H1996=0),IF(AND(F1996="",K1996=""),"Tidak dibuka","Tutup"),IF(H1996&gt;G1996,"Lebih kapasitas",IF(H1996=G1996,"Penuh",IF(H1996=0,IF(F1996="","Slot kosong","Belum terisi"),"Sebagian")))))</f>
        <v>Slot kosong</v>
      </c>
      <c r="M1996" s="79" t="str">
        <f aca="false">IF(L1996="Tidak dibuka","–",IF(F1996="","(tanpa age group)",F1996)&amp;"  "&amp;IF(H1996="","?",H1996)&amp;"/"&amp;IF(G1996="","?",G1996)&amp;CHAR(10)&amp;IF(K1996="","coach: –","coach: "&amp;K1996))</f>
        <v>(tanpa age group)  0/4
coach: –</v>
      </c>
    </row>
    <row r="1997" customFormat="false" ht="22.35" hidden="false" customHeight="false" outlineLevel="0" collapsed="false">
      <c r="A1997" s="76" t="str">
        <f aca="false">B1997&amp;"|"&amp;C1997&amp;"|"&amp;D1997&amp;"|"&amp;E1997</f>
        <v>BTU|5|Sabtu|11:00</v>
      </c>
      <c r="B1997" s="76" t="s">
        <v>69</v>
      </c>
      <c r="C1997" s="76" t="n">
        <v>5</v>
      </c>
      <c r="D1997" s="76" t="s">
        <v>95</v>
      </c>
      <c r="E1997" s="76" t="s">
        <v>114</v>
      </c>
      <c r="F1997" s="77"/>
      <c r="G1997" s="77" t="n">
        <v>4</v>
      </c>
      <c r="H1997" s="77" t="n">
        <v>0</v>
      </c>
      <c r="I1997" s="76" t="n">
        <f aca="false">IF(AND(ISNUMBER(G1997),ISNUMBER(H1997)),MAX(G1997-H1997,0),"")</f>
        <v>4</v>
      </c>
      <c r="J1997" s="78" t="n">
        <f aca="false">IF(AND(ISNUMBER(G1997),ISNUMBER(H1997)),IF(G1997&gt;0,H1997/G1997,""),"")</f>
        <v>0</v>
      </c>
      <c r="K1997" s="77"/>
      <c r="L1997" s="76" t="str">
        <f aca="false">IF(OR(G1997="",H1997=""),"Data tidak lengkap",IF(AND(G1997=0,H1997=0),IF(AND(F1997="",K1997=""),"Tidak dibuka","Tutup"),IF(H1997&gt;G1997,"Lebih kapasitas",IF(H1997=G1997,"Penuh",IF(H1997=0,IF(F1997="","Slot kosong","Belum terisi"),"Sebagian")))))</f>
        <v>Slot kosong</v>
      </c>
      <c r="M1997" s="79" t="str">
        <f aca="false">IF(L1997="Tidak dibuka","–",IF(F1997="","(tanpa age group)",F1997)&amp;"  "&amp;IF(H1997="","?",H1997)&amp;"/"&amp;IF(G1997="","?",G1997)&amp;CHAR(10)&amp;IF(K1997="","coach: –","coach: "&amp;K1997))</f>
        <v>(tanpa age group)  0/4
coach: –</v>
      </c>
    </row>
    <row r="1998" customFormat="false" ht="22.35" hidden="false" customHeight="false" outlineLevel="0" collapsed="false">
      <c r="A1998" s="76" t="str">
        <f aca="false">B1998&amp;"|"&amp;C1998&amp;"|"&amp;D1998&amp;"|"&amp;E1998</f>
        <v>BTU|5|Sabtu|11:45</v>
      </c>
      <c r="B1998" s="76" t="s">
        <v>69</v>
      </c>
      <c r="C1998" s="76" t="n">
        <v>5</v>
      </c>
      <c r="D1998" s="76" t="s">
        <v>95</v>
      </c>
      <c r="E1998" s="76" t="s">
        <v>115</v>
      </c>
      <c r="F1998" s="77"/>
      <c r="G1998" s="77" t="n">
        <v>4</v>
      </c>
      <c r="H1998" s="77" t="n">
        <v>0</v>
      </c>
      <c r="I1998" s="76" t="n">
        <f aca="false">IF(AND(ISNUMBER(G1998),ISNUMBER(H1998)),MAX(G1998-H1998,0),"")</f>
        <v>4</v>
      </c>
      <c r="J1998" s="78" t="n">
        <f aca="false">IF(AND(ISNUMBER(G1998),ISNUMBER(H1998)),IF(G1998&gt;0,H1998/G1998,""),"")</f>
        <v>0</v>
      </c>
      <c r="K1998" s="77"/>
      <c r="L1998" s="76" t="str">
        <f aca="false">IF(OR(G1998="",H1998=""),"Data tidak lengkap",IF(AND(G1998=0,H1998=0),IF(AND(F1998="",K1998=""),"Tidak dibuka","Tutup"),IF(H1998&gt;G1998,"Lebih kapasitas",IF(H1998=G1998,"Penuh",IF(H1998=0,IF(F1998="","Slot kosong","Belum terisi"),"Sebagian")))))</f>
        <v>Slot kosong</v>
      </c>
      <c r="M1998" s="79" t="str">
        <f aca="false">IF(L1998="Tidak dibuka","–",IF(F1998="","(tanpa age group)",F1998)&amp;"  "&amp;IF(H1998="","?",H1998)&amp;"/"&amp;IF(G1998="","?",G1998)&amp;CHAR(10)&amp;IF(K1998="","coach: –","coach: "&amp;K1998))</f>
        <v>(tanpa age group)  0/4
coach: –</v>
      </c>
    </row>
    <row r="1999" customFormat="false" ht="22.35" hidden="false" customHeight="false" outlineLevel="0" collapsed="false">
      <c r="A1999" s="76" t="str">
        <f aca="false">B1999&amp;"|"&amp;C1999&amp;"|"&amp;D1999&amp;"|"&amp;E1999</f>
        <v>BTU|5|Sabtu|13:15</v>
      </c>
      <c r="B1999" s="76" t="s">
        <v>69</v>
      </c>
      <c r="C1999" s="76" t="n">
        <v>5</v>
      </c>
      <c r="D1999" s="76" t="s">
        <v>95</v>
      </c>
      <c r="E1999" s="76" t="s">
        <v>116</v>
      </c>
      <c r="F1999" s="77"/>
      <c r="G1999" s="77" t="n">
        <v>4</v>
      </c>
      <c r="H1999" s="77" t="n">
        <v>0</v>
      </c>
      <c r="I1999" s="76" t="n">
        <f aca="false">IF(AND(ISNUMBER(G1999),ISNUMBER(H1999)),MAX(G1999-H1999,0),"")</f>
        <v>4</v>
      </c>
      <c r="J1999" s="78" t="n">
        <f aca="false">IF(AND(ISNUMBER(G1999),ISNUMBER(H1999)),IF(G1999&gt;0,H1999/G1999,""),"")</f>
        <v>0</v>
      </c>
      <c r="K1999" s="77"/>
      <c r="L1999" s="76" t="str">
        <f aca="false">IF(OR(G1999="",H1999=""),"Data tidak lengkap",IF(AND(G1999=0,H1999=0),IF(AND(F1999="",K1999=""),"Tidak dibuka","Tutup"),IF(H1999&gt;G1999,"Lebih kapasitas",IF(H1999=G1999,"Penuh",IF(H1999=0,IF(F1999="","Slot kosong","Belum terisi"),"Sebagian")))))</f>
        <v>Slot kosong</v>
      </c>
      <c r="M1999" s="79" t="str">
        <f aca="false">IF(L1999="Tidak dibuka","–",IF(F1999="","(tanpa age group)",F1999)&amp;"  "&amp;IF(H1999="","?",H1999)&amp;"/"&amp;IF(G1999="","?",G1999)&amp;CHAR(10)&amp;IF(K1999="","coach: –","coach: "&amp;K1999))</f>
        <v>(tanpa age group)  0/4
coach: –</v>
      </c>
    </row>
    <row r="2000" customFormat="false" ht="22.35" hidden="false" customHeight="false" outlineLevel="0" collapsed="false">
      <c r="A2000" s="76" t="str">
        <f aca="false">B2000&amp;"|"&amp;C2000&amp;"|"&amp;D2000&amp;"|"&amp;E2000</f>
        <v>BTU|5|Sabtu|14:00</v>
      </c>
      <c r="B2000" s="76" t="s">
        <v>69</v>
      </c>
      <c r="C2000" s="76" t="n">
        <v>5</v>
      </c>
      <c r="D2000" s="76" t="s">
        <v>95</v>
      </c>
      <c r="E2000" s="76" t="s">
        <v>117</v>
      </c>
      <c r="F2000" s="77"/>
      <c r="G2000" s="77" t="n">
        <v>4</v>
      </c>
      <c r="H2000" s="77" t="n">
        <v>0</v>
      </c>
      <c r="I2000" s="76" t="n">
        <f aca="false">IF(AND(ISNUMBER(G2000),ISNUMBER(H2000)),MAX(G2000-H2000,0),"")</f>
        <v>4</v>
      </c>
      <c r="J2000" s="78" t="n">
        <f aca="false">IF(AND(ISNUMBER(G2000),ISNUMBER(H2000)),IF(G2000&gt;0,H2000/G2000,""),"")</f>
        <v>0</v>
      </c>
      <c r="K2000" s="77"/>
      <c r="L2000" s="76" t="str">
        <f aca="false">IF(OR(G2000="",H2000=""),"Data tidak lengkap",IF(AND(G2000=0,H2000=0),IF(AND(F2000="",K2000=""),"Tidak dibuka","Tutup"),IF(H2000&gt;G2000,"Lebih kapasitas",IF(H2000=G2000,"Penuh",IF(H2000=0,IF(F2000="","Slot kosong","Belum terisi"),"Sebagian")))))</f>
        <v>Slot kosong</v>
      </c>
      <c r="M2000" s="79" t="str">
        <f aca="false">IF(L2000="Tidak dibuka","–",IF(F2000="","(tanpa age group)",F2000)&amp;"  "&amp;IF(H2000="","?",H2000)&amp;"/"&amp;IF(G2000="","?",G2000)&amp;CHAR(10)&amp;IF(K2000="","coach: –","coach: "&amp;K2000))</f>
        <v>(tanpa age group)  0/4
coach: –</v>
      </c>
    </row>
    <row r="2001" customFormat="false" ht="22.35" hidden="false" customHeight="false" outlineLevel="0" collapsed="false">
      <c r="A2001" s="76" t="str">
        <f aca="false">B2001&amp;"|"&amp;C2001&amp;"|"&amp;D2001&amp;"|"&amp;E2001</f>
        <v>BTU|5|Sabtu|14:45</v>
      </c>
      <c r="B2001" s="76" t="s">
        <v>69</v>
      </c>
      <c r="C2001" s="76" t="n">
        <v>5</v>
      </c>
      <c r="D2001" s="76" t="s">
        <v>95</v>
      </c>
      <c r="E2001" s="76" t="s">
        <v>118</v>
      </c>
      <c r="F2001" s="77"/>
      <c r="G2001" s="77" t="n">
        <v>4</v>
      </c>
      <c r="H2001" s="77" t="n">
        <v>0</v>
      </c>
      <c r="I2001" s="76" t="n">
        <f aca="false">IF(AND(ISNUMBER(G2001),ISNUMBER(H2001)),MAX(G2001-H2001,0),"")</f>
        <v>4</v>
      </c>
      <c r="J2001" s="78" t="n">
        <f aca="false">IF(AND(ISNUMBER(G2001),ISNUMBER(H2001)),IF(G2001&gt;0,H2001/G2001,""),"")</f>
        <v>0</v>
      </c>
      <c r="K2001" s="77"/>
      <c r="L2001" s="76" t="str">
        <f aca="false">IF(OR(G2001="",H2001=""),"Data tidak lengkap",IF(AND(G2001=0,H2001=0),IF(AND(F2001="",K2001=""),"Tidak dibuka","Tutup"),IF(H2001&gt;G2001,"Lebih kapasitas",IF(H2001=G2001,"Penuh",IF(H2001=0,IF(F2001="","Slot kosong","Belum terisi"),"Sebagian")))))</f>
        <v>Slot kosong</v>
      </c>
      <c r="M2001" s="79" t="str">
        <f aca="false">IF(L2001="Tidak dibuka","–",IF(F2001="","(tanpa age group)",F2001)&amp;"  "&amp;IF(H2001="","?",H2001)&amp;"/"&amp;IF(G2001="","?",G2001)&amp;CHAR(10)&amp;IF(K2001="","coach: –","coach: "&amp;K2001))</f>
        <v>(tanpa age group)  0/4
coach: –</v>
      </c>
    </row>
    <row r="2002" customFormat="false" ht="22.35" hidden="false" customHeight="false" outlineLevel="0" collapsed="false">
      <c r="A2002" s="76" t="str">
        <f aca="false">B2002&amp;"|"&amp;C2002&amp;"|"&amp;D2002&amp;"|"&amp;E2002</f>
        <v>BTU|5|Sabtu|15:30</v>
      </c>
      <c r="B2002" s="76" t="s">
        <v>69</v>
      </c>
      <c r="C2002" s="76" t="n">
        <v>5</v>
      </c>
      <c r="D2002" s="76" t="s">
        <v>95</v>
      </c>
      <c r="E2002" s="76" t="s">
        <v>119</v>
      </c>
      <c r="F2002" s="77"/>
      <c r="G2002" s="77" t="n">
        <v>4</v>
      </c>
      <c r="H2002" s="77" t="n">
        <v>0</v>
      </c>
      <c r="I2002" s="76" t="n">
        <f aca="false">IF(AND(ISNUMBER(G2002),ISNUMBER(H2002)),MAX(G2002-H2002,0),"")</f>
        <v>4</v>
      </c>
      <c r="J2002" s="78" t="n">
        <f aca="false">IF(AND(ISNUMBER(G2002),ISNUMBER(H2002)),IF(G2002&gt;0,H2002/G2002,""),"")</f>
        <v>0</v>
      </c>
      <c r="K2002" s="77"/>
      <c r="L2002" s="76" t="str">
        <f aca="false">IF(OR(G2002="",H2002=""),"Data tidak lengkap",IF(AND(G2002=0,H2002=0),IF(AND(F2002="",K2002=""),"Tidak dibuka","Tutup"),IF(H2002&gt;G2002,"Lebih kapasitas",IF(H2002=G2002,"Penuh",IF(H2002=0,IF(F2002="","Slot kosong","Belum terisi"),"Sebagian")))))</f>
        <v>Slot kosong</v>
      </c>
      <c r="M2002" s="79" t="str">
        <f aca="false">IF(L2002="Tidak dibuka","–",IF(F2002="","(tanpa age group)",F2002)&amp;"  "&amp;IF(H2002="","?",H2002)&amp;"/"&amp;IF(G2002="","?",G2002)&amp;CHAR(10)&amp;IF(K2002="","coach: –","coach: "&amp;K2002))</f>
        <v>(tanpa age group)  0/4
coach: –</v>
      </c>
    </row>
    <row r="2003" customFormat="false" ht="22.35" hidden="false" customHeight="false" outlineLevel="0" collapsed="false">
      <c r="A2003" s="76" t="str">
        <f aca="false">B2003&amp;"|"&amp;C2003&amp;"|"&amp;D2003&amp;"|"&amp;E2003</f>
        <v>BTU|5|Sabtu|16:15</v>
      </c>
      <c r="B2003" s="76" t="s">
        <v>69</v>
      </c>
      <c r="C2003" s="76" t="n">
        <v>5</v>
      </c>
      <c r="D2003" s="76" t="s">
        <v>95</v>
      </c>
      <c r="E2003" s="76" t="s">
        <v>120</v>
      </c>
      <c r="F2003" s="77"/>
      <c r="G2003" s="77" t="n">
        <v>4</v>
      </c>
      <c r="H2003" s="77" t="n">
        <v>0</v>
      </c>
      <c r="I2003" s="76" t="n">
        <f aca="false">IF(AND(ISNUMBER(G2003),ISNUMBER(H2003)),MAX(G2003-H2003,0),"")</f>
        <v>4</v>
      </c>
      <c r="J2003" s="78" t="n">
        <f aca="false">IF(AND(ISNUMBER(G2003),ISNUMBER(H2003)),IF(G2003&gt;0,H2003/G2003,""),"")</f>
        <v>0</v>
      </c>
      <c r="K2003" s="77"/>
      <c r="L2003" s="76" t="str">
        <f aca="false">IF(OR(G2003="",H2003=""),"Data tidak lengkap",IF(AND(G2003=0,H2003=0),IF(AND(F2003="",K2003=""),"Tidak dibuka","Tutup"),IF(H2003&gt;G2003,"Lebih kapasitas",IF(H2003=G2003,"Penuh",IF(H2003=0,IF(F2003="","Slot kosong","Belum terisi"),"Sebagian")))))</f>
        <v>Slot kosong</v>
      </c>
      <c r="M2003" s="79" t="str">
        <f aca="false">IF(L2003="Tidak dibuka","–",IF(F2003="","(tanpa age group)",F2003)&amp;"  "&amp;IF(H2003="","?",H2003)&amp;"/"&amp;IF(G2003="","?",G2003)&amp;CHAR(10)&amp;IF(K2003="","coach: –","coach: "&amp;K2003))</f>
        <v>(tanpa age group)  0/4
coach: –</v>
      </c>
    </row>
    <row r="2004" customFormat="false" ht="22.35" hidden="false" customHeight="false" outlineLevel="0" collapsed="false">
      <c r="A2004" s="76" t="str">
        <f aca="false">B2004&amp;"|"&amp;C2004&amp;"|"&amp;D2004&amp;"|"&amp;E2004</f>
        <v>BTU|5|Sabtu|17:00</v>
      </c>
      <c r="B2004" s="76" t="s">
        <v>69</v>
      </c>
      <c r="C2004" s="76" t="n">
        <v>5</v>
      </c>
      <c r="D2004" s="76" t="s">
        <v>95</v>
      </c>
      <c r="E2004" s="76" t="s">
        <v>121</v>
      </c>
      <c r="F2004" s="77"/>
      <c r="G2004" s="77" t="n">
        <v>4</v>
      </c>
      <c r="H2004" s="77" t="n">
        <v>0</v>
      </c>
      <c r="I2004" s="76" t="n">
        <f aca="false">IF(AND(ISNUMBER(G2004),ISNUMBER(H2004)),MAX(G2004-H2004,0),"")</f>
        <v>4</v>
      </c>
      <c r="J2004" s="78" t="n">
        <f aca="false">IF(AND(ISNUMBER(G2004),ISNUMBER(H2004)),IF(G2004&gt;0,H2004/G2004,""),"")</f>
        <v>0</v>
      </c>
      <c r="K2004" s="77"/>
      <c r="L2004" s="76" t="str">
        <f aca="false">IF(OR(G2004="",H2004=""),"Data tidak lengkap",IF(AND(G2004=0,H2004=0),IF(AND(F2004="",K2004=""),"Tidak dibuka","Tutup"),IF(H2004&gt;G2004,"Lebih kapasitas",IF(H2004=G2004,"Penuh",IF(H2004=0,IF(F2004="","Slot kosong","Belum terisi"),"Sebagian")))))</f>
        <v>Slot kosong</v>
      </c>
      <c r="M2004" s="79" t="str">
        <f aca="false">IF(L2004="Tidak dibuka","–",IF(F2004="","(tanpa age group)",F2004)&amp;"  "&amp;IF(H2004="","?",H2004)&amp;"/"&amp;IF(G2004="","?",G2004)&amp;CHAR(10)&amp;IF(K2004="","coach: –","coach: "&amp;K2004))</f>
        <v>(tanpa age group)  0/4
coach: –</v>
      </c>
    </row>
    <row r="2005" customFormat="false" ht="22.35" hidden="false" customHeight="false" outlineLevel="0" collapsed="false">
      <c r="A2005" s="76" t="str">
        <f aca="false">B2005&amp;"|"&amp;C2005&amp;"|"&amp;D2005&amp;"|"&amp;E2005</f>
        <v>BTU|5|Minggu|08:00</v>
      </c>
      <c r="B2005" s="76" t="s">
        <v>69</v>
      </c>
      <c r="C2005" s="76" t="n">
        <v>5</v>
      </c>
      <c r="D2005" s="76" t="s">
        <v>78</v>
      </c>
      <c r="E2005" s="76" t="s">
        <v>110</v>
      </c>
      <c r="F2005" s="77"/>
      <c r="G2005" s="77" t="n">
        <v>4</v>
      </c>
      <c r="H2005" s="77" t="n">
        <v>0</v>
      </c>
      <c r="I2005" s="76" t="n">
        <f aca="false">IF(AND(ISNUMBER(G2005),ISNUMBER(H2005)),MAX(G2005-H2005,0),"")</f>
        <v>4</v>
      </c>
      <c r="J2005" s="78" t="n">
        <f aca="false">IF(AND(ISNUMBER(G2005),ISNUMBER(H2005)),IF(G2005&gt;0,H2005/G2005,""),"")</f>
        <v>0</v>
      </c>
      <c r="K2005" s="77"/>
      <c r="L2005" s="76" t="str">
        <f aca="false">IF(OR(G2005="",H2005=""),"Data tidak lengkap",IF(AND(G2005=0,H2005=0),IF(AND(F2005="",K2005=""),"Tidak dibuka","Tutup"),IF(H2005&gt;G2005,"Lebih kapasitas",IF(H2005=G2005,"Penuh",IF(H2005=0,IF(F2005="","Slot kosong","Belum terisi"),"Sebagian")))))</f>
        <v>Slot kosong</v>
      </c>
      <c r="M2005" s="79" t="str">
        <f aca="false">IF(L2005="Tidak dibuka","–",IF(F2005="","(tanpa age group)",F2005)&amp;"  "&amp;IF(H2005="","?",H2005)&amp;"/"&amp;IF(G2005="","?",G2005)&amp;CHAR(10)&amp;IF(K2005="","coach: –","coach: "&amp;K2005))</f>
        <v>(tanpa age group)  0/4
coach: –</v>
      </c>
    </row>
    <row r="2006" customFormat="false" ht="22.35" hidden="false" customHeight="false" outlineLevel="0" collapsed="false">
      <c r="A2006" s="76" t="str">
        <f aca="false">B2006&amp;"|"&amp;C2006&amp;"|"&amp;D2006&amp;"|"&amp;E2006</f>
        <v>BTU|5|Minggu|08:45</v>
      </c>
      <c r="B2006" s="76" t="s">
        <v>69</v>
      </c>
      <c r="C2006" s="76" t="n">
        <v>5</v>
      </c>
      <c r="D2006" s="76" t="s">
        <v>78</v>
      </c>
      <c r="E2006" s="76" t="s">
        <v>111</v>
      </c>
      <c r="F2006" s="77"/>
      <c r="G2006" s="77" t="n">
        <v>4</v>
      </c>
      <c r="H2006" s="77" t="n">
        <v>0</v>
      </c>
      <c r="I2006" s="76" t="n">
        <f aca="false">IF(AND(ISNUMBER(G2006),ISNUMBER(H2006)),MAX(G2006-H2006,0),"")</f>
        <v>4</v>
      </c>
      <c r="J2006" s="78" t="n">
        <f aca="false">IF(AND(ISNUMBER(G2006),ISNUMBER(H2006)),IF(G2006&gt;0,H2006/G2006,""),"")</f>
        <v>0</v>
      </c>
      <c r="K2006" s="77"/>
      <c r="L2006" s="76" t="str">
        <f aca="false">IF(OR(G2006="",H2006=""),"Data tidak lengkap",IF(AND(G2006=0,H2006=0),IF(AND(F2006="",K2006=""),"Tidak dibuka","Tutup"),IF(H2006&gt;G2006,"Lebih kapasitas",IF(H2006=G2006,"Penuh",IF(H2006=0,IF(F2006="","Slot kosong","Belum terisi"),"Sebagian")))))</f>
        <v>Slot kosong</v>
      </c>
      <c r="M2006" s="79" t="str">
        <f aca="false">IF(L2006="Tidak dibuka","–",IF(F2006="","(tanpa age group)",F2006)&amp;"  "&amp;IF(H2006="","?",H2006)&amp;"/"&amp;IF(G2006="","?",G2006)&amp;CHAR(10)&amp;IF(K2006="","coach: –","coach: "&amp;K2006))</f>
        <v>(tanpa age group)  0/4
coach: –</v>
      </c>
    </row>
    <row r="2007" customFormat="false" ht="22.35" hidden="false" customHeight="false" outlineLevel="0" collapsed="false">
      <c r="A2007" s="76" t="str">
        <f aca="false">B2007&amp;"|"&amp;C2007&amp;"|"&amp;D2007&amp;"|"&amp;E2007</f>
        <v>BTU|5|Minggu|09:30</v>
      </c>
      <c r="B2007" s="76" t="s">
        <v>69</v>
      </c>
      <c r="C2007" s="76" t="n">
        <v>5</v>
      </c>
      <c r="D2007" s="76" t="s">
        <v>78</v>
      </c>
      <c r="E2007" s="76" t="s">
        <v>112</v>
      </c>
      <c r="F2007" s="77"/>
      <c r="G2007" s="77" t="n">
        <v>4</v>
      </c>
      <c r="H2007" s="77" t="n">
        <v>0</v>
      </c>
      <c r="I2007" s="76" t="n">
        <f aca="false">IF(AND(ISNUMBER(G2007),ISNUMBER(H2007)),MAX(G2007-H2007,0),"")</f>
        <v>4</v>
      </c>
      <c r="J2007" s="78" t="n">
        <f aca="false">IF(AND(ISNUMBER(G2007),ISNUMBER(H2007)),IF(G2007&gt;0,H2007/G2007,""),"")</f>
        <v>0</v>
      </c>
      <c r="K2007" s="77"/>
      <c r="L2007" s="76" t="str">
        <f aca="false">IF(OR(G2007="",H2007=""),"Data tidak lengkap",IF(AND(G2007=0,H2007=0),IF(AND(F2007="",K2007=""),"Tidak dibuka","Tutup"),IF(H2007&gt;G2007,"Lebih kapasitas",IF(H2007=G2007,"Penuh",IF(H2007=0,IF(F2007="","Slot kosong","Belum terisi"),"Sebagian")))))</f>
        <v>Slot kosong</v>
      </c>
      <c r="M2007" s="79" t="str">
        <f aca="false">IF(L2007="Tidak dibuka","–",IF(F2007="","(tanpa age group)",F2007)&amp;"  "&amp;IF(H2007="","?",H2007)&amp;"/"&amp;IF(G2007="","?",G2007)&amp;CHAR(10)&amp;IF(K2007="","coach: –","coach: "&amp;K2007))</f>
        <v>(tanpa age group)  0/4
coach: –</v>
      </c>
    </row>
    <row r="2008" customFormat="false" ht="22.35" hidden="false" customHeight="false" outlineLevel="0" collapsed="false">
      <c r="A2008" s="76" t="str">
        <f aca="false">B2008&amp;"|"&amp;C2008&amp;"|"&amp;D2008&amp;"|"&amp;E2008</f>
        <v>BTU|5|Minggu|10:15</v>
      </c>
      <c r="B2008" s="76" t="s">
        <v>69</v>
      </c>
      <c r="C2008" s="76" t="n">
        <v>5</v>
      </c>
      <c r="D2008" s="76" t="s">
        <v>78</v>
      </c>
      <c r="E2008" s="76" t="s">
        <v>113</v>
      </c>
      <c r="F2008" s="77"/>
      <c r="G2008" s="77" t="n">
        <v>4</v>
      </c>
      <c r="H2008" s="77" t="n">
        <v>0</v>
      </c>
      <c r="I2008" s="76" t="n">
        <f aca="false">IF(AND(ISNUMBER(G2008),ISNUMBER(H2008)),MAX(G2008-H2008,0),"")</f>
        <v>4</v>
      </c>
      <c r="J2008" s="78" t="n">
        <f aca="false">IF(AND(ISNUMBER(G2008),ISNUMBER(H2008)),IF(G2008&gt;0,H2008/G2008,""),"")</f>
        <v>0</v>
      </c>
      <c r="K2008" s="77"/>
      <c r="L2008" s="76" t="str">
        <f aca="false">IF(OR(G2008="",H2008=""),"Data tidak lengkap",IF(AND(G2008=0,H2008=0),IF(AND(F2008="",K2008=""),"Tidak dibuka","Tutup"),IF(H2008&gt;G2008,"Lebih kapasitas",IF(H2008=G2008,"Penuh",IF(H2008=0,IF(F2008="","Slot kosong","Belum terisi"),"Sebagian")))))</f>
        <v>Slot kosong</v>
      </c>
      <c r="M2008" s="79" t="str">
        <f aca="false">IF(L2008="Tidak dibuka","–",IF(F2008="","(tanpa age group)",F2008)&amp;"  "&amp;IF(H2008="","?",H2008)&amp;"/"&amp;IF(G2008="","?",G2008)&amp;CHAR(10)&amp;IF(K2008="","coach: –","coach: "&amp;K2008))</f>
        <v>(tanpa age group)  0/4
coach: –</v>
      </c>
    </row>
    <row r="2009" customFormat="false" ht="22.35" hidden="false" customHeight="false" outlineLevel="0" collapsed="false">
      <c r="A2009" s="76" t="str">
        <f aca="false">B2009&amp;"|"&amp;C2009&amp;"|"&amp;D2009&amp;"|"&amp;E2009</f>
        <v>BTU|5|Minggu|11:00</v>
      </c>
      <c r="B2009" s="76" t="s">
        <v>69</v>
      </c>
      <c r="C2009" s="76" t="n">
        <v>5</v>
      </c>
      <c r="D2009" s="76" t="s">
        <v>78</v>
      </c>
      <c r="E2009" s="76" t="s">
        <v>114</v>
      </c>
      <c r="F2009" s="77"/>
      <c r="G2009" s="77" t="n">
        <v>4</v>
      </c>
      <c r="H2009" s="77" t="n">
        <v>0</v>
      </c>
      <c r="I2009" s="76" t="n">
        <f aca="false">IF(AND(ISNUMBER(G2009),ISNUMBER(H2009)),MAX(G2009-H2009,0),"")</f>
        <v>4</v>
      </c>
      <c r="J2009" s="78" t="n">
        <f aca="false">IF(AND(ISNUMBER(G2009),ISNUMBER(H2009)),IF(G2009&gt;0,H2009/G2009,""),"")</f>
        <v>0</v>
      </c>
      <c r="K2009" s="77"/>
      <c r="L2009" s="76" t="str">
        <f aca="false">IF(OR(G2009="",H2009=""),"Data tidak lengkap",IF(AND(G2009=0,H2009=0),IF(AND(F2009="",K2009=""),"Tidak dibuka","Tutup"),IF(H2009&gt;G2009,"Lebih kapasitas",IF(H2009=G2009,"Penuh",IF(H2009=0,IF(F2009="","Slot kosong","Belum terisi"),"Sebagian")))))</f>
        <v>Slot kosong</v>
      </c>
      <c r="M2009" s="79" t="str">
        <f aca="false">IF(L2009="Tidak dibuka","–",IF(F2009="","(tanpa age group)",F2009)&amp;"  "&amp;IF(H2009="","?",H2009)&amp;"/"&amp;IF(G2009="","?",G2009)&amp;CHAR(10)&amp;IF(K2009="","coach: –","coach: "&amp;K2009))</f>
        <v>(tanpa age group)  0/4
coach: –</v>
      </c>
    </row>
    <row r="2010" customFormat="false" ht="22.35" hidden="false" customHeight="false" outlineLevel="0" collapsed="false">
      <c r="A2010" s="76" t="str">
        <f aca="false">B2010&amp;"|"&amp;C2010&amp;"|"&amp;D2010&amp;"|"&amp;E2010</f>
        <v>BTU|5|Minggu|11:45</v>
      </c>
      <c r="B2010" s="76" t="s">
        <v>69</v>
      </c>
      <c r="C2010" s="76" t="n">
        <v>5</v>
      </c>
      <c r="D2010" s="76" t="s">
        <v>78</v>
      </c>
      <c r="E2010" s="76" t="s">
        <v>115</v>
      </c>
      <c r="F2010" s="77"/>
      <c r="G2010" s="77" t="n">
        <v>4</v>
      </c>
      <c r="H2010" s="77" t="n">
        <v>0</v>
      </c>
      <c r="I2010" s="76" t="n">
        <f aca="false">IF(AND(ISNUMBER(G2010),ISNUMBER(H2010)),MAX(G2010-H2010,0),"")</f>
        <v>4</v>
      </c>
      <c r="J2010" s="78" t="n">
        <f aca="false">IF(AND(ISNUMBER(G2010),ISNUMBER(H2010)),IF(G2010&gt;0,H2010/G2010,""),"")</f>
        <v>0</v>
      </c>
      <c r="K2010" s="77"/>
      <c r="L2010" s="76" t="str">
        <f aca="false">IF(OR(G2010="",H2010=""),"Data tidak lengkap",IF(AND(G2010=0,H2010=0),IF(AND(F2010="",K2010=""),"Tidak dibuka","Tutup"),IF(H2010&gt;G2010,"Lebih kapasitas",IF(H2010=G2010,"Penuh",IF(H2010=0,IF(F2010="","Slot kosong","Belum terisi"),"Sebagian")))))</f>
        <v>Slot kosong</v>
      </c>
      <c r="M2010" s="79" t="str">
        <f aca="false">IF(L2010="Tidak dibuka","–",IF(F2010="","(tanpa age group)",F2010)&amp;"  "&amp;IF(H2010="","?",H2010)&amp;"/"&amp;IF(G2010="","?",G2010)&amp;CHAR(10)&amp;IF(K2010="","coach: –","coach: "&amp;K2010))</f>
        <v>(tanpa age group)  0/4
coach: –</v>
      </c>
    </row>
    <row r="2011" customFormat="false" ht="22.35" hidden="false" customHeight="false" outlineLevel="0" collapsed="false">
      <c r="A2011" s="76" t="str">
        <f aca="false">B2011&amp;"|"&amp;C2011&amp;"|"&amp;D2011&amp;"|"&amp;E2011</f>
        <v>BTU|5|Minggu|13:15</v>
      </c>
      <c r="B2011" s="76" t="s">
        <v>69</v>
      </c>
      <c r="C2011" s="76" t="n">
        <v>5</v>
      </c>
      <c r="D2011" s="76" t="s">
        <v>78</v>
      </c>
      <c r="E2011" s="76" t="s">
        <v>116</v>
      </c>
      <c r="F2011" s="77"/>
      <c r="G2011" s="77" t="n">
        <v>4</v>
      </c>
      <c r="H2011" s="77" t="n">
        <v>0</v>
      </c>
      <c r="I2011" s="76" t="n">
        <f aca="false">IF(AND(ISNUMBER(G2011),ISNUMBER(H2011)),MAX(G2011-H2011,0),"")</f>
        <v>4</v>
      </c>
      <c r="J2011" s="78" t="n">
        <f aca="false">IF(AND(ISNUMBER(G2011),ISNUMBER(H2011)),IF(G2011&gt;0,H2011/G2011,""),"")</f>
        <v>0</v>
      </c>
      <c r="K2011" s="77"/>
      <c r="L2011" s="76" t="str">
        <f aca="false">IF(OR(G2011="",H2011=""),"Data tidak lengkap",IF(AND(G2011=0,H2011=0),IF(AND(F2011="",K2011=""),"Tidak dibuka","Tutup"),IF(H2011&gt;G2011,"Lebih kapasitas",IF(H2011=G2011,"Penuh",IF(H2011=0,IF(F2011="","Slot kosong","Belum terisi"),"Sebagian")))))</f>
        <v>Slot kosong</v>
      </c>
      <c r="M2011" s="79" t="str">
        <f aca="false">IF(L2011="Tidak dibuka","–",IF(F2011="","(tanpa age group)",F2011)&amp;"  "&amp;IF(H2011="","?",H2011)&amp;"/"&amp;IF(G2011="","?",G2011)&amp;CHAR(10)&amp;IF(K2011="","coach: –","coach: "&amp;K2011))</f>
        <v>(tanpa age group)  0/4
coach: –</v>
      </c>
    </row>
    <row r="2012" customFormat="false" ht="22.35" hidden="false" customHeight="false" outlineLevel="0" collapsed="false">
      <c r="A2012" s="76" t="str">
        <f aca="false">B2012&amp;"|"&amp;C2012&amp;"|"&amp;D2012&amp;"|"&amp;E2012</f>
        <v>BTU|5|Minggu|14:00</v>
      </c>
      <c r="B2012" s="76" t="s">
        <v>69</v>
      </c>
      <c r="C2012" s="76" t="n">
        <v>5</v>
      </c>
      <c r="D2012" s="76" t="s">
        <v>78</v>
      </c>
      <c r="E2012" s="76" t="s">
        <v>117</v>
      </c>
      <c r="F2012" s="77"/>
      <c r="G2012" s="77" t="n">
        <v>4</v>
      </c>
      <c r="H2012" s="77" t="n">
        <v>0</v>
      </c>
      <c r="I2012" s="76" t="n">
        <f aca="false">IF(AND(ISNUMBER(G2012),ISNUMBER(H2012)),MAX(G2012-H2012,0),"")</f>
        <v>4</v>
      </c>
      <c r="J2012" s="78" t="n">
        <f aca="false">IF(AND(ISNUMBER(G2012),ISNUMBER(H2012)),IF(G2012&gt;0,H2012/G2012,""),"")</f>
        <v>0</v>
      </c>
      <c r="K2012" s="77"/>
      <c r="L2012" s="76" t="str">
        <f aca="false">IF(OR(G2012="",H2012=""),"Data tidak lengkap",IF(AND(G2012=0,H2012=0),IF(AND(F2012="",K2012=""),"Tidak dibuka","Tutup"),IF(H2012&gt;G2012,"Lebih kapasitas",IF(H2012=G2012,"Penuh",IF(H2012=0,IF(F2012="","Slot kosong","Belum terisi"),"Sebagian")))))</f>
        <v>Slot kosong</v>
      </c>
      <c r="M2012" s="79" t="str">
        <f aca="false">IF(L2012="Tidak dibuka","–",IF(F2012="","(tanpa age group)",F2012)&amp;"  "&amp;IF(H2012="","?",H2012)&amp;"/"&amp;IF(G2012="","?",G2012)&amp;CHAR(10)&amp;IF(K2012="","coach: –","coach: "&amp;K2012))</f>
        <v>(tanpa age group)  0/4
coach: –</v>
      </c>
    </row>
    <row r="2013" customFormat="false" ht="22.35" hidden="false" customHeight="false" outlineLevel="0" collapsed="false">
      <c r="A2013" s="76" t="str">
        <f aca="false">B2013&amp;"|"&amp;C2013&amp;"|"&amp;D2013&amp;"|"&amp;E2013</f>
        <v>BTU|5|Minggu|14:45</v>
      </c>
      <c r="B2013" s="76" t="s">
        <v>69</v>
      </c>
      <c r="C2013" s="76" t="n">
        <v>5</v>
      </c>
      <c r="D2013" s="76" t="s">
        <v>78</v>
      </c>
      <c r="E2013" s="76" t="s">
        <v>118</v>
      </c>
      <c r="F2013" s="77"/>
      <c r="G2013" s="77" t="n">
        <v>4</v>
      </c>
      <c r="H2013" s="77" t="n">
        <v>0</v>
      </c>
      <c r="I2013" s="76" t="n">
        <f aca="false">IF(AND(ISNUMBER(G2013),ISNUMBER(H2013)),MAX(G2013-H2013,0),"")</f>
        <v>4</v>
      </c>
      <c r="J2013" s="78" t="n">
        <f aca="false">IF(AND(ISNUMBER(G2013),ISNUMBER(H2013)),IF(G2013&gt;0,H2013/G2013,""),"")</f>
        <v>0</v>
      </c>
      <c r="K2013" s="77"/>
      <c r="L2013" s="76" t="str">
        <f aca="false">IF(OR(G2013="",H2013=""),"Data tidak lengkap",IF(AND(G2013=0,H2013=0),IF(AND(F2013="",K2013=""),"Tidak dibuka","Tutup"),IF(H2013&gt;G2013,"Lebih kapasitas",IF(H2013=G2013,"Penuh",IF(H2013=0,IF(F2013="","Slot kosong","Belum terisi"),"Sebagian")))))</f>
        <v>Slot kosong</v>
      </c>
      <c r="M2013" s="79" t="str">
        <f aca="false">IF(L2013="Tidak dibuka","–",IF(F2013="","(tanpa age group)",F2013)&amp;"  "&amp;IF(H2013="","?",H2013)&amp;"/"&amp;IF(G2013="","?",G2013)&amp;CHAR(10)&amp;IF(K2013="","coach: –","coach: "&amp;K2013))</f>
        <v>(tanpa age group)  0/4
coach: –</v>
      </c>
    </row>
    <row r="2014" customFormat="false" ht="22.35" hidden="false" customHeight="false" outlineLevel="0" collapsed="false">
      <c r="A2014" s="76" t="str">
        <f aca="false">B2014&amp;"|"&amp;C2014&amp;"|"&amp;D2014&amp;"|"&amp;E2014</f>
        <v>BTU|5|Minggu|15:30</v>
      </c>
      <c r="B2014" s="76" t="s">
        <v>69</v>
      </c>
      <c r="C2014" s="76" t="n">
        <v>5</v>
      </c>
      <c r="D2014" s="76" t="s">
        <v>78</v>
      </c>
      <c r="E2014" s="76" t="s">
        <v>119</v>
      </c>
      <c r="F2014" s="77"/>
      <c r="G2014" s="77" t="n">
        <v>4</v>
      </c>
      <c r="H2014" s="77" t="n">
        <v>0</v>
      </c>
      <c r="I2014" s="76" t="n">
        <f aca="false">IF(AND(ISNUMBER(G2014),ISNUMBER(H2014)),MAX(G2014-H2014,0),"")</f>
        <v>4</v>
      </c>
      <c r="J2014" s="78" t="n">
        <f aca="false">IF(AND(ISNUMBER(G2014),ISNUMBER(H2014)),IF(G2014&gt;0,H2014/G2014,""),"")</f>
        <v>0</v>
      </c>
      <c r="K2014" s="77"/>
      <c r="L2014" s="76" t="str">
        <f aca="false">IF(OR(G2014="",H2014=""),"Data tidak lengkap",IF(AND(G2014=0,H2014=0),IF(AND(F2014="",K2014=""),"Tidak dibuka","Tutup"),IF(H2014&gt;G2014,"Lebih kapasitas",IF(H2014=G2014,"Penuh",IF(H2014=0,IF(F2014="","Slot kosong","Belum terisi"),"Sebagian")))))</f>
        <v>Slot kosong</v>
      </c>
      <c r="M2014" s="79" t="str">
        <f aca="false">IF(L2014="Tidak dibuka","–",IF(F2014="","(tanpa age group)",F2014)&amp;"  "&amp;IF(H2014="","?",H2014)&amp;"/"&amp;IF(G2014="","?",G2014)&amp;CHAR(10)&amp;IF(K2014="","coach: –","coach: "&amp;K2014))</f>
        <v>(tanpa age group)  0/4
coach: –</v>
      </c>
    </row>
    <row r="2015" customFormat="false" ht="22.35" hidden="false" customHeight="false" outlineLevel="0" collapsed="false">
      <c r="A2015" s="76" t="str">
        <f aca="false">B2015&amp;"|"&amp;C2015&amp;"|"&amp;D2015&amp;"|"&amp;E2015</f>
        <v>BTU|5|Minggu|16:15</v>
      </c>
      <c r="B2015" s="76" t="s">
        <v>69</v>
      </c>
      <c r="C2015" s="76" t="n">
        <v>5</v>
      </c>
      <c r="D2015" s="76" t="s">
        <v>78</v>
      </c>
      <c r="E2015" s="76" t="s">
        <v>120</v>
      </c>
      <c r="F2015" s="77"/>
      <c r="G2015" s="77" t="n">
        <v>4</v>
      </c>
      <c r="H2015" s="77" t="n">
        <v>0</v>
      </c>
      <c r="I2015" s="76" t="n">
        <f aca="false">IF(AND(ISNUMBER(G2015),ISNUMBER(H2015)),MAX(G2015-H2015,0),"")</f>
        <v>4</v>
      </c>
      <c r="J2015" s="78" t="n">
        <f aca="false">IF(AND(ISNUMBER(G2015),ISNUMBER(H2015)),IF(G2015&gt;0,H2015/G2015,""),"")</f>
        <v>0</v>
      </c>
      <c r="K2015" s="77"/>
      <c r="L2015" s="76" t="str">
        <f aca="false">IF(OR(G2015="",H2015=""),"Data tidak lengkap",IF(AND(G2015=0,H2015=0),IF(AND(F2015="",K2015=""),"Tidak dibuka","Tutup"),IF(H2015&gt;G2015,"Lebih kapasitas",IF(H2015=G2015,"Penuh",IF(H2015=0,IF(F2015="","Slot kosong","Belum terisi"),"Sebagian")))))</f>
        <v>Slot kosong</v>
      </c>
      <c r="M2015" s="79" t="str">
        <f aca="false">IF(L2015="Tidak dibuka","–",IF(F2015="","(tanpa age group)",F2015)&amp;"  "&amp;IF(H2015="","?",H2015)&amp;"/"&amp;IF(G2015="","?",G2015)&amp;CHAR(10)&amp;IF(K2015="","coach: –","coach: "&amp;K2015))</f>
        <v>(tanpa age group)  0/4
coach: –</v>
      </c>
    </row>
    <row r="2016" customFormat="false" ht="22.35" hidden="false" customHeight="false" outlineLevel="0" collapsed="false">
      <c r="A2016" s="76" t="str">
        <f aca="false">B2016&amp;"|"&amp;C2016&amp;"|"&amp;D2016&amp;"|"&amp;E2016</f>
        <v>BTU|5|Minggu|17:00</v>
      </c>
      <c r="B2016" s="76" t="s">
        <v>69</v>
      </c>
      <c r="C2016" s="76" t="n">
        <v>5</v>
      </c>
      <c r="D2016" s="76" t="s">
        <v>78</v>
      </c>
      <c r="E2016" s="76" t="s">
        <v>121</v>
      </c>
      <c r="F2016" s="77"/>
      <c r="G2016" s="77" t="n">
        <v>4</v>
      </c>
      <c r="H2016" s="77" t="n">
        <v>0</v>
      </c>
      <c r="I2016" s="76" t="n">
        <f aca="false">IF(AND(ISNUMBER(G2016),ISNUMBER(H2016)),MAX(G2016-H2016,0),"")</f>
        <v>4</v>
      </c>
      <c r="J2016" s="78" t="n">
        <f aca="false">IF(AND(ISNUMBER(G2016),ISNUMBER(H2016)),IF(G2016&gt;0,H2016/G2016,""),"")</f>
        <v>0</v>
      </c>
      <c r="K2016" s="77"/>
      <c r="L2016" s="76" t="str">
        <f aca="false">IF(OR(G2016="",H2016=""),"Data tidak lengkap",IF(AND(G2016=0,H2016=0),IF(AND(F2016="",K2016=""),"Tidak dibuka","Tutup"),IF(H2016&gt;G2016,"Lebih kapasitas",IF(H2016=G2016,"Penuh",IF(H2016=0,IF(F2016="","Slot kosong","Belum terisi"),"Sebagian")))))</f>
        <v>Slot kosong</v>
      </c>
      <c r="M2016" s="79" t="str">
        <f aca="false">IF(L2016="Tidak dibuka","–",IF(F2016="","(tanpa age group)",F2016)&amp;"  "&amp;IF(H2016="","?",H2016)&amp;"/"&amp;IF(G2016="","?",G2016)&amp;CHAR(10)&amp;IF(K2016="","coach: –","coach: "&amp;K2016))</f>
        <v>(tanpa age group)  0/4
coach: –</v>
      </c>
    </row>
    <row r="2017" customFormat="false" ht="22.35" hidden="false" customHeight="false" outlineLevel="0" collapsed="false">
      <c r="A2017" s="76" t="str">
        <f aca="false">B2017&amp;"|"&amp;C2017&amp;"|"&amp;D2017&amp;"|"&amp;E2017</f>
        <v>HIB|1|Senin|08:00</v>
      </c>
      <c r="B2017" s="76" t="s">
        <v>71</v>
      </c>
      <c r="C2017" s="76" t="n">
        <v>1</v>
      </c>
      <c r="D2017" s="76" t="s">
        <v>90</v>
      </c>
      <c r="E2017" s="76" t="s">
        <v>110</v>
      </c>
      <c r="F2017" s="77" t="s">
        <v>242</v>
      </c>
      <c r="G2017" s="77" t="n">
        <v>5</v>
      </c>
      <c r="H2017" s="77" t="n">
        <v>0</v>
      </c>
      <c r="I2017" s="76" t="n">
        <f aca="false">IF(AND(ISNUMBER(G2017),ISNUMBER(H2017)),MAX(G2017-H2017,0),"")</f>
        <v>5</v>
      </c>
      <c r="J2017" s="78" t="n">
        <f aca="false">IF(AND(ISNUMBER(G2017),ISNUMBER(H2017)),IF(G2017&gt;0,H2017/G2017,""),"")</f>
        <v>0</v>
      </c>
      <c r="K2017" s="77"/>
      <c r="L2017" s="76" t="str">
        <f aca="false">IF(OR(G2017="",H2017=""),"Data tidak lengkap",IF(AND(G2017=0,H2017=0),IF(AND(F2017="",K2017=""),"Tidak dibuka","Tutup"),IF(H2017&gt;G2017,"Lebih kapasitas",IF(H2017=G2017,"Penuh",IF(H2017=0,IF(F2017="","Slot kosong","Belum terisi"),"Sebagian")))))</f>
        <v>Belum terisi</v>
      </c>
      <c r="M2017" s="79" t="str">
        <f aca="false">IF(L2017="Tidak dibuka","–",IF(F2017="","(tanpa age group)",F2017)&amp;"  "&amp;IF(H2017="","?",H2017)&amp;"/"&amp;IF(G2017="","?",G2017)&amp;CHAR(10)&amp;IF(K2017="","coach: –","coach: "&amp;K2017))</f>
        <v>Baby  0/5
coach: –</v>
      </c>
    </row>
    <row r="2018" customFormat="false" ht="22.35" hidden="false" customHeight="false" outlineLevel="0" collapsed="false">
      <c r="A2018" s="76" t="str">
        <f aca="false">B2018&amp;"|"&amp;C2018&amp;"|"&amp;D2018&amp;"|"&amp;E2018</f>
        <v>HIB|1|Senin|08:45</v>
      </c>
      <c r="B2018" s="76" t="s">
        <v>71</v>
      </c>
      <c r="C2018" s="76" t="n">
        <v>1</v>
      </c>
      <c r="D2018" s="76" t="s">
        <v>90</v>
      </c>
      <c r="E2018" s="76" t="s">
        <v>111</v>
      </c>
      <c r="F2018" s="77" t="s">
        <v>242</v>
      </c>
      <c r="G2018" s="77" t="n">
        <v>5</v>
      </c>
      <c r="H2018" s="77" t="n">
        <v>0</v>
      </c>
      <c r="I2018" s="76" t="n">
        <f aca="false">IF(AND(ISNUMBER(G2018),ISNUMBER(H2018)),MAX(G2018-H2018,0),"")</f>
        <v>5</v>
      </c>
      <c r="J2018" s="78" t="n">
        <f aca="false">IF(AND(ISNUMBER(G2018),ISNUMBER(H2018)),IF(G2018&gt;0,H2018/G2018,""),"")</f>
        <v>0</v>
      </c>
      <c r="K2018" s="77"/>
      <c r="L2018" s="76" t="str">
        <f aca="false">IF(OR(G2018="",H2018=""),"Data tidak lengkap",IF(AND(G2018=0,H2018=0),IF(AND(F2018="",K2018=""),"Tidak dibuka","Tutup"),IF(H2018&gt;G2018,"Lebih kapasitas",IF(H2018=G2018,"Penuh",IF(H2018=0,IF(F2018="","Slot kosong","Belum terisi"),"Sebagian")))))</f>
        <v>Belum terisi</v>
      </c>
      <c r="M2018" s="79" t="str">
        <f aca="false">IF(L2018="Tidak dibuka","–",IF(F2018="","(tanpa age group)",F2018)&amp;"  "&amp;IF(H2018="","?",H2018)&amp;"/"&amp;IF(G2018="","?",G2018)&amp;CHAR(10)&amp;IF(K2018="","coach: –","coach: "&amp;K2018))</f>
        <v>Baby  0/5
coach: –</v>
      </c>
    </row>
    <row r="2019" customFormat="false" ht="22.35" hidden="false" customHeight="false" outlineLevel="0" collapsed="false">
      <c r="A2019" s="76" t="str">
        <f aca="false">B2019&amp;"|"&amp;C2019&amp;"|"&amp;D2019&amp;"|"&amp;E2019</f>
        <v>HIB|1|Senin|09:30</v>
      </c>
      <c r="B2019" s="76" t="s">
        <v>71</v>
      </c>
      <c r="C2019" s="76" t="n">
        <v>1</v>
      </c>
      <c r="D2019" s="76" t="s">
        <v>90</v>
      </c>
      <c r="E2019" s="76" t="s">
        <v>112</v>
      </c>
      <c r="F2019" s="77" t="s">
        <v>242</v>
      </c>
      <c r="G2019" s="77" t="n">
        <v>5</v>
      </c>
      <c r="H2019" s="77" t="n">
        <v>0</v>
      </c>
      <c r="I2019" s="76" t="n">
        <f aca="false">IF(AND(ISNUMBER(G2019),ISNUMBER(H2019)),MAX(G2019-H2019,0),"")</f>
        <v>5</v>
      </c>
      <c r="J2019" s="78" t="n">
        <f aca="false">IF(AND(ISNUMBER(G2019),ISNUMBER(H2019)),IF(G2019&gt;0,H2019/G2019,""),"")</f>
        <v>0</v>
      </c>
      <c r="K2019" s="77"/>
      <c r="L2019" s="76" t="str">
        <f aca="false">IF(OR(G2019="",H2019=""),"Data tidak lengkap",IF(AND(G2019=0,H2019=0),IF(AND(F2019="",K2019=""),"Tidak dibuka","Tutup"),IF(H2019&gt;G2019,"Lebih kapasitas",IF(H2019=G2019,"Penuh",IF(H2019=0,IF(F2019="","Slot kosong","Belum terisi"),"Sebagian")))))</f>
        <v>Belum terisi</v>
      </c>
      <c r="M2019" s="79" t="str">
        <f aca="false">IF(L2019="Tidak dibuka","–",IF(F2019="","(tanpa age group)",F2019)&amp;"  "&amp;IF(H2019="","?",H2019)&amp;"/"&amp;IF(G2019="","?",G2019)&amp;CHAR(10)&amp;IF(K2019="","coach: –","coach: "&amp;K2019))</f>
        <v>Baby  0/5
coach: –</v>
      </c>
    </row>
    <row r="2020" customFormat="false" ht="22.35" hidden="false" customHeight="false" outlineLevel="0" collapsed="false">
      <c r="A2020" s="76" t="str">
        <f aca="false">B2020&amp;"|"&amp;C2020&amp;"|"&amp;D2020&amp;"|"&amp;E2020</f>
        <v>HIB|1|Senin|10:15</v>
      </c>
      <c r="B2020" s="76" t="s">
        <v>71</v>
      </c>
      <c r="C2020" s="76" t="n">
        <v>1</v>
      </c>
      <c r="D2020" s="76" t="s">
        <v>90</v>
      </c>
      <c r="E2020" s="76" t="s">
        <v>113</v>
      </c>
      <c r="F2020" s="77" t="s">
        <v>242</v>
      </c>
      <c r="G2020" s="77" t="n">
        <v>5</v>
      </c>
      <c r="H2020" s="77" t="n">
        <v>0</v>
      </c>
      <c r="I2020" s="76" t="n">
        <f aca="false">IF(AND(ISNUMBER(G2020),ISNUMBER(H2020)),MAX(G2020-H2020,0),"")</f>
        <v>5</v>
      </c>
      <c r="J2020" s="78" t="n">
        <f aca="false">IF(AND(ISNUMBER(G2020),ISNUMBER(H2020)),IF(G2020&gt;0,H2020/G2020,""),"")</f>
        <v>0</v>
      </c>
      <c r="K2020" s="77"/>
      <c r="L2020" s="76" t="str">
        <f aca="false">IF(OR(G2020="",H2020=""),"Data tidak lengkap",IF(AND(G2020=0,H2020=0),IF(AND(F2020="",K2020=""),"Tidak dibuka","Tutup"),IF(H2020&gt;G2020,"Lebih kapasitas",IF(H2020=G2020,"Penuh",IF(H2020=0,IF(F2020="","Slot kosong","Belum terisi"),"Sebagian")))))</f>
        <v>Belum terisi</v>
      </c>
      <c r="M2020" s="79" t="str">
        <f aca="false">IF(L2020="Tidak dibuka","–",IF(F2020="","(tanpa age group)",F2020)&amp;"  "&amp;IF(H2020="","?",H2020)&amp;"/"&amp;IF(G2020="","?",G2020)&amp;CHAR(10)&amp;IF(K2020="","coach: –","coach: "&amp;K2020))</f>
        <v>Baby  0/5
coach: –</v>
      </c>
    </row>
    <row r="2021" customFormat="false" ht="22.35" hidden="false" customHeight="false" outlineLevel="0" collapsed="false">
      <c r="A2021" s="76" t="str">
        <f aca="false">B2021&amp;"|"&amp;C2021&amp;"|"&amp;D2021&amp;"|"&amp;E2021</f>
        <v>HIB|1|Senin|11:00</v>
      </c>
      <c r="B2021" s="76" t="s">
        <v>71</v>
      </c>
      <c r="C2021" s="76" t="n">
        <v>1</v>
      </c>
      <c r="D2021" s="76" t="s">
        <v>90</v>
      </c>
      <c r="E2021" s="76" t="s">
        <v>114</v>
      </c>
      <c r="F2021" s="77" t="s">
        <v>242</v>
      </c>
      <c r="G2021" s="77" t="n">
        <v>5</v>
      </c>
      <c r="H2021" s="77" t="n">
        <v>0</v>
      </c>
      <c r="I2021" s="76" t="n">
        <f aca="false">IF(AND(ISNUMBER(G2021),ISNUMBER(H2021)),MAX(G2021-H2021,0),"")</f>
        <v>5</v>
      </c>
      <c r="J2021" s="78" t="n">
        <f aca="false">IF(AND(ISNUMBER(G2021),ISNUMBER(H2021)),IF(G2021&gt;0,H2021/G2021,""),"")</f>
        <v>0</v>
      </c>
      <c r="K2021" s="77"/>
      <c r="L2021" s="76" t="str">
        <f aca="false">IF(OR(G2021="",H2021=""),"Data tidak lengkap",IF(AND(G2021=0,H2021=0),IF(AND(F2021="",K2021=""),"Tidak dibuka","Tutup"),IF(H2021&gt;G2021,"Lebih kapasitas",IF(H2021=G2021,"Penuh",IF(H2021=0,IF(F2021="","Slot kosong","Belum terisi"),"Sebagian")))))</f>
        <v>Belum terisi</v>
      </c>
      <c r="M2021" s="79" t="str">
        <f aca="false">IF(L2021="Tidak dibuka","–",IF(F2021="","(tanpa age group)",F2021)&amp;"  "&amp;IF(H2021="","?",H2021)&amp;"/"&amp;IF(G2021="","?",G2021)&amp;CHAR(10)&amp;IF(K2021="","coach: –","coach: "&amp;K2021))</f>
        <v>Baby  0/5
coach: –</v>
      </c>
    </row>
    <row r="2022" customFormat="false" ht="22.35" hidden="false" customHeight="false" outlineLevel="0" collapsed="false">
      <c r="A2022" s="76" t="str">
        <f aca="false">B2022&amp;"|"&amp;C2022&amp;"|"&amp;D2022&amp;"|"&amp;E2022</f>
        <v>HIB|1|Senin|11:45</v>
      </c>
      <c r="B2022" s="76" t="s">
        <v>71</v>
      </c>
      <c r="C2022" s="76" t="n">
        <v>1</v>
      </c>
      <c r="D2022" s="76" t="s">
        <v>90</v>
      </c>
      <c r="E2022" s="76" t="s">
        <v>115</v>
      </c>
      <c r="F2022" s="77" t="s">
        <v>242</v>
      </c>
      <c r="G2022" s="77" t="n">
        <v>5</v>
      </c>
      <c r="H2022" s="77" t="n">
        <v>0</v>
      </c>
      <c r="I2022" s="76" t="n">
        <f aca="false">IF(AND(ISNUMBER(G2022),ISNUMBER(H2022)),MAX(G2022-H2022,0),"")</f>
        <v>5</v>
      </c>
      <c r="J2022" s="78" t="n">
        <f aca="false">IF(AND(ISNUMBER(G2022),ISNUMBER(H2022)),IF(G2022&gt;0,H2022/G2022,""),"")</f>
        <v>0</v>
      </c>
      <c r="K2022" s="77"/>
      <c r="L2022" s="76" t="str">
        <f aca="false">IF(OR(G2022="",H2022=""),"Data tidak lengkap",IF(AND(G2022=0,H2022=0),IF(AND(F2022="",K2022=""),"Tidak dibuka","Tutup"),IF(H2022&gt;G2022,"Lebih kapasitas",IF(H2022=G2022,"Penuh",IF(H2022=0,IF(F2022="","Slot kosong","Belum terisi"),"Sebagian")))))</f>
        <v>Belum terisi</v>
      </c>
      <c r="M2022" s="79" t="str">
        <f aca="false">IF(L2022="Tidak dibuka","–",IF(F2022="","(tanpa age group)",F2022)&amp;"  "&amp;IF(H2022="","?",H2022)&amp;"/"&amp;IF(G2022="","?",G2022)&amp;CHAR(10)&amp;IF(K2022="","coach: –","coach: "&amp;K2022))</f>
        <v>Baby  0/5
coach: –</v>
      </c>
    </row>
    <row r="2023" customFormat="false" ht="22.35" hidden="false" customHeight="false" outlineLevel="0" collapsed="false">
      <c r="A2023" s="76" t="str">
        <f aca="false">B2023&amp;"|"&amp;C2023&amp;"|"&amp;D2023&amp;"|"&amp;E2023</f>
        <v>HIB|1|Senin|13:15</v>
      </c>
      <c r="B2023" s="76" t="s">
        <v>71</v>
      </c>
      <c r="C2023" s="76" t="n">
        <v>1</v>
      </c>
      <c r="D2023" s="76" t="s">
        <v>90</v>
      </c>
      <c r="E2023" s="76" t="s">
        <v>116</v>
      </c>
      <c r="F2023" s="77" t="s">
        <v>242</v>
      </c>
      <c r="G2023" s="77" t="n">
        <v>5</v>
      </c>
      <c r="H2023" s="77" t="n">
        <v>0</v>
      </c>
      <c r="I2023" s="76" t="n">
        <f aca="false">IF(AND(ISNUMBER(G2023),ISNUMBER(H2023)),MAX(G2023-H2023,0),"")</f>
        <v>5</v>
      </c>
      <c r="J2023" s="78" t="n">
        <f aca="false">IF(AND(ISNUMBER(G2023),ISNUMBER(H2023)),IF(G2023&gt;0,H2023/G2023,""),"")</f>
        <v>0</v>
      </c>
      <c r="K2023" s="77"/>
      <c r="L2023" s="76" t="str">
        <f aca="false">IF(OR(G2023="",H2023=""),"Data tidak lengkap",IF(AND(G2023=0,H2023=0),IF(AND(F2023="",K2023=""),"Tidak dibuka","Tutup"),IF(H2023&gt;G2023,"Lebih kapasitas",IF(H2023=G2023,"Penuh",IF(H2023=0,IF(F2023="","Slot kosong","Belum terisi"),"Sebagian")))))</f>
        <v>Belum terisi</v>
      </c>
      <c r="M2023" s="79" t="str">
        <f aca="false">IF(L2023="Tidak dibuka","–",IF(F2023="","(tanpa age group)",F2023)&amp;"  "&amp;IF(H2023="","?",H2023)&amp;"/"&amp;IF(G2023="","?",G2023)&amp;CHAR(10)&amp;IF(K2023="","coach: –","coach: "&amp;K2023))</f>
        <v>Baby  0/5
coach: –</v>
      </c>
    </row>
    <row r="2024" customFormat="false" ht="22.35" hidden="false" customHeight="false" outlineLevel="0" collapsed="false">
      <c r="A2024" s="76" t="str">
        <f aca="false">B2024&amp;"|"&amp;C2024&amp;"|"&amp;D2024&amp;"|"&amp;E2024</f>
        <v>HIB|1|Senin|14:00</v>
      </c>
      <c r="B2024" s="76" t="s">
        <v>71</v>
      </c>
      <c r="C2024" s="76" t="n">
        <v>1</v>
      </c>
      <c r="D2024" s="76" t="s">
        <v>90</v>
      </c>
      <c r="E2024" s="76" t="s">
        <v>117</v>
      </c>
      <c r="F2024" s="77" t="s">
        <v>242</v>
      </c>
      <c r="G2024" s="77" t="n">
        <v>5</v>
      </c>
      <c r="H2024" s="77" t="n">
        <v>0</v>
      </c>
      <c r="I2024" s="76" t="n">
        <f aca="false">IF(AND(ISNUMBER(G2024),ISNUMBER(H2024)),MAX(G2024-H2024,0),"")</f>
        <v>5</v>
      </c>
      <c r="J2024" s="78" t="n">
        <f aca="false">IF(AND(ISNUMBER(G2024),ISNUMBER(H2024)),IF(G2024&gt;0,H2024/G2024,""),"")</f>
        <v>0</v>
      </c>
      <c r="K2024" s="77"/>
      <c r="L2024" s="76" t="str">
        <f aca="false">IF(OR(G2024="",H2024=""),"Data tidak lengkap",IF(AND(G2024=0,H2024=0),IF(AND(F2024="",K2024=""),"Tidak dibuka","Tutup"),IF(H2024&gt;G2024,"Lebih kapasitas",IF(H2024=G2024,"Penuh",IF(H2024=0,IF(F2024="","Slot kosong","Belum terisi"),"Sebagian")))))</f>
        <v>Belum terisi</v>
      </c>
      <c r="M2024" s="79" t="str">
        <f aca="false">IF(L2024="Tidak dibuka","–",IF(F2024="","(tanpa age group)",F2024)&amp;"  "&amp;IF(H2024="","?",H2024)&amp;"/"&amp;IF(G2024="","?",G2024)&amp;CHAR(10)&amp;IF(K2024="","coach: –","coach: "&amp;K2024))</f>
        <v>Baby  0/5
coach: –</v>
      </c>
    </row>
    <row r="2025" customFormat="false" ht="22.35" hidden="false" customHeight="false" outlineLevel="0" collapsed="false">
      <c r="A2025" s="76" t="str">
        <f aca="false">B2025&amp;"|"&amp;C2025&amp;"|"&amp;D2025&amp;"|"&amp;E2025</f>
        <v>HIB|1|Senin|14:45</v>
      </c>
      <c r="B2025" s="76" t="s">
        <v>71</v>
      </c>
      <c r="C2025" s="76" t="n">
        <v>1</v>
      </c>
      <c r="D2025" s="76" t="s">
        <v>90</v>
      </c>
      <c r="E2025" s="76" t="s">
        <v>118</v>
      </c>
      <c r="F2025" s="77" t="s">
        <v>242</v>
      </c>
      <c r="G2025" s="77" t="n">
        <v>5</v>
      </c>
      <c r="H2025" s="77" t="n">
        <v>0</v>
      </c>
      <c r="I2025" s="76" t="n">
        <f aca="false">IF(AND(ISNUMBER(G2025),ISNUMBER(H2025)),MAX(G2025-H2025,0),"")</f>
        <v>5</v>
      </c>
      <c r="J2025" s="78" t="n">
        <f aca="false">IF(AND(ISNUMBER(G2025),ISNUMBER(H2025)),IF(G2025&gt;0,H2025/G2025,""),"")</f>
        <v>0</v>
      </c>
      <c r="K2025" s="77"/>
      <c r="L2025" s="76" t="str">
        <f aca="false">IF(OR(G2025="",H2025=""),"Data tidak lengkap",IF(AND(G2025=0,H2025=0),IF(AND(F2025="",K2025=""),"Tidak dibuka","Tutup"),IF(H2025&gt;G2025,"Lebih kapasitas",IF(H2025=G2025,"Penuh",IF(H2025=0,IF(F2025="","Slot kosong","Belum terisi"),"Sebagian")))))</f>
        <v>Belum terisi</v>
      </c>
      <c r="M2025" s="79" t="str">
        <f aca="false">IF(L2025="Tidak dibuka","–",IF(F2025="","(tanpa age group)",F2025)&amp;"  "&amp;IF(H2025="","?",H2025)&amp;"/"&amp;IF(G2025="","?",G2025)&amp;CHAR(10)&amp;IF(K2025="","coach: –","coach: "&amp;K2025))</f>
        <v>Baby  0/5
coach: –</v>
      </c>
    </row>
    <row r="2026" customFormat="false" ht="22.35" hidden="false" customHeight="false" outlineLevel="0" collapsed="false">
      <c r="A2026" s="76" t="str">
        <f aca="false">B2026&amp;"|"&amp;C2026&amp;"|"&amp;D2026&amp;"|"&amp;E2026</f>
        <v>HIB|1|Senin|15:30</v>
      </c>
      <c r="B2026" s="76" t="s">
        <v>71</v>
      </c>
      <c r="C2026" s="76" t="n">
        <v>1</v>
      </c>
      <c r="D2026" s="76" t="s">
        <v>90</v>
      </c>
      <c r="E2026" s="76" t="s">
        <v>119</v>
      </c>
      <c r="F2026" s="77" t="s">
        <v>242</v>
      </c>
      <c r="G2026" s="77" t="n">
        <v>5</v>
      </c>
      <c r="H2026" s="77" t="n">
        <v>0</v>
      </c>
      <c r="I2026" s="76" t="n">
        <f aca="false">IF(AND(ISNUMBER(G2026),ISNUMBER(H2026)),MAX(G2026-H2026,0),"")</f>
        <v>5</v>
      </c>
      <c r="J2026" s="78" t="n">
        <f aca="false">IF(AND(ISNUMBER(G2026),ISNUMBER(H2026)),IF(G2026&gt;0,H2026/G2026,""),"")</f>
        <v>0</v>
      </c>
      <c r="K2026" s="77"/>
      <c r="L2026" s="76" t="str">
        <f aca="false">IF(OR(G2026="",H2026=""),"Data tidak lengkap",IF(AND(G2026=0,H2026=0),IF(AND(F2026="",K2026=""),"Tidak dibuka","Tutup"),IF(H2026&gt;G2026,"Lebih kapasitas",IF(H2026=G2026,"Penuh",IF(H2026=0,IF(F2026="","Slot kosong","Belum terisi"),"Sebagian")))))</f>
        <v>Belum terisi</v>
      </c>
      <c r="M2026" s="79" t="str">
        <f aca="false">IF(L2026="Tidak dibuka","–",IF(F2026="","(tanpa age group)",F2026)&amp;"  "&amp;IF(H2026="","?",H2026)&amp;"/"&amp;IF(G2026="","?",G2026)&amp;CHAR(10)&amp;IF(K2026="","coach: –","coach: "&amp;K2026))</f>
        <v>Baby  0/5
coach: –</v>
      </c>
    </row>
    <row r="2027" customFormat="false" ht="22.35" hidden="false" customHeight="false" outlineLevel="0" collapsed="false">
      <c r="A2027" s="76" t="str">
        <f aca="false">B2027&amp;"|"&amp;C2027&amp;"|"&amp;D2027&amp;"|"&amp;E2027</f>
        <v>HIB|1|Senin|16:15</v>
      </c>
      <c r="B2027" s="76" t="s">
        <v>71</v>
      </c>
      <c r="C2027" s="76" t="n">
        <v>1</v>
      </c>
      <c r="D2027" s="76" t="s">
        <v>90</v>
      </c>
      <c r="E2027" s="76" t="s">
        <v>120</v>
      </c>
      <c r="F2027" s="77" t="s">
        <v>242</v>
      </c>
      <c r="G2027" s="77" t="n">
        <v>5</v>
      </c>
      <c r="H2027" s="77" t="n">
        <v>0</v>
      </c>
      <c r="I2027" s="76" t="n">
        <f aca="false">IF(AND(ISNUMBER(G2027),ISNUMBER(H2027)),MAX(G2027-H2027,0),"")</f>
        <v>5</v>
      </c>
      <c r="J2027" s="78" t="n">
        <f aca="false">IF(AND(ISNUMBER(G2027),ISNUMBER(H2027)),IF(G2027&gt;0,H2027/G2027,""),"")</f>
        <v>0</v>
      </c>
      <c r="K2027" s="77"/>
      <c r="L2027" s="76" t="str">
        <f aca="false">IF(OR(G2027="",H2027=""),"Data tidak lengkap",IF(AND(G2027=0,H2027=0),IF(AND(F2027="",K2027=""),"Tidak dibuka","Tutup"),IF(H2027&gt;G2027,"Lebih kapasitas",IF(H2027=G2027,"Penuh",IF(H2027=0,IF(F2027="","Slot kosong","Belum terisi"),"Sebagian")))))</f>
        <v>Belum terisi</v>
      </c>
      <c r="M2027" s="79" t="str">
        <f aca="false">IF(L2027="Tidak dibuka","–",IF(F2027="","(tanpa age group)",F2027)&amp;"  "&amp;IF(H2027="","?",H2027)&amp;"/"&amp;IF(G2027="","?",G2027)&amp;CHAR(10)&amp;IF(K2027="","coach: –","coach: "&amp;K2027))</f>
        <v>Baby  0/5
coach: –</v>
      </c>
    </row>
    <row r="2028" customFormat="false" ht="22.35" hidden="false" customHeight="false" outlineLevel="0" collapsed="false">
      <c r="A2028" s="76" t="str">
        <f aca="false">B2028&amp;"|"&amp;C2028&amp;"|"&amp;D2028&amp;"|"&amp;E2028</f>
        <v>HIB|1|Senin|17:00</v>
      </c>
      <c r="B2028" s="76" t="s">
        <v>71</v>
      </c>
      <c r="C2028" s="76" t="n">
        <v>1</v>
      </c>
      <c r="D2028" s="76" t="s">
        <v>90</v>
      </c>
      <c r="E2028" s="76" t="s">
        <v>121</v>
      </c>
      <c r="F2028" s="77" t="s">
        <v>242</v>
      </c>
      <c r="G2028" s="77" t="n">
        <v>5</v>
      </c>
      <c r="H2028" s="77" t="n">
        <v>0</v>
      </c>
      <c r="I2028" s="76" t="n">
        <f aca="false">IF(AND(ISNUMBER(G2028),ISNUMBER(H2028)),MAX(G2028-H2028,0),"")</f>
        <v>5</v>
      </c>
      <c r="J2028" s="78" t="n">
        <f aca="false">IF(AND(ISNUMBER(G2028),ISNUMBER(H2028)),IF(G2028&gt;0,H2028/G2028,""),"")</f>
        <v>0</v>
      </c>
      <c r="K2028" s="77"/>
      <c r="L2028" s="76" t="str">
        <f aca="false">IF(OR(G2028="",H2028=""),"Data tidak lengkap",IF(AND(G2028=0,H2028=0),IF(AND(F2028="",K2028=""),"Tidak dibuka","Tutup"),IF(H2028&gt;G2028,"Lebih kapasitas",IF(H2028=G2028,"Penuh",IF(H2028=0,IF(F2028="","Slot kosong","Belum terisi"),"Sebagian")))))</f>
        <v>Belum terisi</v>
      </c>
      <c r="M2028" s="79" t="str">
        <f aca="false">IF(L2028="Tidak dibuka","–",IF(F2028="","(tanpa age group)",F2028)&amp;"  "&amp;IF(H2028="","?",H2028)&amp;"/"&amp;IF(G2028="","?",G2028)&amp;CHAR(10)&amp;IF(K2028="","coach: –","coach: "&amp;K2028))</f>
        <v>Baby  0/5
coach: –</v>
      </c>
    </row>
    <row r="2029" customFormat="false" ht="22.35" hidden="false" customHeight="false" outlineLevel="0" collapsed="false">
      <c r="A2029" s="76" t="str">
        <f aca="false">B2029&amp;"|"&amp;C2029&amp;"|"&amp;D2029&amp;"|"&amp;E2029</f>
        <v>HIB|1|Selasa|08:00</v>
      </c>
      <c r="B2029" s="76" t="s">
        <v>71</v>
      </c>
      <c r="C2029" s="76" t="n">
        <v>1</v>
      </c>
      <c r="D2029" s="76" t="s">
        <v>91</v>
      </c>
      <c r="E2029" s="76" t="s">
        <v>110</v>
      </c>
      <c r="F2029" s="77" t="s">
        <v>242</v>
      </c>
      <c r="G2029" s="77" t="n">
        <v>5</v>
      </c>
      <c r="H2029" s="77" t="n">
        <v>0</v>
      </c>
      <c r="I2029" s="76" t="n">
        <f aca="false">IF(AND(ISNUMBER(G2029),ISNUMBER(H2029)),MAX(G2029-H2029,0),"")</f>
        <v>5</v>
      </c>
      <c r="J2029" s="78" t="n">
        <f aca="false">IF(AND(ISNUMBER(G2029),ISNUMBER(H2029)),IF(G2029&gt;0,H2029/G2029,""),"")</f>
        <v>0</v>
      </c>
      <c r="K2029" s="77"/>
      <c r="L2029" s="76" t="str">
        <f aca="false">IF(OR(G2029="",H2029=""),"Data tidak lengkap",IF(AND(G2029=0,H2029=0),IF(AND(F2029="",K2029=""),"Tidak dibuka","Tutup"),IF(H2029&gt;G2029,"Lebih kapasitas",IF(H2029=G2029,"Penuh",IF(H2029=0,IF(F2029="","Slot kosong","Belum terisi"),"Sebagian")))))</f>
        <v>Belum terisi</v>
      </c>
      <c r="M2029" s="79" t="str">
        <f aca="false">IF(L2029="Tidak dibuka","–",IF(F2029="","(tanpa age group)",F2029)&amp;"  "&amp;IF(H2029="","?",H2029)&amp;"/"&amp;IF(G2029="","?",G2029)&amp;CHAR(10)&amp;IF(K2029="","coach: –","coach: "&amp;K2029))</f>
        <v>Baby  0/5
coach: –</v>
      </c>
    </row>
    <row r="2030" customFormat="false" ht="22.35" hidden="false" customHeight="false" outlineLevel="0" collapsed="false">
      <c r="A2030" s="76" t="str">
        <f aca="false">B2030&amp;"|"&amp;C2030&amp;"|"&amp;D2030&amp;"|"&amp;E2030</f>
        <v>HIB|1|Selasa|08:45</v>
      </c>
      <c r="B2030" s="76" t="s">
        <v>71</v>
      </c>
      <c r="C2030" s="76" t="n">
        <v>1</v>
      </c>
      <c r="D2030" s="76" t="s">
        <v>91</v>
      </c>
      <c r="E2030" s="76" t="s">
        <v>111</v>
      </c>
      <c r="F2030" s="77" t="s">
        <v>242</v>
      </c>
      <c r="G2030" s="77" t="n">
        <v>5</v>
      </c>
      <c r="H2030" s="77" t="n">
        <v>0</v>
      </c>
      <c r="I2030" s="76" t="n">
        <f aca="false">IF(AND(ISNUMBER(G2030),ISNUMBER(H2030)),MAX(G2030-H2030,0),"")</f>
        <v>5</v>
      </c>
      <c r="J2030" s="78" t="n">
        <f aca="false">IF(AND(ISNUMBER(G2030),ISNUMBER(H2030)),IF(G2030&gt;0,H2030/G2030,""),"")</f>
        <v>0</v>
      </c>
      <c r="K2030" s="77"/>
      <c r="L2030" s="76" t="str">
        <f aca="false">IF(OR(G2030="",H2030=""),"Data tidak lengkap",IF(AND(G2030=0,H2030=0),IF(AND(F2030="",K2030=""),"Tidak dibuka","Tutup"),IF(H2030&gt;G2030,"Lebih kapasitas",IF(H2030=G2030,"Penuh",IF(H2030=0,IF(F2030="","Slot kosong","Belum terisi"),"Sebagian")))))</f>
        <v>Belum terisi</v>
      </c>
      <c r="M2030" s="79" t="str">
        <f aca="false">IF(L2030="Tidak dibuka","–",IF(F2030="","(tanpa age group)",F2030)&amp;"  "&amp;IF(H2030="","?",H2030)&amp;"/"&amp;IF(G2030="","?",G2030)&amp;CHAR(10)&amp;IF(K2030="","coach: –","coach: "&amp;K2030))</f>
        <v>Baby  0/5
coach: –</v>
      </c>
    </row>
    <row r="2031" customFormat="false" ht="22.35" hidden="false" customHeight="false" outlineLevel="0" collapsed="false">
      <c r="A2031" s="76" t="str">
        <f aca="false">B2031&amp;"|"&amp;C2031&amp;"|"&amp;D2031&amp;"|"&amp;E2031</f>
        <v>HIB|1|Selasa|09:30</v>
      </c>
      <c r="B2031" s="76" t="s">
        <v>71</v>
      </c>
      <c r="C2031" s="76" t="n">
        <v>1</v>
      </c>
      <c r="D2031" s="76" t="s">
        <v>91</v>
      </c>
      <c r="E2031" s="76" t="s">
        <v>112</v>
      </c>
      <c r="F2031" s="77" t="s">
        <v>242</v>
      </c>
      <c r="G2031" s="77" t="n">
        <v>5</v>
      </c>
      <c r="H2031" s="77" t="n">
        <v>0</v>
      </c>
      <c r="I2031" s="76" t="n">
        <f aca="false">IF(AND(ISNUMBER(G2031),ISNUMBER(H2031)),MAX(G2031-H2031,0),"")</f>
        <v>5</v>
      </c>
      <c r="J2031" s="78" t="n">
        <f aca="false">IF(AND(ISNUMBER(G2031),ISNUMBER(H2031)),IF(G2031&gt;0,H2031/G2031,""),"")</f>
        <v>0</v>
      </c>
      <c r="K2031" s="77"/>
      <c r="L2031" s="76" t="str">
        <f aca="false">IF(OR(G2031="",H2031=""),"Data tidak lengkap",IF(AND(G2031=0,H2031=0),IF(AND(F2031="",K2031=""),"Tidak dibuka","Tutup"),IF(H2031&gt;G2031,"Lebih kapasitas",IF(H2031=G2031,"Penuh",IF(H2031=0,IF(F2031="","Slot kosong","Belum terisi"),"Sebagian")))))</f>
        <v>Belum terisi</v>
      </c>
      <c r="M2031" s="79" t="str">
        <f aca="false">IF(L2031="Tidak dibuka","–",IF(F2031="","(tanpa age group)",F2031)&amp;"  "&amp;IF(H2031="","?",H2031)&amp;"/"&amp;IF(G2031="","?",G2031)&amp;CHAR(10)&amp;IF(K2031="","coach: –","coach: "&amp;K2031))</f>
        <v>Baby  0/5
coach: –</v>
      </c>
    </row>
    <row r="2032" customFormat="false" ht="22.35" hidden="false" customHeight="false" outlineLevel="0" collapsed="false">
      <c r="A2032" s="76" t="str">
        <f aca="false">B2032&amp;"|"&amp;C2032&amp;"|"&amp;D2032&amp;"|"&amp;E2032</f>
        <v>HIB|1|Selasa|10:15</v>
      </c>
      <c r="B2032" s="76" t="s">
        <v>71</v>
      </c>
      <c r="C2032" s="76" t="n">
        <v>1</v>
      </c>
      <c r="D2032" s="76" t="s">
        <v>91</v>
      </c>
      <c r="E2032" s="76" t="s">
        <v>113</v>
      </c>
      <c r="F2032" s="77" t="s">
        <v>242</v>
      </c>
      <c r="G2032" s="77" t="n">
        <v>5</v>
      </c>
      <c r="H2032" s="77" t="n">
        <v>0</v>
      </c>
      <c r="I2032" s="76" t="n">
        <f aca="false">IF(AND(ISNUMBER(G2032),ISNUMBER(H2032)),MAX(G2032-H2032,0),"")</f>
        <v>5</v>
      </c>
      <c r="J2032" s="78" t="n">
        <f aca="false">IF(AND(ISNUMBER(G2032),ISNUMBER(H2032)),IF(G2032&gt;0,H2032/G2032,""),"")</f>
        <v>0</v>
      </c>
      <c r="K2032" s="77"/>
      <c r="L2032" s="76" t="str">
        <f aca="false">IF(OR(G2032="",H2032=""),"Data tidak lengkap",IF(AND(G2032=0,H2032=0),IF(AND(F2032="",K2032=""),"Tidak dibuka","Tutup"),IF(H2032&gt;G2032,"Lebih kapasitas",IF(H2032=G2032,"Penuh",IF(H2032=0,IF(F2032="","Slot kosong","Belum terisi"),"Sebagian")))))</f>
        <v>Belum terisi</v>
      </c>
      <c r="M2032" s="79" t="str">
        <f aca="false">IF(L2032="Tidak dibuka","–",IF(F2032="","(tanpa age group)",F2032)&amp;"  "&amp;IF(H2032="","?",H2032)&amp;"/"&amp;IF(G2032="","?",G2032)&amp;CHAR(10)&amp;IF(K2032="","coach: –","coach: "&amp;K2032))</f>
        <v>Baby  0/5
coach: –</v>
      </c>
    </row>
    <row r="2033" customFormat="false" ht="22.35" hidden="false" customHeight="false" outlineLevel="0" collapsed="false">
      <c r="A2033" s="76" t="str">
        <f aca="false">B2033&amp;"|"&amp;C2033&amp;"|"&amp;D2033&amp;"|"&amp;E2033</f>
        <v>HIB|1|Selasa|11:00</v>
      </c>
      <c r="B2033" s="76" t="s">
        <v>71</v>
      </c>
      <c r="C2033" s="76" t="n">
        <v>1</v>
      </c>
      <c r="D2033" s="76" t="s">
        <v>91</v>
      </c>
      <c r="E2033" s="76" t="s">
        <v>114</v>
      </c>
      <c r="F2033" s="77" t="s">
        <v>242</v>
      </c>
      <c r="G2033" s="77" t="n">
        <v>5</v>
      </c>
      <c r="H2033" s="77" t="n">
        <v>1</v>
      </c>
      <c r="I2033" s="76" t="n">
        <f aca="false">IF(AND(ISNUMBER(G2033),ISNUMBER(H2033)),MAX(G2033-H2033,0),"")</f>
        <v>4</v>
      </c>
      <c r="J2033" s="78" t="n">
        <f aca="false">IF(AND(ISNUMBER(G2033),ISNUMBER(H2033)),IF(G2033&gt;0,H2033/G2033,""),"")</f>
        <v>0.2</v>
      </c>
      <c r="K2033" s="77" t="s">
        <v>487</v>
      </c>
      <c r="L2033" s="76" t="str">
        <f aca="false">IF(OR(G2033="",H2033=""),"Data tidak lengkap",IF(AND(G2033=0,H2033=0),IF(AND(F2033="",K2033=""),"Tidak dibuka","Tutup"),IF(H2033&gt;G2033,"Lebih kapasitas",IF(H2033=G2033,"Penuh",IF(H2033=0,IF(F2033="","Slot kosong","Belum terisi"),"Sebagian")))))</f>
        <v>Sebagian</v>
      </c>
      <c r="M2033" s="79" t="str">
        <f aca="false">IF(L2033="Tidak dibuka","–",IF(F2033="","(tanpa age group)",F2033)&amp;"  "&amp;IF(H2033="","?",H2033)&amp;"/"&amp;IF(G2033="","?",G2033)&amp;CHAR(10)&amp;IF(K2033="","coach: –","coach: "&amp;K2033))</f>
        <v>Baby  1/5
coach: Shabrina</v>
      </c>
    </row>
    <row r="2034" customFormat="false" ht="22.35" hidden="false" customHeight="false" outlineLevel="0" collapsed="false">
      <c r="A2034" s="76" t="str">
        <f aca="false">B2034&amp;"|"&amp;C2034&amp;"|"&amp;D2034&amp;"|"&amp;E2034</f>
        <v>HIB|1|Selasa|11:45</v>
      </c>
      <c r="B2034" s="76" t="s">
        <v>71</v>
      </c>
      <c r="C2034" s="76" t="n">
        <v>1</v>
      </c>
      <c r="D2034" s="76" t="s">
        <v>91</v>
      </c>
      <c r="E2034" s="76" t="s">
        <v>115</v>
      </c>
      <c r="F2034" s="77" t="s">
        <v>242</v>
      </c>
      <c r="G2034" s="77" t="n">
        <v>5</v>
      </c>
      <c r="H2034" s="77" t="n">
        <v>0</v>
      </c>
      <c r="I2034" s="76" t="n">
        <f aca="false">IF(AND(ISNUMBER(G2034),ISNUMBER(H2034)),MAX(G2034-H2034,0),"")</f>
        <v>5</v>
      </c>
      <c r="J2034" s="78" t="n">
        <f aca="false">IF(AND(ISNUMBER(G2034),ISNUMBER(H2034)),IF(G2034&gt;0,H2034/G2034,""),"")</f>
        <v>0</v>
      </c>
      <c r="K2034" s="77"/>
      <c r="L2034" s="76" t="str">
        <f aca="false">IF(OR(G2034="",H2034=""),"Data tidak lengkap",IF(AND(G2034=0,H2034=0),IF(AND(F2034="",K2034=""),"Tidak dibuka","Tutup"),IF(H2034&gt;G2034,"Lebih kapasitas",IF(H2034=G2034,"Penuh",IF(H2034=0,IF(F2034="","Slot kosong","Belum terisi"),"Sebagian")))))</f>
        <v>Belum terisi</v>
      </c>
      <c r="M2034" s="79" t="str">
        <f aca="false">IF(L2034="Tidak dibuka","–",IF(F2034="","(tanpa age group)",F2034)&amp;"  "&amp;IF(H2034="","?",H2034)&amp;"/"&amp;IF(G2034="","?",G2034)&amp;CHAR(10)&amp;IF(K2034="","coach: –","coach: "&amp;K2034))</f>
        <v>Baby  0/5
coach: –</v>
      </c>
    </row>
    <row r="2035" customFormat="false" ht="22.35" hidden="false" customHeight="false" outlineLevel="0" collapsed="false">
      <c r="A2035" s="76" t="str">
        <f aca="false">B2035&amp;"|"&amp;C2035&amp;"|"&amp;D2035&amp;"|"&amp;E2035</f>
        <v>HIB|1|Selasa|13:15</v>
      </c>
      <c r="B2035" s="76" t="s">
        <v>71</v>
      </c>
      <c r="C2035" s="76" t="n">
        <v>1</v>
      </c>
      <c r="D2035" s="76" t="s">
        <v>91</v>
      </c>
      <c r="E2035" s="76" t="s">
        <v>116</v>
      </c>
      <c r="F2035" s="77" t="s">
        <v>242</v>
      </c>
      <c r="G2035" s="77" t="n">
        <v>5</v>
      </c>
      <c r="H2035" s="77" t="n">
        <v>0</v>
      </c>
      <c r="I2035" s="76" t="n">
        <f aca="false">IF(AND(ISNUMBER(G2035),ISNUMBER(H2035)),MAX(G2035-H2035,0),"")</f>
        <v>5</v>
      </c>
      <c r="J2035" s="78" t="n">
        <f aca="false">IF(AND(ISNUMBER(G2035),ISNUMBER(H2035)),IF(G2035&gt;0,H2035/G2035,""),"")</f>
        <v>0</v>
      </c>
      <c r="K2035" s="77"/>
      <c r="L2035" s="76" t="str">
        <f aca="false">IF(OR(G2035="",H2035=""),"Data tidak lengkap",IF(AND(G2035=0,H2035=0),IF(AND(F2035="",K2035=""),"Tidak dibuka","Tutup"),IF(H2035&gt;G2035,"Lebih kapasitas",IF(H2035=G2035,"Penuh",IF(H2035=0,IF(F2035="","Slot kosong","Belum terisi"),"Sebagian")))))</f>
        <v>Belum terisi</v>
      </c>
      <c r="M2035" s="79" t="str">
        <f aca="false">IF(L2035="Tidak dibuka","–",IF(F2035="","(tanpa age group)",F2035)&amp;"  "&amp;IF(H2035="","?",H2035)&amp;"/"&amp;IF(G2035="","?",G2035)&amp;CHAR(10)&amp;IF(K2035="","coach: –","coach: "&amp;K2035))</f>
        <v>Baby  0/5
coach: –</v>
      </c>
    </row>
    <row r="2036" customFormat="false" ht="22.35" hidden="false" customHeight="false" outlineLevel="0" collapsed="false">
      <c r="A2036" s="76" t="str">
        <f aca="false">B2036&amp;"|"&amp;C2036&amp;"|"&amp;D2036&amp;"|"&amp;E2036</f>
        <v>HIB|1|Selasa|14:00</v>
      </c>
      <c r="B2036" s="76" t="s">
        <v>71</v>
      </c>
      <c r="C2036" s="76" t="n">
        <v>1</v>
      </c>
      <c r="D2036" s="76" t="s">
        <v>91</v>
      </c>
      <c r="E2036" s="76" t="s">
        <v>117</v>
      </c>
      <c r="F2036" s="77" t="s">
        <v>242</v>
      </c>
      <c r="G2036" s="77" t="n">
        <v>5</v>
      </c>
      <c r="H2036" s="77" t="n">
        <v>0</v>
      </c>
      <c r="I2036" s="76" t="n">
        <f aca="false">IF(AND(ISNUMBER(G2036),ISNUMBER(H2036)),MAX(G2036-H2036,0),"")</f>
        <v>5</v>
      </c>
      <c r="J2036" s="78" t="n">
        <f aca="false">IF(AND(ISNUMBER(G2036),ISNUMBER(H2036)),IF(G2036&gt;0,H2036/G2036,""),"")</f>
        <v>0</v>
      </c>
      <c r="K2036" s="77"/>
      <c r="L2036" s="76" t="str">
        <f aca="false">IF(OR(G2036="",H2036=""),"Data tidak lengkap",IF(AND(G2036=0,H2036=0),IF(AND(F2036="",K2036=""),"Tidak dibuka","Tutup"),IF(H2036&gt;G2036,"Lebih kapasitas",IF(H2036=G2036,"Penuh",IF(H2036=0,IF(F2036="","Slot kosong","Belum terisi"),"Sebagian")))))</f>
        <v>Belum terisi</v>
      </c>
      <c r="M2036" s="79" t="str">
        <f aca="false">IF(L2036="Tidak dibuka","–",IF(F2036="","(tanpa age group)",F2036)&amp;"  "&amp;IF(H2036="","?",H2036)&amp;"/"&amp;IF(G2036="","?",G2036)&amp;CHAR(10)&amp;IF(K2036="","coach: –","coach: "&amp;K2036))</f>
        <v>Baby  0/5
coach: –</v>
      </c>
    </row>
    <row r="2037" customFormat="false" ht="22.35" hidden="false" customHeight="false" outlineLevel="0" collapsed="false">
      <c r="A2037" s="76" t="str">
        <f aca="false">B2037&amp;"|"&amp;C2037&amp;"|"&amp;D2037&amp;"|"&amp;E2037</f>
        <v>HIB|1|Selasa|14:45</v>
      </c>
      <c r="B2037" s="76" t="s">
        <v>71</v>
      </c>
      <c r="C2037" s="76" t="n">
        <v>1</v>
      </c>
      <c r="D2037" s="76" t="s">
        <v>91</v>
      </c>
      <c r="E2037" s="76" t="s">
        <v>118</v>
      </c>
      <c r="F2037" s="77" t="s">
        <v>242</v>
      </c>
      <c r="G2037" s="77" t="n">
        <v>5</v>
      </c>
      <c r="H2037" s="77" t="n">
        <v>0</v>
      </c>
      <c r="I2037" s="76" t="n">
        <f aca="false">IF(AND(ISNUMBER(G2037),ISNUMBER(H2037)),MAX(G2037-H2037,0),"")</f>
        <v>5</v>
      </c>
      <c r="J2037" s="78" t="n">
        <f aca="false">IF(AND(ISNUMBER(G2037),ISNUMBER(H2037)),IF(G2037&gt;0,H2037/G2037,""),"")</f>
        <v>0</v>
      </c>
      <c r="K2037" s="77"/>
      <c r="L2037" s="76" t="str">
        <f aca="false">IF(OR(G2037="",H2037=""),"Data tidak lengkap",IF(AND(G2037=0,H2037=0),IF(AND(F2037="",K2037=""),"Tidak dibuka","Tutup"),IF(H2037&gt;G2037,"Lebih kapasitas",IF(H2037=G2037,"Penuh",IF(H2037=0,IF(F2037="","Slot kosong","Belum terisi"),"Sebagian")))))</f>
        <v>Belum terisi</v>
      </c>
      <c r="M2037" s="79" t="str">
        <f aca="false">IF(L2037="Tidak dibuka","–",IF(F2037="","(tanpa age group)",F2037)&amp;"  "&amp;IF(H2037="","?",H2037)&amp;"/"&amp;IF(G2037="","?",G2037)&amp;CHAR(10)&amp;IF(K2037="","coach: –","coach: "&amp;K2037))</f>
        <v>Baby  0/5
coach: –</v>
      </c>
    </row>
    <row r="2038" customFormat="false" ht="22.35" hidden="false" customHeight="false" outlineLevel="0" collapsed="false">
      <c r="A2038" s="76" t="str">
        <f aca="false">B2038&amp;"|"&amp;C2038&amp;"|"&amp;D2038&amp;"|"&amp;E2038</f>
        <v>HIB|1|Selasa|15:30</v>
      </c>
      <c r="B2038" s="76" t="s">
        <v>71</v>
      </c>
      <c r="C2038" s="76" t="n">
        <v>1</v>
      </c>
      <c r="D2038" s="76" t="s">
        <v>91</v>
      </c>
      <c r="E2038" s="76" t="s">
        <v>119</v>
      </c>
      <c r="F2038" s="77" t="s">
        <v>242</v>
      </c>
      <c r="G2038" s="77" t="n">
        <v>5</v>
      </c>
      <c r="H2038" s="77" t="n">
        <v>0</v>
      </c>
      <c r="I2038" s="76" t="n">
        <f aca="false">IF(AND(ISNUMBER(G2038),ISNUMBER(H2038)),MAX(G2038-H2038,0),"")</f>
        <v>5</v>
      </c>
      <c r="J2038" s="78" t="n">
        <f aca="false">IF(AND(ISNUMBER(G2038),ISNUMBER(H2038)),IF(G2038&gt;0,H2038/G2038,""),"")</f>
        <v>0</v>
      </c>
      <c r="K2038" s="77"/>
      <c r="L2038" s="76" t="str">
        <f aca="false">IF(OR(G2038="",H2038=""),"Data tidak lengkap",IF(AND(G2038=0,H2038=0),IF(AND(F2038="",K2038=""),"Tidak dibuka","Tutup"),IF(H2038&gt;G2038,"Lebih kapasitas",IF(H2038=G2038,"Penuh",IF(H2038=0,IF(F2038="","Slot kosong","Belum terisi"),"Sebagian")))))</f>
        <v>Belum terisi</v>
      </c>
      <c r="M2038" s="79" t="str">
        <f aca="false">IF(L2038="Tidak dibuka","–",IF(F2038="","(tanpa age group)",F2038)&amp;"  "&amp;IF(H2038="","?",H2038)&amp;"/"&amp;IF(G2038="","?",G2038)&amp;CHAR(10)&amp;IF(K2038="","coach: –","coach: "&amp;K2038))</f>
        <v>Baby  0/5
coach: –</v>
      </c>
    </row>
    <row r="2039" customFormat="false" ht="22.35" hidden="false" customHeight="false" outlineLevel="0" collapsed="false">
      <c r="A2039" s="76" t="str">
        <f aca="false">B2039&amp;"|"&amp;C2039&amp;"|"&amp;D2039&amp;"|"&amp;E2039</f>
        <v>HIB|1|Selasa|16:15</v>
      </c>
      <c r="B2039" s="76" t="s">
        <v>71</v>
      </c>
      <c r="C2039" s="76" t="n">
        <v>1</v>
      </c>
      <c r="D2039" s="76" t="s">
        <v>91</v>
      </c>
      <c r="E2039" s="76" t="s">
        <v>120</v>
      </c>
      <c r="F2039" s="77" t="s">
        <v>242</v>
      </c>
      <c r="G2039" s="77" t="n">
        <v>5</v>
      </c>
      <c r="H2039" s="77" t="n">
        <v>0</v>
      </c>
      <c r="I2039" s="76" t="n">
        <f aca="false">IF(AND(ISNUMBER(G2039),ISNUMBER(H2039)),MAX(G2039-H2039,0),"")</f>
        <v>5</v>
      </c>
      <c r="J2039" s="78" t="n">
        <f aca="false">IF(AND(ISNUMBER(G2039),ISNUMBER(H2039)),IF(G2039&gt;0,H2039/G2039,""),"")</f>
        <v>0</v>
      </c>
      <c r="K2039" s="77"/>
      <c r="L2039" s="76" t="str">
        <f aca="false">IF(OR(G2039="",H2039=""),"Data tidak lengkap",IF(AND(G2039=0,H2039=0),IF(AND(F2039="",K2039=""),"Tidak dibuka","Tutup"),IF(H2039&gt;G2039,"Lebih kapasitas",IF(H2039=G2039,"Penuh",IF(H2039=0,IF(F2039="","Slot kosong","Belum terisi"),"Sebagian")))))</f>
        <v>Belum terisi</v>
      </c>
      <c r="M2039" s="79" t="str">
        <f aca="false">IF(L2039="Tidak dibuka","–",IF(F2039="","(tanpa age group)",F2039)&amp;"  "&amp;IF(H2039="","?",H2039)&amp;"/"&amp;IF(G2039="","?",G2039)&amp;CHAR(10)&amp;IF(K2039="","coach: –","coach: "&amp;K2039))</f>
        <v>Baby  0/5
coach: –</v>
      </c>
    </row>
    <row r="2040" customFormat="false" ht="22.35" hidden="false" customHeight="false" outlineLevel="0" collapsed="false">
      <c r="A2040" s="76" t="str">
        <f aca="false">B2040&amp;"|"&amp;C2040&amp;"|"&amp;D2040&amp;"|"&amp;E2040</f>
        <v>HIB|1|Selasa|17:00</v>
      </c>
      <c r="B2040" s="76" t="s">
        <v>71</v>
      </c>
      <c r="C2040" s="76" t="n">
        <v>1</v>
      </c>
      <c r="D2040" s="76" t="s">
        <v>91</v>
      </c>
      <c r="E2040" s="76" t="s">
        <v>121</v>
      </c>
      <c r="F2040" s="77" t="s">
        <v>242</v>
      </c>
      <c r="G2040" s="77" t="n">
        <v>5</v>
      </c>
      <c r="H2040" s="77" t="n">
        <v>0</v>
      </c>
      <c r="I2040" s="76" t="n">
        <f aca="false">IF(AND(ISNUMBER(G2040),ISNUMBER(H2040)),MAX(G2040-H2040,0),"")</f>
        <v>5</v>
      </c>
      <c r="J2040" s="78" t="n">
        <f aca="false">IF(AND(ISNUMBER(G2040),ISNUMBER(H2040)),IF(G2040&gt;0,H2040/G2040,""),"")</f>
        <v>0</v>
      </c>
      <c r="K2040" s="77"/>
      <c r="L2040" s="76" t="str">
        <f aca="false">IF(OR(G2040="",H2040=""),"Data tidak lengkap",IF(AND(G2040=0,H2040=0),IF(AND(F2040="",K2040=""),"Tidak dibuka","Tutup"),IF(H2040&gt;G2040,"Lebih kapasitas",IF(H2040=G2040,"Penuh",IF(H2040=0,IF(F2040="","Slot kosong","Belum terisi"),"Sebagian")))))</f>
        <v>Belum terisi</v>
      </c>
      <c r="M2040" s="79" t="str">
        <f aca="false">IF(L2040="Tidak dibuka","–",IF(F2040="","(tanpa age group)",F2040)&amp;"  "&amp;IF(H2040="","?",H2040)&amp;"/"&amp;IF(G2040="","?",G2040)&amp;CHAR(10)&amp;IF(K2040="","coach: –","coach: "&amp;K2040))</f>
        <v>Baby  0/5
coach: –</v>
      </c>
    </row>
    <row r="2041" customFormat="false" ht="22.35" hidden="false" customHeight="false" outlineLevel="0" collapsed="false">
      <c r="A2041" s="76" t="str">
        <f aca="false">B2041&amp;"|"&amp;C2041&amp;"|"&amp;D2041&amp;"|"&amp;E2041</f>
        <v>HIB|1|Rabu|08:00</v>
      </c>
      <c r="B2041" s="76" t="s">
        <v>71</v>
      </c>
      <c r="C2041" s="76" t="n">
        <v>1</v>
      </c>
      <c r="D2041" s="76" t="s">
        <v>92</v>
      </c>
      <c r="E2041" s="76" t="s">
        <v>110</v>
      </c>
      <c r="F2041" s="77" t="s">
        <v>242</v>
      </c>
      <c r="G2041" s="77" t="n">
        <v>5</v>
      </c>
      <c r="H2041" s="77" t="n">
        <v>0</v>
      </c>
      <c r="I2041" s="76" t="n">
        <f aca="false">IF(AND(ISNUMBER(G2041),ISNUMBER(H2041)),MAX(G2041-H2041,0),"")</f>
        <v>5</v>
      </c>
      <c r="J2041" s="78" t="n">
        <f aca="false">IF(AND(ISNUMBER(G2041),ISNUMBER(H2041)),IF(G2041&gt;0,H2041/G2041,""),"")</f>
        <v>0</v>
      </c>
      <c r="K2041" s="77"/>
      <c r="L2041" s="76" t="str">
        <f aca="false">IF(OR(G2041="",H2041=""),"Data tidak lengkap",IF(AND(G2041=0,H2041=0),IF(AND(F2041="",K2041=""),"Tidak dibuka","Tutup"),IF(H2041&gt;G2041,"Lebih kapasitas",IF(H2041=G2041,"Penuh",IF(H2041=0,IF(F2041="","Slot kosong","Belum terisi"),"Sebagian")))))</f>
        <v>Belum terisi</v>
      </c>
      <c r="M2041" s="79" t="str">
        <f aca="false">IF(L2041="Tidak dibuka","–",IF(F2041="","(tanpa age group)",F2041)&amp;"  "&amp;IF(H2041="","?",H2041)&amp;"/"&amp;IF(G2041="","?",G2041)&amp;CHAR(10)&amp;IF(K2041="","coach: –","coach: "&amp;K2041))</f>
        <v>Baby  0/5
coach: –</v>
      </c>
    </row>
    <row r="2042" customFormat="false" ht="22.35" hidden="false" customHeight="false" outlineLevel="0" collapsed="false">
      <c r="A2042" s="76" t="str">
        <f aca="false">B2042&amp;"|"&amp;C2042&amp;"|"&amp;D2042&amp;"|"&amp;E2042</f>
        <v>HIB|1|Rabu|08:45</v>
      </c>
      <c r="B2042" s="76" t="s">
        <v>71</v>
      </c>
      <c r="C2042" s="76" t="n">
        <v>1</v>
      </c>
      <c r="D2042" s="76" t="s">
        <v>92</v>
      </c>
      <c r="E2042" s="76" t="s">
        <v>111</v>
      </c>
      <c r="F2042" s="77" t="s">
        <v>242</v>
      </c>
      <c r="G2042" s="77" t="n">
        <v>5</v>
      </c>
      <c r="H2042" s="77" t="n">
        <v>0</v>
      </c>
      <c r="I2042" s="76" t="n">
        <f aca="false">IF(AND(ISNUMBER(G2042),ISNUMBER(H2042)),MAX(G2042-H2042,0),"")</f>
        <v>5</v>
      </c>
      <c r="J2042" s="78" t="n">
        <f aca="false">IF(AND(ISNUMBER(G2042),ISNUMBER(H2042)),IF(G2042&gt;0,H2042/G2042,""),"")</f>
        <v>0</v>
      </c>
      <c r="K2042" s="77"/>
      <c r="L2042" s="76" t="str">
        <f aca="false">IF(OR(G2042="",H2042=""),"Data tidak lengkap",IF(AND(G2042=0,H2042=0),IF(AND(F2042="",K2042=""),"Tidak dibuka","Tutup"),IF(H2042&gt;G2042,"Lebih kapasitas",IF(H2042=G2042,"Penuh",IF(H2042=0,IF(F2042="","Slot kosong","Belum terisi"),"Sebagian")))))</f>
        <v>Belum terisi</v>
      </c>
      <c r="M2042" s="79" t="str">
        <f aca="false">IF(L2042="Tidak dibuka","–",IF(F2042="","(tanpa age group)",F2042)&amp;"  "&amp;IF(H2042="","?",H2042)&amp;"/"&amp;IF(G2042="","?",G2042)&amp;CHAR(10)&amp;IF(K2042="","coach: –","coach: "&amp;K2042))</f>
        <v>Baby  0/5
coach: –</v>
      </c>
    </row>
    <row r="2043" customFormat="false" ht="22.35" hidden="false" customHeight="false" outlineLevel="0" collapsed="false">
      <c r="A2043" s="76" t="str">
        <f aca="false">B2043&amp;"|"&amp;C2043&amp;"|"&amp;D2043&amp;"|"&amp;E2043</f>
        <v>HIB|1|Rabu|09:30</v>
      </c>
      <c r="B2043" s="76" t="s">
        <v>71</v>
      </c>
      <c r="C2043" s="76" t="n">
        <v>1</v>
      </c>
      <c r="D2043" s="76" t="s">
        <v>92</v>
      </c>
      <c r="E2043" s="76" t="s">
        <v>112</v>
      </c>
      <c r="F2043" s="77" t="s">
        <v>242</v>
      </c>
      <c r="G2043" s="77" t="n">
        <v>5</v>
      </c>
      <c r="H2043" s="77" t="n">
        <v>0</v>
      </c>
      <c r="I2043" s="76" t="n">
        <f aca="false">IF(AND(ISNUMBER(G2043),ISNUMBER(H2043)),MAX(G2043-H2043,0),"")</f>
        <v>5</v>
      </c>
      <c r="J2043" s="78" t="n">
        <f aca="false">IF(AND(ISNUMBER(G2043),ISNUMBER(H2043)),IF(G2043&gt;0,H2043/G2043,""),"")</f>
        <v>0</v>
      </c>
      <c r="K2043" s="77"/>
      <c r="L2043" s="76" t="str">
        <f aca="false">IF(OR(G2043="",H2043=""),"Data tidak lengkap",IF(AND(G2043=0,H2043=0),IF(AND(F2043="",K2043=""),"Tidak dibuka","Tutup"),IF(H2043&gt;G2043,"Lebih kapasitas",IF(H2043=G2043,"Penuh",IF(H2043=0,IF(F2043="","Slot kosong","Belum terisi"),"Sebagian")))))</f>
        <v>Belum terisi</v>
      </c>
      <c r="M2043" s="79" t="str">
        <f aca="false">IF(L2043="Tidak dibuka","–",IF(F2043="","(tanpa age group)",F2043)&amp;"  "&amp;IF(H2043="","?",H2043)&amp;"/"&amp;IF(G2043="","?",G2043)&amp;CHAR(10)&amp;IF(K2043="","coach: –","coach: "&amp;K2043))</f>
        <v>Baby  0/5
coach: –</v>
      </c>
    </row>
    <row r="2044" customFormat="false" ht="22.35" hidden="false" customHeight="false" outlineLevel="0" collapsed="false">
      <c r="A2044" s="76" t="str">
        <f aca="false">B2044&amp;"|"&amp;C2044&amp;"|"&amp;D2044&amp;"|"&amp;E2044</f>
        <v>HIB|1|Rabu|10:15</v>
      </c>
      <c r="B2044" s="76" t="s">
        <v>71</v>
      </c>
      <c r="C2044" s="76" t="n">
        <v>1</v>
      </c>
      <c r="D2044" s="76" t="s">
        <v>92</v>
      </c>
      <c r="E2044" s="76" t="s">
        <v>113</v>
      </c>
      <c r="F2044" s="77" t="s">
        <v>242</v>
      </c>
      <c r="G2044" s="77" t="n">
        <v>5</v>
      </c>
      <c r="H2044" s="77" t="n">
        <v>0</v>
      </c>
      <c r="I2044" s="76" t="n">
        <f aca="false">IF(AND(ISNUMBER(G2044),ISNUMBER(H2044)),MAX(G2044-H2044,0),"")</f>
        <v>5</v>
      </c>
      <c r="J2044" s="78" t="n">
        <f aca="false">IF(AND(ISNUMBER(G2044),ISNUMBER(H2044)),IF(G2044&gt;0,H2044/G2044,""),"")</f>
        <v>0</v>
      </c>
      <c r="K2044" s="77"/>
      <c r="L2044" s="76" t="str">
        <f aca="false">IF(OR(G2044="",H2044=""),"Data tidak lengkap",IF(AND(G2044=0,H2044=0),IF(AND(F2044="",K2044=""),"Tidak dibuka","Tutup"),IF(H2044&gt;G2044,"Lebih kapasitas",IF(H2044=G2044,"Penuh",IF(H2044=0,IF(F2044="","Slot kosong","Belum terisi"),"Sebagian")))))</f>
        <v>Belum terisi</v>
      </c>
      <c r="M2044" s="79" t="str">
        <f aca="false">IF(L2044="Tidak dibuka","–",IF(F2044="","(tanpa age group)",F2044)&amp;"  "&amp;IF(H2044="","?",H2044)&amp;"/"&amp;IF(G2044="","?",G2044)&amp;CHAR(10)&amp;IF(K2044="","coach: –","coach: "&amp;K2044))</f>
        <v>Baby  0/5
coach: –</v>
      </c>
    </row>
    <row r="2045" customFormat="false" ht="22.35" hidden="false" customHeight="false" outlineLevel="0" collapsed="false">
      <c r="A2045" s="76" t="str">
        <f aca="false">B2045&amp;"|"&amp;C2045&amp;"|"&amp;D2045&amp;"|"&amp;E2045</f>
        <v>HIB|1|Rabu|11:00</v>
      </c>
      <c r="B2045" s="76" t="s">
        <v>71</v>
      </c>
      <c r="C2045" s="76" t="n">
        <v>1</v>
      </c>
      <c r="D2045" s="76" t="s">
        <v>92</v>
      </c>
      <c r="E2045" s="76" t="s">
        <v>114</v>
      </c>
      <c r="F2045" s="77" t="s">
        <v>242</v>
      </c>
      <c r="G2045" s="77" t="n">
        <v>5</v>
      </c>
      <c r="H2045" s="77" t="n">
        <v>1</v>
      </c>
      <c r="I2045" s="76" t="n">
        <f aca="false">IF(AND(ISNUMBER(G2045),ISNUMBER(H2045)),MAX(G2045-H2045,0),"")</f>
        <v>4</v>
      </c>
      <c r="J2045" s="78" t="n">
        <f aca="false">IF(AND(ISNUMBER(G2045),ISNUMBER(H2045)),IF(G2045&gt;0,H2045/G2045,""),"")</f>
        <v>0.2</v>
      </c>
      <c r="K2045" s="77" t="s">
        <v>481</v>
      </c>
      <c r="L2045" s="76" t="str">
        <f aca="false">IF(OR(G2045="",H2045=""),"Data tidak lengkap",IF(AND(G2045=0,H2045=0),IF(AND(F2045="",K2045=""),"Tidak dibuka","Tutup"),IF(H2045&gt;G2045,"Lebih kapasitas",IF(H2045=G2045,"Penuh",IF(H2045=0,IF(F2045="","Slot kosong","Belum terisi"),"Sebagian")))))</f>
        <v>Sebagian</v>
      </c>
      <c r="M2045" s="79" t="str">
        <f aca="false">IF(L2045="Tidak dibuka","–",IF(F2045="","(tanpa age group)",F2045)&amp;"  "&amp;IF(H2045="","?",H2045)&amp;"/"&amp;IF(G2045="","?",G2045)&amp;CHAR(10)&amp;IF(K2045="","coach: –","coach: "&amp;K2045))</f>
        <v>Baby  1/5
coach: Rizky</v>
      </c>
    </row>
    <row r="2046" customFormat="false" ht="22.35" hidden="false" customHeight="false" outlineLevel="0" collapsed="false">
      <c r="A2046" s="76" t="str">
        <f aca="false">B2046&amp;"|"&amp;C2046&amp;"|"&amp;D2046&amp;"|"&amp;E2046</f>
        <v>HIB|1|Rabu|11:45</v>
      </c>
      <c r="B2046" s="76" t="s">
        <v>71</v>
      </c>
      <c r="C2046" s="76" t="n">
        <v>1</v>
      </c>
      <c r="D2046" s="76" t="s">
        <v>92</v>
      </c>
      <c r="E2046" s="76" t="s">
        <v>115</v>
      </c>
      <c r="F2046" s="77" t="s">
        <v>242</v>
      </c>
      <c r="G2046" s="77" t="n">
        <v>5</v>
      </c>
      <c r="H2046" s="77" t="n">
        <v>0</v>
      </c>
      <c r="I2046" s="76" t="n">
        <f aca="false">IF(AND(ISNUMBER(G2046),ISNUMBER(H2046)),MAX(G2046-H2046,0),"")</f>
        <v>5</v>
      </c>
      <c r="J2046" s="78" t="n">
        <f aca="false">IF(AND(ISNUMBER(G2046),ISNUMBER(H2046)),IF(G2046&gt;0,H2046/G2046,""),"")</f>
        <v>0</v>
      </c>
      <c r="K2046" s="77"/>
      <c r="L2046" s="76" t="str">
        <f aca="false">IF(OR(G2046="",H2046=""),"Data tidak lengkap",IF(AND(G2046=0,H2046=0),IF(AND(F2046="",K2046=""),"Tidak dibuka","Tutup"),IF(H2046&gt;G2046,"Lebih kapasitas",IF(H2046=G2046,"Penuh",IF(H2046=0,IF(F2046="","Slot kosong","Belum terisi"),"Sebagian")))))</f>
        <v>Belum terisi</v>
      </c>
      <c r="M2046" s="79" t="str">
        <f aca="false">IF(L2046="Tidak dibuka","–",IF(F2046="","(tanpa age group)",F2046)&amp;"  "&amp;IF(H2046="","?",H2046)&amp;"/"&amp;IF(G2046="","?",G2046)&amp;CHAR(10)&amp;IF(K2046="","coach: –","coach: "&amp;K2046))</f>
        <v>Baby  0/5
coach: –</v>
      </c>
    </row>
    <row r="2047" customFormat="false" ht="22.35" hidden="false" customHeight="false" outlineLevel="0" collapsed="false">
      <c r="A2047" s="76" t="str">
        <f aca="false">B2047&amp;"|"&amp;C2047&amp;"|"&amp;D2047&amp;"|"&amp;E2047</f>
        <v>HIB|1|Rabu|13:15</v>
      </c>
      <c r="B2047" s="76" t="s">
        <v>71</v>
      </c>
      <c r="C2047" s="76" t="n">
        <v>1</v>
      </c>
      <c r="D2047" s="76" t="s">
        <v>92</v>
      </c>
      <c r="E2047" s="76" t="s">
        <v>116</v>
      </c>
      <c r="F2047" s="77" t="s">
        <v>242</v>
      </c>
      <c r="G2047" s="77" t="n">
        <v>5</v>
      </c>
      <c r="H2047" s="77" t="n">
        <v>0</v>
      </c>
      <c r="I2047" s="76" t="n">
        <f aca="false">IF(AND(ISNUMBER(G2047),ISNUMBER(H2047)),MAX(G2047-H2047,0),"")</f>
        <v>5</v>
      </c>
      <c r="J2047" s="78" t="n">
        <f aca="false">IF(AND(ISNUMBER(G2047),ISNUMBER(H2047)),IF(G2047&gt;0,H2047/G2047,""),"")</f>
        <v>0</v>
      </c>
      <c r="K2047" s="77"/>
      <c r="L2047" s="76" t="str">
        <f aca="false">IF(OR(G2047="",H2047=""),"Data tidak lengkap",IF(AND(G2047=0,H2047=0),IF(AND(F2047="",K2047=""),"Tidak dibuka","Tutup"),IF(H2047&gt;G2047,"Lebih kapasitas",IF(H2047=G2047,"Penuh",IF(H2047=0,IF(F2047="","Slot kosong","Belum terisi"),"Sebagian")))))</f>
        <v>Belum terisi</v>
      </c>
      <c r="M2047" s="79" t="str">
        <f aca="false">IF(L2047="Tidak dibuka","–",IF(F2047="","(tanpa age group)",F2047)&amp;"  "&amp;IF(H2047="","?",H2047)&amp;"/"&amp;IF(G2047="","?",G2047)&amp;CHAR(10)&amp;IF(K2047="","coach: –","coach: "&amp;K2047))</f>
        <v>Baby  0/5
coach: –</v>
      </c>
    </row>
    <row r="2048" customFormat="false" ht="22.35" hidden="false" customHeight="false" outlineLevel="0" collapsed="false">
      <c r="A2048" s="76" t="str">
        <f aca="false">B2048&amp;"|"&amp;C2048&amp;"|"&amp;D2048&amp;"|"&amp;E2048</f>
        <v>HIB|1|Rabu|14:00</v>
      </c>
      <c r="B2048" s="76" t="s">
        <v>71</v>
      </c>
      <c r="C2048" s="76" t="n">
        <v>1</v>
      </c>
      <c r="D2048" s="76" t="s">
        <v>92</v>
      </c>
      <c r="E2048" s="76" t="s">
        <v>117</v>
      </c>
      <c r="F2048" s="77" t="s">
        <v>242</v>
      </c>
      <c r="G2048" s="77" t="n">
        <v>5</v>
      </c>
      <c r="H2048" s="77" t="n">
        <v>0</v>
      </c>
      <c r="I2048" s="76" t="n">
        <f aca="false">IF(AND(ISNUMBER(G2048),ISNUMBER(H2048)),MAX(G2048-H2048,0),"")</f>
        <v>5</v>
      </c>
      <c r="J2048" s="78" t="n">
        <f aca="false">IF(AND(ISNUMBER(G2048),ISNUMBER(H2048)),IF(G2048&gt;0,H2048/G2048,""),"")</f>
        <v>0</v>
      </c>
      <c r="K2048" s="77"/>
      <c r="L2048" s="76" t="str">
        <f aca="false">IF(OR(G2048="",H2048=""),"Data tidak lengkap",IF(AND(G2048=0,H2048=0),IF(AND(F2048="",K2048=""),"Tidak dibuka","Tutup"),IF(H2048&gt;G2048,"Lebih kapasitas",IF(H2048=G2048,"Penuh",IF(H2048=0,IF(F2048="","Slot kosong","Belum terisi"),"Sebagian")))))</f>
        <v>Belum terisi</v>
      </c>
      <c r="M2048" s="79" t="str">
        <f aca="false">IF(L2048="Tidak dibuka","–",IF(F2048="","(tanpa age group)",F2048)&amp;"  "&amp;IF(H2048="","?",H2048)&amp;"/"&amp;IF(G2048="","?",G2048)&amp;CHAR(10)&amp;IF(K2048="","coach: –","coach: "&amp;K2048))</f>
        <v>Baby  0/5
coach: –</v>
      </c>
    </row>
    <row r="2049" customFormat="false" ht="22.35" hidden="false" customHeight="false" outlineLevel="0" collapsed="false">
      <c r="A2049" s="76" t="str">
        <f aca="false">B2049&amp;"|"&amp;C2049&amp;"|"&amp;D2049&amp;"|"&amp;E2049</f>
        <v>HIB|1|Rabu|14:45</v>
      </c>
      <c r="B2049" s="76" t="s">
        <v>71</v>
      </c>
      <c r="C2049" s="76" t="n">
        <v>1</v>
      </c>
      <c r="D2049" s="76" t="s">
        <v>92</v>
      </c>
      <c r="E2049" s="76" t="s">
        <v>118</v>
      </c>
      <c r="F2049" s="77" t="s">
        <v>242</v>
      </c>
      <c r="G2049" s="77" t="n">
        <v>5</v>
      </c>
      <c r="H2049" s="77" t="n">
        <v>1</v>
      </c>
      <c r="I2049" s="76" t="n">
        <f aca="false">IF(AND(ISNUMBER(G2049),ISNUMBER(H2049)),MAX(G2049-H2049,0),"")</f>
        <v>4</v>
      </c>
      <c r="J2049" s="78" t="n">
        <f aca="false">IF(AND(ISNUMBER(G2049),ISNUMBER(H2049)),IF(G2049&gt;0,H2049/G2049,""),"")</f>
        <v>0.2</v>
      </c>
      <c r="K2049" s="77" t="s">
        <v>487</v>
      </c>
      <c r="L2049" s="76" t="str">
        <f aca="false">IF(OR(G2049="",H2049=""),"Data tidak lengkap",IF(AND(G2049=0,H2049=0),IF(AND(F2049="",K2049=""),"Tidak dibuka","Tutup"),IF(H2049&gt;G2049,"Lebih kapasitas",IF(H2049=G2049,"Penuh",IF(H2049=0,IF(F2049="","Slot kosong","Belum terisi"),"Sebagian")))))</f>
        <v>Sebagian</v>
      </c>
      <c r="M2049" s="79" t="str">
        <f aca="false">IF(L2049="Tidak dibuka","–",IF(F2049="","(tanpa age group)",F2049)&amp;"  "&amp;IF(H2049="","?",H2049)&amp;"/"&amp;IF(G2049="","?",G2049)&amp;CHAR(10)&amp;IF(K2049="","coach: –","coach: "&amp;K2049))</f>
        <v>Baby  1/5
coach: Shabrina</v>
      </c>
    </row>
    <row r="2050" customFormat="false" ht="22.35" hidden="false" customHeight="false" outlineLevel="0" collapsed="false">
      <c r="A2050" s="76" t="str">
        <f aca="false">B2050&amp;"|"&amp;C2050&amp;"|"&amp;D2050&amp;"|"&amp;E2050</f>
        <v>HIB|1|Rabu|15:30</v>
      </c>
      <c r="B2050" s="76" t="s">
        <v>71</v>
      </c>
      <c r="C2050" s="76" t="n">
        <v>1</v>
      </c>
      <c r="D2050" s="76" t="s">
        <v>92</v>
      </c>
      <c r="E2050" s="76" t="s">
        <v>119</v>
      </c>
      <c r="F2050" s="77" t="s">
        <v>242</v>
      </c>
      <c r="G2050" s="77" t="n">
        <v>5</v>
      </c>
      <c r="H2050" s="77" t="n">
        <v>0</v>
      </c>
      <c r="I2050" s="76" t="n">
        <f aca="false">IF(AND(ISNUMBER(G2050),ISNUMBER(H2050)),MAX(G2050-H2050,0),"")</f>
        <v>5</v>
      </c>
      <c r="J2050" s="78" t="n">
        <f aca="false">IF(AND(ISNUMBER(G2050),ISNUMBER(H2050)),IF(G2050&gt;0,H2050/G2050,""),"")</f>
        <v>0</v>
      </c>
      <c r="K2050" s="77"/>
      <c r="L2050" s="76" t="str">
        <f aca="false">IF(OR(G2050="",H2050=""),"Data tidak lengkap",IF(AND(G2050=0,H2050=0),IF(AND(F2050="",K2050=""),"Tidak dibuka","Tutup"),IF(H2050&gt;G2050,"Lebih kapasitas",IF(H2050=G2050,"Penuh",IF(H2050=0,IF(F2050="","Slot kosong","Belum terisi"),"Sebagian")))))</f>
        <v>Belum terisi</v>
      </c>
      <c r="M2050" s="79" t="str">
        <f aca="false">IF(L2050="Tidak dibuka","–",IF(F2050="","(tanpa age group)",F2050)&amp;"  "&amp;IF(H2050="","?",H2050)&amp;"/"&amp;IF(G2050="","?",G2050)&amp;CHAR(10)&amp;IF(K2050="","coach: –","coach: "&amp;K2050))</f>
        <v>Baby  0/5
coach: –</v>
      </c>
    </row>
    <row r="2051" customFormat="false" ht="22.35" hidden="false" customHeight="false" outlineLevel="0" collapsed="false">
      <c r="A2051" s="76" t="str">
        <f aca="false">B2051&amp;"|"&amp;C2051&amp;"|"&amp;D2051&amp;"|"&amp;E2051</f>
        <v>HIB|1|Rabu|16:15</v>
      </c>
      <c r="B2051" s="76" t="s">
        <v>71</v>
      </c>
      <c r="C2051" s="76" t="n">
        <v>1</v>
      </c>
      <c r="D2051" s="76" t="s">
        <v>92</v>
      </c>
      <c r="E2051" s="76" t="s">
        <v>120</v>
      </c>
      <c r="F2051" s="77" t="s">
        <v>242</v>
      </c>
      <c r="G2051" s="77" t="n">
        <v>5</v>
      </c>
      <c r="H2051" s="77" t="n">
        <v>0</v>
      </c>
      <c r="I2051" s="76" t="n">
        <f aca="false">IF(AND(ISNUMBER(G2051),ISNUMBER(H2051)),MAX(G2051-H2051,0),"")</f>
        <v>5</v>
      </c>
      <c r="J2051" s="78" t="n">
        <f aca="false">IF(AND(ISNUMBER(G2051),ISNUMBER(H2051)),IF(G2051&gt;0,H2051/G2051,""),"")</f>
        <v>0</v>
      </c>
      <c r="K2051" s="77"/>
      <c r="L2051" s="76" t="str">
        <f aca="false">IF(OR(G2051="",H2051=""),"Data tidak lengkap",IF(AND(G2051=0,H2051=0),IF(AND(F2051="",K2051=""),"Tidak dibuka","Tutup"),IF(H2051&gt;G2051,"Lebih kapasitas",IF(H2051=G2051,"Penuh",IF(H2051=0,IF(F2051="","Slot kosong","Belum terisi"),"Sebagian")))))</f>
        <v>Belum terisi</v>
      </c>
      <c r="M2051" s="79" t="str">
        <f aca="false">IF(L2051="Tidak dibuka","–",IF(F2051="","(tanpa age group)",F2051)&amp;"  "&amp;IF(H2051="","?",H2051)&amp;"/"&amp;IF(G2051="","?",G2051)&amp;CHAR(10)&amp;IF(K2051="","coach: –","coach: "&amp;K2051))</f>
        <v>Baby  0/5
coach: –</v>
      </c>
    </row>
    <row r="2052" customFormat="false" ht="22.35" hidden="false" customHeight="false" outlineLevel="0" collapsed="false">
      <c r="A2052" s="76" t="str">
        <f aca="false">B2052&amp;"|"&amp;C2052&amp;"|"&amp;D2052&amp;"|"&amp;E2052</f>
        <v>HIB|1|Rabu|17:00</v>
      </c>
      <c r="B2052" s="76" t="s">
        <v>71</v>
      </c>
      <c r="C2052" s="76" t="n">
        <v>1</v>
      </c>
      <c r="D2052" s="76" t="s">
        <v>92</v>
      </c>
      <c r="E2052" s="76" t="s">
        <v>121</v>
      </c>
      <c r="F2052" s="77" t="s">
        <v>242</v>
      </c>
      <c r="G2052" s="77" t="n">
        <v>5</v>
      </c>
      <c r="H2052" s="77" t="n">
        <v>0</v>
      </c>
      <c r="I2052" s="76" t="n">
        <f aca="false">IF(AND(ISNUMBER(G2052),ISNUMBER(H2052)),MAX(G2052-H2052,0),"")</f>
        <v>5</v>
      </c>
      <c r="J2052" s="78" t="n">
        <f aca="false">IF(AND(ISNUMBER(G2052),ISNUMBER(H2052)),IF(G2052&gt;0,H2052/G2052,""),"")</f>
        <v>0</v>
      </c>
      <c r="K2052" s="77"/>
      <c r="L2052" s="76" t="str">
        <f aca="false">IF(OR(G2052="",H2052=""),"Data tidak lengkap",IF(AND(G2052=0,H2052=0),IF(AND(F2052="",K2052=""),"Tidak dibuka","Tutup"),IF(H2052&gt;G2052,"Lebih kapasitas",IF(H2052=G2052,"Penuh",IF(H2052=0,IF(F2052="","Slot kosong","Belum terisi"),"Sebagian")))))</f>
        <v>Belum terisi</v>
      </c>
      <c r="M2052" s="79" t="str">
        <f aca="false">IF(L2052="Tidak dibuka","–",IF(F2052="","(tanpa age group)",F2052)&amp;"  "&amp;IF(H2052="","?",H2052)&amp;"/"&amp;IF(G2052="","?",G2052)&amp;CHAR(10)&amp;IF(K2052="","coach: –","coach: "&amp;K2052))</f>
        <v>Baby  0/5
coach: –</v>
      </c>
    </row>
    <row r="2053" customFormat="false" ht="22.35" hidden="false" customHeight="false" outlineLevel="0" collapsed="false">
      <c r="A2053" s="76" t="str">
        <f aca="false">B2053&amp;"|"&amp;C2053&amp;"|"&amp;D2053&amp;"|"&amp;E2053</f>
        <v>HIB|1|Kamis|08:00</v>
      </c>
      <c r="B2053" s="76" t="s">
        <v>71</v>
      </c>
      <c r="C2053" s="76" t="n">
        <v>1</v>
      </c>
      <c r="D2053" s="76" t="s">
        <v>93</v>
      </c>
      <c r="E2053" s="76" t="s">
        <v>110</v>
      </c>
      <c r="F2053" s="77" t="s">
        <v>242</v>
      </c>
      <c r="G2053" s="77" t="n">
        <v>5</v>
      </c>
      <c r="H2053" s="77" t="n">
        <v>0</v>
      </c>
      <c r="I2053" s="76" t="n">
        <f aca="false">IF(AND(ISNUMBER(G2053),ISNUMBER(H2053)),MAX(G2053-H2053,0),"")</f>
        <v>5</v>
      </c>
      <c r="J2053" s="78" t="n">
        <f aca="false">IF(AND(ISNUMBER(G2053),ISNUMBER(H2053)),IF(G2053&gt;0,H2053/G2053,""),"")</f>
        <v>0</v>
      </c>
      <c r="K2053" s="77"/>
      <c r="L2053" s="76" t="str">
        <f aca="false">IF(OR(G2053="",H2053=""),"Data tidak lengkap",IF(AND(G2053=0,H2053=0),IF(AND(F2053="",K2053=""),"Tidak dibuka","Tutup"),IF(H2053&gt;G2053,"Lebih kapasitas",IF(H2053=G2053,"Penuh",IF(H2053=0,IF(F2053="","Slot kosong","Belum terisi"),"Sebagian")))))</f>
        <v>Belum terisi</v>
      </c>
      <c r="M2053" s="79" t="str">
        <f aca="false">IF(L2053="Tidak dibuka","–",IF(F2053="","(tanpa age group)",F2053)&amp;"  "&amp;IF(H2053="","?",H2053)&amp;"/"&amp;IF(G2053="","?",G2053)&amp;CHAR(10)&amp;IF(K2053="","coach: –","coach: "&amp;K2053))</f>
        <v>Baby  0/5
coach: –</v>
      </c>
    </row>
    <row r="2054" customFormat="false" ht="22.35" hidden="false" customHeight="false" outlineLevel="0" collapsed="false">
      <c r="A2054" s="76" t="str">
        <f aca="false">B2054&amp;"|"&amp;C2054&amp;"|"&amp;D2054&amp;"|"&amp;E2054</f>
        <v>HIB|1|Kamis|08:45</v>
      </c>
      <c r="B2054" s="76" t="s">
        <v>71</v>
      </c>
      <c r="C2054" s="76" t="n">
        <v>1</v>
      </c>
      <c r="D2054" s="76" t="s">
        <v>93</v>
      </c>
      <c r="E2054" s="76" t="s">
        <v>111</v>
      </c>
      <c r="F2054" s="77" t="s">
        <v>242</v>
      </c>
      <c r="G2054" s="77" t="n">
        <v>5</v>
      </c>
      <c r="H2054" s="77" t="n">
        <v>0</v>
      </c>
      <c r="I2054" s="76" t="n">
        <f aca="false">IF(AND(ISNUMBER(G2054),ISNUMBER(H2054)),MAX(G2054-H2054,0),"")</f>
        <v>5</v>
      </c>
      <c r="J2054" s="78" t="n">
        <f aca="false">IF(AND(ISNUMBER(G2054),ISNUMBER(H2054)),IF(G2054&gt;0,H2054/G2054,""),"")</f>
        <v>0</v>
      </c>
      <c r="K2054" s="77"/>
      <c r="L2054" s="76" t="str">
        <f aca="false">IF(OR(G2054="",H2054=""),"Data tidak lengkap",IF(AND(G2054=0,H2054=0),IF(AND(F2054="",K2054=""),"Tidak dibuka","Tutup"),IF(H2054&gt;G2054,"Lebih kapasitas",IF(H2054=G2054,"Penuh",IF(H2054=0,IF(F2054="","Slot kosong","Belum terisi"),"Sebagian")))))</f>
        <v>Belum terisi</v>
      </c>
      <c r="M2054" s="79" t="str">
        <f aca="false">IF(L2054="Tidak dibuka","–",IF(F2054="","(tanpa age group)",F2054)&amp;"  "&amp;IF(H2054="","?",H2054)&amp;"/"&amp;IF(G2054="","?",G2054)&amp;CHAR(10)&amp;IF(K2054="","coach: –","coach: "&amp;K2054))</f>
        <v>Baby  0/5
coach: –</v>
      </c>
    </row>
    <row r="2055" customFormat="false" ht="22.35" hidden="false" customHeight="false" outlineLevel="0" collapsed="false">
      <c r="A2055" s="76" t="str">
        <f aca="false">B2055&amp;"|"&amp;C2055&amp;"|"&amp;D2055&amp;"|"&amp;E2055</f>
        <v>HIB|1|Kamis|09:30</v>
      </c>
      <c r="B2055" s="76" t="s">
        <v>71</v>
      </c>
      <c r="C2055" s="76" t="n">
        <v>1</v>
      </c>
      <c r="D2055" s="76" t="s">
        <v>93</v>
      </c>
      <c r="E2055" s="76" t="s">
        <v>112</v>
      </c>
      <c r="F2055" s="77" t="s">
        <v>242</v>
      </c>
      <c r="G2055" s="77" t="n">
        <v>5</v>
      </c>
      <c r="H2055" s="77" t="n">
        <v>0</v>
      </c>
      <c r="I2055" s="76" t="n">
        <f aca="false">IF(AND(ISNUMBER(G2055),ISNUMBER(H2055)),MAX(G2055-H2055,0),"")</f>
        <v>5</v>
      </c>
      <c r="J2055" s="78" t="n">
        <f aca="false">IF(AND(ISNUMBER(G2055),ISNUMBER(H2055)),IF(G2055&gt;0,H2055/G2055,""),"")</f>
        <v>0</v>
      </c>
      <c r="K2055" s="77"/>
      <c r="L2055" s="76" t="str">
        <f aca="false">IF(OR(G2055="",H2055=""),"Data tidak lengkap",IF(AND(G2055=0,H2055=0),IF(AND(F2055="",K2055=""),"Tidak dibuka","Tutup"),IF(H2055&gt;G2055,"Lebih kapasitas",IF(H2055=G2055,"Penuh",IF(H2055=0,IF(F2055="","Slot kosong","Belum terisi"),"Sebagian")))))</f>
        <v>Belum terisi</v>
      </c>
      <c r="M2055" s="79" t="str">
        <f aca="false">IF(L2055="Tidak dibuka","–",IF(F2055="","(tanpa age group)",F2055)&amp;"  "&amp;IF(H2055="","?",H2055)&amp;"/"&amp;IF(G2055="","?",G2055)&amp;CHAR(10)&amp;IF(K2055="","coach: –","coach: "&amp;K2055))</f>
        <v>Baby  0/5
coach: –</v>
      </c>
    </row>
    <row r="2056" customFormat="false" ht="22.35" hidden="false" customHeight="false" outlineLevel="0" collapsed="false">
      <c r="A2056" s="76" t="str">
        <f aca="false">B2056&amp;"|"&amp;C2056&amp;"|"&amp;D2056&amp;"|"&amp;E2056</f>
        <v>HIB|1|Kamis|10:15</v>
      </c>
      <c r="B2056" s="76" t="s">
        <v>71</v>
      </c>
      <c r="C2056" s="76" t="n">
        <v>1</v>
      </c>
      <c r="D2056" s="76" t="s">
        <v>93</v>
      </c>
      <c r="E2056" s="76" t="s">
        <v>113</v>
      </c>
      <c r="F2056" s="77" t="s">
        <v>242</v>
      </c>
      <c r="G2056" s="77" t="n">
        <v>5</v>
      </c>
      <c r="H2056" s="77" t="n">
        <v>0</v>
      </c>
      <c r="I2056" s="76" t="n">
        <f aca="false">IF(AND(ISNUMBER(G2056),ISNUMBER(H2056)),MAX(G2056-H2056,0),"")</f>
        <v>5</v>
      </c>
      <c r="J2056" s="78" t="n">
        <f aca="false">IF(AND(ISNUMBER(G2056),ISNUMBER(H2056)),IF(G2056&gt;0,H2056/G2056,""),"")</f>
        <v>0</v>
      </c>
      <c r="K2056" s="77"/>
      <c r="L2056" s="76" t="str">
        <f aca="false">IF(OR(G2056="",H2056=""),"Data tidak lengkap",IF(AND(G2056=0,H2056=0),IF(AND(F2056="",K2056=""),"Tidak dibuka","Tutup"),IF(H2056&gt;G2056,"Lebih kapasitas",IF(H2056=G2056,"Penuh",IF(H2056=0,IF(F2056="","Slot kosong","Belum terisi"),"Sebagian")))))</f>
        <v>Belum terisi</v>
      </c>
      <c r="M2056" s="79" t="str">
        <f aca="false">IF(L2056="Tidak dibuka","–",IF(F2056="","(tanpa age group)",F2056)&amp;"  "&amp;IF(H2056="","?",H2056)&amp;"/"&amp;IF(G2056="","?",G2056)&amp;CHAR(10)&amp;IF(K2056="","coach: –","coach: "&amp;K2056))</f>
        <v>Baby  0/5
coach: –</v>
      </c>
    </row>
    <row r="2057" customFormat="false" ht="22.35" hidden="false" customHeight="false" outlineLevel="0" collapsed="false">
      <c r="A2057" s="76" t="str">
        <f aca="false">B2057&amp;"|"&amp;C2057&amp;"|"&amp;D2057&amp;"|"&amp;E2057</f>
        <v>HIB|1|Kamis|11:00</v>
      </c>
      <c r="B2057" s="76" t="s">
        <v>71</v>
      </c>
      <c r="C2057" s="76" t="n">
        <v>1</v>
      </c>
      <c r="D2057" s="76" t="s">
        <v>93</v>
      </c>
      <c r="E2057" s="76" t="s">
        <v>114</v>
      </c>
      <c r="F2057" s="77" t="s">
        <v>242</v>
      </c>
      <c r="G2057" s="77" t="n">
        <v>5</v>
      </c>
      <c r="H2057" s="77" t="n">
        <v>0</v>
      </c>
      <c r="I2057" s="76" t="n">
        <f aca="false">IF(AND(ISNUMBER(G2057),ISNUMBER(H2057)),MAX(G2057-H2057,0),"")</f>
        <v>5</v>
      </c>
      <c r="J2057" s="78" t="n">
        <f aca="false">IF(AND(ISNUMBER(G2057),ISNUMBER(H2057)),IF(G2057&gt;0,H2057/G2057,""),"")</f>
        <v>0</v>
      </c>
      <c r="K2057" s="77"/>
      <c r="L2057" s="76" t="str">
        <f aca="false">IF(OR(G2057="",H2057=""),"Data tidak lengkap",IF(AND(G2057=0,H2057=0),IF(AND(F2057="",K2057=""),"Tidak dibuka","Tutup"),IF(H2057&gt;G2057,"Lebih kapasitas",IF(H2057=G2057,"Penuh",IF(H2057=0,IF(F2057="","Slot kosong","Belum terisi"),"Sebagian")))))</f>
        <v>Belum terisi</v>
      </c>
      <c r="M2057" s="79" t="str">
        <f aca="false">IF(L2057="Tidak dibuka","–",IF(F2057="","(tanpa age group)",F2057)&amp;"  "&amp;IF(H2057="","?",H2057)&amp;"/"&amp;IF(G2057="","?",G2057)&amp;CHAR(10)&amp;IF(K2057="","coach: –","coach: "&amp;K2057))</f>
        <v>Baby  0/5
coach: –</v>
      </c>
    </row>
    <row r="2058" customFormat="false" ht="22.35" hidden="false" customHeight="false" outlineLevel="0" collapsed="false">
      <c r="A2058" s="76" t="str">
        <f aca="false">B2058&amp;"|"&amp;C2058&amp;"|"&amp;D2058&amp;"|"&amp;E2058</f>
        <v>HIB|1|Kamis|11:45</v>
      </c>
      <c r="B2058" s="76" t="s">
        <v>71</v>
      </c>
      <c r="C2058" s="76" t="n">
        <v>1</v>
      </c>
      <c r="D2058" s="76" t="s">
        <v>93</v>
      </c>
      <c r="E2058" s="76" t="s">
        <v>115</v>
      </c>
      <c r="F2058" s="77" t="s">
        <v>242</v>
      </c>
      <c r="G2058" s="77" t="n">
        <v>5</v>
      </c>
      <c r="H2058" s="77" t="n">
        <v>0</v>
      </c>
      <c r="I2058" s="76" t="n">
        <f aca="false">IF(AND(ISNUMBER(G2058),ISNUMBER(H2058)),MAX(G2058-H2058,0),"")</f>
        <v>5</v>
      </c>
      <c r="J2058" s="78" t="n">
        <f aca="false">IF(AND(ISNUMBER(G2058),ISNUMBER(H2058)),IF(G2058&gt;0,H2058/G2058,""),"")</f>
        <v>0</v>
      </c>
      <c r="K2058" s="77"/>
      <c r="L2058" s="76" t="str">
        <f aca="false">IF(OR(G2058="",H2058=""),"Data tidak lengkap",IF(AND(G2058=0,H2058=0),IF(AND(F2058="",K2058=""),"Tidak dibuka","Tutup"),IF(H2058&gt;G2058,"Lebih kapasitas",IF(H2058=G2058,"Penuh",IF(H2058=0,IF(F2058="","Slot kosong","Belum terisi"),"Sebagian")))))</f>
        <v>Belum terisi</v>
      </c>
      <c r="M2058" s="79" t="str">
        <f aca="false">IF(L2058="Tidak dibuka","–",IF(F2058="","(tanpa age group)",F2058)&amp;"  "&amp;IF(H2058="","?",H2058)&amp;"/"&amp;IF(G2058="","?",G2058)&amp;CHAR(10)&amp;IF(K2058="","coach: –","coach: "&amp;K2058))</f>
        <v>Baby  0/5
coach: –</v>
      </c>
    </row>
    <row r="2059" customFormat="false" ht="22.35" hidden="false" customHeight="false" outlineLevel="0" collapsed="false">
      <c r="A2059" s="76" t="str">
        <f aca="false">B2059&amp;"|"&amp;C2059&amp;"|"&amp;D2059&amp;"|"&amp;E2059</f>
        <v>HIB|1|Kamis|13:15</v>
      </c>
      <c r="B2059" s="76" t="s">
        <v>71</v>
      </c>
      <c r="C2059" s="76" t="n">
        <v>1</v>
      </c>
      <c r="D2059" s="76" t="s">
        <v>93</v>
      </c>
      <c r="E2059" s="76" t="s">
        <v>116</v>
      </c>
      <c r="F2059" s="77" t="s">
        <v>242</v>
      </c>
      <c r="G2059" s="77" t="n">
        <v>5</v>
      </c>
      <c r="H2059" s="77" t="n">
        <v>1</v>
      </c>
      <c r="I2059" s="76" t="n">
        <f aca="false">IF(AND(ISNUMBER(G2059),ISNUMBER(H2059)),MAX(G2059-H2059,0),"")</f>
        <v>4</v>
      </c>
      <c r="J2059" s="78" t="n">
        <f aca="false">IF(AND(ISNUMBER(G2059),ISNUMBER(H2059)),IF(G2059&gt;0,H2059/G2059,""),"")</f>
        <v>0.2</v>
      </c>
      <c r="K2059" s="77" t="s">
        <v>481</v>
      </c>
      <c r="L2059" s="76" t="str">
        <f aca="false">IF(OR(G2059="",H2059=""),"Data tidak lengkap",IF(AND(G2059=0,H2059=0),IF(AND(F2059="",K2059=""),"Tidak dibuka","Tutup"),IF(H2059&gt;G2059,"Lebih kapasitas",IF(H2059=G2059,"Penuh",IF(H2059=0,IF(F2059="","Slot kosong","Belum terisi"),"Sebagian")))))</f>
        <v>Sebagian</v>
      </c>
      <c r="M2059" s="79" t="str">
        <f aca="false">IF(L2059="Tidak dibuka","–",IF(F2059="","(tanpa age group)",F2059)&amp;"  "&amp;IF(H2059="","?",H2059)&amp;"/"&amp;IF(G2059="","?",G2059)&amp;CHAR(10)&amp;IF(K2059="","coach: –","coach: "&amp;K2059))</f>
        <v>Baby  1/5
coach: Rizky</v>
      </c>
    </row>
    <row r="2060" customFormat="false" ht="22.35" hidden="false" customHeight="false" outlineLevel="0" collapsed="false">
      <c r="A2060" s="76" t="str">
        <f aca="false">B2060&amp;"|"&amp;C2060&amp;"|"&amp;D2060&amp;"|"&amp;E2060</f>
        <v>HIB|1|Kamis|14:00</v>
      </c>
      <c r="B2060" s="76" t="s">
        <v>71</v>
      </c>
      <c r="C2060" s="76" t="n">
        <v>1</v>
      </c>
      <c r="D2060" s="76" t="s">
        <v>93</v>
      </c>
      <c r="E2060" s="76" t="s">
        <v>117</v>
      </c>
      <c r="F2060" s="77" t="s">
        <v>242</v>
      </c>
      <c r="G2060" s="77" t="n">
        <v>5</v>
      </c>
      <c r="H2060" s="77" t="n">
        <v>0</v>
      </c>
      <c r="I2060" s="76" t="n">
        <f aca="false">IF(AND(ISNUMBER(G2060),ISNUMBER(H2060)),MAX(G2060-H2060,0),"")</f>
        <v>5</v>
      </c>
      <c r="J2060" s="78" t="n">
        <f aca="false">IF(AND(ISNUMBER(G2060),ISNUMBER(H2060)),IF(G2060&gt;0,H2060/G2060,""),"")</f>
        <v>0</v>
      </c>
      <c r="K2060" s="77"/>
      <c r="L2060" s="76" t="str">
        <f aca="false">IF(OR(G2060="",H2060=""),"Data tidak lengkap",IF(AND(G2060=0,H2060=0),IF(AND(F2060="",K2060=""),"Tidak dibuka","Tutup"),IF(H2060&gt;G2060,"Lebih kapasitas",IF(H2060=G2060,"Penuh",IF(H2060=0,IF(F2060="","Slot kosong","Belum terisi"),"Sebagian")))))</f>
        <v>Belum terisi</v>
      </c>
      <c r="M2060" s="79" t="str">
        <f aca="false">IF(L2060="Tidak dibuka","–",IF(F2060="","(tanpa age group)",F2060)&amp;"  "&amp;IF(H2060="","?",H2060)&amp;"/"&amp;IF(G2060="","?",G2060)&amp;CHAR(10)&amp;IF(K2060="","coach: –","coach: "&amp;K2060))</f>
        <v>Baby  0/5
coach: –</v>
      </c>
    </row>
    <row r="2061" customFormat="false" ht="22.35" hidden="false" customHeight="false" outlineLevel="0" collapsed="false">
      <c r="A2061" s="76" t="str">
        <f aca="false">B2061&amp;"|"&amp;C2061&amp;"|"&amp;D2061&amp;"|"&amp;E2061</f>
        <v>HIB|1|Kamis|14:45</v>
      </c>
      <c r="B2061" s="76" t="s">
        <v>71</v>
      </c>
      <c r="C2061" s="76" t="n">
        <v>1</v>
      </c>
      <c r="D2061" s="76" t="s">
        <v>93</v>
      </c>
      <c r="E2061" s="76" t="s">
        <v>118</v>
      </c>
      <c r="F2061" s="77" t="s">
        <v>242</v>
      </c>
      <c r="G2061" s="77" t="n">
        <v>5</v>
      </c>
      <c r="H2061" s="77" t="n">
        <v>0</v>
      </c>
      <c r="I2061" s="76" t="n">
        <f aca="false">IF(AND(ISNUMBER(G2061),ISNUMBER(H2061)),MAX(G2061-H2061,0),"")</f>
        <v>5</v>
      </c>
      <c r="J2061" s="78" t="n">
        <f aca="false">IF(AND(ISNUMBER(G2061),ISNUMBER(H2061)),IF(G2061&gt;0,H2061/G2061,""),"")</f>
        <v>0</v>
      </c>
      <c r="K2061" s="77"/>
      <c r="L2061" s="76" t="str">
        <f aca="false">IF(OR(G2061="",H2061=""),"Data tidak lengkap",IF(AND(G2061=0,H2061=0),IF(AND(F2061="",K2061=""),"Tidak dibuka","Tutup"),IF(H2061&gt;G2061,"Lebih kapasitas",IF(H2061=G2061,"Penuh",IF(H2061=0,IF(F2061="","Slot kosong","Belum terisi"),"Sebagian")))))</f>
        <v>Belum terisi</v>
      </c>
      <c r="M2061" s="79" t="str">
        <f aca="false">IF(L2061="Tidak dibuka","–",IF(F2061="","(tanpa age group)",F2061)&amp;"  "&amp;IF(H2061="","?",H2061)&amp;"/"&amp;IF(G2061="","?",G2061)&amp;CHAR(10)&amp;IF(K2061="","coach: –","coach: "&amp;K2061))</f>
        <v>Baby  0/5
coach: –</v>
      </c>
    </row>
    <row r="2062" customFormat="false" ht="22.35" hidden="false" customHeight="false" outlineLevel="0" collapsed="false">
      <c r="A2062" s="76" t="str">
        <f aca="false">B2062&amp;"|"&amp;C2062&amp;"|"&amp;D2062&amp;"|"&amp;E2062</f>
        <v>HIB|1|Kamis|15:30</v>
      </c>
      <c r="B2062" s="76" t="s">
        <v>71</v>
      </c>
      <c r="C2062" s="76" t="n">
        <v>1</v>
      </c>
      <c r="D2062" s="76" t="s">
        <v>93</v>
      </c>
      <c r="E2062" s="76" t="s">
        <v>119</v>
      </c>
      <c r="F2062" s="77" t="s">
        <v>242</v>
      </c>
      <c r="G2062" s="77" t="n">
        <v>5</v>
      </c>
      <c r="H2062" s="77" t="n">
        <v>0</v>
      </c>
      <c r="I2062" s="76" t="n">
        <f aca="false">IF(AND(ISNUMBER(G2062),ISNUMBER(H2062)),MAX(G2062-H2062,0),"")</f>
        <v>5</v>
      </c>
      <c r="J2062" s="78" t="n">
        <f aca="false">IF(AND(ISNUMBER(G2062),ISNUMBER(H2062)),IF(G2062&gt;0,H2062/G2062,""),"")</f>
        <v>0</v>
      </c>
      <c r="K2062" s="77"/>
      <c r="L2062" s="76" t="str">
        <f aca="false">IF(OR(G2062="",H2062=""),"Data tidak lengkap",IF(AND(G2062=0,H2062=0),IF(AND(F2062="",K2062=""),"Tidak dibuka","Tutup"),IF(H2062&gt;G2062,"Lebih kapasitas",IF(H2062=G2062,"Penuh",IF(H2062=0,IF(F2062="","Slot kosong","Belum terisi"),"Sebagian")))))</f>
        <v>Belum terisi</v>
      </c>
      <c r="M2062" s="79" t="str">
        <f aca="false">IF(L2062="Tidak dibuka","–",IF(F2062="","(tanpa age group)",F2062)&amp;"  "&amp;IF(H2062="","?",H2062)&amp;"/"&amp;IF(G2062="","?",G2062)&amp;CHAR(10)&amp;IF(K2062="","coach: –","coach: "&amp;K2062))</f>
        <v>Baby  0/5
coach: –</v>
      </c>
    </row>
    <row r="2063" customFormat="false" ht="22.35" hidden="false" customHeight="false" outlineLevel="0" collapsed="false">
      <c r="A2063" s="76" t="str">
        <f aca="false">B2063&amp;"|"&amp;C2063&amp;"|"&amp;D2063&amp;"|"&amp;E2063</f>
        <v>HIB|1|Kamis|16:15</v>
      </c>
      <c r="B2063" s="76" t="s">
        <v>71</v>
      </c>
      <c r="C2063" s="76" t="n">
        <v>1</v>
      </c>
      <c r="D2063" s="76" t="s">
        <v>93</v>
      </c>
      <c r="E2063" s="76" t="s">
        <v>120</v>
      </c>
      <c r="F2063" s="77" t="s">
        <v>242</v>
      </c>
      <c r="G2063" s="77" t="n">
        <v>5</v>
      </c>
      <c r="H2063" s="77" t="n">
        <v>0</v>
      </c>
      <c r="I2063" s="76" t="n">
        <f aca="false">IF(AND(ISNUMBER(G2063),ISNUMBER(H2063)),MAX(G2063-H2063,0),"")</f>
        <v>5</v>
      </c>
      <c r="J2063" s="78" t="n">
        <f aca="false">IF(AND(ISNUMBER(G2063),ISNUMBER(H2063)),IF(G2063&gt;0,H2063/G2063,""),"")</f>
        <v>0</v>
      </c>
      <c r="K2063" s="77"/>
      <c r="L2063" s="76" t="str">
        <f aca="false">IF(OR(G2063="",H2063=""),"Data tidak lengkap",IF(AND(G2063=0,H2063=0),IF(AND(F2063="",K2063=""),"Tidak dibuka","Tutup"),IF(H2063&gt;G2063,"Lebih kapasitas",IF(H2063=G2063,"Penuh",IF(H2063=0,IF(F2063="","Slot kosong","Belum terisi"),"Sebagian")))))</f>
        <v>Belum terisi</v>
      </c>
      <c r="M2063" s="79" t="str">
        <f aca="false">IF(L2063="Tidak dibuka","–",IF(F2063="","(tanpa age group)",F2063)&amp;"  "&amp;IF(H2063="","?",H2063)&amp;"/"&amp;IF(G2063="","?",G2063)&amp;CHAR(10)&amp;IF(K2063="","coach: –","coach: "&amp;K2063))</f>
        <v>Baby  0/5
coach: –</v>
      </c>
    </row>
    <row r="2064" customFormat="false" ht="22.35" hidden="false" customHeight="false" outlineLevel="0" collapsed="false">
      <c r="A2064" s="76" t="str">
        <f aca="false">B2064&amp;"|"&amp;C2064&amp;"|"&amp;D2064&amp;"|"&amp;E2064</f>
        <v>HIB|1|Kamis|17:00</v>
      </c>
      <c r="B2064" s="76" t="s">
        <v>71</v>
      </c>
      <c r="C2064" s="76" t="n">
        <v>1</v>
      </c>
      <c r="D2064" s="76" t="s">
        <v>93</v>
      </c>
      <c r="E2064" s="76" t="s">
        <v>121</v>
      </c>
      <c r="F2064" s="77" t="s">
        <v>242</v>
      </c>
      <c r="G2064" s="77" t="n">
        <v>5</v>
      </c>
      <c r="H2064" s="77" t="n">
        <v>0</v>
      </c>
      <c r="I2064" s="76" t="n">
        <f aca="false">IF(AND(ISNUMBER(G2064),ISNUMBER(H2064)),MAX(G2064-H2064,0),"")</f>
        <v>5</v>
      </c>
      <c r="J2064" s="78" t="n">
        <f aca="false">IF(AND(ISNUMBER(G2064),ISNUMBER(H2064)),IF(G2064&gt;0,H2064/G2064,""),"")</f>
        <v>0</v>
      </c>
      <c r="K2064" s="77"/>
      <c r="L2064" s="76" t="str">
        <f aca="false">IF(OR(G2064="",H2064=""),"Data tidak lengkap",IF(AND(G2064=0,H2064=0),IF(AND(F2064="",K2064=""),"Tidak dibuka","Tutup"),IF(H2064&gt;G2064,"Lebih kapasitas",IF(H2064=G2064,"Penuh",IF(H2064=0,IF(F2064="","Slot kosong","Belum terisi"),"Sebagian")))))</f>
        <v>Belum terisi</v>
      </c>
      <c r="M2064" s="79" t="str">
        <f aca="false">IF(L2064="Tidak dibuka","–",IF(F2064="","(tanpa age group)",F2064)&amp;"  "&amp;IF(H2064="","?",H2064)&amp;"/"&amp;IF(G2064="","?",G2064)&amp;CHAR(10)&amp;IF(K2064="","coach: –","coach: "&amp;K2064))</f>
        <v>Baby  0/5
coach: –</v>
      </c>
    </row>
    <row r="2065" customFormat="false" ht="22.35" hidden="false" customHeight="false" outlineLevel="0" collapsed="false">
      <c r="A2065" s="76" t="str">
        <f aca="false">B2065&amp;"|"&amp;C2065&amp;"|"&amp;D2065&amp;"|"&amp;E2065</f>
        <v>HIB|1|Jumat|08:00</v>
      </c>
      <c r="B2065" s="76" t="s">
        <v>71</v>
      </c>
      <c r="C2065" s="76" t="n">
        <v>1</v>
      </c>
      <c r="D2065" s="76" t="s">
        <v>94</v>
      </c>
      <c r="E2065" s="76" t="s">
        <v>110</v>
      </c>
      <c r="F2065" s="77" t="s">
        <v>242</v>
      </c>
      <c r="G2065" s="77" t="n">
        <v>5</v>
      </c>
      <c r="H2065" s="77" t="n">
        <v>0</v>
      </c>
      <c r="I2065" s="76" t="n">
        <f aca="false">IF(AND(ISNUMBER(G2065),ISNUMBER(H2065)),MAX(G2065-H2065,0),"")</f>
        <v>5</v>
      </c>
      <c r="J2065" s="78" t="n">
        <f aca="false">IF(AND(ISNUMBER(G2065),ISNUMBER(H2065)),IF(G2065&gt;0,H2065/G2065,""),"")</f>
        <v>0</v>
      </c>
      <c r="K2065" s="77"/>
      <c r="L2065" s="76" t="str">
        <f aca="false">IF(OR(G2065="",H2065=""),"Data tidak lengkap",IF(AND(G2065=0,H2065=0),IF(AND(F2065="",K2065=""),"Tidak dibuka","Tutup"),IF(H2065&gt;G2065,"Lebih kapasitas",IF(H2065=G2065,"Penuh",IF(H2065=0,IF(F2065="","Slot kosong","Belum terisi"),"Sebagian")))))</f>
        <v>Belum terisi</v>
      </c>
      <c r="M2065" s="79" t="str">
        <f aca="false">IF(L2065="Tidak dibuka","–",IF(F2065="","(tanpa age group)",F2065)&amp;"  "&amp;IF(H2065="","?",H2065)&amp;"/"&amp;IF(G2065="","?",G2065)&amp;CHAR(10)&amp;IF(K2065="","coach: –","coach: "&amp;K2065))</f>
        <v>Baby  0/5
coach: –</v>
      </c>
    </row>
    <row r="2066" customFormat="false" ht="22.35" hidden="false" customHeight="false" outlineLevel="0" collapsed="false">
      <c r="A2066" s="76" t="str">
        <f aca="false">B2066&amp;"|"&amp;C2066&amp;"|"&amp;D2066&amp;"|"&amp;E2066</f>
        <v>HIB|1|Jumat|08:45</v>
      </c>
      <c r="B2066" s="76" t="s">
        <v>71</v>
      </c>
      <c r="C2066" s="76" t="n">
        <v>1</v>
      </c>
      <c r="D2066" s="76" t="s">
        <v>94</v>
      </c>
      <c r="E2066" s="76" t="s">
        <v>111</v>
      </c>
      <c r="F2066" s="77" t="s">
        <v>242</v>
      </c>
      <c r="G2066" s="77" t="n">
        <v>5</v>
      </c>
      <c r="H2066" s="77" t="n">
        <v>1</v>
      </c>
      <c r="I2066" s="76" t="n">
        <f aca="false">IF(AND(ISNUMBER(G2066),ISNUMBER(H2066)),MAX(G2066-H2066,0),"")</f>
        <v>4</v>
      </c>
      <c r="J2066" s="78" t="n">
        <f aca="false">IF(AND(ISNUMBER(G2066),ISNUMBER(H2066)),IF(G2066&gt;0,H2066/G2066,""),"")</f>
        <v>0.2</v>
      </c>
      <c r="K2066" s="77" t="s">
        <v>481</v>
      </c>
      <c r="L2066" s="76" t="str">
        <f aca="false">IF(OR(G2066="",H2066=""),"Data tidak lengkap",IF(AND(G2066=0,H2066=0),IF(AND(F2066="",K2066=""),"Tidak dibuka","Tutup"),IF(H2066&gt;G2066,"Lebih kapasitas",IF(H2066=G2066,"Penuh",IF(H2066=0,IF(F2066="","Slot kosong","Belum terisi"),"Sebagian")))))</f>
        <v>Sebagian</v>
      </c>
      <c r="M2066" s="79" t="str">
        <f aca="false">IF(L2066="Tidak dibuka","–",IF(F2066="","(tanpa age group)",F2066)&amp;"  "&amp;IF(H2066="","?",H2066)&amp;"/"&amp;IF(G2066="","?",G2066)&amp;CHAR(10)&amp;IF(K2066="","coach: –","coach: "&amp;K2066))</f>
        <v>Baby  1/5
coach: Rizky</v>
      </c>
    </row>
    <row r="2067" customFormat="false" ht="22.35" hidden="false" customHeight="false" outlineLevel="0" collapsed="false">
      <c r="A2067" s="76" t="str">
        <f aca="false">B2067&amp;"|"&amp;C2067&amp;"|"&amp;D2067&amp;"|"&amp;E2067</f>
        <v>HIB|1|Jumat|09:30</v>
      </c>
      <c r="B2067" s="76" t="s">
        <v>71</v>
      </c>
      <c r="C2067" s="76" t="n">
        <v>1</v>
      </c>
      <c r="D2067" s="76" t="s">
        <v>94</v>
      </c>
      <c r="E2067" s="76" t="s">
        <v>112</v>
      </c>
      <c r="F2067" s="77" t="s">
        <v>242</v>
      </c>
      <c r="G2067" s="77" t="n">
        <v>5</v>
      </c>
      <c r="H2067" s="77" t="n">
        <v>0</v>
      </c>
      <c r="I2067" s="76" t="n">
        <f aca="false">IF(AND(ISNUMBER(G2067),ISNUMBER(H2067)),MAX(G2067-H2067,0),"")</f>
        <v>5</v>
      </c>
      <c r="J2067" s="78" t="n">
        <f aca="false">IF(AND(ISNUMBER(G2067),ISNUMBER(H2067)),IF(G2067&gt;0,H2067/G2067,""),"")</f>
        <v>0</v>
      </c>
      <c r="K2067" s="77"/>
      <c r="L2067" s="76" t="str">
        <f aca="false">IF(OR(G2067="",H2067=""),"Data tidak lengkap",IF(AND(G2067=0,H2067=0),IF(AND(F2067="",K2067=""),"Tidak dibuka","Tutup"),IF(H2067&gt;G2067,"Lebih kapasitas",IF(H2067=G2067,"Penuh",IF(H2067=0,IF(F2067="","Slot kosong","Belum terisi"),"Sebagian")))))</f>
        <v>Belum terisi</v>
      </c>
      <c r="M2067" s="79" t="str">
        <f aca="false">IF(L2067="Tidak dibuka","–",IF(F2067="","(tanpa age group)",F2067)&amp;"  "&amp;IF(H2067="","?",H2067)&amp;"/"&amp;IF(G2067="","?",G2067)&amp;CHAR(10)&amp;IF(K2067="","coach: –","coach: "&amp;K2067))</f>
        <v>Baby  0/5
coach: –</v>
      </c>
    </row>
    <row r="2068" customFormat="false" ht="22.35" hidden="false" customHeight="false" outlineLevel="0" collapsed="false">
      <c r="A2068" s="76" t="str">
        <f aca="false">B2068&amp;"|"&amp;C2068&amp;"|"&amp;D2068&amp;"|"&amp;E2068</f>
        <v>HIB|1|Jumat|10:15</v>
      </c>
      <c r="B2068" s="76" t="s">
        <v>71</v>
      </c>
      <c r="C2068" s="76" t="n">
        <v>1</v>
      </c>
      <c r="D2068" s="76" t="s">
        <v>94</v>
      </c>
      <c r="E2068" s="76" t="s">
        <v>113</v>
      </c>
      <c r="F2068" s="77" t="s">
        <v>242</v>
      </c>
      <c r="G2068" s="77" t="n">
        <v>5</v>
      </c>
      <c r="H2068" s="77" t="n">
        <v>0</v>
      </c>
      <c r="I2068" s="76" t="n">
        <f aca="false">IF(AND(ISNUMBER(G2068),ISNUMBER(H2068)),MAX(G2068-H2068,0),"")</f>
        <v>5</v>
      </c>
      <c r="J2068" s="78" t="n">
        <f aca="false">IF(AND(ISNUMBER(G2068),ISNUMBER(H2068)),IF(G2068&gt;0,H2068/G2068,""),"")</f>
        <v>0</v>
      </c>
      <c r="K2068" s="77"/>
      <c r="L2068" s="76" t="str">
        <f aca="false">IF(OR(G2068="",H2068=""),"Data tidak lengkap",IF(AND(G2068=0,H2068=0),IF(AND(F2068="",K2068=""),"Tidak dibuka","Tutup"),IF(H2068&gt;G2068,"Lebih kapasitas",IF(H2068=G2068,"Penuh",IF(H2068=0,IF(F2068="","Slot kosong","Belum terisi"),"Sebagian")))))</f>
        <v>Belum terisi</v>
      </c>
      <c r="M2068" s="79" t="str">
        <f aca="false">IF(L2068="Tidak dibuka","–",IF(F2068="","(tanpa age group)",F2068)&amp;"  "&amp;IF(H2068="","?",H2068)&amp;"/"&amp;IF(G2068="","?",G2068)&amp;CHAR(10)&amp;IF(K2068="","coach: –","coach: "&amp;K2068))</f>
        <v>Baby  0/5
coach: –</v>
      </c>
    </row>
    <row r="2069" customFormat="false" ht="22.35" hidden="false" customHeight="false" outlineLevel="0" collapsed="false">
      <c r="A2069" s="76" t="str">
        <f aca="false">B2069&amp;"|"&amp;C2069&amp;"|"&amp;D2069&amp;"|"&amp;E2069</f>
        <v>HIB|1|Jumat|11:00</v>
      </c>
      <c r="B2069" s="76" t="s">
        <v>71</v>
      </c>
      <c r="C2069" s="76" t="n">
        <v>1</v>
      </c>
      <c r="D2069" s="76" t="s">
        <v>94</v>
      </c>
      <c r="E2069" s="76" t="s">
        <v>114</v>
      </c>
      <c r="F2069" s="77" t="s">
        <v>242</v>
      </c>
      <c r="G2069" s="77" t="n">
        <v>5</v>
      </c>
      <c r="H2069" s="77" t="n">
        <v>0</v>
      </c>
      <c r="I2069" s="76" t="n">
        <f aca="false">IF(AND(ISNUMBER(G2069),ISNUMBER(H2069)),MAX(G2069-H2069,0),"")</f>
        <v>5</v>
      </c>
      <c r="J2069" s="78" t="n">
        <f aca="false">IF(AND(ISNUMBER(G2069),ISNUMBER(H2069)),IF(G2069&gt;0,H2069/G2069,""),"")</f>
        <v>0</v>
      </c>
      <c r="K2069" s="77"/>
      <c r="L2069" s="76" t="str">
        <f aca="false">IF(OR(G2069="",H2069=""),"Data tidak lengkap",IF(AND(G2069=0,H2069=0),IF(AND(F2069="",K2069=""),"Tidak dibuka","Tutup"),IF(H2069&gt;G2069,"Lebih kapasitas",IF(H2069=G2069,"Penuh",IF(H2069=0,IF(F2069="","Slot kosong","Belum terisi"),"Sebagian")))))</f>
        <v>Belum terisi</v>
      </c>
      <c r="M2069" s="79" t="str">
        <f aca="false">IF(L2069="Tidak dibuka","–",IF(F2069="","(tanpa age group)",F2069)&amp;"  "&amp;IF(H2069="","?",H2069)&amp;"/"&amp;IF(G2069="","?",G2069)&amp;CHAR(10)&amp;IF(K2069="","coach: –","coach: "&amp;K2069))</f>
        <v>Baby  0/5
coach: –</v>
      </c>
    </row>
    <row r="2070" customFormat="false" ht="22.35" hidden="false" customHeight="false" outlineLevel="0" collapsed="false">
      <c r="A2070" s="76" t="str">
        <f aca="false">B2070&amp;"|"&amp;C2070&amp;"|"&amp;D2070&amp;"|"&amp;E2070</f>
        <v>HIB|1|Jumat|11:45</v>
      </c>
      <c r="B2070" s="76" t="s">
        <v>71</v>
      </c>
      <c r="C2070" s="76" t="n">
        <v>1</v>
      </c>
      <c r="D2070" s="76" t="s">
        <v>94</v>
      </c>
      <c r="E2070" s="76" t="s">
        <v>115</v>
      </c>
      <c r="F2070" s="77" t="s">
        <v>242</v>
      </c>
      <c r="G2070" s="77" t="n">
        <v>5</v>
      </c>
      <c r="H2070" s="77" t="n">
        <v>0</v>
      </c>
      <c r="I2070" s="76" t="n">
        <f aca="false">IF(AND(ISNUMBER(G2070),ISNUMBER(H2070)),MAX(G2070-H2070,0),"")</f>
        <v>5</v>
      </c>
      <c r="J2070" s="78" t="n">
        <f aca="false">IF(AND(ISNUMBER(G2070),ISNUMBER(H2070)),IF(G2070&gt;0,H2070/G2070,""),"")</f>
        <v>0</v>
      </c>
      <c r="K2070" s="77"/>
      <c r="L2070" s="76" t="str">
        <f aca="false">IF(OR(G2070="",H2070=""),"Data tidak lengkap",IF(AND(G2070=0,H2070=0),IF(AND(F2070="",K2070=""),"Tidak dibuka","Tutup"),IF(H2070&gt;G2070,"Lebih kapasitas",IF(H2070=G2070,"Penuh",IF(H2070=0,IF(F2070="","Slot kosong","Belum terisi"),"Sebagian")))))</f>
        <v>Belum terisi</v>
      </c>
      <c r="M2070" s="79" t="str">
        <f aca="false">IF(L2070="Tidak dibuka","–",IF(F2070="","(tanpa age group)",F2070)&amp;"  "&amp;IF(H2070="","?",H2070)&amp;"/"&amp;IF(G2070="","?",G2070)&amp;CHAR(10)&amp;IF(K2070="","coach: –","coach: "&amp;K2070))</f>
        <v>Baby  0/5
coach: –</v>
      </c>
    </row>
    <row r="2071" customFormat="false" ht="22.35" hidden="false" customHeight="false" outlineLevel="0" collapsed="false">
      <c r="A2071" s="76" t="str">
        <f aca="false">B2071&amp;"|"&amp;C2071&amp;"|"&amp;D2071&amp;"|"&amp;E2071</f>
        <v>HIB|1|Jumat|13:15</v>
      </c>
      <c r="B2071" s="76" t="s">
        <v>71</v>
      </c>
      <c r="C2071" s="76" t="n">
        <v>1</v>
      </c>
      <c r="D2071" s="76" t="s">
        <v>94</v>
      </c>
      <c r="E2071" s="76" t="s">
        <v>116</v>
      </c>
      <c r="F2071" s="77" t="s">
        <v>242</v>
      </c>
      <c r="G2071" s="77" t="n">
        <v>5</v>
      </c>
      <c r="H2071" s="77" t="n">
        <v>0</v>
      </c>
      <c r="I2071" s="76" t="n">
        <f aca="false">IF(AND(ISNUMBER(G2071),ISNUMBER(H2071)),MAX(G2071-H2071,0),"")</f>
        <v>5</v>
      </c>
      <c r="J2071" s="78" t="n">
        <f aca="false">IF(AND(ISNUMBER(G2071),ISNUMBER(H2071)),IF(G2071&gt;0,H2071/G2071,""),"")</f>
        <v>0</v>
      </c>
      <c r="K2071" s="77"/>
      <c r="L2071" s="76" t="str">
        <f aca="false">IF(OR(G2071="",H2071=""),"Data tidak lengkap",IF(AND(G2071=0,H2071=0),IF(AND(F2071="",K2071=""),"Tidak dibuka","Tutup"),IF(H2071&gt;G2071,"Lebih kapasitas",IF(H2071=G2071,"Penuh",IF(H2071=0,IF(F2071="","Slot kosong","Belum terisi"),"Sebagian")))))</f>
        <v>Belum terisi</v>
      </c>
      <c r="M2071" s="79" t="str">
        <f aca="false">IF(L2071="Tidak dibuka","–",IF(F2071="","(tanpa age group)",F2071)&amp;"  "&amp;IF(H2071="","?",H2071)&amp;"/"&amp;IF(G2071="","?",G2071)&amp;CHAR(10)&amp;IF(K2071="","coach: –","coach: "&amp;K2071))</f>
        <v>Baby  0/5
coach: –</v>
      </c>
    </row>
    <row r="2072" customFormat="false" ht="22.35" hidden="false" customHeight="false" outlineLevel="0" collapsed="false">
      <c r="A2072" s="76" t="str">
        <f aca="false">B2072&amp;"|"&amp;C2072&amp;"|"&amp;D2072&amp;"|"&amp;E2072</f>
        <v>HIB|1|Jumat|14:00</v>
      </c>
      <c r="B2072" s="76" t="s">
        <v>71</v>
      </c>
      <c r="C2072" s="76" t="n">
        <v>1</v>
      </c>
      <c r="D2072" s="76" t="s">
        <v>94</v>
      </c>
      <c r="E2072" s="76" t="s">
        <v>117</v>
      </c>
      <c r="F2072" s="77" t="s">
        <v>242</v>
      </c>
      <c r="G2072" s="77" t="n">
        <v>5</v>
      </c>
      <c r="H2072" s="77" t="n">
        <v>0</v>
      </c>
      <c r="I2072" s="76" t="n">
        <f aca="false">IF(AND(ISNUMBER(G2072),ISNUMBER(H2072)),MAX(G2072-H2072,0),"")</f>
        <v>5</v>
      </c>
      <c r="J2072" s="78" t="n">
        <f aca="false">IF(AND(ISNUMBER(G2072),ISNUMBER(H2072)),IF(G2072&gt;0,H2072/G2072,""),"")</f>
        <v>0</v>
      </c>
      <c r="K2072" s="77"/>
      <c r="L2072" s="76" t="str">
        <f aca="false">IF(OR(G2072="",H2072=""),"Data tidak lengkap",IF(AND(G2072=0,H2072=0),IF(AND(F2072="",K2072=""),"Tidak dibuka","Tutup"),IF(H2072&gt;G2072,"Lebih kapasitas",IF(H2072=G2072,"Penuh",IF(H2072=0,IF(F2072="","Slot kosong","Belum terisi"),"Sebagian")))))</f>
        <v>Belum terisi</v>
      </c>
      <c r="M2072" s="79" t="str">
        <f aca="false">IF(L2072="Tidak dibuka","–",IF(F2072="","(tanpa age group)",F2072)&amp;"  "&amp;IF(H2072="","?",H2072)&amp;"/"&amp;IF(G2072="","?",G2072)&amp;CHAR(10)&amp;IF(K2072="","coach: –","coach: "&amp;K2072))</f>
        <v>Baby  0/5
coach: –</v>
      </c>
    </row>
    <row r="2073" customFormat="false" ht="22.35" hidden="false" customHeight="false" outlineLevel="0" collapsed="false">
      <c r="A2073" s="76" t="str">
        <f aca="false">B2073&amp;"|"&amp;C2073&amp;"|"&amp;D2073&amp;"|"&amp;E2073</f>
        <v>HIB|1|Jumat|14:45</v>
      </c>
      <c r="B2073" s="76" t="s">
        <v>71</v>
      </c>
      <c r="C2073" s="76" t="n">
        <v>1</v>
      </c>
      <c r="D2073" s="76" t="s">
        <v>94</v>
      </c>
      <c r="E2073" s="76" t="s">
        <v>118</v>
      </c>
      <c r="F2073" s="77" t="s">
        <v>242</v>
      </c>
      <c r="G2073" s="77" t="n">
        <v>5</v>
      </c>
      <c r="H2073" s="77" t="n">
        <v>0</v>
      </c>
      <c r="I2073" s="76" t="n">
        <f aca="false">IF(AND(ISNUMBER(G2073),ISNUMBER(H2073)),MAX(G2073-H2073,0),"")</f>
        <v>5</v>
      </c>
      <c r="J2073" s="78" t="n">
        <f aca="false">IF(AND(ISNUMBER(G2073),ISNUMBER(H2073)),IF(G2073&gt;0,H2073/G2073,""),"")</f>
        <v>0</v>
      </c>
      <c r="K2073" s="77"/>
      <c r="L2073" s="76" t="str">
        <f aca="false">IF(OR(G2073="",H2073=""),"Data tidak lengkap",IF(AND(G2073=0,H2073=0),IF(AND(F2073="",K2073=""),"Tidak dibuka","Tutup"),IF(H2073&gt;G2073,"Lebih kapasitas",IF(H2073=G2073,"Penuh",IF(H2073=0,IF(F2073="","Slot kosong","Belum terisi"),"Sebagian")))))</f>
        <v>Belum terisi</v>
      </c>
      <c r="M2073" s="79" t="str">
        <f aca="false">IF(L2073="Tidak dibuka","–",IF(F2073="","(tanpa age group)",F2073)&amp;"  "&amp;IF(H2073="","?",H2073)&amp;"/"&amp;IF(G2073="","?",G2073)&amp;CHAR(10)&amp;IF(K2073="","coach: –","coach: "&amp;K2073))</f>
        <v>Baby  0/5
coach: –</v>
      </c>
    </row>
    <row r="2074" customFormat="false" ht="22.35" hidden="false" customHeight="false" outlineLevel="0" collapsed="false">
      <c r="A2074" s="76" t="str">
        <f aca="false">B2074&amp;"|"&amp;C2074&amp;"|"&amp;D2074&amp;"|"&amp;E2074</f>
        <v>HIB|1|Jumat|15:30</v>
      </c>
      <c r="B2074" s="76" t="s">
        <v>71</v>
      </c>
      <c r="C2074" s="76" t="n">
        <v>1</v>
      </c>
      <c r="D2074" s="76" t="s">
        <v>94</v>
      </c>
      <c r="E2074" s="76" t="s">
        <v>119</v>
      </c>
      <c r="F2074" s="77" t="s">
        <v>242</v>
      </c>
      <c r="G2074" s="77" t="n">
        <v>5</v>
      </c>
      <c r="H2074" s="77" t="n">
        <v>0</v>
      </c>
      <c r="I2074" s="76" t="n">
        <f aca="false">IF(AND(ISNUMBER(G2074),ISNUMBER(H2074)),MAX(G2074-H2074,0),"")</f>
        <v>5</v>
      </c>
      <c r="J2074" s="78" t="n">
        <f aca="false">IF(AND(ISNUMBER(G2074),ISNUMBER(H2074)),IF(G2074&gt;0,H2074/G2074,""),"")</f>
        <v>0</v>
      </c>
      <c r="K2074" s="77"/>
      <c r="L2074" s="76" t="str">
        <f aca="false">IF(OR(G2074="",H2074=""),"Data tidak lengkap",IF(AND(G2074=0,H2074=0),IF(AND(F2074="",K2074=""),"Tidak dibuka","Tutup"),IF(H2074&gt;G2074,"Lebih kapasitas",IF(H2074=G2074,"Penuh",IF(H2074=0,IF(F2074="","Slot kosong","Belum terisi"),"Sebagian")))))</f>
        <v>Belum terisi</v>
      </c>
      <c r="M2074" s="79" t="str">
        <f aca="false">IF(L2074="Tidak dibuka","–",IF(F2074="","(tanpa age group)",F2074)&amp;"  "&amp;IF(H2074="","?",H2074)&amp;"/"&amp;IF(G2074="","?",G2074)&amp;CHAR(10)&amp;IF(K2074="","coach: –","coach: "&amp;K2074))</f>
        <v>Baby  0/5
coach: –</v>
      </c>
    </row>
    <row r="2075" customFormat="false" ht="22.35" hidden="false" customHeight="false" outlineLevel="0" collapsed="false">
      <c r="A2075" s="76" t="str">
        <f aca="false">B2075&amp;"|"&amp;C2075&amp;"|"&amp;D2075&amp;"|"&amp;E2075</f>
        <v>HIB|1|Jumat|16:15</v>
      </c>
      <c r="B2075" s="76" t="s">
        <v>71</v>
      </c>
      <c r="C2075" s="76" t="n">
        <v>1</v>
      </c>
      <c r="D2075" s="76" t="s">
        <v>94</v>
      </c>
      <c r="E2075" s="76" t="s">
        <v>120</v>
      </c>
      <c r="F2075" s="77" t="s">
        <v>242</v>
      </c>
      <c r="G2075" s="77" t="n">
        <v>5</v>
      </c>
      <c r="H2075" s="77" t="n">
        <v>2</v>
      </c>
      <c r="I2075" s="76" t="n">
        <f aca="false">IF(AND(ISNUMBER(G2075),ISNUMBER(H2075)),MAX(G2075-H2075,0),"")</f>
        <v>3</v>
      </c>
      <c r="J2075" s="78" t="n">
        <f aca="false">IF(AND(ISNUMBER(G2075),ISNUMBER(H2075)),IF(G2075&gt;0,H2075/G2075,""),"")</f>
        <v>0.4</v>
      </c>
      <c r="K2075" s="77" t="s">
        <v>481</v>
      </c>
      <c r="L2075" s="76" t="str">
        <f aca="false">IF(OR(G2075="",H2075=""),"Data tidak lengkap",IF(AND(G2075=0,H2075=0),IF(AND(F2075="",K2075=""),"Tidak dibuka","Tutup"),IF(H2075&gt;G2075,"Lebih kapasitas",IF(H2075=G2075,"Penuh",IF(H2075=0,IF(F2075="","Slot kosong","Belum terisi"),"Sebagian")))))</f>
        <v>Sebagian</v>
      </c>
      <c r="M2075" s="79" t="str">
        <f aca="false">IF(L2075="Tidak dibuka","–",IF(F2075="","(tanpa age group)",F2075)&amp;"  "&amp;IF(H2075="","?",H2075)&amp;"/"&amp;IF(G2075="","?",G2075)&amp;CHAR(10)&amp;IF(K2075="","coach: –","coach: "&amp;K2075))</f>
        <v>Baby  2/5
coach: Rizky</v>
      </c>
    </row>
    <row r="2076" customFormat="false" ht="22.35" hidden="false" customHeight="false" outlineLevel="0" collapsed="false">
      <c r="A2076" s="76" t="str">
        <f aca="false">B2076&amp;"|"&amp;C2076&amp;"|"&amp;D2076&amp;"|"&amp;E2076</f>
        <v>HIB|1|Jumat|17:00</v>
      </c>
      <c r="B2076" s="76" t="s">
        <v>71</v>
      </c>
      <c r="C2076" s="76" t="n">
        <v>1</v>
      </c>
      <c r="D2076" s="76" t="s">
        <v>94</v>
      </c>
      <c r="E2076" s="76" t="s">
        <v>121</v>
      </c>
      <c r="F2076" s="77" t="s">
        <v>242</v>
      </c>
      <c r="G2076" s="77" t="n">
        <v>5</v>
      </c>
      <c r="H2076" s="77" t="n">
        <v>0</v>
      </c>
      <c r="I2076" s="76" t="n">
        <f aca="false">IF(AND(ISNUMBER(G2076),ISNUMBER(H2076)),MAX(G2076-H2076,0),"")</f>
        <v>5</v>
      </c>
      <c r="J2076" s="78" t="n">
        <f aca="false">IF(AND(ISNUMBER(G2076),ISNUMBER(H2076)),IF(G2076&gt;0,H2076/G2076,""),"")</f>
        <v>0</v>
      </c>
      <c r="K2076" s="77"/>
      <c r="L2076" s="76" t="str">
        <f aca="false">IF(OR(G2076="",H2076=""),"Data tidak lengkap",IF(AND(G2076=0,H2076=0),IF(AND(F2076="",K2076=""),"Tidak dibuka","Tutup"),IF(H2076&gt;G2076,"Lebih kapasitas",IF(H2076=G2076,"Penuh",IF(H2076=0,IF(F2076="","Slot kosong","Belum terisi"),"Sebagian")))))</f>
        <v>Belum terisi</v>
      </c>
      <c r="M2076" s="79" t="str">
        <f aca="false">IF(L2076="Tidak dibuka","–",IF(F2076="","(tanpa age group)",F2076)&amp;"  "&amp;IF(H2076="","?",H2076)&amp;"/"&amp;IF(G2076="","?",G2076)&amp;CHAR(10)&amp;IF(K2076="","coach: –","coach: "&amp;K2076))</f>
        <v>Baby  0/5
coach: –</v>
      </c>
    </row>
    <row r="2077" customFormat="false" ht="22.35" hidden="false" customHeight="false" outlineLevel="0" collapsed="false">
      <c r="A2077" s="76" t="str">
        <f aca="false">B2077&amp;"|"&amp;C2077&amp;"|"&amp;D2077&amp;"|"&amp;E2077</f>
        <v>HIB|1|Sabtu|08:00</v>
      </c>
      <c r="B2077" s="76" t="s">
        <v>71</v>
      </c>
      <c r="C2077" s="76" t="n">
        <v>1</v>
      </c>
      <c r="D2077" s="76" t="s">
        <v>95</v>
      </c>
      <c r="E2077" s="76" t="s">
        <v>110</v>
      </c>
      <c r="F2077" s="77" t="s">
        <v>242</v>
      </c>
      <c r="G2077" s="77" t="n">
        <v>5</v>
      </c>
      <c r="H2077" s="77" t="n">
        <v>0</v>
      </c>
      <c r="I2077" s="76" t="n">
        <f aca="false">IF(AND(ISNUMBER(G2077),ISNUMBER(H2077)),MAX(G2077-H2077,0),"")</f>
        <v>5</v>
      </c>
      <c r="J2077" s="78" t="n">
        <f aca="false">IF(AND(ISNUMBER(G2077),ISNUMBER(H2077)),IF(G2077&gt;0,H2077/G2077,""),"")</f>
        <v>0</v>
      </c>
      <c r="K2077" s="77"/>
      <c r="L2077" s="76" t="str">
        <f aca="false">IF(OR(G2077="",H2077=""),"Data tidak lengkap",IF(AND(G2077=0,H2077=0),IF(AND(F2077="",K2077=""),"Tidak dibuka","Tutup"),IF(H2077&gt;G2077,"Lebih kapasitas",IF(H2077=G2077,"Penuh",IF(H2077=0,IF(F2077="","Slot kosong","Belum terisi"),"Sebagian")))))</f>
        <v>Belum terisi</v>
      </c>
      <c r="M2077" s="79" t="str">
        <f aca="false">IF(L2077="Tidak dibuka","–",IF(F2077="","(tanpa age group)",F2077)&amp;"  "&amp;IF(H2077="","?",H2077)&amp;"/"&amp;IF(G2077="","?",G2077)&amp;CHAR(10)&amp;IF(K2077="","coach: –","coach: "&amp;K2077))</f>
        <v>Baby  0/5
coach: –</v>
      </c>
    </row>
    <row r="2078" customFormat="false" ht="22.35" hidden="false" customHeight="false" outlineLevel="0" collapsed="false">
      <c r="A2078" s="76" t="str">
        <f aca="false">B2078&amp;"|"&amp;C2078&amp;"|"&amp;D2078&amp;"|"&amp;E2078</f>
        <v>HIB|1|Sabtu|08:45</v>
      </c>
      <c r="B2078" s="76" t="s">
        <v>71</v>
      </c>
      <c r="C2078" s="76" t="n">
        <v>1</v>
      </c>
      <c r="D2078" s="76" t="s">
        <v>95</v>
      </c>
      <c r="E2078" s="76" t="s">
        <v>111</v>
      </c>
      <c r="F2078" s="77" t="s">
        <v>242</v>
      </c>
      <c r="G2078" s="77" t="n">
        <v>5</v>
      </c>
      <c r="H2078" s="77" t="n">
        <v>1</v>
      </c>
      <c r="I2078" s="76" t="n">
        <f aca="false">IF(AND(ISNUMBER(G2078),ISNUMBER(H2078)),MAX(G2078-H2078,0),"")</f>
        <v>4</v>
      </c>
      <c r="J2078" s="78" t="n">
        <f aca="false">IF(AND(ISNUMBER(G2078),ISNUMBER(H2078)),IF(G2078&gt;0,H2078/G2078,""),"")</f>
        <v>0.2</v>
      </c>
      <c r="K2078" s="77" t="s">
        <v>487</v>
      </c>
      <c r="L2078" s="76" t="str">
        <f aca="false">IF(OR(G2078="",H2078=""),"Data tidak lengkap",IF(AND(G2078=0,H2078=0),IF(AND(F2078="",K2078=""),"Tidak dibuka","Tutup"),IF(H2078&gt;G2078,"Lebih kapasitas",IF(H2078=G2078,"Penuh",IF(H2078=0,IF(F2078="","Slot kosong","Belum terisi"),"Sebagian")))))</f>
        <v>Sebagian</v>
      </c>
      <c r="M2078" s="79" t="str">
        <f aca="false">IF(L2078="Tidak dibuka","–",IF(F2078="","(tanpa age group)",F2078)&amp;"  "&amp;IF(H2078="","?",H2078)&amp;"/"&amp;IF(G2078="","?",G2078)&amp;CHAR(10)&amp;IF(K2078="","coach: –","coach: "&amp;K2078))</f>
        <v>Baby  1/5
coach: Shabrina</v>
      </c>
    </row>
    <row r="2079" customFormat="false" ht="22.35" hidden="false" customHeight="false" outlineLevel="0" collapsed="false">
      <c r="A2079" s="76" t="str">
        <f aca="false">B2079&amp;"|"&amp;C2079&amp;"|"&amp;D2079&amp;"|"&amp;E2079</f>
        <v>HIB|1|Sabtu|09:30</v>
      </c>
      <c r="B2079" s="76" t="s">
        <v>71</v>
      </c>
      <c r="C2079" s="76" t="n">
        <v>1</v>
      </c>
      <c r="D2079" s="76" t="s">
        <v>95</v>
      </c>
      <c r="E2079" s="76" t="s">
        <v>112</v>
      </c>
      <c r="F2079" s="77" t="s">
        <v>242</v>
      </c>
      <c r="G2079" s="77" t="n">
        <v>5</v>
      </c>
      <c r="H2079" s="77" t="n">
        <v>1</v>
      </c>
      <c r="I2079" s="76" t="n">
        <f aca="false">IF(AND(ISNUMBER(G2079),ISNUMBER(H2079)),MAX(G2079-H2079,0),"")</f>
        <v>4</v>
      </c>
      <c r="J2079" s="78" t="n">
        <f aca="false">IF(AND(ISNUMBER(G2079),ISNUMBER(H2079)),IF(G2079&gt;0,H2079/G2079,""),"")</f>
        <v>0.2</v>
      </c>
      <c r="K2079" s="77" t="s">
        <v>481</v>
      </c>
      <c r="L2079" s="76" t="str">
        <f aca="false">IF(OR(G2079="",H2079=""),"Data tidak lengkap",IF(AND(G2079=0,H2079=0),IF(AND(F2079="",K2079=""),"Tidak dibuka","Tutup"),IF(H2079&gt;G2079,"Lebih kapasitas",IF(H2079=G2079,"Penuh",IF(H2079=0,IF(F2079="","Slot kosong","Belum terisi"),"Sebagian")))))</f>
        <v>Sebagian</v>
      </c>
      <c r="M2079" s="79" t="str">
        <f aca="false">IF(L2079="Tidak dibuka","–",IF(F2079="","(tanpa age group)",F2079)&amp;"  "&amp;IF(H2079="","?",H2079)&amp;"/"&amp;IF(G2079="","?",G2079)&amp;CHAR(10)&amp;IF(K2079="","coach: –","coach: "&amp;K2079))</f>
        <v>Baby  1/5
coach: Rizky</v>
      </c>
    </row>
    <row r="2080" customFormat="false" ht="22.35" hidden="false" customHeight="false" outlineLevel="0" collapsed="false">
      <c r="A2080" s="76" t="str">
        <f aca="false">B2080&amp;"|"&amp;C2080&amp;"|"&amp;D2080&amp;"|"&amp;E2080</f>
        <v>HIB|1|Sabtu|10:15</v>
      </c>
      <c r="B2080" s="76" t="s">
        <v>71</v>
      </c>
      <c r="C2080" s="76" t="n">
        <v>1</v>
      </c>
      <c r="D2080" s="76" t="s">
        <v>95</v>
      </c>
      <c r="E2080" s="76" t="s">
        <v>113</v>
      </c>
      <c r="F2080" s="77" t="s">
        <v>242</v>
      </c>
      <c r="G2080" s="77" t="n">
        <v>5</v>
      </c>
      <c r="H2080" s="77" t="n">
        <v>3</v>
      </c>
      <c r="I2080" s="76" t="n">
        <f aca="false">IF(AND(ISNUMBER(G2080),ISNUMBER(H2080)),MAX(G2080-H2080,0),"")</f>
        <v>2</v>
      </c>
      <c r="J2080" s="78" t="n">
        <f aca="false">IF(AND(ISNUMBER(G2080),ISNUMBER(H2080)),IF(G2080&gt;0,H2080/G2080,""),"")</f>
        <v>0.6</v>
      </c>
      <c r="K2080" s="77" t="s">
        <v>481</v>
      </c>
      <c r="L2080" s="76" t="str">
        <f aca="false">IF(OR(G2080="",H2080=""),"Data tidak lengkap",IF(AND(G2080=0,H2080=0),IF(AND(F2080="",K2080=""),"Tidak dibuka","Tutup"),IF(H2080&gt;G2080,"Lebih kapasitas",IF(H2080=G2080,"Penuh",IF(H2080=0,IF(F2080="","Slot kosong","Belum terisi"),"Sebagian")))))</f>
        <v>Sebagian</v>
      </c>
      <c r="M2080" s="79" t="str">
        <f aca="false">IF(L2080="Tidak dibuka","–",IF(F2080="","(tanpa age group)",F2080)&amp;"  "&amp;IF(H2080="","?",H2080)&amp;"/"&amp;IF(G2080="","?",G2080)&amp;CHAR(10)&amp;IF(K2080="","coach: –","coach: "&amp;K2080))</f>
        <v>Baby  3/5
coach: Rizky</v>
      </c>
    </row>
    <row r="2081" customFormat="false" ht="22.35" hidden="false" customHeight="false" outlineLevel="0" collapsed="false">
      <c r="A2081" s="76" t="str">
        <f aca="false">B2081&amp;"|"&amp;C2081&amp;"|"&amp;D2081&amp;"|"&amp;E2081</f>
        <v>HIB|1|Sabtu|11:00</v>
      </c>
      <c r="B2081" s="76" t="s">
        <v>71</v>
      </c>
      <c r="C2081" s="76" t="n">
        <v>1</v>
      </c>
      <c r="D2081" s="76" t="s">
        <v>95</v>
      </c>
      <c r="E2081" s="76" t="s">
        <v>114</v>
      </c>
      <c r="F2081" s="77" t="s">
        <v>242</v>
      </c>
      <c r="G2081" s="77" t="n">
        <v>5</v>
      </c>
      <c r="H2081" s="77" t="n">
        <v>0</v>
      </c>
      <c r="I2081" s="76" t="n">
        <f aca="false">IF(AND(ISNUMBER(G2081),ISNUMBER(H2081)),MAX(G2081-H2081,0),"")</f>
        <v>5</v>
      </c>
      <c r="J2081" s="78" t="n">
        <f aca="false">IF(AND(ISNUMBER(G2081),ISNUMBER(H2081)),IF(G2081&gt;0,H2081/G2081,""),"")</f>
        <v>0</v>
      </c>
      <c r="K2081" s="77"/>
      <c r="L2081" s="76" t="str">
        <f aca="false">IF(OR(G2081="",H2081=""),"Data tidak lengkap",IF(AND(G2081=0,H2081=0),IF(AND(F2081="",K2081=""),"Tidak dibuka","Tutup"),IF(H2081&gt;G2081,"Lebih kapasitas",IF(H2081=G2081,"Penuh",IF(H2081=0,IF(F2081="","Slot kosong","Belum terisi"),"Sebagian")))))</f>
        <v>Belum terisi</v>
      </c>
      <c r="M2081" s="79" t="str">
        <f aca="false">IF(L2081="Tidak dibuka","–",IF(F2081="","(tanpa age group)",F2081)&amp;"  "&amp;IF(H2081="","?",H2081)&amp;"/"&amp;IF(G2081="","?",G2081)&amp;CHAR(10)&amp;IF(K2081="","coach: –","coach: "&amp;K2081))</f>
        <v>Baby  0/5
coach: –</v>
      </c>
    </row>
    <row r="2082" customFormat="false" ht="22.35" hidden="false" customHeight="false" outlineLevel="0" collapsed="false">
      <c r="A2082" s="76" t="str">
        <f aca="false">B2082&amp;"|"&amp;C2082&amp;"|"&amp;D2082&amp;"|"&amp;E2082</f>
        <v>HIB|1|Sabtu|11:45</v>
      </c>
      <c r="B2082" s="76" t="s">
        <v>71</v>
      </c>
      <c r="C2082" s="76" t="n">
        <v>1</v>
      </c>
      <c r="D2082" s="76" t="s">
        <v>95</v>
      </c>
      <c r="E2082" s="76" t="s">
        <v>115</v>
      </c>
      <c r="F2082" s="77" t="s">
        <v>242</v>
      </c>
      <c r="G2082" s="77" t="n">
        <v>5</v>
      </c>
      <c r="H2082" s="77" t="n">
        <v>0</v>
      </c>
      <c r="I2082" s="76" t="n">
        <f aca="false">IF(AND(ISNUMBER(G2082),ISNUMBER(H2082)),MAX(G2082-H2082,0),"")</f>
        <v>5</v>
      </c>
      <c r="J2082" s="78" t="n">
        <f aca="false">IF(AND(ISNUMBER(G2082),ISNUMBER(H2082)),IF(G2082&gt;0,H2082/G2082,""),"")</f>
        <v>0</v>
      </c>
      <c r="K2082" s="77"/>
      <c r="L2082" s="76" t="str">
        <f aca="false">IF(OR(G2082="",H2082=""),"Data tidak lengkap",IF(AND(G2082=0,H2082=0),IF(AND(F2082="",K2082=""),"Tidak dibuka","Tutup"),IF(H2082&gt;G2082,"Lebih kapasitas",IF(H2082=G2082,"Penuh",IF(H2082=0,IF(F2082="","Slot kosong","Belum terisi"),"Sebagian")))))</f>
        <v>Belum terisi</v>
      </c>
      <c r="M2082" s="79" t="str">
        <f aca="false">IF(L2082="Tidak dibuka","–",IF(F2082="","(tanpa age group)",F2082)&amp;"  "&amp;IF(H2082="","?",H2082)&amp;"/"&amp;IF(G2082="","?",G2082)&amp;CHAR(10)&amp;IF(K2082="","coach: –","coach: "&amp;K2082))</f>
        <v>Baby  0/5
coach: –</v>
      </c>
    </row>
    <row r="2083" customFormat="false" ht="22.35" hidden="false" customHeight="false" outlineLevel="0" collapsed="false">
      <c r="A2083" s="76" t="str">
        <f aca="false">B2083&amp;"|"&amp;C2083&amp;"|"&amp;D2083&amp;"|"&amp;E2083</f>
        <v>HIB|1|Sabtu|13:15</v>
      </c>
      <c r="B2083" s="76" t="s">
        <v>71</v>
      </c>
      <c r="C2083" s="76" t="n">
        <v>1</v>
      </c>
      <c r="D2083" s="76" t="s">
        <v>95</v>
      </c>
      <c r="E2083" s="76" t="s">
        <v>116</v>
      </c>
      <c r="F2083" s="77" t="s">
        <v>242</v>
      </c>
      <c r="G2083" s="77" t="n">
        <v>5</v>
      </c>
      <c r="H2083" s="77" t="n">
        <v>1</v>
      </c>
      <c r="I2083" s="76" t="n">
        <f aca="false">IF(AND(ISNUMBER(G2083),ISNUMBER(H2083)),MAX(G2083-H2083,0),"")</f>
        <v>4</v>
      </c>
      <c r="J2083" s="78" t="n">
        <f aca="false">IF(AND(ISNUMBER(G2083),ISNUMBER(H2083)),IF(G2083&gt;0,H2083/G2083,""),"")</f>
        <v>0.2</v>
      </c>
      <c r="K2083" s="77" t="s">
        <v>481</v>
      </c>
      <c r="L2083" s="76" t="str">
        <f aca="false">IF(OR(G2083="",H2083=""),"Data tidak lengkap",IF(AND(G2083=0,H2083=0),IF(AND(F2083="",K2083=""),"Tidak dibuka","Tutup"),IF(H2083&gt;G2083,"Lebih kapasitas",IF(H2083=G2083,"Penuh",IF(H2083=0,IF(F2083="","Slot kosong","Belum terisi"),"Sebagian")))))</f>
        <v>Sebagian</v>
      </c>
      <c r="M2083" s="79" t="str">
        <f aca="false">IF(L2083="Tidak dibuka","–",IF(F2083="","(tanpa age group)",F2083)&amp;"  "&amp;IF(H2083="","?",H2083)&amp;"/"&amp;IF(G2083="","?",G2083)&amp;CHAR(10)&amp;IF(K2083="","coach: –","coach: "&amp;K2083))</f>
        <v>Baby  1/5
coach: Rizky</v>
      </c>
    </row>
    <row r="2084" customFormat="false" ht="22.35" hidden="false" customHeight="false" outlineLevel="0" collapsed="false">
      <c r="A2084" s="76" t="str">
        <f aca="false">B2084&amp;"|"&amp;C2084&amp;"|"&amp;D2084&amp;"|"&amp;E2084</f>
        <v>HIB|1|Sabtu|14:00</v>
      </c>
      <c r="B2084" s="76" t="s">
        <v>71</v>
      </c>
      <c r="C2084" s="76" t="n">
        <v>1</v>
      </c>
      <c r="D2084" s="76" t="s">
        <v>95</v>
      </c>
      <c r="E2084" s="76" t="s">
        <v>117</v>
      </c>
      <c r="F2084" s="77" t="s">
        <v>242</v>
      </c>
      <c r="G2084" s="77" t="n">
        <v>5</v>
      </c>
      <c r="H2084" s="77" t="n">
        <v>0</v>
      </c>
      <c r="I2084" s="76" t="n">
        <f aca="false">IF(AND(ISNUMBER(G2084),ISNUMBER(H2084)),MAX(G2084-H2084,0),"")</f>
        <v>5</v>
      </c>
      <c r="J2084" s="78" t="n">
        <f aca="false">IF(AND(ISNUMBER(G2084),ISNUMBER(H2084)),IF(G2084&gt;0,H2084/G2084,""),"")</f>
        <v>0</v>
      </c>
      <c r="K2084" s="77"/>
      <c r="L2084" s="76" t="str">
        <f aca="false">IF(OR(G2084="",H2084=""),"Data tidak lengkap",IF(AND(G2084=0,H2084=0),IF(AND(F2084="",K2084=""),"Tidak dibuka","Tutup"),IF(H2084&gt;G2084,"Lebih kapasitas",IF(H2084=G2084,"Penuh",IF(H2084=0,IF(F2084="","Slot kosong","Belum terisi"),"Sebagian")))))</f>
        <v>Belum terisi</v>
      </c>
      <c r="M2084" s="79" t="str">
        <f aca="false">IF(L2084="Tidak dibuka","–",IF(F2084="","(tanpa age group)",F2084)&amp;"  "&amp;IF(H2084="","?",H2084)&amp;"/"&amp;IF(G2084="","?",G2084)&amp;CHAR(10)&amp;IF(K2084="","coach: –","coach: "&amp;K2084))</f>
        <v>Baby  0/5
coach: –</v>
      </c>
    </row>
    <row r="2085" customFormat="false" ht="22.35" hidden="false" customHeight="false" outlineLevel="0" collapsed="false">
      <c r="A2085" s="76" t="str">
        <f aca="false">B2085&amp;"|"&amp;C2085&amp;"|"&amp;D2085&amp;"|"&amp;E2085</f>
        <v>HIB|1|Sabtu|14:45</v>
      </c>
      <c r="B2085" s="76" t="s">
        <v>71</v>
      </c>
      <c r="C2085" s="76" t="n">
        <v>1</v>
      </c>
      <c r="D2085" s="76" t="s">
        <v>95</v>
      </c>
      <c r="E2085" s="76" t="s">
        <v>118</v>
      </c>
      <c r="F2085" s="77" t="s">
        <v>242</v>
      </c>
      <c r="G2085" s="77" t="n">
        <v>5</v>
      </c>
      <c r="H2085" s="77" t="n">
        <v>0</v>
      </c>
      <c r="I2085" s="76" t="n">
        <f aca="false">IF(AND(ISNUMBER(G2085),ISNUMBER(H2085)),MAX(G2085-H2085,0),"")</f>
        <v>5</v>
      </c>
      <c r="J2085" s="78" t="n">
        <f aca="false">IF(AND(ISNUMBER(G2085),ISNUMBER(H2085)),IF(G2085&gt;0,H2085/G2085,""),"")</f>
        <v>0</v>
      </c>
      <c r="K2085" s="77"/>
      <c r="L2085" s="76" t="str">
        <f aca="false">IF(OR(G2085="",H2085=""),"Data tidak lengkap",IF(AND(G2085=0,H2085=0),IF(AND(F2085="",K2085=""),"Tidak dibuka","Tutup"),IF(H2085&gt;G2085,"Lebih kapasitas",IF(H2085=G2085,"Penuh",IF(H2085=0,IF(F2085="","Slot kosong","Belum terisi"),"Sebagian")))))</f>
        <v>Belum terisi</v>
      </c>
      <c r="M2085" s="79" t="str">
        <f aca="false">IF(L2085="Tidak dibuka","–",IF(F2085="","(tanpa age group)",F2085)&amp;"  "&amp;IF(H2085="","?",H2085)&amp;"/"&amp;IF(G2085="","?",G2085)&amp;CHAR(10)&amp;IF(K2085="","coach: –","coach: "&amp;K2085))</f>
        <v>Baby  0/5
coach: –</v>
      </c>
    </row>
    <row r="2086" customFormat="false" ht="22.35" hidden="false" customHeight="false" outlineLevel="0" collapsed="false">
      <c r="A2086" s="76" t="str">
        <f aca="false">B2086&amp;"|"&amp;C2086&amp;"|"&amp;D2086&amp;"|"&amp;E2086</f>
        <v>HIB|1|Sabtu|15:30</v>
      </c>
      <c r="B2086" s="76" t="s">
        <v>71</v>
      </c>
      <c r="C2086" s="76" t="n">
        <v>1</v>
      </c>
      <c r="D2086" s="76" t="s">
        <v>95</v>
      </c>
      <c r="E2086" s="76" t="s">
        <v>119</v>
      </c>
      <c r="F2086" s="77" t="s">
        <v>242</v>
      </c>
      <c r="G2086" s="77" t="n">
        <v>5</v>
      </c>
      <c r="H2086" s="77" t="n">
        <v>0</v>
      </c>
      <c r="I2086" s="76" t="n">
        <f aca="false">IF(AND(ISNUMBER(G2086),ISNUMBER(H2086)),MAX(G2086-H2086,0),"")</f>
        <v>5</v>
      </c>
      <c r="J2086" s="78" t="n">
        <f aca="false">IF(AND(ISNUMBER(G2086),ISNUMBER(H2086)),IF(G2086&gt;0,H2086/G2086,""),"")</f>
        <v>0</v>
      </c>
      <c r="K2086" s="77" t="s">
        <v>487</v>
      </c>
      <c r="L2086" s="76" t="str">
        <f aca="false">IF(OR(G2086="",H2086=""),"Data tidak lengkap",IF(AND(G2086=0,H2086=0),IF(AND(F2086="",K2086=""),"Tidak dibuka","Tutup"),IF(H2086&gt;G2086,"Lebih kapasitas",IF(H2086=G2086,"Penuh",IF(H2086=0,IF(F2086="","Slot kosong","Belum terisi"),"Sebagian")))))</f>
        <v>Belum terisi</v>
      </c>
      <c r="M2086" s="79" t="str">
        <f aca="false">IF(L2086="Tidak dibuka","–",IF(F2086="","(tanpa age group)",F2086)&amp;"  "&amp;IF(H2086="","?",H2086)&amp;"/"&amp;IF(G2086="","?",G2086)&amp;CHAR(10)&amp;IF(K2086="","coach: –","coach: "&amp;K2086))</f>
        <v>Baby  0/5
coach: Shabrina</v>
      </c>
    </row>
    <row r="2087" customFormat="false" ht="22.35" hidden="false" customHeight="false" outlineLevel="0" collapsed="false">
      <c r="A2087" s="76" t="str">
        <f aca="false">B2087&amp;"|"&amp;C2087&amp;"|"&amp;D2087&amp;"|"&amp;E2087</f>
        <v>HIB|1|Sabtu|16:15</v>
      </c>
      <c r="B2087" s="76" t="s">
        <v>71</v>
      </c>
      <c r="C2087" s="76" t="n">
        <v>1</v>
      </c>
      <c r="D2087" s="76" t="s">
        <v>95</v>
      </c>
      <c r="E2087" s="76" t="s">
        <v>120</v>
      </c>
      <c r="F2087" s="77" t="s">
        <v>242</v>
      </c>
      <c r="G2087" s="77" t="n">
        <v>5</v>
      </c>
      <c r="H2087" s="77" t="n">
        <v>2</v>
      </c>
      <c r="I2087" s="76" t="n">
        <f aca="false">IF(AND(ISNUMBER(G2087),ISNUMBER(H2087)),MAX(G2087-H2087,0),"")</f>
        <v>3</v>
      </c>
      <c r="J2087" s="78" t="n">
        <f aca="false">IF(AND(ISNUMBER(G2087),ISNUMBER(H2087)),IF(G2087&gt;0,H2087/G2087,""),"")</f>
        <v>0.4</v>
      </c>
      <c r="K2087" s="77" t="s">
        <v>487</v>
      </c>
      <c r="L2087" s="76" t="str">
        <f aca="false">IF(OR(G2087="",H2087=""),"Data tidak lengkap",IF(AND(G2087=0,H2087=0),IF(AND(F2087="",K2087=""),"Tidak dibuka","Tutup"),IF(H2087&gt;G2087,"Lebih kapasitas",IF(H2087=G2087,"Penuh",IF(H2087=0,IF(F2087="","Slot kosong","Belum terisi"),"Sebagian")))))</f>
        <v>Sebagian</v>
      </c>
      <c r="M2087" s="79" t="str">
        <f aca="false">IF(L2087="Tidak dibuka","–",IF(F2087="","(tanpa age group)",F2087)&amp;"  "&amp;IF(H2087="","?",H2087)&amp;"/"&amp;IF(G2087="","?",G2087)&amp;CHAR(10)&amp;IF(K2087="","coach: –","coach: "&amp;K2087))</f>
        <v>Baby  2/5
coach: Shabrina</v>
      </c>
    </row>
    <row r="2088" customFormat="false" ht="22.35" hidden="false" customHeight="false" outlineLevel="0" collapsed="false">
      <c r="A2088" s="76" t="str">
        <f aca="false">B2088&amp;"|"&amp;C2088&amp;"|"&amp;D2088&amp;"|"&amp;E2088</f>
        <v>HIB|1|Sabtu|17:00</v>
      </c>
      <c r="B2088" s="76" t="s">
        <v>71</v>
      </c>
      <c r="C2088" s="76" t="n">
        <v>1</v>
      </c>
      <c r="D2088" s="76" t="s">
        <v>95</v>
      </c>
      <c r="E2088" s="76" t="s">
        <v>121</v>
      </c>
      <c r="F2088" s="77" t="s">
        <v>242</v>
      </c>
      <c r="G2088" s="77" t="n">
        <v>5</v>
      </c>
      <c r="H2088" s="77" t="n">
        <v>0</v>
      </c>
      <c r="I2088" s="76" t="n">
        <f aca="false">IF(AND(ISNUMBER(G2088),ISNUMBER(H2088)),MAX(G2088-H2088,0),"")</f>
        <v>5</v>
      </c>
      <c r="J2088" s="78" t="n">
        <f aca="false">IF(AND(ISNUMBER(G2088),ISNUMBER(H2088)),IF(G2088&gt;0,H2088/G2088,""),"")</f>
        <v>0</v>
      </c>
      <c r="K2088" s="77"/>
      <c r="L2088" s="76" t="str">
        <f aca="false">IF(OR(G2088="",H2088=""),"Data tidak lengkap",IF(AND(G2088=0,H2088=0),IF(AND(F2088="",K2088=""),"Tidak dibuka","Tutup"),IF(H2088&gt;G2088,"Lebih kapasitas",IF(H2088=G2088,"Penuh",IF(H2088=0,IF(F2088="","Slot kosong","Belum terisi"),"Sebagian")))))</f>
        <v>Belum terisi</v>
      </c>
      <c r="M2088" s="79" t="str">
        <f aca="false">IF(L2088="Tidak dibuka","–",IF(F2088="","(tanpa age group)",F2088)&amp;"  "&amp;IF(H2088="","?",H2088)&amp;"/"&amp;IF(G2088="","?",G2088)&amp;CHAR(10)&amp;IF(K2088="","coach: –","coach: "&amp;K2088))</f>
        <v>Baby  0/5
coach: –</v>
      </c>
    </row>
    <row r="2089" customFormat="false" ht="22.35" hidden="false" customHeight="false" outlineLevel="0" collapsed="false">
      <c r="A2089" s="76" t="str">
        <f aca="false">B2089&amp;"|"&amp;C2089&amp;"|"&amp;D2089&amp;"|"&amp;E2089</f>
        <v>HIB|1|Minggu|08:00</v>
      </c>
      <c r="B2089" s="76" t="s">
        <v>71</v>
      </c>
      <c r="C2089" s="76" t="n">
        <v>1</v>
      </c>
      <c r="D2089" s="76" t="s">
        <v>78</v>
      </c>
      <c r="E2089" s="76" t="s">
        <v>110</v>
      </c>
      <c r="F2089" s="77" t="s">
        <v>242</v>
      </c>
      <c r="G2089" s="77" t="n">
        <v>5</v>
      </c>
      <c r="H2089" s="77" t="n">
        <v>0</v>
      </c>
      <c r="I2089" s="76" t="n">
        <f aca="false">IF(AND(ISNUMBER(G2089),ISNUMBER(H2089)),MAX(G2089-H2089,0),"")</f>
        <v>5</v>
      </c>
      <c r="J2089" s="78" t="n">
        <f aca="false">IF(AND(ISNUMBER(G2089),ISNUMBER(H2089)),IF(G2089&gt;0,H2089/G2089,""),"")</f>
        <v>0</v>
      </c>
      <c r="K2089" s="77"/>
      <c r="L2089" s="76" t="str">
        <f aca="false">IF(OR(G2089="",H2089=""),"Data tidak lengkap",IF(AND(G2089=0,H2089=0),IF(AND(F2089="",K2089=""),"Tidak dibuka","Tutup"),IF(H2089&gt;G2089,"Lebih kapasitas",IF(H2089=G2089,"Penuh",IF(H2089=0,IF(F2089="","Slot kosong","Belum terisi"),"Sebagian")))))</f>
        <v>Belum terisi</v>
      </c>
      <c r="M2089" s="79" t="str">
        <f aca="false">IF(L2089="Tidak dibuka","–",IF(F2089="","(tanpa age group)",F2089)&amp;"  "&amp;IF(H2089="","?",H2089)&amp;"/"&amp;IF(G2089="","?",G2089)&amp;CHAR(10)&amp;IF(K2089="","coach: –","coach: "&amp;K2089))</f>
        <v>Baby  0/5
coach: –</v>
      </c>
    </row>
    <row r="2090" customFormat="false" ht="22.35" hidden="false" customHeight="false" outlineLevel="0" collapsed="false">
      <c r="A2090" s="76" t="str">
        <f aca="false">B2090&amp;"|"&amp;C2090&amp;"|"&amp;D2090&amp;"|"&amp;E2090</f>
        <v>HIB|1|Minggu|08:45</v>
      </c>
      <c r="B2090" s="76" t="s">
        <v>71</v>
      </c>
      <c r="C2090" s="76" t="n">
        <v>1</v>
      </c>
      <c r="D2090" s="76" t="s">
        <v>78</v>
      </c>
      <c r="E2090" s="76" t="s">
        <v>111</v>
      </c>
      <c r="F2090" s="77" t="s">
        <v>242</v>
      </c>
      <c r="G2090" s="77" t="n">
        <v>5</v>
      </c>
      <c r="H2090" s="77" t="n">
        <v>0</v>
      </c>
      <c r="I2090" s="76" t="n">
        <f aca="false">IF(AND(ISNUMBER(G2090),ISNUMBER(H2090)),MAX(G2090-H2090,0),"")</f>
        <v>5</v>
      </c>
      <c r="J2090" s="78" t="n">
        <f aca="false">IF(AND(ISNUMBER(G2090),ISNUMBER(H2090)),IF(G2090&gt;0,H2090/G2090,""),"")</f>
        <v>0</v>
      </c>
      <c r="K2090" s="77"/>
      <c r="L2090" s="76" t="str">
        <f aca="false">IF(OR(G2090="",H2090=""),"Data tidak lengkap",IF(AND(G2090=0,H2090=0),IF(AND(F2090="",K2090=""),"Tidak dibuka","Tutup"),IF(H2090&gt;G2090,"Lebih kapasitas",IF(H2090=G2090,"Penuh",IF(H2090=0,IF(F2090="","Slot kosong","Belum terisi"),"Sebagian")))))</f>
        <v>Belum terisi</v>
      </c>
      <c r="M2090" s="79" t="str">
        <f aca="false">IF(L2090="Tidak dibuka","–",IF(F2090="","(tanpa age group)",F2090)&amp;"  "&amp;IF(H2090="","?",H2090)&amp;"/"&amp;IF(G2090="","?",G2090)&amp;CHAR(10)&amp;IF(K2090="","coach: –","coach: "&amp;K2090))</f>
        <v>Baby  0/5
coach: –</v>
      </c>
    </row>
    <row r="2091" customFormat="false" ht="22.35" hidden="false" customHeight="false" outlineLevel="0" collapsed="false">
      <c r="A2091" s="76" t="str">
        <f aca="false">B2091&amp;"|"&amp;C2091&amp;"|"&amp;D2091&amp;"|"&amp;E2091</f>
        <v>HIB|1|Minggu|09:30</v>
      </c>
      <c r="B2091" s="76" t="s">
        <v>71</v>
      </c>
      <c r="C2091" s="76" t="n">
        <v>1</v>
      </c>
      <c r="D2091" s="76" t="s">
        <v>78</v>
      </c>
      <c r="E2091" s="76" t="s">
        <v>112</v>
      </c>
      <c r="F2091" s="77" t="s">
        <v>242</v>
      </c>
      <c r="G2091" s="77" t="n">
        <v>5</v>
      </c>
      <c r="H2091" s="77" t="n">
        <v>4</v>
      </c>
      <c r="I2091" s="76" t="n">
        <f aca="false">IF(AND(ISNUMBER(G2091),ISNUMBER(H2091)),MAX(G2091-H2091,0),"")</f>
        <v>1</v>
      </c>
      <c r="J2091" s="78" t="n">
        <f aca="false">IF(AND(ISNUMBER(G2091),ISNUMBER(H2091)),IF(G2091&gt;0,H2091/G2091,""),"")</f>
        <v>0.8</v>
      </c>
      <c r="K2091" s="77" t="s">
        <v>481</v>
      </c>
      <c r="L2091" s="76" t="str">
        <f aca="false">IF(OR(G2091="",H2091=""),"Data tidak lengkap",IF(AND(G2091=0,H2091=0),IF(AND(F2091="",K2091=""),"Tidak dibuka","Tutup"),IF(H2091&gt;G2091,"Lebih kapasitas",IF(H2091=G2091,"Penuh",IF(H2091=0,IF(F2091="","Slot kosong","Belum terisi"),"Sebagian")))))</f>
        <v>Sebagian</v>
      </c>
      <c r="M2091" s="79" t="str">
        <f aca="false">IF(L2091="Tidak dibuka","–",IF(F2091="","(tanpa age group)",F2091)&amp;"  "&amp;IF(H2091="","?",H2091)&amp;"/"&amp;IF(G2091="","?",G2091)&amp;CHAR(10)&amp;IF(K2091="","coach: –","coach: "&amp;K2091))</f>
        <v>Baby  4/5
coach: Rizky</v>
      </c>
    </row>
    <row r="2092" customFormat="false" ht="22.35" hidden="false" customHeight="false" outlineLevel="0" collapsed="false">
      <c r="A2092" s="76" t="str">
        <f aca="false">B2092&amp;"|"&amp;C2092&amp;"|"&amp;D2092&amp;"|"&amp;E2092</f>
        <v>HIB|1|Minggu|10:15</v>
      </c>
      <c r="B2092" s="76" t="s">
        <v>71</v>
      </c>
      <c r="C2092" s="76" t="n">
        <v>1</v>
      </c>
      <c r="D2092" s="76" t="s">
        <v>78</v>
      </c>
      <c r="E2092" s="76" t="s">
        <v>113</v>
      </c>
      <c r="F2092" s="77" t="s">
        <v>242</v>
      </c>
      <c r="G2092" s="77" t="n">
        <v>5</v>
      </c>
      <c r="H2092" s="77" t="n">
        <v>0</v>
      </c>
      <c r="I2092" s="76" t="n">
        <f aca="false">IF(AND(ISNUMBER(G2092),ISNUMBER(H2092)),MAX(G2092-H2092,0),"")</f>
        <v>5</v>
      </c>
      <c r="J2092" s="78" t="n">
        <f aca="false">IF(AND(ISNUMBER(G2092),ISNUMBER(H2092)),IF(G2092&gt;0,H2092/G2092,""),"")</f>
        <v>0</v>
      </c>
      <c r="K2092" s="77"/>
      <c r="L2092" s="76" t="str">
        <f aca="false">IF(OR(G2092="",H2092=""),"Data tidak lengkap",IF(AND(G2092=0,H2092=0),IF(AND(F2092="",K2092=""),"Tidak dibuka","Tutup"),IF(H2092&gt;G2092,"Lebih kapasitas",IF(H2092=G2092,"Penuh",IF(H2092=0,IF(F2092="","Slot kosong","Belum terisi"),"Sebagian")))))</f>
        <v>Belum terisi</v>
      </c>
      <c r="M2092" s="79" t="str">
        <f aca="false">IF(L2092="Tidak dibuka","–",IF(F2092="","(tanpa age group)",F2092)&amp;"  "&amp;IF(H2092="","?",H2092)&amp;"/"&amp;IF(G2092="","?",G2092)&amp;CHAR(10)&amp;IF(K2092="","coach: –","coach: "&amp;K2092))</f>
        <v>Baby  0/5
coach: –</v>
      </c>
    </row>
    <row r="2093" customFormat="false" ht="22.35" hidden="false" customHeight="false" outlineLevel="0" collapsed="false">
      <c r="A2093" s="76" t="str">
        <f aca="false">B2093&amp;"|"&amp;C2093&amp;"|"&amp;D2093&amp;"|"&amp;E2093</f>
        <v>HIB|1|Minggu|11:00</v>
      </c>
      <c r="B2093" s="76" t="s">
        <v>71</v>
      </c>
      <c r="C2093" s="76" t="n">
        <v>1</v>
      </c>
      <c r="D2093" s="76" t="s">
        <v>78</v>
      </c>
      <c r="E2093" s="76" t="s">
        <v>114</v>
      </c>
      <c r="F2093" s="77" t="s">
        <v>242</v>
      </c>
      <c r="G2093" s="77" t="n">
        <v>5</v>
      </c>
      <c r="H2093" s="77" t="n">
        <v>0</v>
      </c>
      <c r="I2093" s="76" t="n">
        <f aca="false">IF(AND(ISNUMBER(G2093),ISNUMBER(H2093)),MAX(G2093-H2093,0),"")</f>
        <v>5</v>
      </c>
      <c r="J2093" s="78" t="n">
        <f aca="false">IF(AND(ISNUMBER(G2093),ISNUMBER(H2093)),IF(G2093&gt;0,H2093/G2093,""),"")</f>
        <v>0</v>
      </c>
      <c r="K2093" s="77"/>
      <c r="L2093" s="76" t="str">
        <f aca="false">IF(OR(G2093="",H2093=""),"Data tidak lengkap",IF(AND(G2093=0,H2093=0),IF(AND(F2093="",K2093=""),"Tidak dibuka","Tutup"),IF(H2093&gt;G2093,"Lebih kapasitas",IF(H2093=G2093,"Penuh",IF(H2093=0,IF(F2093="","Slot kosong","Belum terisi"),"Sebagian")))))</f>
        <v>Belum terisi</v>
      </c>
      <c r="M2093" s="79" t="str">
        <f aca="false">IF(L2093="Tidak dibuka","–",IF(F2093="","(tanpa age group)",F2093)&amp;"  "&amp;IF(H2093="","?",H2093)&amp;"/"&amp;IF(G2093="","?",G2093)&amp;CHAR(10)&amp;IF(K2093="","coach: –","coach: "&amp;K2093))</f>
        <v>Baby  0/5
coach: –</v>
      </c>
    </row>
    <row r="2094" customFormat="false" ht="22.35" hidden="false" customHeight="false" outlineLevel="0" collapsed="false">
      <c r="A2094" s="76" t="str">
        <f aca="false">B2094&amp;"|"&amp;C2094&amp;"|"&amp;D2094&amp;"|"&amp;E2094</f>
        <v>HIB|1|Minggu|11:45</v>
      </c>
      <c r="B2094" s="76" t="s">
        <v>71</v>
      </c>
      <c r="C2094" s="76" t="n">
        <v>1</v>
      </c>
      <c r="D2094" s="76" t="s">
        <v>78</v>
      </c>
      <c r="E2094" s="76" t="s">
        <v>115</v>
      </c>
      <c r="F2094" s="77" t="s">
        <v>242</v>
      </c>
      <c r="G2094" s="77" t="n">
        <v>5</v>
      </c>
      <c r="H2094" s="77" t="n">
        <v>1</v>
      </c>
      <c r="I2094" s="76" t="n">
        <f aca="false">IF(AND(ISNUMBER(G2094),ISNUMBER(H2094)),MAX(G2094-H2094,0),"")</f>
        <v>4</v>
      </c>
      <c r="J2094" s="78" t="n">
        <f aca="false">IF(AND(ISNUMBER(G2094),ISNUMBER(H2094)),IF(G2094&gt;0,H2094/G2094,""),"")</f>
        <v>0.2</v>
      </c>
      <c r="K2094" s="77" t="s">
        <v>481</v>
      </c>
      <c r="L2094" s="76" t="str">
        <f aca="false">IF(OR(G2094="",H2094=""),"Data tidak lengkap",IF(AND(G2094=0,H2094=0),IF(AND(F2094="",K2094=""),"Tidak dibuka","Tutup"),IF(H2094&gt;G2094,"Lebih kapasitas",IF(H2094=G2094,"Penuh",IF(H2094=0,IF(F2094="","Slot kosong","Belum terisi"),"Sebagian")))))</f>
        <v>Sebagian</v>
      </c>
      <c r="M2094" s="79" t="str">
        <f aca="false">IF(L2094="Tidak dibuka","–",IF(F2094="","(tanpa age group)",F2094)&amp;"  "&amp;IF(H2094="","?",H2094)&amp;"/"&amp;IF(G2094="","?",G2094)&amp;CHAR(10)&amp;IF(K2094="","coach: –","coach: "&amp;K2094))</f>
        <v>Baby  1/5
coach: Rizky</v>
      </c>
    </row>
    <row r="2095" customFormat="false" ht="22.35" hidden="false" customHeight="false" outlineLevel="0" collapsed="false">
      <c r="A2095" s="76" t="str">
        <f aca="false">B2095&amp;"|"&amp;C2095&amp;"|"&amp;D2095&amp;"|"&amp;E2095</f>
        <v>HIB|1|Minggu|13:15</v>
      </c>
      <c r="B2095" s="76" t="s">
        <v>71</v>
      </c>
      <c r="C2095" s="76" t="n">
        <v>1</v>
      </c>
      <c r="D2095" s="76" t="s">
        <v>78</v>
      </c>
      <c r="E2095" s="76" t="s">
        <v>116</v>
      </c>
      <c r="F2095" s="77" t="s">
        <v>242</v>
      </c>
      <c r="G2095" s="77" t="n">
        <v>5</v>
      </c>
      <c r="H2095" s="77" t="n">
        <v>0</v>
      </c>
      <c r="I2095" s="76" t="n">
        <f aca="false">IF(AND(ISNUMBER(G2095),ISNUMBER(H2095)),MAX(G2095-H2095,0),"")</f>
        <v>5</v>
      </c>
      <c r="J2095" s="78" t="n">
        <f aca="false">IF(AND(ISNUMBER(G2095),ISNUMBER(H2095)),IF(G2095&gt;0,H2095/G2095,""),"")</f>
        <v>0</v>
      </c>
      <c r="K2095" s="77"/>
      <c r="L2095" s="76" t="str">
        <f aca="false">IF(OR(G2095="",H2095=""),"Data tidak lengkap",IF(AND(G2095=0,H2095=0),IF(AND(F2095="",K2095=""),"Tidak dibuka","Tutup"),IF(H2095&gt;G2095,"Lebih kapasitas",IF(H2095=G2095,"Penuh",IF(H2095=0,IF(F2095="","Slot kosong","Belum terisi"),"Sebagian")))))</f>
        <v>Belum terisi</v>
      </c>
      <c r="M2095" s="79" t="str">
        <f aca="false">IF(L2095="Tidak dibuka","–",IF(F2095="","(tanpa age group)",F2095)&amp;"  "&amp;IF(H2095="","?",H2095)&amp;"/"&amp;IF(G2095="","?",G2095)&amp;CHAR(10)&amp;IF(K2095="","coach: –","coach: "&amp;K2095))</f>
        <v>Baby  0/5
coach: –</v>
      </c>
    </row>
    <row r="2096" customFormat="false" ht="22.35" hidden="false" customHeight="false" outlineLevel="0" collapsed="false">
      <c r="A2096" s="76" t="str">
        <f aca="false">B2096&amp;"|"&amp;C2096&amp;"|"&amp;D2096&amp;"|"&amp;E2096</f>
        <v>HIB|1|Minggu|14:00</v>
      </c>
      <c r="B2096" s="76" t="s">
        <v>71</v>
      </c>
      <c r="C2096" s="76" t="n">
        <v>1</v>
      </c>
      <c r="D2096" s="76" t="s">
        <v>78</v>
      </c>
      <c r="E2096" s="76" t="s">
        <v>117</v>
      </c>
      <c r="F2096" s="77" t="s">
        <v>242</v>
      </c>
      <c r="G2096" s="77" t="n">
        <v>5</v>
      </c>
      <c r="H2096" s="77" t="n">
        <v>1</v>
      </c>
      <c r="I2096" s="76" t="n">
        <f aca="false">IF(AND(ISNUMBER(G2096),ISNUMBER(H2096)),MAX(G2096-H2096,0),"")</f>
        <v>4</v>
      </c>
      <c r="J2096" s="78" t="n">
        <f aca="false">IF(AND(ISNUMBER(G2096),ISNUMBER(H2096)),IF(G2096&gt;0,H2096/G2096,""),"")</f>
        <v>0.2</v>
      </c>
      <c r="K2096" s="77" t="s">
        <v>481</v>
      </c>
      <c r="L2096" s="76" t="str">
        <f aca="false">IF(OR(G2096="",H2096=""),"Data tidak lengkap",IF(AND(G2096=0,H2096=0),IF(AND(F2096="",K2096=""),"Tidak dibuka","Tutup"),IF(H2096&gt;G2096,"Lebih kapasitas",IF(H2096=G2096,"Penuh",IF(H2096=0,IF(F2096="","Slot kosong","Belum terisi"),"Sebagian")))))</f>
        <v>Sebagian</v>
      </c>
      <c r="M2096" s="79" t="str">
        <f aca="false">IF(L2096="Tidak dibuka","–",IF(F2096="","(tanpa age group)",F2096)&amp;"  "&amp;IF(H2096="","?",H2096)&amp;"/"&amp;IF(G2096="","?",G2096)&amp;CHAR(10)&amp;IF(K2096="","coach: –","coach: "&amp;K2096))</f>
        <v>Baby  1/5
coach: Rizky</v>
      </c>
    </row>
    <row r="2097" customFormat="false" ht="22.35" hidden="false" customHeight="false" outlineLevel="0" collapsed="false">
      <c r="A2097" s="76" t="str">
        <f aca="false">B2097&amp;"|"&amp;C2097&amp;"|"&amp;D2097&amp;"|"&amp;E2097</f>
        <v>HIB|1|Minggu|14:45</v>
      </c>
      <c r="B2097" s="76" t="s">
        <v>71</v>
      </c>
      <c r="C2097" s="76" t="n">
        <v>1</v>
      </c>
      <c r="D2097" s="76" t="s">
        <v>78</v>
      </c>
      <c r="E2097" s="76" t="s">
        <v>118</v>
      </c>
      <c r="F2097" s="77" t="s">
        <v>242</v>
      </c>
      <c r="G2097" s="77" t="n">
        <v>5</v>
      </c>
      <c r="H2097" s="77" t="n">
        <v>0</v>
      </c>
      <c r="I2097" s="76" t="n">
        <f aca="false">IF(AND(ISNUMBER(G2097),ISNUMBER(H2097)),MAX(G2097-H2097,0),"")</f>
        <v>5</v>
      </c>
      <c r="J2097" s="78" t="n">
        <f aca="false">IF(AND(ISNUMBER(G2097),ISNUMBER(H2097)),IF(G2097&gt;0,H2097/G2097,""),"")</f>
        <v>0</v>
      </c>
      <c r="K2097" s="77"/>
      <c r="L2097" s="76" t="str">
        <f aca="false">IF(OR(G2097="",H2097=""),"Data tidak lengkap",IF(AND(G2097=0,H2097=0),IF(AND(F2097="",K2097=""),"Tidak dibuka","Tutup"),IF(H2097&gt;G2097,"Lebih kapasitas",IF(H2097=G2097,"Penuh",IF(H2097=0,IF(F2097="","Slot kosong","Belum terisi"),"Sebagian")))))</f>
        <v>Belum terisi</v>
      </c>
      <c r="M2097" s="79" t="str">
        <f aca="false">IF(L2097="Tidak dibuka","–",IF(F2097="","(tanpa age group)",F2097)&amp;"  "&amp;IF(H2097="","?",H2097)&amp;"/"&amp;IF(G2097="","?",G2097)&amp;CHAR(10)&amp;IF(K2097="","coach: –","coach: "&amp;K2097))</f>
        <v>Baby  0/5
coach: –</v>
      </c>
    </row>
    <row r="2098" customFormat="false" ht="22.35" hidden="false" customHeight="false" outlineLevel="0" collapsed="false">
      <c r="A2098" s="76" t="str">
        <f aca="false">B2098&amp;"|"&amp;C2098&amp;"|"&amp;D2098&amp;"|"&amp;E2098</f>
        <v>HIB|1|Minggu|15:30</v>
      </c>
      <c r="B2098" s="76" t="s">
        <v>71</v>
      </c>
      <c r="C2098" s="76" t="n">
        <v>1</v>
      </c>
      <c r="D2098" s="76" t="s">
        <v>78</v>
      </c>
      <c r="E2098" s="76" t="s">
        <v>119</v>
      </c>
      <c r="F2098" s="77" t="s">
        <v>242</v>
      </c>
      <c r="G2098" s="77" t="n">
        <v>5</v>
      </c>
      <c r="H2098" s="77" t="n">
        <v>0</v>
      </c>
      <c r="I2098" s="76" t="n">
        <f aca="false">IF(AND(ISNUMBER(G2098),ISNUMBER(H2098)),MAX(G2098-H2098,0),"")</f>
        <v>5</v>
      </c>
      <c r="J2098" s="78" t="n">
        <f aca="false">IF(AND(ISNUMBER(G2098),ISNUMBER(H2098)),IF(G2098&gt;0,H2098/G2098,""),"")</f>
        <v>0</v>
      </c>
      <c r="K2098" s="77"/>
      <c r="L2098" s="76" t="str">
        <f aca="false">IF(OR(G2098="",H2098=""),"Data tidak lengkap",IF(AND(G2098=0,H2098=0),IF(AND(F2098="",K2098=""),"Tidak dibuka","Tutup"),IF(H2098&gt;G2098,"Lebih kapasitas",IF(H2098=G2098,"Penuh",IF(H2098=0,IF(F2098="","Slot kosong","Belum terisi"),"Sebagian")))))</f>
        <v>Belum terisi</v>
      </c>
      <c r="M2098" s="79" t="str">
        <f aca="false">IF(L2098="Tidak dibuka","–",IF(F2098="","(tanpa age group)",F2098)&amp;"  "&amp;IF(H2098="","?",H2098)&amp;"/"&amp;IF(G2098="","?",G2098)&amp;CHAR(10)&amp;IF(K2098="","coach: –","coach: "&amp;K2098))</f>
        <v>Baby  0/5
coach: –</v>
      </c>
    </row>
    <row r="2099" customFormat="false" ht="22.35" hidden="false" customHeight="false" outlineLevel="0" collapsed="false">
      <c r="A2099" s="76" t="str">
        <f aca="false">B2099&amp;"|"&amp;C2099&amp;"|"&amp;D2099&amp;"|"&amp;E2099</f>
        <v>HIB|1|Minggu|16:15</v>
      </c>
      <c r="B2099" s="76" t="s">
        <v>71</v>
      </c>
      <c r="C2099" s="76" t="n">
        <v>1</v>
      </c>
      <c r="D2099" s="76" t="s">
        <v>78</v>
      </c>
      <c r="E2099" s="76" t="s">
        <v>120</v>
      </c>
      <c r="F2099" s="77" t="s">
        <v>242</v>
      </c>
      <c r="G2099" s="77" t="n">
        <v>5</v>
      </c>
      <c r="H2099" s="77" t="n">
        <v>0</v>
      </c>
      <c r="I2099" s="76" t="n">
        <f aca="false">IF(AND(ISNUMBER(G2099),ISNUMBER(H2099)),MAX(G2099-H2099,0),"")</f>
        <v>5</v>
      </c>
      <c r="J2099" s="78" t="n">
        <f aca="false">IF(AND(ISNUMBER(G2099),ISNUMBER(H2099)),IF(G2099&gt;0,H2099/G2099,""),"")</f>
        <v>0</v>
      </c>
      <c r="K2099" s="77"/>
      <c r="L2099" s="76" t="str">
        <f aca="false">IF(OR(G2099="",H2099=""),"Data tidak lengkap",IF(AND(G2099=0,H2099=0),IF(AND(F2099="",K2099=""),"Tidak dibuka","Tutup"),IF(H2099&gt;G2099,"Lebih kapasitas",IF(H2099=G2099,"Penuh",IF(H2099=0,IF(F2099="","Slot kosong","Belum terisi"),"Sebagian")))))</f>
        <v>Belum terisi</v>
      </c>
      <c r="M2099" s="79" t="str">
        <f aca="false">IF(L2099="Tidak dibuka","–",IF(F2099="","(tanpa age group)",F2099)&amp;"  "&amp;IF(H2099="","?",H2099)&amp;"/"&amp;IF(G2099="","?",G2099)&amp;CHAR(10)&amp;IF(K2099="","coach: –","coach: "&amp;K2099))</f>
        <v>Baby  0/5
coach: –</v>
      </c>
    </row>
    <row r="2100" customFormat="false" ht="22.35" hidden="false" customHeight="false" outlineLevel="0" collapsed="false">
      <c r="A2100" s="76" t="str">
        <f aca="false">B2100&amp;"|"&amp;C2100&amp;"|"&amp;D2100&amp;"|"&amp;E2100</f>
        <v>HIB|1|Minggu|17:00</v>
      </c>
      <c r="B2100" s="76" t="s">
        <v>71</v>
      </c>
      <c r="C2100" s="76" t="n">
        <v>1</v>
      </c>
      <c r="D2100" s="76" t="s">
        <v>78</v>
      </c>
      <c r="E2100" s="76" t="s">
        <v>121</v>
      </c>
      <c r="F2100" s="77" t="s">
        <v>242</v>
      </c>
      <c r="G2100" s="77" t="n">
        <v>5</v>
      </c>
      <c r="H2100" s="77" t="n">
        <v>0</v>
      </c>
      <c r="I2100" s="76" t="n">
        <f aca="false">IF(AND(ISNUMBER(G2100),ISNUMBER(H2100)),MAX(G2100-H2100,0),"")</f>
        <v>5</v>
      </c>
      <c r="J2100" s="78" t="n">
        <f aca="false">IF(AND(ISNUMBER(G2100),ISNUMBER(H2100)),IF(G2100&gt;0,H2100/G2100,""),"")</f>
        <v>0</v>
      </c>
      <c r="K2100" s="77"/>
      <c r="L2100" s="76" t="str">
        <f aca="false">IF(OR(G2100="",H2100=""),"Data tidak lengkap",IF(AND(G2100=0,H2100=0),IF(AND(F2100="",K2100=""),"Tidak dibuka","Tutup"),IF(H2100&gt;G2100,"Lebih kapasitas",IF(H2100=G2100,"Penuh",IF(H2100=0,IF(F2100="","Slot kosong","Belum terisi"),"Sebagian")))))</f>
        <v>Belum terisi</v>
      </c>
      <c r="M2100" s="79" t="str">
        <f aca="false">IF(L2100="Tidak dibuka","–",IF(F2100="","(tanpa age group)",F2100)&amp;"  "&amp;IF(H2100="","?",H2100)&amp;"/"&amp;IF(G2100="","?",G2100)&amp;CHAR(10)&amp;IF(K2100="","coach: –","coach: "&amp;K2100))</f>
        <v>Baby  0/5
coach: –</v>
      </c>
    </row>
    <row r="2101" customFormat="false" ht="22.35" hidden="false" customHeight="false" outlineLevel="0" collapsed="false">
      <c r="A2101" s="76" t="str">
        <f aca="false">B2101&amp;"|"&amp;C2101&amp;"|"&amp;D2101&amp;"|"&amp;E2101</f>
        <v>HIB|2|Senin|08:00</v>
      </c>
      <c r="B2101" s="76" t="s">
        <v>71</v>
      </c>
      <c r="C2101" s="76" t="n">
        <v>2</v>
      </c>
      <c r="D2101" s="76" t="s">
        <v>90</v>
      </c>
      <c r="E2101" s="76" t="s">
        <v>110</v>
      </c>
      <c r="F2101" s="77" t="s">
        <v>42</v>
      </c>
      <c r="G2101" s="77" t="n">
        <v>5</v>
      </c>
      <c r="H2101" s="77" t="n">
        <v>0</v>
      </c>
      <c r="I2101" s="76" t="n">
        <f aca="false">IF(AND(ISNUMBER(G2101),ISNUMBER(H2101)),MAX(G2101-H2101,0),"")</f>
        <v>5</v>
      </c>
      <c r="J2101" s="78" t="n">
        <f aca="false">IF(AND(ISNUMBER(G2101),ISNUMBER(H2101)),IF(G2101&gt;0,H2101/G2101,""),"")</f>
        <v>0</v>
      </c>
      <c r="K2101" s="77"/>
      <c r="L2101" s="76" t="str">
        <f aca="false">IF(OR(G2101="",H2101=""),"Data tidak lengkap",IF(AND(G2101=0,H2101=0),IF(AND(F2101="",K2101=""),"Tidak dibuka","Tutup"),IF(H2101&gt;G2101,"Lebih kapasitas",IF(H2101=G2101,"Penuh",IF(H2101=0,IF(F2101="","Slot kosong","Belum terisi"),"Sebagian")))))</f>
        <v>Belum terisi</v>
      </c>
      <c r="M2101" s="79" t="str">
        <f aca="false">IF(L2101="Tidak dibuka","–",IF(F2101="","(tanpa age group)",F2101)&amp;"  "&amp;IF(H2101="","?",H2101)&amp;"/"&amp;IF(G2101="","?",G2101)&amp;CHAR(10)&amp;IF(K2101="","coach: –","coach: "&amp;K2101))</f>
        <v>Tiny  0/5
coach: –</v>
      </c>
    </row>
    <row r="2102" customFormat="false" ht="22.35" hidden="false" customHeight="false" outlineLevel="0" collapsed="false">
      <c r="A2102" s="76" t="str">
        <f aca="false">B2102&amp;"|"&amp;C2102&amp;"|"&amp;D2102&amp;"|"&amp;E2102</f>
        <v>HIB|2|Senin|08:45</v>
      </c>
      <c r="B2102" s="76" t="s">
        <v>71</v>
      </c>
      <c r="C2102" s="76" t="n">
        <v>2</v>
      </c>
      <c r="D2102" s="76" t="s">
        <v>90</v>
      </c>
      <c r="E2102" s="76" t="s">
        <v>111</v>
      </c>
      <c r="F2102" s="77" t="s">
        <v>42</v>
      </c>
      <c r="G2102" s="77" t="n">
        <v>5</v>
      </c>
      <c r="H2102" s="77" t="n">
        <v>0</v>
      </c>
      <c r="I2102" s="76" t="n">
        <f aca="false">IF(AND(ISNUMBER(G2102),ISNUMBER(H2102)),MAX(G2102-H2102,0),"")</f>
        <v>5</v>
      </c>
      <c r="J2102" s="78" t="n">
        <f aca="false">IF(AND(ISNUMBER(G2102),ISNUMBER(H2102)),IF(G2102&gt;0,H2102/G2102,""),"")</f>
        <v>0</v>
      </c>
      <c r="K2102" s="77"/>
      <c r="L2102" s="76" t="str">
        <f aca="false">IF(OR(G2102="",H2102=""),"Data tidak lengkap",IF(AND(G2102=0,H2102=0),IF(AND(F2102="",K2102=""),"Tidak dibuka","Tutup"),IF(H2102&gt;G2102,"Lebih kapasitas",IF(H2102=G2102,"Penuh",IF(H2102=0,IF(F2102="","Slot kosong","Belum terisi"),"Sebagian")))))</f>
        <v>Belum terisi</v>
      </c>
      <c r="M2102" s="79" t="str">
        <f aca="false">IF(L2102="Tidak dibuka","–",IF(F2102="","(tanpa age group)",F2102)&amp;"  "&amp;IF(H2102="","?",H2102)&amp;"/"&amp;IF(G2102="","?",G2102)&amp;CHAR(10)&amp;IF(K2102="","coach: –","coach: "&amp;K2102))</f>
        <v>Tiny  0/5
coach: –</v>
      </c>
    </row>
    <row r="2103" customFormat="false" ht="22.35" hidden="false" customHeight="false" outlineLevel="0" collapsed="false">
      <c r="A2103" s="76" t="str">
        <f aca="false">B2103&amp;"|"&amp;C2103&amp;"|"&amp;D2103&amp;"|"&amp;E2103</f>
        <v>HIB|2|Senin|09:30</v>
      </c>
      <c r="B2103" s="76" t="s">
        <v>71</v>
      </c>
      <c r="C2103" s="76" t="n">
        <v>2</v>
      </c>
      <c r="D2103" s="76" t="s">
        <v>90</v>
      </c>
      <c r="E2103" s="76" t="s">
        <v>112</v>
      </c>
      <c r="F2103" s="77" t="s">
        <v>42</v>
      </c>
      <c r="G2103" s="77" t="n">
        <v>5</v>
      </c>
      <c r="H2103" s="77" t="n">
        <v>0</v>
      </c>
      <c r="I2103" s="76" t="n">
        <f aca="false">IF(AND(ISNUMBER(G2103),ISNUMBER(H2103)),MAX(G2103-H2103,0),"")</f>
        <v>5</v>
      </c>
      <c r="J2103" s="78" t="n">
        <f aca="false">IF(AND(ISNUMBER(G2103),ISNUMBER(H2103)),IF(G2103&gt;0,H2103/G2103,""),"")</f>
        <v>0</v>
      </c>
      <c r="K2103" s="77"/>
      <c r="L2103" s="76" t="str">
        <f aca="false">IF(OR(G2103="",H2103=""),"Data tidak lengkap",IF(AND(G2103=0,H2103=0),IF(AND(F2103="",K2103=""),"Tidak dibuka","Tutup"),IF(H2103&gt;G2103,"Lebih kapasitas",IF(H2103=G2103,"Penuh",IF(H2103=0,IF(F2103="","Slot kosong","Belum terisi"),"Sebagian")))))</f>
        <v>Belum terisi</v>
      </c>
      <c r="M2103" s="79" t="str">
        <f aca="false">IF(L2103="Tidak dibuka","–",IF(F2103="","(tanpa age group)",F2103)&amp;"  "&amp;IF(H2103="","?",H2103)&amp;"/"&amp;IF(G2103="","?",G2103)&amp;CHAR(10)&amp;IF(K2103="","coach: –","coach: "&amp;K2103))</f>
        <v>Tiny  0/5
coach: –</v>
      </c>
    </row>
    <row r="2104" customFormat="false" ht="22.35" hidden="false" customHeight="false" outlineLevel="0" collapsed="false">
      <c r="A2104" s="76" t="str">
        <f aca="false">B2104&amp;"|"&amp;C2104&amp;"|"&amp;D2104&amp;"|"&amp;E2104</f>
        <v>HIB|2|Senin|10:15</v>
      </c>
      <c r="B2104" s="76" t="s">
        <v>71</v>
      </c>
      <c r="C2104" s="76" t="n">
        <v>2</v>
      </c>
      <c r="D2104" s="76" t="s">
        <v>90</v>
      </c>
      <c r="E2104" s="76" t="s">
        <v>113</v>
      </c>
      <c r="F2104" s="77" t="s">
        <v>42</v>
      </c>
      <c r="G2104" s="77" t="n">
        <v>5</v>
      </c>
      <c r="H2104" s="77" t="n">
        <v>1</v>
      </c>
      <c r="I2104" s="76" t="n">
        <f aca="false">IF(AND(ISNUMBER(G2104),ISNUMBER(H2104)),MAX(G2104-H2104,0),"")</f>
        <v>4</v>
      </c>
      <c r="J2104" s="78" t="n">
        <f aca="false">IF(AND(ISNUMBER(G2104),ISNUMBER(H2104)),IF(G2104&gt;0,H2104/G2104,""),"")</f>
        <v>0.2</v>
      </c>
      <c r="K2104" s="77" t="s">
        <v>487</v>
      </c>
      <c r="L2104" s="76" t="str">
        <f aca="false">IF(OR(G2104="",H2104=""),"Data tidak lengkap",IF(AND(G2104=0,H2104=0),IF(AND(F2104="",K2104=""),"Tidak dibuka","Tutup"),IF(H2104&gt;G2104,"Lebih kapasitas",IF(H2104=G2104,"Penuh",IF(H2104=0,IF(F2104="","Slot kosong","Belum terisi"),"Sebagian")))))</f>
        <v>Sebagian</v>
      </c>
      <c r="M2104" s="79" t="str">
        <f aca="false">IF(L2104="Tidak dibuka","–",IF(F2104="","(tanpa age group)",F2104)&amp;"  "&amp;IF(H2104="","?",H2104)&amp;"/"&amp;IF(G2104="","?",G2104)&amp;CHAR(10)&amp;IF(K2104="","coach: –","coach: "&amp;K2104))</f>
        <v>Tiny  1/5
coach: Shabrina</v>
      </c>
    </row>
    <row r="2105" customFormat="false" ht="22.35" hidden="false" customHeight="false" outlineLevel="0" collapsed="false">
      <c r="A2105" s="76" t="str">
        <f aca="false">B2105&amp;"|"&amp;C2105&amp;"|"&amp;D2105&amp;"|"&amp;E2105</f>
        <v>HIB|2|Senin|11:00</v>
      </c>
      <c r="B2105" s="76" t="s">
        <v>71</v>
      </c>
      <c r="C2105" s="76" t="n">
        <v>2</v>
      </c>
      <c r="D2105" s="76" t="s">
        <v>90</v>
      </c>
      <c r="E2105" s="76" t="s">
        <v>114</v>
      </c>
      <c r="F2105" s="77" t="s">
        <v>42</v>
      </c>
      <c r="G2105" s="77" t="n">
        <v>5</v>
      </c>
      <c r="H2105" s="77" t="n">
        <v>0</v>
      </c>
      <c r="I2105" s="76" t="n">
        <f aca="false">IF(AND(ISNUMBER(G2105),ISNUMBER(H2105)),MAX(G2105-H2105,0),"")</f>
        <v>5</v>
      </c>
      <c r="J2105" s="78" t="n">
        <f aca="false">IF(AND(ISNUMBER(G2105),ISNUMBER(H2105)),IF(G2105&gt;0,H2105/G2105,""),"")</f>
        <v>0</v>
      </c>
      <c r="K2105" s="77"/>
      <c r="L2105" s="76" t="str">
        <f aca="false">IF(OR(G2105="",H2105=""),"Data tidak lengkap",IF(AND(G2105=0,H2105=0),IF(AND(F2105="",K2105=""),"Tidak dibuka","Tutup"),IF(H2105&gt;G2105,"Lebih kapasitas",IF(H2105=G2105,"Penuh",IF(H2105=0,IF(F2105="","Slot kosong","Belum terisi"),"Sebagian")))))</f>
        <v>Belum terisi</v>
      </c>
      <c r="M2105" s="79" t="str">
        <f aca="false">IF(L2105="Tidak dibuka","–",IF(F2105="","(tanpa age group)",F2105)&amp;"  "&amp;IF(H2105="","?",H2105)&amp;"/"&amp;IF(G2105="","?",G2105)&amp;CHAR(10)&amp;IF(K2105="","coach: –","coach: "&amp;K2105))</f>
        <v>Tiny  0/5
coach: –</v>
      </c>
    </row>
    <row r="2106" customFormat="false" ht="22.35" hidden="false" customHeight="false" outlineLevel="0" collapsed="false">
      <c r="A2106" s="76" t="str">
        <f aca="false">B2106&amp;"|"&amp;C2106&amp;"|"&amp;D2106&amp;"|"&amp;E2106</f>
        <v>HIB|2|Senin|11:45</v>
      </c>
      <c r="B2106" s="76" t="s">
        <v>71</v>
      </c>
      <c r="C2106" s="76" t="n">
        <v>2</v>
      </c>
      <c r="D2106" s="76" t="s">
        <v>90</v>
      </c>
      <c r="E2106" s="76" t="s">
        <v>115</v>
      </c>
      <c r="F2106" s="77" t="s">
        <v>42</v>
      </c>
      <c r="G2106" s="77" t="n">
        <v>5</v>
      </c>
      <c r="H2106" s="77" t="n">
        <v>0</v>
      </c>
      <c r="I2106" s="76" t="n">
        <f aca="false">IF(AND(ISNUMBER(G2106),ISNUMBER(H2106)),MAX(G2106-H2106,0),"")</f>
        <v>5</v>
      </c>
      <c r="J2106" s="78" t="n">
        <f aca="false">IF(AND(ISNUMBER(G2106),ISNUMBER(H2106)),IF(G2106&gt;0,H2106/G2106,""),"")</f>
        <v>0</v>
      </c>
      <c r="K2106" s="77"/>
      <c r="L2106" s="76" t="str">
        <f aca="false">IF(OR(G2106="",H2106=""),"Data tidak lengkap",IF(AND(G2106=0,H2106=0),IF(AND(F2106="",K2106=""),"Tidak dibuka","Tutup"),IF(H2106&gt;G2106,"Lebih kapasitas",IF(H2106=G2106,"Penuh",IF(H2106=0,IF(F2106="","Slot kosong","Belum terisi"),"Sebagian")))))</f>
        <v>Belum terisi</v>
      </c>
      <c r="M2106" s="79" t="str">
        <f aca="false">IF(L2106="Tidak dibuka","–",IF(F2106="","(tanpa age group)",F2106)&amp;"  "&amp;IF(H2106="","?",H2106)&amp;"/"&amp;IF(G2106="","?",G2106)&amp;CHAR(10)&amp;IF(K2106="","coach: –","coach: "&amp;K2106))</f>
        <v>Tiny  0/5
coach: –</v>
      </c>
    </row>
    <row r="2107" customFormat="false" ht="22.35" hidden="false" customHeight="false" outlineLevel="0" collapsed="false">
      <c r="A2107" s="76" t="str">
        <f aca="false">B2107&amp;"|"&amp;C2107&amp;"|"&amp;D2107&amp;"|"&amp;E2107</f>
        <v>HIB|2|Senin|13:15</v>
      </c>
      <c r="B2107" s="76" t="s">
        <v>71</v>
      </c>
      <c r="C2107" s="76" t="n">
        <v>2</v>
      </c>
      <c r="D2107" s="76" t="s">
        <v>90</v>
      </c>
      <c r="E2107" s="76" t="s">
        <v>116</v>
      </c>
      <c r="F2107" s="77" t="s">
        <v>42</v>
      </c>
      <c r="G2107" s="77" t="n">
        <v>5</v>
      </c>
      <c r="H2107" s="77" t="n">
        <v>0</v>
      </c>
      <c r="I2107" s="76" t="n">
        <f aca="false">IF(AND(ISNUMBER(G2107),ISNUMBER(H2107)),MAX(G2107-H2107,0),"")</f>
        <v>5</v>
      </c>
      <c r="J2107" s="78" t="n">
        <f aca="false">IF(AND(ISNUMBER(G2107),ISNUMBER(H2107)),IF(G2107&gt;0,H2107/G2107,""),"")</f>
        <v>0</v>
      </c>
      <c r="K2107" s="77"/>
      <c r="L2107" s="76" t="str">
        <f aca="false">IF(OR(G2107="",H2107=""),"Data tidak lengkap",IF(AND(G2107=0,H2107=0),IF(AND(F2107="",K2107=""),"Tidak dibuka","Tutup"),IF(H2107&gt;G2107,"Lebih kapasitas",IF(H2107=G2107,"Penuh",IF(H2107=0,IF(F2107="","Slot kosong","Belum terisi"),"Sebagian")))))</f>
        <v>Belum terisi</v>
      </c>
      <c r="M2107" s="79" t="str">
        <f aca="false">IF(L2107="Tidak dibuka","–",IF(F2107="","(tanpa age group)",F2107)&amp;"  "&amp;IF(H2107="","?",H2107)&amp;"/"&amp;IF(G2107="","?",G2107)&amp;CHAR(10)&amp;IF(K2107="","coach: –","coach: "&amp;K2107))</f>
        <v>Tiny  0/5
coach: –</v>
      </c>
    </row>
    <row r="2108" customFormat="false" ht="22.35" hidden="false" customHeight="false" outlineLevel="0" collapsed="false">
      <c r="A2108" s="76" t="str">
        <f aca="false">B2108&amp;"|"&amp;C2108&amp;"|"&amp;D2108&amp;"|"&amp;E2108</f>
        <v>HIB|2|Senin|14:00</v>
      </c>
      <c r="B2108" s="76" t="s">
        <v>71</v>
      </c>
      <c r="C2108" s="76" t="n">
        <v>2</v>
      </c>
      <c r="D2108" s="76" t="s">
        <v>90</v>
      </c>
      <c r="E2108" s="76" t="s">
        <v>117</v>
      </c>
      <c r="F2108" s="77" t="s">
        <v>42</v>
      </c>
      <c r="G2108" s="77" t="n">
        <v>5</v>
      </c>
      <c r="H2108" s="77" t="n">
        <v>0</v>
      </c>
      <c r="I2108" s="76" t="n">
        <f aca="false">IF(AND(ISNUMBER(G2108),ISNUMBER(H2108)),MAX(G2108-H2108,0),"")</f>
        <v>5</v>
      </c>
      <c r="J2108" s="78" t="n">
        <f aca="false">IF(AND(ISNUMBER(G2108),ISNUMBER(H2108)),IF(G2108&gt;0,H2108/G2108,""),"")</f>
        <v>0</v>
      </c>
      <c r="K2108" s="77"/>
      <c r="L2108" s="76" t="str">
        <f aca="false">IF(OR(G2108="",H2108=""),"Data tidak lengkap",IF(AND(G2108=0,H2108=0),IF(AND(F2108="",K2108=""),"Tidak dibuka","Tutup"),IF(H2108&gt;G2108,"Lebih kapasitas",IF(H2108=G2108,"Penuh",IF(H2108=0,IF(F2108="","Slot kosong","Belum terisi"),"Sebagian")))))</f>
        <v>Belum terisi</v>
      </c>
      <c r="M2108" s="79" t="str">
        <f aca="false">IF(L2108="Tidak dibuka","–",IF(F2108="","(tanpa age group)",F2108)&amp;"  "&amp;IF(H2108="","?",H2108)&amp;"/"&amp;IF(G2108="","?",G2108)&amp;CHAR(10)&amp;IF(K2108="","coach: –","coach: "&amp;K2108))</f>
        <v>Tiny  0/5
coach: –</v>
      </c>
    </row>
    <row r="2109" customFormat="false" ht="22.35" hidden="false" customHeight="false" outlineLevel="0" collapsed="false">
      <c r="A2109" s="76" t="str">
        <f aca="false">B2109&amp;"|"&amp;C2109&amp;"|"&amp;D2109&amp;"|"&amp;E2109</f>
        <v>HIB|2|Senin|14:45</v>
      </c>
      <c r="B2109" s="76" t="s">
        <v>71</v>
      </c>
      <c r="C2109" s="76" t="n">
        <v>2</v>
      </c>
      <c r="D2109" s="76" t="s">
        <v>90</v>
      </c>
      <c r="E2109" s="76" t="s">
        <v>118</v>
      </c>
      <c r="F2109" s="77" t="s">
        <v>42</v>
      </c>
      <c r="G2109" s="77" t="n">
        <v>5</v>
      </c>
      <c r="H2109" s="77" t="n">
        <v>0</v>
      </c>
      <c r="I2109" s="76" t="n">
        <f aca="false">IF(AND(ISNUMBER(G2109),ISNUMBER(H2109)),MAX(G2109-H2109,0),"")</f>
        <v>5</v>
      </c>
      <c r="J2109" s="78" t="n">
        <f aca="false">IF(AND(ISNUMBER(G2109),ISNUMBER(H2109)),IF(G2109&gt;0,H2109/G2109,""),"")</f>
        <v>0</v>
      </c>
      <c r="K2109" s="77"/>
      <c r="L2109" s="76" t="str">
        <f aca="false">IF(OR(G2109="",H2109=""),"Data tidak lengkap",IF(AND(G2109=0,H2109=0),IF(AND(F2109="",K2109=""),"Tidak dibuka","Tutup"),IF(H2109&gt;G2109,"Lebih kapasitas",IF(H2109=G2109,"Penuh",IF(H2109=0,IF(F2109="","Slot kosong","Belum terisi"),"Sebagian")))))</f>
        <v>Belum terisi</v>
      </c>
      <c r="M2109" s="79" t="str">
        <f aca="false">IF(L2109="Tidak dibuka","–",IF(F2109="","(tanpa age group)",F2109)&amp;"  "&amp;IF(H2109="","?",H2109)&amp;"/"&amp;IF(G2109="","?",G2109)&amp;CHAR(10)&amp;IF(K2109="","coach: –","coach: "&amp;K2109))</f>
        <v>Tiny  0/5
coach: –</v>
      </c>
    </row>
    <row r="2110" customFormat="false" ht="22.35" hidden="false" customHeight="false" outlineLevel="0" collapsed="false">
      <c r="A2110" s="76" t="str">
        <f aca="false">B2110&amp;"|"&amp;C2110&amp;"|"&amp;D2110&amp;"|"&amp;E2110</f>
        <v>HIB|2|Senin|15:30</v>
      </c>
      <c r="B2110" s="76" t="s">
        <v>71</v>
      </c>
      <c r="C2110" s="76" t="n">
        <v>2</v>
      </c>
      <c r="D2110" s="76" t="s">
        <v>90</v>
      </c>
      <c r="E2110" s="76" t="s">
        <v>119</v>
      </c>
      <c r="F2110" s="77" t="s">
        <v>42</v>
      </c>
      <c r="G2110" s="77" t="n">
        <v>5</v>
      </c>
      <c r="H2110" s="77" t="n">
        <v>0</v>
      </c>
      <c r="I2110" s="76" t="n">
        <f aca="false">IF(AND(ISNUMBER(G2110),ISNUMBER(H2110)),MAX(G2110-H2110,0),"")</f>
        <v>5</v>
      </c>
      <c r="J2110" s="78" t="n">
        <f aca="false">IF(AND(ISNUMBER(G2110),ISNUMBER(H2110)),IF(G2110&gt;0,H2110/G2110,""),"")</f>
        <v>0</v>
      </c>
      <c r="K2110" s="77"/>
      <c r="L2110" s="76" t="str">
        <f aca="false">IF(OR(G2110="",H2110=""),"Data tidak lengkap",IF(AND(G2110=0,H2110=0),IF(AND(F2110="",K2110=""),"Tidak dibuka","Tutup"),IF(H2110&gt;G2110,"Lebih kapasitas",IF(H2110=G2110,"Penuh",IF(H2110=0,IF(F2110="","Slot kosong","Belum terisi"),"Sebagian")))))</f>
        <v>Belum terisi</v>
      </c>
      <c r="M2110" s="79" t="str">
        <f aca="false">IF(L2110="Tidak dibuka","–",IF(F2110="","(tanpa age group)",F2110)&amp;"  "&amp;IF(H2110="","?",H2110)&amp;"/"&amp;IF(G2110="","?",G2110)&amp;CHAR(10)&amp;IF(K2110="","coach: –","coach: "&amp;K2110))</f>
        <v>Tiny  0/5
coach: –</v>
      </c>
    </row>
    <row r="2111" customFormat="false" ht="22.35" hidden="false" customHeight="false" outlineLevel="0" collapsed="false">
      <c r="A2111" s="76" t="str">
        <f aca="false">B2111&amp;"|"&amp;C2111&amp;"|"&amp;D2111&amp;"|"&amp;E2111</f>
        <v>HIB|2|Senin|16:15</v>
      </c>
      <c r="B2111" s="76" t="s">
        <v>71</v>
      </c>
      <c r="C2111" s="76" t="n">
        <v>2</v>
      </c>
      <c r="D2111" s="76" t="s">
        <v>90</v>
      </c>
      <c r="E2111" s="76" t="s">
        <v>120</v>
      </c>
      <c r="F2111" s="77" t="s">
        <v>42</v>
      </c>
      <c r="G2111" s="77" t="n">
        <v>5</v>
      </c>
      <c r="H2111" s="77" t="n">
        <v>0</v>
      </c>
      <c r="I2111" s="76" t="n">
        <f aca="false">IF(AND(ISNUMBER(G2111),ISNUMBER(H2111)),MAX(G2111-H2111,0),"")</f>
        <v>5</v>
      </c>
      <c r="J2111" s="78" t="n">
        <f aca="false">IF(AND(ISNUMBER(G2111),ISNUMBER(H2111)),IF(G2111&gt;0,H2111/G2111,""),"")</f>
        <v>0</v>
      </c>
      <c r="K2111" s="77"/>
      <c r="L2111" s="76" t="str">
        <f aca="false">IF(OR(G2111="",H2111=""),"Data tidak lengkap",IF(AND(G2111=0,H2111=0),IF(AND(F2111="",K2111=""),"Tidak dibuka","Tutup"),IF(H2111&gt;G2111,"Lebih kapasitas",IF(H2111=G2111,"Penuh",IF(H2111=0,IF(F2111="","Slot kosong","Belum terisi"),"Sebagian")))))</f>
        <v>Belum terisi</v>
      </c>
      <c r="M2111" s="79" t="str">
        <f aca="false">IF(L2111="Tidak dibuka","–",IF(F2111="","(tanpa age group)",F2111)&amp;"  "&amp;IF(H2111="","?",H2111)&amp;"/"&amp;IF(G2111="","?",G2111)&amp;CHAR(10)&amp;IF(K2111="","coach: –","coach: "&amp;K2111))</f>
        <v>Tiny  0/5
coach: –</v>
      </c>
    </row>
    <row r="2112" customFormat="false" ht="22.35" hidden="false" customHeight="false" outlineLevel="0" collapsed="false">
      <c r="A2112" s="76" t="str">
        <f aca="false">B2112&amp;"|"&amp;C2112&amp;"|"&amp;D2112&amp;"|"&amp;E2112</f>
        <v>HIB|2|Senin|17:00</v>
      </c>
      <c r="B2112" s="76" t="s">
        <v>71</v>
      </c>
      <c r="C2112" s="76" t="n">
        <v>2</v>
      </c>
      <c r="D2112" s="76" t="s">
        <v>90</v>
      </c>
      <c r="E2112" s="76" t="s">
        <v>121</v>
      </c>
      <c r="F2112" s="77" t="s">
        <v>42</v>
      </c>
      <c r="G2112" s="77" t="n">
        <v>5</v>
      </c>
      <c r="H2112" s="77" t="n">
        <v>0</v>
      </c>
      <c r="I2112" s="76" t="n">
        <f aca="false">IF(AND(ISNUMBER(G2112),ISNUMBER(H2112)),MAX(G2112-H2112,0),"")</f>
        <v>5</v>
      </c>
      <c r="J2112" s="78" t="n">
        <f aca="false">IF(AND(ISNUMBER(G2112),ISNUMBER(H2112)),IF(G2112&gt;0,H2112/G2112,""),"")</f>
        <v>0</v>
      </c>
      <c r="K2112" s="77"/>
      <c r="L2112" s="76" t="str">
        <f aca="false">IF(OR(G2112="",H2112=""),"Data tidak lengkap",IF(AND(G2112=0,H2112=0),IF(AND(F2112="",K2112=""),"Tidak dibuka","Tutup"),IF(H2112&gt;G2112,"Lebih kapasitas",IF(H2112=G2112,"Penuh",IF(H2112=0,IF(F2112="","Slot kosong","Belum terisi"),"Sebagian")))))</f>
        <v>Belum terisi</v>
      </c>
      <c r="M2112" s="79" t="str">
        <f aca="false">IF(L2112="Tidak dibuka","–",IF(F2112="","(tanpa age group)",F2112)&amp;"  "&amp;IF(H2112="","?",H2112)&amp;"/"&amp;IF(G2112="","?",G2112)&amp;CHAR(10)&amp;IF(K2112="","coach: –","coach: "&amp;K2112))</f>
        <v>Tiny  0/5
coach: –</v>
      </c>
    </row>
    <row r="2113" customFormat="false" ht="22.35" hidden="false" customHeight="false" outlineLevel="0" collapsed="false">
      <c r="A2113" s="76" t="str">
        <f aca="false">B2113&amp;"|"&amp;C2113&amp;"|"&amp;D2113&amp;"|"&amp;E2113</f>
        <v>HIB|2|Selasa|08:00</v>
      </c>
      <c r="B2113" s="76" t="s">
        <v>71</v>
      </c>
      <c r="C2113" s="76" t="n">
        <v>2</v>
      </c>
      <c r="D2113" s="76" t="s">
        <v>91</v>
      </c>
      <c r="E2113" s="76" t="s">
        <v>110</v>
      </c>
      <c r="F2113" s="77" t="s">
        <v>42</v>
      </c>
      <c r="G2113" s="77" t="n">
        <v>5</v>
      </c>
      <c r="H2113" s="77" t="n">
        <v>0</v>
      </c>
      <c r="I2113" s="76" t="n">
        <f aca="false">IF(AND(ISNUMBER(G2113),ISNUMBER(H2113)),MAX(G2113-H2113,0),"")</f>
        <v>5</v>
      </c>
      <c r="J2113" s="78" t="n">
        <f aca="false">IF(AND(ISNUMBER(G2113),ISNUMBER(H2113)),IF(G2113&gt;0,H2113/G2113,""),"")</f>
        <v>0</v>
      </c>
      <c r="K2113" s="77"/>
      <c r="L2113" s="76" t="str">
        <f aca="false">IF(OR(G2113="",H2113=""),"Data tidak lengkap",IF(AND(G2113=0,H2113=0),IF(AND(F2113="",K2113=""),"Tidak dibuka","Tutup"),IF(H2113&gt;G2113,"Lebih kapasitas",IF(H2113=G2113,"Penuh",IF(H2113=0,IF(F2113="","Slot kosong","Belum terisi"),"Sebagian")))))</f>
        <v>Belum terisi</v>
      </c>
      <c r="M2113" s="79" t="str">
        <f aca="false">IF(L2113="Tidak dibuka","–",IF(F2113="","(tanpa age group)",F2113)&amp;"  "&amp;IF(H2113="","?",H2113)&amp;"/"&amp;IF(G2113="","?",G2113)&amp;CHAR(10)&amp;IF(K2113="","coach: –","coach: "&amp;K2113))</f>
        <v>Tiny  0/5
coach: –</v>
      </c>
    </row>
    <row r="2114" customFormat="false" ht="22.35" hidden="false" customHeight="false" outlineLevel="0" collapsed="false">
      <c r="A2114" s="76" t="str">
        <f aca="false">B2114&amp;"|"&amp;C2114&amp;"|"&amp;D2114&amp;"|"&amp;E2114</f>
        <v>HIB|2|Selasa|08:45</v>
      </c>
      <c r="B2114" s="76" t="s">
        <v>71</v>
      </c>
      <c r="C2114" s="76" t="n">
        <v>2</v>
      </c>
      <c r="D2114" s="76" t="s">
        <v>91</v>
      </c>
      <c r="E2114" s="76" t="s">
        <v>111</v>
      </c>
      <c r="F2114" s="77" t="s">
        <v>42</v>
      </c>
      <c r="G2114" s="77" t="n">
        <v>5</v>
      </c>
      <c r="H2114" s="77" t="n">
        <v>0</v>
      </c>
      <c r="I2114" s="76" t="n">
        <f aca="false">IF(AND(ISNUMBER(G2114),ISNUMBER(H2114)),MAX(G2114-H2114,0),"")</f>
        <v>5</v>
      </c>
      <c r="J2114" s="78" t="n">
        <f aca="false">IF(AND(ISNUMBER(G2114),ISNUMBER(H2114)),IF(G2114&gt;0,H2114/G2114,""),"")</f>
        <v>0</v>
      </c>
      <c r="K2114" s="77"/>
      <c r="L2114" s="76" t="str">
        <f aca="false">IF(OR(G2114="",H2114=""),"Data tidak lengkap",IF(AND(G2114=0,H2114=0),IF(AND(F2114="",K2114=""),"Tidak dibuka","Tutup"),IF(H2114&gt;G2114,"Lebih kapasitas",IF(H2114=G2114,"Penuh",IF(H2114=0,IF(F2114="","Slot kosong","Belum terisi"),"Sebagian")))))</f>
        <v>Belum terisi</v>
      </c>
      <c r="M2114" s="79" t="str">
        <f aca="false">IF(L2114="Tidak dibuka","–",IF(F2114="","(tanpa age group)",F2114)&amp;"  "&amp;IF(H2114="","?",H2114)&amp;"/"&amp;IF(G2114="","?",G2114)&amp;CHAR(10)&amp;IF(K2114="","coach: –","coach: "&amp;K2114))</f>
        <v>Tiny  0/5
coach: –</v>
      </c>
    </row>
    <row r="2115" customFormat="false" ht="22.35" hidden="false" customHeight="false" outlineLevel="0" collapsed="false">
      <c r="A2115" s="76" t="str">
        <f aca="false">B2115&amp;"|"&amp;C2115&amp;"|"&amp;D2115&amp;"|"&amp;E2115</f>
        <v>HIB|2|Selasa|09:30</v>
      </c>
      <c r="B2115" s="76" t="s">
        <v>71</v>
      </c>
      <c r="C2115" s="76" t="n">
        <v>2</v>
      </c>
      <c r="D2115" s="76" t="s">
        <v>91</v>
      </c>
      <c r="E2115" s="76" t="s">
        <v>112</v>
      </c>
      <c r="F2115" s="77" t="s">
        <v>42</v>
      </c>
      <c r="G2115" s="77" t="n">
        <v>5</v>
      </c>
      <c r="H2115" s="77" t="n">
        <v>0</v>
      </c>
      <c r="I2115" s="76" t="n">
        <f aca="false">IF(AND(ISNUMBER(G2115),ISNUMBER(H2115)),MAX(G2115-H2115,0),"")</f>
        <v>5</v>
      </c>
      <c r="J2115" s="78" t="n">
        <f aca="false">IF(AND(ISNUMBER(G2115),ISNUMBER(H2115)),IF(G2115&gt;0,H2115/G2115,""),"")</f>
        <v>0</v>
      </c>
      <c r="K2115" s="77"/>
      <c r="L2115" s="76" t="str">
        <f aca="false">IF(OR(G2115="",H2115=""),"Data tidak lengkap",IF(AND(G2115=0,H2115=0),IF(AND(F2115="",K2115=""),"Tidak dibuka","Tutup"),IF(H2115&gt;G2115,"Lebih kapasitas",IF(H2115=G2115,"Penuh",IF(H2115=0,IF(F2115="","Slot kosong","Belum terisi"),"Sebagian")))))</f>
        <v>Belum terisi</v>
      </c>
      <c r="M2115" s="79" t="str">
        <f aca="false">IF(L2115="Tidak dibuka","–",IF(F2115="","(tanpa age group)",F2115)&amp;"  "&amp;IF(H2115="","?",H2115)&amp;"/"&amp;IF(G2115="","?",G2115)&amp;CHAR(10)&amp;IF(K2115="","coach: –","coach: "&amp;K2115))</f>
        <v>Tiny  0/5
coach: –</v>
      </c>
    </row>
    <row r="2116" customFormat="false" ht="22.35" hidden="false" customHeight="false" outlineLevel="0" collapsed="false">
      <c r="A2116" s="76" t="str">
        <f aca="false">B2116&amp;"|"&amp;C2116&amp;"|"&amp;D2116&amp;"|"&amp;E2116</f>
        <v>HIB|2|Selasa|10:15</v>
      </c>
      <c r="B2116" s="76" t="s">
        <v>71</v>
      </c>
      <c r="C2116" s="76" t="n">
        <v>2</v>
      </c>
      <c r="D2116" s="76" t="s">
        <v>91</v>
      </c>
      <c r="E2116" s="76" t="s">
        <v>113</v>
      </c>
      <c r="F2116" s="77" t="s">
        <v>42</v>
      </c>
      <c r="G2116" s="77" t="n">
        <v>5</v>
      </c>
      <c r="H2116" s="77" t="n">
        <v>0</v>
      </c>
      <c r="I2116" s="76" t="n">
        <f aca="false">IF(AND(ISNUMBER(G2116),ISNUMBER(H2116)),MAX(G2116-H2116,0),"")</f>
        <v>5</v>
      </c>
      <c r="J2116" s="78" t="n">
        <f aca="false">IF(AND(ISNUMBER(G2116),ISNUMBER(H2116)),IF(G2116&gt;0,H2116/G2116,""),"")</f>
        <v>0</v>
      </c>
      <c r="K2116" s="77"/>
      <c r="L2116" s="76" t="str">
        <f aca="false">IF(OR(G2116="",H2116=""),"Data tidak lengkap",IF(AND(G2116=0,H2116=0),IF(AND(F2116="",K2116=""),"Tidak dibuka","Tutup"),IF(H2116&gt;G2116,"Lebih kapasitas",IF(H2116=G2116,"Penuh",IF(H2116=0,IF(F2116="","Slot kosong","Belum terisi"),"Sebagian")))))</f>
        <v>Belum terisi</v>
      </c>
      <c r="M2116" s="79" t="str">
        <f aca="false">IF(L2116="Tidak dibuka","–",IF(F2116="","(tanpa age group)",F2116)&amp;"  "&amp;IF(H2116="","?",H2116)&amp;"/"&amp;IF(G2116="","?",G2116)&amp;CHAR(10)&amp;IF(K2116="","coach: –","coach: "&amp;K2116))</f>
        <v>Tiny  0/5
coach: –</v>
      </c>
    </row>
    <row r="2117" customFormat="false" ht="22.35" hidden="false" customHeight="false" outlineLevel="0" collapsed="false">
      <c r="A2117" s="76" t="str">
        <f aca="false">B2117&amp;"|"&amp;C2117&amp;"|"&amp;D2117&amp;"|"&amp;E2117</f>
        <v>HIB|2|Selasa|11:00</v>
      </c>
      <c r="B2117" s="76" t="s">
        <v>71</v>
      </c>
      <c r="C2117" s="76" t="n">
        <v>2</v>
      </c>
      <c r="D2117" s="76" t="s">
        <v>91</v>
      </c>
      <c r="E2117" s="76" t="s">
        <v>114</v>
      </c>
      <c r="F2117" s="77" t="s">
        <v>42</v>
      </c>
      <c r="G2117" s="77" t="n">
        <v>5</v>
      </c>
      <c r="H2117" s="77" t="n">
        <v>0</v>
      </c>
      <c r="I2117" s="76" t="n">
        <f aca="false">IF(AND(ISNUMBER(G2117),ISNUMBER(H2117)),MAX(G2117-H2117,0),"")</f>
        <v>5</v>
      </c>
      <c r="J2117" s="78" t="n">
        <f aca="false">IF(AND(ISNUMBER(G2117),ISNUMBER(H2117)),IF(G2117&gt;0,H2117/G2117,""),"")</f>
        <v>0</v>
      </c>
      <c r="K2117" s="77"/>
      <c r="L2117" s="76" t="str">
        <f aca="false">IF(OR(G2117="",H2117=""),"Data tidak lengkap",IF(AND(G2117=0,H2117=0),IF(AND(F2117="",K2117=""),"Tidak dibuka","Tutup"),IF(H2117&gt;G2117,"Lebih kapasitas",IF(H2117=G2117,"Penuh",IF(H2117=0,IF(F2117="","Slot kosong","Belum terisi"),"Sebagian")))))</f>
        <v>Belum terisi</v>
      </c>
      <c r="M2117" s="79" t="str">
        <f aca="false">IF(L2117="Tidak dibuka","–",IF(F2117="","(tanpa age group)",F2117)&amp;"  "&amp;IF(H2117="","?",H2117)&amp;"/"&amp;IF(G2117="","?",G2117)&amp;CHAR(10)&amp;IF(K2117="","coach: –","coach: "&amp;K2117))</f>
        <v>Tiny  0/5
coach: –</v>
      </c>
    </row>
    <row r="2118" customFormat="false" ht="22.35" hidden="false" customHeight="false" outlineLevel="0" collapsed="false">
      <c r="A2118" s="76" t="str">
        <f aca="false">B2118&amp;"|"&amp;C2118&amp;"|"&amp;D2118&amp;"|"&amp;E2118</f>
        <v>HIB|2|Selasa|11:45</v>
      </c>
      <c r="B2118" s="76" t="s">
        <v>71</v>
      </c>
      <c r="C2118" s="76" t="n">
        <v>2</v>
      </c>
      <c r="D2118" s="76" t="s">
        <v>91</v>
      </c>
      <c r="E2118" s="76" t="s">
        <v>115</v>
      </c>
      <c r="F2118" s="77" t="s">
        <v>42</v>
      </c>
      <c r="G2118" s="77" t="n">
        <v>5</v>
      </c>
      <c r="H2118" s="77" t="n">
        <v>0</v>
      </c>
      <c r="I2118" s="76" t="n">
        <f aca="false">IF(AND(ISNUMBER(G2118),ISNUMBER(H2118)),MAX(G2118-H2118,0),"")</f>
        <v>5</v>
      </c>
      <c r="J2118" s="78" t="n">
        <f aca="false">IF(AND(ISNUMBER(G2118),ISNUMBER(H2118)),IF(G2118&gt;0,H2118/G2118,""),"")</f>
        <v>0</v>
      </c>
      <c r="K2118" s="77"/>
      <c r="L2118" s="76" t="str">
        <f aca="false">IF(OR(G2118="",H2118=""),"Data tidak lengkap",IF(AND(G2118=0,H2118=0),IF(AND(F2118="",K2118=""),"Tidak dibuka","Tutup"),IF(H2118&gt;G2118,"Lebih kapasitas",IF(H2118=G2118,"Penuh",IF(H2118=0,IF(F2118="","Slot kosong","Belum terisi"),"Sebagian")))))</f>
        <v>Belum terisi</v>
      </c>
      <c r="M2118" s="79" t="str">
        <f aca="false">IF(L2118="Tidak dibuka","–",IF(F2118="","(tanpa age group)",F2118)&amp;"  "&amp;IF(H2118="","?",H2118)&amp;"/"&amp;IF(G2118="","?",G2118)&amp;CHAR(10)&amp;IF(K2118="","coach: –","coach: "&amp;K2118))</f>
        <v>Tiny  0/5
coach: –</v>
      </c>
    </row>
    <row r="2119" customFormat="false" ht="22.35" hidden="false" customHeight="false" outlineLevel="0" collapsed="false">
      <c r="A2119" s="76" t="str">
        <f aca="false">B2119&amp;"|"&amp;C2119&amp;"|"&amp;D2119&amp;"|"&amp;E2119</f>
        <v>HIB|2|Selasa|13:15</v>
      </c>
      <c r="B2119" s="76" t="s">
        <v>71</v>
      </c>
      <c r="C2119" s="76" t="n">
        <v>2</v>
      </c>
      <c r="D2119" s="76" t="s">
        <v>91</v>
      </c>
      <c r="E2119" s="76" t="s">
        <v>116</v>
      </c>
      <c r="F2119" s="77" t="s">
        <v>42</v>
      </c>
      <c r="G2119" s="77" t="n">
        <v>5</v>
      </c>
      <c r="H2119" s="77" t="n">
        <v>0</v>
      </c>
      <c r="I2119" s="76" t="n">
        <f aca="false">IF(AND(ISNUMBER(G2119),ISNUMBER(H2119)),MAX(G2119-H2119,0),"")</f>
        <v>5</v>
      </c>
      <c r="J2119" s="78" t="n">
        <f aca="false">IF(AND(ISNUMBER(G2119),ISNUMBER(H2119)),IF(G2119&gt;0,H2119/G2119,""),"")</f>
        <v>0</v>
      </c>
      <c r="K2119" s="77"/>
      <c r="L2119" s="76" t="str">
        <f aca="false">IF(OR(G2119="",H2119=""),"Data tidak lengkap",IF(AND(G2119=0,H2119=0),IF(AND(F2119="",K2119=""),"Tidak dibuka","Tutup"),IF(H2119&gt;G2119,"Lebih kapasitas",IF(H2119=G2119,"Penuh",IF(H2119=0,IF(F2119="","Slot kosong","Belum terisi"),"Sebagian")))))</f>
        <v>Belum terisi</v>
      </c>
      <c r="M2119" s="79" t="str">
        <f aca="false">IF(L2119="Tidak dibuka","–",IF(F2119="","(tanpa age group)",F2119)&amp;"  "&amp;IF(H2119="","?",H2119)&amp;"/"&amp;IF(G2119="","?",G2119)&amp;CHAR(10)&amp;IF(K2119="","coach: –","coach: "&amp;K2119))</f>
        <v>Tiny  0/5
coach: –</v>
      </c>
    </row>
    <row r="2120" customFormat="false" ht="22.35" hidden="false" customHeight="false" outlineLevel="0" collapsed="false">
      <c r="A2120" s="76" t="str">
        <f aca="false">B2120&amp;"|"&amp;C2120&amp;"|"&amp;D2120&amp;"|"&amp;E2120</f>
        <v>HIB|2|Selasa|14:00</v>
      </c>
      <c r="B2120" s="76" t="s">
        <v>71</v>
      </c>
      <c r="C2120" s="76" t="n">
        <v>2</v>
      </c>
      <c r="D2120" s="76" t="s">
        <v>91</v>
      </c>
      <c r="E2120" s="76" t="s">
        <v>117</v>
      </c>
      <c r="F2120" s="77" t="s">
        <v>42</v>
      </c>
      <c r="G2120" s="77" t="n">
        <v>5</v>
      </c>
      <c r="H2120" s="77" t="n">
        <v>0</v>
      </c>
      <c r="I2120" s="76" t="n">
        <f aca="false">IF(AND(ISNUMBER(G2120),ISNUMBER(H2120)),MAX(G2120-H2120,0),"")</f>
        <v>5</v>
      </c>
      <c r="J2120" s="78" t="n">
        <f aca="false">IF(AND(ISNUMBER(G2120),ISNUMBER(H2120)),IF(G2120&gt;0,H2120/G2120,""),"")</f>
        <v>0</v>
      </c>
      <c r="K2120" s="77"/>
      <c r="L2120" s="76" t="str">
        <f aca="false">IF(OR(G2120="",H2120=""),"Data tidak lengkap",IF(AND(G2120=0,H2120=0),IF(AND(F2120="",K2120=""),"Tidak dibuka","Tutup"),IF(H2120&gt;G2120,"Lebih kapasitas",IF(H2120=G2120,"Penuh",IF(H2120=0,IF(F2120="","Slot kosong","Belum terisi"),"Sebagian")))))</f>
        <v>Belum terisi</v>
      </c>
      <c r="M2120" s="79" t="str">
        <f aca="false">IF(L2120="Tidak dibuka","–",IF(F2120="","(tanpa age group)",F2120)&amp;"  "&amp;IF(H2120="","?",H2120)&amp;"/"&amp;IF(G2120="","?",G2120)&amp;CHAR(10)&amp;IF(K2120="","coach: –","coach: "&amp;K2120))</f>
        <v>Tiny  0/5
coach: –</v>
      </c>
    </row>
    <row r="2121" customFormat="false" ht="22.35" hidden="false" customHeight="false" outlineLevel="0" collapsed="false">
      <c r="A2121" s="76" t="str">
        <f aca="false">B2121&amp;"|"&amp;C2121&amp;"|"&amp;D2121&amp;"|"&amp;E2121</f>
        <v>HIB|2|Selasa|14:45</v>
      </c>
      <c r="B2121" s="76" t="s">
        <v>71</v>
      </c>
      <c r="C2121" s="76" t="n">
        <v>2</v>
      </c>
      <c r="D2121" s="76" t="s">
        <v>91</v>
      </c>
      <c r="E2121" s="76" t="s">
        <v>118</v>
      </c>
      <c r="F2121" s="77" t="s">
        <v>42</v>
      </c>
      <c r="G2121" s="77" t="n">
        <v>5</v>
      </c>
      <c r="H2121" s="77" t="n">
        <v>0</v>
      </c>
      <c r="I2121" s="76" t="n">
        <f aca="false">IF(AND(ISNUMBER(G2121),ISNUMBER(H2121)),MAX(G2121-H2121,0),"")</f>
        <v>5</v>
      </c>
      <c r="J2121" s="78" t="n">
        <f aca="false">IF(AND(ISNUMBER(G2121),ISNUMBER(H2121)),IF(G2121&gt;0,H2121/G2121,""),"")</f>
        <v>0</v>
      </c>
      <c r="K2121" s="77"/>
      <c r="L2121" s="76" t="str">
        <f aca="false">IF(OR(G2121="",H2121=""),"Data tidak lengkap",IF(AND(G2121=0,H2121=0),IF(AND(F2121="",K2121=""),"Tidak dibuka","Tutup"),IF(H2121&gt;G2121,"Lebih kapasitas",IF(H2121=G2121,"Penuh",IF(H2121=0,IF(F2121="","Slot kosong","Belum terisi"),"Sebagian")))))</f>
        <v>Belum terisi</v>
      </c>
      <c r="M2121" s="79" t="str">
        <f aca="false">IF(L2121="Tidak dibuka","–",IF(F2121="","(tanpa age group)",F2121)&amp;"  "&amp;IF(H2121="","?",H2121)&amp;"/"&amp;IF(G2121="","?",G2121)&amp;CHAR(10)&amp;IF(K2121="","coach: –","coach: "&amp;K2121))</f>
        <v>Tiny  0/5
coach: –</v>
      </c>
    </row>
    <row r="2122" customFormat="false" ht="22.35" hidden="false" customHeight="false" outlineLevel="0" collapsed="false">
      <c r="A2122" s="76" t="str">
        <f aca="false">B2122&amp;"|"&amp;C2122&amp;"|"&amp;D2122&amp;"|"&amp;E2122</f>
        <v>HIB|2|Selasa|15:30</v>
      </c>
      <c r="B2122" s="76" t="s">
        <v>71</v>
      </c>
      <c r="C2122" s="76" t="n">
        <v>2</v>
      </c>
      <c r="D2122" s="76" t="s">
        <v>91</v>
      </c>
      <c r="E2122" s="76" t="s">
        <v>119</v>
      </c>
      <c r="F2122" s="77" t="s">
        <v>42</v>
      </c>
      <c r="G2122" s="77" t="n">
        <v>5</v>
      </c>
      <c r="H2122" s="77" t="n">
        <v>0</v>
      </c>
      <c r="I2122" s="76" t="n">
        <f aca="false">IF(AND(ISNUMBER(G2122),ISNUMBER(H2122)),MAX(G2122-H2122,0),"")</f>
        <v>5</v>
      </c>
      <c r="J2122" s="78" t="n">
        <f aca="false">IF(AND(ISNUMBER(G2122),ISNUMBER(H2122)),IF(G2122&gt;0,H2122/G2122,""),"")</f>
        <v>0</v>
      </c>
      <c r="K2122" s="77"/>
      <c r="L2122" s="76" t="str">
        <f aca="false">IF(OR(G2122="",H2122=""),"Data tidak lengkap",IF(AND(G2122=0,H2122=0),IF(AND(F2122="",K2122=""),"Tidak dibuka","Tutup"),IF(H2122&gt;G2122,"Lebih kapasitas",IF(H2122=G2122,"Penuh",IF(H2122=0,IF(F2122="","Slot kosong","Belum terisi"),"Sebagian")))))</f>
        <v>Belum terisi</v>
      </c>
      <c r="M2122" s="79" t="str">
        <f aca="false">IF(L2122="Tidak dibuka","–",IF(F2122="","(tanpa age group)",F2122)&amp;"  "&amp;IF(H2122="","?",H2122)&amp;"/"&amp;IF(G2122="","?",G2122)&amp;CHAR(10)&amp;IF(K2122="","coach: –","coach: "&amp;K2122))</f>
        <v>Tiny  0/5
coach: –</v>
      </c>
    </row>
    <row r="2123" customFormat="false" ht="22.35" hidden="false" customHeight="false" outlineLevel="0" collapsed="false">
      <c r="A2123" s="76" t="str">
        <f aca="false">B2123&amp;"|"&amp;C2123&amp;"|"&amp;D2123&amp;"|"&amp;E2123</f>
        <v>HIB|2|Selasa|16:15</v>
      </c>
      <c r="B2123" s="76" t="s">
        <v>71</v>
      </c>
      <c r="C2123" s="76" t="n">
        <v>2</v>
      </c>
      <c r="D2123" s="76" t="s">
        <v>91</v>
      </c>
      <c r="E2123" s="76" t="s">
        <v>120</v>
      </c>
      <c r="F2123" s="77" t="s">
        <v>42</v>
      </c>
      <c r="G2123" s="77" t="n">
        <v>5</v>
      </c>
      <c r="H2123" s="77" t="n">
        <v>0</v>
      </c>
      <c r="I2123" s="76" t="n">
        <f aca="false">IF(AND(ISNUMBER(G2123),ISNUMBER(H2123)),MAX(G2123-H2123,0),"")</f>
        <v>5</v>
      </c>
      <c r="J2123" s="78" t="n">
        <f aca="false">IF(AND(ISNUMBER(G2123),ISNUMBER(H2123)),IF(G2123&gt;0,H2123/G2123,""),"")</f>
        <v>0</v>
      </c>
      <c r="K2123" s="77"/>
      <c r="L2123" s="76" t="str">
        <f aca="false">IF(OR(G2123="",H2123=""),"Data tidak lengkap",IF(AND(G2123=0,H2123=0),IF(AND(F2123="",K2123=""),"Tidak dibuka","Tutup"),IF(H2123&gt;G2123,"Lebih kapasitas",IF(H2123=G2123,"Penuh",IF(H2123=0,IF(F2123="","Slot kosong","Belum terisi"),"Sebagian")))))</f>
        <v>Belum terisi</v>
      </c>
      <c r="M2123" s="79" t="str">
        <f aca="false">IF(L2123="Tidak dibuka","–",IF(F2123="","(tanpa age group)",F2123)&amp;"  "&amp;IF(H2123="","?",H2123)&amp;"/"&amp;IF(G2123="","?",G2123)&amp;CHAR(10)&amp;IF(K2123="","coach: –","coach: "&amp;K2123))</f>
        <v>Tiny  0/5
coach: –</v>
      </c>
    </row>
    <row r="2124" customFormat="false" ht="22.35" hidden="false" customHeight="false" outlineLevel="0" collapsed="false">
      <c r="A2124" s="76" t="str">
        <f aca="false">B2124&amp;"|"&amp;C2124&amp;"|"&amp;D2124&amp;"|"&amp;E2124</f>
        <v>HIB|2|Selasa|17:00</v>
      </c>
      <c r="B2124" s="76" t="s">
        <v>71</v>
      </c>
      <c r="C2124" s="76" t="n">
        <v>2</v>
      </c>
      <c r="D2124" s="76" t="s">
        <v>91</v>
      </c>
      <c r="E2124" s="76" t="s">
        <v>121</v>
      </c>
      <c r="F2124" s="77" t="s">
        <v>42</v>
      </c>
      <c r="G2124" s="77" t="n">
        <v>5</v>
      </c>
      <c r="H2124" s="77" t="n">
        <v>0</v>
      </c>
      <c r="I2124" s="76" t="n">
        <f aca="false">IF(AND(ISNUMBER(G2124),ISNUMBER(H2124)),MAX(G2124-H2124,0),"")</f>
        <v>5</v>
      </c>
      <c r="J2124" s="78" t="n">
        <f aca="false">IF(AND(ISNUMBER(G2124),ISNUMBER(H2124)),IF(G2124&gt;0,H2124/G2124,""),"")</f>
        <v>0</v>
      </c>
      <c r="K2124" s="77"/>
      <c r="L2124" s="76" t="str">
        <f aca="false">IF(OR(G2124="",H2124=""),"Data tidak lengkap",IF(AND(G2124=0,H2124=0),IF(AND(F2124="",K2124=""),"Tidak dibuka","Tutup"),IF(H2124&gt;G2124,"Lebih kapasitas",IF(H2124=G2124,"Penuh",IF(H2124=0,IF(F2124="","Slot kosong","Belum terisi"),"Sebagian")))))</f>
        <v>Belum terisi</v>
      </c>
      <c r="M2124" s="79" t="str">
        <f aca="false">IF(L2124="Tidak dibuka","–",IF(F2124="","(tanpa age group)",F2124)&amp;"  "&amp;IF(H2124="","?",H2124)&amp;"/"&amp;IF(G2124="","?",G2124)&amp;CHAR(10)&amp;IF(K2124="","coach: –","coach: "&amp;K2124))</f>
        <v>Tiny  0/5
coach: –</v>
      </c>
    </row>
    <row r="2125" customFormat="false" ht="22.35" hidden="false" customHeight="false" outlineLevel="0" collapsed="false">
      <c r="A2125" s="76" t="str">
        <f aca="false">B2125&amp;"|"&amp;C2125&amp;"|"&amp;D2125&amp;"|"&amp;E2125</f>
        <v>HIB|2|Rabu|08:00</v>
      </c>
      <c r="B2125" s="76" t="s">
        <v>71</v>
      </c>
      <c r="C2125" s="76" t="n">
        <v>2</v>
      </c>
      <c r="D2125" s="76" t="s">
        <v>92</v>
      </c>
      <c r="E2125" s="76" t="s">
        <v>110</v>
      </c>
      <c r="F2125" s="77" t="s">
        <v>42</v>
      </c>
      <c r="G2125" s="77" t="n">
        <v>5</v>
      </c>
      <c r="H2125" s="77" t="n">
        <v>0</v>
      </c>
      <c r="I2125" s="76" t="n">
        <f aca="false">IF(AND(ISNUMBER(G2125),ISNUMBER(H2125)),MAX(G2125-H2125,0),"")</f>
        <v>5</v>
      </c>
      <c r="J2125" s="78" t="n">
        <f aca="false">IF(AND(ISNUMBER(G2125),ISNUMBER(H2125)),IF(G2125&gt;0,H2125/G2125,""),"")</f>
        <v>0</v>
      </c>
      <c r="K2125" s="77"/>
      <c r="L2125" s="76" t="str">
        <f aca="false">IF(OR(G2125="",H2125=""),"Data tidak lengkap",IF(AND(G2125=0,H2125=0),IF(AND(F2125="",K2125=""),"Tidak dibuka","Tutup"),IF(H2125&gt;G2125,"Lebih kapasitas",IF(H2125=G2125,"Penuh",IF(H2125=0,IF(F2125="","Slot kosong","Belum terisi"),"Sebagian")))))</f>
        <v>Belum terisi</v>
      </c>
      <c r="M2125" s="79" t="str">
        <f aca="false">IF(L2125="Tidak dibuka","–",IF(F2125="","(tanpa age group)",F2125)&amp;"  "&amp;IF(H2125="","?",H2125)&amp;"/"&amp;IF(G2125="","?",G2125)&amp;CHAR(10)&amp;IF(K2125="","coach: –","coach: "&amp;K2125))</f>
        <v>Tiny  0/5
coach: –</v>
      </c>
    </row>
    <row r="2126" customFormat="false" ht="22.35" hidden="false" customHeight="false" outlineLevel="0" collapsed="false">
      <c r="A2126" s="76" t="str">
        <f aca="false">B2126&amp;"|"&amp;C2126&amp;"|"&amp;D2126&amp;"|"&amp;E2126</f>
        <v>HIB|2|Rabu|08:45</v>
      </c>
      <c r="B2126" s="76" t="s">
        <v>71</v>
      </c>
      <c r="C2126" s="76" t="n">
        <v>2</v>
      </c>
      <c r="D2126" s="76" t="s">
        <v>92</v>
      </c>
      <c r="E2126" s="76" t="s">
        <v>111</v>
      </c>
      <c r="F2126" s="77" t="s">
        <v>42</v>
      </c>
      <c r="G2126" s="77" t="n">
        <v>5</v>
      </c>
      <c r="H2126" s="77" t="n">
        <v>1</v>
      </c>
      <c r="I2126" s="76" t="n">
        <f aca="false">IF(AND(ISNUMBER(G2126),ISNUMBER(H2126)),MAX(G2126-H2126,0),"")</f>
        <v>4</v>
      </c>
      <c r="J2126" s="78" t="n">
        <f aca="false">IF(AND(ISNUMBER(G2126),ISNUMBER(H2126)),IF(G2126&gt;0,H2126/G2126,""),"")</f>
        <v>0.2</v>
      </c>
      <c r="K2126" s="77" t="s">
        <v>487</v>
      </c>
      <c r="L2126" s="76" t="str">
        <f aca="false">IF(OR(G2126="",H2126=""),"Data tidak lengkap",IF(AND(G2126=0,H2126=0),IF(AND(F2126="",K2126=""),"Tidak dibuka","Tutup"),IF(H2126&gt;G2126,"Lebih kapasitas",IF(H2126=G2126,"Penuh",IF(H2126=0,IF(F2126="","Slot kosong","Belum terisi"),"Sebagian")))))</f>
        <v>Sebagian</v>
      </c>
      <c r="M2126" s="79" t="str">
        <f aca="false">IF(L2126="Tidak dibuka","–",IF(F2126="","(tanpa age group)",F2126)&amp;"  "&amp;IF(H2126="","?",H2126)&amp;"/"&amp;IF(G2126="","?",G2126)&amp;CHAR(10)&amp;IF(K2126="","coach: –","coach: "&amp;K2126))</f>
        <v>Tiny  1/5
coach: Shabrina</v>
      </c>
    </row>
    <row r="2127" customFormat="false" ht="22.35" hidden="false" customHeight="false" outlineLevel="0" collapsed="false">
      <c r="A2127" s="76" t="str">
        <f aca="false">B2127&amp;"|"&amp;C2127&amp;"|"&amp;D2127&amp;"|"&amp;E2127</f>
        <v>HIB|2|Rabu|09:30</v>
      </c>
      <c r="B2127" s="76" t="s">
        <v>71</v>
      </c>
      <c r="C2127" s="76" t="n">
        <v>2</v>
      </c>
      <c r="D2127" s="76" t="s">
        <v>92</v>
      </c>
      <c r="E2127" s="76" t="s">
        <v>112</v>
      </c>
      <c r="F2127" s="77" t="s">
        <v>42</v>
      </c>
      <c r="G2127" s="77" t="n">
        <v>5</v>
      </c>
      <c r="H2127" s="77" t="n">
        <v>2</v>
      </c>
      <c r="I2127" s="76" t="n">
        <f aca="false">IF(AND(ISNUMBER(G2127),ISNUMBER(H2127)),MAX(G2127-H2127,0),"")</f>
        <v>3</v>
      </c>
      <c r="J2127" s="78" t="n">
        <f aca="false">IF(AND(ISNUMBER(G2127),ISNUMBER(H2127)),IF(G2127&gt;0,H2127/G2127,""),"")</f>
        <v>0.4</v>
      </c>
      <c r="K2127" s="77" t="s">
        <v>481</v>
      </c>
      <c r="L2127" s="76" t="str">
        <f aca="false">IF(OR(G2127="",H2127=""),"Data tidak lengkap",IF(AND(G2127=0,H2127=0),IF(AND(F2127="",K2127=""),"Tidak dibuka","Tutup"),IF(H2127&gt;G2127,"Lebih kapasitas",IF(H2127=G2127,"Penuh",IF(H2127=0,IF(F2127="","Slot kosong","Belum terisi"),"Sebagian")))))</f>
        <v>Sebagian</v>
      </c>
      <c r="M2127" s="79" t="str">
        <f aca="false">IF(L2127="Tidak dibuka","–",IF(F2127="","(tanpa age group)",F2127)&amp;"  "&amp;IF(H2127="","?",H2127)&amp;"/"&amp;IF(G2127="","?",G2127)&amp;CHAR(10)&amp;IF(K2127="","coach: –","coach: "&amp;K2127))</f>
        <v>Tiny  2/5
coach: Rizky</v>
      </c>
    </row>
    <row r="2128" customFormat="false" ht="22.35" hidden="false" customHeight="false" outlineLevel="0" collapsed="false">
      <c r="A2128" s="76" t="str">
        <f aca="false">B2128&amp;"|"&amp;C2128&amp;"|"&amp;D2128&amp;"|"&amp;E2128</f>
        <v>HIB|2|Rabu|10:15</v>
      </c>
      <c r="B2128" s="76" t="s">
        <v>71</v>
      </c>
      <c r="C2128" s="76" t="n">
        <v>2</v>
      </c>
      <c r="D2128" s="76" t="s">
        <v>92</v>
      </c>
      <c r="E2128" s="76" t="s">
        <v>113</v>
      </c>
      <c r="F2128" s="77" t="s">
        <v>42</v>
      </c>
      <c r="G2128" s="77" t="n">
        <v>5</v>
      </c>
      <c r="H2128" s="77" t="n">
        <v>2</v>
      </c>
      <c r="I2128" s="76" t="n">
        <f aca="false">IF(AND(ISNUMBER(G2128),ISNUMBER(H2128)),MAX(G2128-H2128,0),"")</f>
        <v>3</v>
      </c>
      <c r="J2128" s="78" t="n">
        <f aca="false">IF(AND(ISNUMBER(G2128),ISNUMBER(H2128)),IF(G2128&gt;0,H2128/G2128,""),"")</f>
        <v>0.4</v>
      </c>
      <c r="K2128" s="77" t="s">
        <v>481</v>
      </c>
      <c r="L2128" s="76" t="str">
        <f aca="false">IF(OR(G2128="",H2128=""),"Data tidak lengkap",IF(AND(G2128=0,H2128=0),IF(AND(F2128="",K2128=""),"Tidak dibuka","Tutup"),IF(H2128&gt;G2128,"Lebih kapasitas",IF(H2128=G2128,"Penuh",IF(H2128=0,IF(F2128="","Slot kosong","Belum terisi"),"Sebagian")))))</f>
        <v>Sebagian</v>
      </c>
      <c r="M2128" s="79" t="str">
        <f aca="false">IF(L2128="Tidak dibuka","–",IF(F2128="","(tanpa age group)",F2128)&amp;"  "&amp;IF(H2128="","?",H2128)&amp;"/"&amp;IF(G2128="","?",G2128)&amp;CHAR(10)&amp;IF(K2128="","coach: –","coach: "&amp;K2128))</f>
        <v>Tiny  2/5
coach: Rizky</v>
      </c>
    </row>
    <row r="2129" customFormat="false" ht="22.35" hidden="false" customHeight="false" outlineLevel="0" collapsed="false">
      <c r="A2129" s="76" t="str">
        <f aca="false">B2129&amp;"|"&amp;C2129&amp;"|"&amp;D2129&amp;"|"&amp;E2129</f>
        <v>HIB|2|Rabu|11:00</v>
      </c>
      <c r="B2129" s="76" t="s">
        <v>71</v>
      </c>
      <c r="C2129" s="76" t="n">
        <v>2</v>
      </c>
      <c r="D2129" s="76" t="s">
        <v>92</v>
      </c>
      <c r="E2129" s="76" t="s">
        <v>114</v>
      </c>
      <c r="F2129" s="77" t="s">
        <v>42</v>
      </c>
      <c r="G2129" s="77" t="n">
        <v>5</v>
      </c>
      <c r="H2129" s="77" t="n">
        <v>0</v>
      </c>
      <c r="I2129" s="76" t="n">
        <f aca="false">IF(AND(ISNUMBER(G2129),ISNUMBER(H2129)),MAX(G2129-H2129,0),"")</f>
        <v>5</v>
      </c>
      <c r="J2129" s="78" t="n">
        <f aca="false">IF(AND(ISNUMBER(G2129),ISNUMBER(H2129)),IF(G2129&gt;0,H2129/G2129,""),"")</f>
        <v>0</v>
      </c>
      <c r="K2129" s="77"/>
      <c r="L2129" s="76" t="str">
        <f aca="false">IF(OR(G2129="",H2129=""),"Data tidak lengkap",IF(AND(G2129=0,H2129=0),IF(AND(F2129="",K2129=""),"Tidak dibuka","Tutup"),IF(H2129&gt;G2129,"Lebih kapasitas",IF(H2129=G2129,"Penuh",IF(H2129=0,IF(F2129="","Slot kosong","Belum terisi"),"Sebagian")))))</f>
        <v>Belum terisi</v>
      </c>
      <c r="M2129" s="79" t="str">
        <f aca="false">IF(L2129="Tidak dibuka","–",IF(F2129="","(tanpa age group)",F2129)&amp;"  "&amp;IF(H2129="","?",H2129)&amp;"/"&amp;IF(G2129="","?",G2129)&amp;CHAR(10)&amp;IF(K2129="","coach: –","coach: "&amp;K2129))</f>
        <v>Tiny  0/5
coach: –</v>
      </c>
    </row>
    <row r="2130" customFormat="false" ht="22.35" hidden="false" customHeight="false" outlineLevel="0" collapsed="false">
      <c r="A2130" s="76" t="str">
        <f aca="false">B2130&amp;"|"&amp;C2130&amp;"|"&amp;D2130&amp;"|"&amp;E2130</f>
        <v>HIB|2|Rabu|11:45</v>
      </c>
      <c r="B2130" s="76" t="s">
        <v>71</v>
      </c>
      <c r="C2130" s="76" t="n">
        <v>2</v>
      </c>
      <c r="D2130" s="76" t="s">
        <v>92</v>
      </c>
      <c r="E2130" s="76" t="s">
        <v>115</v>
      </c>
      <c r="F2130" s="77" t="s">
        <v>42</v>
      </c>
      <c r="G2130" s="77" t="n">
        <v>5</v>
      </c>
      <c r="H2130" s="77" t="n">
        <v>0</v>
      </c>
      <c r="I2130" s="76" t="n">
        <f aca="false">IF(AND(ISNUMBER(G2130),ISNUMBER(H2130)),MAX(G2130-H2130,0),"")</f>
        <v>5</v>
      </c>
      <c r="J2130" s="78" t="n">
        <f aca="false">IF(AND(ISNUMBER(G2130),ISNUMBER(H2130)),IF(G2130&gt;0,H2130/G2130,""),"")</f>
        <v>0</v>
      </c>
      <c r="K2130" s="77"/>
      <c r="L2130" s="76" t="str">
        <f aca="false">IF(OR(G2130="",H2130=""),"Data tidak lengkap",IF(AND(G2130=0,H2130=0),IF(AND(F2130="",K2130=""),"Tidak dibuka","Tutup"),IF(H2130&gt;G2130,"Lebih kapasitas",IF(H2130=G2130,"Penuh",IF(H2130=0,IF(F2130="","Slot kosong","Belum terisi"),"Sebagian")))))</f>
        <v>Belum terisi</v>
      </c>
      <c r="M2130" s="79" t="str">
        <f aca="false">IF(L2130="Tidak dibuka","–",IF(F2130="","(tanpa age group)",F2130)&amp;"  "&amp;IF(H2130="","?",H2130)&amp;"/"&amp;IF(G2130="","?",G2130)&amp;CHAR(10)&amp;IF(K2130="","coach: –","coach: "&amp;K2130))</f>
        <v>Tiny  0/5
coach: –</v>
      </c>
    </row>
    <row r="2131" customFormat="false" ht="22.35" hidden="false" customHeight="false" outlineLevel="0" collapsed="false">
      <c r="A2131" s="76" t="str">
        <f aca="false">B2131&amp;"|"&amp;C2131&amp;"|"&amp;D2131&amp;"|"&amp;E2131</f>
        <v>HIB|2|Rabu|13:15</v>
      </c>
      <c r="B2131" s="76" t="s">
        <v>71</v>
      </c>
      <c r="C2131" s="76" t="n">
        <v>2</v>
      </c>
      <c r="D2131" s="76" t="s">
        <v>92</v>
      </c>
      <c r="E2131" s="76" t="s">
        <v>116</v>
      </c>
      <c r="F2131" s="77" t="s">
        <v>42</v>
      </c>
      <c r="G2131" s="77" t="n">
        <v>5</v>
      </c>
      <c r="H2131" s="77" t="n">
        <v>0</v>
      </c>
      <c r="I2131" s="76" t="n">
        <f aca="false">IF(AND(ISNUMBER(G2131),ISNUMBER(H2131)),MAX(G2131-H2131,0),"")</f>
        <v>5</v>
      </c>
      <c r="J2131" s="78" t="n">
        <f aca="false">IF(AND(ISNUMBER(G2131),ISNUMBER(H2131)),IF(G2131&gt;0,H2131/G2131,""),"")</f>
        <v>0</v>
      </c>
      <c r="K2131" s="77"/>
      <c r="L2131" s="76" t="str">
        <f aca="false">IF(OR(G2131="",H2131=""),"Data tidak lengkap",IF(AND(G2131=0,H2131=0),IF(AND(F2131="",K2131=""),"Tidak dibuka","Tutup"),IF(H2131&gt;G2131,"Lebih kapasitas",IF(H2131=G2131,"Penuh",IF(H2131=0,IF(F2131="","Slot kosong","Belum terisi"),"Sebagian")))))</f>
        <v>Belum terisi</v>
      </c>
      <c r="M2131" s="79" t="str">
        <f aca="false">IF(L2131="Tidak dibuka","–",IF(F2131="","(tanpa age group)",F2131)&amp;"  "&amp;IF(H2131="","?",H2131)&amp;"/"&amp;IF(G2131="","?",G2131)&amp;CHAR(10)&amp;IF(K2131="","coach: –","coach: "&amp;K2131))</f>
        <v>Tiny  0/5
coach: –</v>
      </c>
    </row>
    <row r="2132" customFormat="false" ht="22.35" hidden="false" customHeight="false" outlineLevel="0" collapsed="false">
      <c r="A2132" s="76" t="str">
        <f aca="false">B2132&amp;"|"&amp;C2132&amp;"|"&amp;D2132&amp;"|"&amp;E2132</f>
        <v>HIB|2|Rabu|14:00</v>
      </c>
      <c r="B2132" s="76" t="s">
        <v>71</v>
      </c>
      <c r="C2132" s="76" t="n">
        <v>2</v>
      </c>
      <c r="D2132" s="76" t="s">
        <v>92</v>
      </c>
      <c r="E2132" s="76" t="s">
        <v>117</v>
      </c>
      <c r="F2132" s="77" t="s">
        <v>42</v>
      </c>
      <c r="G2132" s="77" t="n">
        <v>5</v>
      </c>
      <c r="H2132" s="77" t="n">
        <v>0</v>
      </c>
      <c r="I2132" s="76" t="n">
        <f aca="false">IF(AND(ISNUMBER(G2132),ISNUMBER(H2132)),MAX(G2132-H2132,0),"")</f>
        <v>5</v>
      </c>
      <c r="J2132" s="78" t="n">
        <f aca="false">IF(AND(ISNUMBER(G2132),ISNUMBER(H2132)),IF(G2132&gt;0,H2132/G2132,""),"")</f>
        <v>0</v>
      </c>
      <c r="K2132" s="77"/>
      <c r="L2132" s="76" t="str">
        <f aca="false">IF(OR(G2132="",H2132=""),"Data tidak lengkap",IF(AND(G2132=0,H2132=0),IF(AND(F2132="",K2132=""),"Tidak dibuka","Tutup"),IF(H2132&gt;G2132,"Lebih kapasitas",IF(H2132=G2132,"Penuh",IF(H2132=0,IF(F2132="","Slot kosong","Belum terisi"),"Sebagian")))))</f>
        <v>Belum terisi</v>
      </c>
      <c r="M2132" s="79" t="str">
        <f aca="false">IF(L2132="Tidak dibuka","–",IF(F2132="","(tanpa age group)",F2132)&amp;"  "&amp;IF(H2132="","?",H2132)&amp;"/"&amp;IF(G2132="","?",G2132)&amp;CHAR(10)&amp;IF(K2132="","coach: –","coach: "&amp;K2132))</f>
        <v>Tiny  0/5
coach: –</v>
      </c>
    </row>
    <row r="2133" customFormat="false" ht="22.35" hidden="false" customHeight="false" outlineLevel="0" collapsed="false">
      <c r="A2133" s="76" t="str">
        <f aca="false">B2133&amp;"|"&amp;C2133&amp;"|"&amp;D2133&amp;"|"&amp;E2133</f>
        <v>HIB|2|Rabu|14:45</v>
      </c>
      <c r="B2133" s="76" t="s">
        <v>71</v>
      </c>
      <c r="C2133" s="76" t="n">
        <v>2</v>
      </c>
      <c r="D2133" s="76" t="s">
        <v>92</v>
      </c>
      <c r="E2133" s="76" t="s">
        <v>118</v>
      </c>
      <c r="F2133" s="77" t="s">
        <v>42</v>
      </c>
      <c r="G2133" s="77" t="n">
        <v>5</v>
      </c>
      <c r="H2133" s="77" t="n">
        <v>0</v>
      </c>
      <c r="I2133" s="76" t="n">
        <f aca="false">IF(AND(ISNUMBER(G2133),ISNUMBER(H2133)),MAX(G2133-H2133,0),"")</f>
        <v>5</v>
      </c>
      <c r="J2133" s="78" t="n">
        <f aca="false">IF(AND(ISNUMBER(G2133),ISNUMBER(H2133)),IF(G2133&gt;0,H2133/G2133,""),"")</f>
        <v>0</v>
      </c>
      <c r="K2133" s="77"/>
      <c r="L2133" s="76" t="str">
        <f aca="false">IF(OR(G2133="",H2133=""),"Data tidak lengkap",IF(AND(G2133=0,H2133=0),IF(AND(F2133="",K2133=""),"Tidak dibuka","Tutup"),IF(H2133&gt;G2133,"Lebih kapasitas",IF(H2133=G2133,"Penuh",IF(H2133=0,IF(F2133="","Slot kosong","Belum terisi"),"Sebagian")))))</f>
        <v>Belum terisi</v>
      </c>
      <c r="M2133" s="79" t="str">
        <f aca="false">IF(L2133="Tidak dibuka","–",IF(F2133="","(tanpa age group)",F2133)&amp;"  "&amp;IF(H2133="","?",H2133)&amp;"/"&amp;IF(G2133="","?",G2133)&amp;CHAR(10)&amp;IF(K2133="","coach: –","coach: "&amp;K2133))</f>
        <v>Tiny  0/5
coach: –</v>
      </c>
    </row>
    <row r="2134" customFormat="false" ht="22.35" hidden="false" customHeight="false" outlineLevel="0" collapsed="false">
      <c r="A2134" s="76" t="str">
        <f aca="false">B2134&amp;"|"&amp;C2134&amp;"|"&amp;D2134&amp;"|"&amp;E2134</f>
        <v>HIB|2|Rabu|15:30</v>
      </c>
      <c r="B2134" s="76" t="s">
        <v>71</v>
      </c>
      <c r="C2134" s="76" t="n">
        <v>2</v>
      </c>
      <c r="D2134" s="76" t="s">
        <v>92</v>
      </c>
      <c r="E2134" s="76" t="s">
        <v>119</v>
      </c>
      <c r="F2134" s="77" t="s">
        <v>42</v>
      </c>
      <c r="G2134" s="77" t="n">
        <v>5</v>
      </c>
      <c r="H2134" s="77" t="n">
        <v>4</v>
      </c>
      <c r="I2134" s="76" t="n">
        <f aca="false">IF(AND(ISNUMBER(G2134),ISNUMBER(H2134)),MAX(G2134-H2134,0),"")</f>
        <v>1</v>
      </c>
      <c r="J2134" s="78" t="n">
        <f aca="false">IF(AND(ISNUMBER(G2134),ISNUMBER(H2134)),IF(G2134&gt;0,H2134/G2134,""),"")</f>
        <v>0.8</v>
      </c>
      <c r="K2134" s="77" t="s">
        <v>481</v>
      </c>
      <c r="L2134" s="76" t="str">
        <f aca="false">IF(OR(G2134="",H2134=""),"Data tidak lengkap",IF(AND(G2134=0,H2134=0),IF(AND(F2134="",K2134=""),"Tidak dibuka","Tutup"),IF(H2134&gt;G2134,"Lebih kapasitas",IF(H2134=G2134,"Penuh",IF(H2134=0,IF(F2134="","Slot kosong","Belum terisi"),"Sebagian")))))</f>
        <v>Sebagian</v>
      </c>
      <c r="M2134" s="79" t="str">
        <f aca="false">IF(L2134="Tidak dibuka","–",IF(F2134="","(tanpa age group)",F2134)&amp;"  "&amp;IF(H2134="","?",H2134)&amp;"/"&amp;IF(G2134="","?",G2134)&amp;CHAR(10)&amp;IF(K2134="","coach: –","coach: "&amp;K2134))</f>
        <v>Tiny  4/5
coach: Rizky</v>
      </c>
    </row>
    <row r="2135" customFormat="false" ht="22.35" hidden="false" customHeight="false" outlineLevel="0" collapsed="false">
      <c r="A2135" s="76" t="str">
        <f aca="false">B2135&amp;"|"&amp;C2135&amp;"|"&amp;D2135&amp;"|"&amp;E2135</f>
        <v>HIB|2|Rabu|16:15</v>
      </c>
      <c r="B2135" s="76" t="s">
        <v>71</v>
      </c>
      <c r="C2135" s="76" t="n">
        <v>2</v>
      </c>
      <c r="D2135" s="76" t="s">
        <v>92</v>
      </c>
      <c r="E2135" s="76" t="s">
        <v>120</v>
      </c>
      <c r="F2135" s="77" t="s">
        <v>42</v>
      </c>
      <c r="G2135" s="77" t="n">
        <v>5</v>
      </c>
      <c r="H2135" s="77" t="n">
        <v>0</v>
      </c>
      <c r="I2135" s="76" t="n">
        <f aca="false">IF(AND(ISNUMBER(G2135),ISNUMBER(H2135)),MAX(G2135-H2135,0),"")</f>
        <v>5</v>
      </c>
      <c r="J2135" s="78" t="n">
        <f aca="false">IF(AND(ISNUMBER(G2135),ISNUMBER(H2135)),IF(G2135&gt;0,H2135/G2135,""),"")</f>
        <v>0</v>
      </c>
      <c r="K2135" s="77" t="s">
        <v>487</v>
      </c>
      <c r="L2135" s="76" t="str">
        <f aca="false">IF(OR(G2135="",H2135=""),"Data tidak lengkap",IF(AND(G2135=0,H2135=0),IF(AND(F2135="",K2135=""),"Tidak dibuka","Tutup"),IF(H2135&gt;G2135,"Lebih kapasitas",IF(H2135=G2135,"Penuh",IF(H2135=0,IF(F2135="","Slot kosong","Belum terisi"),"Sebagian")))))</f>
        <v>Belum terisi</v>
      </c>
      <c r="M2135" s="79" t="str">
        <f aca="false">IF(L2135="Tidak dibuka","–",IF(F2135="","(tanpa age group)",F2135)&amp;"  "&amp;IF(H2135="","?",H2135)&amp;"/"&amp;IF(G2135="","?",G2135)&amp;CHAR(10)&amp;IF(K2135="","coach: –","coach: "&amp;K2135))</f>
        <v>Tiny  0/5
coach: Shabrina</v>
      </c>
    </row>
    <row r="2136" customFormat="false" ht="22.35" hidden="false" customHeight="false" outlineLevel="0" collapsed="false">
      <c r="A2136" s="76" t="str">
        <f aca="false">B2136&amp;"|"&amp;C2136&amp;"|"&amp;D2136&amp;"|"&amp;E2136</f>
        <v>HIB|2|Rabu|17:00</v>
      </c>
      <c r="B2136" s="76" t="s">
        <v>71</v>
      </c>
      <c r="C2136" s="76" t="n">
        <v>2</v>
      </c>
      <c r="D2136" s="76" t="s">
        <v>92</v>
      </c>
      <c r="E2136" s="76" t="s">
        <v>121</v>
      </c>
      <c r="F2136" s="77" t="s">
        <v>42</v>
      </c>
      <c r="G2136" s="77" t="n">
        <v>5</v>
      </c>
      <c r="H2136" s="77" t="n">
        <v>0</v>
      </c>
      <c r="I2136" s="76" t="n">
        <f aca="false">IF(AND(ISNUMBER(G2136),ISNUMBER(H2136)),MAX(G2136-H2136,0),"")</f>
        <v>5</v>
      </c>
      <c r="J2136" s="78" t="n">
        <f aca="false">IF(AND(ISNUMBER(G2136),ISNUMBER(H2136)),IF(G2136&gt;0,H2136/G2136,""),"")</f>
        <v>0</v>
      </c>
      <c r="K2136" s="77"/>
      <c r="L2136" s="76" t="str">
        <f aca="false">IF(OR(G2136="",H2136=""),"Data tidak lengkap",IF(AND(G2136=0,H2136=0),IF(AND(F2136="",K2136=""),"Tidak dibuka","Tutup"),IF(H2136&gt;G2136,"Lebih kapasitas",IF(H2136=G2136,"Penuh",IF(H2136=0,IF(F2136="","Slot kosong","Belum terisi"),"Sebagian")))))</f>
        <v>Belum terisi</v>
      </c>
      <c r="M2136" s="79" t="str">
        <f aca="false">IF(L2136="Tidak dibuka","–",IF(F2136="","(tanpa age group)",F2136)&amp;"  "&amp;IF(H2136="","?",H2136)&amp;"/"&amp;IF(G2136="","?",G2136)&amp;CHAR(10)&amp;IF(K2136="","coach: –","coach: "&amp;K2136))</f>
        <v>Tiny  0/5
coach: –</v>
      </c>
    </row>
    <row r="2137" customFormat="false" ht="22.35" hidden="false" customHeight="false" outlineLevel="0" collapsed="false">
      <c r="A2137" s="76" t="str">
        <f aca="false">B2137&amp;"|"&amp;C2137&amp;"|"&amp;D2137&amp;"|"&amp;E2137</f>
        <v>HIB|2|Kamis|08:00</v>
      </c>
      <c r="B2137" s="76" t="s">
        <v>71</v>
      </c>
      <c r="C2137" s="76" t="n">
        <v>2</v>
      </c>
      <c r="D2137" s="76" t="s">
        <v>93</v>
      </c>
      <c r="E2137" s="76" t="s">
        <v>110</v>
      </c>
      <c r="F2137" s="77" t="s">
        <v>42</v>
      </c>
      <c r="G2137" s="77" t="n">
        <v>5</v>
      </c>
      <c r="H2137" s="77" t="n">
        <v>0</v>
      </c>
      <c r="I2137" s="76" t="n">
        <f aca="false">IF(AND(ISNUMBER(G2137),ISNUMBER(H2137)),MAX(G2137-H2137,0),"")</f>
        <v>5</v>
      </c>
      <c r="J2137" s="78" t="n">
        <f aca="false">IF(AND(ISNUMBER(G2137),ISNUMBER(H2137)),IF(G2137&gt;0,H2137/G2137,""),"")</f>
        <v>0</v>
      </c>
      <c r="K2137" s="77"/>
      <c r="L2137" s="76" t="str">
        <f aca="false">IF(OR(G2137="",H2137=""),"Data tidak lengkap",IF(AND(G2137=0,H2137=0),IF(AND(F2137="",K2137=""),"Tidak dibuka","Tutup"),IF(H2137&gt;G2137,"Lebih kapasitas",IF(H2137=G2137,"Penuh",IF(H2137=0,IF(F2137="","Slot kosong","Belum terisi"),"Sebagian")))))</f>
        <v>Belum terisi</v>
      </c>
      <c r="M2137" s="79" t="str">
        <f aca="false">IF(L2137="Tidak dibuka","–",IF(F2137="","(tanpa age group)",F2137)&amp;"  "&amp;IF(H2137="","?",H2137)&amp;"/"&amp;IF(G2137="","?",G2137)&amp;CHAR(10)&amp;IF(K2137="","coach: –","coach: "&amp;K2137))</f>
        <v>Tiny  0/5
coach: –</v>
      </c>
    </row>
    <row r="2138" customFormat="false" ht="22.35" hidden="false" customHeight="false" outlineLevel="0" collapsed="false">
      <c r="A2138" s="76" t="str">
        <f aca="false">B2138&amp;"|"&amp;C2138&amp;"|"&amp;D2138&amp;"|"&amp;E2138</f>
        <v>HIB|2|Kamis|08:45</v>
      </c>
      <c r="B2138" s="76" t="s">
        <v>71</v>
      </c>
      <c r="C2138" s="76" t="n">
        <v>2</v>
      </c>
      <c r="D2138" s="76" t="s">
        <v>93</v>
      </c>
      <c r="E2138" s="76" t="s">
        <v>111</v>
      </c>
      <c r="F2138" s="77" t="s">
        <v>42</v>
      </c>
      <c r="G2138" s="77" t="n">
        <v>5</v>
      </c>
      <c r="H2138" s="77" t="n">
        <v>0</v>
      </c>
      <c r="I2138" s="76" t="n">
        <f aca="false">IF(AND(ISNUMBER(G2138),ISNUMBER(H2138)),MAX(G2138-H2138,0),"")</f>
        <v>5</v>
      </c>
      <c r="J2138" s="78" t="n">
        <f aca="false">IF(AND(ISNUMBER(G2138),ISNUMBER(H2138)),IF(G2138&gt;0,H2138/G2138,""),"")</f>
        <v>0</v>
      </c>
      <c r="K2138" s="77"/>
      <c r="L2138" s="76" t="str">
        <f aca="false">IF(OR(G2138="",H2138=""),"Data tidak lengkap",IF(AND(G2138=0,H2138=0),IF(AND(F2138="",K2138=""),"Tidak dibuka","Tutup"),IF(H2138&gt;G2138,"Lebih kapasitas",IF(H2138=G2138,"Penuh",IF(H2138=0,IF(F2138="","Slot kosong","Belum terisi"),"Sebagian")))))</f>
        <v>Belum terisi</v>
      </c>
      <c r="M2138" s="79" t="str">
        <f aca="false">IF(L2138="Tidak dibuka","–",IF(F2138="","(tanpa age group)",F2138)&amp;"  "&amp;IF(H2138="","?",H2138)&amp;"/"&amp;IF(G2138="","?",G2138)&amp;CHAR(10)&amp;IF(K2138="","coach: –","coach: "&amp;K2138))</f>
        <v>Tiny  0/5
coach: –</v>
      </c>
    </row>
    <row r="2139" customFormat="false" ht="22.35" hidden="false" customHeight="false" outlineLevel="0" collapsed="false">
      <c r="A2139" s="76" t="str">
        <f aca="false">B2139&amp;"|"&amp;C2139&amp;"|"&amp;D2139&amp;"|"&amp;E2139</f>
        <v>HIB|2|Kamis|09:30</v>
      </c>
      <c r="B2139" s="76" t="s">
        <v>71</v>
      </c>
      <c r="C2139" s="76" t="n">
        <v>2</v>
      </c>
      <c r="D2139" s="76" t="s">
        <v>93</v>
      </c>
      <c r="E2139" s="76" t="s">
        <v>112</v>
      </c>
      <c r="F2139" s="77" t="s">
        <v>42</v>
      </c>
      <c r="G2139" s="77" t="n">
        <v>5</v>
      </c>
      <c r="H2139" s="77" t="n">
        <v>2</v>
      </c>
      <c r="I2139" s="76" t="n">
        <f aca="false">IF(AND(ISNUMBER(G2139),ISNUMBER(H2139)),MAX(G2139-H2139,0),"")</f>
        <v>3</v>
      </c>
      <c r="J2139" s="78" t="n">
        <f aca="false">IF(AND(ISNUMBER(G2139),ISNUMBER(H2139)),IF(G2139&gt;0,H2139/G2139,""),"")</f>
        <v>0.4</v>
      </c>
      <c r="K2139" s="77" t="s">
        <v>481</v>
      </c>
      <c r="L2139" s="76" t="str">
        <f aca="false">IF(OR(G2139="",H2139=""),"Data tidak lengkap",IF(AND(G2139=0,H2139=0),IF(AND(F2139="",K2139=""),"Tidak dibuka","Tutup"),IF(H2139&gt;G2139,"Lebih kapasitas",IF(H2139=G2139,"Penuh",IF(H2139=0,IF(F2139="","Slot kosong","Belum terisi"),"Sebagian")))))</f>
        <v>Sebagian</v>
      </c>
      <c r="M2139" s="79" t="str">
        <f aca="false">IF(L2139="Tidak dibuka","–",IF(F2139="","(tanpa age group)",F2139)&amp;"  "&amp;IF(H2139="","?",H2139)&amp;"/"&amp;IF(G2139="","?",G2139)&amp;CHAR(10)&amp;IF(K2139="","coach: –","coach: "&amp;K2139))</f>
        <v>Tiny  2/5
coach: Rizky</v>
      </c>
    </row>
    <row r="2140" customFormat="false" ht="22.35" hidden="false" customHeight="false" outlineLevel="0" collapsed="false">
      <c r="A2140" s="76" t="str">
        <f aca="false">B2140&amp;"|"&amp;C2140&amp;"|"&amp;D2140&amp;"|"&amp;E2140</f>
        <v>HIB|2|Kamis|10:15</v>
      </c>
      <c r="B2140" s="76" t="s">
        <v>71</v>
      </c>
      <c r="C2140" s="76" t="n">
        <v>2</v>
      </c>
      <c r="D2140" s="76" t="s">
        <v>93</v>
      </c>
      <c r="E2140" s="76" t="s">
        <v>113</v>
      </c>
      <c r="F2140" s="77" t="s">
        <v>42</v>
      </c>
      <c r="G2140" s="77" t="n">
        <v>5</v>
      </c>
      <c r="H2140" s="77" t="n">
        <v>1</v>
      </c>
      <c r="I2140" s="76" t="n">
        <f aca="false">IF(AND(ISNUMBER(G2140),ISNUMBER(H2140)),MAX(G2140-H2140,0),"")</f>
        <v>4</v>
      </c>
      <c r="J2140" s="78" t="n">
        <f aca="false">IF(AND(ISNUMBER(G2140),ISNUMBER(H2140)),IF(G2140&gt;0,H2140/G2140,""),"")</f>
        <v>0.2</v>
      </c>
      <c r="K2140" s="77" t="s">
        <v>481</v>
      </c>
      <c r="L2140" s="76" t="str">
        <f aca="false">IF(OR(G2140="",H2140=""),"Data tidak lengkap",IF(AND(G2140=0,H2140=0),IF(AND(F2140="",K2140=""),"Tidak dibuka","Tutup"),IF(H2140&gt;G2140,"Lebih kapasitas",IF(H2140=G2140,"Penuh",IF(H2140=0,IF(F2140="","Slot kosong","Belum terisi"),"Sebagian")))))</f>
        <v>Sebagian</v>
      </c>
      <c r="M2140" s="79" t="str">
        <f aca="false">IF(L2140="Tidak dibuka","–",IF(F2140="","(tanpa age group)",F2140)&amp;"  "&amp;IF(H2140="","?",H2140)&amp;"/"&amp;IF(G2140="","?",G2140)&amp;CHAR(10)&amp;IF(K2140="","coach: –","coach: "&amp;K2140))</f>
        <v>Tiny  1/5
coach: Rizky</v>
      </c>
    </row>
    <row r="2141" customFormat="false" ht="22.35" hidden="false" customHeight="false" outlineLevel="0" collapsed="false">
      <c r="A2141" s="76" t="str">
        <f aca="false">B2141&amp;"|"&amp;C2141&amp;"|"&amp;D2141&amp;"|"&amp;E2141</f>
        <v>HIB|2|Kamis|11:00</v>
      </c>
      <c r="B2141" s="76" t="s">
        <v>71</v>
      </c>
      <c r="C2141" s="76" t="n">
        <v>2</v>
      </c>
      <c r="D2141" s="76" t="s">
        <v>93</v>
      </c>
      <c r="E2141" s="76" t="s">
        <v>114</v>
      </c>
      <c r="F2141" s="77" t="s">
        <v>42</v>
      </c>
      <c r="G2141" s="77" t="n">
        <v>5</v>
      </c>
      <c r="H2141" s="77" t="n">
        <v>1</v>
      </c>
      <c r="I2141" s="76" t="n">
        <f aca="false">IF(AND(ISNUMBER(G2141),ISNUMBER(H2141)),MAX(G2141-H2141,0),"")</f>
        <v>4</v>
      </c>
      <c r="J2141" s="78" t="n">
        <f aca="false">IF(AND(ISNUMBER(G2141),ISNUMBER(H2141)),IF(G2141&gt;0,H2141/G2141,""),"")</f>
        <v>0.2</v>
      </c>
      <c r="K2141" s="77" t="s">
        <v>481</v>
      </c>
      <c r="L2141" s="76" t="str">
        <f aca="false">IF(OR(G2141="",H2141=""),"Data tidak lengkap",IF(AND(G2141=0,H2141=0),IF(AND(F2141="",K2141=""),"Tidak dibuka","Tutup"),IF(H2141&gt;G2141,"Lebih kapasitas",IF(H2141=G2141,"Penuh",IF(H2141=0,IF(F2141="","Slot kosong","Belum terisi"),"Sebagian")))))</f>
        <v>Sebagian</v>
      </c>
      <c r="M2141" s="79" t="str">
        <f aca="false">IF(L2141="Tidak dibuka","–",IF(F2141="","(tanpa age group)",F2141)&amp;"  "&amp;IF(H2141="","?",H2141)&amp;"/"&amp;IF(G2141="","?",G2141)&amp;CHAR(10)&amp;IF(K2141="","coach: –","coach: "&amp;K2141))</f>
        <v>Tiny  1/5
coach: Rizky</v>
      </c>
    </row>
    <row r="2142" customFormat="false" ht="22.35" hidden="false" customHeight="false" outlineLevel="0" collapsed="false">
      <c r="A2142" s="76" t="str">
        <f aca="false">B2142&amp;"|"&amp;C2142&amp;"|"&amp;D2142&amp;"|"&amp;E2142</f>
        <v>HIB|2|Kamis|11:45</v>
      </c>
      <c r="B2142" s="76" t="s">
        <v>71</v>
      </c>
      <c r="C2142" s="76" t="n">
        <v>2</v>
      </c>
      <c r="D2142" s="76" t="s">
        <v>93</v>
      </c>
      <c r="E2142" s="76" t="s">
        <v>115</v>
      </c>
      <c r="F2142" s="77" t="s">
        <v>42</v>
      </c>
      <c r="G2142" s="77" t="n">
        <v>5</v>
      </c>
      <c r="H2142" s="77" t="n">
        <v>1</v>
      </c>
      <c r="I2142" s="76" t="n">
        <f aca="false">IF(AND(ISNUMBER(G2142),ISNUMBER(H2142)),MAX(G2142-H2142,0),"")</f>
        <v>4</v>
      </c>
      <c r="J2142" s="78" t="n">
        <f aca="false">IF(AND(ISNUMBER(G2142),ISNUMBER(H2142)),IF(G2142&gt;0,H2142/G2142,""),"")</f>
        <v>0.2</v>
      </c>
      <c r="K2142" s="77" t="s">
        <v>481</v>
      </c>
      <c r="L2142" s="76" t="str">
        <f aca="false">IF(OR(G2142="",H2142=""),"Data tidak lengkap",IF(AND(G2142=0,H2142=0),IF(AND(F2142="",K2142=""),"Tidak dibuka","Tutup"),IF(H2142&gt;G2142,"Lebih kapasitas",IF(H2142=G2142,"Penuh",IF(H2142=0,IF(F2142="","Slot kosong","Belum terisi"),"Sebagian")))))</f>
        <v>Sebagian</v>
      </c>
      <c r="M2142" s="79" t="str">
        <f aca="false">IF(L2142="Tidak dibuka","–",IF(F2142="","(tanpa age group)",F2142)&amp;"  "&amp;IF(H2142="","?",H2142)&amp;"/"&amp;IF(G2142="","?",G2142)&amp;CHAR(10)&amp;IF(K2142="","coach: –","coach: "&amp;K2142))</f>
        <v>Tiny  1/5
coach: Rizky</v>
      </c>
    </row>
    <row r="2143" customFormat="false" ht="22.35" hidden="false" customHeight="false" outlineLevel="0" collapsed="false">
      <c r="A2143" s="76" t="str">
        <f aca="false">B2143&amp;"|"&amp;C2143&amp;"|"&amp;D2143&amp;"|"&amp;E2143</f>
        <v>HIB|2|Kamis|13:15</v>
      </c>
      <c r="B2143" s="76" t="s">
        <v>71</v>
      </c>
      <c r="C2143" s="76" t="n">
        <v>2</v>
      </c>
      <c r="D2143" s="76" t="s">
        <v>93</v>
      </c>
      <c r="E2143" s="76" t="s">
        <v>116</v>
      </c>
      <c r="F2143" s="77" t="s">
        <v>42</v>
      </c>
      <c r="G2143" s="77" t="n">
        <v>5</v>
      </c>
      <c r="H2143" s="77" t="n">
        <v>0</v>
      </c>
      <c r="I2143" s="76" t="n">
        <f aca="false">IF(AND(ISNUMBER(G2143),ISNUMBER(H2143)),MAX(G2143-H2143,0),"")</f>
        <v>5</v>
      </c>
      <c r="J2143" s="78" t="n">
        <f aca="false">IF(AND(ISNUMBER(G2143),ISNUMBER(H2143)),IF(G2143&gt;0,H2143/G2143,""),"")</f>
        <v>0</v>
      </c>
      <c r="K2143" s="77"/>
      <c r="L2143" s="76" t="str">
        <f aca="false">IF(OR(G2143="",H2143=""),"Data tidak lengkap",IF(AND(G2143=0,H2143=0),IF(AND(F2143="",K2143=""),"Tidak dibuka","Tutup"),IF(H2143&gt;G2143,"Lebih kapasitas",IF(H2143=G2143,"Penuh",IF(H2143=0,IF(F2143="","Slot kosong","Belum terisi"),"Sebagian")))))</f>
        <v>Belum terisi</v>
      </c>
      <c r="M2143" s="79" t="str">
        <f aca="false">IF(L2143="Tidak dibuka","–",IF(F2143="","(tanpa age group)",F2143)&amp;"  "&amp;IF(H2143="","?",H2143)&amp;"/"&amp;IF(G2143="","?",G2143)&amp;CHAR(10)&amp;IF(K2143="","coach: –","coach: "&amp;K2143))</f>
        <v>Tiny  0/5
coach: –</v>
      </c>
    </row>
    <row r="2144" customFormat="false" ht="22.35" hidden="false" customHeight="false" outlineLevel="0" collapsed="false">
      <c r="A2144" s="76" t="str">
        <f aca="false">B2144&amp;"|"&amp;C2144&amp;"|"&amp;D2144&amp;"|"&amp;E2144</f>
        <v>HIB|2|Kamis|14:00</v>
      </c>
      <c r="B2144" s="76" t="s">
        <v>71</v>
      </c>
      <c r="C2144" s="76" t="n">
        <v>2</v>
      </c>
      <c r="D2144" s="76" t="s">
        <v>93</v>
      </c>
      <c r="E2144" s="76" t="s">
        <v>117</v>
      </c>
      <c r="F2144" s="77" t="s">
        <v>42</v>
      </c>
      <c r="G2144" s="77" t="n">
        <v>5</v>
      </c>
      <c r="H2144" s="77" t="n">
        <v>0</v>
      </c>
      <c r="I2144" s="76" t="n">
        <f aca="false">IF(AND(ISNUMBER(G2144),ISNUMBER(H2144)),MAX(G2144-H2144,0),"")</f>
        <v>5</v>
      </c>
      <c r="J2144" s="78" t="n">
        <f aca="false">IF(AND(ISNUMBER(G2144),ISNUMBER(H2144)),IF(G2144&gt;0,H2144/G2144,""),"")</f>
        <v>0</v>
      </c>
      <c r="K2144" s="77"/>
      <c r="L2144" s="76" t="str">
        <f aca="false">IF(OR(G2144="",H2144=""),"Data tidak lengkap",IF(AND(G2144=0,H2144=0),IF(AND(F2144="",K2144=""),"Tidak dibuka","Tutup"),IF(H2144&gt;G2144,"Lebih kapasitas",IF(H2144=G2144,"Penuh",IF(H2144=0,IF(F2144="","Slot kosong","Belum terisi"),"Sebagian")))))</f>
        <v>Belum terisi</v>
      </c>
      <c r="M2144" s="79" t="str">
        <f aca="false">IF(L2144="Tidak dibuka","–",IF(F2144="","(tanpa age group)",F2144)&amp;"  "&amp;IF(H2144="","?",H2144)&amp;"/"&amp;IF(G2144="","?",G2144)&amp;CHAR(10)&amp;IF(K2144="","coach: –","coach: "&amp;K2144))</f>
        <v>Tiny  0/5
coach: –</v>
      </c>
    </row>
    <row r="2145" customFormat="false" ht="22.35" hidden="false" customHeight="false" outlineLevel="0" collapsed="false">
      <c r="A2145" s="76" t="str">
        <f aca="false">B2145&amp;"|"&amp;C2145&amp;"|"&amp;D2145&amp;"|"&amp;E2145</f>
        <v>HIB|2|Kamis|14:45</v>
      </c>
      <c r="B2145" s="76" t="s">
        <v>71</v>
      </c>
      <c r="C2145" s="76" t="n">
        <v>2</v>
      </c>
      <c r="D2145" s="76" t="s">
        <v>93</v>
      </c>
      <c r="E2145" s="76" t="s">
        <v>118</v>
      </c>
      <c r="F2145" s="77" t="s">
        <v>42</v>
      </c>
      <c r="G2145" s="77" t="n">
        <v>5</v>
      </c>
      <c r="H2145" s="77" t="n">
        <v>0</v>
      </c>
      <c r="I2145" s="76" t="n">
        <f aca="false">IF(AND(ISNUMBER(G2145),ISNUMBER(H2145)),MAX(G2145-H2145,0),"")</f>
        <v>5</v>
      </c>
      <c r="J2145" s="78" t="n">
        <f aca="false">IF(AND(ISNUMBER(G2145),ISNUMBER(H2145)),IF(G2145&gt;0,H2145/G2145,""),"")</f>
        <v>0</v>
      </c>
      <c r="K2145" s="77"/>
      <c r="L2145" s="76" t="str">
        <f aca="false">IF(OR(G2145="",H2145=""),"Data tidak lengkap",IF(AND(G2145=0,H2145=0),IF(AND(F2145="",K2145=""),"Tidak dibuka","Tutup"),IF(H2145&gt;G2145,"Lebih kapasitas",IF(H2145=G2145,"Penuh",IF(H2145=0,IF(F2145="","Slot kosong","Belum terisi"),"Sebagian")))))</f>
        <v>Belum terisi</v>
      </c>
      <c r="M2145" s="79" t="str">
        <f aca="false">IF(L2145="Tidak dibuka","–",IF(F2145="","(tanpa age group)",F2145)&amp;"  "&amp;IF(H2145="","?",H2145)&amp;"/"&amp;IF(G2145="","?",G2145)&amp;CHAR(10)&amp;IF(K2145="","coach: –","coach: "&amp;K2145))</f>
        <v>Tiny  0/5
coach: –</v>
      </c>
    </row>
    <row r="2146" customFormat="false" ht="22.35" hidden="false" customHeight="false" outlineLevel="0" collapsed="false">
      <c r="A2146" s="76" t="str">
        <f aca="false">B2146&amp;"|"&amp;C2146&amp;"|"&amp;D2146&amp;"|"&amp;E2146</f>
        <v>HIB|2|Kamis|15:30</v>
      </c>
      <c r="B2146" s="76" t="s">
        <v>71</v>
      </c>
      <c r="C2146" s="76" t="n">
        <v>2</v>
      </c>
      <c r="D2146" s="76" t="s">
        <v>93</v>
      </c>
      <c r="E2146" s="76" t="s">
        <v>119</v>
      </c>
      <c r="F2146" s="77" t="s">
        <v>42</v>
      </c>
      <c r="G2146" s="77" t="n">
        <v>5</v>
      </c>
      <c r="H2146" s="77" t="n">
        <v>0</v>
      </c>
      <c r="I2146" s="76" t="n">
        <f aca="false">IF(AND(ISNUMBER(G2146),ISNUMBER(H2146)),MAX(G2146-H2146,0),"")</f>
        <v>5</v>
      </c>
      <c r="J2146" s="78" t="n">
        <f aca="false">IF(AND(ISNUMBER(G2146),ISNUMBER(H2146)),IF(G2146&gt;0,H2146/G2146,""),"")</f>
        <v>0</v>
      </c>
      <c r="K2146" s="77"/>
      <c r="L2146" s="76" t="str">
        <f aca="false">IF(OR(G2146="",H2146=""),"Data tidak lengkap",IF(AND(G2146=0,H2146=0),IF(AND(F2146="",K2146=""),"Tidak dibuka","Tutup"),IF(H2146&gt;G2146,"Lebih kapasitas",IF(H2146=G2146,"Penuh",IF(H2146=0,IF(F2146="","Slot kosong","Belum terisi"),"Sebagian")))))</f>
        <v>Belum terisi</v>
      </c>
      <c r="M2146" s="79" t="str">
        <f aca="false">IF(L2146="Tidak dibuka","–",IF(F2146="","(tanpa age group)",F2146)&amp;"  "&amp;IF(H2146="","?",H2146)&amp;"/"&amp;IF(G2146="","?",G2146)&amp;CHAR(10)&amp;IF(K2146="","coach: –","coach: "&amp;K2146))</f>
        <v>Tiny  0/5
coach: –</v>
      </c>
    </row>
    <row r="2147" customFormat="false" ht="22.35" hidden="false" customHeight="false" outlineLevel="0" collapsed="false">
      <c r="A2147" s="76" t="str">
        <f aca="false">B2147&amp;"|"&amp;C2147&amp;"|"&amp;D2147&amp;"|"&amp;E2147</f>
        <v>HIB|2|Kamis|16:15</v>
      </c>
      <c r="B2147" s="76" t="s">
        <v>71</v>
      </c>
      <c r="C2147" s="76" t="n">
        <v>2</v>
      </c>
      <c r="D2147" s="76" t="s">
        <v>93</v>
      </c>
      <c r="E2147" s="76" t="s">
        <v>120</v>
      </c>
      <c r="F2147" s="77" t="s">
        <v>42</v>
      </c>
      <c r="G2147" s="77" t="n">
        <v>5</v>
      </c>
      <c r="H2147" s="77" t="n">
        <v>0</v>
      </c>
      <c r="I2147" s="76" t="n">
        <f aca="false">IF(AND(ISNUMBER(G2147),ISNUMBER(H2147)),MAX(G2147-H2147,0),"")</f>
        <v>5</v>
      </c>
      <c r="J2147" s="78" t="n">
        <f aca="false">IF(AND(ISNUMBER(G2147),ISNUMBER(H2147)),IF(G2147&gt;0,H2147/G2147,""),"")</f>
        <v>0</v>
      </c>
      <c r="K2147" s="77"/>
      <c r="L2147" s="76" t="str">
        <f aca="false">IF(OR(G2147="",H2147=""),"Data tidak lengkap",IF(AND(G2147=0,H2147=0),IF(AND(F2147="",K2147=""),"Tidak dibuka","Tutup"),IF(H2147&gt;G2147,"Lebih kapasitas",IF(H2147=G2147,"Penuh",IF(H2147=0,IF(F2147="","Slot kosong","Belum terisi"),"Sebagian")))))</f>
        <v>Belum terisi</v>
      </c>
      <c r="M2147" s="79" t="str">
        <f aca="false">IF(L2147="Tidak dibuka","–",IF(F2147="","(tanpa age group)",F2147)&amp;"  "&amp;IF(H2147="","?",H2147)&amp;"/"&amp;IF(G2147="","?",G2147)&amp;CHAR(10)&amp;IF(K2147="","coach: –","coach: "&amp;K2147))</f>
        <v>Tiny  0/5
coach: –</v>
      </c>
    </row>
    <row r="2148" customFormat="false" ht="22.35" hidden="false" customHeight="false" outlineLevel="0" collapsed="false">
      <c r="A2148" s="76" t="str">
        <f aca="false">B2148&amp;"|"&amp;C2148&amp;"|"&amp;D2148&amp;"|"&amp;E2148</f>
        <v>HIB|2|Kamis|17:00</v>
      </c>
      <c r="B2148" s="76" t="s">
        <v>71</v>
      </c>
      <c r="C2148" s="76" t="n">
        <v>2</v>
      </c>
      <c r="D2148" s="76" t="s">
        <v>93</v>
      </c>
      <c r="E2148" s="76" t="s">
        <v>121</v>
      </c>
      <c r="F2148" s="77" t="s">
        <v>42</v>
      </c>
      <c r="G2148" s="77" t="n">
        <v>5</v>
      </c>
      <c r="H2148" s="77" t="n">
        <v>0</v>
      </c>
      <c r="I2148" s="76" t="n">
        <f aca="false">IF(AND(ISNUMBER(G2148),ISNUMBER(H2148)),MAX(G2148-H2148,0),"")</f>
        <v>5</v>
      </c>
      <c r="J2148" s="78" t="n">
        <f aca="false">IF(AND(ISNUMBER(G2148),ISNUMBER(H2148)),IF(G2148&gt;0,H2148/G2148,""),"")</f>
        <v>0</v>
      </c>
      <c r="K2148" s="77"/>
      <c r="L2148" s="76" t="str">
        <f aca="false">IF(OR(G2148="",H2148=""),"Data tidak lengkap",IF(AND(G2148=0,H2148=0),IF(AND(F2148="",K2148=""),"Tidak dibuka","Tutup"),IF(H2148&gt;G2148,"Lebih kapasitas",IF(H2148=G2148,"Penuh",IF(H2148=0,IF(F2148="","Slot kosong","Belum terisi"),"Sebagian")))))</f>
        <v>Belum terisi</v>
      </c>
      <c r="M2148" s="79" t="str">
        <f aca="false">IF(L2148="Tidak dibuka","–",IF(F2148="","(tanpa age group)",F2148)&amp;"  "&amp;IF(H2148="","?",H2148)&amp;"/"&amp;IF(G2148="","?",G2148)&amp;CHAR(10)&amp;IF(K2148="","coach: –","coach: "&amp;K2148))</f>
        <v>Tiny  0/5
coach: –</v>
      </c>
    </row>
    <row r="2149" customFormat="false" ht="22.35" hidden="false" customHeight="false" outlineLevel="0" collapsed="false">
      <c r="A2149" s="76" t="str">
        <f aca="false">B2149&amp;"|"&amp;C2149&amp;"|"&amp;D2149&amp;"|"&amp;E2149</f>
        <v>HIB|2|Jumat|08:00</v>
      </c>
      <c r="B2149" s="76" t="s">
        <v>71</v>
      </c>
      <c r="C2149" s="76" t="n">
        <v>2</v>
      </c>
      <c r="D2149" s="76" t="s">
        <v>94</v>
      </c>
      <c r="E2149" s="76" t="s">
        <v>110</v>
      </c>
      <c r="F2149" s="77" t="s">
        <v>42</v>
      </c>
      <c r="G2149" s="77" t="n">
        <v>5</v>
      </c>
      <c r="H2149" s="77" t="n">
        <v>0</v>
      </c>
      <c r="I2149" s="76" t="n">
        <f aca="false">IF(AND(ISNUMBER(G2149),ISNUMBER(H2149)),MAX(G2149-H2149,0),"")</f>
        <v>5</v>
      </c>
      <c r="J2149" s="78" t="n">
        <f aca="false">IF(AND(ISNUMBER(G2149),ISNUMBER(H2149)),IF(G2149&gt;0,H2149/G2149,""),"")</f>
        <v>0</v>
      </c>
      <c r="K2149" s="77"/>
      <c r="L2149" s="76" t="str">
        <f aca="false">IF(OR(G2149="",H2149=""),"Data tidak lengkap",IF(AND(G2149=0,H2149=0),IF(AND(F2149="",K2149=""),"Tidak dibuka","Tutup"),IF(H2149&gt;G2149,"Lebih kapasitas",IF(H2149=G2149,"Penuh",IF(H2149=0,IF(F2149="","Slot kosong","Belum terisi"),"Sebagian")))))</f>
        <v>Belum terisi</v>
      </c>
      <c r="M2149" s="79" t="str">
        <f aca="false">IF(L2149="Tidak dibuka","–",IF(F2149="","(tanpa age group)",F2149)&amp;"  "&amp;IF(H2149="","?",H2149)&amp;"/"&amp;IF(G2149="","?",G2149)&amp;CHAR(10)&amp;IF(K2149="","coach: –","coach: "&amp;K2149))</f>
        <v>Tiny  0/5
coach: –</v>
      </c>
    </row>
    <row r="2150" customFormat="false" ht="22.35" hidden="false" customHeight="false" outlineLevel="0" collapsed="false">
      <c r="A2150" s="76" t="str">
        <f aca="false">B2150&amp;"|"&amp;C2150&amp;"|"&amp;D2150&amp;"|"&amp;E2150</f>
        <v>HIB|2|Jumat|08:45</v>
      </c>
      <c r="B2150" s="76" t="s">
        <v>71</v>
      </c>
      <c r="C2150" s="76" t="n">
        <v>2</v>
      </c>
      <c r="D2150" s="76" t="s">
        <v>94</v>
      </c>
      <c r="E2150" s="76" t="s">
        <v>111</v>
      </c>
      <c r="F2150" s="77" t="s">
        <v>42</v>
      </c>
      <c r="G2150" s="77" t="n">
        <v>5</v>
      </c>
      <c r="H2150" s="77" t="n">
        <v>0</v>
      </c>
      <c r="I2150" s="76" t="n">
        <f aca="false">IF(AND(ISNUMBER(G2150),ISNUMBER(H2150)),MAX(G2150-H2150,0),"")</f>
        <v>5</v>
      </c>
      <c r="J2150" s="78" t="n">
        <f aca="false">IF(AND(ISNUMBER(G2150),ISNUMBER(H2150)),IF(G2150&gt;0,H2150/G2150,""),"")</f>
        <v>0</v>
      </c>
      <c r="K2150" s="77"/>
      <c r="L2150" s="76" t="str">
        <f aca="false">IF(OR(G2150="",H2150=""),"Data tidak lengkap",IF(AND(G2150=0,H2150=0),IF(AND(F2150="",K2150=""),"Tidak dibuka","Tutup"),IF(H2150&gt;G2150,"Lebih kapasitas",IF(H2150=G2150,"Penuh",IF(H2150=0,IF(F2150="","Slot kosong","Belum terisi"),"Sebagian")))))</f>
        <v>Belum terisi</v>
      </c>
      <c r="M2150" s="79" t="str">
        <f aca="false">IF(L2150="Tidak dibuka","–",IF(F2150="","(tanpa age group)",F2150)&amp;"  "&amp;IF(H2150="","?",H2150)&amp;"/"&amp;IF(G2150="","?",G2150)&amp;CHAR(10)&amp;IF(K2150="","coach: –","coach: "&amp;K2150))</f>
        <v>Tiny  0/5
coach: –</v>
      </c>
    </row>
    <row r="2151" customFormat="false" ht="22.35" hidden="false" customHeight="false" outlineLevel="0" collapsed="false">
      <c r="A2151" s="76" t="str">
        <f aca="false">B2151&amp;"|"&amp;C2151&amp;"|"&amp;D2151&amp;"|"&amp;E2151</f>
        <v>HIB|2|Jumat|09:30</v>
      </c>
      <c r="B2151" s="76" t="s">
        <v>71</v>
      </c>
      <c r="C2151" s="76" t="n">
        <v>2</v>
      </c>
      <c r="D2151" s="76" t="s">
        <v>94</v>
      </c>
      <c r="E2151" s="76" t="s">
        <v>112</v>
      </c>
      <c r="F2151" s="77" t="s">
        <v>42</v>
      </c>
      <c r="G2151" s="77" t="n">
        <v>5</v>
      </c>
      <c r="H2151" s="77" t="n">
        <v>1</v>
      </c>
      <c r="I2151" s="76" t="n">
        <f aca="false">IF(AND(ISNUMBER(G2151),ISNUMBER(H2151)),MAX(G2151-H2151,0),"")</f>
        <v>4</v>
      </c>
      <c r="J2151" s="78" t="n">
        <f aca="false">IF(AND(ISNUMBER(G2151),ISNUMBER(H2151)),IF(G2151&gt;0,H2151/G2151,""),"")</f>
        <v>0.2</v>
      </c>
      <c r="K2151" s="77" t="s">
        <v>481</v>
      </c>
      <c r="L2151" s="76" t="str">
        <f aca="false">IF(OR(G2151="",H2151=""),"Data tidak lengkap",IF(AND(G2151=0,H2151=0),IF(AND(F2151="",K2151=""),"Tidak dibuka","Tutup"),IF(H2151&gt;G2151,"Lebih kapasitas",IF(H2151=G2151,"Penuh",IF(H2151=0,IF(F2151="","Slot kosong","Belum terisi"),"Sebagian")))))</f>
        <v>Sebagian</v>
      </c>
      <c r="M2151" s="79" t="str">
        <f aca="false">IF(L2151="Tidak dibuka","–",IF(F2151="","(tanpa age group)",F2151)&amp;"  "&amp;IF(H2151="","?",H2151)&amp;"/"&amp;IF(G2151="","?",G2151)&amp;CHAR(10)&amp;IF(K2151="","coach: –","coach: "&amp;K2151))</f>
        <v>Tiny  1/5
coach: Rizky</v>
      </c>
    </row>
    <row r="2152" customFormat="false" ht="22.35" hidden="false" customHeight="false" outlineLevel="0" collapsed="false">
      <c r="A2152" s="76" t="str">
        <f aca="false">B2152&amp;"|"&amp;C2152&amp;"|"&amp;D2152&amp;"|"&amp;E2152</f>
        <v>HIB|2|Jumat|10:15</v>
      </c>
      <c r="B2152" s="76" t="s">
        <v>71</v>
      </c>
      <c r="C2152" s="76" t="n">
        <v>2</v>
      </c>
      <c r="D2152" s="76" t="s">
        <v>94</v>
      </c>
      <c r="E2152" s="76" t="s">
        <v>113</v>
      </c>
      <c r="F2152" s="77" t="s">
        <v>42</v>
      </c>
      <c r="G2152" s="77" t="n">
        <v>5</v>
      </c>
      <c r="H2152" s="77" t="n">
        <v>0</v>
      </c>
      <c r="I2152" s="76" t="n">
        <f aca="false">IF(AND(ISNUMBER(G2152),ISNUMBER(H2152)),MAX(G2152-H2152,0),"")</f>
        <v>5</v>
      </c>
      <c r="J2152" s="78" t="n">
        <f aca="false">IF(AND(ISNUMBER(G2152),ISNUMBER(H2152)),IF(G2152&gt;0,H2152/G2152,""),"")</f>
        <v>0</v>
      </c>
      <c r="K2152" s="77"/>
      <c r="L2152" s="76" t="str">
        <f aca="false">IF(OR(G2152="",H2152=""),"Data tidak lengkap",IF(AND(G2152=0,H2152=0),IF(AND(F2152="",K2152=""),"Tidak dibuka","Tutup"),IF(H2152&gt;G2152,"Lebih kapasitas",IF(H2152=G2152,"Penuh",IF(H2152=0,IF(F2152="","Slot kosong","Belum terisi"),"Sebagian")))))</f>
        <v>Belum terisi</v>
      </c>
      <c r="M2152" s="79" t="str">
        <f aca="false">IF(L2152="Tidak dibuka","–",IF(F2152="","(tanpa age group)",F2152)&amp;"  "&amp;IF(H2152="","?",H2152)&amp;"/"&amp;IF(G2152="","?",G2152)&amp;CHAR(10)&amp;IF(K2152="","coach: –","coach: "&amp;K2152))</f>
        <v>Tiny  0/5
coach: –</v>
      </c>
    </row>
    <row r="2153" customFormat="false" ht="22.35" hidden="false" customHeight="false" outlineLevel="0" collapsed="false">
      <c r="A2153" s="76" t="str">
        <f aca="false">B2153&amp;"|"&amp;C2153&amp;"|"&amp;D2153&amp;"|"&amp;E2153</f>
        <v>HIB|2|Jumat|11:00</v>
      </c>
      <c r="B2153" s="76" t="s">
        <v>71</v>
      </c>
      <c r="C2153" s="76" t="n">
        <v>2</v>
      </c>
      <c r="D2153" s="76" t="s">
        <v>94</v>
      </c>
      <c r="E2153" s="76" t="s">
        <v>114</v>
      </c>
      <c r="F2153" s="77" t="s">
        <v>42</v>
      </c>
      <c r="G2153" s="77" t="n">
        <v>5</v>
      </c>
      <c r="H2153" s="77" t="n">
        <v>0</v>
      </c>
      <c r="I2153" s="76" t="n">
        <f aca="false">IF(AND(ISNUMBER(G2153),ISNUMBER(H2153)),MAX(G2153-H2153,0),"")</f>
        <v>5</v>
      </c>
      <c r="J2153" s="78" t="n">
        <f aca="false">IF(AND(ISNUMBER(G2153),ISNUMBER(H2153)),IF(G2153&gt;0,H2153/G2153,""),"")</f>
        <v>0</v>
      </c>
      <c r="K2153" s="77"/>
      <c r="L2153" s="76" t="str">
        <f aca="false">IF(OR(G2153="",H2153=""),"Data tidak lengkap",IF(AND(G2153=0,H2153=0),IF(AND(F2153="",K2153=""),"Tidak dibuka","Tutup"),IF(H2153&gt;G2153,"Lebih kapasitas",IF(H2153=G2153,"Penuh",IF(H2153=0,IF(F2153="","Slot kosong","Belum terisi"),"Sebagian")))))</f>
        <v>Belum terisi</v>
      </c>
      <c r="M2153" s="79" t="str">
        <f aca="false">IF(L2153="Tidak dibuka","–",IF(F2153="","(tanpa age group)",F2153)&amp;"  "&amp;IF(H2153="","?",H2153)&amp;"/"&amp;IF(G2153="","?",G2153)&amp;CHAR(10)&amp;IF(K2153="","coach: –","coach: "&amp;K2153))</f>
        <v>Tiny  0/5
coach: –</v>
      </c>
    </row>
    <row r="2154" customFormat="false" ht="22.35" hidden="false" customHeight="false" outlineLevel="0" collapsed="false">
      <c r="A2154" s="76" t="str">
        <f aca="false">B2154&amp;"|"&amp;C2154&amp;"|"&amp;D2154&amp;"|"&amp;E2154</f>
        <v>HIB|2|Jumat|11:45</v>
      </c>
      <c r="B2154" s="76" t="s">
        <v>71</v>
      </c>
      <c r="C2154" s="76" t="n">
        <v>2</v>
      </c>
      <c r="D2154" s="76" t="s">
        <v>94</v>
      </c>
      <c r="E2154" s="76" t="s">
        <v>115</v>
      </c>
      <c r="F2154" s="77" t="s">
        <v>42</v>
      </c>
      <c r="G2154" s="77" t="n">
        <v>5</v>
      </c>
      <c r="H2154" s="77" t="n">
        <v>0</v>
      </c>
      <c r="I2154" s="76" t="n">
        <f aca="false">IF(AND(ISNUMBER(G2154),ISNUMBER(H2154)),MAX(G2154-H2154,0),"")</f>
        <v>5</v>
      </c>
      <c r="J2154" s="78" t="n">
        <f aca="false">IF(AND(ISNUMBER(G2154),ISNUMBER(H2154)),IF(G2154&gt;0,H2154/G2154,""),"")</f>
        <v>0</v>
      </c>
      <c r="K2154" s="77"/>
      <c r="L2154" s="76" t="str">
        <f aca="false">IF(OR(G2154="",H2154=""),"Data tidak lengkap",IF(AND(G2154=0,H2154=0),IF(AND(F2154="",K2154=""),"Tidak dibuka","Tutup"),IF(H2154&gt;G2154,"Lebih kapasitas",IF(H2154=G2154,"Penuh",IF(H2154=0,IF(F2154="","Slot kosong","Belum terisi"),"Sebagian")))))</f>
        <v>Belum terisi</v>
      </c>
      <c r="M2154" s="79" t="str">
        <f aca="false">IF(L2154="Tidak dibuka","–",IF(F2154="","(tanpa age group)",F2154)&amp;"  "&amp;IF(H2154="","?",H2154)&amp;"/"&amp;IF(G2154="","?",G2154)&amp;CHAR(10)&amp;IF(K2154="","coach: –","coach: "&amp;K2154))</f>
        <v>Tiny  0/5
coach: –</v>
      </c>
    </row>
    <row r="2155" customFormat="false" ht="22.35" hidden="false" customHeight="false" outlineLevel="0" collapsed="false">
      <c r="A2155" s="76" t="str">
        <f aca="false">B2155&amp;"|"&amp;C2155&amp;"|"&amp;D2155&amp;"|"&amp;E2155</f>
        <v>HIB|2|Jumat|13:15</v>
      </c>
      <c r="B2155" s="76" t="s">
        <v>71</v>
      </c>
      <c r="C2155" s="76" t="n">
        <v>2</v>
      </c>
      <c r="D2155" s="76" t="s">
        <v>94</v>
      </c>
      <c r="E2155" s="76" t="s">
        <v>116</v>
      </c>
      <c r="F2155" s="77" t="s">
        <v>42</v>
      </c>
      <c r="G2155" s="77" t="n">
        <v>5</v>
      </c>
      <c r="H2155" s="77" t="n">
        <v>0</v>
      </c>
      <c r="I2155" s="76" t="n">
        <f aca="false">IF(AND(ISNUMBER(G2155),ISNUMBER(H2155)),MAX(G2155-H2155,0),"")</f>
        <v>5</v>
      </c>
      <c r="J2155" s="78" t="n">
        <f aca="false">IF(AND(ISNUMBER(G2155),ISNUMBER(H2155)),IF(G2155&gt;0,H2155/G2155,""),"")</f>
        <v>0</v>
      </c>
      <c r="K2155" s="77"/>
      <c r="L2155" s="76" t="str">
        <f aca="false">IF(OR(G2155="",H2155=""),"Data tidak lengkap",IF(AND(G2155=0,H2155=0),IF(AND(F2155="",K2155=""),"Tidak dibuka","Tutup"),IF(H2155&gt;G2155,"Lebih kapasitas",IF(H2155=G2155,"Penuh",IF(H2155=0,IF(F2155="","Slot kosong","Belum terisi"),"Sebagian")))))</f>
        <v>Belum terisi</v>
      </c>
      <c r="M2155" s="79" t="str">
        <f aca="false">IF(L2155="Tidak dibuka","–",IF(F2155="","(tanpa age group)",F2155)&amp;"  "&amp;IF(H2155="","?",H2155)&amp;"/"&amp;IF(G2155="","?",G2155)&amp;CHAR(10)&amp;IF(K2155="","coach: –","coach: "&amp;K2155))</f>
        <v>Tiny  0/5
coach: –</v>
      </c>
    </row>
    <row r="2156" customFormat="false" ht="22.35" hidden="false" customHeight="false" outlineLevel="0" collapsed="false">
      <c r="A2156" s="76" t="str">
        <f aca="false">B2156&amp;"|"&amp;C2156&amp;"|"&amp;D2156&amp;"|"&amp;E2156</f>
        <v>HIB|2|Jumat|14:00</v>
      </c>
      <c r="B2156" s="76" t="s">
        <v>71</v>
      </c>
      <c r="C2156" s="76" t="n">
        <v>2</v>
      </c>
      <c r="D2156" s="76" t="s">
        <v>94</v>
      </c>
      <c r="E2156" s="76" t="s">
        <v>117</v>
      </c>
      <c r="F2156" s="77" t="s">
        <v>42</v>
      </c>
      <c r="G2156" s="77" t="n">
        <v>5</v>
      </c>
      <c r="H2156" s="77" t="n">
        <v>0</v>
      </c>
      <c r="I2156" s="76" t="n">
        <f aca="false">IF(AND(ISNUMBER(G2156),ISNUMBER(H2156)),MAX(G2156-H2156,0),"")</f>
        <v>5</v>
      </c>
      <c r="J2156" s="78" t="n">
        <f aca="false">IF(AND(ISNUMBER(G2156),ISNUMBER(H2156)),IF(G2156&gt;0,H2156/G2156,""),"")</f>
        <v>0</v>
      </c>
      <c r="K2156" s="77"/>
      <c r="L2156" s="76" t="str">
        <f aca="false">IF(OR(G2156="",H2156=""),"Data tidak lengkap",IF(AND(G2156=0,H2156=0),IF(AND(F2156="",K2156=""),"Tidak dibuka","Tutup"),IF(H2156&gt;G2156,"Lebih kapasitas",IF(H2156=G2156,"Penuh",IF(H2156=0,IF(F2156="","Slot kosong","Belum terisi"),"Sebagian")))))</f>
        <v>Belum terisi</v>
      </c>
      <c r="M2156" s="79" t="str">
        <f aca="false">IF(L2156="Tidak dibuka","–",IF(F2156="","(tanpa age group)",F2156)&amp;"  "&amp;IF(H2156="","?",H2156)&amp;"/"&amp;IF(G2156="","?",G2156)&amp;CHAR(10)&amp;IF(K2156="","coach: –","coach: "&amp;K2156))</f>
        <v>Tiny  0/5
coach: –</v>
      </c>
    </row>
    <row r="2157" customFormat="false" ht="22.35" hidden="false" customHeight="false" outlineLevel="0" collapsed="false">
      <c r="A2157" s="76" t="str">
        <f aca="false">B2157&amp;"|"&amp;C2157&amp;"|"&amp;D2157&amp;"|"&amp;E2157</f>
        <v>HIB|2|Jumat|14:45</v>
      </c>
      <c r="B2157" s="76" t="s">
        <v>71</v>
      </c>
      <c r="C2157" s="76" t="n">
        <v>2</v>
      </c>
      <c r="D2157" s="76" t="s">
        <v>94</v>
      </c>
      <c r="E2157" s="76" t="s">
        <v>118</v>
      </c>
      <c r="F2157" s="77" t="s">
        <v>42</v>
      </c>
      <c r="G2157" s="77" t="n">
        <v>5</v>
      </c>
      <c r="H2157" s="77" t="n">
        <v>0</v>
      </c>
      <c r="I2157" s="76" t="n">
        <f aca="false">IF(AND(ISNUMBER(G2157),ISNUMBER(H2157)),MAX(G2157-H2157,0),"")</f>
        <v>5</v>
      </c>
      <c r="J2157" s="78" t="n">
        <f aca="false">IF(AND(ISNUMBER(G2157),ISNUMBER(H2157)),IF(G2157&gt;0,H2157/G2157,""),"")</f>
        <v>0</v>
      </c>
      <c r="K2157" s="77"/>
      <c r="L2157" s="76" t="str">
        <f aca="false">IF(OR(G2157="",H2157=""),"Data tidak lengkap",IF(AND(G2157=0,H2157=0),IF(AND(F2157="",K2157=""),"Tidak dibuka","Tutup"),IF(H2157&gt;G2157,"Lebih kapasitas",IF(H2157=G2157,"Penuh",IF(H2157=0,IF(F2157="","Slot kosong","Belum terisi"),"Sebagian")))))</f>
        <v>Belum terisi</v>
      </c>
      <c r="M2157" s="79" t="str">
        <f aca="false">IF(L2157="Tidak dibuka","–",IF(F2157="","(tanpa age group)",F2157)&amp;"  "&amp;IF(H2157="","?",H2157)&amp;"/"&amp;IF(G2157="","?",G2157)&amp;CHAR(10)&amp;IF(K2157="","coach: –","coach: "&amp;K2157))</f>
        <v>Tiny  0/5
coach: –</v>
      </c>
    </row>
    <row r="2158" customFormat="false" ht="22.35" hidden="false" customHeight="false" outlineLevel="0" collapsed="false">
      <c r="A2158" s="76" t="str">
        <f aca="false">B2158&amp;"|"&amp;C2158&amp;"|"&amp;D2158&amp;"|"&amp;E2158</f>
        <v>HIB|2|Jumat|15:30</v>
      </c>
      <c r="B2158" s="76" t="s">
        <v>71</v>
      </c>
      <c r="C2158" s="76" t="n">
        <v>2</v>
      </c>
      <c r="D2158" s="76" t="s">
        <v>94</v>
      </c>
      <c r="E2158" s="76" t="s">
        <v>119</v>
      </c>
      <c r="F2158" s="77" t="s">
        <v>42</v>
      </c>
      <c r="G2158" s="77" t="n">
        <v>5</v>
      </c>
      <c r="H2158" s="77" t="n">
        <v>1</v>
      </c>
      <c r="I2158" s="76" t="n">
        <f aca="false">IF(AND(ISNUMBER(G2158),ISNUMBER(H2158)),MAX(G2158-H2158,0),"")</f>
        <v>4</v>
      </c>
      <c r="J2158" s="78" t="n">
        <f aca="false">IF(AND(ISNUMBER(G2158),ISNUMBER(H2158)),IF(G2158&gt;0,H2158/G2158,""),"")</f>
        <v>0.2</v>
      </c>
      <c r="K2158" s="77" t="s">
        <v>481</v>
      </c>
      <c r="L2158" s="76" t="str">
        <f aca="false">IF(OR(G2158="",H2158=""),"Data tidak lengkap",IF(AND(G2158=0,H2158=0),IF(AND(F2158="",K2158=""),"Tidak dibuka","Tutup"),IF(H2158&gt;G2158,"Lebih kapasitas",IF(H2158=G2158,"Penuh",IF(H2158=0,IF(F2158="","Slot kosong","Belum terisi"),"Sebagian")))))</f>
        <v>Sebagian</v>
      </c>
      <c r="M2158" s="79" t="str">
        <f aca="false">IF(L2158="Tidak dibuka","–",IF(F2158="","(tanpa age group)",F2158)&amp;"  "&amp;IF(H2158="","?",H2158)&amp;"/"&amp;IF(G2158="","?",G2158)&amp;CHAR(10)&amp;IF(K2158="","coach: –","coach: "&amp;K2158))</f>
        <v>Tiny  1/5
coach: Rizky</v>
      </c>
    </row>
    <row r="2159" customFormat="false" ht="22.35" hidden="false" customHeight="false" outlineLevel="0" collapsed="false">
      <c r="A2159" s="76" t="str">
        <f aca="false">B2159&amp;"|"&amp;C2159&amp;"|"&amp;D2159&amp;"|"&amp;E2159</f>
        <v>HIB|2|Jumat|16:15</v>
      </c>
      <c r="B2159" s="76" t="s">
        <v>71</v>
      </c>
      <c r="C2159" s="76" t="n">
        <v>2</v>
      </c>
      <c r="D2159" s="76" t="s">
        <v>94</v>
      </c>
      <c r="E2159" s="76" t="s">
        <v>120</v>
      </c>
      <c r="F2159" s="77" t="s">
        <v>42</v>
      </c>
      <c r="G2159" s="77" t="n">
        <v>5</v>
      </c>
      <c r="H2159" s="77" t="n">
        <v>0</v>
      </c>
      <c r="I2159" s="76" t="n">
        <f aca="false">IF(AND(ISNUMBER(G2159),ISNUMBER(H2159)),MAX(G2159-H2159,0),"")</f>
        <v>5</v>
      </c>
      <c r="J2159" s="78" t="n">
        <f aca="false">IF(AND(ISNUMBER(G2159),ISNUMBER(H2159)),IF(G2159&gt;0,H2159/G2159,""),"")</f>
        <v>0</v>
      </c>
      <c r="K2159" s="77"/>
      <c r="L2159" s="76" t="str">
        <f aca="false">IF(OR(G2159="",H2159=""),"Data tidak lengkap",IF(AND(G2159=0,H2159=0),IF(AND(F2159="",K2159=""),"Tidak dibuka","Tutup"),IF(H2159&gt;G2159,"Lebih kapasitas",IF(H2159=G2159,"Penuh",IF(H2159=0,IF(F2159="","Slot kosong","Belum terisi"),"Sebagian")))))</f>
        <v>Belum terisi</v>
      </c>
      <c r="M2159" s="79" t="str">
        <f aca="false">IF(L2159="Tidak dibuka","–",IF(F2159="","(tanpa age group)",F2159)&amp;"  "&amp;IF(H2159="","?",H2159)&amp;"/"&amp;IF(G2159="","?",G2159)&amp;CHAR(10)&amp;IF(K2159="","coach: –","coach: "&amp;K2159))</f>
        <v>Tiny  0/5
coach: –</v>
      </c>
    </row>
    <row r="2160" customFormat="false" ht="22.35" hidden="false" customHeight="false" outlineLevel="0" collapsed="false">
      <c r="A2160" s="76" t="str">
        <f aca="false">B2160&amp;"|"&amp;C2160&amp;"|"&amp;D2160&amp;"|"&amp;E2160</f>
        <v>HIB|2|Jumat|17:00</v>
      </c>
      <c r="B2160" s="76" t="s">
        <v>71</v>
      </c>
      <c r="C2160" s="76" t="n">
        <v>2</v>
      </c>
      <c r="D2160" s="76" t="s">
        <v>94</v>
      </c>
      <c r="E2160" s="76" t="s">
        <v>121</v>
      </c>
      <c r="F2160" s="77" t="s">
        <v>42</v>
      </c>
      <c r="G2160" s="77" t="n">
        <v>5</v>
      </c>
      <c r="H2160" s="77" t="n">
        <v>0</v>
      </c>
      <c r="I2160" s="76" t="n">
        <f aca="false">IF(AND(ISNUMBER(G2160),ISNUMBER(H2160)),MAX(G2160-H2160,0),"")</f>
        <v>5</v>
      </c>
      <c r="J2160" s="78" t="n">
        <f aca="false">IF(AND(ISNUMBER(G2160),ISNUMBER(H2160)),IF(G2160&gt;0,H2160/G2160,""),"")</f>
        <v>0</v>
      </c>
      <c r="K2160" s="77"/>
      <c r="L2160" s="76" t="str">
        <f aca="false">IF(OR(G2160="",H2160=""),"Data tidak lengkap",IF(AND(G2160=0,H2160=0),IF(AND(F2160="",K2160=""),"Tidak dibuka","Tutup"),IF(H2160&gt;G2160,"Lebih kapasitas",IF(H2160=G2160,"Penuh",IF(H2160=0,IF(F2160="","Slot kosong","Belum terisi"),"Sebagian")))))</f>
        <v>Belum terisi</v>
      </c>
      <c r="M2160" s="79" t="str">
        <f aca="false">IF(L2160="Tidak dibuka","–",IF(F2160="","(tanpa age group)",F2160)&amp;"  "&amp;IF(H2160="","?",H2160)&amp;"/"&amp;IF(G2160="","?",G2160)&amp;CHAR(10)&amp;IF(K2160="","coach: –","coach: "&amp;K2160))</f>
        <v>Tiny  0/5
coach: –</v>
      </c>
    </row>
    <row r="2161" customFormat="false" ht="22.35" hidden="false" customHeight="false" outlineLevel="0" collapsed="false">
      <c r="A2161" s="76" t="str">
        <f aca="false">B2161&amp;"|"&amp;C2161&amp;"|"&amp;D2161&amp;"|"&amp;E2161</f>
        <v>HIB|2|Sabtu|08:00</v>
      </c>
      <c r="B2161" s="76" t="s">
        <v>71</v>
      </c>
      <c r="C2161" s="76" t="n">
        <v>2</v>
      </c>
      <c r="D2161" s="76" t="s">
        <v>95</v>
      </c>
      <c r="E2161" s="76" t="s">
        <v>110</v>
      </c>
      <c r="F2161" s="77" t="s">
        <v>42</v>
      </c>
      <c r="G2161" s="77" t="n">
        <v>5</v>
      </c>
      <c r="H2161" s="77" t="n">
        <v>0</v>
      </c>
      <c r="I2161" s="76" t="n">
        <f aca="false">IF(AND(ISNUMBER(G2161),ISNUMBER(H2161)),MAX(G2161-H2161,0),"")</f>
        <v>5</v>
      </c>
      <c r="J2161" s="78" t="n">
        <f aca="false">IF(AND(ISNUMBER(G2161),ISNUMBER(H2161)),IF(G2161&gt;0,H2161/G2161,""),"")</f>
        <v>0</v>
      </c>
      <c r="K2161" s="77"/>
      <c r="L2161" s="76" t="str">
        <f aca="false">IF(OR(G2161="",H2161=""),"Data tidak lengkap",IF(AND(G2161=0,H2161=0),IF(AND(F2161="",K2161=""),"Tidak dibuka","Tutup"),IF(H2161&gt;G2161,"Lebih kapasitas",IF(H2161=G2161,"Penuh",IF(H2161=0,IF(F2161="","Slot kosong","Belum terisi"),"Sebagian")))))</f>
        <v>Belum terisi</v>
      </c>
      <c r="M2161" s="79" t="str">
        <f aca="false">IF(L2161="Tidak dibuka","–",IF(F2161="","(tanpa age group)",F2161)&amp;"  "&amp;IF(H2161="","?",H2161)&amp;"/"&amp;IF(G2161="","?",G2161)&amp;CHAR(10)&amp;IF(K2161="","coach: –","coach: "&amp;K2161))</f>
        <v>Tiny  0/5
coach: –</v>
      </c>
    </row>
    <row r="2162" customFormat="false" ht="22.35" hidden="false" customHeight="false" outlineLevel="0" collapsed="false">
      <c r="A2162" s="76" t="str">
        <f aca="false">B2162&amp;"|"&amp;C2162&amp;"|"&amp;D2162&amp;"|"&amp;E2162</f>
        <v>HIB|2|Sabtu|08:45</v>
      </c>
      <c r="B2162" s="76" t="s">
        <v>71</v>
      </c>
      <c r="C2162" s="76" t="n">
        <v>2</v>
      </c>
      <c r="D2162" s="76" t="s">
        <v>95</v>
      </c>
      <c r="E2162" s="76" t="s">
        <v>111</v>
      </c>
      <c r="F2162" s="77" t="s">
        <v>42</v>
      </c>
      <c r="G2162" s="77" t="n">
        <v>5</v>
      </c>
      <c r="H2162" s="77" t="n">
        <v>3</v>
      </c>
      <c r="I2162" s="76" t="n">
        <f aca="false">IF(AND(ISNUMBER(G2162),ISNUMBER(H2162)),MAX(G2162-H2162,0),"")</f>
        <v>2</v>
      </c>
      <c r="J2162" s="78" t="n">
        <f aca="false">IF(AND(ISNUMBER(G2162),ISNUMBER(H2162)),IF(G2162&gt;0,H2162/G2162,""),"")</f>
        <v>0.6</v>
      </c>
      <c r="K2162" s="77" t="s">
        <v>481</v>
      </c>
      <c r="L2162" s="76" t="str">
        <f aca="false">IF(OR(G2162="",H2162=""),"Data tidak lengkap",IF(AND(G2162=0,H2162=0),IF(AND(F2162="",K2162=""),"Tidak dibuka","Tutup"),IF(H2162&gt;G2162,"Lebih kapasitas",IF(H2162=G2162,"Penuh",IF(H2162=0,IF(F2162="","Slot kosong","Belum terisi"),"Sebagian")))))</f>
        <v>Sebagian</v>
      </c>
      <c r="M2162" s="79" t="str">
        <f aca="false">IF(L2162="Tidak dibuka","–",IF(F2162="","(tanpa age group)",F2162)&amp;"  "&amp;IF(H2162="","?",H2162)&amp;"/"&amp;IF(G2162="","?",G2162)&amp;CHAR(10)&amp;IF(K2162="","coach: –","coach: "&amp;K2162))</f>
        <v>Tiny  3/5
coach: Rizky</v>
      </c>
    </row>
    <row r="2163" customFormat="false" ht="22.35" hidden="false" customHeight="false" outlineLevel="0" collapsed="false">
      <c r="A2163" s="76" t="str">
        <f aca="false">B2163&amp;"|"&amp;C2163&amp;"|"&amp;D2163&amp;"|"&amp;E2163</f>
        <v>HIB|2|Sabtu|09:30</v>
      </c>
      <c r="B2163" s="76" t="s">
        <v>71</v>
      </c>
      <c r="C2163" s="76" t="n">
        <v>2</v>
      </c>
      <c r="D2163" s="76" t="s">
        <v>95</v>
      </c>
      <c r="E2163" s="76" t="s">
        <v>112</v>
      </c>
      <c r="F2163" s="77" t="s">
        <v>42</v>
      </c>
      <c r="G2163" s="77" t="n">
        <v>5</v>
      </c>
      <c r="H2163" s="77" t="n">
        <v>1</v>
      </c>
      <c r="I2163" s="76" t="n">
        <f aca="false">IF(AND(ISNUMBER(G2163),ISNUMBER(H2163)),MAX(G2163-H2163,0),"")</f>
        <v>4</v>
      </c>
      <c r="J2163" s="78" t="n">
        <f aca="false">IF(AND(ISNUMBER(G2163),ISNUMBER(H2163)),IF(G2163&gt;0,H2163/G2163,""),"")</f>
        <v>0.2</v>
      </c>
      <c r="K2163" s="77" t="s">
        <v>487</v>
      </c>
      <c r="L2163" s="76" t="str">
        <f aca="false">IF(OR(G2163="",H2163=""),"Data tidak lengkap",IF(AND(G2163=0,H2163=0),IF(AND(F2163="",K2163=""),"Tidak dibuka","Tutup"),IF(H2163&gt;G2163,"Lebih kapasitas",IF(H2163=G2163,"Penuh",IF(H2163=0,IF(F2163="","Slot kosong","Belum terisi"),"Sebagian")))))</f>
        <v>Sebagian</v>
      </c>
      <c r="M2163" s="79" t="str">
        <f aca="false">IF(L2163="Tidak dibuka","–",IF(F2163="","(tanpa age group)",F2163)&amp;"  "&amp;IF(H2163="","?",H2163)&amp;"/"&amp;IF(G2163="","?",G2163)&amp;CHAR(10)&amp;IF(K2163="","coach: –","coach: "&amp;K2163))</f>
        <v>Tiny  1/5
coach: Shabrina</v>
      </c>
    </row>
    <row r="2164" customFormat="false" ht="22.35" hidden="false" customHeight="false" outlineLevel="0" collapsed="false">
      <c r="A2164" s="76" t="str">
        <f aca="false">B2164&amp;"|"&amp;C2164&amp;"|"&amp;D2164&amp;"|"&amp;E2164</f>
        <v>HIB|2|Sabtu|10:15</v>
      </c>
      <c r="B2164" s="76" t="s">
        <v>71</v>
      </c>
      <c r="C2164" s="76" t="n">
        <v>2</v>
      </c>
      <c r="D2164" s="76" t="s">
        <v>95</v>
      </c>
      <c r="E2164" s="76" t="s">
        <v>113</v>
      </c>
      <c r="F2164" s="77" t="s">
        <v>42</v>
      </c>
      <c r="G2164" s="77" t="n">
        <v>5</v>
      </c>
      <c r="H2164" s="77" t="n">
        <v>2</v>
      </c>
      <c r="I2164" s="76" t="n">
        <f aca="false">IF(AND(ISNUMBER(G2164),ISNUMBER(H2164)),MAX(G2164-H2164,0),"")</f>
        <v>3</v>
      </c>
      <c r="J2164" s="78" t="n">
        <f aca="false">IF(AND(ISNUMBER(G2164),ISNUMBER(H2164)),IF(G2164&gt;0,H2164/G2164,""),"")</f>
        <v>0.4</v>
      </c>
      <c r="K2164" s="77" t="s">
        <v>487</v>
      </c>
      <c r="L2164" s="76" t="str">
        <f aca="false">IF(OR(G2164="",H2164=""),"Data tidak lengkap",IF(AND(G2164=0,H2164=0),IF(AND(F2164="",K2164=""),"Tidak dibuka","Tutup"),IF(H2164&gt;G2164,"Lebih kapasitas",IF(H2164=G2164,"Penuh",IF(H2164=0,IF(F2164="","Slot kosong","Belum terisi"),"Sebagian")))))</f>
        <v>Sebagian</v>
      </c>
      <c r="M2164" s="79" t="str">
        <f aca="false">IF(L2164="Tidak dibuka","–",IF(F2164="","(tanpa age group)",F2164)&amp;"  "&amp;IF(H2164="","?",H2164)&amp;"/"&amp;IF(G2164="","?",G2164)&amp;CHAR(10)&amp;IF(K2164="","coach: –","coach: "&amp;K2164))</f>
        <v>Tiny  2/5
coach: Shabrina</v>
      </c>
    </row>
    <row r="2165" customFormat="false" ht="22.35" hidden="false" customHeight="false" outlineLevel="0" collapsed="false">
      <c r="A2165" s="76" t="str">
        <f aca="false">B2165&amp;"|"&amp;C2165&amp;"|"&amp;D2165&amp;"|"&amp;E2165</f>
        <v>HIB|2|Sabtu|11:00</v>
      </c>
      <c r="B2165" s="76" t="s">
        <v>71</v>
      </c>
      <c r="C2165" s="76" t="n">
        <v>2</v>
      </c>
      <c r="D2165" s="76" t="s">
        <v>95</v>
      </c>
      <c r="E2165" s="76" t="s">
        <v>114</v>
      </c>
      <c r="F2165" s="77" t="s">
        <v>42</v>
      </c>
      <c r="G2165" s="77" t="n">
        <v>5</v>
      </c>
      <c r="H2165" s="77" t="n">
        <v>0</v>
      </c>
      <c r="I2165" s="76" t="n">
        <f aca="false">IF(AND(ISNUMBER(G2165),ISNUMBER(H2165)),MAX(G2165-H2165,0),"")</f>
        <v>5</v>
      </c>
      <c r="J2165" s="78" t="n">
        <f aca="false">IF(AND(ISNUMBER(G2165),ISNUMBER(H2165)),IF(G2165&gt;0,H2165/G2165,""),"")</f>
        <v>0</v>
      </c>
      <c r="K2165" s="77"/>
      <c r="L2165" s="76" t="str">
        <f aca="false">IF(OR(G2165="",H2165=""),"Data tidak lengkap",IF(AND(G2165=0,H2165=0),IF(AND(F2165="",K2165=""),"Tidak dibuka","Tutup"),IF(H2165&gt;G2165,"Lebih kapasitas",IF(H2165=G2165,"Penuh",IF(H2165=0,IF(F2165="","Slot kosong","Belum terisi"),"Sebagian")))))</f>
        <v>Belum terisi</v>
      </c>
      <c r="M2165" s="79" t="str">
        <f aca="false">IF(L2165="Tidak dibuka","–",IF(F2165="","(tanpa age group)",F2165)&amp;"  "&amp;IF(H2165="","?",H2165)&amp;"/"&amp;IF(G2165="","?",G2165)&amp;CHAR(10)&amp;IF(K2165="","coach: –","coach: "&amp;K2165))</f>
        <v>Tiny  0/5
coach: –</v>
      </c>
    </row>
    <row r="2166" customFormat="false" ht="22.35" hidden="false" customHeight="false" outlineLevel="0" collapsed="false">
      <c r="A2166" s="76" t="str">
        <f aca="false">B2166&amp;"|"&amp;C2166&amp;"|"&amp;D2166&amp;"|"&amp;E2166</f>
        <v>HIB|2|Sabtu|11:45</v>
      </c>
      <c r="B2166" s="76" t="s">
        <v>71</v>
      </c>
      <c r="C2166" s="76" t="n">
        <v>2</v>
      </c>
      <c r="D2166" s="76" t="s">
        <v>95</v>
      </c>
      <c r="E2166" s="76" t="s">
        <v>115</v>
      </c>
      <c r="F2166" s="77" t="s">
        <v>42</v>
      </c>
      <c r="G2166" s="77" t="n">
        <v>5</v>
      </c>
      <c r="H2166" s="77" t="n">
        <v>2</v>
      </c>
      <c r="I2166" s="76" t="n">
        <f aca="false">IF(AND(ISNUMBER(G2166),ISNUMBER(H2166)),MAX(G2166-H2166,0),"")</f>
        <v>3</v>
      </c>
      <c r="J2166" s="78" t="n">
        <f aca="false">IF(AND(ISNUMBER(G2166),ISNUMBER(H2166)),IF(G2166&gt;0,H2166/G2166,""),"")</f>
        <v>0.4</v>
      </c>
      <c r="K2166" s="77" t="s">
        <v>481</v>
      </c>
      <c r="L2166" s="76" t="str">
        <f aca="false">IF(OR(G2166="",H2166=""),"Data tidak lengkap",IF(AND(G2166=0,H2166=0),IF(AND(F2166="",K2166=""),"Tidak dibuka","Tutup"),IF(H2166&gt;G2166,"Lebih kapasitas",IF(H2166=G2166,"Penuh",IF(H2166=0,IF(F2166="","Slot kosong","Belum terisi"),"Sebagian")))))</f>
        <v>Sebagian</v>
      </c>
      <c r="M2166" s="79" t="str">
        <f aca="false">IF(L2166="Tidak dibuka","–",IF(F2166="","(tanpa age group)",F2166)&amp;"  "&amp;IF(H2166="","?",H2166)&amp;"/"&amp;IF(G2166="","?",G2166)&amp;CHAR(10)&amp;IF(K2166="","coach: –","coach: "&amp;K2166))</f>
        <v>Tiny  2/5
coach: Rizky</v>
      </c>
    </row>
    <row r="2167" customFormat="false" ht="22.35" hidden="false" customHeight="false" outlineLevel="0" collapsed="false">
      <c r="A2167" s="76" t="str">
        <f aca="false">B2167&amp;"|"&amp;C2167&amp;"|"&amp;D2167&amp;"|"&amp;E2167</f>
        <v>HIB|2|Sabtu|13:15</v>
      </c>
      <c r="B2167" s="76" t="s">
        <v>71</v>
      </c>
      <c r="C2167" s="76" t="n">
        <v>2</v>
      </c>
      <c r="D2167" s="76" t="s">
        <v>95</v>
      </c>
      <c r="E2167" s="76" t="s">
        <v>116</v>
      </c>
      <c r="F2167" s="77" t="s">
        <v>42</v>
      </c>
      <c r="G2167" s="77" t="n">
        <v>5</v>
      </c>
      <c r="H2167" s="77" t="n">
        <v>0</v>
      </c>
      <c r="I2167" s="76" t="n">
        <f aca="false">IF(AND(ISNUMBER(G2167),ISNUMBER(H2167)),MAX(G2167-H2167,0),"")</f>
        <v>5</v>
      </c>
      <c r="J2167" s="78" t="n">
        <f aca="false">IF(AND(ISNUMBER(G2167),ISNUMBER(H2167)),IF(G2167&gt;0,H2167/G2167,""),"")</f>
        <v>0</v>
      </c>
      <c r="K2167" s="77"/>
      <c r="L2167" s="76" t="str">
        <f aca="false">IF(OR(G2167="",H2167=""),"Data tidak lengkap",IF(AND(G2167=0,H2167=0),IF(AND(F2167="",K2167=""),"Tidak dibuka","Tutup"),IF(H2167&gt;G2167,"Lebih kapasitas",IF(H2167=G2167,"Penuh",IF(H2167=0,IF(F2167="","Slot kosong","Belum terisi"),"Sebagian")))))</f>
        <v>Belum terisi</v>
      </c>
      <c r="M2167" s="79" t="str">
        <f aca="false">IF(L2167="Tidak dibuka","–",IF(F2167="","(tanpa age group)",F2167)&amp;"  "&amp;IF(H2167="","?",H2167)&amp;"/"&amp;IF(G2167="","?",G2167)&amp;CHAR(10)&amp;IF(K2167="","coach: –","coach: "&amp;K2167))</f>
        <v>Tiny  0/5
coach: –</v>
      </c>
    </row>
    <row r="2168" customFormat="false" ht="22.35" hidden="false" customHeight="false" outlineLevel="0" collapsed="false">
      <c r="A2168" s="76" t="str">
        <f aca="false">B2168&amp;"|"&amp;C2168&amp;"|"&amp;D2168&amp;"|"&amp;E2168</f>
        <v>HIB|2|Sabtu|14:00</v>
      </c>
      <c r="B2168" s="76" t="s">
        <v>71</v>
      </c>
      <c r="C2168" s="76" t="n">
        <v>2</v>
      </c>
      <c r="D2168" s="76" t="s">
        <v>95</v>
      </c>
      <c r="E2168" s="76" t="s">
        <v>117</v>
      </c>
      <c r="F2168" s="77" t="s">
        <v>42</v>
      </c>
      <c r="G2168" s="77" t="n">
        <v>5</v>
      </c>
      <c r="H2168" s="77" t="n">
        <v>0</v>
      </c>
      <c r="I2168" s="76" t="n">
        <f aca="false">IF(AND(ISNUMBER(G2168),ISNUMBER(H2168)),MAX(G2168-H2168,0),"")</f>
        <v>5</v>
      </c>
      <c r="J2168" s="78" t="n">
        <f aca="false">IF(AND(ISNUMBER(G2168),ISNUMBER(H2168)),IF(G2168&gt;0,H2168/G2168,""),"")</f>
        <v>0</v>
      </c>
      <c r="K2168" s="77"/>
      <c r="L2168" s="76" t="str">
        <f aca="false">IF(OR(G2168="",H2168=""),"Data tidak lengkap",IF(AND(G2168=0,H2168=0),IF(AND(F2168="",K2168=""),"Tidak dibuka","Tutup"),IF(H2168&gt;G2168,"Lebih kapasitas",IF(H2168=G2168,"Penuh",IF(H2168=0,IF(F2168="","Slot kosong","Belum terisi"),"Sebagian")))))</f>
        <v>Belum terisi</v>
      </c>
      <c r="M2168" s="79" t="str">
        <f aca="false">IF(L2168="Tidak dibuka","–",IF(F2168="","(tanpa age group)",F2168)&amp;"  "&amp;IF(H2168="","?",H2168)&amp;"/"&amp;IF(G2168="","?",G2168)&amp;CHAR(10)&amp;IF(K2168="","coach: –","coach: "&amp;K2168))</f>
        <v>Tiny  0/5
coach: –</v>
      </c>
    </row>
    <row r="2169" customFormat="false" ht="22.35" hidden="false" customHeight="false" outlineLevel="0" collapsed="false">
      <c r="A2169" s="76" t="str">
        <f aca="false">B2169&amp;"|"&amp;C2169&amp;"|"&amp;D2169&amp;"|"&amp;E2169</f>
        <v>HIB|2|Sabtu|14:45</v>
      </c>
      <c r="B2169" s="76" t="s">
        <v>71</v>
      </c>
      <c r="C2169" s="76" t="n">
        <v>2</v>
      </c>
      <c r="D2169" s="76" t="s">
        <v>95</v>
      </c>
      <c r="E2169" s="76" t="s">
        <v>118</v>
      </c>
      <c r="F2169" s="77" t="s">
        <v>42</v>
      </c>
      <c r="G2169" s="77" t="n">
        <v>5</v>
      </c>
      <c r="H2169" s="77" t="n">
        <v>0</v>
      </c>
      <c r="I2169" s="76" t="n">
        <f aca="false">IF(AND(ISNUMBER(G2169),ISNUMBER(H2169)),MAX(G2169-H2169,0),"")</f>
        <v>5</v>
      </c>
      <c r="J2169" s="78" t="n">
        <f aca="false">IF(AND(ISNUMBER(G2169),ISNUMBER(H2169)),IF(G2169&gt;0,H2169/G2169,""),"")</f>
        <v>0</v>
      </c>
      <c r="K2169" s="77"/>
      <c r="L2169" s="76" t="str">
        <f aca="false">IF(OR(G2169="",H2169=""),"Data tidak lengkap",IF(AND(G2169=0,H2169=0),IF(AND(F2169="",K2169=""),"Tidak dibuka","Tutup"),IF(H2169&gt;G2169,"Lebih kapasitas",IF(H2169=G2169,"Penuh",IF(H2169=0,IF(F2169="","Slot kosong","Belum terisi"),"Sebagian")))))</f>
        <v>Belum terisi</v>
      </c>
      <c r="M2169" s="79" t="str">
        <f aca="false">IF(L2169="Tidak dibuka","–",IF(F2169="","(tanpa age group)",F2169)&amp;"  "&amp;IF(H2169="","?",H2169)&amp;"/"&amp;IF(G2169="","?",G2169)&amp;CHAR(10)&amp;IF(K2169="","coach: –","coach: "&amp;K2169))</f>
        <v>Tiny  0/5
coach: –</v>
      </c>
    </row>
    <row r="2170" customFormat="false" ht="22.35" hidden="false" customHeight="false" outlineLevel="0" collapsed="false">
      <c r="A2170" s="76" t="str">
        <f aca="false">B2170&amp;"|"&amp;C2170&amp;"|"&amp;D2170&amp;"|"&amp;E2170</f>
        <v>HIB|2|Sabtu|15:30</v>
      </c>
      <c r="B2170" s="76" t="s">
        <v>71</v>
      </c>
      <c r="C2170" s="76" t="n">
        <v>2</v>
      </c>
      <c r="D2170" s="76" t="s">
        <v>95</v>
      </c>
      <c r="E2170" s="76" t="s">
        <v>119</v>
      </c>
      <c r="F2170" s="77" t="s">
        <v>42</v>
      </c>
      <c r="G2170" s="77" t="n">
        <v>5</v>
      </c>
      <c r="H2170" s="77" t="n">
        <v>1</v>
      </c>
      <c r="I2170" s="76" t="n">
        <f aca="false">IF(AND(ISNUMBER(G2170),ISNUMBER(H2170)),MAX(G2170-H2170,0),"")</f>
        <v>4</v>
      </c>
      <c r="J2170" s="78" t="n">
        <f aca="false">IF(AND(ISNUMBER(G2170),ISNUMBER(H2170)),IF(G2170&gt;0,H2170/G2170,""),"")</f>
        <v>0.2</v>
      </c>
      <c r="K2170" s="77" t="s">
        <v>487</v>
      </c>
      <c r="L2170" s="76" t="str">
        <f aca="false">IF(OR(G2170="",H2170=""),"Data tidak lengkap",IF(AND(G2170=0,H2170=0),IF(AND(F2170="",K2170=""),"Tidak dibuka","Tutup"),IF(H2170&gt;G2170,"Lebih kapasitas",IF(H2170=G2170,"Penuh",IF(H2170=0,IF(F2170="","Slot kosong","Belum terisi"),"Sebagian")))))</f>
        <v>Sebagian</v>
      </c>
      <c r="M2170" s="79" t="str">
        <f aca="false">IF(L2170="Tidak dibuka","–",IF(F2170="","(tanpa age group)",F2170)&amp;"  "&amp;IF(H2170="","?",H2170)&amp;"/"&amp;IF(G2170="","?",G2170)&amp;CHAR(10)&amp;IF(K2170="","coach: –","coach: "&amp;K2170))</f>
        <v>Tiny  1/5
coach: Shabrina</v>
      </c>
    </row>
    <row r="2171" customFormat="false" ht="22.35" hidden="false" customHeight="false" outlineLevel="0" collapsed="false">
      <c r="A2171" s="76" t="str">
        <f aca="false">B2171&amp;"|"&amp;C2171&amp;"|"&amp;D2171&amp;"|"&amp;E2171</f>
        <v>HIB|2|Sabtu|16:15</v>
      </c>
      <c r="B2171" s="76" t="s">
        <v>71</v>
      </c>
      <c r="C2171" s="76" t="n">
        <v>2</v>
      </c>
      <c r="D2171" s="76" t="s">
        <v>95</v>
      </c>
      <c r="E2171" s="76" t="s">
        <v>120</v>
      </c>
      <c r="F2171" s="77" t="s">
        <v>42</v>
      </c>
      <c r="G2171" s="77" t="n">
        <v>5</v>
      </c>
      <c r="H2171" s="77" t="n">
        <v>0</v>
      </c>
      <c r="I2171" s="76" t="n">
        <f aca="false">IF(AND(ISNUMBER(G2171),ISNUMBER(H2171)),MAX(G2171-H2171,0),"")</f>
        <v>5</v>
      </c>
      <c r="J2171" s="78" t="n">
        <f aca="false">IF(AND(ISNUMBER(G2171),ISNUMBER(H2171)),IF(G2171&gt;0,H2171/G2171,""),"")</f>
        <v>0</v>
      </c>
      <c r="K2171" s="77"/>
      <c r="L2171" s="76" t="str">
        <f aca="false">IF(OR(G2171="",H2171=""),"Data tidak lengkap",IF(AND(G2171=0,H2171=0),IF(AND(F2171="",K2171=""),"Tidak dibuka","Tutup"),IF(H2171&gt;G2171,"Lebih kapasitas",IF(H2171=G2171,"Penuh",IF(H2171=0,IF(F2171="","Slot kosong","Belum terisi"),"Sebagian")))))</f>
        <v>Belum terisi</v>
      </c>
      <c r="M2171" s="79" t="str">
        <f aca="false">IF(L2171="Tidak dibuka","–",IF(F2171="","(tanpa age group)",F2171)&amp;"  "&amp;IF(H2171="","?",H2171)&amp;"/"&amp;IF(G2171="","?",G2171)&amp;CHAR(10)&amp;IF(K2171="","coach: –","coach: "&amp;K2171))</f>
        <v>Tiny  0/5
coach: –</v>
      </c>
    </row>
    <row r="2172" customFormat="false" ht="22.35" hidden="false" customHeight="false" outlineLevel="0" collapsed="false">
      <c r="A2172" s="76" t="str">
        <f aca="false">B2172&amp;"|"&amp;C2172&amp;"|"&amp;D2172&amp;"|"&amp;E2172</f>
        <v>HIB|2|Sabtu|17:00</v>
      </c>
      <c r="B2172" s="76" t="s">
        <v>71</v>
      </c>
      <c r="C2172" s="76" t="n">
        <v>2</v>
      </c>
      <c r="D2172" s="76" t="s">
        <v>95</v>
      </c>
      <c r="E2172" s="76" t="s">
        <v>121</v>
      </c>
      <c r="F2172" s="77" t="s">
        <v>42</v>
      </c>
      <c r="G2172" s="77" t="n">
        <v>5</v>
      </c>
      <c r="H2172" s="77" t="n">
        <v>0</v>
      </c>
      <c r="I2172" s="76" t="n">
        <f aca="false">IF(AND(ISNUMBER(G2172),ISNUMBER(H2172)),MAX(G2172-H2172,0),"")</f>
        <v>5</v>
      </c>
      <c r="J2172" s="78" t="n">
        <f aca="false">IF(AND(ISNUMBER(G2172),ISNUMBER(H2172)),IF(G2172&gt;0,H2172/G2172,""),"")</f>
        <v>0</v>
      </c>
      <c r="K2172" s="77"/>
      <c r="L2172" s="76" t="str">
        <f aca="false">IF(OR(G2172="",H2172=""),"Data tidak lengkap",IF(AND(G2172=0,H2172=0),IF(AND(F2172="",K2172=""),"Tidak dibuka","Tutup"),IF(H2172&gt;G2172,"Lebih kapasitas",IF(H2172=G2172,"Penuh",IF(H2172=0,IF(F2172="","Slot kosong","Belum terisi"),"Sebagian")))))</f>
        <v>Belum terisi</v>
      </c>
      <c r="M2172" s="79" t="str">
        <f aca="false">IF(L2172="Tidak dibuka","–",IF(F2172="","(tanpa age group)",F2172)&amp;"  "&amp;IF(H2172="","?",H2172)&amp;"/"&amp;IF(G2172="","?",G2172)&amp;CHAR(10)&amp;IF(K2172="","coach: –","coach: "&amp;K2172))</f>
        <v>Tiny  0/5
coach: –</v>
      </c>
    </row>
    <row r="2173" customFormat="false" ht="22.35" hidden="false" customHeight="false" outlineLevel="0" collapsed="false">
      <c r="A2173" s="76" t="str">
        <f aca="false">B2173&amp;"|"&amp;C2173&amp;"|"&amp;D2173&amp;"|"&amp;E2173</f>
        <v>HIB|2|Minggu|08:00</v>
      </c>
      <c r="B2173" s="76" t="s">
        <v>71</v>
      </c>
      <c r="C2173" s="76" t="n">
        <v>2</v>
      </c>
      <c r="D2173" s="76" t="s">
        <v>78</v>
      </c>
      <c r="E2173" s="76" t="s">
        <v>110</v>
      </c>
      <c r="F2173" s="77" t="s">
        <v>42</v>
      </c>
      <c r="G2173" s="77" t="n">
        <v>5</v>
      </c>
      <c r="H2173" s="77" t="n">
        <v>0</v>
      </c>
      <c r="I2173" s="76" t="n">
        <f aca="false">IF(AND(ISNUMBER(G2173),ISNUMBER(H2173)),MAX(G2173-H2173,0),"")</f>
        <v>5</v>
      </c>
      <c r="J2173" s="78" t="n">
        <f aca="false">IF(AND(ISNUMBER(G2173),ISNUMBER(H2173)),IF(G2173&gt;0,H2173/G2173,""),"")</f>
        <v>0</v>
      </c>
      <c r="K2173" s="77"/>
      <c r="L2173" s="76" t="str">
        <f aca="false">IF(OR(G2173="",H2173=""),"Data tidak lengkap",IF(AND(G2173=0,H2173=0),IF(AND(F2173="",K2173=""),"Tidak dibuka","Tutup"),IF(H2173&gt;G2173,"Lebih kapasitas",IF(H2173=G2173,"Penuh",IF(H2173=0,IF(F2173="","Slot kosong","Belum terisi"),"Sebagian")))))</f>
        <v>Belum terisi</v>
      </c>
      <c r="M2173" s="79" t="str">
        <f aca="false">IF(L2173="Tidak dibuka","–",IF(F2173="","(tanpa age group)",F2173)&amp;"  "&amp;IF(H2173="","?",H2173)&amp;"/"&amp;IF(G2173="","?",G2173)&amp;CHAR(10)&amp;IF(K2173="","coach: –","coach: "&amp;K2173))</f>
        <v>Tiny  0/5
coach: –</v>
      </c>
    </row>
    <row r="2174" customFormat="false" ht="22.35" hidden="false" customHeight="false" outlineLevel="0" collapsed="false">
      <c r="A2174" s="76" t="str">
        <f aca="false">B2174&amp;"|"&amp;C2174&amp;"|"&amp;D2174&amp;"|"&amp;E2174</f>
        <v>HIB|2|Minggu|08:45</v>
      </c>
      <c r="B2174" s="76" t="s">
        <v>71</v>
      </c>
      <c r="C2174" s="76" t="n">
        <v>2</v>
      </c>
      <c r="D2174" s="76" t="s">
        <v>78</v>
      </c>
      <c r="E2174" s="76" t="s">
        <v>111</v>
      </c>
      <c r="F2174" s="77" t="s">
        <v>42</v>
      </c>
      <c r="G2174" s="77" t="n">
        <v>5</v>
      </c>
      <c r="H2174" s="77" t="n">
        <v>1</v>
      </c>
      <c r="I2174" s="76" t="n">
        <f aca="false">IF(AND(ISNUMBER(G2174),ISNUMBER(H2174)),MAX(G2174-H2174,0),"")</f>
        <v>4</v>
      </c>
      <c r="J2174" s="78" t="n">
        <f aca="false">IF(AND(ISNUMBER(G2174),ISNUMBER(H2174)),IF(G2174&gt;0,H2174/G2174,""),"")</f>
        <v>0.2</v>
      </c>
      <c r="K2174" s="77" t="s">
        <v>481</v>
      </c>
      <c r="L2174" s="76" t="str">
        <f aca="false">IF(OR(G2174="",H2174=""),"Data tidak lengkap",IF(AND(G2174=0,H2174=0),IF(AND(F2174="",K2174=""),"Tidak dibuka","Tutup"),IF(H2174&gt;G2174,"Lebih kapasitas",IF(H2174=G2174,"Penuh",IF(H2174=0,IF(F2174="","Slot kosong","Belum terisi"),"Sebagian")))))</f>
        <v>Sebagian</v>
      </c>
      <c r="M2174" s="79" t="str">
        <f aca="false">IF(L2174="Tidak dibuka","–",IF(F2174="","(tanpa age group)",F2174)&amp;"  "&amp;IF(H2174="","?",H2174)&amp;"/"&amp;IF(G2174="","?",G2174)&amp;CHAR(10)&amp;IF(K2174="","coach: –","coach: "&amp;K2174))</f>
        <v>Tiny  1/5
coach: Rizky</v>
      </c>
    </row>
    <row r="2175" customFormat="false" ht="22.35" hidden="false" customHeight="false" outlineLevel="0" collapsed="false">
      <c r="A2175" s="76" t="str">
        <f aca="false">B2175&amp;"|"&amp;C2175&amp;"|"&amp;D2175&amp;"|"&amp;E2175</f>
        <v>HIB|2|Minggu|09:30</v>
      </c>
      <c r="B2175" s="76" t="s">
        <v>71</v>
      </c>
      <c r="C2175" s="76" t="n">
        <v>2</v>
      </c>
      <c r="D2175" s="76" t="s">
        <v>78</v>
      </c>
      <c r="E2175" s="76" t="s">
        <v>112</v>
      </c>
      <c r="F2175" s="77" t="s">
        <v>42</v>
      </c>
      <c r="G2175" s="77" t="n">
        <v>5</v>
      </c>
      <c r="H2175" s="77" t="n">
        <v>0</v>
      </c>
      <c r="I2175" s="76" t="n">
        <f aca="false">IF(AND(ISNUMBER(G2175),ISNUMBER(H2175)),MAX(G2175-H2175,0),"")</f>
        <v>5</v>
      </c>
      <c r="J2175" s="78" t="n">
        <f aca="false">IF(AND(ISNUMBER(G2175),ISNUMBER(H2175)),IF(G2175&gt;0,H2175/G2175,""),"")</f>
        <v>0</v>
      </c>
      <c r="K2175" s="77"/>
      <c r="L2175" s="76" t="str">
        <f aca="false">IF(OR(G2175="",H2175=""),"Data tidak lengkap",IF(AND(G2175=0,H2175=0),IF(AND(F2175="",K2175=""),"Tidak dibuka","Tutup"),IF(H2175&gt;G2175,"Lebih kapasitas",IF(H2175=G2175,"Penuh",IF(H2175=0,IF(F2175="","Slot kosong","Belum terisi"),"Sebagian")))))</f>
        <v>Belum terisi</v>
      </c>
      <c r="M2175" s="79" t="str">
        <f aca="false">IF(L2175="Tidak dibuka","–",IF(F2175="","(tanpa age group)",F2175)&amp;"  "&amp;IF(H2175="","?",H2175)&amp;"/"&amp;IF(G2175="","?",G2175)&amp;CHAR(10)&amp;IF(K2175="","coach: –","coach: "&amp;K2175))</f>
        <v>Tiny  0/5
coach: –</v>
      </c>
    </row>
    <row r="2176" customFormat="false" ht="22.35" hidden="false" customHeight="false" outlineLevel="0" collapsed="false">
      <c r="A2176" s="76" t="str">
        <f aca="false">B2176&amp;"|"&amp;C2176&amp;"|"&amp;D2176&amp;"|"&amp;E2176</f>
        <v>HIB|2|Minggu|10:15</v>
      </c>
      <c r="B2176" s="76" t="s">
        <v>71</v>
      </c>
      <c r="C2176" s="76" t="n">
        <v>2</v>
      </c>
      <c r="D2176" s="76" t="s">
        <v>78</v>
      </c>
      <c r="E2176" s="76" t="s">
        <v>113</v>
      </c>
      <c r="F2176" s="77" t="s">
        <v>42</v>
      </c>
      <c r="G2176" s="77" t="n">
        <v>5</v>
      </c>
      <c r="H2176" s="77" t="n">
        <v>0</v>
      </c>
      <c r="I2176" s="76" t="n">
        <f aca="false">IF(AND(ISNUMBER(G2176),ISNUMBER(H2176)),MAX(G2176-H2176,0),"")</f>
        <v>5</v>
      </c>
      <c r="J2176" s="78" t="n">
        <f aca="false">IF(AND(ISNUMBER(G2176),ISNUMBER(H2176)),IF(G2176&gt;0,H2176/G2176,""),"")</f>
        <v>0</v>
      </c>
      <c r="K2176" s="77"/>
      <c r="L2176" s="76" t="str">
        <f aca="false">IF(OR(G2176="",H2176=""),"Data tidak lengkap",IF(AND(G2176=0,H2176=0),IF(AND(F2176="",K2176=""),"Tidak dibuka","Tutup"),IF(H2176&gt;G2176,"Lebih kapasitas",IF(H2176=G2176,"Penuh",IF(H2176=0,IF(F2176="","Slot kosong","Belum terisi"),"Sebagian")))))</f>
        <v>Belum terisi</v>
      </c>
      <c r="M2176" s="79" t="str">
        <f aca="false">IF(L2176="Tidak dibuka","–",IF(F2176="","(tanpa age group)",F2176)&amp;"  "&amp;IF(H2176="","?",H2176)&amp;"/"&amp;IF(G2176="","?",G2176)&amp;CHAR(10)&amp;IF(K2176="","coach: –","coach: "&amp;K2176))</f>
        <v>Tiny  0/5
coach: –</v>
      </c>
    </row>
    <row r="2177" customFormat="false" ht="22.35" hidden="false" customHeight="false" outlineLevel="0" collapsed="false">
      <c r="A2177" s="76" t="str">
        <f aca="false">B2177&amp;"|"&amp;C2177&amp;"|"&amp;D2177&amp;"|"&amp;E2177</f>
        <v>HIB|2|Minggu|11:00</v>
      </c>
      <c r="B2177" s="76" t="s">
        <v>71</v>
      </c>
      <c r="C2177" s="76" t="n">
        <v>2</v>
      </c>
      <c r="D2177" s="76" t="s">
        <v>78</v>
      </c>
      <c r="E2177" s="76" t="s">
        <v>114</v>
      </c>
      <c r="F2177" s="77" t="s">
        <v>42</v>
      </c>
      <c r="G2177" s="77" t="n">
        <v>5</v>
      </c>
      <c r="H2177" s="77" t="n">
        <v>3</v>
      </c>
      <c r="I2177" s="76" t="n">
        <f aca="false">IF(AND(ISNUMBER(G2177),ISNUMBER(H2177)),MAX(G2177-H2177,0),"")</f>
        <v>2</v>
      </c>
      <c r="J2177" s="78" t="n">
        <f aca="false">IF(AND(ISNUMBER(G2177),ISNUMBER(H2177)),IF(G2177&gt;0,H2177/G2177,""),"")</f>
        <v>0.6</v>
      </c>
      <c r="K2177" s="77" t="s">
        <v>481</v>
      </c>
      <c r="L2177" s="76" t="str">
        <f aca="false">IF(OR(G2177="",H2177=""),"Data tidak lengkap",IF(AND(G2177=0,H2177=0),IF(AND(F2177="",K2177=""),"Tidak dibuka","Tutup"),IF(H2177&gt;G2177,"Lebih kapasitas",IF(H2177=G2177,"Penuh",IF(H2177=0,IF(F2177="","Slot kosong","Belum terisi"),"Sebagian")))))</f>
        <v>Sebagian</v>
      </c>
      <c r="M2177" s="79" t="str">
        <f aca="false">IF(L2177="Tidak dibuka","–",IF(F2177="","(tanpa age group)",F2177)&amp;"  "&amp;IF(H2177="","?",H2177)&amp;"/"&amp;IF(G2177="","?",G2177)&amp;CHAR(10)&amp;IF(K2177="","coach: –","coach: "&amp;K2177))</f>
        <v>Tiny  3/5
coach: Rizky</v>
      </c>
    </row>
    <row r="2178" customFormat="false" ht="22.35" hidden="false" customHeight="false" outlineLevel="0" collapsed="false">
      <c r="A2178" s="76" t="str">
        <f aca="false">B2178&amp;"|"&amp;C2178&amp;"|"&amp;D2178&amp;"|"&amp;E2178</f>
        <v>HIB|2|Minggu|11:45</v>
      </c>
      <c r="B2178" s="76" t="s">
        <v>71</v>
      </c>
      <c r="C2178" s="76" t="n">
        <v>2</v>
      </c>
      <c r="D2178" s="76" t="s">
        <v>78</v>
      </c>
      <c r="E2178" s="76" t="s">
        <v>115</v>
      </c>
      <c r="F2178" s="77" t="s">
        <v>42</v>
      </c>
      <c r="G2178" s="77" t="n">
        <v>5</v>
      </c>
      <c r="H2178" s="77" t="n">
        <v>0</v>
      </c>
      <c r="I2178" s="76" t="n">
        <f aca="false">IF(AND(ISNUMBER(G2178),ISNUMBER(H2178)),MAX(G2178-H2178,0),"")</f>
        <v>5</v>
      </c>
      <c r="J2178" s="78" t="n">
        <f aca="false">IF(AND(ISNUMBER(G2178),ISNUMBER(H2178)),IF(G2178&gt;0,H2178/G2178,""),"")</f>
        <v>0</v>
      </c>
      <c r="K2178" s="77"/>
      <c r="L2178" s="76" t="str">
        <f aca="false">IF(OR(G2178="",H2178=""),"Data tidak lengkap",IF(AND(G2178=0,H2178=0),IF(AND(F2178="",K2178=""),"Tidak dibuka","Tutup"),IF(H2178&gt;G2178,"Lebih kapasitas",IF(H2178=G2178,"Penuh",IF(H2178=0,IF(F2178="","Slot kosong","Belum terisi"),"Sebagian")))))</f>
        <v>Belum terisi</v>
      </c>
      <c r="M2178" s="79" t="str">
        <f aca="false">IF(L2178="Tidak dibuka","–",IF(F2178="","(tanpa age group)",F2178)&amp;"  "&amp;IF(H2178="","?",H2178)&amp;"/"&amp;IF(G2178="","?",G2178)&amp;CHAR(10)&amp;IF(K2178="","coach: –","coach: "&amp;K2178))</f>
        <v>Tiny  0/5
coach: –</v>
      </c>
    </row>
    <row r="2179" customFormat="false" ht="22.35" hidden="false" customHeight="false" outlineLevel="0" collapsed="false">
      <c r="A2179" s="76" t="str">
        <f aca="false">B2179&amp;"|"&amp;C2179&amp;"|"&amp;D2179&amp;"|"&amp;E2179</f>
        <v>HIB|2|Minggu|13:15</v>
      </c>
      <c r="B2179" s="76" t="s">
        <v>71</v>
      </c>
      <c r="C2179" s="76" t="n">
        <v>2</v>
      </c>
      <c r="D2179" s="76" t="s">
        <v>78</v>
      </c>
      <c r="E2179" s="76" t="s">
        <v>116</v>
      </c>
      <c r="F2179" s="77" t="s">
        <v>42</v>
      </c>
      <c r="G2179" s="77" t="n">
        <v>5</v>
      </c>
      <c r="H2179" s="77" t="n">
        <v>0</v>
      </c>
      <c r="I2179" s="76" t="n">
        <f aca="false">IF(AND(ISNUMBER(G2179),ISNUMBER(H2179)),MAX(G2179-H2179,0),"")</f>
        <v>5</v>
      </c>
      <c r="J2179" s="78" t="n">
        <f aca="false">IF(AND(ISNUMBER(G2179),ISNUMBER(H2179)),IF(G2179&gt;0,H2179/G2179,""),"")</f>
        <v>0</v>
      </c>
      <c r="K2179" s="77"/>
      <c r="L2179" s="76" t="str">
        <f aca="false">IF(OR(G2179="",H2179=""),"Data tidak lengkap",IF(AND(G2179=0,H2179=0),IF(AND(F2179="",K2179=""),"Tidak dibuka","Tutup"),IF(H2179&gt;G2179,"Lebih kapasitas",IF(H2179=G2179,"Penuh",IF(H2179=0,IF(F2179="","Slot kosong","Belum terisi"),"Sebagian")))))</f>
        <v>Belum terisi</v>
      </c>
      <c r="M2179" s="79" t="str">
        <f aca="false">IF(L2179="Tidak dibuka","–",IF(F2179="","(tanpa age group)",F2179)&amp;"  "&amp;IF(H2179="","?",H2179)&amp;"/"&amp;IF(G2179="","?",G2179)&amp;CHAR(10)&amp;IF(K2179="","coach: –","coach: "&amp;K2179))</f>
        <v>Tiny  0/5
coach: –</v>
      </c>
    </row>
    <row r="2180" customFormat="false" ht="22.35" hidden="false" customHeight="false" outlineLevel="0" collapsed="false">
      <c r="A2180" s="76" t="str">
        <f aca="false">B2180&amp;"|"&amp;C2180&amp;"|"&amp;D2180&amp;"|"&amp;E2180</f>
        <v>HIB|2|Minggu|14:00</v>
      </c>
      <c r="B2180" s="76" t="s">
        <v>71</v>
      </c>
      <c r="C2180" s="76" t="n">
        <v>2</v>
      </c>
      <c r="D2180" s="76" t="s">
        <v>78</v>
      </c>
      <c r="E2180" s="76" t="s">
        <v>117</v>
      </c>
      <c r="F2180" s="77" t="s">
        <v>42</v>
      </c>
      <c r="G2180" s="77" t="n">
        <v>5</v>
      </c>
      <c r="H2180" s="77" t="n">
        <v>0</v>
      </c>
      <c r="I2180" s="76" t="n">
        <f aca="false">IF(AND(ISNUMBER(G2180),ISNUMBER(H2180)),MAX(G2180-H2180,0),"")</f>
        <v>5</v>
      </c>
      <c r="J2180" s="78" t="n">
        <f aca="false">IF(AND(ISNUMBER(G2180),ISNUMBER(H2180)),IF(G2180&gt;0,H2180/G2180,""),"")</f>
        <v>0</v>
      </c>
      <c r="K2180" s="77"/>
      <c r="L2180" s="76" t="str">
        <f aca="false">IF(OR(G2180="",H2180=""),"Data tidak lengkap",IF(AND(G2180=0,H2180=0),IF(AND(F2180="",K2180=""),"Tidak dibuka","Tutup"),IF(H2180&gt;G2180,"Lebih kapasitas",IF(H2180=G2180,"Penuh",IF(H2180=0,IF(F2180="","Slot kosong","Belum terisi"),"Sebagian")))))</f>
        <v>Belum terisi</v>
      </c>
      <c r="M2180" s="79" t="str">
        <f aca="false">IF(L2180="Tidak dibuka","–",IF(F2180="","(tanpa age group)",F2180)&amp;"  "&amp;IF(H2180="","?",H2180)&amp;"/"&amp;IF(G2180="","?",G2180)&amp;CHAR(10)&amp;IF(K2180="","coach: –","coach: "&amp;K2180))</f>
        <v>Tiny  0/5
coach: –</v>
      </c>
    </row>
    <row r="2181" customFormat="false" ht="22.35" hidden="false" customHeight="false" outlineLevel="0" collapsed="false">
      <c r="A2181" s="76" t="str">
        <f aca="false">B2181&amp;"|"&amp;C2181&amp;"|"&amp;D2181&amp;"|"&amp;E2181</f>
        <v>HIB|2|Minggu|14:45</v>
      </c>
      <c r="B2181" s="76" t="s">
        <v>71</v>
      </c>
      <c r="C2181" s="76" t="n">
        <v>2</v>
      </c>
      <c r="D2181" s="76" t="s">
        <v>78</v>
      </c>
      <c r="E2181" s="76" t="s">
        <v>118</v>
      </c>
      <c r="F2181" s="77" t="s">
        <v>42</v>
      </c>
      <c r="G2181" s="77" t="n">
        <v>5</v>
      </c>
      <c r="H2181" s="77" t="n">
        <v>0</v>
      </c>
      <c r="I2181" s="76" t="n">
        <f aca="false">IF(AND(ISNUMBER(G2181),ISNUMBER(H2181)),MAX(G2181-H2181,0),"")</f>
        <v>5</v>
      </c>
      <c r="J2181" s="78" t="n">
        <f aca="false">IF(AND(ISNUMBER(G2181),ISNUMBER(H2181)),IF(G2181&gt;0,H2181/G2181,""),"")</f>
        <v>0</v>
      </c>
      <c r="K2181" s="77"/>
      <c r="L2181" s="76" t="str">
        <f aca="false">IF(OR(G2181="",H2181=""),"Data tidak lengkap",IF(AND(G2181=0,H2181=0),IF(AND(F2181="",K2181=""),"Tidak dibuka","Tutup"),IF(H2181&gt;G2181,"Lebih kapasitas",IF(H2181=G2181,"Penuh",IF(H2181=0,IF(F2181="","Slot kosong","Belum terisi"),"Sebagian")))))</f>
        <v>Belum terisi</v>
      </c>
      <c r="M2181" s="79" t="str">
        <f aca="false">IF(L2181="Tidak dibuka","–",IF(F2181="","(tanpa age group)",F2181)&amp;"  "&amp;IF(H2181="","?",H2181)&amp;"/"&amp;IF(G2181="","?",G2181)&amp;CHAR(10)&amp;IF(K2181="","coach: –","coach: "&amp;K2181))</f>
        <v>Tiny  0/5
coach: –</v>
      </c>
    </row>
    <row r="2182" customFormat="false" ht="22.35" hidden="false" customHeight="false" outlineLevel="0" collapsed="false">
      <c r="A2182" s="76" t="str">
        <f aca="false">B2182&amp;"|"&amp;C2182&amp;"|"&amp;D2182&amp;"|"&amp;E2182</f>
        <v>HIB|2|Minggu|15:30</v>
      </c>
      <c r="B2182" s="76" t="s">
        <v>71</v>
      </c>
      <c r="C2182" s="76" t="n">
        <v>2</v>
      </c>
      <c r="D2182" s="76" t="s">
        <v>78</v>
      </c>
      <c r="E2182" s="76" t="s">
        <v>119</v>
      </c>
      <c r="F2182" s="77" t="s">
        <v>42</v>
      </c>
      <c r="G2182" s="77" t="n">
        <v>5</v>
      </c>
      <c r="H2182" s="77" t="n">
        <v>0</v>
      </c>
      <c r="I2182" s="76" t="n">
        <f aca="false">IF(AND(ISNUMBER(G2182),ISNUMBER(H2182)),MAX(G2182-H2182,0),"")</f>
        <v>5</v>
      </c>
      <c r="J2182" s="78" t="n">
        <f aca="false">IF(AND(ISNUMBER(G2182),ISNUMBER(H2182)),IF(G2182&gt;0,H2182/G2182,""),"")</f>
        <v>0</v>
      </c>
      <c r="K2182" s="77"/>
      <c r="L2182" s="76" t="str">
        <f aca="false">IF(OR(G2182="",H2182=""),"Data tidak lengkap",IF(AND(G2182=0,H2182=0),IF(AND(F2182="",K2182=""),"Tidak dibuka","Tutup"),IF(H2182&gt;G2182,"Lebih kapasitas",IF(H2182=G2182,"Penuh",IF(H2182=0,IF(F2182="","Slot kosong","Belum terisi"),"Sebagian")))))</f>
        <v>Belum terisi</v>
      </c>
      <c r="M2182" s="79" t="str">
        <f aca="false">IF(L2182="Tidak dibuka","–",IF(F2182="","(tanpa age group)",F2182)&amp;"  "&amp;IF(H2182="","?",H2182)&amp;"/"&amp;IF(G2182="","?",G2182)&amp;CHAR(10)&amp;IF(K2182="","coach: –","coach: "&amp;K2182))</f>
        <v>Tiny  0/5
coach: –</v>
      </c>
    </row>
    <row r="2183" customFormat="false" ht="22.35" hidden="false" customHeight="false" outlineLevel="0" collapsed="false">
      <c r="A2183" s="76" t="str">
        <f aca="false">B2183&amp;"|"&amp;C2183&amp;"|"&amp;D2183&amp;"|"&amp;E2183</f>
        <v>HIB|2|Minggu|16:15</v>
      </c>
      <c r="B2183" s="76" t="s">
        <v>71</v>
      </c>
      <c r="C2183" s="76" t="n">
        <v>2</v>
      </c>
      <c r="D2183" s="76" t="s">
        <v>78</v>
      </c>
      <c r="E2183" s="76" t="s">
        <v>120</v>
      </c>
      <c r="F2183" s="77" t="s">
        <v>42</v>
      </c>
      <c r="G2183" s="77" t="n">
        <v>5</v>
      </c>
      <c r="H2183" s="77" t="n">
        <v>0</v>
      </c>
      <c r="I2183" s="76" t="n">
        <f aca="false">IF(AND(ISNUMBER(G2183),ISNUMBER(H2183)),MAX(G2183-H2183,0),"")</f>
        <v>5</v>
      </c>
      <c r="J2183" s="78" t="n">
        <f aca="false">IF(AND(ISNUMBER(G2183),ISNUMBER(H2183)),IF(G2183&gt;0,H2183/G2183,""),"")</f>
        <v>0</v>
      </c>
      <c r="K2183" s="77"/>
      <c r="L2183" s="76" t="str">
        <f aca="false">IF(OR(G2183="",H2183=""),"Data tidak lengkap",IF(AND(G2183=0,H2183=0),IF(AND(F2183="",K2183=""),"Tidak dibuka","Tutup"),IF(H2183&gt;G2183,"Lebih kapasitas",IF(H2183=G2183,"Penuh",IF(H2183=0,IF(F2183="","Slot kosong","Belum terisi"),"Sebagian")))))</f>
        <v>Belum terisi</v>
      </c>
      <c r="M2183" s="79" t="str">
        <f aca="false">IF(L2183="Tidak dibuka","–",IF(F2183="","(tanpa age group)",F2183)&amp;"  "&amp;IF(H2183="","?",H2183)&amp;"/"&amp;IF(G2183="","?",G2183)&amp;CHAR(10)&amp;IF(K2183="","coach: –","coach: "&amp;K2183))</f>
        <v>Tiny  0/5
coach: –</v>
      </c>
    </row>
    <row r="2184" customFormat="false" ht="22.35" hidden="false" customHeight="false" outlineLevel="0" collapsed="false">
      <c r="A2184" s="76" t="str">
        <f aca="false">B2184&amp;"|"&amp;C2184&amp;"|"&amp;D2184&amp;"|"&amp;E2184</f>
        <v>HIB|2|Minggu|17:00</v>
      </c>
      <c r="B2184" s="76" t="s">
        <v>71</v>
      </c>
      <c r="C2184" s="76" t="n">
        <v>2</v>
      </c>
      <c r="D2184" s="76" t="s">
        <v>78</v>
      </c>
      <c r="E2184" s="76" t="s">
        <v>121</v>
      </c>
      <c r="F2184" s="77" t="s">
        <v>42</v>
      </c>
      <c r="G2184" s="77" t="n">
        <v>5</v>
      </c>
      <c r="H2184" s="77" t="n">
        <v>0</v>
      </c>
      <c r="I2184" s="76" t="n">
        <f aca="false">IF(AND(ISNUMBER(G2184),ISNUMBER(H2184)),MAX(G2184-H2184,0),"")</f>
        <v>5</v>
      </c>
      <c r="J2184" s="78" t="n">
        <f aca="false">IF(AND(ISNUMBER(G2184),ISNUMBER(H2184)),IF(G2184&gt;0,H2184/G2184,""),"")</f>
        <v>0</v>
      </c>
      <c r="K2184" s="77"/>
      <c r="L2184" s="76" t="str">
        <f aca="false">IF(OR(G2184="",H2184=""),"Data tidak lengkap",IF(AND(G2184=0,H2184=0),IF(AND(F2184="",K2184=""),"Tidak dibuka","Tutup"),IF(H2184&gt;G2184,"Lebih kapasitas",IF(H2184=G2184,"Penuh",IF(H2184=0,IF(F2184="","Slot kosong","Belum terisi"),"Sebagian")))))</f>
        <v>Belum terisi</v>
      </c>
      <c r="M2184" s="79" t="str">
        <f aca="false">IF(L2184="Tidak dibuka","–",IF(F2184="","(tanpa age group)",F2184)&amp;"  "&amp;IF(H2184="","?",H2184)&amp;"/"&amp;IF(G2184="","?",G2184)&amp;CHAR(10)&amp;IF(K2184="","coach: –","coach: "&amp;K2184))</f>
        <v>Tiny  0/5
coach: –</v>
      </c>
    </row>
    <row r="2185" customFormat="false" ht="22.35" hidden="false" customHeight="false" outlineLevel="0" collapsed="false">
      <c r="A2185" s="76" t="str">
        <f aca="false">B2185&amp;"|"&amp;C2185&amp;"|"&amp;D2185&amp;"|"&amp;E2185</f>
        <v>HIB|3|Senin|08:15</v>
      </c>
      <c r="B2185" s="76" t="s">
        <v>71</v>
      </c>
      <c r="C2185" s="76" t="n">
        <v>3</v>
      </c>
      <c r="D2185" s="76" t="s">
        <v>90</v>
      </c>
      <c r="E2185" s="76" t="s">
        <v>96</v>
      </c>
      <c r="F2185" s="77" t="s">
        <v>277</v>
      </c>
      <c r="G2185" s="77" t="n">
        <v>4</v>
      </c>
      <c r="H2185" s="77" t="n">
        <v>0</v>
      </c>
      <c r="I2185" s="76" t="n">
        <f aca="false">IF(AND(ISNUMBER(G2185),ISNUMBER(H2185)),MAX(G2185-H2185,0),"")</f>
        <v>4</v>
      </c>
      <c r="J2185" s="78" t="n">
        <f aca="false">IF(AND(ISNUMBER(G2185),ISNUMBER(H2185)),IF(G2185&gt;0,H2185/G2185,""),"")</f>
        <v>0</v>
      </c>
      <c r="K2185" s="77"/>
      <c r="L2185" s="76" t="str">
        <f aca="false">IF(OR(G2185="",H2185=""),"Data tidak lengkap",IF(AND(G2185=0,H2185=0),IF(AND(F2185="",K2185=""),"Tidak dibuka","Tutup"),IF(H2185&gt;G2185,"Lebih kapasitas",IF(H2185=G2185,"Penuh",IF(H2185=0,IF(F2185="","Slot kosong","Belum terisi"),"Sebagian")))))</f>
        <v>Belum terisi</v>
      </c>
      <c r="M2185" s="79" t="str">
        <f aca="false">IF(L2185="Tidak dibuka","–",IF(F2185="","(tanpa age group)",F2185)&amp;"  "&amp;IF(H2185="","?",H2185)&amp;"/"&amp;IF(G2185="","?",G2185)&amp;CHAR(10)&amp;IF(K2185="","coach: –","coach: "&amp;K2185))</f>
        <v>Little  0/4
coach: –</v>
      </c>
    </row>
    <row r="2186" customFormat="false" ht="22.35" hidden="false" customHeight="false" outlineLevel="0" collapsed="false">
      <c r="A2186" s="76" t="str">
        <f aca="false">B2186&amp;"|"&amp;C2186&amp;"|"&amp;D2186&amp;"|"&amp;E2186</f>
        <v>HIB|3|Senin|09:00</v>
      </c>
      <c r="B2186" s="76" t="s">
        <v>71</v>
      </c>
      <c r="C2186" s="76" t="n">
        <v>3</v>
      </c>
      <c r="D2186" s="76" t="s">
        <v>90</v>
      </c>
      <c r="E2186" s="76" t="s">
        <v>97</v>
      </c>
      <c r="F2186" s="77" t="s">
        <v>277</v>
      </c>
      <c r="G2186" s="77" t="n">
        <v>4</v>
      </c>
      <c r="H2186" s="77" t="n">
        <v>0</v>
      </c>
      <c r="I2186" s="76" t="n">
        <f aca="false">IF(AND(ISNUMBER(G2186),ISNUMBER(H2186)),MAX(G2186-H2186,0),"")</f>
        <v>4</v>
      </c>
      <c r="J2186" s="78" t="n">
        <f aca="false">IF(AND(ISNUMBER(G2186),ISNUMBER(H2186)),IF(G2186&gt;0,H2186/G2186,""),"")</f>
        <v>0</v>
      </c>
      <c r="K2186" s="77"/>
      <c r="L2186" s="76" t="str">
        <f aca="false">IF(OR(G2186="",H2186=""),"Data tidak lengkap",IF(AND(G2186=0,H2186=0),IF(AND(F2186="",K2186=""),"Tidak dibuka","Tutup"),IF(H2186&gt;G2186,"Lebih kapasitas",IF(H2186=G2186,"Penuh",IF(H2186=0,IF(F2186="","Slot kosong","Belum terisi"),"Sebagian")))))</f>
        <v>Belum terisi</v>
      </c>
      <c r="M2186" s="79" t="str">
        <f aca="false">IF(L2186="Tidak dibuka","–",IF(F2186="","(tanpa age group)",F2186)&amp;"  "&amp;IF(H2186="","?",H2186)&amp;"/"&amp;IF(G2186="","?",G2186)&amp;CHAR(10)&amp;IF(K2186="","coach: –","coach: "&amp;K2186))</f>
        <v>Little  0/4
coach: –</v>
      </c>
    </row>
    <row r="2187" customFormat="false" ht="22.35" hidden="false" customHeight="false" outlineLevel="0" collapsed="false">
      <c r="A2187" s="76" t="str">
        <f aca="false">B2187&amp;"|"&amp;C2187&amp;"|"&amp;D2187&amp;"|"&amp;E2187</f>
        <v>HIB|3|Senin|09:45</v>
      </c>
      <c r="B2187" s="76" t="s">
        <v>71</v>
      </c>
      <c r="C2187" s="76" t="n">
        <v>3</v>
      </c>
      <c r="D2187" s="76" t="s">
        <v>90</v>
      </c>
      <c r="E2187" s="76" t="s">
        <v>98</v>
      </c>
      <c r="F2187" s="77" t="s">
        <v>277</v>
      </c>
      <c r="G2187" s="77" t="n">
        <v>4</v>
      </c>
      <c r="H2187" s="77" t="n">
        <v>1</v>
      </c>
      <c r="I2187" s="76" t="n">
        <f aca="false">IF(AND(ISNUMBER(G2187),ISNUMBER(H2187)),MAX(G2187-H2187,0),"")</f>
        <v>3</v>
      </c>
      <c r="J2187" s="78" t="n">
        <f aca="false">IF(AND(ISNUMBER(G2187),ISNUMBER(H2187)),IF(G2187&gt;0,H2187/G2187,""),"")</f>
        <v>0.25</v>
      </c>
      <c r="K2187" s="77" t="s">
        <v>485</v>
      </c>
      <c r="L2187" s="76" t="str">
        <f aca="false">IF(OR(G2187="",H2187=""),"Data tidak lengkap",IF(AND(G2187=0,H2187=0),IF(AND(F2187="",K2187=""),"Tidak dibuka","Tutup"),IF(H2187&gt;G2187,"Lebih kapasitas",IF(H2187=G2187,"Penuh",IF(H2187=0,IF(F2187="","Slot kosong","Belum terisi"),"Sebagian")))))</f>
        <v>Sebagian</v>
      </c>
      <c r="M2187" s="79" t="str">
        <f aca="false">IF(L2187="Tidak dibuka","–",IF(F2187="","(tanpa age group)",F2187)&amp;"  "&amp;IF(H2187="","?",H2187)&amp;"/"&amp;IF(G2187="","?",G2187)&amp;CHAR(10)&amp;IF(K2187="","coach: –","coach: "&amp;K2187))</f>
        <v>Little  1/4
coach: Silvi</v>
      </c>
    </row>
    <row r="2188" customFormat="false" ht="22.35" hidden="false" customHeight="false" outlineLevel="0" collapsed="false">
      <c r="A2188" s="76" t="str">
        <f aca="false">B2188&amp;"|"&amp;C2188&amp;"|"&amp;D2188&amp;"|"&amp;E2188</f>
        <v>HIB|3|Senin|10:30</v>
      </c>
      <c r="B2188" s="76" t="s">
        <v>71</v>
      </c>
      <c r="C2188" s="76" t="n">
        <v>3</v>
      </c>
      <c r="D2188" s="76" t="s">
        <v>90</v>
      </c>
      <c r="E2188" s="76" t="s">
        <v>99</v>
      </c>
      <c r="F2188" s="77" t="s">
        <v>277</v>
      </c>
      <c r="G2188" s="77" t="n">
        <v>4</v>
      </c>
      <c r="H2188" s="77" t="n">
        <v>1</v>
      </c>
      <c r="I2188" s="76" t="n">
        <f aca="false">IF(AND(ISNUMBER(G2188),ISNUMBER(H2188)),MAX(G2188-H2188,0),"")</f>
        <v>3</v>
      </c>
      <c r="J2188" s="78" t="n">
        <f aca="false">IF(AND(ISNUMBER(G2188),ISNUMBER(H2188)),IF(G2188&gt;0,H2188/G2188,""),"")</f>
        <v>0.25</v>
      </c>
      <c r="K2188" s="77" t="s">
        <v>485</v>
      </c>
      <c r="L2188" s="76" t="str">
        <f aca="false">IF(OR(G2188="",H2188=""),"Data tidak lengkap",IF(AND(G2188=0,H2188=0),IF(AND(F2188="",K2188=""),"Tidak dibuka","Tutup"),IF(H2188&gt;G2188,"Lebih kapasitas",IF(H2188=G2188,"Penuh",IF(H2188=0,IF(F2188="","Slot kosong","Belum terisi"),"Sebagian")))))</f>
        <v>Sebagian</v>
      </c>
      <c r="M2188" s="79" t="str">
        <f aca="false">IF(L2188="Tidak dibuka","–",IF(F2188="","(tanpa age group)",F2188)&amp;"  "&amp;IF(H2188="","?",H2188)&amp;"/"&amp;IF(G2188="","?",G2188)&amp;CHAR(10)&amp;IF(K2188="","coach: –","coach: "&amp;K2188))</f>
        <v>Little  1/4
coach: Silvi</v>
      </c>
    </row>
    <row r="2189" customFormat="false" ht="22.35" hidden="false" customHeight="false" outlineLevel="0" collapsed="false">
      <c r="A2189" s="76" t="str">
        <f aca="false">B2189&amp;"|"&amp;C2189&amp;"|"&amp;D2189&amp;"|"&amp;E2189</f>
        <v>HIB|3|Senin|11:15</v>
      </c>
      <c r="B2189" s="76" t="s">
        <v>71</v>
      </c>
      <c r="C2189" s="76" t="n">
        <v>3</v>
      </c>
      <c r="D2189" s="76" t="s">
        <v>90</v>
      </c>
      <c r="E2189" s="76" t="s">
        <v>100</v>
      </c>
      <c r="F2189" s="77" t="s">
        <v>277</v>
      </c>
      <c r="G2189" s="77" t="n">
        <v>4</v>
      </c>
      <c r="H2189" s="77" t="n">
        <v>1</v>
      </c>
      <c r="I2189" s="76" t="n">
        <f aca="false">IF(AND(ISNUMBER(G2189),ISNUMBER(H2189)),MAX(G2189-H2189,0),"")</f>
        <v>3</v>
      </c>
      <c r="J2189" s="78" t="n">
        <f aca="false">IF(AND(ISNUMBER(G2189),ISNUMBER(H2189)),IF(G2189&gt;0,H2189/G2189,""),"")</f>
        <v>0.25</v>
      </c>
      <c r="K2189" s="77" t="s">
        <v>485</v>
      </c>
      <c r="L2189" s="76" t="str">
        <f aca="false">IF(OR(G2189="",H2189=""),"Data tidak lengkap",IF(AND(G2189=0,H2189=0),IF(AND(F2189="",K2189=""),"Tidak dibuka","Tutup"),IF(H2189&gt;G2189,"Lebih kapasitas",IF(H2189=G2189,"Penuh",IF(H2189=0,IF(F2189="","Slot kosong","Belum terisi"),"Sebagian")))))</f>
        <v>Sebagian</v>
      </c>
      <c r="M2189" s="79" t="str">
        <f aca="false">IF(L2189="Tidak dibuka","–",IF(F2189="","(tanpa age group)",F2189)&amp;"  "&amp;IF(H2189="","?",H2189)&amp;"/"&amp;IF(G2189="","?",G2189)&amp;CHAR(10)&amp;IF(K2189="","coach: –","coach: "&amp;K2189))</f>
        <v>Little  1/4
coach: Silvi</v>
      </c>
    </row>
    <row r="2190" customFormat="false" ht="22.35" hidden="false" customHeight="false" outlineLevel="0" collapsed="false">
      <c r="A2190" s="76" t="str">
        <f aca="false">B2190&amp;"|"&amp;C2190&amp;"|"&amp;D2190&amp;"|"&amp;E2190</f>
        <v>HIB|3|Senin|12:00</v>
      </c>
      <c r="B2190" s="76" t="s">
        <v>71</v>
      </c>
      <c r="C2190" s="76" t="n">
        <v>3</v>
      </c>
      <c r="D2190" s="76" t="s">
        <v>90</v>
      </c>
      <c r="E2190" s="76" t="s">
        <v>101</v>
      </c>
      <c r="F2190" s="77" t="s">
        <v>277</v>
      </c>
      <c r="G2190" s="77" t="n">
        <v>4</v>
      </c>
      <c r="H2190" s="77" t="n">
        <v>0</v>
      </c>
      <c r="I2190" s="76" t="n">
        <f aca="false">IF(AND(ISNUMBER(G2190),ISNUMBER(H2190)),MAX(G2190-H2190,0),"")</f>
        <v>4</v>
      </c>
      <c r="J2190" s="78" t="n">
        <f aca="false">IF(AND(ISNUMBER(G2190),ISNUMBER(H2190)),IF(G2190&gt;0,H2190/G2190,""),"")</f>
        <v>0</v>
      </c>
      <c r="K2190" s="77"/>
      <c r="L2190" s="76" t="str">
        <f aca="false">IF(OR(G2190="",H2190=""),"Data tidak lengkap",IF(AND(G2190=0,H2190=0),IF(AND(F2190="",K2190=""),"Tidak dibuka","Tutup"),IF(H2190&gt;G2190,"Lebih kapasitas",IF(H2190=G2190,"Penuh",IF(H2190=0,IF(F2190="","Slot kosong","Belum terisi"),"Sebagian")))))</f>
        <v>Belum terisi</v>
      </c>
      <c r="M2190" s="79" t="str">
        <f aca="false">IF(L2190="Tidak dibuka","–",IF(F2190="","(tanpa age group)",F2190)&amp;"  "&amp;IF(H2190="","?",H2190)&amp;"/"&amp;IF(G2190="","?",G2190)&amp;CHAR(10)&amp;IF(K2190="","coach: –","coach: "&amp;K2190))</f>
        <v>Little  0/4
coach: –</v>
      </c>
    </row>
    <row r="2191" customFormat="false" ht="22.35" hidden="false" customHeight="false" outlineLevel="0" collapsed="false">
      <c r="A2191" s="76" t="str">
        <f aca="false">B2191&amp;"|"&amp;C2191&amp;"|"&amp;D2191&amp;"|"&amp;E2191</f>
        <v>HIB|3|Senin|13:30</v>
      </c>
      <c r="B2191" s="76" t="s">
        <v>71</v>
      </c>
      <c r="C2191" s="76" t="n">
        <v>3</v>
      </c>
      <c r="D2191" s="76" t="s">
        <v>90</v>
      </c>
      <c r="E2191" s="76" t="s">
        <v>102</v>
      </c>
      <c r="F2191" s="77" t="s">
        <v>277</v>
      </c>
      <c r="G2191" s="77" t="n">
        <v>4</v>
      </c>
      <c r="H2191" s="77" t="n">
        <v>1</v>
      </c>
      <c r="I2191" s="76" t="n">
        <f aca="false">IF(AND(ISNUMBER(G2191),ISNUMBER(H2191)),MAX(G2191-H2191,0),"")</f>
        <v>3</v>
      </c>
      <c r="J2191" s="78" t="n">
        <f aca="false">IF(AND(ISNUMBER(G2191),ISNUMBER(H2191)),IF(G2191&gt;0,H2191/G2191,""),"")</f>
        <v>0.25</v>
      </c>
      <c r="K2191" s="77" t="s">
        <v>485</v>
      </c>
      <c r="L2191" s="76" t="str">
        <f aca="false">IF(OR(G2191="",H2191=""),"Data tidak lengkap",IF(AND(G2191=0,H2191=0),IF(AND(F2191="",K2191=""),"Tidak dibuka","Tutup"),IF(H2191&gt;G2191,"Lebih kapasitas",IF(H2191=G2191,"Penuh",IF(H2191=0,IF(F2191="","Slot kosong","Belum terisi"),"Sebagian")))))</f>
        <v>Sebagian</v>
      </c>
      <c r="M2191" s="79" t="str">
        <f aca="false">IF(L2191="Tidak dibuka","–",IF(F2191="","(tanpa age group)",F2191)&amp;"  "&amp;IF(H2191="","?",H2191)&amp;"/"&amp;IF(G2191="","?",G2191)&amp;CHAR(10)&amp;IF(K2191="","coach: –","coach: "&amp;K2191))</f>
        <v>Little  1/4
coach: Silvi</v>
      </c>
    </row>
    <row r="2192" customFormat="false" ht="22.35" hidden="false" customHeight="false" outlineLevel="0" collapsed="false">
      <c r="A2192" s="76" t="str">
        <f aca="false">B2192&amp;"|"&amp;C2192&amp;"|"&amp;D2192&amp;"|"&amp;E2192</f>
        <v>HIB|3|Senin|14:15</v>
      </c>
      <c r="B2192" s="76" t="s">
        <v>71</v>
      </c>
      <c r="C2192" s="76" t="n">
        <v>3</v>
      </c>
      <c r="D2192" s="76" t="s">
        <v>90</v>
      </c>
      <c r="E2192" s="76" t="s">
        <v>103</v>
      </c>
      <c r="F2192" s="77" t="s">
        <v>277</v>
      </c>
      <c r="G2192" s="77" t="n">
        <v>4</v>
      </c>
      <c r="H2192" s="77" t="n">
        <v>0</v>
      </c>
      <c r="I2192" s="76" t="n">
        <f aca="false">IF(AND(ISNUMBER(G2192),ISNUMBER(H2192)),MAX(G2192-H2192,0),"")</f>
        <v>4</v>
      </c>
      <c r="J2192" s="78" t="n">
        <f aca="false">IF(AND(ISNUMBER(G2192),ISNUMBER(H2192)),IF(G2192&gt;0,H2192/G2192,""),"")</f>
        <v>0</v>
      </c>
      <c r="K2192" s="77"/>
      <c r="L2192" s="76" t="str">
        <f aca="false">IF(OR(G2192="",H2192=""),"Data tidak lengkap",IF(AND(G2192=0,H2192=0),IF(AND(F2192="",K2192=""),"Tidak dibuka","Tutup"),IF(H2192&gt;G2192,"Lebih kapasitas",IF(H2192=G2192,"Penuh",IF(H2192=0,IF(F2192="","Slot kosong","Belum terisi"),"Sebagian")))))</f>
        <v>Belum terisi</v>
      </c>
      <c r="M2192" s="79" t="str">
        <f aca="false">IF(L2192="Tidak dibuka","–",IF(F2192="","(tanpa age group)",F2192)&amp;"  "&amp;IF(H2192="","?",H2192)&amp;"/"&amp;IF(G2192="","?",G2192)&amp;CHAR(10)&amp;IF(K2192="","coach: –","coach: "&amp;K2192))</f>
        <v>Little  0/4
coach: –</v>
      </c>
    </row>
    <row r="2193" customFormat="false" ht="22.35" hidden="false" customHeight="false" outlineLevel="0" collapsed="false">
      <c r="A2193" s="76" t="str">
        <f aca="false">B2193&amp;"|"&amp;C2193&amp;"|"&amp;D2193&amp;"|"&amp;E2193</f>
        <v>HIB|3|Senin|15:00</v>
      </c>
      <c r="B2193" s="76" t="s">
        <v>71</v>
      </c>
      <c r="C2193" s="76" t="n">
        <v>3</v>
      </c>
      <c r="D2193" s="76" t="s">
        <v>90</v>
      </c>
      <c r="E2193" s="76" t="s">
        <v>104</v>
      </c>
      <c r="F2193" s="77" t="s">
        <v>277</v>
      </c>
      <c r="G2193" s="77" t="n">
        <v>4</v>
      </c>
      <c r="H2193" s="77" t="n">
        <v>0</v>
      </c>
      <c r="I2193" s="76" t="n">
        <f aca="false">IF(AND(ISNUMBER(G2193),ISNUMBER(H2193)),MAX(G2193-H2193,0),"")</f>
        <v>4</v>
      </c>
      <c r="J2193" s="78" t="n">
        <f aca="false">IF(AND(ISNUMBER(G2193),ISNUMBER(H2193)),IF(G2193&gt;0,H2193/G2193,""),"")</f>
        <v>0</v>
      </c>
      <c r="K2193" s="77"/>
      <c r="L2193" s="76" t="str">
        <f aca="false">IF(OR(G2193="",H2193=""),"Data tidak lengkap",IF(AND(G2193=0,H2193=0),IF(AND(F2193="",K2193=""),"Tidak dibuka","Tutup"),IF(H2193&gt;G2193,"Lebih kapasitas",IF(H2193=G2193,"Penuh",IF(H2193=0,IF(F2193="","Slot kosong","Belum terisi"),"Sebagian")))))</f>
        <v>Belum terisi</v>
      </c>
      <c r="M2193" s="79" t="str">
        <f aca="false">IF(L2193="Tidak dibuka","–",IF(F2193="","(tanpa age group)",F2193)&amp;"  "&amp;IF(H2193="","?",H2193)&amp;"/"&amp;IF(G2193="","?",G2193)&amp;CHAR(10)&amp;IF(K2193="","coach: –","coach: "&amp;K2193))</f>
        <v>Little  0/4
coach: –</v>
      </c>
    </row>
    <row r="2194" customFormat="false" ht="22.35" hidden="false" customHeight="false" outlineLevel="0" collapsed="false">
      <c r="A2194" s="76" t="str">
        <f aca="false">B2194&amp;"|"&amp;C2194&amp;"|"&amp;D2194&amp;"|"&amp;E2194</f>
        <v>HIB|3|Senin|15:45</v>
      </c>
      <c r="B2194" s="76" t="s">
        <v>71</v>
      </c>
      <c r="C2194" s="76" t="n">
        <v>3</v>
      </c>
      <c r="D2194" s="76" t="s">
        <v>90</v>
      </c>
      <c r="E2194" s="76" t="s">
        <v>105</v>
      </c>
      <c r="F2194" s="77" t="s">
        <v>277</v>
      </c>
      <c r="G2194" s="77" t="n">
        <v>4</v>
      </c>
      <c r="H2194" s="77" t="n">
        <v>1</v>
      </c>
      <c r="I2194" s="76" t="n">
        <f aca="false">IF(AND(ISNUMBER(G2194),ISNUMBER(H2194)),MAX(G2194-H2194,0),"")</f>
        <v>3</v>
      </c>
      <c r="J2194" s="78" t="n">
        <f aca="false">IF(AND(ISNUMBER(G2194),ISNUMBER(H2194)),IF(G2194&gt;0,H2194/G2194,""),"")</f>
        <v>0.25</v>
      </c>
      <c r="K2194" s="77" t="s">
        <v>486</v>
      </c>
      <c r="L2194" s="76" t="str">
        <f aca="false">IF(OR(G2194="",H2194=""),"Data tidak lengkap",IF(AND(G2194=0,H2194=0),IF(AND(F2194="",K2194=""),"Tidak dibuka","Tutup"),IF(H2194&gt;G2194,"Lebih kapasitas",IF(H2194=G2194,"Penuh",IF(H2194=0,IF(F2194="","Slot kosong","Belum terisi"),"Sebagian")))))</f>
        <v>Sebagian</v>
      </c>
      <c r="M2194" s="79" t="str">
        <f aca="false">IF(L2194="Tidak dibuka","–",IF(F2194="","(tanpa age group)",F2194)&amp;"  "&amp;IF(H2194="","?",H2194)&amp;"/"&amp;IF(G2194="","?",G2194)&amp;CHAR(10)&amp;IF(K2194="","coach: –","coach: "&amp;K2194))</f>
        <v>Little  1/4
coach: Angga</v>
      </c>
    </row>
    <row r="2195" customFormat="false" ht="22.35" hidden="false" customHeight="false" outlineLevel="0" collapsed="false">
      <c r="A2195" s="76" t="str">
        <f aca="false">B2195&amp;"|"&amp;C2195&amp;"|"&amp;D2195&amp;"|"&amp;E2195</f>
        <v>HIB|3|Senin|16:30</v>
      </c>
      <c r="B2195" s="76" t="s">
        <v>71</v>
      </c>
      <c r="C2195" s="76" t="n">
        <v>3</v>
      </c>
      <c r="D2195" s="76" t="s">
        <v>90</v>
      </c>
      <c r="E2195" s="76" t="s">
        <v>106</v>
      </c>
      <c r="F2195" s="77" t="s">
        <v>277</v>
      </c>
      <c r="G2195" s="77" t="n">
        <v>4</v>
      </c>
      <c r="H2195" s="77" t="n">
        <v>0</v>
      </c>
      <c r="I2195" s="76" t="n">
        <f aca="false">IF(AND(ISNUMBER(G2195),ISNUMBER(H2195)),MAX(G2195-H2195,0),"")</f>
        <v>4</v>
      </c>
      <c r="J2195" s="78" t="n">
        <f aca="false">IF(AND(ISNUMBER(G2195),ISNUMBER(H2195)),IF(G2195&gt;0,H2195/G2195,""),"")</f>
        <v>0</v>
      </c>
      <c r="K2195" s="77"/>
      <c r="L2195" s="76" t="str">
        <f aca="false">IF(OR(G2195="",H2195=""),"Data tidak lengkap",IF(AND(G2195=0,H2195=0),IF(AND(F2195="",K2195=""),"Tidak dibuka","Tutup"),IF(H2195&gt;G2195,"Lebih kapasitas",IF(H2195=G2195,"Penuh",IF(H2195=0,IF(F2195="","Slot kosong","Belum terisi"),"Sebagian")))))</f>
        <v>Belum terisi</v>
      </c>
      <c r="M2195" s="79" t="str">
        <f aca="false">IF(L2195="Tidak dibuka","–",IF(F2195="","(tanpa age group)",F2195)&amp;"  "&amp;IF(H2195="","?",H2195)&amp;"/"&amp;IF(G2195="","?",G2195)&amp;CHAR(10)&amp;IF(K2195="","coach: –","coach: "&amp;K2195))</f>
        <v>Little  0/4
coach: –</v>
      </c>
    </row>
    <row r="2196" customFormat="false" ht="22.35" hidden="false" customHeight="false" outlineLevel="0" collapsed="false">
      <c r="A2196" s="76" t="str">
        <f aca="false">B2196&amp;"|"&amp;C2196&amp;"|"&amp;D2196&amp;"|"&amp;E2196</f>
        <v>HIB|3|Senin|17:15</v>
      </c>
      <c r="B2196" s="76" t="s">
        <v>71</v>
      </c>
      <c r="C2196" s="76" t="n">
        <v>3</v>
      </c>
      <c r="D2196" s="76" t="s">
        <v>90</v>
      </c>
      <c r="E2196" s="76" t="s">
        <v>107</v>
      </c>
      <c r="F2196" s="77" t="s">
        <v>277</v>
      </c>
      <c r="G2196" s="77" t="n">
        <v>4</v>
      </c>
      <c r="H2196" s="77" t="n">
        <v>0</v>
      </c>
      <c r="I2196" s="76" t="n">
        <f aca="false">IF(AND(ISNUMBER(G2196),ISNUMBER(H2196)),MAX(G2196-H2196,0),"")</f>
        <v>4</v>
      </c>
      <c r="J2196" s="78" t="n">
        <f aca="false">IF(AND(ISNUMBER(G2196),ISNUMBER(H2196)),IF(G2196&gt;0,H2196/G2196,""),"")</f>
        <v>0</v>
      </c>
      <c r="K2196" s="77"/>
      <c r="L2196" s="76" t="str">
        <f aca="false">IF(OR(G2196="",H2196=""),"Data tidak lengkap",IF(AND(G2196=0,H2196=0),IF(AND(F2196="",K2196=""),"Tidak dibuka","Tutup"),IF(H2196&gt;G2196,"Lebih kapasitas",IF(H2196=G2196,"Penuh",IF(H2196=0,IF(F2196="","Slot kosong","Belum terisi"),"Sebagian")))))</f>
        <v>Belum terisi</v>
      </c>
      <c r="M2196" s="79" t="str">
        <f aca="false">IF(L2196="Tidak dibuka","–",IF(F2196="","(tanpa age group)",F2196)&amp;"  "&amp;IF(H2196="","?",H2196)&amp;"/"&amp;IF(G2196="","?",G2196)&amp;CHAR(10)&amp;IF(K2196="","coach: –","coach: "&amp;K2196))</f>
        <v>Little  0/4
coach: –</v>
      </c>
    </row>
    <row r="2197" customFormat="false" ht="22.35" hidden="false" customHeight="false" outlineLevel="0" collapsed="false">
      <c r="A2197" s="76" t="str">
        <f aca="false">B2197&amp;"|"&amp;C2197&amp;"|"&amp;D2197&amp;"|"&amp;E2197</f>
        <v>HIB|3|Selasa|08:15</v>
      </c>
      <c r="B2197" s="76" t="s">
        <v>71</v>
      </c>
      <c r="C2197" s="76" t="n">
        <v>3</v>
      </c>
      <c r="D2197" s="76" t="s">
        <v>91</v>
      </c>
      <c r="E2197" s="76" t="s">
        <v>96</v>
      </c>
      <c r="F2197" s="77" t="s">
        <v>277</v>
      </c>
      <c r="G2197" s="77" t="n">
        <v>4</v>
      </c>
      <c r="H2197" s="77" t="n">
        <v>0</v>
      </c>
      <c r="I2197" s="76" t="n">
        <f aca="false">IF(AND(ISNUMBER(G2197),ISNUMBER(H2197)),MAX(G2197-H2197,0),"")</f>
        <v>4</v>
      </c>
      <c r="J2197" s="78" t="n">
        <f aca="false">IF(AND(ISNUMBER(G2197),ISNUMBER(H2197)),IF(G2197&gt;0,H2197/G2197,""),"")</f>
        <v>0</v>
      </c>
      <c r="K2197" s="77"/>
      <c r="L2197" s="76" t="str">
        <f aca="false">IF(OR(G2197="",H2197=""),"Data tidak lengkap",IF(AND(G2197=0,H2197=0),IF(AND(F2197="",K2197=""),"Tidak dibuka","Tutup"),IF(H2197&gt;G2197,"Lebih kapasitas",IF(H2197=G2197,"Penuh",IF(H2197=0,IF(F2197="","Slot kosong","Belum terisi"),"Sebagian")))))</f>
        <v>Belum terisi</v>
      </c>
      <c r="M2197" s="79" t="str">
        <f aca="false">IF(L2197="Tidak dibuka","–",IF(F2197="","(tanpa age group)",F2197)&amp;"  "&amp;IF(H2197="","?",H2197)&amp;"/"&amp;IF(G2197="","?",G2197)&amp;CHAR(10)&amp;IF(K2197="","coach: –","coach: "&amp;K2197))</f>
        <v>Little  0/4
coach: –</v>
      </c>
    </row>
    <row r="2198" customFormat="false" ht="22.35" hidden="false" customHeight="false" outlineLevel="0" collapsed="false">
      <c r="A2198" s="76" t="str">
        <f aca="false">B2198&amp;"|"&amp;C2198&amp;"|"&amp;D2198&amp;"|"&amp;E2198</f>
        <v>HIB|3|Selasa|09:00</v>
      </c>
      <c r="B2198" s="76" t="s">
        <v>71</v>
      </c>
      <c r="C2198" s="76" t="n">
        <v>3</v>
      </c>
      <c r="D2198" s="76" t="s">
        <v>91</v>
      </c>
      <c r="E2198" s="76" t="s">
        <v>97</v>
      </c>
      <c r="F2198" s="77" t="s">
        <v>277</v>
      </c>
      <c r="G2198" s="77" t="n">
        <v>4</v>
      </c>
      <c r="H2198" s="77" t="n">
        <v>0</v>
      </c>
      <c r="I2198" s="76" t="n">
        <f aca="false">IF(AND(ISNUMBER(G2198),ISNUMBER(H2198)),MAX(G2198-H2198,0),"")</f>
        <v>4</v>
      </c>
      <c r="J2198" s="78" t="n">
        <f aca="false">IF(AND(ISNUMBER(G2198),ISNUMBER(H2198)),IF(G2198&gt;0,H2198/G2198,""),"")</f>
        <v>0</v>
      </c>
      <c r="K2198" s="77"/>
      <c r="L2198" s="76" t="str">
        <f aca="false">IF(OR(G2198="",H2198=""),"Data tidak lengkap",IF(AND(G2198=0,H2198=0),IF(AND(F2198="",K2198=""),"Tidak dibuka","Tutup"),IF(H2198&gt;G2198,"Lebih kapasitas",IF(H2198=G2198,"Penuh",IF(H2198=0,IF(F2198="","Slot kosong","Belum terisi"),"Sebagian")))))</f>
        <v>Belum terisi</v>
      </c>
      <c r="M2198" s="79" t="str">
        <f aca="false">IF(L2198="Tidak dibuka","–",IF(F2198="","(tanpa age group)",F2198)&amp;"  "&amp;IF(H2198="","?",H2198)&amp;"/"&amp;IF(G2198="","?",G2198)&amp;CHAR(10)&amp;IF(K2198="","coach: –","coach: "&amp;K2198))</f>
        <v>Little  0/4
coach: –</v>
      </c>
    </row>
    <row r="2199" customFormat="false" ht="22.35" hidden="false" customHeight="false" outlineLevel="0" collapsed="false">
      <c r="A2199" s="76" t="str">
        <f aca="false">B2199&amp;"|"&amp;C2199&amp;"|"&amp;D2199&amp;"|"&amp;E2199</f>
        <v>HIB|3|Selasa|09:45</v>
      </c>
      <c r="B2199" s="76" t="s">
        <v>71</v>
      </c>
      <c r="C2199" s="76" t="n">
        <v>3</v>
      </c>
      <c r="D2199" s="76" t="s">
        <v>91</v>
      </c>
      <c r="E2199" s="76" t="s">
        <v>98</v>
      </c>
      <c r="F2199" s="77" t="s">
        <v>277</v>
      </c>
      <c r="G2199" s="77" t="n">
        <v>4</v>
      </c>
      <c r="H2199" s="77" t="n">
        <v>3</v>
      </c>
      <c r="I2199" s="76" t="n">
        <f aca="false">IF(AND(ISNUMBER(G2199),ISNUMBER(H2199)),MAX(G2199-H2199,0),"")</f>
        <v>1</v>
      </c>
      <c r="J2199" s="78" t="n">
        <f aca="false">IF(AND(ISNUMBER(G2199),ISNUMBER(H2199)),IF(G2199&gt;0,H2199/G2199,""),"")</f>
        <v>0.75</v>
      </c>
      <c r="K2199" s="77" t="s">
        <v>486</v>
      </c>
      <c r="L2199" s="76" t="str">
        <f aca="false">IF(OR(G2199="",H2199=""),"Data tidak lengkap",IF(AND(G2199=0,H2199=0),IF(AND(F2199="",K2199=""),"Tidak dibuka","Tutup"),IF(H2199&gt;G2199,"Lebih kapasitas",IF(H2199=G2199,"Penuh",IF(H2199=0,IF(F2199="","Slot kosong","Belum terisi"),"Sebagian")))))</f>
        <v>Sebagian</v>
      </c>
      <c r="M2199" s="79" t="str">
        <f aca="false">IF(L2199="Tidak dibuka","–",IF(F2199="","(tanpa age group)",F2199)&amp;"  "&amp;IF(H2199="","?",H2199)&amp;"/"&amp;IF(G2199="","?",G2199)&amp;CHAR(10)&amp;IF(K2199="","coach: –","coach: "&amp;K2199))</f>
        <v>Little  3/4
coach: Angga</v>
      </c>
    </row>
    <row r="2200" customFormat="false" ht="22.35" hidden="false" customHeight="false" outlineLevel="0" collapsed="false">
      <c r="A2200" s="76" t="str">
        <f aca="false">B2200&amp;"|"&amp;C2200&amp;"|"&amp;D2200&amp;"|"&amp;E2200</f>
        <v>HIB|3|Selasa|10:30</v>
      </c>
      <c r="B2200" s="76" t="s">
        <v>71</v>
      </c>
      <c r="C2200" s="76" t="n">
        <v>3</v>
      </c>
      <c r="D2200" s="76" t="s">
        <v>91</v>
      </c>
      <c r="E2200" s="76" t="s">
        <v>99</v>
      </c>
      <c r="F2200" s="77" t="s">
        <v>277</v>
      </c>
      <c r="G2200" s="77" t="n">
        <v>4</v>
      </c>
      <c r="H2200" s="77" t="n">
        <v>0</v>
      </c>
      <c r="I2200" s="76" t="n">
        <f aca="false">IF(AND(ISNUMBER(G2200),ISNUMBER(H2200)),MAX(G2200-H2200,0),"")</f>
        <v>4</v>
      </c>
      <c r="J2200" s="78" t="n">
        <f aca="false">IF(AND(ISNUMBER(G2200),ISNUMBER(H2200)),IF(G2200&gt;0,H2200/G2200,""),"")</f>
        <v>0</v>
      </c>
      <c r="K2200" s="77"/>
      <c r="L2200" s="76" t="str">
        <f aca="false">IF(OR(G2200="",H2200=""),"Data tidak lengkap",IF(AND(G2200=0,H2200=0),IF(AND(F2200="",K2200=""),"Tidak dibuka","Tutup"),IF(H2200&gt;G2200,"Lebih kapasitas",IF(H2200=G2200,"Penuh",IF(H2200=0,IF(F2200="","Slot kosong","Belum terisi"),"Sebagian")))))</f>
        <v>Belum terisi</v>
      </c>
      <c r="M2200" s="79" t="str">
        <f aca="false">IF(L2200="Tidak dibuka","–",IF(F2200="","(tanpa age group)",F2200)&amp;"  "&amp;IF(H2200="","?",H2200)&amp;"/"&amp;IF(G2200="","?",G2200)&amp;CHAR(10)&amp;IF(K2200="","coach: –","coach: "&amp;K2200))</f>
        <v>Little  0/4
coach: –</v>
      </c>
    </row>
    <row r="2201" customFormat="false" ht="22.35" hidden="false" customHeight="false" outlineLevel="0" collapsed="false">
      <c r="A2201" s="76" t="str">
        <f aca="false">B2201&amp;"|"&amp;C2201&amp;"|"&amp;D2201&amp;"|"&amp;E2201</f>
        <v>HIB|3|Selasa|11:15</v>
      </c>
      <c r="B2201" s="76" t="s">
        <v>71</v>
      </c>
      <c r="C2201" s="76" t="n">
        <v>3</v>
      </c>
      <c r="D2201" s="76" t="s">
        <v>91</v>
      </c>
      <c r="E2201" s="76" t="s">
        <v>100</v>
      </c>
      <c r="F2201" s="77" t="s">
        <v>277</v>
      </c>
      <c r="G2201" s="77" t="n">
        <v>4</v>
      </c>
      <c r="H2201" s="77" t="n">
        <v>2</v>
      </c>
      <c r="I2201" s="76" t="n">
        <f aca="false">IF(AND(ISNUMBER(G2201),ISNUMBER(H2201)),MAX(G2201-H2201,0),"")</f>
        <v>2</v>
      </c>
      <c r="J2201" s="78" t="n">
        <f aca="false">IF(AND(ISNUMBER(G2201),ISNUMBER(H2201)),IF(G2201&gt;0,H2201/G2201,""),"")</f>
        <v>0.5</v>
      </c>
      <c r="K2201" s="77" t="s">
        <v>486</v>
      </c>
      <c r="L2201" s="76" t="str">
        <f aca="false">IF(OR(G2201="",H2201=""),"Data tidak lengkap",IF(AND(G2201=0,H2201=0),IF(AND(F2201="",K2201=""),"Tidak dibuka","Tutup"),IF(H2201&gt;G2201,"Lebih kapasitas",IF(H2201=G2201,"Penuh",IF(H2201=0,IF(F2201="","Slot kosong","Belum terisi"),"Sebagian")))))</f>
        <v>Sebagian</v>
      </c>
      <c r="M2201" s="79" t="str">
        <f aca="false">IF(L2201="Tidak dibuka","–",IF(F2201="","(tanpa age group)",F2201)&amp;"  "&amp;IF(H2201="","?",H2201)&amp;"/"&amp;IF(G2201="","?",G2201)&amp;CHAR(10)&amp;IF(K2201="","coach: –","coach: "&amp;K2201))</f>
        <v>Little  2/4
coach: Angga</v>
      </c>
    </row>
    <row r="2202" customFormat="false" ht="22.35" hidden="false" customHeight="false" outlineLevel="0" collapsed="false">
      <c r="A2202" s="76" t="str">
        <f aca="false">B2202&amp;"|"&amp;C2202&amp;"|"&amp;D2202&amp;"|"&amp;E2202</f>
        <v>HIB|3|Selasa|12:00</v>
      </c>
      <c r="B2202" s="76" t="s">
        <v>71</v>
      </c>
      <c r="C2202" s="76" t="n">
        <v>3</v>
      </c>
      <c r="D2202" s="76" t="s">
        <v>91</v>
      </c>
      <c r="E2202" s="76" t="s">
        <v>101</v>
      </c>
      <c r="F2202" s="77" t="s">
        <v>277</v>
      </c>
      <c r="G2202" s="77" t="n">
        <v>4</v>
      </c>
      <c r="H2202" s="77" t="n">
        <v>0</v>
      </c>
      <c r="I2202" s="76" t="n">
        <f aca="false">IF(AND(ISNUMBER(G2202),ISNUMBER(H2202)),MAX(G2202-H2202,0),"")</f>
        <v>4</v>
      </c>
      <c r="J2202" s="78" t="n">
        <f aca="false">IF(AND(ISNUMBER(G2202),ISNUMBER(H2202)),IF(G2202&gt;0,H2202/G2202,""),"")</f>
        <v>0</v>
      </c>
      <c r="K2202" s="77"/>
      <c r="L2202" s="76" t="str">
        <f aca="false">IF(OR(G2202="",H2202=""),"Data tidak lengkap",IF(AND(G2202=0,H2202=0),IF(AND(F2202="",K2202=""),"Tidak dibuka","Tutup"),IF(H2202&gt;G2202,"Lebih kapasitas",IF(H2202=G2202,"Penuh",IF(H2202=0,IF(F2202="","Slot kosong","Belum terisi"),"Sebagian")))))</f>
        <v>Belum terisi</v>
      </c>
      <c r="M2202" s="79" t="str">
        <f aca="false">IF(L2202="Tidak dibuka","–",IF(F2202="","(tanpa age group)",F2202)&amp;"  "&amp;IF(H2202="","?",H2202)&amp;"/"&amp;IF(G2202="","?",G2202)&amp;CHAR(10)&amp;IF(K2202="","coach: –","coach: "&amp;K2202))</f>
        <v>Little  0/4
coach: –</v>
      </c>
    </row>
    <row r="2203" customFormat="false" ht="22.35" hidden="false" customHeight="false" outlineLevel="0" collapsed="false">
      <c r="A2203" s="76" t="str">
        <f aca="false">B2203&amp;"|"&amp;C2203&amp;"|"&amp;D2203&amp;"|"&amp;E2203</f>
        <v>HIB|3|Selasa|13:30</v>
      </c>
      <c r="B2203" s="76" t="s">
        <v>71</v>
      </c>
      <c r="C2203" s="76" t="n">
        <v>3</v>
      </c>
      <c r="D2203" s="76" t="s">
        <v>91</v>
      </c>
      <c r="E2203" s="76" t="s">
        <v>102</v>
      </c>
      <c r="F2203" s="77" t="s">
        <v>277</v>
      </c>
      <c r="G2203" s="77" t="n">
        <v>4</v>
      </c>
      <c r="H2203" s="77" t="n">
        <v>0</v>
      </c>
      <c r="I2203" s="76" t="n">
        <f aca="false">IF(AND(ISNUMBER(G2203),ISNUMBER(H2203)),MAX(G2203-H2203,0),"")</f>
        <v>4</v>
      </c>
      <c r="J2203" s="78" t="n">
        <f aca="false">IF(AND(ISNUMBER(G2203),ISNUMBER(H2203)),IF(G2203&gt;0,H2203/G2203,""),"")</f>
        <v>0</v>
      </c>
      <c r="K2203" s="77"/>
      <c r="L2203" s="76" t="str">
        <f aca="false">IF(OR(G2203="",H2203=""),"Data tidak lengkap",IF(AND(G2203=0,H2203=0),IF(AND(F2203="",K2203=""),"Tidak dibuka","Tutup"),IF(H2203&gt;G2203,"Lebih kapasitas",IF(H2203=G2203,"Penuh",IF(H2203=0,IF(F2203="","Slot kosong","Belum terisi"),"Sebagian")))))</f>
        <v>Belum terisi</v>
      </c>
      <c r="M2203" s="79" t="str">
        <f aca="false">IF(L2203="Tidak dibuka","–",IF(F2203="","(tanpa age group)",F2203)&amp;"  "&amp;IF(H2203="","?",H2203)&amp;"/"&amp;IF(G2203="","?",G2203)&amp;CHAR(10)&amp;IF(K2203="","coach: –","coach: "&amp;K2203))</f>
        <v>Little  0/4
coach: –</v>
      </c>
    </row>
    <row r="2204" customFormat="false" ht="22.35" hidden="false" customHeight="false" outlineLevel="0" collapsed="false">
      <c r="A2204" s="76" t="str">
        <f aca="false">B2204&amp;"|"&amp;C2204&amp;"|"&amp;D2204&amp;"|"&amp;E2204</f>
        <v>HIB|3|Selasa|14:15</v>
      </c>
      <c r="B2204" s="76" t="s">
        <v>71</v>
      </c>
      <c r="C2204" s="76" t="n">
        <v>3</v>
      </c>
      <c r="D2204" s="76" t="s">
        <v>91</v>
      </c>
      <c r="E2204" s="76" t="s">
        <v>103</v>
      </c>
      <c r="F2204" s="77" t="s">
        <v>277</v>
      </c>
      <c r="G2204" s="77" t="n">
        <v>4</v>
      </c>
      <c r="H2204" s="77" t="n">
        <v>0</v>
      </c>
      <c r="I2204" s="76" t="n">
        <f aca="false">IF(AND(ISNUMBER(G2204),ISNUMBER(H2204)),MAX(G2204-H2204,0),"")</f>
        <v>4</v>
      </c>
      <c r="J2204" s="78" t="n">
        <f aca="false">IF(AND(ISNUMBER(G2204),ISNUMBER(H2204)),IF(G2204&gt;0,H2204/G2204,""),"")</f>
        <v>0</v>
      </c>
      <c r="K2204" s="77"/>
      <c r="L2204" s="76" t="str">
        <f aca="false">IF(OR(G2204="",H2204=""),"Data tidak lengkap",IF(AND(G2204=0,H2204=0),IF(AND(F2204="",K2204=""),"Tidak dibuka","Tutup"),IF(H2204&gt;G2204,"Lebih kapasitas",IF(H2204=G2204,"Penuh",IF(H2204=0,IF(F2204="","Slot kosong","Belum terisi"),"Sebagian")))))</f>
        <v>Belum terisi</v>
      </c>
      <c r="M2204" s="79" t="str">
        <f aca="false">IF(L2204="Tidak dibuka","–",IF(F2204="","(tanpa age group)",F2204)&amp;"  "&amp;IF(H2204="","?",H2204)&amp;"/"&amp;IF(G2204="","?",G2204)&amp;CHAR(10)&amp;IF(K2204="","coach: –","coach: "&amp;K2204))</f>
        <v>Little  0/4
coach: –</v>
      </c>
    </row>
    <row r="2205" customFormat="false" ht="22.35" hidden="false" customHeight="false" outlineLevel="0" collapsed="false">
      <c r="A2205" s="76" t="str">
        <f aca="false">B2205&amp;"|"&amp;C2205&amp;"|"&amp;D2205&amp;"|"&amp;E2205</f>
        <v>HIB|3|Selasa|15:00</v>
      </c>
      <c r="B2205" s="76" t="s">
        <v>71</v>
      </c>
      <c r="C2205" s="76" t="n">
        <v>3</v>
      </c>
      <c r="D2205" s="76" t="s">
        <v>91</v>
      </c>
      <c r="E2205" s="76" t="s">
        <v>104</v>
      </c>
      <c r="F2205" s="77" t="s">
        <v>277</v>
      </c>
      <c r="G2205" s="77" t="n">
        <v>4</v>
      </c>
      <c r="H2205" s="77" t="n">
        <v>0</v>
      </c>
      <c r="I2205" s="76" t="n">
        <f aca="false">IF(AND(ISNUMBER(G2205),ISNUMBER(H2205)),MAX(G2205-H2205,0),"")</f>
        <v>4</v>
      </c>
      <c r="J2205" s="78" t="n">
        <f aca="false">IF(AND(ISNUMBER(G2205),ISNUMBER(H2205)),IF(G2205&gt;0,H2205/G2205,""),"")</f>
        <v>0</v>
      </c>
      <c r="K2205" s="77"/>
      <c r="L2205" s="76" t="str">
        <f aca="false">IF(OR(G2205="",H2205=""),"Data tidak lengkap",IF(AND(G2205=0,H2205=0),IF(AND(F2205="",K2205=""),"Tidak dibuka","Tutup"),IF(H2205&gt;G2205,"Lebih kapasitas",IF(H2205=G2205,"Penuh",IF(H2205=0,IF(F2205="","Slot kosong","Belum terisi"),"Sebagian")))))</f>
        <v>Belum terisi</v>
      </c>
      <c r="M2205" s="79" t="str">
        <f aca="false">IF(L2205="Tidak dibuka","–",IF(F2205="","(tanpa age group)",F2205)&amp;"  "&amp;IF(H2205="","?",H2205)&amp;"/"&amp;IF(G2205="","?",G2205)&amp;CHAR(10)&amp;IF(K2205="","coach: –","coach: "&amp;K2205))</f>
        <v>Little  0/4
coach: –</v>
      </c>
    </row>
    <row r="2206" customFormat="false" ht="22.35" hidden="false" customHeight="false" outlineLevel="0" collapsed="false">
      <c r="A2206" s="76" t="str">
        <f aca="false">B2206&amp;"|"&amp;C2206&amp;"|"&amp;D2206&amp;"|"&amp;E2206</f>
        <v>HIB|3|Selasa|15:45</v>
      </c>
      <c r="B2206" s="76" t="s">
        <v>71</v>
      </c>
      <c r="C2206" s="76" t="n">
        <v>3</v>
      </c>
      <c r="D2206" s="76" t="s">
        <v>91</v>
      </c>
      <c r="E2206" s="76" t="s">
        <v>105</v>
      </c>
      <c r="F2206" s="77" t="s">
        <v>277</v>
      </c>
      <c r="G2206" s="77" t="n">
        <v>4</v>
      </c>
      <c r="H2206" s="77" t="n">
        <v>2</v>
      </c>
      <c r="I2206" s="76" t="n">
        <f aca="false">IF(AND(ISNUMBER(G2206),ISNUMBER(H2206)),MAX(G2206-H2206,0),"")</f>
        <v>2</v>
      </c>
      <c r="J2206" s="78" t="n">
        <f aca="false">IF(AND(ISNUMBER(G2206),ISNUMBER(H2206)),IF(G2206&gt;0,H2206/G2206,""),"")</f>
        <v>0.5</v>
      </c>
      <c r="K2206" s="77" t="s">
        <v>485</v>
      </c>
      <c r="L2206" s="76" t="str">
        <f aca="false">IF(OR(G2206="",H2206=""),"Data tidak lengkap",IF(AND(G2206=0,H2206=0),IF(AND(F2206="",K2206=""),"Tidak dibuka","Tutup"),IF(H2206&gt;G2206,"Lebih kapasitas",IF(H2206=G2206,"Penuh",IF(H2206=0,IF(F2206="","Slot kosong","Belum terisi"),"Sebagian")))))</f>
        <v>Sebagian</v>
      </c>
      <c r="M2206" s="79" t="str">
        <f aca="false">IF(L2206="Tidak dibuka","–",IF(F2206="","(tanpa age group)",F2206)&amp;"  "&amp;IF(H2206="","?",H2206)&amp;"/"&amp;IF(G2206="","?",G2206)&amp;CHAR(10)&amp;IF(K2206="","coach: –","coach: "&amp;K2206))</f>
        <v>Little  2/4
coach: Silvi</v>
      </c>
    </row>
    <row r="2207" customFormat="false" ht="22.35" hidden="false" customHeight="false" outlineLevel="0" collapsed="false">
      <c r="A2207" s="76" t="str">
        <f aca="false">B2207&amp;"|"&amp;C2207&amp;"|"&amp;D2207&amp;"|"&amp;E2207</f>
        <v>HIB|3|Selasa|16:30</v>
      </c>
      <c r="B2207" s="76" t="s">
        <v>71</v>
      </c>
      <c r="C2207" s="76" t="n">
        <v>3</v>
      </c>
      <c r="D2207" s="76" t="s">
        <v>91</v>
      </c>
      <c r="E2207" s="76" t="s">
        <v>106</v>
      </c>
      <c r="F2207" s="77" t="s">
        <v>277</v>
      </c>
      <c r="G2207" s="77" t="n">
        <v>4</v>
      </c>
      <c r="H2207" s="77" t="n">
        <v>0</v>
      </c>
      <c r="I2207" s="76" t="n">
        <f aca="false">IF(AND(ISNUMBER(G2207),ISNUMBER(H2207)),MAX(G2207-H2207,0),"")</f>
        <v>4</v>
      </c>
      <c r="J2207" s="78" t="n">
        <f aca="false">IF(AND(ISNUMBER(G2207),ISNUMBER(H2207)),IF(G2207&gt;0,H2207/G2207,""),"")</f>
        <v>0</v>
      </c>
      <c r="K2207" s="77"/>
      <c r="L2207" s="76" t="str">
        <f aca="false">IF(OR(G2207="",H2207=""),"Data tidak lengkap",IF(AND(G2207=0,H2207=0),IF(AND(F2207="",K2207=""),"Tidak dibuka","Tutup"),IF(H2207&gt;G2207,"Lebih kapasitas",IF(H2207=G2207,"Penuh",IF(H2207=0,IF(F2207="","Slot kosong","Belum terisi"),"Sebagian")))))</f>
        <v>Belum terisi</v>
      </c>
      <c r="M2207" s="79" t="str">
        <f aca="false">IF(L2207="Tidak dibuka","–",IF(F2207="","(tanpa age group)",F2207)&amp;"  "&amp;IF(H2207="","?",H2207)&amp;"/"&amp;IF(G2207="","?",G2207)&amp;CHAR(10)&amp;IF(K2207="","coach: –","coach: "&amp;K2207))</f>
        <v>Little  0/4
coach: –</v>
      </c>
    </row>
    <row r="2208" customFormat="false" ht="22.35" hidden="false" customHeight="false" outlineLevel="0" collapsed="false">
      <c r="A2208" s="76" t="str">
        <f aca="false">B2208&amp;"|"&amp;C2208&amp;"|"&amp;D2208&amp;"|"&amp;E2208</f>
        <v>HIB|3|Selasa|17:15</v>
      </c>
      <c r="B2208" s="76" t="s">
        <v>71</v>
      </c>
      <c r="C2208" s="76" t="n">
        <v>3</v>
      </c>
      <c r="D2208" s="76" t="s">
        <v>91</v>
      </c>
      <c r="E2208" s="76" t="s">
        <v>107</v>
      </c>
      <c r="F2208" s="77" t="s">
        <v>277</v>
      </c>
      <c r="G2208" s="77" t="n">
        <v>4</v>
      </c>
      <c r="H2208" s="77" t="n">
        <v>0</v>
      </c>
      <c r="I2208" s="76" t="n">
        <f aca="false">IF(AND(ISNUMBER(G2208),ISNUMBER(H2208)),MAX(G2208-H2208,0),"")</f>
        <v>4</v>
      </c>
      <c r="J2208" s="78" t="n">
        <f aca="false">IF(AND(ISNUMBER(G2208),ISNUMBER(H2208)),IF(G2208&gt;0,H2208/G2208,""),"")</f>
        <v>0</v>
      </c>
      <c r="K2208" s="77"/>
      <c r="L2208" s="76" t="str">
        <f aca="false">IF(OR(G2208="",H2208=""),"Data tidak lengkap",IF(AND(G2208=0,H2208=0),IF(AND(F2208="",K2208=""),"Tidak dibuka","Tutup"),IF(H2208&gt;G2208,"Lebih kapasitas",IF(H2208=G2208,"Penuh",IF(H2208=0,IF(F2208="","Slot kosong","Belum terisi"),"Sebagian")))))</f>
        <v>Belum terisi</v>
      </c>
      <c r="M2208" s="79" t="str">
        <f aca="false">IF(L2208="Tidak dibuka","–",IF(F2208="","(tanpa age group)",F2208)&amp;"  "&amp;IF(H2208="","?",H2208)&amp;"/"&amp;IF(G2208="","?",G2208)&amp;CHAR(10)&amp;IF(K2208="","coach: –","coach: "&amp;K2208))</f>
        <v>Little  0/4
coach: –</v>
      </c>
    </row>
    <row r="2209" customFormat="false" ht="22.35" hidden="false" customHeight="false" outlineLevel="0" collapsed="false">
      <c r="A2209" s="76" t="str">
        <f aca="false">B2209&amp;"|"&amp;C2209&amp;"|"&amp;D2209&amp;"|"&amp;E2209</f>
        <v>HIB|3|Rabu|08:15</v>
      </c>
      <c r="B2209" s="76" t="s">
        <v>71</v>
      </c>
      <c r="C2209" s="76" t="n">
        <v>3</v>
      </c>
      <c r="D2209" s="76" t="s">
        <v>92</v>
      </c>
      <c r="E2209" s="76" t="s">
        <v>96</v>
      </c>
      <c r="F2209" s="77" t="s">
        <v>277</v>
      </c>
      <c r="G2209" s="77" t="n">
        <v>4</v>
      </c>
      <c r="H2209" s="77" t="n">
        <v>0</v>
      </c>
      <c r="I2209" s="76" t="n">
        <f aca="false">IF(AND(ISNUMBER(G2209),ISNUMBER(H2209)),MAX(G2209-H2209,0),"")</f>
        <v>4</v>
      </c>
      <c r="J2209" s="78" t="n">
        <f aca="false">IF(AND(ISNUMBER(G2209),ISNUMBER(H2209)),IF(G2209&gt;0,H2209/G2209,""),"")</f>
        <v>0</v>
      </c>
      <c r="K2209" s="77"/>
      <c r="L2209" s="76" t="str">
        <f aca="false">IF(OR(G2209="",H2209=""),"Data tidak lengkap",IF(AND(G2209=0,H2209=0),IF(AND(F2209="",K2209=""),"Tidak dibuka","Tutup"),IF(H2209&gt;G2209,"Lebih kapasitas",IF(H2209=G2209,"Penuh",IF(H2209=0,IF(F2209="","Slot kosong","Belum terisi"),"Sebagian")))))</f>
        <v>Belum terisi</v>
      </c>
      <c r="M2209" s="79" t="str">
        <f aca="false">IF(L2209="Tidak dibuka","–",IF(F2209="","(tanpa age group)",F2209)&amp;"  "&amp;IF(H2209="","?",H2209)&amp;"/"&amp;IF(G2209="","?",G2209)&amp;CHAR(10)&amp;IF(K2209="","coach: –","coach: "&amp;K2209))</f>
        <v>Little  0/4
coach: –</v>
      </c>
    </row>
    <row r="2210" customFormat="false" ht="22.35" hidden="false" customHeight="false" outlineLevel="0" collapsed="false">
      <c r="A2210" s="76" t="str">
        <f aca="false">B2210&amp;"|"&amp;C2210&amp;"|"&amp;D2210&amp;"|"&amp;E2210</f>
        <v>HIB|3|Rabu|09:00</v>
      </c>
      <c r="B2210" s="76" t="s">
        <v>71</v>
      </c>
      <c r="C2210" s="76" t="n">
        <v>3</v>
      </c>
      <c r="D2210" s="76" t="s">
        <v>92</v>
      </c>
      <c r="E2210" s="76" t="s">
        <v>97</v>
      </c>
      <c r="F2210" s="77" t="s">
        <v>277</v>
      </c>
      <c r="G2210" s="77" t="n">
        <v>4</v>
      </c>
      <c r="H2210" s="77" t="n">
        <v>0</v>
      </c>
      <c r="I2210" s="76" t="n">
        <f aca="false">IF(AND(ISNUMBER(G2210),ISNUMBER(H2210)),MAX(G2210-H2210,0),"")</f>
        <v>4</v>
      </c>
      <c r="J2210" s="78" t="n">
        <f aca="false">IF(AND(ISNUMBER(G2210),ISNUMBER(H2210)),IF(G2210&gt;0,H2210/G2210,""),"")</f>
        <v>0</v>
      </c>
      <c r="K2210" s="77"/>
      <c r="L2210" s="76" t="str">
        <f aca="false">IF(OR(G2210="",H2210=""),"Data tidak lengkap",IF(AND(G2210=0,H2210=0),IF(AND(F2210="",K2210=""),"Tidak dibuka","Tutup"),IF(H2210&gt;G2210,"Lebih kapasitas",IF(H2210=G2210,"Penuh",IF(H2210=0,IF(F2210="","Slot kosong","Belum terisi"),"Sebagian")))))</f>
        <v>Belum terisi</v>
      </c>
      <c r="M2210" s="79" t="str">
        <f aca="false">IF(L2210="Tidak dibuka","–",IF(F2210="","(tanpa age group)",F2210)&amp;"  "&amp;IF(H2210="","?",H2210)&amp;"/"&amp;IF(G2210="","?",G2210)&amp;CHAR(10)&amp;IF(K2210="","coach: –","coach: "&amp;K2210))</f>
        <v>Little  0/4
coach: –</v>
      </c>
    </row>
    <row r="2211" customFormat="false" ht="22.35" hidden="false" customHeight="false" outlineLevel="0" collapsed="false">
      <c r="A2211" s="76" t="str">
        <f aca="false">B2211&amp;"|"&amp;C2211&amp;"|"&amp;D2211&amp;"|"&amp;E2211</f>
        <v>HIB|3|Rabu|09:45</v>
      </c>
      <c r="B2211" s="76" t="s">
        <v>71</v>
      </c>
      <c r="C2211" s="76" t="n">
        <v>3</v>
      </c>
      <c r="D2211" s="76" t="s">
        <v>92</v>
      </c>
      <c r="E2211" s="76" t="s">
        <v>98</v>
      </c>
      <c r="F2211" s="77" t="s">
        <v>277</v>
      </c>
      <c r="G2211" s="77" t="n">
        <v>4</v>
      </c>
      <c r="H2211" s="77" t="n">
        <v>0</v>
      </c>
      <c r="I2211" s="76" t="n">
        <f aca="false">IF(AND(ISNUMBER(G2211),ISNUMBER(H2211)),MAX(G2211-H2211,0),"")</f>
        <v>4</v>
      </c>
      <c r="J2211" s="78" t="n">
        <f aca="false">IF(AND(ISNUMBER(G2211),ISNUMBER(H2211)),IF(G2211&gt;0,H2211/G2211,""),"")</f>
        <v>0</v>
      </c>
      <c r="K2211" s="77"/>
      <c r="L2211" s="76" t="str">
        <f aca="false">IF(OR(G2211="",H2211=""),"Data tidak lengkap",IF(AND(G2211=0,H2211=0),IF(AND(F2211="",K2211=""),"Tidak dibuka","Tutup"),IF(H2211&gt;G2211,"Lebih kapasitas",IF(H2211=G2211,"Penuh",IF(H2211=0,IF(F2211="","Slot kosong","Belum terisi"),"Sebagian")))))</f>
        <v>Belum terisi</v>
      </c>
      <c r="M2211" s="79" t="str">
        <f aca="false">IF(L2211="Tidak dibuka","–",IF(F2211="","(tanpa age group)",F2211)&amp;"  "&amp;IF(H2211="","?",H2211)&amp;"/"&amp;IF(G2211="","?",G2211)&amp;CHAR(10)&amp;IF(K2211="","coach: –","coach: "&amp;K2211))</f>
        <v>Little  0/4
coach: –</v>
      </c>
    </row>
    <row r="2212" customFormat="false" ht="22.35" hidden="false" customHeight="false" outlineLevel="0" collapsed="false">
      <c r="A2212" s="76" t="str">
        <f aca="false">B2212&amp;"|"&amp;C2212&amp;"|"&amp;D2212&amp;"|"&amp;E2212</f>
        <v>HIB|3|Rabu|10:30</v>
      </c>
      <c r="B2212" s="76" t="s">
        <v>71</v>
      </c>
      <c r="C2212" s="76" t="n">
        <v>3</v>
      </c>
      <c r="D2212" s="76" t="s">
        <v>92</v>
      </c>
      <c r="E2212" s="76" t="s">
        <v>99</v>
      </c>
      <c r="F2212" s="77" t="s">
        <v>277</v>
      </c>
      <c r="G2212" s="77" t="n">
        <v>4</v>
      </c>
      <c r="H2212" s="77" t="n">
        <v>1</v>
      </c>
      <c r="I2212" s="76" t="n">
        <f aca="false">IF(AND(ISNUMBER(G2212),ISNUMBER(H2212)),MAX(G2212-H2212,0),"")</f>
        <v>3</v>
      </c>
      <c r="J2212" s="78" t="n">
        <f aca="false">IF(AND(ISNUMBER(G2212),ISNUMBER(H2212)),IF(G2212&gt;0,H2212/G2212,""),"")</f>
        <v>0.25</v>
      </c>
      <c r="K2212" s="77" t="s">
        <v>486</v>
      </c>
      <c r="L2212" s="76" t="str">
        <f aca="false">IF(OR(G2212="",H2212=""),"Data tidak lengkap",IF(AND(G2212=0,H2212=0),IF(AND(F2212="",K2212=""),"Tidak dibuka","Tutup"),IF(H2212&gt;G2212,"Lebih kapasitas",IF(H2212=G2212,"Penuh",IF(H2212=0,IF(F2212="","Slot kosong","Belum terisi"),"Sebagian")))))</f>
        <v>Sebagian</v>
      </c>
      <c r="M2212" s="79" t="str">
        <f aca="false">IF(L2212="Tidak dibuka","–",IF(F2212="","(tanpa age group)",F2212)&amp;"  "&amp;IF(H2212="","?",H2212)&amp;"/"&amp;IF(G2212="","?",G2212)&amp;CHAR(10)&amp;IF(K2212="","coach: –","coach: "&amp;K2212))</f>
        <v>Little  1/4
coach: Angga</v>
      </c>
    </row>
    <row r="2213" customFormat="false" ht="22.35" hidden="false" customHeight="false" outlineLevel="0" collapsed="false">
      <c r="A2213" s="76" t="str">
        <f aca="false">B2213&amp;"|"&amp;C2213&amp;"|"&amp;D2213&amp;"|"&amp;E2213</f>
        <v>HIB|3|Rabu|11:15</v>
      </c>
      <c r="B2213" s="76" t="s">
        <v>71</v>
      </c>
      <c r="C2213" s="76" t="n">
        <v>3</v>
      </c>
      <c r="D2213" s="76" t="s">
        <v>92</v>
      </c>
      <c r="E2213" s="76" t="s">
        <v>100</v>
      </c>
      <c r="F2213" s="77" t="s">
        <v>277</v>
      </c>
      <c r="G2213" s="77" t="n">
        <v>4</v>
      </c>
      <c r="H2213" s="77" t="n">
        <v>0</v>
      </c>
      <c r="I2213" s="76" t="n">
        <f aca="false">IF(AND(ISNUMBER(G2213),ISNUMBER(H2213)),MAX(G2213-H2213,0),"")</f>
        <v>4</v>
      </c>
      <c r="J2213" s="78" t="n">
        <f aca="false">IF(AND(ISNUMBER(G2213),ISNUMBER(H2213)),IF(G2213&gt;0,H2213/G2213,""),"")</f>
        <v>0</v>
      </c>
      <c r="K2213" s="77"/>
      <c r="L2213" s="76" t="str">
        <f aca="false">IF(OR(G2213="",H2213=""),"Data tidak lengkap",IF(AND(G2213=0,H2213=0),IF(AND(F2213="",K2213=""),"Tidak dibuka","Tutup"),IF(H2213&gt;G2213,"Lebih kapasitas",IF(H2213=G2213,"Penuh",IF(H2213=0,IF(F2213="","Slot kosong","Belum terisi"),"Sebagian")))))</f>
        <v>Belum terisi</v>
      </c>
      <c r="M2213" s="79" t="str">
        <f aca="false">IF(L2213="Tidak dibuka","–",IF(F2213="","(tanpa age group)",F2213)&amp;"  "&amp;IF(H2213="","?",H2213)&amp;"/"&amp;IF(G2213="","?",G2213)&amp;CHAR(10)&amp;IF(K2213="","coach: –","coach: "&amp;K2213))</f>
        <v>Little  0/4
coach: –</v>
      </c>
    </row>
    <row r="2214" customFormat="false" ht="22.35" hidden="false" customHeight="false" outlineLevel="0" collapsed="false">
      <c r="A2214" s="76" t="str">
        <f aca="false">B2214&amp;"|"&amp;C2214&amp;"|"&amp;D2214&amp;"|"&amp;E2214</f>
        <v>HIB|3|Rabu|12:00</v>
      </c>
      <c r="B2214" s="76" t="s">
        <v>71</v>
      </c>
      <c r="C2214" s="76" t="n">
        <v>3</v>
      </c>
      <c r="D2214" s="76" t="s">
        <v>92</v>
      </c>
      <c r="E2214" s="76" t="s">
        <v>101</v>
      </c>
      <c r="F2214" s="77" t="s">
        <v>277</v>
      </c>
      <c r="G2214" s="77" t="n">
        <v>4</v>
      </c>
      <c r="H2214" s="77" t="n">
        <v>0</v>
      </c>
      <c r="I2214" s="76" t="n">
        <f aca="false">IF(AND(ISNUMBER(G2214),ISNUMBER(H2214)),MAX(G2214-H2214,0),"")</f>
        <v>4</v>
      </c>
      <c r="J2214" s="78" t="n">
        <f aca="false">IF(AND(ISNUMBER(G2214),ISNUMBER(H2214)),IF(G2214&gt;0,H2214/G2214,""),"")</f>
        <v>0</v>
      </c>
      <c r="K2214" s="77"/>
      <c r="L2214" s="76" t="str">
        <f aca="false">IF(OR(G2214="",H2214=""),"Data tidak lengkap",IF(AND(G2214=0,H2214=0),IF(AND(F2214="",K2214=""),"Tidak dibuka","Tutup"),IF(H2214&gt;G2214,"Lebih kapasitas",IF(H2214=G2214,"Penuh",IF(H2214=0,IF(F2214="","Slot kosong","Belum terisi"),"Sebagian")))))</f>
        <v>Belum terisi</v>
      </c>
      <c r="M2214" s="79" t="str">
        <f aca="false">IF(L2214="Tidak dibuka","–",IF(F2214="","(tanpa age group)",F2214)&amp;"  "&amp;IF(H2214="","?",H2214)&amp;"/"&amp;IF(G2214="","?",G2214)&amp;CHAR(10)&amp;IF(K2214="","coach: –","coach: "&amp;K2214))</f>
        <v>Little  0/4
coach: –</v>
      </c>
    </row>
    <row r="2215" customFormat="false" ht="22.35" hidden="false" customHeight="false" outlineLevel="0" collapsed="false">
      <c r="A2215" s="76" t="str">
        <f aca="false">B2215&amp;"|"&amp;C2215&amp;"|"&amp;D2215&amp;"|"&amp;E2215</f>
        <v>HIB|3|Rabu|13:30</v>
      </c>
      <c r="B2215" s="76" t="s">
        <v>71</v>
      </c>
      <c r="C2215" s="76" t="n">
        <v>3</v>
      </c>
      <c r="D2215" s="76" t="s">
        <v>92</v>
      </c>
      <c r="E2215" s="76" t="s">
        <v>102</v>
      </c>
      <c r="F2215" s="77" t="s">
        <v>277</v>
      </c>
      <c r="G2215" s="77" t="n">
        <v>4</v>
      </c>
      <c r="H2215" s="77" t="n">
        <v>0</v>
      </c>
      <c r="I2215" s="76" t="n">
        <f aca="false">IF(AND(ISNUMBER(G2215),ISNUMBER(H2215)),MAX(G2215-H2215,0),"")</f>
        <v>4</v>
      </c>
      <c r="J2215" s="78" t="n">
        <f aca="false">IF(AND(ISNUMBER(G2215),ISNUMBER(H2215)),IF(G2215&gt;0,H2215/G2215,""),"")</f>
        <v>0</v>
      </c>
      <c r="K2215" s="77"/>
      <c r="L2215" s="76" t="str">
        <f aca="false">IF(OR(G2215="",H2215=""),"Data tidak lengkap",IF(AND(G2215=0,H2215=0),IF(AND(F2215="",K2215=""),"Tidak dibuka","Tutup"),IF(H2215&gt;G2215,"Lebih kapasitas",IF(H2215=G2215,"Penuh",IF(H2215=0,IF(F2215="","Slot kosong","Belum terisi"),"Sebagian")))))</f>
        <v>Belum terisi</v>
      </c>
      <c r="M2215" s="79" t="str">
        <f aca="false">IF(L2215="Tidak dibuka","–",IF(F2215="","(tanpa age group)",F2215)&amp;"  "&amp;IF(H2215="","?",H2215)&amp;"/"&amp;IF(G2215="","?",G2215)&amp;CHAR(10)&amp;IF(K2215="","coach: –","coach: "&amp;K2215))</f>
        <v>Little  0/4
coach: –</v>
      </c>
    </row>
    <row r="2216" customFormat="false" ht="22.35" hidden="false" customHeight="false" outlineLevel="0" collapsed="false">
      <c r="A2216" s="76" t="str">
        <f aca="false">B2216&amp;"|"&amp;C2216&amp;"|"&amp;D2216&amp;"|"&amp;E2216</f>
        <v>HIB|3|Rabu|14:15</v>
      </c>
      <c r="B2216" s="76" t="s">
        <v>71</v>
      </c>
      <c r="C2216" s="76" t="n">
        <v>3</v>
      </c>
      <c r="D2216" s="76" t="s">
        <v>92</v>
      </c>
      <c r="E2216" s="76" t="s">
        <v>103</v>
      </c>
      <c r="F2216" s="77" t="s">
        <v>277</v>
      </c>
      <c r="G2216" s="77" t="n">
        <v>4</v>
      </c>
      <c r="H2216" s="77" t="n">
        <v>0</v>
      </c>
      <c r="I2216" s="76" t="n">
        <f aca="false">IF(AND(ISNUMBER(G2216),ISNUMBER(H2216)),MAX(G2216-H2216,0),"")</f>
        <v>4</v>
      </c>
      <c r="J2216" s="78" t="n">
        <f aca="false">IF(AND(ISNUMBER(G2216),ISNUMBER(H2216)),IF(G2216&gt;0,H2216/G2216,""),"")</f>
        <v>0</v>
      </c>
      <c r="K2216" s="77"/>
      <c r="L2216" s="76" t="str">
        <f aca="false">IF(OR(G2216="",H2216=""),"Data tidak lengkap",IF(AND(G2216=0,H2216=0),IF(AND(F2216="",K2216=""),"Tidak dibuka","Tutup"),IF(H2216&gt;G2216,"Lebih kapasitas",IF(H2216=G2216,"Penuh",IF(H2216=0,IF(F2216="","Slot kosong","Belum terisi"),"Sebagian")))))</f>
        <v>Belum terisi</v>
      </c>
      <c r="M2216" s="79" t="str">
        <f aca="false">IF(L2216="Tidak dibuka","–",IF(F2216="","(tanpa age group)",F2216)&amp;"  "&amp;IF(H2216="","?",H2216)&amp;"/"&amp;IF(G2216="","?",G2216)&amp;CHAR(10)&amp;IF(K2216="","coach: –","coach: "&amp;K2216))</f>
        <v>Little  0/4
coach: –</v>
      </c>
    </row>
    <row r="2217" customFormat="false" ht="22.35" hidden="false" customHeight="false" outlineLevel="0" collapsed="false">
      <c r="A2217" s="76" t="str">
        <f aca="false">B2217&amp;"|"&amp;C2217&amp;"|"&amp;D2217&amp;"|"&amp;E2217</f>
        <v>HIB|3|Rabu|15:00</v>
      </c>
      <c r="B2217" s="76" t="s">
        <v>71</v>
      </c>
      <c r="C2217" s="76" t="n">
        <v>3</v>
      </c>
      <c r="D2217" s="76" t="s">
        <v>92</v>
      </c>
      <c r="E2217" s="76" t="s">
        <v>104</v>
      </c>
      <c r="F2217" s="77" t="s">
        <v>277</v>
      </c>
      <c r="G2217" s="77" t="n">
        <v>4</v>
      </c>
      <c r="H2217" s="77" t="n">
        <v>2</v>
      </c>
      <c r="I2217" s="76" t="n">
        <f aca="false">IF(AND(ISNUMBER(G2217),ISNUMBER(H2217)),MAX(G2217-H2217,0),"")</f>
        <v>2</v>
      </c>
      <c r="J2217" s="78" t="n">
        <f aca="false">IF(AND(ISNUMBER(G2217),ISNUMBER(H2217)),IF(G2217&gt;0,H2217/G2217,""),"")</f>
        <v>0.5</v>
      </c>
      <c r="K2217" s="77" t="s">
        <v>486</v>
      </c>
      <c r="L2217" s="76" t="str">
        <f aca="false">IF(OR(G2217="",H2217=""),"Data tidak lengkap",IF(AND(G2217=0,H2217=0),IF(AND(F2217="",K2217=""),"Tidak dibuka","Tutup"),IF(H2217&gt;G2217,"Lebih kapasitas",IF(H2217=G2217,"Penuh",IF(H2217=0,IF(F2217="","Slot kosong","Belum terisi"),"Sebagian")))))</f>
        <v>Sebagian</v>
      </c>
      <c r="M2217" s="79" t="str">
        <f aca="false">IF(L2217="Tidak dibuka","–",IF(F2217="","(tanpa age group)",F2217)&amp;"  "&amp;IF(H2217="","?",H2217)&amp;"/"&amp;IF(G2217="","?",G2217)&amp;CHAR(10)&amp;IF(K2217="","coach: –","coach: "&amp;K2217))</f>
        <v>Little  2/4
coach: Angga</v>
      </c>
    </row>
    <row r="2218" customFormat="false" ht="22.35" hidden="false" customHeight="false" outlineLevel="0" collapsed="false">
      <c r="A2218" s="76" t="str">
        <f aca="false">B2218&amp;"|"&amp;C2218&amp;"|"&amp;D2218&amp;"|"&amp;E2218</f>
        <v>HIB|3|Rabu|15:45</v>
      </c>
      <c r="B2218" s="76" t="s">
        <v>71</v>
      </c>
      <c r="C2218" s="76" t="n">
        <v>3</v>
      </c>
      <c r="D2218" s="76" t="s">
        <v>92</v>
      </c>
      <c r="E2218" s="76" t="s">
        <v>105</v>
      </c>
      <c r="F2218" s="77" t="s">
        <v>277</v>
      </c>
      <c r="G2218" s="77" t="n">
        <v>4</v>
      </c>
      <c r="H2218" s="77" t="n">
        <v>1</v>
      </c>
      <c r="I2218" s="76" t="n">
        <f aca="false">IF(AND(ISNUMBER(G2218),ISNUMBER(H2218)),MAX(G2218-H2218,0),"")</f>
        <v>3</v>
      </c>
      <c r="J2218" s="78" t="n">
        <f aca="false">IF(AND(ISNUMBER(G2218),ISNUMBER(H2218)),IF(G2218&gt;0,H2218/G2218,""),"")</f>
        <v>0.25</v>
      </c>
      <c r="K2218" s="77" t="s">
        <v>486</v>
      </c>
      <c r="L2218" s="76" t="str">
        <f aca="false">IF(OR(G2218="",H2218=""),"Data tidak lengkap",IF(AND(G2218=0,H2218=0),IF(AND(F2218="",K2218=""),"Tidak dibuka","Tutup"),IF(H2218&gt;G2218,"Lebih kapasitas",IF(H2218=G2218,"Penuh",IF(H2218=0,IF(F2218="","Slot kosong","Belum terisi"),"Sebagian")))))</f>
        <v>Sebagian</v>
      </c>
      <c r="M2218" s="79" t="str">
        <f aca="false">IF(L2218="Tidak dibuka","–",IF(F2218="","(tanpa age group)",F2218)&amp;"  "&amp;IF(H2218="","?",H2218)&amp;"/"&amp;IF(G2218="","?",G2218)&amp;CHAR(10)&amp;IF(K2218="","coach: –","coach: "&amp;K2218))</f>
        <v>Little  1/4
coach: Angga</v>
      </c>
    </row>
    <row r="2219" customFormat="false" ht="22.35" hidden="false" customHeight="false" outlineLevel="0" collapsed="false">
      <c r="A2219" s="76" t="str">
        <f aca="false">B2219&amp;"|"&amp;C2219&amp;"|"&amp;D2219&amp;"|"&amp;E2219</f>
        <v>HIB|3|Rabu|16:30</v>
      </c>
      <c r="B2219" s="76" t="s">
        <v>71</v>
      </c>
      <c r="C2219" s="76" t="n">
        <v>3</v>
      </c>
      <c r="D2219" s="76" t="s">
        <v>92</v>
      </c>
      <c r="E2219" s="76" t="s">
        <v>106</v>
      </c>
      <c r="F2219" s="77" t="s">
        <v>277</v>
      </c>
      <c r="G2219" s="77" t="n">
        <v>4</v>
      </c>
      <c r="H2219" s="77" t="n">
        <v>0</v>
      </c>
      <c r="I2219" s="76" t="n">
        <f aca="false">IF(AND(ISNUMBER(G2219),ISNUMBER(H2219)),MAX(G2219-H2219,0),"")</f>
        <v>4</v>
      </c>
      <c r="J2219" s="78" t="n">
        <f aca="false">IF(AND(ISNUMBER(G2219),ISNUMBER(H2219)),IF(G2219&gt;0,H2219/G2219,""),"")</f>
        <v>0</v>
      </c>
      <c r="K2219" s="77"/>
      <c r="L2219" s="76" t="str">
        <f aca="false">IF(OR(G2219="",H2219=""),"Data tidak lengkap",IF(AND(G2219=0,H2219=0),IF(AND(F2219="",K2219=""),"Tidak dibuka","Tutup"),IF(H2219&gt;G2219,"Lebih kapasitas",IF(H2219=G2219,"Penuh",IF(H2219=0,IF(F2219="","Slot kosong","Belum terisi"),"Sebagian")))))</f>
        <v>Belum terisi</v>
      </c>
      <c r="M2219" s="79" t="str">
        <f aca="false">IF(L2219="Tidak dibuka","–",IF(F2219="","(tanpa age group)",F2219)&amp;"  "&amp;IF(H2219="","?",H2219)&amp;"/"&amp;IF(G2219="","?",G2219)&amp;CHAR(10)&amp;IF(K2219="","coach: –","coach: "&amp;K2219))</f>
        <v>Little  0/4
coach: –</v>
      </c>
    </row>
    <row r="2220" customFormat="false" ht="22.35" hidden="false" customHeight="false" outlineLevel="0" collapsed="false">
      <c r="A2220" s="76" t="str">
        <f aca="false">B2220&amp;"|"&amp;C2220&amp;"|"&amp;D2220&amp;"|"&amp;E2220</f>
        <v>HIB|3|Rabu|17:15</v>
      </c>
      <c r="B2220" s="76" t="s">
        <v>71</v>
      </c>
      <c r="C2220" s="76" t="n">
        <v>3</v>
      </c>
      <c r="D2220" s="76" t="s">
        <v>92</v>
      </c>
      <c r="E2220" s="76" t="s">
        <v>107</v>
      </c>
      <c r="F2220" s="77" t="s">
        <v>277</v>
      </c>
      <c r="G2220" s="77" t="n">
        <v>4</v>
      </c>
      <c r="H2220" s="77" t="n">
        <v>0</v>
      </c>
      <c r="I2220" s="76" t="n">
        <f aca="false">IF(AND(ISNUMBER(G2220),ISNUMBER(H2220)),MAX(G2220-H2220,0),"")</f>
        <v>4</v>
      </c>
      <c r="J2220" s="78" t="n">
        <f aca="false">IF(AND(ISNUMBER(G2220),ISNUMBER(H2220)),IF(G2220&gt;0,H2220/G2220,""),"")</f>
        <v>0</v>
      </c>
      <c r="K2220" s="77"/>
      <c r="L2220" s="76" t="str">
        <f aca="false">IF(OR(G2220="",H2220=""),"Data tidak lengkap",IF(AND(G2220=0,H2220=0),IF(AND(F2220="",K2220=""),"Tidak dibuka","Tutup"),IF(H2220&gt;G2220,"Lebih kapasitas",IF(H2220=G2220,"Penuh",IF(H2220=0,IF(F2220="","Slot kosong","Belum terisi"),"Sebagian")))))</f>
        <v>Belum terisi</v>
      </c>
      <c r="M2220" s="79" t="str">
        <f aca="false">IF(L2220="Tidak dibuka","–",IF(F2220="","(tanpa age group)",F2220)&amp;"  "&amp;IF(H2220="","?",H2220)&amp;"/"&amp;IF(G2220="","?",G2220)&amp;CHAR(10)&amp;IF(K2220="","coach: –","coach: "&amp;K2220))</f>
        <v>Little  0/4
coach: –</v>
      </c>
    </row>
    <row r="2221" customFormat="false" ht="22.35" hidden="false" customHeight="false" outlineLevel="0" collapsed="false">
      <c r="A2221" s="76" t="str">
        <f aca="false">B2221&amp;"|"&amp;C2221&amp;"|"&amp;D2221&amp;"|"&amp;E2221</f>
        <v>HIB|3|Kamis|08:15</v>
      </c>
      <c r="B2221" s="76" t="s">
        <v>71</v>
      </c>
      <c r="C2221" s="76" t="n">
        <v>3</v>
      </c>
      <c r="D2221" s="76" t="s">
        <v>93</v>
      </c>
      <c r="E2221" s="76" t="s">
        <v>96</v>
      </c>
      <c r="F2221" s="77" t="s">
        <v>277</v>
      </c>
      <c r="G2221" s="77" t="n">
        <v>4</v>
      </c>
      <c r="H2221" s="77" t="n">
        <v>0</v>
      </c>
      <c r="I2221" s="76" t="n">
        <f aca="false">IF(AND(ISNUMBER(G2221),ISNUMBER(H2221)),MAX(G2221-H2221,0),"")</f>
        <v>4</v>
      </c>
      <c r="J2221" s="78" t="n">
        <f aca="false">IF(AND(ISNUMBER(G2221),ISNUMBER(H2221)),IF(G2221&gt;0,H2221/G2221,""),"")</f>
        <v>0</v>
      </c>
      <c r="K2221" s="77"/>
      <c r="L2221" s="76" t="str">
        <f aca="false">IF(OR(G2221="",H2221=""),"Data tidak lengkap",IF(AND(G2221=0,H2221=0),IF(AND(F2221="",K2221=""),"Tidak dibuka","Tutup"),IF(H2221&gt;G2221,"Lebih kapasitas",IF(H2221=G2221,"Penuh",IF(H2221=0,IF(F2221="","Slot kosong","Belum terisi"),"Sebagian")))))</f>
        <v>Belum terisi</v>
      </c>
      <c r="M2221" s="79" t="str">
        <f aca="false">IF(L2221="Tidak dibuka","–",IF(F2221="","(tanpa age group)",F2221)&amp;"  "&amp;IF(H2221="","?",H2221)&amp;"/"&amp;IF(G2221="","?",G2221)&amp;CHAR(10)&amp;IF(K2221="","coach: –","coach: "&amp;K2221))</f>
        <v>Little  0/4
coach: –</v>
      </c>
    </row>
    <row r="2222" customFormat="false" ht="22.35" hidden="false" customHeight="false" outlineLevel="0" collapsed="false">
      <c r="A2222" s="76" t="str">
        <f aca="false">B2222&amp;"|"&amp;C2222&amp;"|"&amp;D2222&amp;"|"&amp;E2222</f>
        <v>HIB|3|Kamis|09:00</v>
      </c>
      <c r="B2222" s="76" t="s">
        <v>71</v>
      </c>
      <c r="C2222" s="76" t="n">
        <v>3</v>
      </c>
      <c r="D2222" s="76" t="s">
        <v>93</v>
      </c>
      <c r="E2222" s="76" t="s">
        <v>97</v>
      </c>
      <c r="F2222" s="77" t="s">
        <v>277</v>
      </c>
      <c r="G2222" s="77" t="n">
        <v>4</v>
      </c>
      <c r="H2222" s="77" t="n">
        <v>0</v>
      </c>
      <c r="I2222" s="76" t="n">
        <f aca="false">IF(AND(ISNUMBER(G2222),ISNUMBER(H2222)),MAX(G2222-H2222,0),"")</f>
        <v>4</v>
      </c>
      <c r="J2222" s="78" t="n">
        <f aca="false">IF(AND(ISNUMBER(G2222),ISNUMBER(H2222)),IF(G2222&gt;0,H2222/G2222,""),"")</f>
        <v>0</v>
      </c>
      <c r="K2222" s="77"/>
      <c r="L2222" s="76" t="str">
        <f aca="false">IF(OR(G2222="",H2222=""),"Data tidak lengkap",IF(AND(G2222=0,H2222=0),IF(AND(F2222="",K2222=""),"Tidak dibuka","Tutup"),IF(H2222&gt;G2222,"Lebih kapasitas",IF(H2222=G2222,"Penuh",IF(H2222=0,IF(F2222="","Slot kosong","Belum terisi"),"Sebagian")))))</f>
        <v>Belum terisi</v>
      </c>
      <c r="M2222" s="79" t="str">
        <f aca="false">IF(L2222="Tidak dibuka","–",IF(F2222="","(tanpa age group)",F2222)&amp;"  "&amp;IF(H2222="","?",H2222)&amp;"/"&amp;IF(G2222="","?",G2222)&amp;CHAR(10)&amp;IF(K2222="","coach: –","coach: "&amp;K2222))</f>
        <v>Little  0/4
coach: –</v>
      </c>
    </row>
    <row r="2223" customFormat="false" ht="22.35" hidden="false" customHeight="false" outlineLevel="0" collapsed="false">
      <c r="A2223" s="76" t="str">
        <f aca="false">B2223&amp;"|"&amp;C2223&amp;"|"&amp;D2223&amp;"|"&amp;E2223</f>
        <v>HIB|3|Kamis|09:45</v>
      </c>
      <c r="B2223" s="76" t="s">
        <v>71</v>
      </c>
      <c r="C2223" s="76" t="n">
        <v>3</v>
      </c>
      <c r="D2223" s="76" t="s">
        <v>93</v>
      </c>
      <c r="E2223" s="76" t="s">
        <v>98</v>
      </c>
      <c r="F2223" s="77" t="s">
        <v>277</v>
      </c>
      <c r="G2223" s="77" t="n">
        <v>4</v>
      </c>
      <c r="H2223" s="77" t="n">
        <v>3</v>
      </c>
      <c r="I2223" s="76" t="n">
        <f aca="false">IF(AND(ISNUMBER(G2223),ISNUMBER(H2223)),MAX(G2223-H2223,0),"")</f>
        <v>1</v>
      </c>
      <c r="J2223" s="78" t="n">
        <f aca="false">IF(AND(ISNUMBER(G2223),ISNUMBER(H2223)),IF(G2223&gt;0,H2223/G2223,""),"")</f>
        <v>0.75</v>
      </c>
      <c r="K2223" s="77" t="s">
        <v>483</v>
      </c>
      <c r="L2223" s="76" t="str">
        <f aca="false">IF(OR(G2223="",H2223=""),"Data tidak lengkap",IF(AND(G2223=0,H2223=0),IF(AND(F2223="",K2223=""),"Tidak dibuka","Tutup"),IF(H2223&gt;G2223,"Lebih kapasitas",IF(H2223=G2223,"Penuh",IF(H2223=0,IF(F2223="","Slot kosong","Belum terisi"),"Sebagian")))))</f>
        <v>Sebagian</v>
      </c>
      <c r="M2223" s="79" t="str">
        <f aca="false">IF(L2223="Tidak dibuka","–",IF(F2223="","(tanpa age group)",F2223)&amp;"  "&amp;IF(H2223="","?",H2223)&amp;"/"&amp;IF(G2223="","?",G2223)&amp;CHAR(10)&amp;IF(K2223="","coach: –","coach: "&amp;K2223))</f>
        <v>Little  3/4
coach: Juan</v>
      </c>
    </row>
    <row r="2224" customFormat="false" ht="22.35" hidden="false" customHeight="false" outlineLevel="0" collapsed="false">
      <c r="A2224" s="76" t="str">
        <f aca="false">B2224&amp;"|"&amp;C2224&amp;"|"&amp;D2224&amp;"|"&amp;E2224</f>
        <v>HIB|3|Kamis|10:30</v>
      </c>
      <c r="B2224" s="76" t="s">
        <v>71</v>
      </c>
      <c r="C2224" s="76" t="n">
        <v>3</v>
      </c>
      <c r="D2224" s="76" t="s">
        <v>93</v>
      </c>
      <c r="E2224" s="76" t="s">
        <v>99</v>
      </c>
      <c r="F2224" s="77" t="s">
        <v>277</v>
      </c>
      <c r="G2224" s="77" t="n">
        <v>4</v>
      </c>
      <c r="H2224" s="77" t="n">
        <v>1</v>
      </c>
      <c r="I2224" s="76" t="n">
        <f aca="false">IF(AND(ISNUMBER(G2224),ISNUMBER(H2224)),MAX(G2224-H2224,0),"")</f>
        <v>3</v>
      </c>
      <c r="J2224" s="78" t="n">
        <f aca="false">IF(AND(ISNUMBER(G2224),ISNUMBER(H2224)),IF(G2224&gt;0,H2224/G2224,""),"")</f>
        <v>0.25</v>
      </c>
      <c r="K2224" s="77" t="s">
        <v>483</v>
      </c>
      <c r="L2224" s="76" t="str">
        <f aca="false">IF(OR(G2224="",H2224=""),"Data tidak lengkap",IF(AND(G2224=0,H2224=0),IF(AND(F2224="",K2224=""),"Tidak dibuka","Tutup"),IF(H2224&gt;G2224,"Lebih kapasitas",IF(H2224=G2224,"Penuh",IF(H2224=0,IF(F2224="","Slot kosong","Belum terisi"),"Sebagian")))))</f>
        <v>Sebagian</v>
      </c>
      <c r="M2224" s="79" t="str">
        <f aca="false">IF(L2224="Tidak dibuka","–",IF(F2224="","(tanpa age group)",F2224)&amp;"  "&amp;IF(H2224="","?",H2224)&amp;"/"&amp;IF(G2224="","?",G2224)&amp;CHAR(10)&amp;IF(K2224="","coach: –","coach: "&amp;K2224))</f>
        <v>Little  1/4
coach: Juan</v>
      </c>
    </row>
    <row r="2225" customFormat="false" ht="22.35" hidden="false" customHeight="false" outlineLevel="0" collapsed="false">
      <c r="A2225" s="76" t="str">
        <f aca="false">B2225&amp;"|"&amp;C2225&amp;"|"&amp;D2225&amp;"|"&amp;E2225</f>
        <v>HIB|3|Kamis|11:15</v>
      </c>
      <c r="B2225" s="76" t="s">
        <v>71</v>
      </c>
      <c r="C2225" s="76" t="n">
        <v>3</v>
      </c>
      <c r="D2225" s="76" t="s">
        <v>93</v>
      </c>
      <c r="E2225" s="76" t="s">
        <v>100</v>
      </c>
      <c r="F2225" s="77" t="s">
        <v>277</v>
      </c>
      <c r="G2225" s="77" t="n">
        <v>4</v>
      </c>
      <c r="H2225" s="77" t="n">
        <v>1</v>
      </c>
      <c r="I2225" s="76" t="n">
        <f aca="false">IF(AND(ISNUMBER(G2225),ISNUMBER(H2225)),MAX(G2225-H2225,0),"")</f>
        <v>3</v>
      </c>
      <c r="J2225" s="78" t="n">
        <f aca="false">IF(AND(ISNUMBER(G2225),ISNUMBER(H2225)),IF(G2225&gt;0,H2225/G2225,""),"")</f>
        <v>0.25</v>
      </c>
      <c r="K2225" s="77" t="s">
        <v>483</v>
      </c>
      <c r="L2225" s="76" t="str">
        <f aca="false">IF(OR(G2225="",H2225=""),"Data tidak lengkap",IF(AND(G2225=0,H2225=0),IF(AND(F2225="",K2225=""),"Tidak dibuka","Tutup"),IF(H2225&gt;G2225,"Lebih kapasitas",IF(H2225=G2225,"Penuh",IF(H2225=0,IF(F2225="","Slot kosong","Belum terisi"),"Sebagian")))))</f>
        <v>Sebagian</v>
      </c>
      <c r="M2225" s="79" t="str">
        <f aca="false">IF(L2225="Tidak dibuka","–",IF(F2225="","(tanpa age group)",F2225)&amp;"  "&amp;IF(H2225="","?",H2225)&amp;"/"&amp;IF(G2225="","?",G2225)&amp;CHAR(10)&amp;IF(K2225="","coach: –","coach: "&amp;K2225))</f>
        <v>Little  1/4
coach: Juan</v>
      </c>
    </row>
    <row r="2226" customFormat="false" ht="22.35" hidden="false" customHeight="false" outlineLevel="0" collapsed="false">
      <c r="A2226" s="76" t="str">
        <f aca="false">B2226&amp;"|"&amp;C2226&amp;"|"&amp;D2226&amp;"|"&amp;E2226</f>
        <v>HIB|3|Kamis|12:00</v>
      </c>
      <c r="B2226" s="76" t="s">
        <v>71</v>
      </c>
      <c r="C2226" s="76" t="n">
        <v>3</v>
      </c>
      <c r="D2226" s="76" t="s">
        <v>93</v>
      </c>
      <c r="E2226" s="76" t="s">
        <v>101</v>
      </c>
      <c r="F2226" s="77" t="s">
        <v>277</v>
      </c>
      <c r="G2226" s="77" t="n">
        <v>4</v>
      </c>
      <c r="H2226" s="77" t="n">
        <v>0</v>
      </c>
      <c r="I2226" s="76" t="n">
        <f aca="false">IF(AND(ISNUMBER(G2226),ISNUMBER(H2226)),MAX(G2226-H2226,0),"")</f>
        <v>4</v>
      </c>
      <c r="J2226" s="78" t="n">
        <f aca="false">IF(AND(ISNUMBER(G2226),ISNUMBER(H2226)),IF(G2226&gt;0,H2226/G2226,""),"")</f>
        <v>0</v>
      </c>
      <c r="K2226" s="77"/>
      <c r="L2226" s="76" t="str">
        <f aca="false">IF(OR(G2226="",H2226=""),"Data tidak lengkap",IF(AND(G2226=0,H2226=0),IF(AND(F2226="",K2226=""),"Tidak dibuka","Tutup"),IF(H2226&gt;G2226,"Lebih kapasitas",IF(H2226=G2226,"Penuh",IF(H2226=0,IF(F2226="","Slot kosong","Belum terisi"),"Sebagian")))))</f>
        <v>Belum terisi</v>
      </c>
      <c r="M2226" s="79" t="str">
        <f aca="false">IF(L2226="Tidak dibuka","–",IF(F2226="","(tanpa age group)",F2226)&amp;"  "&amp;IF(H2226="","?",H2226)&amp;"/"&amp;IF(G2226="","?",G2226)&amp;CHAR(10)&amp;IF(K2226="","coach: –","coach: "&amp;K2226))</f>
        <v>Little  0/4
coach: –</v>
      </c>
    </row>
    <row r="2227" customFormat="false" ht="22.35" hidden="false" customHeight="false" outlineLevel="0" collapsed="false">
      <c r="A2227" s="76" t="str">
        <f aca="false">B2227&amp;"|"&amp;C2227&amp;"|"&amp;D2227&amp;"|"&amp;E2227</f>
        <v>HIB|3|Kamis|13:30</v>
      </c>
      <c r="B2227" s="76" t="s">
        <v>71</v>
      </c>
      <c r="C2227" s="76" t="n">
        <v>3</v>
      </c>
      <c r="D2227" s="76" t="s">
        <v>93</v>
      </c>
      <c r="E2227" s="76" t="s">
        <v>102</v>
      </c>
      <c r="F2227" s="77" t="s">
        <v>277</v>
      </c>
      <c r="G2227" s="77" t="n">
        <v>4</v>
      </c>
      <c r="H2227" s="77" t="n">
        <v>0</v>
      </c>
      <c r="I2227" s="76" t="n">
        <f aca="false">IF(AND(ISNUMBER(G2227),ISNUMBER(H2227)),MAX(G2227-H2227,0),"")</f>
        <v>4</v>
      </c>
      <c r="J2227" s="78" t="n">
        <f aca="false">IF(AND(ISNUMBER(G2227),ISNUMBER(H2227)),IF(G2227&gt;0,H2227/G2227,""),"")</f>
        <v>0</v>
      </c>
      <c r="K2227" s="77"/>
      <c r="L2227" s="76" t="str">
        <f aca="false">IF(OR(G2227="",H2227=""),"Data tidak lengkap",IF(AND(G2227=0,H2227=0),IF(AND(F2227="",K2227=""),"Tidak dibuka","Tutup"),IF(H2227&gt;G2227,"Lebih kapasitas",IF(H2227=G2227,"Penuh",IF(H2227=0,IF(F2227="","Slot kosong","Belum terisi"),"Sebagian")))))</f>
        <v>Belum terisi</v>
      </c>
      <c r="M2227" s="79" t="str">
        <f aca="false">IF(L2227="Tidak dibuka","–",IF(F2227="","(tanpa age group)",F2227)&amp;"  "&amp;IF(H2227="","?",H2227)&amp;"/"&amp;IF(G2227="","?",G2227)&amp;CHAR(10)&amp;IF(K2227="","coach: –","coach: "&amp;K2227))</f>
        <v>Little  0/4
coach: –</v>
      </c>
    </row>
    <row r="2228" customFormat="false" ht="22.35" hidden="false" customHeight="false" outlineLevel="0" collapsed="false">
      <c r="A2228" s="76" t="str">
        <f aca="false">B2228&amp;"|"&amp;C2228&amp;"|"&amp;D2228&amp;"|"&amp;E2228</f>
        <v>HIB|3|Kamis|14:15</v>
      </c>
      <c r="B2228" s="76" t="s">
        <v>71</v>
      </c>
      <c r="C2228" s="76" t="n">
        <v>3</v>
      </c>
      <c r="D2228" s="76" t="s">
        <v>93</v>
      </c>
      <c r="E2228" s="76" t="s">
        <v>103</v>
      </c>
      <c r="F2228" s="77" t="s">
        <v>277</v>
      </c>
      <c r="G2228" s="77" t="n">
        <v>4</v>
      </c>
      <c r="H2228" s="77" t="n">
        <v>0</v>
      </c>
      <c r="I2228" s="76" t="n">
        <f aca="false">IF(AND(ISNUMBER(G2228),ISNUMBER(H2228)),MAX(G2228-H2228,0),"")</f>
        <v>4</v>
      </c>
      <c r="J2228" s="78" t="n">
        <f aca="false">IF(AND(ISNUMBER(G2228),ISNUMBER(H2228)),IF(G2228&gt;0,H2228/G2228,""),"")</f>
        <v>0</v>
      </c>
      <c r="K2228" s="77"/>
      <c r="L2228" s="76" t="str">
        <f aca="false">IF(OR(G2228="",H2228=""),"Data tidak lengkap",IF(AND(G2228=0,H2228=0),IF(AND(F2228="",K2228=""),"Tidak dibuka","Tutup"),IF(H2228&gt;G2228,"Lebih kapasitas",IF(H2228=G2228,"Penuh",IF(H2228=0,IF(F2228="","Slot kosong","Belum terisi"),"Sebagian")))))</f>
        <v>Belum terisi</v>
      </c>
      <c r="M2228" s="79" t="str">
        <f aca="false">IF(L2228="Tidak dibuka","–",IF(F2228="","(tanpa age group)",F2228)&amp;"  "&amp;IF(H2228="","?",H2228)&amp;"/"&amp;IF(G2228="","?",G2228)&amp;CHAR(10)&amp;IF(K2228="","coach: –","coach: "&amp;K2228))</f>
        <v>Little  0/4
coach: –</v>
      </c>
    </row>
    <row r="2229" customFormat="false" ht="22.35" hidden="false" customHeight="false" outlineLevel="0" collapsed="false">
      <c r="A2229" s="76" t="str">
        <f aca="false">B2229&amp;"|"&amp;C2229&amp;"|"&amp;D2229&amp;"|"&amp;E2229</f>
        <v>HIB|3|Kamis|15:00</v>
      </c>
      <c r="B2229" s="76" t="s">
        <v>71</v>
      </c>
      <c r="C2229" s="76" t="n">
        <v>3</v>
      </c>
      <c r="D2229" s="76" t="s">
        <v>93</v>
      </c>
      <c r="E2229" s="76" t="s">
        <v>104</v>
      </c>
      <c r="F2229" s="77" t="s">
        <v>277</v>
      </c>
      <c r="G2229" s="77" t="n">
        <v>4</v>
      </c>
      <c r="H2229" s="77" t="n">
        <v>0</v>
      </c>
      <c r="I2229" s="76" t="n">
        <f aca="false">IF(AND(ISNUMBER(G2229),ISNUMBER(H2229)),MAX(G2229-H2229,0),"")</f>
        <v>4</v>
      </c>
      <c r="J2229" s="78" t="n">
        <f aca="false">IF(AND(ISNUMBER(G2229),ISNUMBER(H2229)),IF(G2229&gt;0,H2229/G2229,""),"")</f>
        <v>0</v>
      </c>
      <c r="K2229" s="77"/>
      <c r="L2229" s="76" t="str">
        <f aca="false">IF(OR(G2229="",H2229=""),"Data tidak lengkap",IF(AND(G2229=0,H2229=0),IF(AND(F2229="",K2229=""),"Tidak dibuka","Tutup"),IF(H2229&gt;G2229,"Lebih kapasitas",IF(H2229=G2229,"Penuh",IF(H2229=0,IF(F2229="","Slot kosong","Belum terisi"),"Sebagian")))))</f>
        <v>Belum terisi</v>
      </c>
      <c r="M2229" s="79" t="str">
        <f aca="false">IF(L2229="Tidak dibuka","–",IF(F2229="","(tanpa age group)",F2229)&amp;"  "&amp;IF(H2229="","?",H2229)&amp;"/"&amp;IF(G2229="","?",G2229)&amp;CHAR(10)&amp;IF(K2229="","coach: –","coach: "&amp;K2229))</f>
        <v>Little  0/4
coach: –</v>
      </c>
    </row>
    <row r="2230" customFormat="false" ht="22.35" hidden="false" customHeight="false" outlineLevel="0" collapsed="false">
      <c r="A2230" s="76" t="str">
        <f aca="false">B2230&amp;"|"&amp;C2230&amp;"|"&amp;D2230&amp;"|"&amp;E2230</f>
        <v>HIB|3|Kamis|15:45</v>
      </c>
      <c r="B2230" s="76" t="s">
        <v>71</v>
      </c>
      <c r="C2230" s="76" t="n">
        <v>3</v>
      </c>
      <c r="D2230" s="76" t="s">
        <v>93</v>
      </c>
      <c r="E2230" s="76" t="s">
        <v>105</v>
      </c>
      <c r="F2230" s="77" t="s">
        <v>277</v>
      </c>
      <c r="G2230" s="77" t="n">
        <v>4</v>
      </c>
      <c r="H2230" s="77" t="n">
        <v>1</v>
      </c>
      <c r="I2230" s="76" t="n">
        <f aca="false">IF(AND(ISNUMBER(G2230),ISNUMBER(H2230)),MAX(G2230-H2230,0),"")</f>
        <v>3</v>
      </c>
      <c r="J2230" s="78" t="n">
        <f aca="false">IF(AND(ISNUMBER(G2230),ISNUMBER(H2230)),IF(G2230&gt;0,H2230/G2230,""),"")</f>
        <v>0.25</v>
      </c>
      <c r="K2230" s="77" t="s">
        <v>488</v>
      </c>
      <c r="L2230" s="76" t="str">
        <f aca="false">IF(OR(G2230="",H2230=""),"Data tidak lengkap",IF(AND(G2230=0,H2230=0),IF(AND(F2230="",K2230=""),"Tidak dibuka","Tutup"),IF(H2230&gt;G2230,"Lebih kapasitas",IF(H2230=G2230,"Penuh",IF(H2230=0,IF(F2230="","Slot kosong","Belum terisi"),"Sebagian")))))</f>
        <v>Sebagian</v>
      </c>
      <c r="M2230" s="79" t="str">
        <f aca="false">IF(L2230="Tidak dibuka","–",IF(F2230="","(tanpa age group)",F2230)&amp;"  "&amp;IF(H2230="","?",H2230)&amp;"/"&amp;IF(G2230="","?",G2230)&amp;CHAR(10)&amp;IF(K2230="","coach: –","coach: "&amp;K2230))</f>
        <v>Little  1/4
coach: Indra</v>
      </c>
    </row>
    <row r="2231" customFormat="false" ht="22.35" hidden="false" customHeight="false" outlineLevel="0" collapsed="false">
      <c r="A2231" s="76" t="str">
        <f aca="false">B2231&amp;"|"&amp;C2231&amp;"|"&amp;D2231&amp;"|"&amp;E2231</f>
        <v>HIB|3|Kamis|16:30</v>
      </c>
      <c r="B2231" s="76" t="s">
        <v>71</v>
      </c>
      <c r="C2231" s="76" t="n">
        <v>3</v>
      </c>
      <c r="D2231" s="76" t="s">
        <v>93</v>
      </c>
      <c r="E2231" s="76" t="s">
        <v>106</v>
      </c>
      <c r="F2231" s="77" t="s">
        <v>277</v>
      </c>
      <c r="G2231" s="77" t="n">
        <v>4</v>
      </c>
      <c r="H2231" s="77" t="n">
        <v>0</v>
      </c>
      <c r="I2231" s="76" t="n">
        <f aca="false">IF(AND(ISNUMBER(G2231),ISNUMBER(H2231)),MAX(G2231-H2231,0),"")</f>
        <v>4</v>
      </c>
      <c r="J2231" s="78" t="n">
        <f aca="false">IF(AND(ISNUMBER(G2231),ISNUMBER(H2231)),IF(G2231&gt;0,H2231/G2231,""),"")</f>
        <v>0</v>
      </c>
      <c r="K2231" s="77"/>
      <c r="L2231" s="76" t="str">
        <f aca="false">IF(OR(G2231="",H2231=""),"Data tidak lengkap",IF(AND(G2231=0,H2231=0),IF(AND(F2231="",K2231=""),"Tidak dibuka","Tutup"),IF(H2231&gt;G2231,"Lebih kapasitas",IF(H2231=G2231,"Penuh",IF(H2231=0,IF(F2231="","Slot kosong","Belum terisi"),"Sebagian")))))</f>
        <v>Belum terisi</v>
      </c>
      <c r="M2231" s="79" t="str">
        <f aca="false">IF(L2231="Tidak dibuka","–",IF(F2231="","(tanpa age group)",F2231)&amp;"  "&amp;IF(H2231="","?",H2231)&amp;"/"&amp;IF(G2231="","?",G2231)&amp;CHAR(10)&amp;IF(K2231="","coach: –","coach: "&amp;K2231))</f>
        <v>Little  0/4
coach: –</v>
      </c>
    </row>
    <row r="2232" customFormat="false" ht="22.35" hidden="false" customHeight="false" outlineLevel="0" collapsed="false">
      <c r="A2232" s="76" t="str">
        <f aca="false">B2232&amp;"|"&amp;C2232&amp;"|"&amp;D2232&amp;"|"&amp;E2232</f>
        <v>HIB|3|Kamis|17:15</v>
      </c>
      <c r="B2232" s="76" t="s">
        <v>71</v>
      </c>
      <c r="C2232" s="76" t="n">
        <v>3</v>
      </c>
      <c r="D2232" s="76" t="s">
        <v>93</v>
      </c>
      <c r="E2232" s="76" t="s">
        <v>107</v>
      </c>
      <c r="F2232" s="77" t="s">
        <v>277</v>
      </c>
      <c r="G2232" s="77" t="n">
        <v>4</v>
      </c>
      <c r="H2232" s="77" t="n">
        <v>0</v>
      </c>
      <c r="I2232" s="76" t="n">
        <f aca="false">IF(AND(ISNUMBER(G2232),ISNUMBER(H2232)),MAX(G2232-H2232,0),"")</f>
        <v>4</v>
      </c>
      <c r="J2232" s="78" t="n">
        <f aca="false">IF(AND(ISNUMBER(G2232),ISNUMBER(H2232)),IF(G2232&gt;0,H2232/G2232,""),"")</f>
        <v>0</v>
      </c>
      <c r="K2232" s="77"/>
      <c r="L2232" s="76" t="str">
        <f aca="false">IF(OR(G2232="",H2232=""),"Data tidak lengkap",IF(AND(G2232=0,H2232=0),IF(AND(F2232="",K2232=""),"Tidak dibuka","Tutup"),IF(H2232&gt;G2232,"Lebih kapasitas",IF(H2232=G2232,"Penuh",IF(H2232=0,IF(F2232="","Slot kosong","Belum terisi"),"Sebagian")))))</f>
        <v>Belum terisi</v>
      </c>
      <c r="M2232" s="79" t="str">
        <f aca="false">IF(L2232="Tidak dibuka","–",IF(F2232="","(tanpa age group)",F2232)&amp;"  "&amp;IF(H2232="","?",H2232)&amp;"/"&amp;IF(G2232="","?",G2232)&amp;CHAR(10)&amp;IF(K2232="","coach: –","coach: "&amp;K2232))</f>
        <v>Little  0/4
coach: –</v>
      </c>
    </row>
    <row r="2233" customFormat="false" ht="22.35" hidden="false" customHeight="false" outlineLevel="0" collapsed="false">
      <c r="A2233" s="76" t="str">
        <f aca="false">B2233&amp;"|"&amp;C2233&amp;"|"&amp;D2233&amp;"|"&amp;E2233</f>
        <v>HIB|3|Jumat|08:15</v>
      </c>
      <c r="B2233" s="76" t="s">
        <v>71</v>
      </c>
      <c r="C2233" s="76" t="n">
        <v>3</v>
      </c>
      <c r="D2233" s="76" t="s">
        <v>94</v>
      </c>
      <c r="E2233" s="76" t="s">
        <v>96</v>
      </c>
      <c r="F2233" s="77" t="s">
        <v>277</v>
      </c>
      <c r="G2233" s="77" t="n">
        <v>4</v>
      </c>
      <c r="H2233" s="77" t="n">
        <v>0</v>
      </c>
      <c r="I2233" s="76" t="n">
        <f aca="false">IF(AND(ISNUMBER(G2233),ISNUMBER(H2233)),MAX(G2233-H2233,0),"")</f>
        <v>4</v>
      </c>
      <c r="J2233" s="78" t="n">
        <f aca="false">IF(AND(ISNUMBER(G2233),ISNUMBER(H2233)),IF(G2233&gt;0,H2233/G2233,""),"")</f>
        <v>0</v>
      </c>
      <c r="K2233" s="77"/>
      <c r="L2233" s="76" t="str">
        <f aca="false">IF(OR(G2233="",H2233=""),"Data tidak lengkap",IF(AND(G2233=0,H2233=0),IF(AND(F2233="",K2233=""),"Tidak dibuka","Tutup"),IF(H2233&gt;G2233,"Lebih kapasitas",IF(H2233=G2233,"Penuh",IF(H2233=0,IF(F2233="","Slot kosong","Belum terisi"),"Sebagian")))))</f>
        <v>Belum terisi</v>
      </c>
      <c r="M2233" s="79" t="str">
        <f aca="false">IF(L2233="Tidak dibuka","–",IF(F2233="","(tanpa age group)",F2233)&amp;"  "&amp;IF(H2233="","?",H2233)&amp;"/"&amp;IF(G2233="","?",G2233)&amp;CHAR(10)&amp;IF(K2233="","coach: –","coach: "&amp;K2233))</f>
        <v>Little  0/4
coach: –</v>
      </c>
    </row>
    <row r="2234" customFormat="false" ht="22.35" hidden="false" customHeight="false" outlineLevel="0" collapsed="false">
      <c r="A2234" s="76" t="str">
        <f aca="false">B2234&amp;"|"&amp;C2234&amp;"|"&amp;D2234&amp;"|"&amp;E2234</f>
        <v>HIB|3|Jumat|09:00</v>
      </c>
      <c r="B2234" s="76" t="s">
        <v>71</v>
      </c>
      <c r="C2234" s="76" t="n">
        <v>3</v>
      </c>
      <c r="D2234" s="76" t="s">
        <v>94</v>
      </c>
      <c r="E2234" s="76" t="s">
        <v>97</v>
      </c>
      <c r="F2234" s="77" t="s">
        <v>277</v>
      </c>
      <c r="G2234" s="77" t="n">
        <v>4</v>
      </c>
      <c r="H2234" s="77" t="n">
        <v>0</v>
      </c>
      <c r="I2234" s="76" t="n">
        <f aca="false">IF(AND(ISNUMBER(G2234),ISNUMBER(H2234)),MAX(G2234-H2234,0),"")</f>
        <v>4</v>
      </c>
      <c r="J2234" s="78" t="n">
        <f aca="false">IF(AND(ISNUMBER(G2234),ISNUMBER(H2234)),IF(G2234&gt;0,H2234/G2234,""),"")</f>
        <v>0</v>
      </c>
      <c r="K2234" s="77"/>
      <c r="L2234" s="76" t="str">
        <f aca="false">IF(OR(G2234="",H2234=""),"Data tidak lengkap",IF(AND(G2234=0,H2234=0),IF(AND(F2234="",K2234=""),"Tidak dibuka","Tutup"),IF(H2234&gt;G2234,"Lebih kapasitas",IF(H2234=G2234,"Penuh",IF(H2234=0,IF(F2234="","Slot kosong","Belum terisi"),"Sebagian")))))</f>
        <v>Belum terisi</v>
      </c>
      <c r="M2234" s="79" t="str">
        <f aca="false">IF(L2234="Tidak dibuka","–",IF(F2234="","(tanpa age group)",F2234)&amp;"  "&amp;IF(H2234="","?",H2234)&amp;"/"&amp;IF(G2234="","?",G2234)&amp;CHAR(10)&amp;IF(K2234="","coach: –","coach: "&amp;K2234))</f>
        <v>Little  0/4
coach: –</v>
      </c>
    </row>
    <row r="2235" customFormat="false" ht="22.35" hidden="false" customHeight="false" outlineLevel="0" collapsed="false">
      <c r="A2235" s="76" t="str">
        <f aca="false">B2235&amp;"|"&amp;C2235&amp;"|"&amp;D2235&amp;"|"&amp;E2235</f>
        <v>HIB|3|Jumat|09:45</v>
      </c>
      <c r="B2235" s="76" t="s">
        <v>71</v>
      </c>
      <c r="C2235" s="76" t="n">
        <v>3</v>
      </c>
      <c r="D2235" s="76" t="s">
        <v>94</v>
      </c>
      <c r="E2235" s="76" t="s">
        <v>98</v>
      </c>
      <c r="F2235" s="77" t="s">
        <v>277</v>
      </c>
      <c r="G2235" s="77" t="n">
        <v>4</v>
      </c>
      <c r="H2235" s="77" t="n">
        <v>0</v>
      </c>
      <c r="I2235" s="76" t="n">
        <f aca="false">IF(AND(ISNUMBER(G2235),ISNUMBER(H2235)),MAX(G2235-H2235,0),"")</f>
        <v>4</v>
      </c>
      <c r="J2235" s="78" t="n">
        <f aca="false">IF(AND(ISNUMBER(G2235),ISNUMBER(H2235)),IF(G2235&gt;0,H2235/G2235,""),"")</f>
        <v>0</v>
      </c>
      <c r="K2235" s="77"/>
      <c r="L2235" s="76" t="str">
        <f aca="false">IF(OR(G2235="",H2235=""),"Data tidak lengkap",IF(AND(G2235=0,H2235=0),IF(AND(F2235="",K2235=""),"Tidak dibuka","Tutup"),IF(H2235&gt;G2235,"Lebih kapasitas",IF(H2235=G2235,"Penuh",IF(H2235=0,IF(F2235="","Slot kosong","Belum terisi"),"Sebagian")))))</f>
        <v>Belum terisi</v>
      </c>
      <c r="M2235" s="79" t="str">
        <f aca="false">IF(L2235="Tidak dibuka","–",IF(F2235="","(tanpa age group)",F2235)&amp;"  "&amp;IF(H2235="","?",H2235)&amp;"/"&amp;IF(G2235="","?",G2235)&amp;CHAR(10)&amp;IF(K2235="","coach: –","coach: "&amp;K2235))</f>
        <v>Little  0/4
coach: –</v>
      </c>
    </row>
    <row r="2236" customFormat="false" ht="22.35" hidden="false" customHeight="false" outlineLevel="0" collapsed="false">
      <c r="A2236" s="76" t="str">
        <f aca="false">B2236&amp;"|"&amp;C2236&amp;"|"&amp;D2236&amp;"|"&amp;E2236</f>
        <v>HIB|3|Jumat|10:30</v>
      </c>
      <c r="B2236" s="76" t="s">
        <v>71</v>
      </c>
      <c r="C2236" s="76" t="n">
        <v>3</v>
      </c>
      <c r="D2236" s="76" t="s">
        <v>94</v>
      </c>
      <c r="E2236" s="76" t="s">
        <v>99</v>
      </c>
      <c r="F2236" s="77" t="s">
        <v>277</v>
      </c>
      <c r="G2236" s="77" t="n">
        <v>4</v>
      </c>
      <c r="H2236" s="77" t="n">
        <v>1</v>
      </c>
      <c r="I2236" s="76" t="n">
        <f aca="false">IF(AND(ISNUMBER(G2236),ISNUMBER(H2236)),MAX(G2236-H2236,0),"")</f>
        <v>3</v>
      </c>
      <c r="J2236" s="78" t="n">
        <f aca="false">IF(AND(ISNUMBER(G2236),ISNUMBER(H2236)),IF(G2236&gt;0,H2236/G2236,""),"")</f>
        <v>0.25</v>
      </c>
      <c r="K2236" s="77" t="s">
        <v>483</v>
      </c>
      <c r="L2236" s="76" t="str">
        <f aca="false">IF(OR(G2236="",H2236=""),"Data tidak lengkap",IF(AND(G2236=0,H2236=0),IF(AND(F2236="",K2236=""),"Tidak dibuka","Tutup"),IF(H2236&gt;G2236,"Lebih kapasitas",IF(H2236=G2236,"Penuh",IF(H2236=0,IF(F2236="","Slot kosong","Belum terisi"),"Sebagian")))))</f>
        <v>Sebagian</v>
      </c>
      <c r="M2236" s="79" t="str">
        <f aca="false">IF(L2236="Tidak dibuka","–",IF(F2236="","(tanpa age group)",F2236)&amp;"  "&amp;IF(H2236="","?",H2236)&amp;"/"&amp;IF(G2236="","?",G2236)&amp;CHAR(10)&amp;IF(K2236="","coach: –","coach: "&amp;K2236))</f>
        <v>Little  1/4
coach: Juan</v>
      </c>
    </row>
    <row r="2237" customFormat="false" ht="22.35" hidden="false" customHeight="false" outlineLevel="0" collapsed="false">
      <c r="A2237" s="76" t="str">
        <f aca="false">B2237&amp;"|"&amp;C2237&amp;"|"&amp;D2237&amp;"|"&amp;E2237</f>
        <v>HIB|3|Jumat|11:15</v>
      </c>
      <c r="B2237" s="76" t="s">
        <v>71</v>
      </c>
      <c r="C2237" s="76" t="n">
        <v>3</v>
      </c>
      <c r="D2237" s="76" t="s">
        <v>94</v>
      </c>
      <c r="E2237" s="76" t="s">
        <v>100</v>
      </c>
      <c r="F2237" s="77" t="s">
        <v>277</v>
      </c>
      <c r="G2237" s="77" t="n">
        <v>4</v>
      </c>
      <c r="H2237" s="77" t="n">
        <v>1</v>
      </c>
      <c r="I2237" s="76" t="n">
        <f aca="false">IF(AND(ISNUMBER(G2237),ISNUMBER(H2237)),MAX(G2237-H2237,0),"")</f>
        <v>3</v>
      </c>
      <c r="J2237" s="78" t="n">
        <f aca="false">IF(AND(ISNUMBER(G2237),ISNUMBER(H2237)),IF(G2237&gt;0,H2237/G2237,""),"")</f>
        <v>0.25</v>
      </c>
      <c r="K2237" s="77" t="s">
        <v>485</v>
      </c>
      <c r="L2237" s="76" t="str">
        <f aca="false">IF(OR(G2237="",H2237=""),"Data tidak lengkap",IF(AND(G2237=0,H2237=0),IF(AND(F2237="",K2237=""),"Tidak dibuka","Tutup"),IF(H2237&gt;G2237,"Lebih kapasitas",IF(H2237=G2237,"Penuh",IF(H2237=0,IF(F2237="","Slot kosong","Belum terisi"),"Sebagian")))))</f>
        <v>Sebagian</v>
      </c>
      <c r="M2237" s="79" t="str">
        <f aca="false">IF(L2237="Tidak dibuka","–",IF(F2237="","(tanpa age group)",F2237)&amp;"  "&amp;IF(H2237="","?",H2237)&amp;"/"&amp;IF(G2237="","?",G2237)&amp;CHAR(10)&amp;IF(K2237="","coach: –","coach: "&amp;K2237))</f>
        <v>Little  1/4
coach: Silvi</v>
      </c>
    </row>
    <row r="2238" customFormat="false" ht="22.35" hidden="false" customHeight="false" outlineLevel="0" collapsed="false">
      <c r="A2238" s="76" t="str">
        <f aca="false">B2238&amp;"|"&amp;C2238&amp;"|"&amp;D2238&amp;"|"&amp;E2238</f>
        <v>HIB|3|Jumat|12:00</v>
      </c>
      <c r="B2238" s="76" t="s">
        <v>71</v>
      </c>
      <c r="C2238" s="76" t="n">
        <v>3</v>
      </c>
      <c r="D2238" s="76" t="s">
        <v>94</v>
      </c>
      <c r="E2238" s="76" t="s">
        <v>101</v>
      </c>
      <c r="F2238" s="77" t="s">
        <v>277</v>
      </c>
      <c r="G2238" s="77" t="n">
        <v>4</v>
      </c>
      <c r="H2238" s="77" t="n">
        <v>0</v>
      </c>
      <c r="I2238" s="76" t="n">
        <f aca="false">IF(AND(ISNUMBER(G2238),ISNUMBER(H2238)),MAX(G2238-H2238,0),"")</f>
        <v>4</v>
      </c>
      <c r="J2238" s="78" t="n">
        <f aca="false">IF(AND(ISNUMBER(G2238),ISNUMBER(H2238)),IF(G2238&gt;0,H2238/G2238,""),"")</f>
        <v>0</v>
      </c>
      <c r="K2238" s="77"/>
      <c r="L2238" s="76" t="str">
        <f aca="false">IF(OR(G2238="",H2238=""),"Data tidak lengkap",IF(AND(G2238=0,H2238=0),IF(AND(F2238="",K2238=""),"Tidak dibuka","Tutup"),IF(H2238&gt;G2238,"Lebih kapasitas",IF(H2238=G2238,"Penuh",IF(H2238=0,IF(F2238="","Slot kosong","Belum terisi"),"Sebagian")))))</f>
        <v>Belum terisi</v>
      </c>
      <c r="M2238" s="79" t="str">
        <f aca="false">IF(L2238="Tidak dibuka","–",IF(F2238="","(tanpa age group)",F2238)&amp;"  "&amp;IF(H2238="","?",H2238)&amp;"/"&amp;IF(G2238="","?",G2238)&amp;CHAR(10)&amp;IF(K2238="","coach: –","coach: "&amp;K2238))</f>
        <v>Little  0/4
coach: –</v>
      </c>
    </row>
    <row r="2239" customFormat="false" ht="22.35" hidden="false" customHeight="false" outlineLevel="0" collapsed="false">
      <c r="A2239" s="76" t="str">
        <f aca="false">B2239&amp;"|"&amp;C2239&amp;"|"&amp;D2239&amp;"|"&amp;E2239</f>
        <v>HIB|3|Jumat|13:30</v>
      </c>
      <c r="B2239" s="76" t="s">
        <v>71</v>
      </c>
      <c r="C2239" s="76" t="n">
        <v>3</v>
      </c>
      <c r="D2239" s="76" t="s">
        <v>94</v>
      </c>
      <c r="E2239" s="76" t="s">
        <v>102</v>
      </c>
      <c r="F2239" s="77" t="s">
        <v>277</v>
      </c>
      <c r="G2239" s="77" t="n">
        <v>4</v>
      </c>
      <c r="H2239" s="77" t="n">
        <v>1</v>
      </c>
      <c r="I2239" s="76" t="n">
        <f aca="false">IF(AND(ISNUMBER(G2239),ISNUMBER(H2239)),MAX(G2239-H2239,0),"")</f>
        <v>3</v>
      </c>
      <c r="J2239" s="78" t="n">
        <f aca="false">IF(AND(ISNUMBER(G2239),ISNUMBER(H2239)),IF(G2239&gt;0,H2239/G2239,""),"")</f>
        <v>0.25</v>
      </c>
      <c r="K2239" s="77" t="s">
        <v>485</v>
      </c>
      <c r="L2239" s="76" t="str">
        <f aca="false">IF(OR(G2239="",H2239=""),"Data tidak lengkap",IF(AND(G2239=0,H2239=0),IF(AND(F2239="",K2239=""),"Tidak dibuka","Tutup"),IF(H2239&gt;G2239,"Lebih kapasitas",IF(H2239=G2239,"Penuh",IF(H2239=0,IF(F2239="","Slot kosong","Belum terisi"),"Sebagian")))))</f>
        <v>Sebagian</v>
      </c>
      <c r="M2239" s="79" t="str">
        <f aca="false">IF(L2239="Tidak dibuka","–",IF(F2239="","(tanpa age group)",F2239)&amp;"  "&amp;IF(H2239="","?",H2239)&amp;"/"&amp;IF(G2239="","?",G2239)&amp;CHAR(10)&amp;IF(K2239="","coach: –","coach: "&amp;K2239))</f>
        <v>Little  1/4
coach: Silvi</v>
      </c>
    </row>
    <row r="2240" customFormat="false" ht="22.35" hidden="false" customHeight="false" outlineLevel="0" collapsed="false">
      <c r="A2240" s="76" t="str">
        <f aca="false">B2240&amp;"|"&amp;C2240&amp;"|"&amp;D2240&amp;"|"&amp;E2240</f>
        <v>HIB|3|Jumat|14:15</v>
      </c>
      <c r="B2240" s="76" t="s">
        <v>71</v>
      </c>
      <c r="C2240" s="76" t="n">
        <v>3</v>
      </c>
      <c r="D2240" s="76" t="s">
        <v>94</v>
      </c>
      <c r="E2240" s="76" t="s">
        <v>103</v>
      </c>
      <c r="F2240" s="77" t="s">
        <v>277</v>
      </c>
      <c r="G2240" s="77" t="n">
        <v>4</v>
      </c>
      <c r="H2240" s="77" t="n">
        <v>0</v>
      </c>
      <c r="I2240" s="76" t="n">
        <f aca="false">IF(AND(ISNUMBER(G2240),ISNUMBER(H2240)),MAX(G2240-H2240,0),"")</f>
        <v>4</v>
      </c>
      <c r="J2240" s="78" t="n">
        <f aca="false">IF(AND(ISNUMBER(G2240),ISNUMBER(H2240)),IF(G2240&gt;0,H2240/G2240,""),"")</f>
        <v>0</v>
      </c>
      <c r="K2240" s="77"/>
      <c r="L2240" s="76" t="str">
        <f aca="false">IF(OR(G2240="",H2240=""),"Data tidak lengkap",IF(AND(G2240=0,H2240=0),IF(AND(F2240="",K2240=""),"Tidak dibuka","Tutup"),IF(H2240&gt;G2240,"Lebih kapasitas",IF(H2240=G2240,"Penuh",IF(H2240=0,IF(F2240="","Slot kosong","Belum terisi"),"Sebagian")))))</f>
        <v>Belum terisi</v>
      </c>
      <c r="M2240" s="79" t="str">
        <f aca="false">IF(L2240="Tidak dibuka","–",IF(F2240="","(tanpa age group)",F2240)&amp;"  "&amp;IF(H2240="","?",H2240)&amp;"/"&amp;IF(G2240="","?",G2240)&amp;CHAR(10)&amp;IF(K2240="","coach: –","coach: "&amp;K2240))</f>
        <v>Little  0/4
coach: –</v>
      </c>
    </row>
    <row r="2241" customFormat="false" ht="22.35" hidden="false" customHeight="false" outlineLevel="0" collapsed="false">
      <c r="A2241" s="76" t="str">
        <f aca="false">B2241&amp;"|"&amp;C2241&amp;"|"&amp;D2241&amp;"|"&amp;E2241</f>
        <v>HIB|3|Jumat|15:00</v>
      </c>
      <c r="B2241" s="76" t="s">
        <v>71</v>
      </c>
      <c r="C2241" s="76" t="n">
        <v>3</v>
      </c>
      <c r="D2241" s="76" t="s">
        <v>94</v>
      </c>
      <c r="E2241" s="76" t="s">
        <v>104</v>
      </c>
      <c r="F2241" s="77" t="s">
        <v>277</v>
      </c>
      <c r="G2241" s="77" t="n">
        <v>4</v>
      </c>
      <c r="H2241" s="77" t="n">
        <v>0</v>
      </c>
      <c r="I2241" s="76" t="n">
        <f aca="false">IF(AND(ISNUMBER(G2241),ISNUMBER(H2241)),MAX(G2241-H2241,0),"")</f>
        <v>4</v>
      </c>
      <c r="J2241" s="78" t="n">
        <f aca="false">IF(AND(ISNUMBER(G2241),ISNUMBER(H2241)),IF(G2241&gt;0,H2241/G2241,""),"")</f>
        <v>0</v>
      </c>
      <c r="K2241" s="77"/>
      <c r="L2241" s="76" t="str">
        <f aca="false">IF(OR(G2241="",H2241=""),"Data tidak lengkap",IF(AND(G2241=0,H2241=0),IF(AND(F2241="",K2241=""),"Tidak dibuka","Tutup"),IF(H2241&gt;G2241,"Lebih kapasitas",IF(H2241=G2241,"Penuh",IF(H2241=0,IF(F2241="","Slot kosong","Belum terisi"),"Sebagian")))))</f>
        <v>Belum terisi</v>
      </c>
      <c r="M2241" s="79" t="str">
        <f aca="false">IF(L2241="Tidak dibuka","–",IF(F2241="","(tanpa age group)",F2241)&amp;"  "&amp;IF(H2241="","?",H2241)&amp;"/"&amp;IF(G2241="","?",G2241)&amp;CHAR(10)&amp;IF(K2241="","coach: –","coach: "&amp;K2241))</f>
        <v>Little  0/4
coach: –</v>
      </c>
    </row>
    <row r="2242" customFormat="false" ht="22.35" hidden="false" customHeight="false" outlineLevel="0" collapsed="false">
      <c r="A2242" s="76" t="str">
        <f aca="false">B2242&amp;"|"&amp;C2242&amp;"|"&amp;D2242&amp;"|"&amp;E2242</f>
        <v>HIB|3|Jumat|15:45</v>
      </c>
      <c r="B2242" s="76" t="s">
        <v>71</v>
      </c>
      <c r="C2242" s="76" t="n">
        <v>3</v>
      </c>
      <c r="D2242" s="76" t="s">
        <v>94</v>
      </c>
      <c r="E2242" s="76" t="s">
        <v>105</v>
      </c>
      <c r="F2242" s="77" t="s">
        <v>277</v>
      </c>
      <c r="G2242" s="77" t="n">
        <v>4</v>
      </c>
      <c r="H2242" s="77" t="n">
        <v>2</v>
      </c>
      <c r="I2242" s="76" t="n">
        <f aca="false">IF(AND(ISNUMBER(G2242),ISNUMBER(H2242)),MAX(G2242-H2242,0),"")</f>
        <v>2</v>
      </c>
      <c r="J2242" s="78" t="n">
        <f aca="false">IF(AND(ISNUMBER(G2242),ISNUMBER(H2242)),IF(G2242&gt;0,H2242/G2242,""),"")</f>
        <v>0.5</v>
      </c>
      <c r="K2242" s="77" t="s">
        <v>483</v>
      </c>
      <c r="L2242" s="76" t="str">
        <f aca="false">IF(OR(G2242="",H2242=""),"Data tidak lengkap",IF(AND(G2242=0,H2242=0),IF(AND(F2242="",K2242=""),"Tidak dibuka","Tutup"),IF(H2242&gt;G2242,"Lebih kapasitas",IF(H2242=G2242,"Penuh",IF(H2242=0,IF(F2242="","Slot kosong","Belum terisi"),"Sebagian")))))</f>
        <v>Sebagian</v>
      </c>
      <c r="M2242" s="79" t="str">
        <f aca="false">IF(L2242="Tidak dibuka","–",IF(F2242="","(tanpa age group)",F2242)&amp;"  "&amp;IF(H2242="","?",H2242)&amp;"/"&amp;IF(G2242="","?",G2242)&amp;CHAR(10)&amp;IF(K2242="","coach: –","coach: "&amp;K2242))</f>
        <v>Little  2/4
coach: Juan</v>
      </c>
    </row>
    <row r="2243" customFormat="false" ht="22.35" hidden="false" customHeight="false" outlineLevel="0" collapsed="false">
      <c r="A2243" s="76" t="str">
        <f aca="false">B2243&amp;"|"&amp;C2243&amp;"|"&amp;D2243&amp;"|"&amp;E2243</f>
        <v>HIB|3|Jumat|16:30</v>
      </c>
      <c r="B2243" s="76" t="s">
        <v>71</v>
      </c>
      <c r="C2243" s="76" t="n">
        <v>3</v>
      </c>
      <c r="D2243" s="76" t="s">
        <v>94</v>
      </c>
      <c r="E2243" s="76" t="s">
        <v>106</v>
      </c>
      <c r="F2243" s="77" t="s">
        <v>277</v>
      </c>
      <c r="G2243" s="77" t="n">
        <v>4</v>
      </c>
      <c r="H2243" s="77" t="n">
        <v>2</v>
      </c>
      <c r="I2243" s="76" t="n">
        <f aca="false">IF(AND(ISNUMBER(G2243),ISNUMBER(H2243)),MAX(G2243-H2243,0),"")</f>
        <v>2</v>
      </c>
      <c r="J2243" s="78" t="n">
        <f aca="false">IF(AND(ISNUMBER(G2243),ISNUMBER(H2243)),IF(G2243&gt;0,H2243/G2243,""),"")</f>
        <v>0.5</v>
      </c>
      <c r="K2243" s="77" t="s">
        <v>485</v>
      </c>
      <c r="L2243" s="76" t="str">
        <f aca="false">IF(OR(G2243="",H2243=""),"Data tidak lengkap",IF(AND(G2243=0,H2243=0),IF(AND(F2243="",K2243=""),"Tidak dibuka","Tutup"),IF(H2243&gt;G2243,"Lebih kapasitas",IF(H2243=G2243,"Penuh",IF(H2243=0,IF(F2243="","Slot kosong","Belum terisi"),"Sebagian")))))</f>
        <v>Sebagian</v>
      </c>
      <c r="M2243" s="79" t="str">
        <f aca="false">IF(L2243="Tidak dibuka","–",IF(F2243="","(tanpa age group)",F2243)&amp;"  "&amp;IF(H2243="","?",H2243)&amp;"/"&amp;IF(G2243="","?",G2243)&amp;CHAR(10)&amp;IF(K2243="","coach: –","coach: "&amp;K2243))</f>
        <v>Little  2/4
coach: Silvi</v>
      </c>
    </row>
    <row r="2244" customFormat="false" ht="22.35" hidden="false" customHeight="false" outlineLevel="0" collapsed="false">
      <c r="A2244" s="76" t="str">
        <f aca="false">B2244&amp;"|"&amp;C2244&amp;"|"&amp;D2244&amp;"|"&amp;E2244</f>
        <v>HIB|3|Jumat|17:15</v>
      </c>
      <c r="B2244" s="76" t="s">
        <v>71</v>
      </c>
      <c r="C2244" s="76" t="n">
        <v>3</v>
      </c>
      <c r="D2244" s="76" t="s">
        <v>94</v>
      </c>
      <c r="E2244" s="76" t="s">
        <v>107</v>
      </c>
      <c r="F2244" s="77" t="s">
        <v>277</v>
      </c>
      <c r="G2244" s="77" t="n">
        <v>4</v>
      </c>
      <c r="H2244" s="77" t="n">
        <v>0</v>
      </c>
      <c r="I2244" s="76" t="n">
        <f aca="false">IF(AND(ISNUMBER(G2244),ISNUMBER(H2244)),MAX(G2244-H2244,0),"")</f>
        <v>4</v>
      </c>
      <c r="J2244" s="78" t="n">
        <f aca="false">IF(AND(ISNUMBER(G2244),ISNUMBER(H2244)),IF(G2244&gt;0,H2244/G2244,""),"")</f>
        <v>0</v>
      </c>
      <c r="K2244" s="77"/>
      <c r="L2244" s="76" t="str">
        <f aca="false">IF(OR(G2244="",H2244=""),"Data tidak lengkap",IF(AND(G2244=0,H2244=0),IF(AND(F2244="",K2244=""),"Tidak dibuka","Tutup"),IF(H2244&gt;G2244,"Lebih kapasitas",IF(H2244=G2244,"Penuh",IF(H2244=0,IF(F2244="","Slot kosong","Belum terisi"),"Sebagian")))))</f>
        <v>Belum terisi</v>
      </c>
      <c r="M2244" s="79" t="str">
        <f aca="false">IF(L2244="Tidak dibuka","–",IF(F2244="","(tanpa age group)",F2244)&amp;"  "&amp;IF(H2244="","?",H2244)&amp;"/"&amp;IF(G2244="","?",G2244)&amp;CHAR(10)&amp;IF(K2244="","coach: –","coach: "&amp;K2244))</f>
        <v>Little  0/4
coach: –</v>
      </c>
    </row>
    <row r="2245" customFormat="false" ht="22.35" hidden="false" customHeight="false" outlineLevel="0" collapsed="false">
      <c r="A2245" s="76" t="str">
        <f aca="false">B2245&amp;"|"&amp;C2245&amp;"|"&amp;D2245&amp;"|"&amp;E2245</f>
        <v>HIB|3|Sabtu|08:15</v>
      </c>
      <c r="B2245" s="76" t="s">
        <v>71</v>
      </c>
      <c r="C2245" s="76" t="n">
        <v>3</v>
      </c>
      <c r="D2245" s="76" t="s">
        <v>95</v>
      </c>
      <c r="E2245" s="76" t="s">
        <v>96</v>
      </c>
      <c r="F2245" s="77" t="s">
        <v>277</v>
      </c>
      <c r="G2245" s="77" t="n">
        <v>4</v>
      </c>
      <c r="H2245" s="77" t="n">
        <v>0</v>
      </c>
      <c r="I2245" s="76" t="n">
        <f aca="false">IF(AND(ISNUMBER(G2245),ISNUMBER(H2245)),MAX(G2245-H2245,0),"")</f>
        <v>4</v>
      </c>
      <c r="J2245" s="78" t="n">
        <f aca="false">IF(AND(ISNUMBER(G2245),ISNUMBER(H2245)),IF(G2245&gt;0,H2245/G2245,""),"")</f>
        <v>0</v>
      </c>
      <c r="K2245" s="77"/>
      <c r="L2245" s="76" t="str">
        <f aca="false">IF(OR(G2245="",H2245=""),"Data tidak lengkap",IF(AND(G2245=0,H2245=0),IF(AND(F2245="",K2245=""),"Tidak dibuka","Tutup"),IF(H2245&gt;G2245,"Lebih kapasitas",IF(H2245=G2245,"Penuh",IF(H2245=0,IF(F2245="","Slot kosong","Belum terisi"),"Sebagian")))))</f>
        <v>Belum terisi</v>
      </c>
      <c r="M2245" s="79" t="str">
        <f aca="false">IF(L2245="Tidak dibuka","–",IF(F2245="","(tanpa age group)",F2245)&amp;"  "&amp;IF(H2245="","?",H2245)&amp;"/"&amp;IF(G2245="","?",G2245)&amp;CHAR(10)&amp;IF(K2245="","coach: –","coach: "&amp;K2245))</f>
        <v>Little  0/4
coach: –</v>
      </c>
    </row>
    <row r="2246" customFormat="false" ht="22.35" hidden="false" customHeight="false" outlineLevel="0" collapsed="false">
      <c r="A2246" s="76" t="str">
        <f aca="false">B2246&amp;"|"&amp;C2246&amp;"|"&amp;D2246&amp;"|"&amp;E2246</f>
        <v>HIB|3|Sabtu|09:00</v>
      </c>
      <c r="B2246" s="76" t="s">
        <v>71</v>
      </c>
      <c r="C2246" s="76" t="n">
        <v>3</v>
      </c>
      <c r="D2246" s="76" t="s">
        <v>95</v>
      </c>
      <c r="E2246" s="76" t="s">
        <v>97</v>
      </c>
      <c r="F2246" s="77" t="s">
        <v>277</v>
      </c>
      <c r="G2246" s="77" t="n">
        <v>4</v>
      </c>
      <c r="H2246" s="77" t="n">
        <v>4</v>
      </c>
      <c r="I2246" s="76" t="n">
        <f aca="false">IF(AND(ISNUMBER(G2246),ISNUMBER(H2246)),MAX(G2246-H2246,0),"")</f>
        <v>0</v>
      </c>
      <c r="J2246" s="78" t="n">
        <f aca="false">IF(AND(ISNUMBER(G2246),ISNUMBER(H2246)),IF(G2246&gt;0,H2246/G2246,""),"")</f>
        <v>1</v>
      </c>
      <c r="K2246" s="77" t="s">
        <v>485</v>
      </c>
      <c r="L2246" s="76" t="str">
        <f aca="false">IF(OR(G2246="",H2246=""),"Data tidak lengkap",IF(AND(G2246=0,H2246=0),IF(AND(F2246="",K2246=""),"Tidak dibuka","Tutup"),IF(H2246&gt;G2246,"Lebih kapasitas",IF(H2246=G2246,"Penuh",IF(H2246=0,IF(F2246="","Slot kosong","Belum terisi"),"Sebagian")))))</f>
        <v>Penuh</v>
      </c>
      <c r="M2246" s="79" t="str">
        <f aca="false">IF(L2246="Tidak dibuka","–",IF(F2246="","(tanpa age group)",F2246)&amp;"  "&amp;IF(H2246="","?",H2246)&amp;"/"&amp;IF(G2246="","?",G2246)&amp;CHAR(10)&amp;IF(K2246="","coach: –","coach: "&amp;K2246))</f>
        <v>Little  4/4
coach: Silvi</v>
      </c>
    </row>
    <row r="2247" customFormat="false" ht="22.35" hidden="false" customHeight="false" outlineLevel="0" collapsed="false">
      <c r="A2247" s="76" t="str">
        <f aca="false">B2247&amp;"|"&amp;C2247&amp;"|"&amp;D2247&amp;"|"&amp;E2247</f>
        <v>HIB|3|Sabtu|09:45</v>
      </c>
      <c r="B2247" s="76" t="s">
        <v>71</v>
      </c>
      <c r="C2247" s="76" t="n">
        <v>3</v>
      </c>
      <c r="D2247" s="76" t="s">
        <v>95</v>
      </c>
      <c r="E2247" s="76" t="s">
        <v>98</v>
      </c>
      <c r="F2247" s="77" t="s">
        <v>277</v>
      </c>
      <c r="G2247" s="77" t="n">
        <v>4</v>
      </c>
      <c r="H2247" s="77" t="n">
        <v>4</v>
      </c>
      <c r="I2247" s="76" t="n">
        <f aca="false">IF(AND(ISNUMBER(G2247),ISNUMBER(H2247)),MAX(G2247-H2247,0),"")</f>
        <v>0</v>
      </c>
      <c r="J2247" s="78" t="n">
        <f aca="false">IF(AND(ISNUMBER(G2247),ISNUMBER(H2247)),IF(G2247&gt;0,H2247/G2247,""),"")</f>
        <v>1</v>
      </c>
      <c r="K2247" s="77" t="s">
        <v>485</v>
      </c>
      <c r="L2247" s="76" t="str">
        <f aca="false">IF(OR(G2247="",H2247=""),"Data tidak lengkap",IF(AND(G2247=0,H2247=0),IF(AND(F2247="",K2247=""),"Tidak dibuka","Tutup"),IF(H2247&gt;G2247,"Lebih kapasitas",IF(H2247=G2247,"Penuh",IF(H2247=0,IF(F2247="","Slot kosong","Belum terisi"),"Sebagian")))))</f>
        <v>Penuh</v>
      </c>
      <c r="M2247" s="79" t="str">
        <f aca="false">IF(L2247="Tidak dibuka","–",IF(F2247="","(tanpa age group)",F2247)&amp;"  "&amp;IF(H2247="","?",H2247)&amp;"/"&amp;IF(G2247="","?",G2247)&amp;CHAR(10)&amp;IF(K2247="","coach: –","coach: "&amp;K2247))</f>
        <v>Little  4/4
coach: Silvi</v>
      </c>
    </row>
    <row r="2248" customFormat="false" ht="22.35" hidden="false" customHeight="false" outlineLevel="0" collapsed="false">
      <c r="A2248" s="76" t="str">
        <f aca="false">B2248&amp;"|"&amp;C2248&amp;"|"&amp;D2248&amp;"|"&amp;E2248</f>
        <v>HIB|3|Sabtu|10:30</v>
      </c>
      <c r="B2248" s="76" t="s">
        <v>71</v>
      </c>
      <c r="C2248" s="76" t="n">
        <v>3</v>
      </c>
      <c r="D2248" s="76" t="s">
        <v>95</v>
      </c>
      <c r="E2248" s="76" t="s">
        <v>99</v>
      </c>
      <c r="F2248" s="77" t="s">
        <v>277</v>
      </c>
      <c r="G2248" s="77" t="n">
        <v>4</v>
      </c>
      <c r="H2248" s="77" t="n">
        <v>4</v>
      </c>
      <c r="I2248" s="76" t="n">
        <f aca="false">IF(AND(ISNUMBER(G2248),ISNUMBER(H2248)),MAX(G2248-H2248,0),"")</f>
        <v>0</v>
      </c>
      <c r="J2248" s="78" t="n">
        <f aca="false">IF(AND(ISNUMBER(G2248),ISNUMBER(H2248)),IF(G2248&gt;0,H2248/G2248,""),"")</f>
        <v>1</v>
      </c>
      <c r="K2248" s="77" t="s">
        <v>483</v>
      </c>
      <c r="L2248" s="76" t="str">
        <f aca="false">IF(OR(G2248="",H2248=""),"Data tidak lengkap",IF(AND(G2248=0,H2248=0),IF(AND(F2248="",K2248=""),"Tidak dibuka","Tutup"),IF(H2248&gt;G2248,"Lebih kapasitas",IF(H2248=G2248,"Penuh",IF(H2248=0,IF(F2248="","Slot kosong","Belum terisi"),"Sebagian")))))</f>
        <v>Penuh</v>
      </c>
      <c r="M2248" s="79" t="str">
        <f aca="false">IF(L2248="Tidak dibuka","–",IF(F2248="","(tanpa age group)",F2248)&amp;"  "&amp;IF(H2248="","?",H2248)&amp;"/"&amp;IF(G2248="","?",G2248)&amp;CHAR(10)&amp;IF(K2248="","coach: –","coach: "&amp;K2248))</f>
        <v>Little  4/4
coach: Juan</v>
      </c>
    </row>
    <row r="2249" customFormat="false" ht="22.35" hidden="false" customHeight="false" outlineLevel="0" collapsed="false">
      <c r="A2249" s="76" t="str">
        <f aca="false">B2249&amp;"|"&amp;C2249&amp;"|"&amp;D2249&amp;"|"&amp;E2249</f>
        <v>HIB|3|Sabtu|11:15</v>
      </c>
      <c r="B2249" s="76" t="s">
        <v>71</v>
      </c>
      <c r="C2249" s="76" t="n">
        <v>3</v>
      </c>
      <c r="D2249" s="76" t="s">
        <v>95</v>
      </c>
      <c r="E2249" s="76" t="s">
        <v>100</v>
      </c>
      <c r="F2249" s="77" t="s">
        <v>277</v>
      </c>
      <c r="G2249" s="77" t="n">
        <v>4</v>
      </c>
      <c r="H2249" s="77" t="n">
        <v>2</v>
      </c>
      <c r="I2249" s="76" t="n">
        <f aca="false">IF(AND(ISNUMBER(G2249),ISNUMBER(H2249)),MAX(G2249-H2249,0),"")</f>
        <v>2</v>
      </c>
      <c r="J2249" s="78" t="n">
        <f aca="false">IF(AND(ISNUMBER(G2249),ISNUMBER(H2249)),IF(G2249&gt;0,H2249/G2249,""),"")</f>
        <v>0.5</v>
      </c>
      <c r="K2249" s="77" t="s">
        <v>486</v>
      </c>
      <c r="L2249" s="76" t="str">
        <f aca="false">IF(OR(G2249="",H2249=""),"Data tidak lengkap",IF(AND(G2249=0,H2249=0),IF(AND(F2249="",K2249=""),"Tidak dibuka","Tutup"),IF(H2249&gt;G2249,"Lebih kapasitas",IF(H2249=G2249,"Penuh",IF(H2249=0,IF(F2249="","Slot kosong","Belum terisi"),"Sebagian")))))</f>
        <v>Sebagian</v>
      </c>
      <c r="M2249" s="79" t="str">
        <f aca="false">IF(L2249="Tidak dibuka","–",IF(F2249="","(tanpa age group)",F2249)&amp;"  "&amp;IF(H2249="","?",H2249)&amp;"/"&amp;IF(G2249="","?",G2249)&amp;CHAR(10)&amp;IF(K2249="","coach: –","coach: "&amp;K2249))</f>
        <v>Little  2/4
coach: Angga</v>
      </c>
    </row>
    <row r="2250" customFormat="false" ht="22.35" hidden="false" customHeight="false" outlineLevel="0" collapsed="false">
      <c r="A2250" s="76" t="str">
        <f aca="false">B2250&amp;"|"&amp;C2250&amp;"|"&amp;D2250&amp;"|"&amp;E2250</f>
        <v>HIB|3|Sabtu|12:00</v>
      </c>
      <c r="B2250" s="76" t="s">
        <v>71</v>
      </c>
      <c r="C2250" s="76" t="n">
        <v>3</v>
      </c>
      <c r="D2250" s="76" t="s">
        <v>95</v>
      </c>
      <c r="E2250" s="76" t="s">
        <v>101</v>
      </c>
      <c r="F2250" s="77" t="s">
        <v>277</v>
      </c>
      <c r="G2250" s="77" t="n">
        <v>4</v>
      </c>
      <c r="H2250" s="77" t="n">
        <v>0</v>
      </c>
      <c r="I2250" s="76" t="n">
        <f aca="false">IF(AND(ISNUMBER(G2250),ISNUMBER(H2250)),MAX(G2250-H2250,0),"")</f>
        <v>4</v>
      </c>
      <c r="J2250" s="78" t="n">
        <f aca="false">IF(AND(ISNUMBER(G2250),ISNUMBER(H2250)),IF(G2250&gt;0,H2250/G2250,""),"")</f>
        <v>0</v>
      </c>
      <c r="K2250" s="77"/>
      <c r="L2250" s="76" t="str">
        <f aca="false">IF(OR(G2250="",H2250=""),"Data tidak lengkap",IF(AND(G2250=0,H2250=0),IF(AND(F2250="",K2250=""),"Tidak dibuka","Tutup"),IF(H2250&gt;G2250,"Lebih kapasitas",IF(H2250=G2250,"Penuh",IF(H2250=0,IF(F2250="","Slot kosong","Belum terisi"),"Sebagian")))))</f>
        <v>Belum terisi</v>
      </c>
      <c r="M2250" s="79" t="str">
        <f aca="false">IF(L2250="Tidak dibuka","–",IF(F2250="","(tanpa age group)",F2250)&amp;"  "&amp;IF(H2250="","?",H2250)&amp;"/"&amp;IF(G2250="","?",G2250)&amp;CHAR(10)&amp;IF(K2250="","coach: –","coach: "&amp;K2250))</f>
        <v>Little  0/4
coach: –</v>
      </c>
    </row>
    <row r="2251" customFormat="false" ht="22.35" hidden="false" customHeight="false" outlineLevel="0" collapsed="false">
      <c r="A2251" s="76" t="str">
        <f aca="false">B2251&amp;"|"&amp;C2251&amp;"|"&amp;D2251&amp;"|"&amp;E2251</f>
        <v>HIB|3|Sabtu|13:30</v>
      </c>
      <c r="B2251" s="76" t="s">
        <v>71</v>
      </c>
      <c r="C2251" s="76" t="n">
        <v>3</v>
      </c>
      <c r="D2251" s="76" t="s">
        <v>95</v>
      </c>
      <c r="E2251" s="76" t="s">
        <v>102</v>
      </c>
      <c r="F2251" s="77" t="s">
        <v>277</v>
      </c>
      <c r="G2251" s="77" t="n">
        <v>4</v>
      </c>
      <c r="H2251" s="77" t="n">
        <v>1</v>
      </c>
      <c r="I2251" s="76" t="n">
        <f aca="false">IF(AND(ISNUMBER(G2251),ISNUMBER(H2251)),MAX(G2251-H2251,0),"")</f>
        <v>3</v>
      </c>
      <c r="J2251" s="78" t="n">
        <f aca="false">IF(AND(ISNUMBER(G2251),ISNUMBER(H2251)),IF(G2251&gt;0,H2251/G2251,""),"")</f>
        <v>0.25</v>
      </c>
      <c r="K2251" s="77"/>
      <c r="L2251" s="76" t="str">
        <f aca="false">IF(OR(G2251="",H2251=""),"Data tidak lengkap",IF(AND(G2251=0,H2251=0),IF(AND(F2251="",K2251=""),"Tidak dibuka","Tutup"),IF(H2251&gt;G2251,"Lebih kapasitas",IF(H2251=G2251,"Penuh",IF(H2251=0,IF(F2251="","Slot kosong","Belum terisi"),"Sebagian")))))</f>
        <v>Sebagian</v>
      </c>
      <c r="M2251" s="79" t="str">
        <f aca="false">IF(L2251="Tidak dibuka","–",IF(F2251="","(tanpa age group)",F2251)&amp;"  "&amp;IF(H2251="","?",H2251)&amp;"/"&amp;IF(G2251="","?",G2251)&amp;CHAR(10)&amp;IF(K2251="","coach: –","coach: "&amp;K2251))</f>
        <v>Little  1/4
coach: –</v>
      </c>
    </row>
    <row r="2252" customFormat="false" ht="22.35" hidden="false" customHeight="false" outlineLevel="0" collapsed="false">
      <c r="A2252" s="76" t="str">
        <f aca="false">B2252&amp;"|"&amp;C2252&amp;"|"&amp;D2252&amp;"|"&amp;E2252</f>
        <v>HIB|3|Sabtu|14:15</v>
      </c>
      <c r="B2252" s="76" t="s">
        <v>71</v>
      </c>
      <c r="C2252" s="76" t="n">
        <v>3</v>
      </c>
      <c r="D2252" s="76" t="s">
        <v>95</v>
      </c>
      <c r="E2252" s="76" t="s">
        <v>103</v>
      </c>
      <c r="F2252" s="77" t="s">
        <v>277</v>
      </c>
      <c r="G2252" s="77" t="n">
        <v>4</v>
      </c>
      <c r="H2252" s="77" t="n">
        <v>1</v>
      </c>
      <c r="I2252" s="76" t="n">
        <f aca="false">IF(AND(ISNUMBER(G2252),ISNUMBER(H2252)),MAX(G2252-H2252,0),"")</f>
        <v>3</v>
      </c>
      <c r="J2252" s="78" t="n">
        <f aca="false">IF(AND(ISNUMBER(G2252),ISNUMBER(H2252)),IF(G2252&gt;0,H2252/G2252,""),"")</f>
        <v>0.25</v>
      </c>
      <c r="K2252" s="77" t="s">
        <v>487</v>
      </c>
      <c r="L2252" s="76" t="str">
        <f aca="false">IF(OR(G2252="",H2252=""),"Data tidak lengkap",IF(AND(G2252=0,H2252=0),IF(AND(F2252="",K2252=""),"Tidak dibuka","Tutup"),IF(H2252&gt;G2252,"Lebih kapasitas",IF(H2252=G2252,"Penuh",IF(H2252=0,IF(F2252="","Slot kosong","Belum terisi"),"Sebagian")))))</f>
        <v>Sebagian</v>
      </c>
      <c r="M2252" s="79" t="str">
        <f aca="false">IF(L2252="Tidak dibuka","–",IF(F2252="","(tanpa age group)",F2252)&amp;"  "&amp;IF(H2252="","?",H2252)&amp;"/"&amp;IF(G2252="","?",G2252)&amp;CHAR(10)&amp;IF(K2252="","coach: –","coach: "&amp;K2252))</f>
        <v>Little  1/4
coach: Shabrina</v>
      </c>
    </row>
    <row r="2253" customFormat="false" ht="22.35" hidden="false" customHeight="false" outlineLevel="0" collapsed="false">
      <c r="A2253" s="76" t="str">
        <f aca="false">B2253&amp;"|"&amp;C2253&amp;"|"&amp;D2253&amp;"|"&amp;E2253</f>
        <v>HIB|3|Sabtu|15:00</v>
      </c>
      <c r="B2253" s="76" t="s">
        <v>71</v>
      </c>
      <c r="C2253" s="76" t="n">
        <v>3</v>
      </c>
      <c r="D2253" s="76" t="s">
        <v>95</v>
      </c>
      <c r="E2253" s="76" t="s">
        <v>104</v>
      </c>
      <c r="F2253" s="77" t="s">
        <v>277</v>
      </c>
      <c r="G2253" s="77" t="n">
        <v>4</v>
      </c>
      <c r="H2253" s="77" t="n">
        <v>1</v>
      </c>
      <c r="I2253" s="76" t="n">
        <f aca="false">IF(AND(ISNUMBER(G2253),ISNUMBER(H2253)),MAX(G2253-H2253,0),"")</f>
        <v>3</v>
      </c>
      <c r="J2253" s="78" t="n">
        <f aca="false">IF(AND(ISNUMBER(G2253),ISNUMBER(H2253)),IF(G2253&gt;0,H2253/G2253,""),"")</f>
        <v>0.25</v>
      </c>
      <c r="K2253" s="77" t="s">
        <v>486</v>
      </c>
      <c r="L2253" s="76" t="str">
        <f aca="false">IF(OR(G2253="",H2253=""),"Data tidak lengkap",IF(AND(G2253=0,H2253=0),IF(AND(F2253="",K2253=""),"Tidak dibuka","Tutup"),IF(H2253&gt;G2253,"Lebih kapasitas",IF(H2253=G2253,"Penuh",IF(H2253=0,IF(F2253="","Slot kosong","Belum terisi"),"Sebagian")))))</f>
        <v>Sebagian</v>
      </c>
      <c r="M2253" s="79" t="str">
        <f aca="false">IF(L2253="Tidak dibuka","–",IF(F2253="","(tanpa age group)",F2253)&amp;"  "&amp;IF(H2253="","?",H2253)&amp;"/"&amp;IF(G2253="","?",G2253)&amp;CHAR(10)&amp;IF(K2253="","coach: –","coach: "&amp;K2253))</f>
        <v>Little  1/4
coach: Angga</v>
      </c>
    </row>
    <row r="2254" customFormat="false" ht="22.35" hidden="false" customHeight="false" outlineLevel="0" collapsed="false">
      <c r="A2254" s="76" t="str">
        <f aca="false">B2254&amp;"|"&amp;C2254&amp;"|"&amp;D2254&amp;"|"&amp;E2254</f>
        <v>HIB|3|Sabtu|15:45</v>
      </c>
      <c r="B2254" s="76" t="s">
        <v>71</v>
      </c>
      <c r="C2254" s="76" t="n">
        <v>3</v>
      </c>
      <c r="D2254" s="76" t="s">
        <v>95</v>
      </c>
      <c r="E2254" s="76" t="s">
        <v>105</v>
      </c>
      <c r="F2254" s="77" t="s">
        <v>277</v>
      </c>
      <c r="G2254" s="77" t="n">
        <v>4</v>
      </c>
      <c r="H2254" s="77" t="n">
        <v>0</v>
      </c>
      <c r="I2254" s="76" t="n">
        <f aca="false">IF(AND(ISNUMBER(G2254),ISNUMBER(H2254)),MAX(G2254-H2254,0),"")</f>
        <v>4</v>
      </c>
      <c r="J2254" s="78" t="n">
        <f aca="false">IF(AND(ISNUMBER(G2254),ISNUMBER(H2254)),IF(G2254&gt;0,H2254/G2254,""),"")</f>
        <v>0</v>
      </c>
      <c r="K2254" s="77"/>
      <c r="L2254" s="76" t="str">
        <f aca="false">IF(OR(G2254="",H2254=""),"Data tidak lengkap",IF(AND(G2254=0,H2254=0),IF(AND(F2254="",K2254=""),"Tidak dibuka","Tutup"),IF(H2254&gt;G2254,"Lebih kapasitas",IF(H2254=G2254,"Penuh",IF(H2254=0,IF(F2254="","Slot kosong","Belum terisi"),"Sebagian")))))</f>
        <v>Belum terisi</v>
      </c>
      <c r="M2254" s="79" t="str">
        <f aca="false">IF(L2254="Tidak dibuka","–",IF(F2254="","(tanpa age group)",F2254)&amp;"  "&amp;IF(H2254="","?",H2254)&amp;"/"&amp;IF(G2254="","?",G2254)&amp;CHAR(10)&amp;IF(K2254="","coach: –","coach: "&amp;K2254))</f>
        <v>Little  0/4
coach: –</v>
      </c>
    </row>
    <row r="2255" customFormat="false" ht="22.35" hidden="false" customHeight="false" outlineLevel="0" collapsed="false">
      <c r="A2255" s="76" t="str">
        <f aca="false">B2255&amp;"|"&amp;C2255&amp;"|"&amp;D2255&amp;"|"&amp;E2255</f>
        <v>HIB|3|Sabtu|16:30</v>
      </c>
      <c r="B2255" s="76" t="s">
        <v>71</v>
      </c>
      <c r="C2255" s="76" t="n">
        <v>3</v>
      </c>
      <c r="D2255" s="76" t="s">
        <v>95</v>
      </c>
      <c r="E2255" s="76" t="s">
        <v>106</v>
      </c>
      <c r="F2255" s="77" t="s">
        <v>277</v>
      </c>
      <c r="G2255" s="77" t="n">
        <v>4</v>
      </c>
      <c r="H2255" s="77" t="n">
        <v>0</v>
      </c>
      <c r="I2255" s="76" t="n">
        <f aca="false">IF(AND(ISNUMBER(G2255),ISNUMBER(H2255)),MAX(G2255-H2255,0),"")</f>
        <v>4</v>
      </c>
      <c r="J2255" s="78" t="n">
        <f aca="false">IF(AND(ISNUMBER(G2255),ISNUMBER(H2255)),IF(G2255&gt;0,H2255/G2255,""),"")</f>
        <v>0</v>
      </c>
      <c r="K2255" s="77"/>
      <c r="L2255" s="76" t="str">
        <f aca="false">IF(OR(G2255="",H2255=""),"Data tidak lengkap",IF(AND(G2255=0,H2255=0),IF(AND(F2255="",K2255=""),"Tidak dibuka","Tutup"),IF(H2255&gt;G2255,"Lebih kapasitas",IF(H2255=G2255,"Penuh",IF(H2255=0,IF(F2255="","Slot kosong","Belum terisi"),"Sebagian")))))</f>
        <v>Belum terisi</v>
      </c>
      <c r="M2255" s="79" t="str">
        <f aca="false">IF(L2255="Tidak dibuka","–",IF(F2255="","(tanpa age group)",F2255)&amp;"  "&amp;IF(H2255="","?",H2255)&amp;"/"&amp;IF(G2255="","?",G2255)&amp;CHAR(10)&amp;IF(K2255="","coach: –","coach: "&amp;K2255))</f>
        <v>Little  0/4
coach: –</v>
      </c>
    </row>
    <row r="2256" customFormat="false" ht="22.35" hidden="false" customHeight="false" outlineLevel="0" collapsed="false">
      <c r="A2256" s="76" t="str">
        <f aca="false">B2256&amp;"|"&amp;C2256&amp;"|"&amp;D2256&amp;"|"&amp;E2256</f>
        <v>HIB|3|Sabtu|17:15</v>
      </c>
      <c r="B2256" s="76" t="s">
        <v>71</v>
      </c>
      <c r="C2256" s="76" t="n">
        <v>3</v>
      </c>
      <c r="D2256" s="76" t="s">
        <v>95</v>
      </c>
      <c r="E2256" s="76" t="s">
        <v>107</v>
      </c>
      <c r="F2256" s="77" t="s">
        <v>277</v>
      </c>
      <c r="G2256" s="77" t="n">
        <v>4</v>
      </c>
      <c r="H2256" s="77" t="n">
        <v>0</v>
      </c>
      <c r="I2256" s="76" t="n">
        <f aca="false">IF(AND(ISNUMBER(G2256),ISNUMBER(H2256)),MAX(G2256-H2256,0),"")</f>
        <v>4</v>
      </c>
      <c r="J2256" s="78" t="n">
        <f aca="false">IF(AND(ISNUMBER(G2256),ISNUMBER(H2256)),IF(G2256&gt;0,H2256/G2256,""),"")</f>
        <v>0</v>
      </c>
      <c r="K2256" s="77"/>
      <c r="L2256" s="76" t="str">
        <f aca="false">IF(OR(G2256="",H2256=""),"Data tidak lengkap",IF(AND(G2256=0,H2256=0),IF(AND(F2256="",K2256=""),"Tidak dibuka","Tutup"),IF(H2256&gt;G2256,"Lebih kapasitas",IF(H2256=G2256,"Penuh",IF(H2256=0,IF(F2256="","Slot kosong","Belum terisi"),"Sebagian")))))</f>
        <v>Belum terisi</v>
      </c>
      <c r="M2256" s="79" t="str">
        <f aca="false">IF(L2256="Tidak dibuka","–",IF(F2256="","(tanpa age group)",F2256)&amp;"  "&amp;IF(H2256="","?",H2256)&amp;"/"&amp;IF(G2256="","?",G2256)&amp;CHAR(10)&amp;IF(K2256="","coach: –","coach: "&amp;K2256))</f>
        <v>Little  0/4
coach: –</v>
      </c>
    </row>
    <row r="2257" customFormat="false" ht="22.35" hidden="false" customHeight="false" outlineLevel="0" collapsed="false">
      <c r="A2257" s="76" t="str">
        <f aca="false">B2257&amp;"|"&amp;C2257&amp;"|"&amp;D2257&amp;"|"&amp;E2257</f>
        <v>HIB|3|Minggu|08:15</v>
      </c>
      <c r="B2257" s="76" t="s">
        <v>71</v>
      </c>
      <c r="C2257" s="76" t="n">
        <v>3</v>
      </c>
      <c r="D2257" s="76" t="s">
        <v>78</v>
      </c>
      <c r="E2257" s="76" t="s">
        <v>96</v>
      </c>
      <c r="F2257" s="77" t="s">
        <v>277</v>
      </c>
      <c r="G2257" s="77" t="n">
        <v>4</v>
      </c>
      <c r="H2257" s="77" t="n">
        <v>0</v>
      </c>
      <c r="I2257" s="76" t="n">
        <f aca="false">IF(AND(ISNUMBER(G2257),ISNUMBER(H2257)),MAX(G2257-H2257,0),"")</f>
        <v>4</v>
      </c>
      <c r="J2257" s="78" t="n">
        <f aca="false">IF(AND(ISNUMBER(G2257),ISNUMBER(H2257)),IF(G2257&gt;0,H2257/G2257,""),"")</f>
        <v>0</v>
      </c>
      <c r="K2257" s="77"/>
      <c r="L2257" s="76" t="str">
        <f aca="false">IF(OR(G2257="",H2257=""),"Data tidak lengkap",IF(AND(G2257=0,H2257=0),IF(AND(F2257="",K2257=""),"Tidak dibuka","Tutup"),IF(H2257&gt;G2257,"Lebih kapasitas",IF(H2257=G2257,"Penuh",IF(H2257=0,IF(F2257="","Slot kosong","Belum terisi"),"Sebagian")))))</f>
        <v>Belum terisi</v>
      </c>
      <c r="M2257" s="79" t="str">
        <f aca="false">IF(L2257="Tidak dibuka","–",IF(F2257="","(tanpa age group)",F2257)&amp;"  "&amp;IF(H2257="","?",H2257)&amp;"/"&amp;IF(G2257="","?",G2257)&amp;CHAR(10)&amp;IF(K2257="","coach: –","coach: "&amp;K2257))</f>
        <v>Little  0/4
coach: –</v>
      </c>
    </row>
    <row r="2258" customFormat="false" ht="22.35" hidden="false" customHeight="false" outlineLevel="0" collapsed="false">
      <c r="A2258" s="76" t="str">
        <f aca="false">B2258&amp;"|"&amp;C2258&amp;"|"&amp;D2258&amp;"|"&amp;E2258</f>
        <v>HIB|3|Minggu|09:00</v>
      </c>
      <c r="B2258" s="76" t="s">
        <v>71</v>
      </c>
      <c r="C2258" s="76" t="n">
        <v>3</v>
      </c>
      <c r="D2258" s="76" t="s">
        <v>78</v>
      </c>
      <c r="E2258" s="76" t="s">
        <v>97</v>
      </c>
      <c r="F2258" s="77" t="s">
        <v>277</v>
      </c>
      <c r="G2258" s="77" t="n">
        <v>4</v>
      </c>
      <c r="H2258" s="77" t="n">
        <v>3</v>
      </c>
      <c r="I2258" s="76" t="n">
        <f aca="false">IF(AND(ISNUMBER(G2258),ISNUMBER(H2258)),MAX(G2258-H2258,0),"")</f>
        <v>1</v>
      </c>
      <c r="J2258" s="78" t="n">
        <f aca="false">IF(AND(ISNUMBER(G2258),ISNUMBER(H2258)),IF(G2258&gt;0,H2258/G2258,""),"")</f>
        <v>0.75</v>
      </c>
      <c r="K2258" s="77" t="s">
        <v>485</v>
      </c>
      <c r="L2258" s="76" t="str">
        <f aca="false">IF(OR(G2258="",H2258=""),"Data tidak lengkap",IF(AND(G2258=0,H2258=0),IF(AND(F2258="",K2258=""),"Tidak dibuka","Tutup"),IF(H2258&gt;G2258,"Lebih kapasitas",IF(H2258=G2258,"Penuh",IF(H2258=0,IF(F2258="","Slot kosong","Belum terisi"),"Sebagian")))))</f>
        <v>Sebagian</v>
      </c>
      <c r="M2258" s="79" t="str">
        <f aca="false">IF(L2258="Tidak dibuka","–",IF(F2258="","(tanpa age group)",F2258)&amp;"  "&amp;IF(H2258="","?",H2258)&amp;"/"&amp;IF(G2258="","?",G2258)&amp;CHAR(10)&amp;IF(K2258="","coach: –","coach: "&amp;K2258))</f>
        <v>Little  3/4
coach: Silvi</v>
      </c>
    </row>
    <row r="2259" customFormat="false" ht="22.35" hidden="false" customHeight="false" outlineLevel="0" collapsed="false">
      <c r="A2259" s="76" t="str">
        <f aca="false">B2259&amp;"|"&amp;C2259&amp;"|"&amp;D2259&amp;"|"&amp;E2259</f>
        <v>HIB|3|Minggu|09:45</v>
      </c>
      <c r="B2259" s="76" t="s">
        <v>71</v>
      </c>
      <c r="C2259" s="76" t="n">
        <v>3</v>
      </c>
      <c r="D2259" s="76" t="s">
        <v>78</v>
      </c>
      <c r="E2259" s="76" t="s">
        <v>98</v>
      </c>
      <c r="F2259" s="77" t="s">
        <v>277</v>
      </c>
      <c r="G2259" s="77" t="n">
        <v>4</v>
      </c>
      <c r="H2259" s="77" t="n">
        <v>3</v>
      </c>
      <c r="I2259" s="76" t="n">
        <f aca="false">IF(AND(ISNUMBER(G2259),ISNUMBER(H2259)),MAX(G2259-H2259,0),"")</f>
        <v>1</v>
      </c>
      <c r="J2259" s="78" t="n">
        <f aca="false">IF(AND(ISNUMBER(G2259),ISNUMBER(H2259)),IF(G2259&gt;0,H2259/G2259,""),"")</f>
        <v>0.75</v>
      </c>
      <c r="K2259" s="77" t="s">
        <v>486</v>
      </c>
      <c r="L2259" s="76" t="str">
        <f aca="false">IF(OR(G2259="",H2259=""),"Data tidak lengkap",IF(AND(G2259=0,H2259=0),IF(AND(F2259="",K2259=""),"Tidak dibuka","Tutup"),IF(H2259&gt;G2259,"Lebih kapasitas",IF(H2259=G2259,"Penuh",IF(H2259=0,IF(F2259="","Slot kosong","Belum terisi"),"Sebagian")))))</f>
        <v>Sebagian</v>
      </c>
      <c r="M2259" s="79" t="str">
        <f aca="false">IF(L2259="Tidak dibuka","–",IF(F2259="","(tanpa age group)",F2259)&amp;"  "&amp;IF(H2259="","?",H2259)&amp;"/"&amp;IF(G2259="","?",G2259)&amp;CHAR(10)&amp;IF(K2259="","coach: –","coach: "&amp;K2259))</f>
        <v>Little  3/4
coach: Angga</v>
      </c>
    </row>
    <row r="2260" customFormat="false" ht="22.35" hidden="false" customHeight="false" outlineLevel="0" collapsed="false">
      <c r="A2260" s="76" t="str">
        <f aca="false">B2260&amp;"|"&amp;C2260&amp;"|"&amp;D2260&amp;"|"&amp;E2260</f>
        <v>HIB|3|Minggu|10:30</v>
      </c>
      <c r="B2260" s="76" t="s">
        <v>71</v>
      </c>
      <c r="C2260" s="76" t="n">
        <v>3</v>
      </c>
      <c r="D2260" s="76" t="s">
        <v>78</v>
      </c>
      <c r="E2260" s="76" t="s">
        <v>99</v>
      </c>
      <c r="F2260" s="77" t="s">
        <v>277</v>
      </c>
      <c r="G2260" s="77" t="n">
        <v>4</v>
      </c>
      <c r="H2260" s="77" t="n">
        <v>4</v>
      </c>
      <c r="I2260" s="76" t="n">
        <f aca="false">IF(AND(ISNUMBER(G2260),ISNUMBER(H2260)),MAX(G2260-H2260,0),"")</f>
        <v>0</v>
      </c>
      <c r="J2260" s="78" t="n">
        <f aca="false">IF(AND(ISNUMBER(G2260),ISNUMBER(H2260)),IF(G2260&gt;0,H2260/G2260,""),"")</f>
        <v>1</v>
      </c>
      <c r="K2260" s="77" t="s">
        <v>483</v>
      </c>
      <c r="L2260" s="76" t="str">
        <f aca="false">IF(OR(G2260="",H2260=""),"Data tidak lengkap",IF(AND(G2260=0,H2260=0),IF(AND(F2260="",K2260=""),"Tidak dibuka","Tutup"),IF(H2260&gt;G2260,"Lebih kapasitas",IF(H2260=G2260,"Penuh",IF(H2260=0,IF(F2260="","Slot kosong","Belum terisi"),"Sebagian")))))</f>
        <v>Penuh</v>
      </c>
      <c r="M2260" s="79" t="str">
        <f aca="false">IF(L2260="Tidak dibuka","–",IF(F2260="","(tanpa age group)",F2260)&amp;"  "&amp;IF(H2260="","?",H2260)&amp;"/"&amp;IF(G2260="","?",G2260)&amp;CHAR(10)&amp;IF(K2260="","coach: –","coach: "&amp;K2260))</f>
        <v>Little  4/4
coach: Juan</v>
      </c>
    </row>
    <row r="2261" customFormat="false" ht="22.35" hidden="false" customHeight="false" outlineLevel="0" collapsed="false">
      <c r="A2261" s="76" t="str">
        <f aca="false">B2261&amp;"|"&amp;C2261&amp;"|"&amp;D2261&amp;"|"&amp;E2261</f>
        <v>HIB|3|Minggu|11:15</v>
      </c>
      <c r="B2261" s="76" t="s">
        <v>71</v>
      </c>
      <c r="C2261" s="76" t="n">
        <v>3</v>
      </c>
      <c r="D2261" s="76" t="s">
        <v>78</v>
      </c>
      <c r="E2261" s="76" t="s">
        <v>100</v>
      </c>
      <c r="F2261" s="77" t="s">
        <v>277</v>
      </c>
      <c r="G2261" s="77" t="n">
        <v>4</v>
      </c>
      <c r="H2261" s="77" t="n">
        <v>2</v>
      </c>
      <c r="I2261" s="76" t="n">
        <f aca="false">IF(AND(ISNUMBER(G2261),ISNUMBER(H2261)),MAX(G2261-H2261,0),"")</f>
        <v>2</v>
      </c>
      <c r="J2261" s="78" t="n">
        <f aca="false">IF(AND(ISNUMBER(G2261),ISNUMBER(H2261)),IF(G2261&gt;0,H2261/G2261,""),"")</f>
        <v>0.5</v>
      </c>
      <c r="K2261" s="77" t="s">
        <v>488</v>
      </c>
      <c r="L2261" s="76" t="str">
        <f aca="false">IF(OR(G2261="",H2261=""),"Data tidak lengkap",IF(AND(G2261=0,H2261=0),IF(AND(F2261="",K2261=""),"Tidak dibuka","Tutup"),IF(H2261&gt;G2261,"Lebih kapasitas",IF(H2261=G2261,"Penuh",IF(H2261=0,IF(F2261="","Slot kosong","Belum terisi"),"Sebagian")))))</f>
        <v>Sebagian</v>
      </c>
      <c r="M2261" s="79" t="str">
        <f aca="false">IF(L2261="Tidak dibuka","–",IF(F2261="","(tanpa age group)",F2261)&amp;"  "&amp;IF(H2261="","?",H2261)&amp;"/"&amp;IF(G2261="","?",G2261)&amp;CHAR(10)&amp;IF(K2261="","coach: –","coach: "&amp;K2261))</f>
        <v>Little  2/4
coach: Indra</v>
      </c>
    </row>
    <row r="2262" customFormat="false" ht="22.35" hidden="false" customHeight="false" outlineLevel="0" collapsed="false">
      <c r="A2262" s="76" t="str">
        <f aca="false">B2262&amp;"|"&amp;C2262&amp;"|"&amp;D2262&amp;"|"&amp;E2262</f>
        <v>HIB|3|Minggu|12:00</v>
      </c>
      <c r="B2262" s="76" t="s">
        <v>71</v>
      </c>
      <c r="C2262" s="76" t="n">
        <v>3</v>
      </c>
      <c r="D2262" s="76" t="s">
        <v>78</v>
      </c>
      <c r="E2262" s="76" t="s">
        <v>101</v>
      </c>
      <c r="F2262" s="77" t="s">
        <v>277</v>
      </c>
      <c r="G2262" s="77" t="n">
        <v>4</v>
      </c>
      <c r="H2262" s="77" t="n">
        <v>0</v>
      </c>
      <c r="I2262" s="76" t="n">
        <f aca="false">IF(AND(ISNUMBER(G2262),ISNUMBER(H2262)),MAX(G2262-H2262,0),"")</f>
        <v>4</v>
      </c>
      <c r="J2262" s="78" t="n">
        <f aca="false">IF(AND(ISNUMBER(G2262),ISNUMBER(H2262)),IF(G2262&gt;0,H2262/G2262,""),"")</f>
        <v>0</v>
      </c>
      <c r="K2262" s="77"/>
      <c r="L2262" s="76" t="str">
        <f aca="false">IF(OR(G2262="",H2262=""),"Data tidak lengkap",IF(AND(G2262=0,H2262=0),IF(AND(F2262="",K2262=""),"Tidak dibuka","Tutup"),IF(H2262&gt;G2262,"Lebih kapasitas",IF(H2262=G2262,"Penuh",IF(H2262=0,IF(F2262="","Slot kosong","Belum terisi"),"Sebagian")))))</f>
        <v>Belum terisi</v>
      </c>
      <c r="M2262" s="79" t="str">
        <f aca="false">IF(L2262="Tidak dibuka","–",IF(F2262="","(tanpa age group)",F2262)&amp;"  "&amp;IF(H2262="","?",H2262)&amp;"/"&amp;IF(G2262="","?",G2262)&amp;CHAR(10)&amp;IF(K2262="","coach: –","coach: "&amp;K2262))</f>
        <v>Little  0/4
coach: –</v>
      </c>
    </row>
    <row r="2263" customFormat="false" ht="22.35" hidden="false" customHeight="false" outlineLevel="0" collapsed="false">
      <c r="A2263" s="76" t="str">
        <f aca="false">B2263&amp;"|"&amp;C2263&amp;"|"&amp;D2263&amp;"|"&amp;E2263</f>
        <v>HIB|3|Minggu|13:30</v>
      </c>
      <c r="B2263" s="76" t="s">
        <v>71</v>
      </c>
      <c r="C2263" s="76" t="n">
        <v>3</v>
      </c>
      <c r="D2263" s="76" t="s">
        <v>78</v>
      </c>
      <c r="E2263" s="76" t="s">
        <v>102</v>
      </c>
      <c r="F2263" s="77" t="s">
        <v>277</v>
      </c>
      <c r="G2263" s="77" t="n">
        <v>4</v>
      </c>
      <c r="H2263" s="77" t="n">
        <v>0</v>
      </c>
      <c r="I2263" s="76" t="n">
        <f aca="false">IF(AND(ISNUMBER(G2263),ISNUMBER(H2263)),MAX(G2263-H2263,0),"")</f>
        <v>4</v>
      </c>
      <c r="J2263" s="78" t="n">
        <f aca="false">IF(AND(ISNUMBER(G2263),ISNUMBER(H2263)),IF(G2263&gt;0,H2263/G2263,""),"")</f>
        <v>0</v>
      </c>
      <c r="K2263" s="77"/>
      <c r="L2263" s="76" t="str">
        <f aca="false">IF(OR(G2263="",H2263=""),"Data tidak lengkap",IF(AND(G2263=0,H2263=0),IF(AND(F2263="",K2263=""),"Tidak dibuka","Tutup"),IF(H2263&gt;G2263,"Lebih kapasitas",IF(H2263=G2263,"Penuh",IF(H2263=0,IF(F2263="","Slot kosong","Belum terisi"),"Sebagian")))))</f>
        <v>Belum terisi</v>
      </c>
      <c r="M2263" s="79" t="str">
        <f aca="false">IF(L2263="Tidak dibuka","–",IF(F2263="","(tanpa age group)",F2263)&amp;"  "&amp;IF(H2263="","?",H2263)&amp;"/"&amp;IF(G2263="","?",G2263)&amp;CHAR(10)&amp;IF(K2263="","coach: –","coach: "&amp;K2263))</f>
        <v>Little  0/4
coach: –</v>
      </c>
    </row>
    <row r="2264" customFormat="false" ht="22.35" hidden="false" customHeight="false" outlineLevel="0" collapsed="false">
      <c r="A2264" s="76" t="str">
        <f aca="false">B2264&amp;"|"&amp;C2264&amp;"|"&amp;D2264&amp;"|"&amp;E2264</f>
        <v>HIB|3|Minggu|14:15</v>
      </c>
      <c r="B2264" s="76" t="s">
        <v>71</v>
      </c>
      <c r="C2264" s="76" t="n">
        <v>3</v>
      </c>
      <c r="D2264" s="76" t="s">
        <v>78</v>
      </c>
      <c r="E2264" s="76" t="s">
        <v>103</v>
      </c>
      <c r="F2264" s="77" t="s">
        <v>277</v>
      </c>
      <c r="G2264" s="77" t="n">
        <v>4</v>
      </c>
      <c r="H2264" s="77" t="n">
        <v>0</v>
      </c>
      <c r="I2264" s="76" t="n">
        <f aca="false">IF(AND(ISNUMBER(G2264),ISNUMBER(H2264)),MAX(G2264-H2264,0),"")</f>
        <v>4</v>
      </c>
      <c r="J2264" s="78" t="n">
        <f aca="false">IF(AND(ISNUMBER(G2264),ISNUMBER(H2264)),IF(G2264&gt;0,H2264/G2264,""),"")</f>
        <v>0</v>
      </c>
      <c r="K2264" s="77"/>
      <c r="L2264" s="76" t="str">
        <f aca="false">IF(OR(G2264="",H2264=""),"Data tidak lengkap",IF(AND(G2264=0,H2264=0),IF(AND(F2264="",K2264=""),"Tidak dibuka","Tutup"),IF(H2264&gt;G2264,"Lebih kapasitas",IF(H2264=G2264,"Penuh",IF(H2264=0,IF(F2264="","Slot kosong","Belum terisi"),"Sebagian")))))</f>
        <v>Belum terisi</v>
      </c>
      <c r="M2264" s="79" t="str">
        <f aca="false">IF(L2264="Tidak dibuka","–",IF(F2264="","(tanpa age group)",F2264)&amp;"  "&amp;IF(H2264="","?",H2264)&amp;"/"&amp;IF(G2264="","?",G2264)&amp;CHAR(10)&amp;IF(K2264="","coach: –","coach: "&amp;K2264))</f>
        <v>Little  0/4
coach: –</v>
      </c>
    </row>
    <row r="2265" customFormat="false" ht="22.35" hidden="false" customHeight="false" outlineLevel="0" collapsed="false">
      <c r="A2265" s="76" t="str">
        <f aca="false">B2265&amp;"|"&amp;C2265&amp;"|"&amp;D2265&amp;"|"&amp;E2265</f>
        <v>HIB|3|Minggu|15:00</v>
      </c>
      <c r="B2265" s="76" t="s">
        <v>71</v>
      </c>
      <c r="C2265" s="76" t="n">
        <v>3</v>
      </c>
      <c r="D2265" s="76" t="s">
        <v>78</v>
      </c>
      <c r="E2265" s="76" t="s">
        <v>104</v>
      </c>
      <c r="F2265" s="77" t="s">
        <v>277</v>
      </c>
      <c r="G2265" s="77" t="n">
        <v>4</v>
      </c>
      <c r="H2265" s="77" t="n">
        <v>0</v>
      </c>
      <c r="I2265" s="76" t="n">
        <f aca="false">IF(AND(ISNUMBER(G2265),ISNUMBER(H2265)),MAX(G2265-H2265,0),"")</f>
        <v>4</v>
      </c>
      <c r="J2265" s="78" t="n">
        <f aca="false">IF(AND(ISNUMBER(G2265),ISNUMBER(H2265)),IF(G2265&gt;0,H2265/G2265,""),"")</f>
        <v>0</v>
      </c>
      <c r="K2265" s="77"/>
      <c r="L2265" s="76" t="str">
        <f aca="false">IF(OR(G2265="",H2265=""),"Data tidak lengkap",IF(AND(G2265=0,H2265=0),IF(AND(F2265="",K2265=""),"Tidak dibuka","Tutup"),IF(H2265&gt;G2265,"Lebih kapasitas",IF(H2265=G2265,"Penuh",IF(H2265=0,IF(F2265="","Slot kosong","Belum terisi"),"Sebagian")))))</f>
        <v>Belum terisi</v>
      </c>
      <c r="M2265" s="79" t="str">
        <f aca="false">IF(L2265="Tidak dibuka","–",IF(F2265="","(tanpa age group)",F2265)&amp;"  "&amp;IF(H2265="","?",H2265)&amp;"/"&amp;IF(G2265="","?",G2265)&amp;CHAR(10)&amp;IF(K2265="","coach: –","coach: "&amp;K2265))</f>
        <v>Little  0/4
coach: –</v>
      </c>
    </row>
    <row r="2266" customFormat="false" ht="22.35" hidden="false" customHeight="false" outlineLevel="0" collapsed="false">
      <c r="A2266" s="76" t="str">
        <f aca="false">B2266&amp;"|"&amp;C2266&amp;"|"&amp;D2266&amp;"|"&amp;E2266</f>
        <v>HIB|3|Minggu|15:45</v>
      </c>
      <c r="B2266" s="76" t="s">
        <v>71</v>
      </c>
      <c r="C2266" s="76" t="n">
        <v>3</v>
      </c>
      <c r="D2266" s="76" t="s">
        <v>78</v>
      </c>
      <c r="E2266" s="76" t="s">
        <v>105</v>
      </c>
      <c r="F2266" s="77" t="s">
        <v>277</v>
      </c>
      <c r="G2266" s="77" t="n">
        <v>4</v>
      </c>
      <c r="H2266" s="77" t="n">
        <v>1</v>
      </c>
      <c r="I2266" s="76" t="n">
        <f aca="false">IF(AND(ISNUMBER(G2266),ISNUMBER(H2266)),MAX(G2266-H2266,0),"")</f>
        <v>3</v>
      </c>
      <c r="J2266" s="78" t="n">
        <f aca="false">IF(AND(ISNUMBER(G2266),ISNUMBER(H2266)),IF(G2266&gt;0,H2266/G2266,""),"")</f>
        <v>0.25</v>
      </c>
      <c r="K2266" s="77" t="s">
        <v>483</v>
      </c>
      <c r="L2266" s="76" t="str">
        <f aca="false">IF(OR(G2266="",H2266=""),"Data tidak lengkap",IF(AND(G2266=0,H2266=0),IF(AND(F2266="",K2266=""),"Tidak dibuka","Tutup"),IF(H2266&gt;G2266,"Lebih kapasitas",IF(H2266=G2266,"Penuh",IF(H2266=0,IF(F2266="","Slot kosong","Belum terisi"),"Sebagian")))))</f>
        <v>Sebagian</v>
      </c>
      <c r="M2266" s="79" t="str">
        <f aca="false">IF(L2266="Tidak dibuka","–",IF(F2266="","(tanpa age group)",F2266)&amp;"  "&amp;IF(H2266="","?",H2266)&amp;"/"&amp;IF(G2266="","?",G2266)&amp;CHAR(10)&amp;IF(K2266="","coach: –","coach: "&amp;K2266))</f>
        <v>Little  1/4
coach: Juan</v>
      </c>
    </row>
    <row r="2267" customFormat="false" ht="22.35" hidden="false" customHeight="false" outlineLevel="0" collapsed="false">
      <c r="A2267" s="76" t="str">
        <f aca="false">B2267&amp;"|"&amp;C2267&amp;"|"&amp;D2267&amp;"|"&amp;E2267</f>
        <v>HIB|3|Minggu|16:30</v>
      </c>
      <c r="B2267" s="76" t="s">
        <v>71</v>
      </c>
      <c r="C2267" s="76" t="n">
        <v>3</v>
      </c>
      <c r="D2267" s="76" t="s">
        <v>78</v>
      </c>
      <c r="E2267" s="76" t="s">
        <v>106</v>
      </c>
      <c r="F2267" s="77" t="s">
        <v>277</v>
      </c>
      <c r="G2267" s="77" t="n">
        <v>4</v>
      </c>
      <c r="H2267" s="77" t="n">
        <v>0</v>
      </c>
      <c r="I2267" s="76" t="n">
        <f aca="false">IF(AND(ISNUMBER(G2267),ISNUMBER(H2267)),MAX(G2267-H2267,0),"")</f>
        <v>4</v>
      </c>
      <c r="J2267" s="78" t="n">
        <f aca="false">IF(AND(ISNUMBER(G2267),ISNUMBER(H2267)),IF(G2267&gt;0,H2267/G2267,""),"")</f>
        <v>0</v>
      </c>
      <c r="K2267" s="77"/>
      <c r="L2267" s="76" t="str">
        <f aca="false">IF(OR(G2267="",H2267=""),"Data tidak lengkap",IF(AND(G2267=0,H2267=0),IF(AND(F2267="",K2267=""),"Tidak dibuka","Tutup"),IF(H2267&gt;G2267,"Lebih kapasitas",IF(H2267=G2267,"Penuh",IF(H2267=0,IF(F2267="","Slot kosong","Belum terisi"),"Sebagian")))))</f>
        <v>Belum terisi</v>
      </c>
      <c r="M2267" s="79" t="str">
        <f aca="false">IF(L2267="Tidak dibuka","–",IF(F2267="","(tanpa age group)",F2267)&amp;"  "&amp;IF(H2267="","?",H2267)&amp;"/"&amp;IF(G2267="","?",G2267)&amp;CHAR(10)&amp;IF(K2267="","coach: –","coach: "&amp;K2267))</f>
        <v>Little  0/4
coach: –</v>
      </c>
    </row>
    <row r="2268" customFormat="false" ht="22.35" hidden="false" customHeight="false" outlineLevel="0" collapsed="false">
      <c r="A2268" s="76" t="str">
        <f aca="false">B2268&amp;"|"&amp;C2268&amp;"|"&amp;D2268&amp;"|"&amp;E2268</f>
        <v>HIB|3|Minggu|17:15</v>
      </c>
      <c r="B2268" s="76" t="s">
        <v>71</v>
      </c>
      <c r="C2268" s="76" t="n">
        <v>3</v>
      </c>
      <c r="D2268" s="76" t="s">
        <v>78</v>
      </c>
      <c r="E2268" s="76" t="s">
        <v>107</v>
      </c>
      <c r="F2268" s="77" t="s">
        <v>277</v>
      </c>
      <c r="G2268" s="77" t="n">
        <v>4</v>
      </c>
      <c r="H2268" s="77" t="n">
        <v>0</v>
      </c>
      <c r="I2268" s="76" t="n">
        <f aca="false">IF(AND(ISNUMBER(G2268),ISNUMBER(H2268)),MAX(G2268-H2268,0),"")</f>
        <v>4</v>
      </c>
      <c r="J2268" s="78" t="n">
        <f aca="false">IF(AND(ISNUMBER(G2268),ISNUMBER(H2268)),IF(G2268&gt;0,H2268/G2268,""),"")</f>
        <v>0</v>
      </c>
      <c r="K2268" s="77"/>
      <c r="L2268" s="76" t="str">
        <f aca="false">IF(OR(G2268="",H2268=""),"Data tidak lengkap",IF(AND(G2268=0,H2268=0),IF(AND(F2268="",K2268=""),"Tidak dibuka","Tutup"),IF(H2268&gt;G2268,"Lebih kapasitas",IF(H2268=G2268,"Penuh",IF(H2268=0,IF(F2268="","Slot kosong","Belum terisi"),"Sebagian")))))</f>
        <v>Belum terisi</v>
      </c>
      <c r="M2268" s="79" t="str">
        <f aca="false">IF(L2268="Tidak dibuka","–",IF(F2268="","(tanpa age group)",F2268)&amp;"  "&amp;IF(H2268="","?",H2268)&amp;"/"&amp;IF(G2268="","?",G2268)&amp;CHAR(10)&amp;IF(K2268="","coach: –","coach: "&amp;K2268))</f>
        <v>Little  0/4
coach: –</v>
      </c>
    </row>
    <row r="2269" customFormat="false" ht="22.35" hidden="false" customHeight="false" outlineLevel="0" collapsed="false">
      <c r="A2269" s="76" t="str">
        <f aca="false">B2269&amp;"|"&amp;C2269&amp;"|"&amp;D2269&amp;"|"&amp;E2269</f>
        <v>HIB|4|Senin|08:15</v>
      </c>
      <c r="B2269" s="76" t="s">
        <v>71</v>
      </c>
      <c r="C2269" s="76" t="n">
        <v>4</v>
      </c>
      <c r="D2269" s="76" t="s">
        <v>90</v>
      </c>
      <c r="E2269" s="76" t="s">
        <v>96</v>
      </c>
      <c r="F2269" s="77" t="s">
        <v>210</v>
      </c>
      <c r="G2269" s="77" t="n">
        <v>4</v>
      </c>
      <c r="H2269" s="77" t="n">
        <v>0</v>
      </c>
      <c r="I2269" s="76" t="n">
        <f aca="false">IF(AND(ISNUMBER(G2269),ISNUMBER(H2269)),MAX(G2269-H2269,0),"")</f>
        <v>4</v>
      </c>
      <c r="J2269" s="78" t="n">
        <f aca="false">IF(AND(ISNUMBER(G2269),ISNUMBER(H2269)),IF(G2269&gt;0,H2269/G2269,""),"")</f>
        <v>0</v>
      </c>
      <c r="K2269" s="77"/>
      <c r="L2269" s="76" t="str">
        <f aca="false">IF(OR(G2269="",H2269=""),"Data tidak lengkap",IF(AND(G2269=0,H2269=0),IF(AND(F2269="",K2269=""),"Tidak dibuka","Tutup"),IF(H2269&gt;G2269,"Lebih kapasitas",IF(H2269=G2269,"Penuh",IF(H2269=0,IF(F2269="","Slot kosong","Belum terisi"),"Sebagian")))))</f>
        <v>Belum terisi</v>
      </c>
      <c r="M2269" s="79" t="str">
        <f aca="false">IF(L2269="Tidak dibuka","–",IF(F2269="","(tanpa age group)",F2269)&amp;"  "&amp;IF(H2269="","?",H2269)&amp;"/"&amp;IF(G2269="","?",G2269)&amp;CHAR(10)&amp;IF(K2269="","coach: –","coach: "&amp;K2269))</f>
        <v>Kids  0/4
coach: –</v>
      </c>
    </row>
    <row r="2270" customFormat="false" ht="22.35" hidden="false" customHeight="false" outlineLevel="0" collapsed="false">
      <c r="A2270" s="76" t="str">
        <f aca="false">B2270&amp;"|"&amp;C2270&amp;"|"&amp;D2270&amp;"|"&amp;E2270</f>
        <v>HIB|4|Senin|09:00</v>
      </c>
      <c r="B2270" s="76" t="s">
        <v>71</v>
      </c>
      <c r="C2270" s="76" t="n">
        <v>4</v>
      </c>
      <c r="D2270" s="76" t="s">
        <v>90</v>
      </c>
      <c r="E2270" s="76" t="s">
        <v>97</v>
      </c>
      <c r="F2270" s="77" t="s">
        <v>210</v>
      </c>
      <c r="G2270" s="77" t="n">
        <v>4</v>
      </c>
      <c r="H2270" s="77" t="n">
        <v>0</v>
      </c>
      <c r="I2270" s="76" t="n">
        <f aca="false">IF(AND(ISNUMBER(G2270),ISNUMBER(H2270)),MAX(G2270-H2270,0),"")</f>
        <v>4</v>
      </c>
      <c r="J2270" s="78" t="n">
        <f aca="false">IF(AND(ISNUMBER(G2270),ISNUMBER(H2270)),IF(G2270&gt;0,H2270/G2270,""),"")</f>
        <v>0</v>
      </c>
      <c r="K2270" s="77"/>
      <c r="L2270" s="76" t="str">
        <f aca="false">IF(OR(G2270="",H2270=""),"Data tidak lengkap",IF(AND(G2270=0,H2270=0),IF(AND(F2270="",K2270=""),"Tidak dibuka","Tutup"),IF(H2270&gt;G2270,"Lebih kapasitas",IF(H2270=G2270,"Penuh",IF(H2270=0,IF(F2270="","Slot kosong","Belum terisi"),"Sebagian")))))</f>
        <v>Belum terisi</v>
      </c>
      <c r="M2270" s="79" t="str">
        <f aca="false">IF(L2270="Tidak dibuka","–",IF(F2270="","(tanpa age group)",F2270)&amp;"  "&amp;IF(H2270="","?",H2270)&amp;"/"&amp;IF(G2270="","?",G2270)&amp;CHAR(10)&amp;IF(K2270="","coach: –","coach: "&amp;K2270))</f>
        <v>Kids  0/4
coach: –</v>
      </c>
    </row>
    <row r="2271" customFormat="false" ht="22.35" hidden="false" customHeight="false" outlineLevel="0" collapsed="false">
      <c r="A2271" s="76" t="str">
        <f aca="false">B2271&amp;"|"&amp;C2271&amp;"|"&amp;D2271&amp;"|"&amp;E2271</f>
        <v>HIB|4|Senin|09:45</v>
      </c>
      <c r="B2271" s="76" t="s">
        <v>71</v>
      </c>
      <c r="C2271" s="76" t="n">
        <v>4</v>
      </c>
      <c r="D2271" s="76" t="s">
        <v>90</v>
      </c>
      <c r="E2271" s="76" t="s">
        <v>98</v>
      </c>
      <c r="F2271" s="77" t="s">
        <v>210</v>
      </c>
      <c r="G2271" s="77" t="n">
        <v>4</v>
      </c>
      <c r="H2271" s="77" t="n">
        <v>0</v>
      </c>
      <c r="I2271" s="76" t="n">
        <f aca="false">IF(AND(ISNUMBER(G2271),ISNUMBER(H2271)),MAX(G2271-H2271,0),"")</f>
        <v>4</v>
      </c>
      <c r="J2271" s="78" t="n">
        <f aca="false">IF(AND(ISNUMBER(G2271),ISNUMBER(H2271)),IF(G2271&gt;0,H2271/G2271,""),"")</f>
        <v>0</v>
      </c>
      <c r="K2271" s="77"/>
      <c r="L2271" s="76" t="str">
        <f aca="false">IF(OR(G2271="",H2271=""),"Data tidak lengkap",IF(AND(G2271=0,H2271=0),IF(AND(F2271="",K2271=""),"Tidak dibuka","Tutup"),IF(H2271&gt;G2271,"Lebih kapasitas",IF(H2271=G2271,"Penuh",IF(H2271=0,IF(F2271="","Slot kosong","Belum terisi"),"Sebagian")))))</f>
        <v>Belum terisi</v>
      </c>
      <c r="M2271" s="79" t="str">
        <f aca="false">IF(L2271="Tidak dibuka","–",IF(F2271="","(tanpa age group)",F2271)&amp;"  "&amp;IF(H2271="","?",H2271)&amp;"/"&amp;IF(G2271="","?",G2271)&amp;CHAR(10)&amp;IF(K2271="","coach: –","coach: "&amp;K2271))</f>
        <v>Kids  0/4
coach: –</v>
      </c>
    </row>
    <row r="2272" customFormat="false" ht="22.35" hidden="false" customHeight="false" outlineLevel="0" collapsed="false">
      <c r="A2272" s="76" t="str">
        <f aca="false">B2272&amp;"|"&amp;C2272&amp;"|"&amp;D2272&amp;"|"&amp;E2272</f>
        <v>HIB|4|Senin|10:30</v>
      </c>
      <c r="B2272" s="76" t="s">
        <v>71</v>
      </c>
      <c r="C2272" s="76" t="n">
        <v>4</v>
      </c>
      <c r="D2272" s="76" t="s">
        <v>90</v>
      </c>
      <c r="E2272" s="76" t="s">
        <v>99</v>
      </c>
      <c r="F2272" s="77" t="s">
        <v>210</v>
      </c>
      <c r="G2272" s="77" t="n">
        <v>4</v>
      </c>
      <c r="H2272" s="77" t="n">
        <v>0</v>
      </c>
      <c r="I2272" s="76" t="n">
        <f aca="false">IF(AND(ISNUMBER(G2272),ISNUMBER(H2272)),MAX(G2272-H2272,0),"")</f>
        <v>4</v>
      </c>
      <c r="J2272" s="78" t="n">
        <f aca="false">IF(AND(ISNUMBER(G2272),ISNUMBER(H2272)),IF(G2272&gt;0,H2272/G2272,""),"")</f>
        <v>0</v>
      </c>
      <c r="K2272" s="77"/>
      <c r="L2272" s="76" t="str">
        <f aca="false">IF(OR(G2272="",H2272=""),"Data tidak lengkap",IF(AND(G2272=0,H2272=0),IF(AND(F2272="",K2272=""),"Tidak dibuka","Tutup"),IF(H2272&gt;G2272,"Lebih kapasitas",IF(H2272=G2272,"Penuh",IF(H2272=0,IF(F2272="","Slot kosong","Belum terisi"),"Sebagian")))))</f>
        <v>Belum terisi</v>
      </c>
      <c r="M2272" s="79" t="str">
        <f aca="false">IF(L2272="Tidak dibuka","–",IF(F2272="","(tanpa age group)",F2272)&amp;"  "&amp;IF(H2272="","?",H2272)&amp;"/"&amp;IF(G2272="","?",G2272)&amp;CHAR(10)&amp;IF(K2272="","coach: –","coach: "&amp;K2272))</f>
        <v>Kids  0/4
coach: –</v>
      </c>
    </row>
    <row r="2273" customFormat="false" ht="22.35" hidden="false" customHeight="false" outlineLevel="0" collapsed="false">
      <c r="A2273" s="76" t="str">
        <f aca="false">B2273&amp;"|"&amp;C2273&amp;"|"&amp;D2273&amp;"|"&amp;E2273</f>
        <v>HIB|4|Senin|11:15</v>
      </c>
      <c r="B2273" s="76" t="s">
        <v>71</v>
      </c>
      <c r="C2273" s="76" t="n">
        <v>4</v>
      </c>
      <c r="D2273" s="76" t="s">
        <v>90</v>
      </c>
      <c r="E2273" s="76" t="s">
        <v>100</v>
      </c>
      <c r="F2273" s="77" t="s">
        <v>210</v>
      </c>
      <c r="G2273" s="77" t="n">
        <v>4</v>
      </c>
      <c r="H2273" s="77" t="n">
        <v>0</v>
      </c>
      <c r="I2273" s="76" t="n">
        <f aca="false">IF(AND(ISNUMBER(G2273),ISNUMBER(H2273)),MAX(G2273-H2273,0),"")</f>
        <v>4</v>
      </c>
      <c r="J2273" s="78" t="n">
        <f aca="false">IF(AND(ISNUMBER(G2273),ISNUMBER(H2273)),IF(G2273&gt;0,H2273/G2273,""),"")</f>
        <v>0</v>
      </c>
      <c r="K2273" s="77"/>
      <c r="L2273" s="76" t="str">
        <f aca="false">IF(OR(G2273="",H2273=""),"Data tidak lengkap",IF(AND(G2273=0,H2273=0),IF(AND(F2273="",K2273=""),"Tidak dibuka","Tutup"),IF(H2273&gt;G2273,"Lebih kapasitas",IF(H2273=G2273,"Penuh",IF(H2273=0,IF(F2273="","Slot kosong","Belum terisi"),"Sebagian")))))</f>
        <v>Belum terisi</v>
      </c>
      <c r="M2273" s="79" t="str">
        <f aca="false">IF(L2273="Tidak dibuka","–",IF(F2273="","(tanpa age group)",F2273)&amp;"  "&amp;IF(H2273="","?",H2273)&amp;"/"&amp;IF(G2273="","?",G2273)&amp;CHAR(10)&amp;IF(K2273="","coach: –","coach: "&amp;K2273))</f>
        <v>Kids  0/4
coach: –</v>
      </c>
    </row>
    <row r="2274" customFormat="false" ht="22.35" hidden="false" customHeight="false" outlineLevel="0" collapsed="false">
      <c r="A2274" s="76" t="str">
        <f aca="false">B2274&amp;"|"&amp;C2274&amp;"|"&amp;D2274&amp;"|"&amp;E2274</f>
        <v>HIB|4|Senin|12:00</v>
      </c>
      <c r="B2274" s="76" t="s">
        <v>71</v>
      </c>
      <c r="C2274" s="76" t="n">
        <v>4</v>
      </c>
      <c r="D2274" s="76" t="s">
        <v>90</v>
      </c>
      <c r="E2274" s="76" t="s">
        <v>101</v>
      </c>
      <c r="F2274" s="77" t="s">
        <v>210</v>
      </c>
      <c r="G2274" s="77" t="n">
        <v>4</v>
      </c>
      <c r="H2274" s="77" t="n">
        <v>0</v>
      </c>
      <c r="I2274" s="76" t="n">
        <f aca="false">IF(AND(ISNUMBER(G2274),ISNUMBER(H2274)),MAX(G2274-H2274,0),"")</f>
        <v>4</v>
      </c>
      <c r="J2274" s="78" t="n">
        <f aca="false">IF(AND(ISNUMBER(G2274),ISNUMBER(H2274)),IF(G2274&gt;0,H2274/G2274,""),"")</f>
        <v>0</v>
      </c>
      <c r="K2274" s="77"/>
      <c r="L2274" s="76" t="str">
        <f aca="false">IF(OR(G2274="",H2274=""),"Data tidak lengkap",IF(AND(G2274=0,H2274=0),IF(AND(F2274="",K2274=""),"Tidak dibuka","Tutup"),IF(H2274&gt;G2274,"Lebih kapasitas",IF(H2274=G2274,"Penuh",IF(H2274=0,IF(F2274="","Slot kosong","Belum terisi"),"Sebagian")))))</f>
        <v>Belum terisi</v>
      </c>
      <c r="M2274" s="79" t="str">
        <f aca="false">IF(L2274="Tidak dibuka","–",IF(F2274="","(tanpa age group)",F2274)&amp;"  "&amp;IF(H2274="","?",H2274)&amp;"/"&amp;IF(G2274="","?",G2274)&amp;CHAR(10)&amp;IF(K2274="","coach: –","coach: "&amp;K2274))</f>
        <v>Kids  0/4
coach: –</v>
      </c>
    </row>
    <row r="2275" customFormat="false" ht="22.35" hidden="false" customHeight="false" outlineLevel="0" collapsed="false">
      <c r="A2275" s="76" t="str">
        <f aca="false">B2275&amp;"|"&amp;C2275&amp;"|"&amp;D2275&amp;"|"&amp;E2275</f>
        <v>HIB|4|Senin|13:30</v>
      </c>
      <c r="B2275" s="76" t="s">
        <v>71</v>
      </c>
      <c r="C2275" s="76" t="n">
        <v>4</v>
      </c>
      <c r="D2275" s="76" t="s">
        <v>90</v>
      </c>
      <c r="E2275" s="76" t="s">
        <v>102</v>
      </c>
      <c r="F2275" s="77" t="s">
        <v>210</v>
      </c>
      <c r="G2275" s="77" t="n">
        <v>4</v>
      </c>
      <c r="H2275" s="77" t="n">
        <v>0</v>
      </c>
      <c r="I2275" s="76" t="n">
        <f aca="false">IF(AND(ISNUMBER(G2275),ISNUMBER(H2275)),MAX(G2275-H2275,0),"")</f>
        <v>4</v>
      </c>
      <c r="J2275" s="78" t="n">
        <f aca="false">IF(AND(ISNUMBER(G2275),ISNUMBER(H2275)),IF(G2275&gt;0,H2275/G2275,""),"")</f>
        <v>0</v>
      </c>
      <c r="K2275" s="77"/>
      <c r="L2275" s="76" t="str">
        <f aca="false">IF(OR(G2275="",H2275=""),"Data tidak lengkap",IF(AND(G2275=0,H2275=0),IF(AND(F2275="",K2275=""),"Tidak dibuka","Tutup"),IF(H2275&gt;G2275,"Lebih kapasitas",IF(H2275=G2275,"Penuh",IF(H2275=0,IF(F2275="","Slot kosong","Belum terisi"),"Sebagian")))))</f>
        <v>Belum terisi</v>
      </c>
      <c r="M2275" s="79" t="str">
        <f aca="false">IF(L2275="Tidak dibuka","–",IF(F2275="","(tanpa age group)",F2275)&amp;"  "&amp;IF(H2275="","?",H2275)&amp;"/"&amp;IF(G2275="","?",G2275)&amp;CHAR(10)&amp;IF(K2275="","coach: –","coach: "&amp;K2275))</f>
        <v>Kids  0/4
coach: –</v>
      </c>
    </row>
    <row r="2276" customFormat="false" ht="22.35" hidden="false" customHeight="false" outlineLevel="0" collapsed="false">
      <c r="A2276" s="76" t="str">
        <f aca="false">B2276&amp;"|"&amp;C2276&amp;"|"&amp;D2276&amp;"|"&amp;E2276</f>
        <v>HIB|4|Senin|14:15</v>
      </c>
      <c r="B2276" s="76" t="s">
        <v>71</v>
      </c>
      <c r="C2276" s="76" t="n">
        <v>4</v>
      </c>
      <c r="D2276" s="76" t="s">
        <v>90</v>
      </c>
      <c r="E2276" s="76" t="s">
        <v>103</v>
      </c>
      <c r="F2276" s="77" t="s">
        <v>210</v>
      </c>
      <c r="G2276" s="77" t="n">
        <v>4</v>
      </c>
      <c r="H2276" s="77" t="n">
        <v>0</v>
      </c>
      <c r="I2276" s="76" t="n">
        <f aca="false">IF(AND(ISNUMBER(G2276),ISNUMBER(H2276)),MAX(G2276-H2276,0),"")</f>
        <v>4</v>
      </c>
      <c r="J2276" s="78" t="n">
        <f aca="false">IF(AND(ISNUMBER(G2276),ISNUMBER(H2276)),IF(G2276&gt;0,H2276/G2276,""),"")</f>
        <v>0</v>
      </c>
      <c r="K2276" s="77"/>
      <c r="L2276" s="76" t="str">
        <f aca="false">IF(OR(G2276="",H2276=""),"Data tidak lengkap",IF(AND(G2276=0,H2276=0),IF(AND(F2276="",K2276=""),"Tidak dibuka","Tutup"),IF(H2276&gt;G2276,"Lebih kapasitas",IF(H2276=G2276,"Penuh",IF(H2276=0,IF(F2276="","Slot kosong","Belum terisi"),"Sebagian")))))</f>
        <v>Belum terisi</v>
      </c>
      <c r="M2276" s="79" t="str">
        <f aca="false">IF(L2276="Tidak dibuka","–",IF(F2276="","(tanpa age group)",F2276)&amp;"  "&amp;IF(H2276="","?",H2276)&amp;"/"&amp;IF(G2276="","?",G2276)&amp;CHAR(10)&amp;IF(K2276="","coach: –","coach: "&amp;K2276))</f>
        <v>Kids  0/4
coach: –</v>
      </c>
    </row>
    <row r="2277" customFormat="false" ht="22.35" hidden="false" customHeight="false" outlineLevel="0" collapsed="false">
      <c r="A2277" s="76" t="str">
        <f aca="false">B2277&amp;"|"&amp;C2277&amp;"|"&amp;D2277&amp;"|"&amp;E2277</f>
        <v>HIB|4|Senin|15:00</v>
      </c>
      <c r="B2277" s="76" t="s">
        <v>71</v>
      </c>
      <c r="C2277" s="76" t="n">
        <v>4</v>
      </c>
      <c r="D2277" s="76" t="s">
        <v>90</v>
      </c>
      <c r="E2277" s="76" t="s">
        <v>104</v>
      </c>
      <c r="F2277" s="77" t="s">
        <v>210</v>
      </c>
      <c r="G2277" s="77" t="n">
        <v>4</v>
      </c>
      <c r="H2277" s="77" t="n">
        <v>0</v>
      </c>
      <c r="I2277" s="76" t="n">
        <f aca="false">IF(AND(ISNUMBER(G2277),ISNUMBER(H2277)),MAX(G2277-H2277,0),"")</f>
        <v>4</v>
      </c>
      <c r="J2277" s="78" t="n">
        <f aca="false">IF(AND(ISNUMBER(G2277),ISNUMBER(H2277)),IF(G2277&gt;0,H2277/G2277,""),"")</f>
        <v>0</v>
      </c>
      <c r="K2277" s="77" t="s">
        <v>486</v>
      </c>
      <c r="L2277" s="76" t="str">
        <f aca="false">IF(OR(G2277="",H2277=""),"Data tidak lengkap",IF(AND(G2277=0,H2277=0),IF(AND(F2277="",K2277=""),"Tidak dibuka","Tutup"),IF(H2277&gt;G2277,"Lebih kapasitas",IF(H2277=G2277,"Penuh",IF(H2277=0,IF(F2277="","Slot kosong","Belum terisi"),"Sebagian")))))</f>
        <v>Belum terisi</v>
      </c>
      <c r="M2277" s="79" t="str">
        <f aca="false">IF(L2277="Tidak dibuka","–",IF(F2277="","(tanpa age group)",F2277)&amp;"  "&amp;IF(H2277="","?",H2277)&amp;"/"&amp;IF(G2277="","?",G2277)&amp;CHAR(10)&amp;IF(K2277="","coach: –","coach: "&amp;K2277))</f>
        <v>Kids  0/4
coach: Angga</v>
      </c>
    </row>
    <row r="2278" customFormat="false" ht="22.35" hidden="false" customHeight="false" outlineLevel="0" collapsed="false">
      <c r="A2278" s="76" t="str">
        <f aca="false">B2278&amp;"|"&amp;C2278&amp;"|"&amp;D2278&amp;"|"&amp;E2278</f>
        <v>HIB|4|Senin|15:45</v>
      </c>
      <c r="B2278" s="76" t="s">
        <v>71</v>
      </c>
      <c r="C2278" s="76" t="n">
        <v>4</v>
      </c>
      <c r="D2278" s="76" t="s">
        <v>90</v>
      </c>
      <c r="E2278" s="76" t="s">
        <v>105</v>
      </c>
      <c r="F2278" s="77" t="s">
        <v>210</v>
      </c>
      <c r="G2278" s="77" t="n">
        <v>4</v>
      </c>
      <c r="H2278" s="77" t="n">
        <v>0</v>
      </c>
      <c r="I2278" s="76" t="n">
        <f aca="false">IF(AND(ISNUMBER(G2278),ISNUMBER(H2278)),MAX(G2278-H2278,0),"")</f>
        <v>4</v>
      </c>
      <c r="J2278" s="78" t="n">
        <f aca="false">IF(AND(ISNUMBER(G2278),ISNUMBER(H2278)),IF(G2278&gt;0,H2278/G2278,""),"")</f>
        <v>0</v>
      </c>
      <c r="K2278" s="77"/>
      <c r="L2278" s="76" t="str">
        <f aca="false">IF(OR(G2278="",H2278=""),"Data tidak lengkap",IF(AND(G2278=0,H2278=0),IF(AND(F2278="",K2278=""),"Tidak dibuka","Tutup"),IF(H2278&gt;G2278,"Lebih kapasitas",IF(H2278=G2278,"Penuh",IF(H2278=0,IF(F2278="","Slot kosong","Belum terisi"),"Sebagian")))))</f>
        <v>Belum terisi</v>
      </c>
      <c r="M2278" s="79" t="str">
        <f aca="false">IF(L2278="Tidak dibuka","–",IF(F2278="","(tanpa age group)",F2278)&amp;"  "&amp;IF(H2278="","?",H2278)&amp;"/"&amp;IF(G2278="","?",G2278)&amp;CHAR(10)&amp;IF(K2278="","coach: –","coach: "&amp;K2278))</f>
        <v>Kids  0/4
coach: –</v>
      </c>
    </row>
    <row r="2279" customFormat="false" ht="22.35" hidden="false" customHeight="false" outlineLevel="0" collapsed="false">
      <c r="A2279" s="76" t="str">
        <f aca="false">B2279&amp;"|"&amp;C2279&amp;"|"&amp;D2279&amp;"|"&amp;E2279</f>
        <v>HIB|4|Senin|16:30</v>
      </c>
      <c r="B2279" s="76" t="s">
        <v>71</v>
      </c>
      <c r="C2279" s="76" t="n">
        <v>4</v>
      </c>
      <c r="D2279" s="76" t="s">
        <v>90</v>
      </c>
      <c r="E2279" s="76" t="s">
        <v>106</v>
      </c>
      <c r="F2279" s="77" t="s">
        <v>210</v>
      </c>
      <c r="G2279" s="77" t="n">
        <v>4</v>
      </c>
      <c r="H2279" s="77" t="n">
        <v>1</v>
      </c>
      <c r="I2279" s="76" t="n">
        <f aca="false">IF(AND(ISNUMBER(G2279),ISNUMBER(H2279)),MAX(G2279-H2279,0),"")</f>
        <v>3</v>
      </c>
      <c r="J2279" s="78" t="n">
        <f aca="false">IF(AND(ISNUMBER(G2279),ISNUMBER(H2279)),IF(G2279&gt;0,H2279/G2279,""),"")</f>
        <v>0.25</v>
      </c>
      <c r="K2279" s="77"/>
      <c r="L2279" s="76" t="str">
        <f aca="false">IF(OR(G2279="",H2279=""),"Data tidak lengkap",IF(AND(G2279=0,H2279=0),IF(AND(F2279="",K2279=""),"Tidak dibuka","Tutup"),IF(H2279&gt;G2279,"Lebih kapasitas",IF(H2279=G2279,"Penuh",IF(H2279=0,IF(F2279="","Slot kosong","Belum terisi"),"Sebagian")))))</f>
        <v>Sebagian</v>
      </c>
      <c r="M2279" s="79" t="str">
        <f aca="false">IF(L2279="Tidak dibuka","–",IF(F2279="","(tanpa age group)",F2279)&amp;"  "&amp;IF(H2279="","?",H2279)&amp;"/"&amp;IF(G2279="","?",G2279)&amp;CHAR(10)&amp;IF(K2279="","coach: –","coach: "&amp;K2279))</f>
        <v>Kids  1/4
coach: –</v>
      </c>
    </row>
    <row r="2280" customFormat="false" ht="22.35" hidden="false" customHeight="false" outlineLevel="0" collapsed="false">
      <c r="A2280" s="76" t="str">
        <f aca="false">B2280&amp;"|"&amp;C2280&amp;"|"&amp;D2280&amp;"|"&amp;E2280</f>
        <v>HIB|4|Senin|17:15</v>
      </c>
      <c r="B2280" s="76" t="s">
        <v>71</v>
      </c>
      <c r="C2280" s="76" t="n">
        <v>4</v>
      </c>
      <c r="D2280" s="76" t="s">
        <v>90</v>
      </c>
      <c r="E2280" s="76" t="s">
        <v>107</v>
      </c>
      <c r="F2280" s="77" t="s">
        <v>210</v>
      </c>
      <c r="G2280" s="77" t="n">
        <v>4</v>
      </c>
      <c r="H2280" s="77" t="n">
        <v>2</v>
      </c>
      <c r="I2280" s="76" t="n">
        <f aca="false">IF(AND(ISNUMBER(G2280),ISNUMBER(H2280)),MAX(G2280-H2280,0),"")</f>
        <v>2</v>
      </c>
      <c r="J2280" s="78" t="n">
        <f aca="false">IF(AND(ISNUMBER(G2280),ISNUMBER(H2280)),IF(G2280&gt;0,H2280/G2280,""),"")</f>
        <v>0.5</v>
      </c>
      <c r="K2280" s="77" t="s">
        <v>486</v>
      </c>
      <c r="L2280" s="76" t="str">
        <f aca="false">IF(OR(G2280="",H2280=""),"Data tidak lengkap",IF(AND(G2280=0,H2280=0),IF(AND(F2280="",K2280=""),"Tidak dibuka","Tutup"),IF(H2280&gt;G2280,"Lebih kapasitas",IF(H2280=G2280,"Penuh",IF(H2280=0,IF(F2280="","Slot kosong","Belum terisi"),"Sebagian")))))</f>
        <v>Sebagian</v>
      </c>
      <c r="M2280" s="79" t="str">
        <f aca="false">IF(L2280="Tidak dibuka","–",IF(F2280="","(tanpa age group)",F2280)&amp;"  "&amp;IF(H2280="","?",H2280)&amp;"/"&amp;IF(G2280="","?",G2280)&amp;CHAR(10)&amp;IF(K2280="","coach: –","coach: "&amp;K2280))</f>
        <v>Kids  2/4
coach: Angga</v>
      </c>
    </row>
    <row r="2281" customFormat="false" ht="22.35" hidden="false" customHeight="false" outlineLevel="0" collapsed="false">
      <c r="A2281" s="76" t="str">
        <f aca="false">B2281&amp;"|"&amp;C2281&amp;"|"&amp;D2281&amp;"|"&amp;E2281</f>
        <v>HIB|4|Selasa|08:15</v>
      </c>
      <c r="B2281" s="76" t="s">
        <v>71</v>
      </c>
      <c r="C2281" s="76" t="n">
        <v>4</v>
      </c>
      <c r="D2281" s="76" t="s">
        <v>91</v>
      </c>
      <c r="E2281" s="76" t="s">
        <v>96</v>
      </c>
      <c r="F2281" s="77" t="s">
        <v>210</v>
      </c>
      <c r="G2281" s="77" t="n">
        <v>4</v>
      </c>
      <c r="H2281" s="77" t="n">
        <v>0</v>
      </c>
      <c r="I2281" s="76" t="n">
        <f aca="false">IF(AND(ISNUMBER(G2281),ISNUMBER(H2281)),MAX(G2281-H2281,0),"")</f>
        <v>4</v>
      </c>
      <c r="J2281" s="78" t="n">
        <f aca="false">IF(AND(ISNUMBER(G2281),ISNUMBER(H2281)),IF(G2281&gt;0,H2281/G2281,""),"")</f>
        <v>0</v>
      </c>
      <c r="K2281" s="77"/>
      <c r="L2281" s="76" t="str">
        <f aca="false">IF(OR(G2281="",H2281=""),"Data tidak lengkap",IF(AND(G2281=0,H2281=0),IF(AND(F2281="",K2281=""),"Tidak dibuka","Tutup"),IF(H2281&gt;G2281,"Lebih kapasitas",IF(H2281=G2281,"Penuh",IF(H2281=0,IF(F2281="","Slot kosong","Belum terisi"),"Sebagian")))))</f>
        <v>Belum terisi</v>
      </c>
      <c r="M2281" s="79" t="str">
        <f aca="false">IF(L2281="Tidak dibuka","–",IF(F2281="","(tanpa age group)",F2281)&amp;"  "&amp;IF(H2281="","?",H2281)&amp;"/"&amp;IF(G2281="","?",G2281)&amp;CHAR(10)&amp;IF(K2281="","coach: –","coach: "&amp;K2281))</f>
        <v>Kids  0/4
coach: –</v>
      </c>
    </row>
    <row r="2282" customFormat="false" ht="22.35" hidden="false" customHeight="false" outlineLevel="0" collapsed="false">
      <c r="A2282" s="76" t="str">
        <f aca="false">B2282&amp;"|"&amp;C2282&amp;"|"&amp;D2282&amp;"|"&amp;E2282</f>
        <v>HIB|4|Selasa|09:00</v>
      </c>
      <c r="B2282" s="76" t="s">
        <v>71</v>
      </c>
      <c r="C2282" s="76" t="n">
        <v>4</v>
      </c>
      <c r="D2282" s="76" t="s">
        <v>91</v>
      </c>
      <c r="E2282" s="76" t="s">
        <v>97</v>
      </c>
      <c r="F2282" s="77" t="s">
        <v>210</v>
      </c>
      <c r="G2282" s="77" t="n">
        <v>4</v>
      </c>
      <c r="H2282" s="77" t="n">
        <v>0</v>
      </c>
      <c r="I2282" s="76" t="n">
        <f aca="false">IF(AND(ISNUMBER(G2282),ISNUMBER(H2282)),MAX(G2282-H2282,0),"")</f>
        <v>4</v>
      </c>
      <c r="J2282" s="78" t="n">
        <f aca="false">IF(AND(ISNUMBER(G2282),ISNUMBER(H2282)),IF(G2282&gt;0,H2282/G2282,""),"")</f>
        <v>0</v>
      </c>
      <c r="K2282" s="77"/>
      <c r="L2282" s="76" t="str">
        <f aca="false">IF(OR(G2282="",H2282=""),"Data tidak lengkap",IF(AND(G2282=0,H2282=0),IF(AND(F2282="",K2282=""),"Tidak dibuka","Tutup"),IF(H2282&gt;G2282,"Lebih kapasitas",IF(H2282=G2282,"Penuh",IF(H2282=0,IF(F2282="","Slot kosong","Belum terisi"),"Sebagian")))))</f>
        <v>Belum terisi</v>
      </c>
      <c r="M2282" s="79" t="str">
        <f aca="false">IF(L2282="Tidak dibuka","–",IF(F2282="","(tanpa age group)",F2282)&amp;"  "&amp;IF(H2282="","?",H2282)&amp;"/"&amp;IF(G2282="","?",G2282)&amp;CHAR(10)&amp;IF(K2282="","coach: –","coach: "&amp;K2282))</f>
        <v>Kids  0/4
coach: –</v>
      </c>
    </row>
    <row r="2283" customFormat="false" ht="22.35" hidden="false" customHeight="false" outlineLevel="0" collapsed="false">
      <c r="A2283" s="76" t="str">
        <f aca="false">B2283&amp;"|"&amp;C2283&amp;"|"&amp;D2283&amp;"|"&amp;E2283</f>
        <v>HIB|4|Selasa|09:45</v>
      </c>
      <c r="B2283" s="76" t="s">
        <v>71</v>
      </c>
      <c r="C2283" s="76" t="n">
        <v>4</v>
      </c>
      <c r="D2283" s="76" t="s">
        <v>91</v>
      </c>
      <c r="E2283" s="76" t="s">
        <v>98</v>
      </c>
      <c r="F2283" s="77" t="s">
        <v>210</v>
      </c>
      <c r="G2283" s="77" t="n">
        <v>4</v>
      </c>
      <c r="H2283" s="77" t="n">
        <v>0</v>
      </c>
      <c r="I2283" s="76" t="n">
        <f aca="false">IF(AND(ISNUMBER(G2283),ISNUMBER(H2283)),MAX(G2283-H2283,0),"")</f>
        <v>4</v>
      </c>
      <c r="J2283" s="78" t="n">
        <f aca="false">IF(AND(ISNUMBER(G2283),ISNUMBER(H2283)),IF(G2283&gt;0,H2283/G2283,""),"")</f>
        <v>0</v>
      </c>
      <c r="K2283" s="77"/>
      <c r="L2283" s="76" t="str">
        <f aca="false">IF(OR(G2283="",H2283=""),"Data tidak lengkap",IF(AND(G2283=0,H2283=0),IF(AND(F2283="",K2283=""),"Tidak dibuka","Tutup"),IF(H2283&gt;G2283,"Lebih kapasitas",IF(H2283=G2283,"Penuh",IF(H2283=0,IF(F2283="","Slot kosong","Belum terisi"),"Sebagian")))))</f>
        <v>Belum terisi</v>
      </c>
      <c r="M2283" s="79" t="str">
        <f aca="false">IF(L2283="Tidak dibuka","–",IF(F2283="","(tanpa age group)",F2283)&amp;"  "&amp;IF(H2283="","?",H2283)&amp;"/"&amp;IF(G2283="","?",G2283)&amp;CHAR(10)&amp;IF(K2283="","coach: –","coach: "&amp;K2283))</f>
        <v>Kids  0/4
coach: –</v>
      </c>
    </row>
    <row r="2284" customFormat="false" ht="22.35" hidden="false" customHeight="false" outlineLevel="0" collapsed="false">
      <c r="A2284" s="76" t="str">
        <f aca="false">B2284&amp;"|"&amp;C2284&amp;"|"&amp;D2284&amp;"|"&amp;E2284</f>
        <v>HIB|4|Selasa|10:30</v>
      </c>
      <c r="B2284" s="76" t="s">
        <v>71</v>
      </c>
      <c r="C2284" s="76" t="n">
        <v>4</v>
      </c>
      <c r="D2284" s="76" t="s">
        <v>91</v>
      </c>
      <c r="E2284" s="76" t="s">
        <v>99</v>
      </c>
      <c r="F2284" s="77" t="s">
        <v>210</v>
      </c>
      <c r="G2284" s="77" t="n">
        <v>4</v>
      </c>
      <c r="H2284" s="77" t="n">
        <v>0</v>
      </c>
      <c r="I2284" s="76" t="n">
        <f aca="false">IF(AND(ISNUMBER(G2284),ISNUMBER(H2284)),MAX(G2284-H2284,0),"")</f>
        <v>4</v>
      </c>
      <c r="J2284" s="78" t="n">
        <f aca="false">IF(AND(ISNUMBER(G2284),ISNUMBER(H2284)),IF(G2284&gt;0,H2284/G2284,""),"")</f>
        <v>0</v>
      </c>
      <c r="K2284" s="77"/>
      <c r="L2284" s="76" t="str">
        <f aca="false">IF(OR(G2284="",H2284=""),"Data tidak lengkap",IF(AND(G2284=0,H2284=0),IF(AND(F2284="",K2284=""),"Tidak dibuka","Tutup"),IF(H2284&gt;G2284,"Lebih kapasitas",IF(H2284=G2284,"Penuh",IF(H2284=0,IF(F2284="","Slot kosong","Belum terisi"),"Sebagian")))))</f>
        <v>Belum terisi</v>
      </c>
      <c r="M2284" s="79" t="str">
        <f aca="false">IF(L2284="Tidak dibuka","–",IF(F2284="","(tanpa age group)",F2284)&amp;"  "&amp;IF(H2284="","?",H2284)&amp;"/"&amp;IF(G2284="","?",G2284)&amp;CHAR(10)&amp;IF(K2284="","coach: –","coach: "&amp;K2284))</f>
        <v>Kids  0/4
coach: –</v>
      </c>
    </row>
    <row r="2285" customFormat="false" ht="22.35" hidden="false" customHeight="false" outlineLevel="0" collapsed="false">
      <c r="A2285" s="76" t="str">
        <f aca="false">B2285&amp;"|"&amp;C2285&amp;"|"&amp;D2285&amp;"|"&amp;E2285</f>
        <v>HIB|4|Selasa|11:15</v>
      </c>
      <c r="B2285" s="76" t="s">
        <v>71</v>
      </c>
      <c r="C2285" s="76" t="n">
        <v>4</v>
      </c>
      <c r="D2285" s="76" t="s">
        <v>91</v>
      </c>
      <c r="E2285" s="76" t="s">
        <v>100</v>
      </c>
      <c r="F2285" s="77" t="s">
        <v>210</v>
      </c>
      <c r="G2285" s="77" t="n">
        <v>4</v>
      </c>
      <c r="H2285" s="77" t="n">
        <v>0</v>
      </c>
      <c r="I2285" s="76" t="n">
        <f aca="false">IF(AND(ISNUMBER(G2285),ISNUMBER(H2285)),MAX(G2285-H2285,0),"")</f>
        <v>4</v>
      </c>
      <c r="J2285" s="78" t="n">
        <f aca="false">IF(AND(ISNUMBER(G2285),ISNUMBER(H2285)),IF(G2285&gt;0,H2285/G2285,""),"")</f>
        <v>0</v>
      </c>
      <c r="K2285" s="77"/>
      <c r="L2285" s="76" t="str">
        <f aca="false">IF(OR(G2285="",H2285=""),"Data tidak lengkap",IF(AND(G2285=0,H2285=0),IF(AND(F2285="",K2285=""),"Tidak dibuka","Tutup"),IF(H2285&gt;G2285,"Lebih kapasitas",IF(H2285=G2285,"Penuh",IF(H2285=0,IF(F2285="","Slot kosong","Belum terisi"),"Sebagian")))))</f>
        <v>Belum terisi</v>
      </c>
      <c r="M2285" s="79" t="str">
        <f aca="false">IF(L2285="Tidak dibuka","–",IF(F2285="","(tanpa age group)",F2285)&amp;"  "&amp;IF(H2285="","?",H2285)&amp;"/"&amp;IF(G2285="","?",G2285)&amp;CHAR(10)&amp;IF(K2285="","coach: –","coach: "&amp;K2285))</f>
        <v>Kids  0/4
coach: –</v>
      </c>
    </row>
    <row r="2286" customFormat="false" ht="22.35" hidden="false" customHeight="false" outlineLevel="0" collapsed="false">
      <c r="A2286" s="76" t="str">
        <f aca="false">B2286&amp;"|"&amp;C2286&amp;"|"&amp;D2286&amp;"|"&amp;E2286</f>
        <v>HIB|4|Selasa|12:00</v>
      </c>
      <c r="B2286" s="76" t="s">
        <v>71</v>
      </c>
      <c r="C2286" s="76" t="n">
        <v>4</v>
      </c>
      <c r="D2286" s="76" t="s">
        <v>91</v>
      </c>
      <c r="E2286" s="76" t="s">
        <v>101</v>
      </c>
      <c r="F2286" s="77" t="s">
        <v>210</v>
      </c>
      <c r="G2286" s="77" t="n">
        <v>4</v>
      </c>
      <c r="H2286" s="77" t="n">
        <v>0</v>
      </c>
      <c r="I2286" s="76" t="n">
        <f aca="false">IF(AND(ISNUMBER(G2286),ISNUMBER(H2286)),MAX(G2286-H2286,0),"")</f>
        <v>4</v>
      </c>
      <c r="J2286" s="78" t="n">
        <f aca="false">IF(AND(ISNUMBER(G2286),ISNUMBER(H2286)),IF(G2286&gt;0,H2286/G2286,""),"")</f>
        <v>0</v>
      </c>
      <c r="K2286" s="77"/>
      <c r="L2286" s="76" t="str">
        <f aca="false">IF(OR(G2286="",H2286=""),"Data tidak lengkap",IF(AND(G2286=0,H2286=0),IF(AND(F2286="",K2286=""),"Tidak dibuka","Tutup"),IF(H2286&gt;G2286,"Lebih kapasitas",IF(H2286=G2286,"Penuh",IF(H2286=0,IF(F2286="","Slot kosong","Belum terisi"),"Sebagian")))))</f>
        <v>Belum terisi</v>
      </c>
      <c r="M2286" s="79" t="str">
        <f aca="false">IF(L2286="Tidak dibuka","–",IF(F2286="","(tanpa age group)",F2286)&amp;"  "&amp;IF(H2286="","?",H2286)&amp;"/"&amp;IF(G2286="","?",G2286)&amp;CHAR(10)&amp;IF(K2286="","coach: –","coach: "&amp;K2286))</f>
        <v>Kids  0/4
coach: –</v>
      </c>
    </row>
    <row r="2287" customFormat="false" ht="22.35" hidden="false" customHeight="false" outlineLevel="0" collapsed="false">
      <c r="A2287" s="76" t="str">
        <f aca="false">B2287&amp;"|"&amp;C2287&amp;"|"&amp;D2287&amp;"|"&amp;E2287</f>
        <v>HIB|4|Selasa|13:30</v>
      </c>
      <c r="B2287" s="76" t="s">
        <v>71</v>
      </c>
      <c r="C2287" s="76" t="n">
        <v>4</v>
      </c>
      <c r="D2287" s="76" t="s">
        <v>91</v>
      </c>
      <c r="E2287" s="76" t="s">
        <v>102</v>
      </c>
      <c r="F2287" s="77" t="s">
        <v>210</v>
      </c>
      <c r="G2287" s="77" t="n">
        <v>4</v>
      </c>
      <c r="H2287" s="77" t="n">
        <v>0</v>
      </c>
      <c r="I2287" s="76" t="n">
        <f aca="false">IF(AND(ISNUMBER(G2287),ISNUMBER(H2287)),MAX(G2287-H2287,0),"")</f>
        <v>4</v>
      </c>
      <c r="J2287" s="78" t="n">
        <f aca="false">IF(AND(ISNUMBER(G2287),ISNUMBER(H2287)),IF(G2287&gt;0,H2287/G2287,""),"")</f>
        <v>0</v>
      </c>
      <c r="K2287" s="77"/>
      <c r="L2287" s="76" t="str">
        <f aca="false">IF(OR(G2287="",H2287=""),"Data tidak lengkap",IF(AND(G2287=0,H2287=0),IF(AND(F2287="",K2287=""),"Tidak dibuka","Tutup"),IF(H2287&gt;G2287,"Lebih kapasitas",IF(H2287=G2287,"Penuh",IF(H2287=0,IF(F2287="","Slot kosong","Belum terisi"),"Sebagian")))))</f>
        <v>Belum terisi</v>
      </c>
      <c r="M2287" s="79" t="str">
        <f aca="false">IF(L2287="Tidak dibuka","–",IF(F2287="","(tanpa age group)",F2287)&amp;"  "&amp;IF(H2287="","?",H2287)&amp;"/"&amp;IF(G2287="","?",G2287)&amp;CHAR(10)&amp;IF(K2287="","coach: –","coach: "&amp;K2287))</f>
        <v>Kids  0/4
coach: –</v>
      </c>
    </row>
    <row r="2288" customFormat="false" ht="22.35" hidden="false" customHeight="false" outlineLevel="0" collapsed="false">
      <c r="A2288" s="76" t="str">
        <f aca="false">B2288&amp;"|"&amp;C2288&amp;"|"&amp;D2288&amp;"|"&amp;E2288</f>
        <v>HIB|4|Selasa|14:15</v>
      </c>
      <c r="B2288" s="76" t="s">
        <v>71</v>
      </c>
      <c r="C2288" s="76" t="n">
        <v>4</v>
      </c>
      <c r="D2288" s="76" t="s">
        <v>91</v>
      </c>
      <c r="E2288" s="76" t="s">
        <v>103</v>
      </c>
      <c r="F2288" s="77" t="s">
        <v>210</v>
      </c>
      <c r="G2288" s="77" t="n">
        <v>4</v>
      </c>
      <c r="H2288" s="77" t="n">
        <v>1</v>
      </c>
      <c r="I2288" s="76" t="n">
        <f aca="false">IF(AND(ISNUMBER(G2288),ISNUMBER(H2288)),MAX(G2288-H2288,0),"")</f>
        <v>3</v>
      </c>
      <c r="J2288" s="78" t="n">
        <f aca="false">IF(AND(ISNUMBER(G2288),ISNUMBER(H2288)),IF(G2288&gt;0,H2288/G2288,""),"")</f>
        <v>0.25</v>
      </c>
      <c r="K2288" s="77" t="s">
        <v>485</v>
      </c>
      <c r="L2288" s="76" t="str">
        <f aca="false">IF(OR(G2288="",H2288=""),"Data tidak lengkap",IF(AND(G2288=0,H2288=0),IF(AND(F2288="",K2288=""),"Tidak dibuka","Tutup"),IF(H2288&gt;G2288,"Lebih kapasitas",IF(H2288=G2288,"Penuh",IF(H2288=0,IF(F2288="","Slot kosong","Belum terisi"),"Sebagian")))))</f>
        <v>Sebagian</v>
      </c>
      <c r="M2288" s="79" t="str">
        <f aca="false">IF(L2288="Tidak dibuka","–",IF(F2288="","(tanpa age group)",F2288)&amp;"  "&amp;IF(H2288="","?",H2288)&amp;"/"&amp;IF(G2288="","?",G2288)&amp;CHAR(10)&amp;IF(K2288="","coach: –","coach: "&amp;K2288))</f>
        <v>Kids  1/4
coach: Silvi</v>
      </c>
    </row>
    <row r="2289" customFormat="false" ht="22.35" hidden="false" customHeight="false" outlineLevel="0" collapsed="false">
      <c r="A2289" s="76" t="str">
        <f aca="false">B2289&amp;"|"&amp;C2289&amp;"|"&amp;D2289&amp;"|"&amp;E2289</f>
        <v>HIB|4|Selasa|15:00</v>
      </c>
      <c r="B2289" s="76" t="s">
        <v>71</v>
      </c>
      <c r="C2289" s="76" t="n">
        <v>4</v>
      </c>
      <c r="D2289" s="76" t="s">
        <v>91</v>
      </c>
      <c r="E2289" s="76" t="s">
        <v>104</v>
      </c>
      <c r="F2289" s="77" t="s">
        <v>210</v>
      </c>
      <c r="G2289" s="77" t="n">
        <v>4</v>
      </c>
      <c r="H2289" s="77" t="n">
        <v>0</v>
      </c>
      <c r="I2289" s="76" t="n">
        <f aca="false">IF(AND(ISNUMBER(G2289),ISNUMBER(H2289)),MAX(G2289-H2289,0),"")</f>
        <v>4</v>
      </c>
      <c r="J2289" s="78" t="n">
        <f aca="false">IF(AND(ISNUMBER(G2289),ISNUMBER(H2289)),IF(G2289&gt;0,H2289/G2289,""),"")</f>
        <v>0</v>
      </c>
      <c r="K2289" s="77"/>
      <c r="L2289" s="76" t="str">
        <f aca="false">IF(OR(G2289="",H2289=""),"Data tidak lengkap",IF(AND(G2289=0,H2289=0),IF(AND(F2289="",K2289=""),"Tidak dibuka","Tutup"),IF(H2289&gt;G2289,"Lebih kapasitas",IF(H2289=G2289,"Penuh",IF(H2289=0,IF(F2289="","Slot kosong","Belum terisi"),"Sebagian")))))</f>
        <v>Belum terisi</v>
      </c>
      <c r="M2289" s="79" t="str">
        <f aca="false">IF(L2289="Tidak dibuka","–",IF(F2289="","(tanpa age group)",F2289)&amp;"  "&amp;IF(H2289="","?",H2289)&amp;"/"&amp;IF(G2289="","?",G2289)&amp;CHAR(10)&amp;IF(K2289="","coach: –","coach: "&amp;K2289))</f>
        <v>Kids  0/4
coach: –</v>
      </c>
    </row>
    <row r="2290" customFormat="false" ht="22.35" hidden="false" customHeight="false" outlineLevel="0" collapsed="false">
      <c r="A2290" s="76" t="str">
        <f aca="false">B2290&amp;"|"&amp;C2290&amp;"|"&amp;D2290&amp;"|"&amp;E2290</f>
        <v>HIB|4|Selasa|15:45</v>
      </c>
      <c r="B2290" s="76" t="s">
        <v>71</v>
      </c>
      <c r="C2290" s="76" t="n">
        <v>4</v>
      </c>
      <c r="D2290" s="76" t="s">
        <v>91</v>
      </c>
      <c r="E2290" s="76" t="s">
        <v>105</v>
      </c>
      <c r="F2290" s="77" t="s">
        <v>210</v>
      </c>
      <c r="G2290" s="77" t="n">
        <v>4</v>
      </c>
      <c r="H2290" s="77" t="n">
        <v>0</v>
      </c>
      <c r="I2290" s="76" t="n">
        <f aca="false">IF(AND(ISNUMBER(G2290),ISNUMBER(H2290)),MAX(G2290-H2290,0),"")</f>
        <v>4</v>
      </c>
      <c r="J2290" s="78" t="n">
        <f aca="false">IF(AND(ISNUMBER(G2290),ISNUMBER(H2290)),IF(G2290&gt;0,H2290/G2290,""),"")</f>
        <v>0</v>
      </c>
      <c r="K2290" s="77"/>
      <c r="L2290" s="76" t="str">
        <f aca="false">IF(OR(G2290="",H2290=""),"Data tidak lengkap",IF(AND(G2290=0,H2290=0),IF(AND(F2290="",K2290=""),"Tidak dibuka","Tutup"),IF(H2290&gt;G2290,"Lebih kapasitas",IF(H2290=G2290,"Penuh",IF(H2290=0,IF(F2290="","Slot kosong","Belum terisi"),"Sebagian")))))</f>
        <v>Belum terisi</v>
      </c>
      <c r="M2290" s="79" t="str">
        <f aca="false">IF(L2290="Tidak dibuka","–",IF(F2290="","(tanpa age group)",F2290)&amp;"  "&amp;IF(H2290="","?",H2290)&amp;"/"&amp;IF(G2290="","?",G2290)&amp;CHAR(10)&amp;IF(K2290="","coach: –","coach: "&amp;K2290))</f>
        <v>Kids  0/4
coach: –</v>
      </c>
    </row>
    <row r="2291" customFormat="false" ht="22.35" hidden="false" customHeight="false" outlineLevel="0" collapsed="false">
      <c r="A2291" s="76" t="str">
        <f aca="false">B2291&amp;"|"&amp;C2291&amp;"|"&amp;D2291&amp;"|"&amp;E2291</f>
        <v>HIB|4|Selasa|16:30</v>
      </c>
      <c r="B2291" s="76" t="s">
        <v>71</v>
      </c>
      <c r="C2291" s="76" t="n">
        <v>4</v>
      </c>
      <c r="D2291" s="76" t="s">
        <v>91</v>
      </c>
      <c r="E2291" s="76" t="s">
        <v>106</v>
      </c>
      <c r="F2291" s="77" t="s">
        <v>210</v>
      </c>
      <c r="G2291" s="77" t="n">
        <v>4</v>
      </c>
      <c r="H2291" s="77" t="n">
        <v>1</v>
      </c>
      <c r="I2291" s="76" t="n">
        <f aca="false">IF(AND(ISNUMBER(G2291),ISNUMBER(H2291)),MAX(G2291-H2291,0),"")</f>
        <v>3</v>
      </c>
      <c r="J2291" s="78" t="n">
        <f aca="false">IF(AND(ISNUMBER(G2291),ISNUMBER(H2291)),IF(G2291&gt;0,H2291/G2291,""),"")</f>
        <v>0.25</v>
      </c>
      <c r="K2291" s="77" t="s">
        <v>485</v>
      </c>
      <c r="L2291" s="76" t="str">
        <f aca="false">IF(OR(G2291="",H2291=""),"Data tidak lengkap",IF(AND(G2291=0,H2291=0),IF(AND(F2291="",K2291=""),"Tidak dibuka","Tutup"),IF(H2291&gt;G2291,"Lebih kapasitas",IF(H2291=G2291,"Penuh",IF(H2291=0,IF(F2291="","Slot kosong","Belum terisi"),"Sebagian")))))</f>
        <v>Sebagian</v>
      </c>
      <c r="M2291" s="79" t="str">
        <f aca="false">IF(L2291="Tidak dibuka","–",IF(F2291="","(tanpa age group)",F2291)&amp;"  "&amp;IF(H2291="","?",H2291)&amp;"/"&amp;IF(G2291="","?",G2291)&amp;CHAR(10)&amp;IF(K2291="","coach: –","coach: "&amp;K2291))</f>
        <v>Kids  1/4
coach: Silvi</v>
      </c>
    </row>
    <row r="2292" customFormat="false" ht="22.35" hidden="false" customHeight="false" outlineLevel="0" collapsed="false">
      <c r="A2292" s="76" t="str">
        <f aca="false">B2292&amp;"|"&amp;C2292&amp;"|"&amp;D2292&amp;"|"&amp;E2292</f>
        <v>HIB|4|Selasa|17:15</v>
      </c>
      <c r="B2292" s="76" t="s">
        <v>71</v>
      </c>
      <c r="C2292" s="76" t="n">
        <v>4</v>
      </c>
      <c r="D2292" s="76" t="s">
        <v>91</v>
      </c>
      <c r="E2292" s="76" t="s">
        <v>107</v>
      </c>
      <c r="F2292" s="77" t="s">
        <v>210</v>
      </c>
      <c r="G2292" s="77" t="n">
        <v>4</v>
      </c>
      <c r="H2292" s="77" t="n">
        <v>0</v>
      </c>
      <c r="I2292" s="76" t="n">
        <f aca="false">IF(AND(ISNUMBER(G2292),ISNUMBER(H2292)),MAX(G2292-H2292,0),"")</f>
        <v>4</v>
      </c>
      <c r="J2292" s="78" t="n">
        <f aca="false">IF(AND(ISNUMBER(G2292),ISNUMBER(H2292)),IF(G2292&gt;0,H2292/G2292,""),"")</f>
        <v>0</v>
      </c>
      <c r="K2292" s="77"/>
      <c r="L2292" s="76" t="str">
        <f aca="false">IF(OR(G2292="",H2292=""),"Data tidak lengkap",IF(AND(G2292=0,H2292=0),IF(AND(F2292="",K2292=""),"Tidak dibuka","Tutup"),IF(H2292&gt;G2292,"Lebih kapasitas",IF(H2292=G2292,"Penuh",IF(H2292=0,IF(F2292="","Slot kosong","Belum terisi"),"Sebagian")))))</f>
        <v>Belum terisi</v>
      </c>
      <c r="M2292" s="79" t="str">
        <f aca="false">IF(L2292="Tidak dibuka","–",IF(F2292="","(tanpa age group)",F2292)&amp;"  "&amp;IF(H2292="","?",H2292)&amp;"/"&amp;IF(G2292="","?",G2292)&amp;CHAR(10)&amp;IF(K2292="","coach: –","coach: "&amp;K2292))</f>
        <v>Kids  0/4
coach: –</v>
      </c>
    </row>
    <row r="2293" customFormat="false" ht="22.35" hidden="false" customHeight="false" outlineLevel="0" collapsed="false">
      <c r="A2293" s="76" t="str">
        <f aca="false">B2293&amp;"|"&amp;C2293&amp;"|"&amp;D2293&amp;"|"&amp;E2293</f>
        <v>HIB|4|Rabu|08:15</v>
      </c>
      <c r="B2293" s="76" t="s">
        <v>71</v>
      </c>
      <c r="C2293" s="76" t="n">
        <v>4</v>
      </c>
      <c r="D2293" s="76" t="s">
        <v>92</v>
      </c>
      <c r="E2293" s="76" t="s">
        <v>96</v>
      </c>
      <c r="F2293" s="77" t="s">
        <v>210</v>
      </c>
      <c r="G2293" s="77" t="n">
        <v>4</v>
      </c>
      <c r="H2293" s="77" t="n">
        <v>0</v>
      </c>
      <c r="I2293" s="76" t="n">
        <f aca="false">IF(AND(ISNUMBER(G2293),ISNUMBER(H2293)),MAX(G2293-H2293,0),"")</f>
        <v>4</v>
      </c>
      <c r="J2293" s="78" t="n">
        <f aca="false">IF(AND(ISNUMBER(G2293),ISNUMBER(H2293)),IF(G2293&gt;0,H2293/G2293,""),"")</f>
        <v>0</v>
      </c>
      <c r="K2293" s="77"/>
      <c r="L2293" s="76" t="str">
        <f aca="false">IF(OR(G2293="",H2293=""),"Data tidak lengkap",IF(AND(G2293=0,H2293=0),IF(AND(F2293="",K2293=""),"Tidak dibuka","Tutup"),IF(H2293&gt;G2293,"Lebih kapasitas",IF(H2293=G2293,"Penuh",IF(H2293=0,IF(F2293="","Slot kosong","Belum terisi"),"Sebagian")))))</f>
        <v>Belum terisi</v>
      </c>
      <c r="M2293" s="79" t="str">
        <f aca="false">IF(L2293="Tidak dibuka","–",IF(F2293="","(tanpa age group)",F2293)&amp;"  "&amp;IF(H2293="","?",H2293)&amp;"/"&amp;IF(G2293="","?",G2293)&amp;CHAR(10)&amp;IF(K2293="","coach: –","coach: "&amp;K2293))</f>
        <v>Kids  0/4
coach: –</v>
      </c>
    </row>
    <row r="2294" customFormat="false" ht="22.35" hidden="false" customHeight="false" outlineLevel="0" collapsed="false">
      <c r="A2294" s="76" t="str">
        <f aca="false">B2294&amp;"|"&amp;C2294&amp;"|"&amp;D2294&amp;"|"&amp;E2294</f>
        <v>HIB|4|Rabu|09:00</v>
      </c>
      <c r="B2294" s="76" t="s">
        <v>71</v>
      </c>
      <c r="C2294" s="76" t="n">
        <v>4</v>
      </c>
      <c r="D2294" s="76" t="s">
        <v>92</v>
      </c>
      <c r="E2294" s="76" t="s">
        <v>97</v>
      </c>
      <c r="F2294" s="77" t="s">
        <v>210</v>
      </c>
      <c r="G2294" s="77" t="n">
        <v>4</v>
      </c>
      <c r="H2294" s="77" t="n">
        <v>0</v>
      </c>
      <c r="I2294" s="76" t="n">
        <f aca="false">IF(AND(ISNUMBER(G2294),ISNUMBER(H2294)),MAX(G2294-H2294,0),"")</f>
        <v>4</v>
      </c>
      <c r="J2294" s="78" t="n">
        <f aca="false">IF(AND(ISNUMBER(G2294),ISNUMBER(H2294)),IF(G2294&gt;0,H2294/G2294,""),"")</f>
        <v>0</v>
      </c>
      <c r="K2294" s="77"/>
      <c r="L2294" s="76" t="str">
        <f aca="false">IF(OR(G2294="",H2294=""),"Data tidak lengkap",IF(AND(G2294=0,H2294=0),IF(AND(F2294="",K2294=""),"Tidak dibuka","Tutup"),IF(H2294&gt;G2294,"Lebih kapasitas",IF(H2294=G2294,"Penuh",IF(H2294=0,IF(F2294="","Slot kosong","Belum terisi"),"Sebagian")))))</f>
        <v>Belum terisi</v>
      </c>
      <c r="M2294" s="79" t="str">
        <f aca="false">IF(L2294="Tidak dibuka","–",IF(F2294="","(tanpa age group)",F2294)&amp;"  "&amp;IF(H2294="","?",H2294)&amp;"/"&amp;IF(G2294="","?",G2294)&amp;CHAR(10)&amp;IF(K2294="","coach: –","coach: "&amp;K2294))</f>
        <v>Kids  0/4
coach: –</v>
      </c>
    </row>
    <row r="2295" customFormat="false" ht="22.35" hidden="false" customHeight="false" outlineLevel="0" collapsed="false">
      <c r="A2295" s="76" t="str">
        <f aca="false">B2295&amp;"|"&amp;C2295&amp;"|"&amp;D2295&amp;"|"&amp;E2295</f>
        <v>HIB|4|Rabu|09:45</v>
      </c>
      <c r="B2295" s="76" t="s">
        <v>71</v>
      </c>
      <c r="C2295" s="76" t="n">
        <v>4</v>
      </c>
      <c r="D2295" s="76" t="s">
        <v>92</v>
      </c>
      <c r="E2295" s="76" t="s">
        <v>98</v>
      </c>
      <c r="F2295" s="77" t="s">
        <v>210</v>
      </c>
      <c r="G2295" s="77" t="n">
        <v>4</v>
      </c>
      <c r="H2295" s="77" t="n">
        <v>0</v>
      </c>
      <c r="I2295" s="76" t="n">
        <f aca="false">IF(AND(ISNUMBER(G2295),ISNUMBER(H2295)),MAX(G2295-H2295,0),"")</f>
        <v>4</v>
      </c>
      <c r="J2295" s="78" t="n">
        <f aca="false">IF(AND(ISNUMBER(G2295),ISNUMBER(H2295)),IF(G2295&gt;0,H2295/G2295,""),"")</f>
        <v>0</v>
      </c>
      <c r="K2295" s="77"/>
      <c r="L2295" s="76" t="str">
        <f aca="false">IF(OR(G2295="",H2295=""),"Data tidak lengkap",IF(AND(G2295=0,H2295=0),IF(AND(F2295="",K2295=""),"Tidak dibuka","Tutup"),IF(H2295&gt;G2295,"Lebih kapasitas",IF(H2295=G2295,"Penuh",IF(H2295=0,IF(F2295="","Slot kosong","Belum terisi"),"Sebagian")))))</f>
        <v>Belum terisi</v>
      </c>
      <c r="M2295" s="79" t="str">
        <f aca="false">IF(L2295="Tidak dibuka","–",IF(F2295="","(tanpa age group)",F2295)&amp;"  "&amp;IF(H2295="","?",H2295)&amp;"/"&amp;IF(G2295="","?",G2295)&amp;CHAR(10)&amp;IF(K2295="","coach: –","coach: "&amp;K2295))</f>
        <v>Kids  0/4
coach: –</v>
      </c>
    </row>
    <row r="2296" customFormat="false" ht="22.35" hidden="false" customHeight="false" outlineLevel="0" collapsed="false">
      <c r="A2296" s="76" t="str">
        <f aca="false">B2296&amp;"|"&amp;C2296&amp;"|"&amp;D2296&amp;"|"&amp;E2296</f>
        <v>HIB|4|Rabu|10:30</v>
      </c>
      <c r="B2296" s="76" t="s">
        <v>71</v>
      </c>
      <c r="C2296" s="76" t="n">
        <v>4</v>
      </c>
      <c r="D2296" s="76" t="s">
        <v>92</v>
      </c>
      <c r="E2296" s="76" t="s">
        <v>99</v>
      </c>
      <c r="F2296" s="77" t="s">
        <v>210</v>
      </c>
      <c r="G2296" s="77" t="n">
        <v>4</v>
      </c>
      <c r="H2296" s="77" t="n">
        <v>0</v>
      </c>
      <c r="I2296" s="76" t="n">
        <f aca="false">IF(AND(ISNUMBER(G2296),ISNUMBER(H2296)),MAX(G2296-H2296,0),"")</f>
        <v>4</v>
      </c>
      <c r="J2296" s="78" t="n">
        <f aca="false">IF(AND(ISNUMBER(G2296),ISNUMBER(H2296)),IF(G2296&gt;0,H2296/G2296,""),"")</f>
        <v>0</v>
      </c>
      <c r="K2296" s="77"/>
      <c r="L2296" s="76" t="str">
        <f aca="false">IF(OR(G2296="",H2296=""),"Data tidak lengkap",IF(AND(G2296=0,H2296=0),IF(AND(F2296="",K2296=""),"Tidak dibuka","Tutup"),IF(H2296&gt;G2296,"Lebih kapasitas",IF(H2296=G2296,"Penuh",IF(H2296=0,IF(F2296="","Slot kosong","Belum terisi"),"Sebagian")))))</f>
        <v>Belum terisi</v>
      </c>
      <c r="M2296" s="79" t="str">
        <f aca="false">IF(L2296="Tidak dibuka","–",IF(F2296="","(tanpa age group)",F2296)&amp;"  "&amp;IF(H2296="","?",H2296)&amp;"/"&amp;IF(G2296="","?",G2296)&amp;CHAR(10)&amp;IF(K2296="","coach: –","coach: "&amp;K2296))</f>
        <v>Kids  0/4
coach: –</v>
      </c>
    </row>
    <row r="2297" customFormat="false" ht="22.35" hidden="false" customHeight="false" outlineLevel="0" collapsed="false">
      <c r="A2297" s="76" t="str">
        <f aca="false">B2297&amp;"|"&amp;C2297&amp;"|"&amp;D2297&amp;"|"&amp;E2297</f>
        <v>HIB|4|Rabu|11:15</v>
      </c>
      <c r="B2297" s="76" t="s">
        <v>71</v>
      </c>
      <c r="C2297" s="76" t="n">
        <v>4</v>
      </c>
      <c r="D2297" s="76" t="s">
        <v>92</v>
      </c>
      <c r="E2297" s="76" t="s">
        <v>100</v>
      </c>
      <c r="F2297" s="77" t="s">
        <v>210</v>
      </c>
      <c r="G2297" s="77" t="n">
        <v>4</v>
      </c>
      <c r="H2297" s="77" t="n">
        <v>1</v>
      </c>
      <c r="I2297" s="76" t="n">
        <f aca="false">IF(AND(ISNUMBER(G2297),ISNUMBER(H2297)),MAX(G2297-H2297,0),"")</f>
        <v>3</v>
      </c>
      <c r="J2297" s="78" t="n">
        <f aca="false">IF(AND(ISNUMBER(G2297),ISNUMBER(H2297)),IF(G2297&gt;0,H2297/G2297,""),"")</f>
        <v>0.25</v>
      </c>
      <c r="K2297" s="77" t="s">
        <v>486</v>
      </c>
      <c r="L2297" s="76" t="str">
        <f aca="false">IF(OR(G2297="",H2297=""),"Data tidak lengkap",IF(AND(G2297=0,H2297=0),IF(AND(F2297="",K2297=""),"Tidak dibuka","Tutup"),IF(H2297&gt;G2297,"Lebih kapasitas",IF(H2297=G2297,"Penuh",IF(H2297=0,IF(F2297="","Slot kosong","Belum terisi"),"Sebagian")))))</f>
        <v>Sebagian</v>
      </c>
      <c r="M2297" s="79" t="str">
        <f aca="false">IF(L2297="Tidak dibuka","–",IF(F2297="","(tanpa age group)",F2297)&amp;"  "&amp;IF(H2297="","?",H2297)&amp;"/"&amp;IF(G2297="","?",G2297)&amp;CHAR(10)&amp;IF(K2297="","coach: –","coach: "&amp;K2297))</f>
        <v>Kids  1/4
coach: Angga</v>
      </c>
    </row>
    <row r="2298" customFormat="false" ht="22.35" hidden="false" customHeight="false" outlineLevel="0" collapsed="false">
      <c r="A2298" s="76" t="str">
        <f aca="false">B2298&amp;"|"&amp;C2298&amp;"|"&amp;D2298&amp;"|"&amp;E2298</f>
        <v>HIB|4|Rabu|12:00</v>
      </c>
      <c r="B2298" s="76" t="s">
        <v>71</v>
      </c>
      <c r="C2298" s="76" t="n">
        <v>4</v>
      </c>
      <c r="D2298" s="76" t="s">
        <v>92</v>
      </c>
      <c r="E2298" s="76" t="s">
        <v>101</v>
      </c>
      <c r="F2298" s="77" t="s">
        <v>210</v>
      </c>
      <c r="G2298" s="77" t="n">
        <v>4</v>
      </c>
      <c r="H2298" s="77" t="n">
        <v>0</v>
      </c>
      <c r="I2298" s="76" t="n">
        <f aca="false">IF(AND(ISNUMBER(G2298),ISNUMBER(H2298)),MAX(G2298-H2298,0),"")</f>
        <v>4</v>
      </c>
      <c r="J2298" s="78" t="n">
        <f aca="false">IF(AND(ISNUMBER(G2298),ISNUMBER(H2298)),IF(G2298&gt;0,H2298/G2298,""),"")</f>
        <v>0</v>
      </c>
      <c r="K2298" s="77"/>
      <c r="L2298" s="76" t="str">
        <f aca="false">IF(OR(G2298="",H2298=""),"Data tidak lengkap",IF(AND(G2298=0,H2298=0),IF(AND(F2298="",K2298=""),"Tidak dibuka","Tutup"),IF(H2298&gt;G2298,"Lebih kapasitas",IF(H2298=G2298,"Penuh",IF(H2298=0,IF(F2298="","Slot kosong","Belum terisi"),"Sebagian")))))</f>
        <v>Belum terisi</v>
      </c>
      <c r="M2298" s="79" t="str">
        <f aca="false">IF(L2298="Tidak dibuka","–",IF(F2298="","(tanpa age group)",F2298)&amp;"  "&amp;IF(H2298="","?",H2298)&amp;"/"&amp;IF(G2298="","?",G2298)&amp;CHAR(10)&amp;IF(K2298="","coach: –","coach: "&amp;K2298))</f>
        <v>Kids  0/4
coach: –</v>
      </c>
    </row>
    <row r="2299" customFormat="false" ht="22.35" hidden="false" customHeight="false" outlineLevel="0" collapsed="false">
      <c r="A2299" s="76" t="str">
        <f aca="false">B2299&amp;"|"&amp;C2299&amp;"|"&amp;D2299&amp;"|"&amp;E2299</f>
        <v>HIB|4|Rabu|13:30</v>
      </c>
      <c r="B2299" s="76" t="s">
        <v>71</v>
      </c>
      <c r="C2299" s="76" t="n">
        <v>4</v>
      </c>
      <c r="D2299" s="76" t="s">
        <v>92</v>
      </c>
      <c r="E2299" s="76" t="s">
        <v>102</v>
      </c>
      <c r="F2299" s="77" t="s">
        <v>210</v>
      </c>
      <c r="G2299" s="77" t="n">
        <v>4</v>
      </c>
      <c r="H2299" s="77" t="n">
        <v>1</v>
      </c>
      <c r="I2299" s="76" t="n">
        <f aca="false">IF(AND(ISNUMBER(G2299),ISNUMBER(H2299)),MAX(G2299-H2299,0),"")</f>
        <v>3</v>
      </c>
      <c r="J2299" s="78" t="n">
        <f aca="false">IF(AND(ISNUMBER(G2299),ISNUMBER(H2299)),IF(G2299&gt;0,H2299/G2299,""),"")</f>
        <v>0.25</v>
      </c>
      <c r="K2299" s="77" t="s">
        <v>481</v>
      </c>
      <c r="L2299" s="76" t="str">
        <f aca="false">IF(OR(G2299="",H2299=""),"Data tidak lengkap",IF(AND(G2299=0,H2299=0),IF(AND(F2299="",K2299=""),"Tidak dibuka","Tutup"),IF(H2299&gt;G2299,"Lebih kapasitas",IF(H2299=G2299,"Penuh",IF(H2299=0,IF(F2299="","Slot kosong","Belum terisi"),"Sebagian")))))</f>
        <v>Sebagian</v>
      </c>
      <c r="M2299" s="79" t="str">
        <f aca="false">IF(L2299="Tidak dibuka","–",IF(F2299="","(tanpa age group)",F2299)&amp;"  "&amp;IF(H2299="","?",H2299)&amp;"/"&amp;IF(G2299="","?",G2299)&amp;CHAR(10)&amp;IF(K2299="","coach: –","coach: "&amp;K2299))</f>
        <v>Kids  1/4
coach: Rizky</v>
      </c>
    </row>
    <row r="2300" customFormat="false" ht="22.35" hidden="false" customHeight="false" outlineLevel="0" collapsed="false">
      <c r="A2300" s="76" t="str">
        <f aca="false">B2300&amp;"|"&amp;C2300&amp;"|"&amp;D2300&amp;"|"&amp;E2300</f>
        <v>HIB|4|Rabu|14:15</v>
      </c>
      <c r="B2300" s="76" t="s">
        <v>71</v>
      </c>
      <c r="C2300" s="76" t="n">
        <v>4</v>
      </c>
      <c r="D2300" s="76" t="s">
        <v>92</v>
      </c>
      <c r="E2300" s="76" t="s">
        <v>103</v>
      </c>
      <c r="F2300" s="77" t="s">
        <v>210</v>
      </c>
      <c r="G2300" s="77" t="n">
        <v>4</v>
      </c>
      <c r="H2300" s="77" t="n">
        <v>0</v>
      </c>
      <c r="I2300" s="76" t="n">
        <f aca="false">IF(AND(ISNUMBER(G2300),ISNUMBER(H2300)),MAX(G2300-H2300,0),"")</f>
        <v>4</v>
      </c>
      <c r="J2300" s="78" t="n">
        <f aca="false">IF(AND(ISNUMBER(G2300),ISNUMBER(H2300)),IF(G2300&gt;0,H2300/G2300,""),"")</f>
        <v>0</v>
      </c>
      <c r="K2300" s="77"/>
      <c r="L2300" s="76" t="str">
        <f aca="false">IF(OR(G2300="",H2300=""),"Data tidak lengkap",IF(AND(G2300=0,H2300=0),IF(AND(F2300="",K2300=""),"Tidak dibuka","Tutup"),IF(H2300&gt;G2300,"Lebih kapasitas",IF(H2300=G2300,"Penuh",IF(H2300=0,IF(F2300="","Slot kosong","Belum terisi"),"Sebagian")))))</f>
        <v>Belum terisi</v>
      </c>
      <c r="M2300" s="79" t="str">
        <f aca="false">IF(L2300="Tidak dibuka","–",IF(F2300="","(tanpa age group)",F2300)&amp;"  "&amp;IF(H2300="","?",H2300)&amp;"/"&amp;IF(G2300="","?",G2300)&amp;CHAR(10)&amp;IF(K2300="","coach: –","coach: "&amp;K2300))</f>
        <v>Kids  0/4
coach: –</v>
      </c>
    </row>
    <row r="2301" customFormat="false" ht="22.35" hidden="false" customHeight="false" outlineLevel="0" collapsed="false">
      <c r="A2301" s="76" t="str">
        <f aca="false">B2301&amp;"|"&amp;C2301&amp;"|"&amp;D2301&amp;"|"&amp;E2301</f>
        <v>HIB|4|Rabu|15:00</v>
      </c>
      <c r="B2301" s="76" t="s">
        <v>71</v>
      </c>
      <c r="C2301" s="76" t="n">
        <v>4</v>
      </c>
      <c r="D2301" s="76" t="s">
        <v>92</v>
      </c>
      <c r="E2301" s="76" t="s">
        <v>104</v>
      </c>
      <c r="F2301" s="77" t="s">
        <v>210</v>
      </c>
      <c r="G2301" s="77" t="n">
        <v>4</v>
      </c>
      <c r="H2301" s="77" t="n">
        <v>0</v>
      </c>
      <c r="I2301" s="76" t="n">
        <f aca="false">IF(AND(ISNUMBER(G2301),ISNUMBER(H2301)),MAX(G2301-H2301,0),"")</f>
        <v>4</v>
      </c>
      <c r="J2301" s="78" t="n">
        <f aca="false">IF(AND(ISNUMBER(G2301),ISNUMBER(H2301)),IF(G2301&gt;0,H2301/G2301,""),"")</f>
        <v>0</v>
      </c>
      <c r="K2301" s="77"/>
      <c r="L2301" s="76" t="str">
        <f aca="false">IF(OR(G2301="",H2301=""),"Data tidak lengkap",IF(AND(G2301=0,H2301=0),IF(AND(F2301="",K2301=""),"Tidak dibuka","Tutup"),IF(H2301&gt;G2301,"Lebih kapasitas",IF(H2301=G2301,"Penuh",IF(H2301=0,IF(F2301="","Slot kosong","Belum terisi"),"Sebagian")))))</f>
        <v>Belum terisi</v>
      </c>
      <c r="M2301" s="79" t="str">
        <f aca="false">IF(L2301="Tidak dibuka","–",IF(F2301="","(tanpa age group)",F2301)&amp;"  "&amp;IF(H2301="","?",H2301)&amp;"/"&amp;IF(G2301="","?",G2301)&amp;CHAR(10)&amp;IF(K2301="","coach: –","coach: "&amp;K2301))</f>
        <v>Kids  0/4
coach: –</v>
      </c>
    </row>
    <row r="2302" customFormat="false" ht="22.35" hidden="false" customHeight="false" outlineLevel="0" collapsed="false">
      <c r="A2302" s="76" t="str">
        <f aca="false">B2302&amp;"|"&amp;C2302&amp;"|"&amp;D2302&amp;"|"&amp;E2302</f>
        <v>HIB|4|Rabu|15:45</v>
      </c>
      <c r="B2302" s="76" t="s">
        <v>71</v>
      </c>
      <c r="C2302" s="76" t="n">
        <v>4</v>
      </c>
      <c r="D2302" s="76" t="s">
        <v>92</v>
      </c>
      <c r="E2302" s="76" t="s">
        <v>105</v>
      </c>
      <c r="F2302" s="77" t="s">
        <v>210</v>
      </c>
      <c r="G2302" s="77" t="n">
        <v>4</v>
      </c>
      <c r="H2302" s="77" t="n">
        <v>1</v>
      </c>
      <c r="I2302" s="76" t="n">
        <f aca="false">IF(AND(ISNUMBER(G2302),ISNUMBER(H2302)),MAX(G2302-H2302,0),"")</f>
        <v>3</v>
      </c>
      <c r="J2302" s="78" t="n">
        <f aca="false">IF(AND(ISNUMBER(G2302),ISNUMBER(H2302)),IF(G2302&gt;0,H2302/G2302,""),"")</f>
        <v>0.25</v>
      </c>
      <c r="K2302" s="77" t="s">
        <v>488</v>
      </c>
      <c r="L2302" s="76" t="str">
        <f aca="false">IF(OR(G2302="",H2302=""),"Data tidak lengkap",IF(AND(G2302=0,H2302=0),IF(AND(F2302="",K2302=""),"Tidak dibuka","Tutup"),IF(H2302&gt;G2302,"Lebih kapasitas",IF(H2302=G2302,"Penuh",IF(H2302=0,IF(F2302="","Slot kosong","Belum terisi"),"Sebagian")))))</f>
        <v>Sebagian</v>
      </c>
      <c r="M2302" s="79" t="str">
        <f aca="false">IF(L2302="Tidak dibuka","–",IF(F2302="","(tanpa age group)",F2302)&amp;"  "&amp;IF(H2302="","?",H2302)&amp;"/"&amp;IF(G2302="","?",G2302)&amp;CHAR(10)&amp;IF(K2302="","coach: –","coach: "&amp;K2302))</f>
        <v>Kids  1/4
coach: Indra</v>
      </c>
    </row>
    <row r="2303" customFormat="false" ht="22.35" hidden="false" customHeight="false" outlineLevel="0" collapsed="false">
      <c r="A2303" s="76" t="str">
        <f aca="false">B2303&amp;"|"&amp;C2303&amp;"|"&amp;D2303&amp;"|"&amp;E2303</f>
        <v>HIB|4|Rabu|16:30</v>
      </c>
      <c r="B2303" s="76" t="s">
        <v>71</v>
      </c>
      <c r="C2303" s="76" t="n">
        <v>4</v>
      </c>
      <c r="D2303" s="76" t="s">
        <v>92</v>
      </c>
      <c r="E2303" s="76" t="s">
        <v>106</v>
      </c>
      <c r="F2303" s="77" t="s">
        <v>210</v>
      </c>
      <c r="G2303" s="77" t="n">
        <v>4</v>
      </c>
      <c r="H2303" s="77" t="n">
        <v>0</v>
      </c>
      <c r="I2303" s="76" t="n">
        <f aca="false">IF(AND(ISNUMBER(G2303),ISNUMBER(H2303)),MAX(G2303-H2303,0),"")</f>
        <v>4</v>
      </c>
      <c r="J2303" s="78" t="n">
        <f aca="false">IF(AND(ISNUMBER(G2303),ISNUMBER(H2303)),IF(G2303&gt;0,H2303/G2303,""),"")</f>
        <v>0</v>
      </c>
      <c r="K2303" s="77"/>
      <c r="L2303" s="76" t="str">
        <f aca="false">IF(OR(G2303="",H2303=""),"Data tidak lengkap",IF(AND(G2303=0,H2303=0),IF(AND(F2303="",K2303=""),"Tidak dibuka","Tutup"),IF(H2303&gt;G2303,"Lebih kapasitas",IF(H2303=G2303,"Penuh",IF(H2303=0,IF(F2303="","Slot kosong","Belum terisi"),"Sebagian")))))</f>
        <v>Belum terisi</v>
      </c>
      <c r="M2303" s="79" t="str">
        <f aca="false">IF(L2303="Tidak dibuka","–",IF(F2303="","(tanpa age group)",F2303)&amp;"  "&amp;IF(H2303="","?",H2303)&amp;"/"&amp;IF(G2303="","?",G2303)&amp;CHAR(10)&amp;IF(K2303="","coach: –","coach: "&amp;K2303))</f>
        <v>Kids  0/4
coach: –</v>
      </c>
    </row>
    <row r="2304" customFormat="false" ht="22.35" hidden="false" customHeight="false" outlineLevel="0" collapsed="false">
      <c r="A2304" s="76" t="str">
        <f aca="false">B2304&amp;"|"&amp;C2304&amp;"|"&amp;D2304&amp;"|"&amp;E2304</f>
        <v>HIB|4|Rabu|17:15</v>
      </c>
      <c r="B2304" s="76" t="s">
        <v>71</v>
      </c>
      <c r="C2304" s="76" t="n">
        <v>4</v>
      </c>
      <c r="D2304" s="76" t="s">
        <v>92</v>
      </c>
      <c r="E2304" s="76" t="s">
        <v>107</v>
      </c>
      <c r="F2304" s="77" t="s">
        <v>210</v>
      </c>
      <c r="G2304" s="77" t="n">
        <v>4</v>
      </c>
      <c r="H2304" s="77" t="n">
        <v>0</v>
      </c>
      <c r="I2304" s="76" t="n">
        <f aca="false">IF(AND(ISNUMBER(G2304),ISNUMBER(H2304)),MAX(G2304-H2304,0),"")</f>
        <v>4</v>
      </c>
      <c r="J2304" s="78" t="n">
        <f aca="false">IF(AND(ISNUMBER(G2304),ISNUMBER(H2304)),IF(G2304&gt;0,H2304/G2304,""),"")</f>
        <v>0</v>
      </c>
      <c r="K2304" s="77"/>
      <c r="L2304" s="76" t="str">
        <f aca="false">IF(OR(G2304="",H2304=""),"Data tidak lengkap",IF(AND(G2304=0,H2304=0),IF(AND(F2304="",K2304=""),"Tidak dibuka","Tutup"),IF(H2304&gt;G2304,"Lebih kapasitas",IF(H2304=G2304,"Penuh",IF(H2304=0,IF(F2304="","Slot kosong","Belum terisi"),"Sebagian")))))</f>
        <v>Belum terisi</v>
      </c>
      <c r="M2304" s="79" t="str">
        <f aca="false">IF(L2304="Tidak dibuka","–",IF(F2304="","(tanpa age group)",F2304)&amp;"  "&amp;IF(H2304="","?",H2304)&amp;"/"&amp;IF(G2304="","?",G2304)&amp;CHAR(10)&amp;IF(K2304="","coach: –","coach: "&amp;K2304))</f>
        <v>Kids  0/4
coach: –</v>
      </c>
    </row>
    <row r="2305" customFormat="false" ht="22.35" hidden="false" customHeight="false" outlineLevel="0" collapsed="false">
      <c r="A2305" s="76" t="str">
        <f aca="false">B2305&amp;"|"&amp;C2305&amp;"|"&amp;D2305&amp;"|"&amp;E2305</f>
        <v>HIB|4|Kamis|08:15</v>
      </c>
      <c r="B2305" s="76" t="s">
        <v>71</v>
      </c>
      <c r="C2305" s="76" t="n">
        <v>4</v>
      </c>
      <c r="D2305" s="76" t="s">
        <v>93</v>
      </c>
      <c r="E2305" s="76" t="s">
        <v>96</v>
      </c>
      <c r="F2305" s="77" t="s">
        <v>210</v>
      </c>
      <c r="G2305" s="77" t="n">
        <v>4</v>
      </c>
      <c r="H2305" s="77" t="n">
        <v>0</v>
      </c>
      <c r="I2305" s="76" t="n">
        <f aca="false">IF(AND(ISNUMBER(G2305),ISNUMBER(H2305)),MAX(G2305-H2305,0),"")</f>
        <v>4</v>
      </c>
      <c r="J2305" s="78" t="n">
        <f aca="false">IF(AND(ISNUMBER(G2305),ISNUMBER(H2305)),IF(G2305&gt;0,H2305/G2305,""),"")</f>
        <v>0</v>
      </c>
      <c r="K2305" s="77"/>
      <c r="L2305" s="76" t="str">
        <f aca="false">IF(OR(G2305="",H2305=""),"Data tidak lengkap",IF(AND(G2305=0,H2305=0),IF(AND(F2305="",K2305=""),"Tidak dibuka","Tutup"),IF(H2305&gt;G2305,"Lebih kapasitas",IF(H2305=G2305,"Penuh",IF(H2305=0,IF(F2305="","Slot kosong","Belum terisi"),"Sebagian")))))</f>
        <v>Belum terisi</v>
      </c>
      <c r="M2305" s="79" t="str">
        <f aca="false">IF(L2305="Tidak dibuka","–",IF(F2305="","(tanpa age group)",F2305)&amp;"  "&amp;IF(H2305="","?",H2305)&amp;"/"&amp;IF(G2305="","?",G2305)&amp;CHAR(10)&amp;IF(K2305="","coach: –","coach: "&amp;K2305))</f>
        <v>Kids  0/4
coach: –</v>
      </c>
    </row>
    <row r="2306" customFormat="false" ht="22.35" hidden="false" customHeight="false" outlineLevel="0" collapsed="false">
      <c r="A2306" s="76" t="str">
        <f aca="false">B2306&amp;"|"&amp;C2306&amp;"|"&amp;D2306&amp;"|"&amp;E2306</f>
        <v>HIB|4|Kamis|09:00</v>
      </c>
      <c r="B2306" s="76" t="s">
        <v>71</v>
      </c>
      <c r="C2306" s="76" t="n">
        <v>4</v>
      </c>
      <c r="D2306" s="76" t="s">
        <v>93</v>
      </c>
      <c r="E2306" s="76" t="s">
        <v>97</v>
      </c>
      <c r="F2306" s="77" t="s">
        <v>210</v>
      </c>
      <c r="G2306" s="77" t="n">
        <v>4</v>
      </c>
      <c r="H2306" s="77" t="n">
        <v>0</v>
      </c>
      <c r="I2306" s="76" t="n">
        <f aca="false">IF(AND(ISNUMBER(G2306),ISNUMBER(H2306)),MAX(G2306-H2306,0),"")</f>
        <v>4</v>
      </c>
      <c r="J2306" s="78" t="n">
        <f aca="false">IF(AND(ISNUMBER(G2306),ISNUMBER(H2306)),IF(G2306&gt;0,H2306/G2306,""),"")</f>
        <v>0</v>
      </c>
      <c r="K2306" s="77"/>
      <c r="L2306" s="76" t="str">
        <f aca="false">IF(OR(G2306="",H2306=""),"Data tidak lengkap",IF(AND(G2306=0,H2306=0),IF(AND(F2306="",K2306=""),"Tidak dibuka","Tutup"),IF(H2306&gt;G2306,"Lebih kapasitas",IF(H2306=G2306,"Penuh",IF(H2306=0,IF(F2306="","Slot kosong","Belum terisi"),"Sebagian")))))</f>
        <v>Belum terisi</v>
      </c>
      <c r="M2306" s="79" t="str">
        <f aca="false">IF(L2306="Tidak dibuka","–",IF(F2306="","(tanpa age group)",F2306)&amp;"  "&amp;IF(H2306="","?",H2306)&amp;"/"&amp;IF(G2306="","?",G2306)&amp;CHAR(10)&amp;IF(K2306="","coach: –","coach: "&amp;K2306))</f>
        <v>Kids  0/4
coach: –</v>
      </c>
    </row>
    <row r="2307" customFormat="false" ht="22.35" hidden="false" customHeight="false" outlineLevel="0" collapsed="false">
      <c r="A2307" s="76" t="str">
        <f aca="false">B2307&amp;"|"&amp;C2307&amp;"|"&amp;D2307&amp;"|"&amp;E2307</f>
        <v>HIB|4|Kamis|09:45</v>
      </c>
      <c r="B2307" s="76" t="s">
        <v>71</v>
      </c>
      <c r="C2307" s="76" t="n">
        <v>4</v>
      </c>
      <c r="D2307" s="76" t="s">
        <v>93</v>
      </c>
      <c r="E2307" s="76" t="s">
        <v>98</v>
      </c>
      <c r="F2307" s="77" t="s">
        <v>210</v>
      </c>
      <c r="G2307" s="77" t="n">
        <v>4</v>
      </c>
      <c r="H2307" s="77" t="n">
        <v>0</v>
      </c>
      <c r="I2307" s="76" t="n">
        <f aca="false">IF(AND(ISNUMBER(G2307),ISNUMBER(H2307)),MAX(G2307-H2307,0),"")</f>
        <v>4</v>
      </c>
      <c r="J2307" s="78" t="n">
        <f aca="false">IF(AND(ISNUMBER(G2307),ISNUMBER(H2307)),IF(G2307&gt;0,H2307/G2307,""),"")</f>
        <v>0</v>
      </c>
      <c r="K2307" s="77"/>
      <c r="L2307" s="76" t="str">
        <f aca="false">IF(OR(G2307="",H2307=""),"Data tidak lengkap",IF(AND(G2307=0,H2307=0),IF(AND(F2307="",K2307=""),"Tidak dibuka","Tutup"),IF(H2307&gt;G2307,"Lebih kapasitas",IF(H2307=G2307,"Penuh",IF(H2307=0,IF(F2307="","Slot kosong","Belum terisi"),"Sebagian")))))</f>
        <v>Belum terisi</v>
      </c>
      <c r="M2307" s="79" t="str">
        <f aca="false">IF(L2307="Tidak dibuka","–",IF(F2307="","(tanpa age group)",F2307)&amp;"  "&amp;IF(H2307="","?",H2307)&amp;"/"&amp;IF(G2307="","?",G2307)&amp;CHAR(10)&amp;IF(K2307="","coach: –","coach: "&amp;K2307))</f>
        <v>Kids  0/4
coach: –</v>
      </c>
    </row>
    <row r="2308" customFormat="false" ht="22.35" hidden="false" customHeight="false" outlineLevel="0" collapsed="false">
      <c r="A2308" s="76" t="str">
        <f aca="false">B2308&amp;"|"&amp;C2308&amp;"|"&amp;D2308&amp;"|"&amp;E2308</f>
        <v>HIB|4|Kamis|10:30</v>
      </c>
      <c r="B2308" s="76" t="s">
        <v>71</v>
      </c>
      <c r="C2308" s="76" t="n">
        <v>4</v>
      </c>
      <c r="D2308" s="76" t="s">
        <v>93</v>
      </c>
      <c r="E2308" s="76" t="s">
        <v>99</v>
      </c>
      <c r="F2308" s="77" t="s">
        <v>210</v>
      </c>
      <c r="G2308" s="77" t="n">
        <v>4</v>
      </c>
      <c r="H2308" s="77" t="n">
        <v>0</v>
      </c>
      <c r="I2308" s="76" t="n">
        <f aca="false">IF(AND(ISNUMBER(G2308),ISNUMBER(H2308)),MAX(G2308-H2308,0),"")</f>
        <v>4</v>
      </c>
      <c r="J2308" s="78" t="n">
        <f aca="false">IF(AND(ISNUMBER(G2308),ISNUMBER(H2308)),IF(G2308&gt;0,H2308/G2308,""),"")</f>
        <v>0</v>
      </c>
      <c r="K2308" s="77"/>
      <c r="L2308" s="76" t="str">
        <f aca="false">IF(OR(G2308="",H2308=""),"Data tidak lengkap",IF(AND(G2308=0,H2308=0),IF(AND(F2308="",K2308=""),"Tidak dibuka","Tutup"),IF(H2308&gt;G2308,"Lebih kapasitas",IF(H2308=G2308,"Penuh",IF(H2308=0,IF(F2308="","Slot kosong","Belum terisi"),"Sebagian")))))</f>
        <v>Belum terisi</v>
      </c>
      <c r="M2308" s="79" t="str">
        <f aca="false">IF(L2308="Tidak dibuka","–",IF(F2308="","(tanpa age group)",F2308)&amp;"  "&amp;IF(H2308="","?",H2308)&amp;"/"&amp;IF(G2308="","?",G2308)&amp;CHAR(10)&amp;IF(K2308="","coach: –","coach: "&amp;K2308))</f>
        <v>Kids  0/4
coach: –</v>
      </c>
    </row>
    <row r="2309" customFormat="false" ht="22.35" hidden="false" customHeight="false" outlineLevel="0" collapsed="false">
      <c r="A2309" s="76" t="str">
        <f aca="false">B2309&amp;"|"&amp;C2309&amp;"|"&amp;D2309&amp;"|"&amp;E2309</f>
        <v>HIB|4|Kamis|11:15</v>
      </c>
      <c r="B2309" s="76" t="s">
        <v>71</v>
      </c>
      <c r="C2309" s="76" t="n">
        <v>4</v>
      </c>
      <c r="D2309" s="76" t="s">
        <v>93</v>
      </c>
      <c r="E2309" s="76" t="s">
        <v>100</v>
      </c>
      <c r="F2309" s="77" t="s">
        <v>210</v>
      </c>
      <c r="G2309" s="77" t="n">
        <v>4</v>
      </c>
      <c r="H2309" s="77" t="n">
        <v>0</v>
      </c>
      <c r="I2309" s="76" t="n">
        <f aca="false">IF(AND(ISNUMBER(G2309),ISNUMBER(H2309)),MAX(G2309-H2309,0),"")</f>
        <v>4</v>
      </c>
      <c r="J2309" s="78" t="n">
        <f aca="false">IF(AND(ISNUMBER(G2309),ISNUMBER(H2309)),IF(G2309&gt;0,H2309/G2309,""),"")</f>
        <v>0</v>
      </c>
      <c r="K2309" s="77"/>
      <c r="L2309" s="76" t="str">
        <f aca="false">IF(OR(G2309="",H2309=""),"Data tidak lengkap",IF(AND(G2309=0,H2309=0),IF(AND(F2309="",K2309=""),"Tidak dibuka","Tutup"),IF(H2309&gt;G2309,"Lebih kapasitas",IF(H2309=G2309,"Penuh",IF(H2309=0,IF(F2309="","Slot kosong","Belum terisi"),"Sebagian")))))</f>
        <v>Belum terisi</v>
      </c>
      <c r="M2309" s="79" t="str">
        <f aca="false">IF(L2309="Tidak dibuka","–",IF(F2309="","(tanpa age group)",F2309)&amp;"  "&amp;IF(H2309="","?",H2309)&amp;"/"&amp;IF(G2309="","?",G2309)&amp;CHAR(10)&amp;IF(K2309="","coach: –","coach: "&amp;K2309))</f>
        <v>Kids  0/4
coach: –</v>
      </c>
    </row>
    <row r="2310" customFormat="false" ht="22.35" hidden="false" customHeight="false" outlineLevel="0" collapsed="false">
      <c r="A2310" s="76" t="str">
        <f aca="false">B2310&amp;"|"&amp;C2310&amp;"|"&amp;D2310&amp;"|"&amp;E2310</f>
        <v>HIB|4|Kamis|12:00</v>
      </c>
      <c r="B2310" s="76" t="s">
        <v>71</v>
      </c>
      <c r="C2310" s="76" t="n">
        <v>4</v>
      </c>
      <c r="D2310" s="76" t="s">
        <v>93</v>
      </c>
      <c r="E2310" s="76" t="s">
        <v>101</v>
      </c>
      <c r="F2310" s="77" t="s">
        <v>210</v>
      </c>
      <c r="G2310" s="77" t="n">
        <v>4</v>
      </c>
      <c r="H2310" s="77" t="n">
        <v>0</v>
      </c>
      <c r="I2310" s="76" t="n">
        <f aca="false">IF(AND(ISNUMBER(G2310),ISNUMBER(H2310)),MAX(G2310-H2310,0),"")</f>
        <v>4</v>
      </c>
      <c r="J2310" s="78" t="n">
        <f aca="false">IF(AND(ISNUMBER(G2310),ISNUMBER(H2310)),IF(G2310&gt;0,H2310/G2310,""),"")</f>
        <v>0</v>
      </c>
      <c r="K2310" s="77"/>
      <c r="L2310" s="76" t="str">
        <f aca="false">IF(OR(G2310="",H2310=""),"Data tidak lengkap",IF(AND(G2310=0,H2310=0),IF(AND(F2310="",K2310=""),"Tidak dibuka","Tutup"),IF(H2310&gt;G2310,"Lebih kapasitas",IF(H2310=G2310,"Penuh",IF(H2310=0,IF(F2310="","Slot kosong","Belum terisi"),"Sebagian")))))</f>
        <v>Belum terisi</v>
      </c>
      <c r="M2310" s="79" t="str">
        <f aca="false">IF(L2310="Tidak dibuka","–",IF(F2310="","(tanpa age group)",F2310)&amp;"  "&amp;IF(H2310="","?",H2310)&amp;"/"&amp;IF(G2310="","?",G2310)&amp;CHAR(10)&amp;IF(K2310="","coach: –","coach: "&amp;K2310))</f>
        <v>Kids  0/4
coach: –</v>
      </c>
    </row>
    <row r="2311" customFormat="false" ht="22.35" hidden="false" customHeight="false" outlineLevel="0" collapsed="false">
      <c r="A2311" s="76" t="str">
        <f aca="false">B2311&amp;"|"&amp;C2311&amp;"|"&amp;D2311&amp;"|"&amp;E2311</f>
        <v>HIB|4|Kamis|13:30</v>
      </c>
      <c r="B2311" s="76" t="s">
        <v>71</v>
      </c>
      <c r="C2311" s="76" t="n">
        <v>4</v>
      </c>
      <c r="D2311" s="76" t="s">
        <v>93</v>
      </c>
      <c r="E2311" s="76" t="s">
        <v>102</v>
      </c>
      <c r="F2311" s="77" t="s">
        <v>210</v>
      </c>
      <c r="G2311" s="77" t="n">
        <v>4</v>
      </c>
      <c r="H2311" s="77" t="n">
        <v>0</v>
      </c>
      <c r="I2311" s="76" t="n">
        <f aca="false">IF(AND(ISNUMBER(G2311),ISNUMBER(H2311)),MAX(G2311-H2311,0),"")</f>
        <v>4</v>
      </c>
      <c r="J2311" s="78" t="n">
        <f aca="false">IF(AND(ISNUMBER(G2311),ISNUMBER(H2311)),IF(G2311&gt;0,H2311/G2311,""),"")</f>
        <v>0</v>
      </c>
      <c r="K2311" s="77"/>
      <c r="L2311" s="76" t="str">
        <f aca="false">IF(OR(G2311="",H2311=""),"Data tidak lengkap",IF(AND(G2311=0,H2311=0),IF(AND(F2311="",K2311=""),"Tidak dibuka","Tutup"),IF(H2311&gt;G2311,"Lebih kapasitas",IF(H2311=G2311,"Penuh",IF(H2311=0,IF(F2311="","Slot kosong","Belum terisi"),"Sebagian")))))</f>
        <v>Belum terisi</v>
      </c>
      <c r="M2311" s="79" t="str">
        <f aca="false">IF(L2311="Tidak dibuka","–",IF(F2311="","(tanpa age group)",F2311)&amp;"  "&amp;IF(H2311="","?",H2311)&amp;"/"&amp;IF(G2311="","?",G2311)&amp;CHAR(10)&amp;IF(K2311="","coach: –","coach: "&amp;K2311))</f>
        <v>Kids  0/4
coach: –</v>
      </c>
    </row>
    <row r="2312" customFormat="false" ht="22.35" hidden="false" customHeight="false" outlineLevel="0" collapsed="false">
      <c r="A2312" s="76" t="str">
        <f aca="false">B2312&amp;"|"&amp;C2312&amp;"|"&amp;D2312&amp;"|"&amp;E2312</f>
        <v>HIB|4|Kamis|14:15</v>
      </c>
      <c r="B2312" s="76" t="s">
        <v>71</v>
      </c>
      <c r="C2312" s="76" t="n">
        <v>4</v>
      </c>
      <c r="D2312" s="76" t="s">
        <v>93</v>
      </c>
      <c r="E2312" s="76" t="s">
        <v>103</v>
      </c>
      <c r="F2312" s="77" t="s">
        <v>210</v>
      </c>
      <c r="G2312" s="77" t="n">
        <v>4</v>
      </c>
      <c r="H2312" s="77" t="n">
        <v>1</v>
      </c>
      <c r="I2312" s="76" t="n">
        <f aca="false">IF(AND(ISNUMBER(G2312),ISNUMBER(H2312)),MAX(G2312-H2312,0),"")</f>
        <v>3</v>
      </c>
      <c r="J2312" s="78" t="n">
        <f aca="false">IF(AND(ISNUMBER(G2312),ISNUMBER(H2312)),IF(G2312&gt;0,H2312/G2312,""),"")</f>
        <v>0.25</v>
      </c>
      <c r="K2312" s="77" t="s">
        <v>488</v>
      </c>
      <c r="L2312" s="76" t="str">
        <f aca="false">IF(OR(G2312="",H2312=""),"Data tidak lengkap",IF(AND(G2312=0,H2312=0),IF(AND(F2312="",K2312=""),"Tidak dibuka","Tutup"),IF(H2312&gt;G2312,"Lebih kapasitas",IF(H2312=G2312,"Penuh",IF(H2312=0,IF(F2312="","Slot kosong","Belum terisi"),"Sebagian")))))</f>
        <v>Sebagian</v>
      </c>
      <c r="M2312" s="79" t="str">
        <f aca="false">IF(L2312="Tidak dibuka","–",IF(F2312="","(tanpa age group)",F2312)&amp;"  "&amp;IF(H2312="","?",H2312)&amp;"/"&amp;IF(G2312="","?",G2312)&amp;CHAR(10)&amp;IF(K2312="","coach: –","coach: "&amp;K2312))</f>
        <v>Kids  1/4
coach: Indra</v>
      </c>
    </row>
    <row r="2313" customFormat="false" ht="22.35" hidden="false" customHeight="false" outlineLevel="0" collapsed="false">
      <c r="A2313" s="76" t="str">
        <f aca="false">B2313&amp;"|"&amp;C2313&amp;"|"&amp;D2313&amp;"|"&amp;E2313</f>
        <v>HIB|4|Kamis|15:00</v>
      </c>
      <c r="B2313" s="76" t="s">
        <v>71</v>
      </c>
      <c r="C2313" s="76" t="n">
        <v>4</v>
      </c>
      <c r="D2313" s="76" t="s">
        <v>93</v>
      </c>
      <c r="E2313" s="76" t="s">
        <v>104</v>
      </c>
      <c r="F2313" s="77" t="s">
        <v>210</v>
      </c>
      <c r="G2313" s="77" t="n">
        <v>4</v>
      </c>
      <c r="H2313" s="77" t="n">
        <v>0</v>
      </c>
      <c r="I2313" s="76" t="n">
        <f aca="false">IF(AND(ISNUMBER(G2313),ISNUMBER(H2313)),MAX(G2313-H2313,0),"")</f>
        <v>4</v>
      </c>
      <c r="J2313" s="78" t="n">
        <f aca="false">IF(AND(ISNUMBER(G2313),ISNUMBER(H2313)),IF(G2313&gt;0,H2313/G2313,""),"")</f>
        <v>0</v>
      </c>
      <c r="K2313" s="77"/>
      <c r="L2313" s="76" t="str">
        <f aca="false">IF(OR(G2313="",H2313=""),"Data tidak lengkap",IF(AND(G2313=0,H2313=0),IF(AND(F2313="",K2313=""),"Tidak dibuka","Tutup"),IF(H2313&gt;G2313,"Lebih kapasitas",IF(H2313=G2313,"Penuh",IF(H2313=0,IF(F2313="","Slot kosong","Belum terisi"),"Sebagian")))))</f>
        <v>Belum terisi</v>
      </c>
      <c r="M2313" s="79" t="str">
        <f aca="false">IF(L2313="Tidak dibuka","–",IF(F2313="","(tanpa age group)",F2313)&amp;"  "&amp;IF(H2313="","?",H2313)&amp;"/"&amp;IF(G2313="","?",G2313)&amp;CHAR(10)&amp;IF(K2313="","coach: –","coach: "&amp;K2313))</f>
        <v>Kids  0/4
coach: –</v>
      </c>
    </row>
    <row r="2314" customFormat="false" ht="22.35" hidden="false" customHeight="false" outlineLevel="0" collapsed="false">
      <c r="A2314" s="76" t="str">
        <f aca="false">B2314&amp;"|"&amp;C2314&amp;"|"&amp;D2314&amp;"|"&amp;E2314</f>
        <v>HIB|4|Kamis|15:45</v>
      </c>
      <c r="B2314" s="76" t="s">
        <v>71</v>
      </c>
      <c r="C2314" s="76" t="n">
        <v>4</v>
      </c>
      <c r="D2314" s="76" t="s">
        <v>93</v>
      </c>
      <c r="E2314" s="76" t="s">
        <v>105</v>
      </c>
      <c r="F2314" s="77" t="s">
        <v>210</v>
      </c>
      <c r="G2314" s="77" t="n">
        <v>4</v>
      </c>
      <c r="H2314" s="77" t="n">
        <v>4</v>
      </c>
      <c r="I2314" s="76" t="n">
        <f aca="false">IF(AND(ISNUMBER(G2314),ISNUMBER(H2314)),MAX(G2314-H2314,0),"")</f>
        <v>0</v>
      </c>
      <c r="J2314" s="78" t="n">
        <f aca="false">IF(AND(ISNUMBER(G2314),ISNUMBER(H2314)),IF(G2314&gt;0,H2314/G2314,""),"")</f>
        <v>1</v>
      </c>
      <c r="K2314" s="77" t="s">
        <v>483</v>
      </c>
      <c r="L2314" s="76" t="str">
        <f aca="false">IF(OR(G2314="",H2314=""),"Data tidak lengkap",IF(AND(G2314=0,H2314=0),IF(AND(F2314="",K2314=""),"Tidak dibuka","Tutup"),IF(H2314&gt;G2314,"Lebih kapasitas",IF(H2314=G2314,"Penuh",IF(H2314=0,IF(F2314="","Slot kosong","Belum terisi"),"Sebagian")))))</f>
        <v>Penuh</v>
      </c>
      <c r="M2314" s="79" t="str">
        <f aca="false">IF(L2314="Tidak dibuka","–",IF(F2314="","(tanpa age group)",F2314)&amp;"  "&amp;IF(H2314="","?",H2314)&amp;"/"&amp;IF(G2314="","?",G2314)&amp;CHAR(10)&amp;IF(K2314="","coach: –","coach: "&amp;K2314))</f>
        <v>Kids  4/4
coach: Juan</v>
      </c>
    </row>
    <row r="2315" customFormat="false" ht="22.35" hidden="false" customHeight="false" outlineLevel="0" collapsed="false">
      <c r="A2315" s="76" t="str">
        <f aca="false">B2315&amp;"|"&amp;C2315&amp;"|"&amp;D2315&amp;"|"&amp;E2315</f>
        <v>HIB|4|Kamis|16:30</v>
      </c>
      <c r="B2315" s="76" t="s">
        <v>71</v>
      </c>
      <c r="C2315" s="76" t="n">
        <v>4</v>
      </c>
      <c r="D2315" s="76" t="s">
        <v>93</v>
      </c>
      <c r="E2315" s="76" t="s">
        <v>106</v>
      </c>
      <c r="F2315" s="77" t="s">
        <v>210</v>
      </c>
      <c r="G2315" s="77" t="n">
        <v>4</v>
      </c>
      <c r="H2315" s="77" t="n">
        <v>1</v>
      </c>
      <c r="I2315" s="76" t="n">
        <f aca="false">IF(AND(ISNUMBER(G2315),ISNUMBER(H2315)),MAX(G2315-H2315,0),"")</f>
        <v>3</v>
      </c>
      <c r="J2315" s="78" t="n">
        <f aca="false">IF(AND(ISNUMBER(G2315),ISNUMBER(H2315)),IF(G2315&gt;0,H2315/G2315,""),"")</f>
        <v>0.25</v>
      </c>
      <c r="K2315" s="77" t="s">
        <v>488</v>
      </c>
      <c r="L2315" s="76" t="str">
        <f aca="false">IF(OR(G2315="",H2315=""),"Data tidak lengkap",IF(AND(G2315=0,H2315=0),IF(AND(F2315="",K2315=""),"Tidak dibuka","Tutup"),IF(H2315&gt;G2315,"Lebih kapasitas",IF(H2315=G2315,"Penuh",IF(H2315=0,IF(F2315="","Slot kosong","Belum terisi"),"Sebagian")))))</f>
        <v>Sebagian</v>
      </c>
      <c r="M2315" s="79" t="str">
        <f aca="false">IF(L2315="Tidak dibuka","–",IF(F2315="","(tanpa age group)",F2315)&amp;"  "&amp;IF(H2315="","?",H2315)&amp;"/"&amp;IF(G2315="","?",G2315)&amp;CHAR(10)&amp;IF(K2315="","coach: –","coach: "&amp;K2315))</f>
        <v>Kids  1/4
coach: Indra</v>
      </c>
    </row>
    <row r="2316" customFormat="false" ht="22.35" hidden="false" customHeight="false" outlineLevel="0" collapsed="false">
      <c r="A2316" s="76" t="str">
        <f aca="false">B2316&amp;"|"&amp;C2316&amp;"|"&amp;D2316&amp;"|"&amp;E2316</f>
        <v>HIB|4|Kamis|17:15</v>
      </c>
      <c r="B2316" s="76" t="s">
        <v>71</v>
      </c>
      <c r="C2316" s="76" t="n">
        <v>4</v>
      </c>
      <c r="D2316" s="76" t="s">
        <v>93</v>
      </c>
      <c r="E2316" s="76" t="s">
        <v>107</v>
      </c>
      <c r="F2316" s="77" t="s">
        <v>210</v>
      </c>
      <c r="G2316" s="77" t="n">
        <v>4</v>
      </c>
      <c r="H2316" s="77" t="n">
        <v>0</v>
      </c>
      <c r="I2316" s="76" t="n">
        <f aca="false">IF(AND(ISNUMBER(G2316),ISNUMBER(H2316)),MAX(G2316-H2316,0),"")</f>
        <v>4</v>
      </c>
      <c r="J2316" s="78" t="n">
        <f aca="false">IF(AND(ISNUMBER(G2316),ISNUMBER(H2316)),IF(G2316&gt;0,H2316/G2316,""),"")</f>
        <v>0</v>
      </c>
      <c r="K2316" s="77"/>
      <c r="L2316" s="76" t="str">
        <f aca="false">IF(OR(G2316="",H2316=""),"Data tidak lengkap",IF(AND(G2316=0,H2316=0),IF(AND(F2316="",K2316=""),"Tidak dibuka","Tutup"),IF(H2316&gt;G2316,"Lebih kapasitas",IF(H2316=G2316,"Penuh",IF(H2316=0,IF(F2316="","Slot kosong","Belum terisi"),"Sebagian")))))</f>
        <v>Belum terisi</v>
      </c>
      <c r="M2316" s="79" t="str">
        <f aca="false">IF(L2316="Tidak dibuka","–",IF(F2316="","(tanpa age group)",F2316)&amp;"  "&amp;IF(H2316="","?",H2316)&amp;"/"&amp;IF(G2316="","?",G2316)&amp;CHAR(10)&amp;IF(K2316="","coach: –","coach: "&amp;K2316))</f>
        <v>Kids  0/4
coach: –</v>
      </c>
    </row>
    <row r="2317" customFormat="false" ht="22.35" hidden="false" customHeight="false" outlineLevel="0" collapsed="false">
      <c r="A2317" s="76" t="str">
        <f aca="false">B2317&amp;"|"&amp;C2317&amp;"|"&amp;D2317&amp;"|"&amp;E2317</f>
        <v>HIB|4|Jumat|08:15</v>
      </c>
      <c r="B2317" s="76" t="s">
        <v>71</v>
      </c>
      <c r="C2317" s="76" t="n">
        <v>4</v>
      </c>
      <c r="D2317" s="76" t="s">
        <v>94</v>
      </c>
      <c r="E2317" s="76" t="s">
        <v>96</v>
      </c>
      <c r="F2317" s="77" t="s">
        <v>210</v>
      </c>
      <c r="G2317" s="77" t="n">
        <v>4</v>
      </c>
      <c r="H2317" s="77" t="n">
        <v>0</v>
      </c>
      <c r="I2317" s="76" t="n">
        <f aca="false">IF(AND(ISNUMBER(G2317),ISNUMBER(H2317)),MAX(G2317-H2317,0),"")</f>
        <v>4</v>
      </c>
      <c r="J2317" s="78" t="n">
        <f aca="false">IF(AND(ISNUMBER(G2317),ISNUMBER(H2317)),IF(G2317&gt;0,H2317/G2317,""),"")</f>
        <v>0</v>
      </c>
      <c r="K2317" s="77"/>
      <c r="L2317" s="76" t="str">
        <f aca="false">IF(OR(G2317="",H2317=""),"Data tidak lengkap",IF(AND(G2317=0,H2317=0),IF(AND(F2317="",K2317=""),"Tidak dibuka","Tutup"),IF(H2317&gt;G2317,"Lebih kapasitas",IF(H2317=G2317,"Penuh",IF(H2317=0,IF(F2317="","Slot kosong","Belum terisi"),"Sebagian")))))</f>
        <v>Belum terisi</v>
      </c>
      <c r="M2317" s="79" t="str">
        <f aca="false">IF(L2317="Tidak dibuka","–",IF(F2317="","(tanpa age group)",F2317)&amp;"  "&amp;IF(H2317="","?",H2317)&amp;"/"&amp;IF(G2317="","?",G2317)&amp;CHAR(10)&amp;IF(K2317="","coach: –","coach: "&amp;K2317))</f>
        <v>Kids  0/4
coach: –</v>
      </c>
    </row>
    <row r="2318" customFormat="false" ht="22.35" hidden="false" customHeight="false" outlineLevel="0" collapsed="false">
      <c r="A2318" s="76" t="str">
        <f aca="false">B2318&amp;"|"&amp;C2318&amp;"|"&amp;D2318&amp;"|"&amp;E2318</f>
        <v>HIB|4|Jumat|09:00</v>
      </c>
      <c r="B2318" s="76" t="s">
        <v>71</v>
      </c>
      <c r="C2318" s="76" t="n">
        <v>4</v>
      </c>
      <c r="D2318" s="76" t="s">
        <v>94</v>
      </c>
      <c r="E2318" s="76" t="s">
        <v>97</v>
      </c>
      <c r="F2318" s="77" t="s">
        <v>210</v>
      </c>
      <c r="G2318" s="77" t="n">
        <v>4</v>
      </c>
      <c r="H2318" s="77" t="n">
        <v>0</v>
      </c>
      <c r="I2318" s="76" t="n">
        <f aca="false">IF(AND(ISNUMBER(G2318),ISNUMBER(H2318)),MAX(G2318-H2318,0),"")</f>
        <v>4</v>
      </c>
      <c r="J2318" s="78" t="n">
        <f aca="false">IF(AND(ISNUMBER(G2318),ISNUMBER(H2318)),IF(G2318&gt;0,H2318/G2318,""),"")</f>
        <v>0</v>
      </c>
      <c r="K2318" s="77"/>
      <c r="L2318" s="76" t="str">
        <f aca="false">IF(OR(G2318="",H2318=""),"Data tidak lengkap",IF(AND(G2318=0,H2318=0),IF(AND(F2318="",K2318=""),"Tidak dibuka","Tutup"),IF(H2318&gt;G2318,"Lebih kapasitas",IF(H2318=G2318,"Penuh",IF(H2318=0,IF(F2318="","Slot kosong","Belum terisi"),"Sebagian")))))</f>
        <v>Belum terisi</v>
      </c>
      <c r="M2318" s="79" t="str">
        <f aca="false">IF(L2318="Tidak dibuka","–",IF(F2318="","(tanpa age group)",F2318)&amp;"  "&amp;IF(H2318="","?",H2318)&amp;"/"&amp;IF(G2318="","?",G2318)&amp;CHAR(10)&amp;IF(K2318="","coach: –","coach: "&amp;K2318))</f>
        <v>Kids  0/4
coach: –</v>
      </c>
    </row>
    <row r="2319" customFormat="false" ht="22.35" hidden="false" customHeight="false" outlineLevel="0" collapsed="false">
      <c r="A2319" s="76" t="str">
        <f aca="false">B2319&amp;"|"&amp;C2319&amp;"|"&amp;D2319&amp;"|"&amp;E2319</f>
        <v>HIB|4|Jumat|09:45</v>
      </c>
      <c r="B2319" s="76" t="s">
        <v>71</v>
      </c>
      <c r="C2319" s="76" t="n">
        <v>4</v>
      </c>
      <c r="D2319" s="76" t="s">
        <v>94</v>
      </c>
      <c r="E2319" s="76" t="s">
        <v>98</v>
      </c>
      <c r="F2319" s="77" t="s">
        <v>210</v>
      </c>
      <c r="G2319" s="77" t="n">
        <v>4</v>
      </c>
      <c r="H2319" s="77" t="n">
        <v>0</v>
      </c>
      <c r="I2319" s="76" t="n">
        <f aca="false">IF(AND(ISNUMBER(G2319),ISNUMBER(H2319)),MAX(G2319-H2319,0),"")</f>
        <v>4</v>
      </c>
      <c r="J2319" s="78" t="n">
        <f aca="false">IF(AND(ISNUMBER(G2319),ISNUMBER(H2319)),IF(G2319&gt;0,H2319/G2319,""),"")</f>
        <v>0</v>
      </c>
      <c r="K2319" s="77"/>
      <c r="L2319" s="76" t="str">
        <f aca="false">IF(OR(G2319="",H2319=""),"Data tidak lengkap",IF(AND(G2319=0,H2319=0),IF(AND(F2319="",K2319=""),"Tidak dibuka","Tutup"),IF(H2319&gt;G2319,"Lebih kapasitas",IF(H2319=G2319,"Penuh",IF(H2319=0,IF(F2319="","Slot kosong","Belum terisi"),"Sebagian")))))</f>
        <v>Belum terisi</v>
      </c>
      <c r="M2319" s="79" t="str">
        <f aca="false">IF(L2319="Tidak dibuka","–",IF(F2319="","(tanpa age group)",F2319)&amp;"  "&amp;IF(H2319="","?",H2319)&amp;"/"&amp;IF(G2319="","?",G2319)&amp;CHAR(10)&amp;IF(K2319="","coach: –","coach: "&amp;K2319))</f>
        <v>Kids  0/4
coach: –</v>
      </c>
    </row>
    <row r="2320" customFormat="false" ht="22.35" hidden="false" customHeight="false" outlineLevel="0" collapsed="false">
      <c r="A2320" s="76" t="str">
        <f aca="false">B2320&amp;"|"&amp;C2320&amp;"|"&amp;D2320&amp;"|"&amp;E2320</f>
        <v>HIB|4|Jumat|10:30</v>
      </c>
      <c r="B2320" s="76" t="s">
        <v>71</v>
      </c>
      <c r="C2320" s="76" t="n">
        <v>4</v>
      </c>
      <c r="D2320" s="76" t="s">
        <v>94</v>
      </c>
      <c r="E2320" s="76" t="s">
        <v>99</v>
      </c>
      <c r="F2320" s="77" t="s">
        <v>210</v>
      </c>
      <c r="G2320" s="77" t="n">
        <v>4</v>
      </c>
      <c r="H2320" s="77" t="n">
        <v>0</v>
      </c>
      <c r="I2320" s="76" t="n">
        <f aca="false">IF(AND(ISNUMBER(G2320),ISNUMBER(H2320)),MAX(G2320-H2320,0),"")</f>
        <v>4</v>
      </c>
      <c r="J2320" s="78" t="n">
        <f aca="false">IF(AND(ISNUMBER(G2320),ISNUMBER(H2320)),IF(G2320&gt;0,H2320/G2320,""),"")</f>
        <v>0</v>
      </c>
      <c r="K2320" s="77"/>
      <c r="L2320" s="76" t="str">
        <f aca="false">IF(OR(G2320="",H2320=""),"Data tidak lengkap",IF(AND(G2320=0,H2320=0),IF(AND(F2320="",K2320=""),"Tidak dibuka","Tutup"),IF(H2320&gt;G2320,"Lebih kapasitas",IF(H2320=G2320,"Penuh",IF(H2320=0,IF(F2320="","Slot kosong","Belum terisi"),"Sebagian")))))</f>
        <v>Belum terisi</v>
      </c>
      <c r="M2320" s="79" t="str">
        <f aca="false">IF(L2320="Tidak dibuka","–",IF(F2320="","(tanpa age group)",F2320)&amp;"  "&amp;IF(H2320="","?",H2320)&amp;"/"&amp;IF(G2320="","?",G2320)&amp;CHAR(10)&amp;IF(K2320="","coach: –","coach: "&amp;K2320))</f>
        <v>Kids  0/4
coach: –</v>
      </c>
    </row>
    <row r="2321" customFormat="false" ht="22.35" hidden="false" customHeight="false" outlineLevel="0" collapsed="false">
      <c r="A2321" s="76" t="str">
        <f aca="false">B2321&amp;"|"&amp;C2321&amp;"|"&amp;D2321&amp;"|"&amp;E2321</f>
        <v>HIB|4|Jumat|11:15</v>
      </c>
      <c r="B2321" s="76" t="s">
        <v>71</v>
      </c>
      <c r="C2321" s="76" t="n">
        <v>4</v>
      </c>
      <c r="D2321" s="76" t="s">
        <v>94</v>
      </c>
      <c r="E2321" s="76" t="s">
        <v>100</v>
      </c>
      <c r="F2321" s="77" t="s">
        <v>210</v>
      </c>
      <c r="G2321" s="77" t="n">
        <v>4</v>
      </c>
      <c r="H2321" s="77" t="n">
        <v>0</v>
      </c>
      <c r="I2321" s="76" t="n">
        <f aca="false">IF(AND(ISNUMBER(G2321),ISNUMBER(H2321)),MAX(G2321-H2321,0),"")</f>
        <v>4</v>
      </c>
      <c r="J2321" s="78" t="n">
        <f aca="false">IF(AND(ISNUMBER(G2321),ISNUMBER(H2321)),IF(G2321&gt;0,H2321/G2321,""),"")</f>
        <v>0</v>
      </c>
      <c r="K2321" s="77"/>
      <c r="L2321" s="76" t="str">
        <f aca="false">IF(OR(G2321="",H2321=""),"Data tidak lengkap",IF(AND(G2321=0,H2321=0),IF(AND(F2321="",K2321=""),"Tidak dibuka","Tutup"),IF(H2321&gt;G2321,"Lebih kapasitas",IF(H2321=G2321,"Penuh",IF(H2321=0,IF(F2321="","Slot kosong","Belum terisi"),"Sebagian")))))</f>
        <v>Belum terisi</v>
      </c>
      <c r="M2321" s="79" t="str">
        <f aca="false">IF(L2321="Tidak dibuka","–",IF(F2321="","(tanpa age group)",F2321)&amp;"  "&amp;IF(H2321="","?",H2321)&amp;"/"&amp;IF(G2321="","?",G2321)&amp;CHAR(10)&amp;IF(K2321="","coach: –","coach: "&amp;K2321))</f>
        <v>Kids  0/4
coach: –</v>
      </c>
    </row>
    <row r="2322" customFormat="false" ht="22.35" hidden="false" customHeight="false" outlineLevel="0" collapsed="false">
      <c r="A2322" s="76" t="str">
        <f aca="false">B2322&amp;"|"&amp;C2322&amp;"|"&amp;D2322&amp;"|"&amp;E2322</f>
        <v>HIB|4|Jumat|12:00</v>
      </c>
      <c r="B2322" s="76" t="s">
        <v>71</v>
      </c>
      <c r="C2322" s="76" t="n">
        <v>4</v>
      </c>
      <c r="D2322" s="76" t="s">
        <v>94</v>
      </c>
      <c r="E2322" s="76" t="s">
        <v>101</v>
      </c>
      <c r="F2322" s="77" t="s">
        <v>210</v>
      </c>
      <c r="G2322" s="77" t="n">
        <v>4</v>
      </c>
      <c r="H2322" s="77" t="n">
        <v>0</v>
      </c>
      <c r="I2322" s="76" t="n">
        <f aca="false">IF(AND(ISNUMBER(G2322),ISNUMBER(H2322)),MAX(G2322-H2322,0),"")</f>
        <v>4</v>
      </c>
      <c r="J2322" s="78" t="n">
        <f aca="false">IF(AND(ISNUMBER(G2322),ISNUMBER(H2322)),IF(G2322&gt;0,H2322/G2322,""),"")</f>
        <v>0</v>
      </c>
      <c r="K2322" s="77"/>
      <c r="L2322" s="76" t="str">
        <f aca="false">IF(OR(G2322="",H2322=""),"Data tidak lengkap",IF(AND(G2322=0,H2322=0),IF(AND(F2322="",K2322=""),"Tidak dibuka","Tutup"),IF(H2322&gt;G2322,"Lebih kapasitas",IF(H2322=G2322,"Penuh",IF(H2322=0,IF(F2322="","Slot kosong","Belum terisi"),"Sebagian")))))</f>
        <v>Belum terisi</v>
      </c>
      <c r="M2322" s="79" t="str">
        <f aca="false">IF(L2322="Tidak dibuka","–",IF(F2322="","(tanpa age group)",F2322)&amp;"  "&amp;IF(H2322="","?",H2322)&amp;"/"&amp;IF(G2322="","?",G2322)&amp;CHAR(10)&amp;IF(K2322="","coach: –","coach: "&amp;K2322))</f>
        <v>Kids  0/4
coach: –</v>
      </c>
    </row>
    <row r="2323" customFormat="false" ht="22.35" hidden="false" customHeight="false" outlineLevel="0" collapsed="false">
      <c r="A2323" s="76" t="str">
        <f aca="false">B2323&amp;"|"&amp;C2323&amp;"|"&amp;D2323&amp;"|"&amp;E2323</f>
        <v>HIB|4|Jumat|13:30</v>
      </c>
      <c r="B2323" s="76" t="s">
        <v>71</v>
      </c>
      <c r="C2323" s="76" t="n">
        <v>4</v>
      </c>
      <c r="D2323" s="76" t="s">
        <v>94</v>
      </c>
      <c r="E2323" s="76" t="s">
        <v>102</v>
      </c>
      <c r="F2323" s="77" t="s">
        <v>210</v>
      </c>
      <c r="G2323" s="77" t="n">
        <v>4</v>
      </c>
      <c r="H2323" s="77" t="n">
        <v>2</v>
      </c>
      <c r="I2323" s="76" t="n">
        <f aca="false">IF(AND(ISNUMBER(G2323),ISNUMBER(H2323)),MAX(G2323-H2323,0),"")</f>
        <v>2</v>
      </c>
      <c r="J2323" s="78" t="n">
        <f aca="false">IF(AND(ISNUMBER(G2323),ISNUMBER(H2323)),IF(G2323&gt;0,H2323/G2323,""),"")</f>
        <v>0.5</v>
      </c>
      <c r="K2323" s="77" t="s">
        <v>483</v>
      </c>
      <c r="L2323" s="76" t="str">
        <f aca="false">IF(OR(G2323="",H2323=""),"Data tidak lengkap",IF(AND(G2323=0,H2323=0),IF(AND(F2323="",K2323=""),"Tidak dibuka","Tutup"),IF(H2323&gt;G2323,"Lebih kapasitas",IF(H2323=G2323,"Penuh",IF(H2323=0,IF(F2323="","Slot kosong","Belum terisi"),"Sebagian")))))</f>
        <v>Sebagian</v>
      </c>
      <c r="M2323" s="79" t="str">
        <f aca="false">IF(L2323="Tidak dibuka","–",IF(F2323="","(tanpa age group)",F2323)&amp;"  "&amp;IF(H2323="","?",H2323)&amp;"/"&amp;IF(G2323="","?",G2323)&amp;CHAR(10)&amp;IF(K2323="","coach: –","coach: "&amp;K2323))</f>
        <v>Kids  2/4
coach: Juan</v>
      </c>
    </row>
    <row r="2324" customFormat="false" ht="22.35" hidden="false" customHeight="false" outlineLevel="0" collapsed="false">
      <c r="A2324" s="76" t="str">
        <f aca="false">B2324&amp;"|"&amp;C2324&amp;"|"&amp;D2324&amp;"|"&amp;E2324</f>
        <v>HIB|4|Jumat|14:15</v>
      </c>
      <c r="B2324" s="76" t="s">
        <v>71</v>
      </c>
      <c r="C2324" s="76" t="n">
        <v>4</v>
      </c>
      <c r="D2324" s="76" t="s">
        <v>94</v>
      </c>
      <c r="E2324" s="76" t="s">
        <v>103</v>
      </c>
      <c r="F2324" s="77" t="s">
        <v>210</v>
      </c>
      <c r="G2324" s="77" t="n">
        <v>4</v>
      </c>
      <c r="H2324" s="77" t="n">
        <v>2</v>
      </c>
      <c r="I2324" s="76" t="n">
        <f aca="false">IF(AND(ISNUMBER(G2324),ISNUMBER(H2324)),MAX(G2324-H2324,0),"")</f>
        <v>2</v>
      </c>
      <c r="J2324" s="78" t="n">
        <f aca="false">IF(AND(ISNUMBER(G2324),ISNUMBER(H2324)),IF(G2324&gt;0,H2324/G2324,""),"")</f>
        <v>0.5</v>
      </c>
      <c r="K2324" s="77" t="s">
        <v>483</v>
      </c>
      <c r="L2324" s="76" t="str">
        <f aca="false">IF(OR(G2324="",H2324=""),"Data tidak lengkap",IF(AND(G2324=0,H2324=0),IF(AND(F2324="",K2324=""),"Tidak dibuka","Tutup"),IF(H2324&gt;G2324,"Lebih kapasitas",IF(H2324=G2324,"Penuh",IF(H2324=0,IF(F2324="","Slot kosong","Belum terisi"),"Sebagian")))))</f>
        <v>Sebagian</v>
      </c>
      <c r="M2324" s="79" t="str">
        <f aca="false">IF(L2324="Tidak dibuka","–",IF(F2324="","(tanpa age group)",F2324)&amp;"  "&amp;IF(H2324="","?",H2324)&amp;"/"&amp;IF(G2324="","?",G2324)&amp;CHAR(10)&amp;IF(K2324="","coach: –","coach: "&amp;K2324))</f>
        <v>Kids  2/4
coach: Juan</v>
      </c>
    </row>
    <row r="2325" customFormat="false" ht="22.35" hidden="false" customHeight="false" outlineLevel="0" collapsed="false">
      <c r="A2325" s="76" t="str">
        <f aca="false">B2325&amp;"|"&amp;C2325&amp;"|"&amp;D2325&amp;"|"&amp;E2325</f>
        <v>HIB|4|Jumat|15:00</v>
      </c>
      <c r="B2325" s="76" t="s">
        <v>71</v>
      </c>
      <c r="C2325" s="76" t="n">
        <v>4</v>
      </c>
      <c r="D2325" s="76" t="s">
        <v>94</v>
      </c>
      <c r="E2325" s="76" t="s">
        <v>104</v>
      </c>
      <c r="F2325" s="77" t="s">
        <v>210</v>
      </c>
      <c r="G2325" s="77" t="n">
        <v>4</v>
      </c>
      <c r="H2325" s="77" t="n">
        <v>3</v>
      </c>
      <c r="I2325" s="76" t="n">
        <f aca="false">IF(AND(ISNUMBER(G2325),ISNUMBER(H2325)),MAX(G2325-H2325,0),"")</f>
        <v>1</v>
      </c>
      <c r="J2325" s="78" t="n">
        <f aca="false">IF(AND(ISNUMBER(G2325),ISNUMBER(H2325)),IF(G2325&gt;0,H2325/G2325,""),"")</f>
        <v>0.75</v>
      </c>
      <c r="K2325" s="77" t="s">
        <v>485</v>
      </c>
      <c r="L2325" s="76" t="str">
        <f aca="false">IF(OR(G2325="",H2325=""),"Data tidak lengkap",IF(AND(G2325=0,H2325=0),IF(AND(F2325="",K2325=""),"Tidak dibuka","Tutup"),IF(H2325&gt;G2325,"Lebih kapasitas",IF(H2325=G2325,"Penuh",IF(H2325=0,IF(F2325="","Slot kosong","Belum terisi"),"Sebagian")))))</f>
        <v>Sebagian</v>
      </c>
      <c r="M2325" s="79" t="str">
        <f aca="false">IF(L2325="Tidak dibuka","–",IF(F2325="","(tanpa age group)",F2325)&amp;"  "&amp;IF(H2325="","?",H2325)&amp;"/"&amp;IF(G2325="","?",G2325)&amp;CHAR(10)&amp;IF(K2325="","coach: –","coach: "&amp;K2325))</f>
        <v>Kids  3/4
coach: Silvi</v>
      </c>
    </row>
    <row r="2326" customFormat="false" ht="22.35" hidden="false" customHeight="false" outlineLevel="0" collapsed="false">
      <c r="A2326" s="76" t="str">
        <f aca="false">B2326&amp;"|"&amp;C2326&amp;"|"&amp;D2326&amp;"|"&amp;E2326</f>
        <v>HIB|4|Jumat|15:45</v>
      </c>
      <c r="B2326" s="76" t="s">
        <v>71</v>
      </c>
      <c r="C2326" s="76" t="n">
        <v>4</v>
      </c>
      <c r="D2326" s="76" t="s">
        <v>94</v>
      </c>
      <c r="E2326" s="76" t="s">
        <v>105</v>
      </c>
      <c r="F2326" s="77" t="s">
        <v>210</v>
      </c>
      <c r="G2326" s="77" t="n">
        <v>4</v>
      </c>
      <c r="H2326" s="77" t="n">
        <v>4</v>
      </c>
      <c r="I2326" s="76" t="n">
        <f aca="false">IF(AND(ISNUMBER(G2326),ISNUMBER(H2326)),MAX(G2326-H2326,0),"")</f>
        <v>0</v>
      </c>
      <c r="J2326" s="78" t="n">
        <f aca="false">IF(AND(ISNUMBER(G2326),ISNUMBER(H2326)),IF(G2326&gt;0,H2326/G2326,""),"")</f>
        <v>1</v>
      </c>
      <c r="K2326" s="77" t="s">
        <v>485</v>
      </c>
      <c r="L2326" s="76" t="str">
        <f aca="false">IF(OR(G2326="",H2326=""),"Data tidak lengkap",IF(AND(G2326=0,H2326=0),IF(AND(F2326="",K2326=""),"Tidak dibuka","Tutup"),IF(H2326&gt;G2326,"Lebih kapasitas",IF(H2326=G2326,"Penuh",IF(H2326=0,IF(F2326="","Slot kosong","Belum terisi"),"Sebagian")))))</f>
        <v>Penuh</v>
      </c>
      <c r="M2326" s="79" t="str">
        <f aca="false">IF(L2326="Tidak dibuka","–",IF(F2326="","(tanpa age group)",F2326)&amp;"  "&amp;IF(H2326="","?",H2326)&amp;"/"&amp;IF(G2326="","?",G2326)&amp;CHAR(10)&amp;IF(K2326="","coach: –","coach: "&amp;K2326))</f>
        <v>Kids  4/4
coach: Silvi</v>
      </c>
    </row>
    <row r="2327" customFormat="false" ht="22.35" hidden="false" customHeight="false" outlineLevel="0" collapsed="false">
      <c r="A2327" s="76" t="str">
        <f aca="false">B2327&amp;"|"&amp;C2327&amp;"|"&amp;D2327&amp;"|"&amp;E2327</f>
        <v>HIB|4|Jumat|16:30</v>
      </c>
      <c r="B2327" s="76" t="s">
        <v>71</v>
      </c>
      <c r="C2327" s="76" t="n">
        <v>4</v>
      </c>
      <c r="D2327" s="76" t="s">
        <v>94</v>
      </c>
      <c r="E2327" s="76" t="s">
        <v>106</v>
      </c>
      <c r="F2327" s="77" t="s">
        <v>210</v>
      </c>
      <c r="G2327" s="77" t="n">
        <v>4</v>
      </c>
      <c r="H2327" s="77" t="n">
        <v>4</v>
      </c>
      <c r="I2327" s="76" t="n">
        <f aca="false">IF(AND(ISNUMBER(G2327),ISNUMBER(H2327)),MAX(G2327-H2327,0),"")</f>
        <v>0</v>
      </c>
      <c r="J2327" s="78" t="n">
        <f aca="false">IF(AND(ISNUMBER(G2327),ISNUMBER(H2327)),IF(G2327&gt;0,H2327/G2327,""),"")</f>
        <v>1</v>
      </c>
      <c r="K2327" s="77" t="s">
        <v>483</v>
      </c>
      <c r="L2327" s="76" t="str">
        <f aca="false">IF(OR(G2327="",H2327=""),"Data tidak lengkap",IF(AND(G2327=0,H2327=0),IF(AND(F2327="",K2327=""),"Tidak dibuka","Tutup"),IF(H2327&gt;G2327,"Lebih kapasitas",IF(H2327=G2327,"Penuh",IF(H2327=0,IF(F2327="","Slot kosong","Belum terisi"),"Sebagian")))))</f>
        <v>Penuh</v>
      </c>
      <c r="M2327" s="79" t="str">
        <f aca="false">IF(L2327="Tidak dibuka","–",IF(F2327="","(tanpa age group)",F2327)&amp;"  "&amp;IF(H2327="","?",H2327)&amp;"/"&amp;IF(G2327="","?",G2327)&amp;CHAR(10)&amp;IF(K2327="","coach: –","coach: "&amp;K2327))</f>
        <v>Kids  4/4
coach: Juan</v>
      </c>
    </row>
    <row r="2328" customFormat="false" ht="22.35" hidden="false" customHeight="false" outlineLevel="0" collapsed="false">
      <c r="A2328" s="76" t="str">
        <f aca="false">B2328&amp;"|"&amp;C2328&amp;"|"&amp;D2328&amp;"|"&amp;E2328</f>
        <v>HIB|4|Jumat|17:15</v>
      </c>
      <c r="B2328" s="76" t="s">
        <v>71</v>
      </c>
      <c r="C2328" s="76" t="n">
        <v>4</v>
      </c>
      <c r="D2328" s="76" t="s">
        <v>94</v>
      </c>
      <c r="E2328" s="76" t="s">
        <v>107</v>
      </c>
      <c r="F2328" s="77" t="s">
        <v>210</v>
      </c>
      <c r="G2328" s="77" t="n">
        <v>4</v>
      </c>
      <c r="H2328" s="77" t="n">
        <v>3</v>
      </c>
      <c r="I2328" s="76" t="n">
        <f aca="false">IF(AND(ISNUMBER(G2328),ISNUMBER(H2328)),MAX(G2328-H2328,0),"")</f>
        <v>1</v>
      </c>
      <c r="J2328" s="78" t="n">
        <f aca="false">IF(AND(ISNUMBER(G2328),ISNUMBER(H2328)),IF(G2328&gt;0,H2328/G2328,""),"")</f>
        <v>0.75</v>
      </c>
      <c r="K2328" s="77" t="s">
        <v>488</v>
      </c>
      <c r="L2328" s="76" t="str">
        <f aca="false">IF(OR(G2328="",H2328=""),"Data tidak lengkap",IF(AND(G2328=0,H2328=0),IF(AND(F2328="",K2328=""),"Tidak dibuka","Tutup"),IF(H2328&gt;G2328,"Lebih kapasitas",IF(H2328=G2328,"Penuh",IF(H2328=0,IF(F2328="","Slot kosong","Belum terisi"),"Sebagian")))))</f>
        <v>Sebagian</v>
      </c>
      <c r="M2328" s="79" t="str">
        <f aca="false">IF(L2328="Tidak dibuka","–",IF(F2328="","(tanpa age group)",F2328)&amp;"  "&amp;IF(H2328="","?",H2328)&amp;"/"&amp;IF(G2328="","?",G2328)&amp;CHAR(10)&amp;IF(K2328="","coach: –","coach: "&amp;K2328))</f>
        <v>Kids  3/4
coach: Indra</v>
      </c>
    </row>
    <row r="2329" customFormat="false" ht="22.35" hidden="false" customHeight="false" outlineLevel="0" collapsed="false">
      <c r="A2329" s="76" t="str">
        <f aca="false">B2329&amp;"|"&amp;C2329&amp;"|"&amp;D2329&amp;"|"&amp;E2329</f>
        <v>HIB|4|Sabtu|08:15</v>
      </c>
      <c r="B2329" s="76" t="s">
        <v>71</v>
      </c>
      <c r="C2329" s="76" t="n">
        <v>4</v>
      </c>
      <c r="D2329" s="76" t="s">
        <v>95</v>
      </c>
      <c r="E2329" s="76" t="s">
        <v>96</v>
      </c>
      <c r="F2329" s="77" t="s">
        <v>210</v>
      </c>
      <c r="G2329" s="77" t="n">
        <v>4</v>
      </c>
      <c r="H2329" s="77" t="n">
        <v>0</v>
      </c>
      <c r="I2329" s="76" t="n">
        <f aca="false">IF(AND(ISNUMBER(G2329),ISNUMBER(H2329)),MAX(G2329-H2329,0),"")</f>
        <v>4</v>
      </c>
      <c r="J2329" s="78" t="n">
        <f aca="false">IF(AND(ISNUMBER(G2329),ISNUMBER(H2329)),IF(G2329&gt;0,H2329/G2329,""),"")</f>
        <v>0</v>
      </c>
      <c r="K2329" s="77"/>
      <c r="L2329" s="76" t="str">
        <f aca="false">IF(OR(G2329="",H2329=""),"Data tidak lengkap",IF(AND(G2329=0,H2329=0),IF(AND(F2329="",K2329=""),"Tidak dibuka","Tutup"),IF(H2329&gt;G2329,"Lebih kapasitas",IF(H2329=G2329,"Penuh",IF(H2329=0,IF(F2329="","Slot kosong","Belum terisi"),"Sebagian")))))</f>
        <v>Belum terisi</v>
      </c>
      <c r="M2329" s="79" t="str">
        <f aca="false">IF(L2329="Tidak dibuka","–",IF(F2329="","(tanpa age group)",F2329)&amp;"  "&amp;IF(H2329="","?",H2329)&amp;"/"&amp;IF(G2329="","?",G2329)&amp;CHAR(10)&amp;IF(K2329="","coach: –","coach: "&amp;K2329))</f>
        <v>Kids  0/4
coach: –</v>
      </c>
    </row>
    <row r="2330" customFormat="false" ht="22.35" hidden="false" customHeight="false" outlineLevel="0" collapsed="false">
      <c r="A2330" s="76" t="str">
        <f aca="false">B2330&amp;"|"&amp;C2330&amp;"|"&amp;D2330&amp;"|"&amp;E2330</f>
        <v>HIB|4|Sabtu|09:00</v>
      </c>
      <c r="B2330" s="76" t="s">
        <v>71</v>
      </c>
      <c r="C2330" s="76" t="n">
        <v>4</v>
      </c>
      <c r="D2330" s="76" t="s">
        <v>95</v>
      </c>
      <c r="E2330" s="76" t="s">
        <v>97</v>
      </c>
      <c r="F2330" s="77" t="s">
        <v>210</v>
      </c>
      <c r="G2330" s="77" t="n">
        <v>4</v>
      </c>
      <c r="H2330" s="77" t="n">
        <v>4</v>
      </c>
      <c r="I2330" s="76" t="n">
        <f aca="false">IF(AND(ISNUMBER(G2330),ISNUMBER(H2330)),MAX(G2330-H2330,0),"")</f>
        <v>0</v>
      </c>
      <c r="J2330" s="78" t="n">
        <f aca="false">IF(AND(ISNUMBER(G2330),ISNUMBER(H2330)),IF(G2330&gt;0,H2330/G2330,""),"")</f>
        <v>1</v>
      </c>
      <c r="K2330" s="77" t="s">
        <v>486</v>
      </c>
      <c r="L2330" s="76" t="str">
        <f aca="false">IF(OR(G2330="",H2330=""),"Data tidak lengkap",IF(AND(G2330=0,H2330=0),IF(AND(F2330="",K2330=""),"Tidak dibuka","Tutup"),IF(H2330&gt;G2330,"Lebih kapasitas",IF(H2330=G2330,"Penuh",IF(H2330=0,IF(F2330="","Slot kosong","Belum terisi"),"Sebagian")))))</f>
        <v>Penuh</v>
      </c>
      <c r="M2330" s="79" t="str">
        <f aca="false">IF(L2330="Tidak dibuka","–",IF(F2330="","(tanpa age group)",F2330)&amp;"  "&amp;IF(H2330="","?",H2330)&amp;"/"&amp;IF(G2330="","?",G2330)&amp;CHAR(10)&amp;IF(K2330="","coach: –","coach: "&amp;K2330))</f>
        <v>Kids  4/4
coach: Angga</v>
      </c>
    </row>
    <row r="2331" customFormat="false" ht="22.35" hidden="false" customHeight="false" outlineLevel="0" collapsed="false">
      <c r="A2331" s="76" t="str">
        <f aca="false">B2331&amp;"|"&amp;C2331&amp;"|"&amp;D2331&amp;"|"&amp;E2331</f>
        <v>HIB|4|Sabtu|09:45</v>
      </c>
      <c r="B2331" s="76" t="s">
        <v>71</v>
      </c>
      <c r="C2331" s="76" t="n">
        <v>4</v>
      </c>
      <c r="D2331" s="76" t="s">
        <v>95</v>
      </c>
      <c r="E2331" s="76" t="s">
        <v>98</v>
      </c>
      <c r="F2331" s="77" t="s">
        <v>210</v>
      </c>
      <c r="G2331" s="77" t="n">
        <v>4</v>
      </c>
      <c r="H2331" s="77" t="n">
        <v>1</v>
      </c>
      <c r="I2331" s="76" t="n">
        <f aca="false">IF(AND(ISNUMBER(G2331),ISNUMBER(H2331)),MAX(G2331-H2331,0),"")</f>
        <v>3</v>
      </c>
      <c r="J2331" s="78" t="n">
        <f aca="false">IF(AND(ISNUMBER(G2331),ISNUMBER(H2331)),IF(G2331&gt;0,H2331/G2331,""),"")</f>
        <v>0.25</v>
      </c>
      <c r="K2331" s="77" t="s">
        <v>483</v>
      </c>
      <c r="L2331" s="76" t="str">
        <f aca="false">IF(OR(G2331="",H2331=""),"Data tidak lengkap",IF(AND(G2331=0,H2331=0),IF(AND(F2331="",K2331=""),"Tidak dibuka","Tutup"),IF(H2331&gt;G2331,"Lebih kapasitas",IF(H2331=G2331,"Penuh",IF(H2331=0,IF(F2331="","Slot kosong","Belum terisi"),"Sebagian")))))</f>
        <v>Sebagian</v>
      </c>
      <c r="M2331" s="79" t="str">
        <f aca="false">IF(L2331="Tidak dibuka","–",IF(F2331="","(tanpa age group)",F2331)&amp;"  "&amp;IF(H2331="","?",H2331)&amp;"/"&amp;IF(G2331="","?",G2331)&amp;CHAR(10)&amp;IF(K2331="","coach: –","coach: "&amp;K2331))</f>
        <v>Kids  1/4
coach: Juan</v>
      </c>
    </row>
    <row r="2332" customFormat="false" ht="22.35" hidden="false" customHeight="false" outlineLevel="0" collapsed="false">
      <c r="A2332" s="76" t="str">
        <f aca="false">B2332&amp;"|"&amp;C2332&amp;"|"&amp;D2332&amp;"|"&amp;E2332</f>
        <v>HIB|4|Sabtu|10:30</v>
      </c>
      <c r="B2332" s="76" t="s">
        <v>71</v>
      </c>
      <c r="C2332" s="76" t="n">
        <v>4</v>
      </c>
      <c r="D2332" s="76" t="s">
        <v>95</v>
      </c>
      <c r="E2332" s="76" t="s">
        <v>99</v>
      </c>
      <c r="F2332" s="77" t="s">
        <v>210</v>
      </c>
      <c r="G2332" s="77" t="n">
        <v>4</v>
      </c>
      <c r="H2332" s="77" t="n">
        <v>0</v>
      </c>
      <c r="I2332" s="76" t="n">
        <f aca="false">IF(AND(ISNUMBER(G2332),ISNUMBER(H2332)),MAX(G2332-H2332,0),"")</f>
        <v>4</v>
      </c>
      <c r="J2332" s="78" t="n">
        <f aca="false">IF(AND(ISNUMBER(G2332),ISNUMBER(H2332)),IF(G2332&gt;0,H2332/G2332,""),"")</f>
        <v>0</v>
      </c>
      <c r="K2332" s="77"/>
      <c r="L2332" s="76" t="str">
        <f aca="false">IF(OR(G2332="",H2332=""),"Data tidak lengkap",IF(AND(G2332=0,H2332=0),IF(AND(F2332="",K2332=""),"Tidak dibuka","Tutup"),IF(H2332&gt;G2332,"Lebih kapasitas",IF(H2332=G2332,"Penuh",IF(H2332=0,IF(F2332="","Slot kosong","Belum terisi"),"Sebagian")))))</f>
        <v>Belum terisi</v>
      </c>
      <c r="M2332" s="79" t="str">
        <f aca="false">IF(L2332="Tidak dibuka","–",IF(F2332="","(tanpa age group)",F2332)&amp;"  "&amp;IF(H2332="","?",H2332)&amp;"/"&amp;IF(G2332="","?",G2332)&amp;CHAR(10)&amp;IF(K2332="","coach: –","coach: "&amp;K2332))</f>
        <v>Kids  0/4
coach: –</v>
      </c>
    </row>
    <row r="2333" customFormat="false" ht="22.35" hidden="false" customHeight="false" outlineLevel="0" collapsed="false">
      <c r="A2333" s="76" t="str">
        <f aca="false">B2333&amp;"|"&amp;C2333&amp;"|"&amp;D2333&amp;"|"&amp;E2333</f>
        <v>HIB|4|Sabtu|11:15</v>
      </c>
      <c r="B2333" s="76" t="s">
        <v>71</v>
      </c>
      <c r="C2333" s="76" t="n">
        <v>4</v>
      </c>
      <c r="D2333" s="76" t="s">
        <v>95</v>
      </c>
      <c r="E2333" s="76" t="s">
        <v>100</v>
      </c>
      <c r="F2333" s="77" t="s">
        <v>210</v>
      </c>
      <c r="G2333" s="77" t="n">
        <v>4</v>
      </c>
      <c r="H2333" s="77" t="n">
        <v>3</v>
      </c>
      <c r="I2333" s="76" t="n">
        <f aca="false">IF(AND(ISNUMBER(G2333),ISNUMBER(H2333)),MAX(G2333-H2333,0),"")</f>
        <v>1</v>
      </c>
      <c r="J2333" s="78" t="n">
        <f aca="false">IF(AND(ISNUMBER(G2333),ISNUMBER(H2333)),IF(G2333&gt;0,H2333/G2333,""),"")</f>
        <v>0.75</v>
      </c>
      <c r="K2333" s="77" t="s">
        <v>488</v>
      </c>
      <c r="L2333" s="76" t="str">
        <f aca="false">IF(OR(G2333="",H2333=""),"Data tidak lengkap",IF(AND(G2333=0,H2333=0),IF(AND(F2333="",K2333=""),"Tidak dibuka","Tutup"),IF(H2333&gt;G2333,"Lebih kapasitas",IF(H2333=G2333,"Penuh",IF(H2333=0,IF(F2333="","Slot kosong","Belum terisi"),"Sebagian")))))</f>
        <v>Sebagian</v>
      </c>
      <c r="M2333" s="79" t="str">
        <f aca="false">IF(L2333="Tidak dibuka","–",IF(F2333="","(tanpa age group)",F2333)&amp;"  "&amp;IF(H2333="","?",H2333)&amp;"/"&amp;IF(G2333="","?",G2333)&amp;CHAR(10)&amp;IF(K2333="","coach: –","coach: "&amp;K2333))</f>
        <v>Kids  3/4
coach: Indra</v>
      </c>
    </row>
    <row r="2334" customFormat="false" ht="22.35" hidden="false" customHeight="false" outlineLevel="0" collapsed="false">
      <c r="A2334" s="76" t="str">
        <f aca="false">B2334&amp;"|"&amp;C2334&amp;"|"&amp;D2334&amp;"|"&amp;E2334</f>
        <v>HIB|4|Sabtu|12:00</v>
      </c>
      <c r="B2334" s="76" t="s">
        <v>71</v>
      </c>
      <c r="C2334" s="76" t="n">
        <v>4</v>
      </c>
      <c r="D2334" s="76" t="s">
        <v>95</v>
      </c>
      <c r="E2334" s="76" t="s">
        <v>101</v>
      </c>
      <c r="F2334" s="77" t="s">
        <v>210</v>
      </c>
      <c r="G2334" s="77" t="n">
        <v>4</v>
      </c>
      <c r="H2334" s="77" t="n">
        <v>0</v>
      </c>
      <c r="I2334" s="76" t="n">
        <f aca="false">IF(AND(ISNUMBER(G2334),ISNUMBER(H2334)),MAX(G2334-H2334,0),"")</f>
        <v>4</v>
      </c>
      <c r="J2334" s="78" t="n">
        <f aca="false">IF(AND(ISNUMBER(G2334),ISNUMBER(H2334)),IF(G2334&gt;0,H2334/G2334,""),"")</f>
        <v>0</v>
      </c>
      <c r="K2334" s="77"/>
      <c r="L2334" s="76" t="str">
        <f aca="false">IF(OR(G2334="",H2334=""),"Data tidak lengkap",IF(AND(G2334=0,H2334=0),IF(AND(F2334="",K2334=""),"Tidak dibuka","Tutup"),IF(H2334&gt;G2334,"Lebih kapasitas",IF(H2334=G2334,"Penuh",IF(H2334=0,IF(F2334="","Slot kosong","Belum terisi"),"Sebagian")))))</f>
        <v>Belum terisi</v>
      </c>
      <c r="M2334" s="79" t="str">
        <f aca="false">IF(L2334="Tidak dibuka","–",IF(F2334="","(tanpa age group)",F2334)&amp;"  "&amp;IF(H2334="","?",H2334)&amp;"/"&amp;IF(G2334="","?",G2334)&amp;CHAR(10)&amp;IF(K2334="","coach: –","coach: "&amp;K2334))</f>
        <v>Kids  0/4
coach: –</v>
      </c>
    </row>
    <row r="2335" customFormat="false" ht="22.35" hidden="false" customHeight="false" outlineLevel="0" collapsed="false">
      <c r="A2335" s="76" t="str">
        <f aca="false">B2335&amp;"|"&amp;C2335&amp;"|"&amp;D2335&amp;"|"&amp;E2335</f>
        <v>HIB|4|Sabtu|13:30</v>
      </c>
      <c r="B2335" s="76" t="s">
        <v>71</v>
      </c>
      <c r="C2335" s="76" t="n">
        <v>4</v>
      </c>
      <c r="D2335" s="76" t="s">
        <v>95</v>
      </c>
      <c r="E2335" s="76" t="s">
        <v>102</v>
      </c>
      <c r="F2335" s="77" t="s">
        <v>210</v>
      </c>
      <c r="G2335" s="77" t="n">
        <v>4</v>
      </c>
      <c r="H2335" s="77" t="n">
        <v>3</v>
      </c>
      <c r="I2335" s="76" t="n">
        <f aca="false">IF(AND(ISNUMBER(G2335),ISNUMBER(H2335)),MAX(G2335-H2335,0),"")</f>
        <v>1</v>
      </c>
      <c r="J2335" s="78" t="n">
        <f aca="false">IF(AND(ISNUMBER(G2335),ISNUMBER(H2335)),IF(G2335&gt;0,H2335/G2335,""),"")</f>
        <v>0.75</v>
      </c>
      <c r="K2335" s="77" t="s">
        <v>486</v>
      </c>
      <c r="L2335" s="76" t="str">
        <f aca="false">IF(OR(G2335="",H2335=""),"Data tidak lengkap",IF(AND(G2335=0,H2335=0),IF(AND(F2335="",K2335=""),"Tidak dibuka","Tutup"),IF(H2335&gt;G2335,"Lebih kapasitas",IF(H2335=G2335,"Penuh",IF(H2335=0,IF(F2335="","Slot kosong","Belum terisi"),"Sebagian")))))</f>
        <v>Sebagian</v>
      </c>
      <c r="M2335" s="79" t="str">
        <f aca="false">IF(L2335="Tidak dibuka","–",IF(F2335="","(tanpa age group)",F2335)&amp;"  "&amp;IF(H2335="","?",H2335)&amp;"/"&amp;IF(G2335="","?",G2335)&amp;CHAR(10)&amp;IF(K2335="","coach: –","coach: "&amp;K2335))</f>
        <v>Kids  3/4
coach: Angga</v>
      </c>
    </row>
    <row r="2336" customFormat="false" ht="22.35" hidden="false" customHeight="false" outlineLevel="0" collapsed="false">
      <c r="A2336" s="76" t="str">
        <f aca="false">B2336&amp;"|"&amp;C2336&amp;"|"&amp;D2336&amp;"|"&amp;E2336</f>
        <v>HIB|4|Sabtu|14:15</v>
      </c>
      <c r="B2336" s="76" t="s">
        <v>71</v>
      </c>
      <c r="C2336" s="76" t="n">
        <v>4</v>
      </c>
      <c r="D2336" s="76" t="s">
        <v>95</v>
      </c>
      <c r="E2336" s="76" t="s">
        <v>103</v>
      </c>
      <c r="F2336" s="77" t="s">
        <v>210</v>
      </c>
      <c r="G2336" s="77" t="n">
        <v>4</v>
      </c>
      <c r="H2336" s="77" t="n">
        <v>4</v>
      </c>
      <c r="I2336" s="76" t="n">
        <f aca="false">IF(AND(ISNUMBER(G2336),ISNUMBER(H2336)),MAX(G2336-H2336,0),"")</f>
        <v>0</v>
      </c>
      <c r="J2336" s="78" t="n">
        <f aca="false">IF(AND(ISNUMBER(G2336),ISNUMBER(H2336)),IF(G2336&gt;0,H2336/G2336,""),"")</f>
        <v>1</v>
      </c>
      <c r="K2336" s="77" t="s">
        <v>485</v>
      </c>
      <c r="L2336" s="76" t="str">
        <f aca="false">IF(OR(G2336="",H2336=""),"Data tidak lengkap",IF(AND(G2336=0,H2336=0),IF(AND(F2336="",K2336=""),"Tidak dibuka","Tutup"),IF(H2336&gt;G2336,"Lebih kapasitas",IF(H2336=G2336,"Penuh",IF(H2336=0,IF(F2336="","Slot kosong","Belum terisi"),"Sebagian")))))</f>
        <v>Penuh</v>
      </c>
      <c r="M2336" s="79" t="str">
        <f aca="false">IF(L2336="Tidak dibuka","–",IF(F2336="","(tanpa age group)",F2336)&amp;"  "&amp;IF(H2336="","?",H2336)&amp;"/"&amp;IF(G2336="","?",G2336)&amp;CHAR(10)&amp;IF(K2336="","coach: –","coach: "&amp;K2336))</f>
        <v>Kids  4/4
coach: Silvi</v>
      </c>
    </row>
    <row r="2337" customFormat="false" ht="22.35" hidden="false" customHeight="false" outlineLevel="0" collapsed="false">
      <c r="A2337" s="76" t="str">
        <f aca="false">B2337&amp;"|"&amp;C2337&amp;"|"&amp;D2337&amp;"|"&amp;E2337</f>
        <v>HIB|4|Sabtu|15:00</v>
      </c>
      <c r="B2337" s="76" t="s">
        <v>71</v>
      </c>
      <c r="C2337" s="76" t="n">
        <v>4</v>
      </c>
      <c r="D2337" s="76" t="s">
        <v>95</v>
      </c>
      <c r="E2337" s="76" t="s">
        <v>104</v>
      </c>
      <c r="F2337" s="77" t="s">
        <v>210</v>
      </c>
      <c r="G2337" s="77" t="n">
        <v>4</v>
      </c>
      <c r="H2337" s="77" t="n">
        <v>4</v>
      </c>
      <c r="I2337" s="76" t="n">
        <f aca="false">IF(AND(ISNUMBER(G2337),ISNUMBER(H2337)),MAX(G2337-H2337,0),"")</f>
        <v>0</v>
      </c>
      <c r="J2337" s="78" t="n">
        <f aca="false">IF(AND(ISNUMBER(G2337),ISNUMBER(H2337)),IF(G2337&gt;0,H2337/G2337,""),"")</f>
        <v>1</v>
      </c>
      <c r="K2337" s="77" t="s">
        <v>483</v>
      </c>
      <c r="L2337" s="76" t="str">
        <f aca="false">IF(OR(G2337="",H2337=""),"Data tidak lengkap",IF(AND(G2337=0,H2337=0),IF(AND(F2337="",K2337=""),"Tidak dibuka","Tutup"),IF(H2337&gt;G2337,"Lebih kapasitas",IF(H2337=G2337,"Penuh",IF(H2337=0,IF(F2337="","Slot kosong","Belum terisi"),"Sebagian")))))</f>
        <v>Penuh</v>
      </c>
      <c r="M2337" s="79" t="str">
        <f aca="false">IF(L2337="Tidak dibuka","–",IF(F2337="","(tanpa age group)",F2337)&amp;"  "&amp;IF(H2337="","?",H2337)&amp;"/"&amp;IF(G2337="","?",G2337)&amp;CHAR(10)&amp;IF(K2337="","coach: –","coach: "&amp;K2337))</f>
        <v>Kids  4/4
coach: Juan</v>
      </c>
    </row>
    <row r="2338" customFormat="false" ht="22.35" hidden="false" customHeight="false" outlineLevel="0" collapsed="false">
      <c r="A2338" s="76" t="str">
        <f aca="false">B2338&amp;"|"&amp;C2338&amp;"|"&amp;D2338&amp;"|"&amp;E2338</f>
        <v>HIB|4|Sabtu|15:45</v>
      </c>
      <c r="B2338" s="76" t="s">
        <v>71</v>
      </c>
      <c r="C2338" s="76" t="n">
        <v>4</v>
      </c>
      <c r="D2338" s="76" t="s">
        <v>95</v>
      </c>
      <c r="E2338" s="76" t="s">
        <v>105</v>
      </c>
      <c r="F2338" s="77" t="s">
        <v>210</v>
      </c>
      <c r="G2338" s="77" t="n">
        <v>4</v>
      </c>
      <c r="H2338" s="77" t="n">
        <v>0</v>
      </c>
      <c r="I2338" s="76" t="n">
        <f aca="false">IF(AND(ISNUMBER(G2338),ISNUMBER(H2338)),MAX(G2338-H2338,0),"")</f>
        <v>4</v>
      </c>
      <c r="J2338" s="78" t="n">
        <f aca="false">IF(AND(ISNUMBER(G2338),ISNUMBER(H2338)),IF(G2338&gt;0,H2338/G2338,""),"")</f>
        <v>0</v>
      </c>
      <c r="K2338" s="77"/>
      <c r="L2338" s="76" t="str">
        <f aca="false">IF(OR(G2338="",H2338=""),"Data tidak lengkap",IF(AND(G2338=0,H2338=0),IF(AND(F2338="",K2338=""),"Tidak dibuka","Tutup"),IF(H2338&gt;G2338,"Lebih kapasitas",IF(H2338=G2338,"Penuh",IF(H2338=0,IF(F2338="","Slot kosong","Belum terisi"),"Sebagian")))))</f>
        <v>Belum terisi</v>
      </c>
      <c r="M2338" s="79" t="str">
        <f aca="false">IF(L2338="Tidak dibuka","–",IF(F2338="","(tanpa age group)",F2338)&amp;"  "&amp;IF(H2338="","?",H2338)&amp;"/"&amp;IF(G2338="","?",G2338)&amp;CHAR(10)&amp;IF(K2338="","coach: –","coach: "&amp;K2338))</f>
        <v>Kids  0/4
coach: –</v>
      </c>
    </row>
    <row r="2339" customFormat="false" ht="22.35" hidden="false" customHeight="false" outlineLevel="0" collapsed="false">
      <c r="A2339" s="76" t="str">
        <f aca="false">B2339&amp;"|"&amp;C2339&amp;"|"&amp;D2339&amp;"|"&amp;E2339</f>
        <v>HIB|4|Sabtu|16:30</v>
      </c>
      <c r="B2339" s="76" t="s">
        <v>71</v>
      </c>
      <c r="C2339" s="76" t="n">
        <v>4</v>
      </c>
      <c r="D2339" s="76" t="s">
        <v>95</v>
      </c>
      <c r="E2339" s="76" t="s">
        <v>106</v>
      </c>
      <c r="F2339" s="77" t="s">
        <v>210</v>
      </c>
      <c r="G2339" s="77" t="n">
        <v>4</v>
      </c>
      <c r="H2339" s="77" t="n">
        <v>2</v>
      </c>
      <c r="I2339" s="76" t="n">
        <f aca="false">IF(AND(ISNUMBER(G2339),ISNUMBER(H2339)),MAX(G2339-H2339,0),"")</f>
        <v>2</v>
      </c>
      <c r="J2339" s="78" t="n">
        <f aca="false">IF(AND(ISNUMBER(G2339),ISNUMBER(H2339)),IF(G2339&gt;0,H2339/G2339,""),"")</f>
        <v>0.5</v>
      </c>
      <c r="K2339" s="77" t="s">
        <v>483</v>
      </c>
      <c r="L2339" s="76" t="str">
        <f aca="false">IF(OR(G2339="",H2339=""),"Data tidak lengkap",IF(AND(G2339=0,H2339=0),IF(AND(F2339="",K2339=""),"Tidak dibuka","Tutup"),IF(H2339&gt;G2339,"Lebih kapasitas",IF(H2339=G2339,"Penuh",IF(H2339=0,IF(F2339="","Slot kosong","Belum terisi"),"Sebagian")))))</f>
        <v>Sebagian</v>
      </c>
      <c r="M2339" s="79" t="str">
        <f aca="false">IF(L2339="Tidak dibuka","–",IF(F2339="","(tanpa age group)",F2339)&amp;"  "&amp;IF(H2339="","?",H2339)&amp;"/"&amp;IF(G2339="","?",G2339)&amp;CHAR(10)&amp;IF(K2339="","coach: –","coach: "&amp;K2339))</f>
        <v>Kids  2/4
coach: Juan</v>
      </c>
    </row>
    <row r="2340" customFormat="false" ht="22.35" hidden="false" customHeight="false" outlineLevel="0" collapsed="false">
      <c r="A2340" s="76" t="str">
        <f aca="false">B2340&amp;"|"&amp;C2340&amp;"|"&amp;D2340&amp;"|"&amp;E2340</f>
        <v>HIB|4|Sabtu|17:15</v>
      </c>
      <c r="B2340" s="76" t="s">
        <v>71</v>
      </c>
      <c r="C2340" s="76" t="n">
        <v>4</v>
      </c>
      <c r="D2340" s="76" t="s">
        <v>95</v>
      </c>
      <c r="E2340" s="76" t="s">
        <v>107</v>
      </c>
      <c r="F2340" s="77" t="s">
        <v>210</v>
      </c>
      <c r="G2340" s="77" t="n">
        <v>4</v>
      </c>
      <c r="H2340" s="77" t="n">
        <v>1</v>
      </c>
      <c r="I2340" s="76" t="n">
        <f aca="false">IF(AND(ISNUMBER(G2340),ISNUMBER(H2340)),MAX(G2340-H2340,0),"")</f>
        <v>3</v>
      </c>
      <c r="J2340" s="78" t="n">
        <f aca="false">IF(AND(ISNUMBER(G2340),ISNUMBER(H2340)),IF(G2340&gt;0,H2340/G2340,""),"")</f>
        <v>0.25</v>
      </c>
      <c r="K2340" s="77" t="s">
        <v>483</v>
      </c>
      <c r="L2340" s="76" t="str">
        <f aca="false">IF(OR(G2340="",H2340=""),"Data tidak lengkap",IF(AND(G2340=0,H2340=0),IF(AND(F2340="",K2340=""),"Tidak dibuka","Tutup"),IF(H2340&gt;G2340,"Lebih kapasitas",IF(H2340=G2340,"Penuh",IF(H2340=0,IF(F2340="","Slot kosong","Belum terisi"),"Sebagian")))))</f>
        <v>Sebagian</v>
      </c>
      <c r="M2340" s="79" t="str">
        <f aca="false">IF(L2340="Tidak dibuka","–",IF(F2340="","(tanpa age group)",F2340)&amp;"  "&amp;IF(H2340="","?",H2340)&amp;"/"&amp;IF(G2340="","?",G2340)&amp;CHAR(10)&amp;IF(K2340="","coach: –","coach: "&amp;K2340))</f>
        <v>Kids  1/4
coach: Juan</v>
      </c>
    </row>
    <row r="2341" customFormat="false" ht="22.35" hidden="false" customHeight="false" outlineLevel="0" collapsed="false">
      <c r="A2341" s="76" t="str">
        <f aca="false">B2341&amp;"|"&amp;C2341&amp;"|"&amp;D2341&amp;"|"&amp;E2341</f>
        <v>HIB|4|Minggu|08:15</v>
      </c>
      <c r="B2341" s="76" t="s">
        <v>71</v>
      </c>
      <c r="C2341" s="76" t="n">
        <v>4</v>
      </c>
      <c r="D2341" s="76" t="s">
        <v>78</v>
      </c>
      <c r="E2341" s="76" t="s">
        <v>96</v>
      </c>
      <c r="F2341" s="77" t="s">
        <v>210</v>
      </c>
      <c r="G2341" s="77" t="n">
        <v>4</v>
      </c>
      <c r="H2341" s="77" t="n">
        <v>0</v>
      </c>
      <c r="I2341" s="76" t="n">
        <f aca="false">IF(AND(ISNUMBER(G2341),ISNUMBER(H2341)),MAX(G2341-H2341,0),"")</f>
        <v>4</v>
      </c>
      <c r="J2341" s="78" t="n">
        <f aca="false">IF(AND(ISNUMBER(G2341),ISNUMBER(H2341)),IF(G2341&gt;0,H2341/G2341,""),"")</f>
        <v>0</v>
      </c>
      <c r="K2341" s="77"/>
      <c r="L2341" s="76" t="str">
        <f aca="false">IF(OR(G2341="",H2341=""),"Data tidak lengkap",IF(AND(G2341=0,H2341=0),IF(AND(F2341="",K2341=""),"Tidak dibuka","Tutup"),IF(H2341&gt;G2341,"Lebih kapasitas",IF(H2341=G2341,"Penuh",IF(H2341=0,IF(F2341="","Slot kosong","Belum terisi"),"Sebagian")))))</f>
        <v>Belum terisi</v>
      </c>
      <c r="M2341" s="79" t="str">
        <f aca="false">IF(L2341="Tidak dibuka","–",IF(F2341="","(tanpa age group)",F2341)&amp;"  "&amp;IF(H2341="","?",H2341)&amp;"/"&amp;IF(G2341="","?",G2341)&amp;CHAR(10)&amp;IF(K2341="","coach: –","coach: "&amp;K2341))</f>
        <v>Kids  0/4
coach: –</v>
      </c>
    </row>
    <row r="2342" customFormat="false" ht="22.35" hidden="false" customHeight="false" outlineLevel="0" collapsed="false">
      <c r="A2342" s="76" t="str">
        <f aca="false">B2342&amp;"|"&amp;C2342&amp;"|"&amp;D2342&amp;"|"&amp;E2342</f>
        <v>HIB|4|Minggu|09:00</v>
      </c>
      <c r="B2342" s="76" t="s">
        <v>71</v>
      </c>
      <c r="C2342" s="76" t="n">
        <v>4</v>
      </c>
      <c r="D2342" s="76" t="s">
        <v>78</v>
      </c>
      <c r="E2342" s="76" t="s">
        <v>97</v>
      </c>
      <c r="F2342" s="77" t="s">
        <v>210</v>
      </c>
      <c r="G2342" s="77" t="n">
        <v>4</v>
      </c>
      <c r="H2342" s="77" t="n">
        <v>2</v>
      </c>
      <c r="I2342" s="76" t="n">
        <f aca="false">IF(AND(ISNUMBER(G2342),ISNUMBER(H2342)),MAX(G2342-H2342,0),"")</f>
        <v>2</v>
      </c>
      <c r="J2342" s="78" t="n">
        <f aca="false">IF(AND(ISNUMBER(G2342),ISNUMBER(H2342)),IF(G2342&gt;0,H2342/G2342,""),"")</f>
        <v>0.5</v>
      </c>
      <c r="K2342" s="77" t="s">
        <v>486</v>
      </c>
      <c r="L2342" s="76" t="str">
        <f aca="false">IF(OR(G2342="",H2342=""),"Data tidak lengkap",IF(AND(G2342=0,H2342=0),IF(AND(F2342="",K2342=""),"Tidak dibuka","Tutup"),IF(H2342&gt;G2342,"Lebih kapasitas",IF(H2342=G2342,"Penuh",IF(H2342=0,IF(F2342="","Slot kosong","Belum terisi"),"Sebagian")))))</f>
        <v>Sebagian</v>
      </c>
      <c r="M2342" s="79" t="str">
        <f aca="false">IF(L2342="Tidak dibuka","–",IF(F2342="","(tanpa age group)",F2342)&amp;"  "&amp;IF(H2342="","?",H2342)&amp;"/"&amp;IF(G2342="","?",G2342)&amp;CHAR(10)&amp;IF(K2342="","coach: –","coach: "&amp;K2342))</f>
        <v>Kids  2/4
coach: Angga</v>
      </c>
    </row>
    <row r="2343" customFormat="false" ht="22.35" hidden="false" customHeight="false" outlineLevel="0" collapsed="false">
      <c r="A2343" s="76" t="str">
        <f aca="false">B2343&amp;"|"&amp;C2343&amp;"|"&amp;D2343&amp;"|"&amp;E2343</f>
        <v>HIB|4|Minggu|09:45</v>
      </c>
      <c r="B2343" s="76" t="s">
        <v>71</v>
      </c>
      <c r="C2343" s="76" t="n">
        <v>4</v>
      </c>
      <c r="D2343" s="76" t="s">
        <v>78</v>
      </c>
      <c r="E2343" s="76" t="s">
        <v>98</v>
      </c>
      <c r="F2343" s="77" t="s">
        <v>210</v>
      </c>
      <c r="G2343" s="77" t="n">
        <v>4</v>
      </c>
      <c r="H2343" s="77" t="n">
        <v>0</v>
      </c>
      <c r="I2343" s="76" t="n">
        <f aca="false">IF(AND(ISNUMBER(G2343),ISNUMBER(H2343)),MAX(G2343-H2343,0),"")</f>
        <v>4</v>
      </c>
      <c r="J2343" s="78" t="n">
        <f aca="false">IF(AND(ISNUMBER(G2343),ISNUMBER(H2343)),IF(G2343&gt;0,H2343/G2343,""),"")</f>
        <v>0</v>
      </c>
      <c r="K2343" s="77"/>
      <c r="L2343" s="76" t="str">
        <f aca="false">IF(OR(G2343="",H2343=""),"Data tidak lengkap",IF(AND(G2343=0,H2343=0),IF(AND(F2343="",K2343=""),"Tidak dibuka","Tutup"),IF(H2343&gt;G2343,"Lebih kapasitas",IF(H2343=G2343,"Penuh",IF(H2343=0,IF(F2343="","Slot kosong","Belum terisi"),"Sebagian")))))</f>
        <v>Belum terisi</v>
      </c>
      <c r="M2343" s="79" t="str">
        <f aca="false">IF(L2343="Tidak dibuka","–",IF(F2343="","(tanpa age group)",F2343)&amp;"  "&amp;IF(H2343="","?",H2343)&amp;"/"&amp;IF(G2343="","?",G2343)&amp;CHAR(10)&amp;IF(K2343="","coach: –","coach: "&amp;K2343))</f>
        <v>Kids  0/4
coach: –</v>
      </c>
    </row>
    <row r="2344" customFormat="false" ht="22.35" hidden="false" customHeight="false" outlineLevel="0" collapsed="false">
      <c r="A2344" s="76" t="str">
        <f aca="false">B2344&amp;"|"&amp;C2344&amp;"|"&amp;D2344&amp;"|"&amp;E2344</f>
        <v>HIB|4|Minggu|10:30</v>
      </c>
      <c r="B2344" s="76" t="s">
        <v>71</v>
      </c>
      <c r="C2344" s="76" t="n">
        <v>4</v>
      </c>
      <c r="D2344" s="76" t="s">
        <v>78</v>
      </c>
      <c r="E2344" s="76" t="s">
        <v>99</v>
      </c>
      <c r="F2344" s="77" t="s">
        <v>210</v>
      </c>
      <c r="G2344" s="77" t="n">
        <v>4</v>
      </c>
      <c r="H2344" s="77" t="n">
        <v>2</v>
      </c>
      <c r="I2344" s="76" t="n">
        <f aca="false">IF(AND(ISNUMBER(G2344),ISNUMBER(H2344)),MAX(G2344-H2344,0),"")</f>
        <v>2</v>
      </c>
      <c r="J2344" s="78" t="n">
        <f aca="false">IF(AND(ISNUMBER(G2344),ISNUMBER(H2344)),IF(G2344&gt;0,H2344/G2344,""),"")</f>
        <v>0.5</v>
      </c>
      <c r="K2344" s="77" t="s">
        <v>485</v>
      </c>
      <c r="L2344" s="76" t="str">
        <f aca="false">IF(OR(G2344="",H2344=""),"Data tidak lengkap",IF(AND(G2344=0,H2344=0),IF(AND(F2344="",K2344=""),"Tidak dibuka","Tutup"),IF(H2344&gt;G2344,"Lebih kapasitas",IF(H2344=G2344,"Penuh",IF(H2344=0,IF(F2344="","Slot kosong","Belum terisi"),"Sebagian")))))</f>
        <v>Sebagian</v>
      </c>
      <c r="M2344" s="79" t="str">
        <f aca="false">IF(L2344="Tidak dibuka","–",IF(F2344="","(tanpa age group)",F2344)&amp;"  "&amp;IF(H2344="","?",H2344)&amp;"/"&amp;IF(G2344="","?",G2344)&amp;CHAR(10)&amp;IF(K2344="","coach: –","coach: "&amp;K2344))</f>
        <v>Kids  2/4
coach: Silvi</v>
      </c>
    </row>
    <row r="2345" customFormat="false" ht="22.35" hidden="false" customHeight="false" outlineLevel="0" collapsed="false">
      <c r="A2345" s="76" t="str">
        <f aca="false">B2345&amp;"|"&amp;C2345&amp;"|"&amp;D2345&amp;"|"&amp;E2345</f>
        <v>HIB|4|Minggu|11:15</v>
      </c>
      <c r="B2345" s="76" t="s">
        <v>71</v>
      </c>
      <c r="C2345" s="76" t="n">
        <v>4</v>
      </c>
      <c r="D2345" s="76" t="s">
        <v>78</v>
      </c>
      <c r="E2345" s="76" t="s">
        <v>100</v>
      </c>
      <c r="F2345" s="77" t="s">
        <v>210</v>
      </c>
      <c r="G2345" s="77" t="n">
        <v>4</v>
      </c>
      <c r="H2345" s="77" t="n">
        <v>0</v>
      </c>
      <c r="I2345" s="76" t="n">
        <f aca="false">IF(AND(ISNUMBER(G2345),ISNUMBER(H2345)),MAX(G2345-H2345,0),"")</f>
        <v>4</v>
      </c>
      <c r="J2345" s="78" t="n">
        <f aca="false">IF(AND(ISNUMBER(G2345),ISNUMBER(H2345)),IF(G2345&gt;0,H2345/G2345,""),"")</f>
        <v>0</v>
      </c>
      <c r="K2345" s="77"/>
      <c r="L2345" s="76" t="str">
        <f aca="false">IF(OR(G2345="",H2345=""),"Data tidak lengkap",IF(AND(G2345=0,H2345=0),IF(AND(F2345="",K2345=""),"Tidak dibuka","Tutup"),IF(H2345&gt;G2345,"Lebih kapasitas",IF(H2345=G2345,"Penuh",IF(H2345=0,IF(F2345="","Slot kosong","Belum terisi"),"Sebagian")))))</f>
        <v>Belum terisi</v>
      </c>
      <c r="M2345" s="79" t="str">
        <f aca="false">IF(L2345="Tidak dibuka","–",IF(F2345="","(tanpa age group)",F2345)&amp;"  "&amp;IF(H2345="","?",H2345)&amp;"/"&amp;IF(G2345="","?",G2345)&amp;CHAR(10)&amp;IF(K2345="","coach: –","coach: "&amp;K2345))</f>
        <v>Kids  0/4
coach: –</v>
      </c>
    </row>
    <row r="2346" customFormat="false" ht="22.35" hidden="false" customHeight="false" outlineLevel="0" collapsed="false">
      <c r="A2346" s="76" t="str">
        <f aca="false">B2346&amp;"|"&amp;C2346&amp;"|"&amp;D2346&amp;"|"&amp;E2346</f>
        <v>HIB|4|Minggu|12:00</v>
      </c>
      <c r="B2346" s="76" t="s">
        <v>71</v>
      </c>
      <c r="C2346" s="76" t="n">
        <v>4</v>
      </c>
      <c r="D2346" s="76" t="s">
        <v>78</v>
      </c>
      <c r="E2346" s="76" t="s">
        <v>101</v>
      </c>
      <c r="F2346" s="77" t="s">
        <v>210</v>
      </c>
      <c r="G2346" s="77" t="n">
        <v>4</v>
      </c>
      <c r="H2346" s="77" t="n">
        <v>0</v>
      </c>
      <c r="I2346" s="76" t="n">
        <f aca="false">IF(AND(ISNUMBER(G2346),ISNUMBER(H2346)),MAX(G2346-H2346,0),"")</f>
        <v>4</v>
      </c>
      <c r="J2346" s="78" t="n">
        <f aca="false">IF(AND(ISNUMBER(G2346),ISNUMBER(H2346)),IF(G2346&gt;0,H2346/G2346,""),"")</f>
        <v>0</v>
      </c>
      <c r="K2346" s="77"/>
      <c r="L2346" s="76" t="str">
        <f aca="false">IF(OR(G2346="",H2346=""),"Data tidak lengkap",IF(AND(G2346=0,H2346=0),IF(AND(F2346="",K2346=""),"Tidak dibuka","Tutup"),IF(H2346&gt;G2346,"Lebih kapasitas",IF(H2346=G2346,"Penuh",IF(H2346=0,IF(F2346="","Slot kosong","Belum terisi"),"Sebagian")))))</f>
        <v>Belum terisi</v>
      </c>
      <c r="M2346" s="79" t="str">
        <f aca="false">IF(L2346="Tidak dibuka","–",IF(F2346="","(tanpa age group)",F2346)&amp;"  "&amp;IF(H2346="","?",H2346)&amp;"/"&amp;IF(G2346="","?",G2346)&amp;CHAR(10)&amp;IF(K2346="","coach: –","coach: "&amp;K2346))</f>
        <v>Kids  0/4
coach: –</v>
      </c>
    </row>
    <row r="2347" customFormat="false" ht="22.35" hidden="false" customHeight="false" outlineLevel="0" collapsed="false">
      <c r="A2347" s="76" t="str">
        <f aca="false">B2347&amp;"|"&amp;C2347&amp;"|"&amp;D2347&amp;"|"&amp;E2347</f>
        <v>HIB|4|Minggu|13:30</v>
      </c>
      <c r="B2347" s="76" t="s">
        <v>71</v>
      </c>
      <c r="C2347" s="76" t="n">
        <v>4</v>
      </c>
      <c r="D2347" s="76" t="s">
        <v>78</v>
      </c>
      <c r="E2347" s="76" t="s">
        <v>102</v>
      </c>
      <c r="F2347" s="77" t="s">
        <v>210</v>
      </c>
      <c r="G2347" s="77" t="n">
        <v>4</v>
      </c>
      <c r="H2347" s="77" t="n">
        <v>0</v>
      </c>
      <c r="I2347" s="76" t="n">
        <f aca="false">IF(AND(ISNUMBER(G2347),ISNUMBER(H2347)),MAX(G2347-H2347,0),"")</f>
        <v>4</v>
      </c>
      <c r="J2347" s="78" t="n">
        <f aca="false">IF(AND(ISNUMBER(G2347),ISNUMBER(H2347)),IF(G2347&gt;0,H2347/G2347,""),"")</f>
        <v>0</v>
      </c>
      <c r="K2347" s="77"/>
      <c r="L2347" s="76" t="str">
        <f aca="false">IF(OR(G2347="",H2347=""),"Data tidak lengkap",IF(AND(G2347=0,H2347=0),IF(AND(F2347="",K2347=""),"Tidak dibuka","Tutup"),IF(H2347&gt;G2347,"Lebih kapasitas",IF(H2347=G2347,"Penuh",IF(H2347=0,IF(F2347="","Slot kosong","Belum terisi"),"Sebagian")))))</f>
        <v>Belum terisi</v>
      </c>
      <c r="M2347" s="79" t="str">
        <f aca="false">IF(L2347="Tidak dibuka","–",IF(F2347="","(tanpa age group)",F2347)&amp;"  "&amp;IF(H2347="","?",H2347)&amp;"/"&amp;IF(G2347="","?",G2347)&amp;CHAR(10)&amp;IF(K2347="","coach: –","coach: "&amp;K2347))</f>
        <v>Kids  0/4
coach: –</v>
      </c>
    </row>
    <row r="2348" customFormat="false" ht="22.35" hidden="false" customHeight="false" outlineLevel="0" collapsed="false">
      <c r="A2348" s="76" t="str">
        <f aca="false">B2348&amp;"|"&amp;C2348&amp;"|"&amp;D2348&amp;"|"&amp;E2348</f>
        <v>HIB|4|Minggu|14:15</v>
      </c>
      <c r="B2348" s="76" t="s">
        <v>71</v>
      </c>
      <c r="C2348" s="76" t="n">
        <v>4</v>
      </c>
      <c r="D2348" s="76" t="s">
        <v>78</v>
      </c>
      <c r="E2348" s="76" t="s">
        <v>103</v>
      </c>
      <c r="F2348" s="77" t="s">
        <v>210</v>
      </c>
      <c r="G2348" s="77" t="n">
        <v>4</v>
      </c>
      <c r="H2348" s="77" t="n">
        <v>1</v>
      </c>
      <c r="I2348" s="76" t="n">
        <f aca="false">IF(AND(ISNUMBER(G2348),ISNUMBER(H2348)),MAX(G2348-H2348,0),"")</f>
        <v>3</v>
      </c>
      <c r="J2348" s="78" t="n">
        <f aca="false">IF(AND(ISNUMBER(G2348),ISNUMBER(H2348)),IF(G2348&gt;0,H2348/G2348,""),"")</f>
        <v>0.25</v>
      </c>
      <c r="K2348" s="77" t="s">
        <v>488</v>
      </c>
      <c r="L2348" s="76" t="str">
        <f aca="false">IF(OR(G2348="",H2348=""),"Data tidak lengkap",IF(AND(G2348=0,H2348=0),IF(AND(F2348="",K2348=""),"Tidak dibuka","Tutup"),IF(H2348&gt;G2348,"Lebih kapasitas",IF(H2348=G2348,"Penuh",IF(H2348=0,IF(F2348="","Slot kosong","Belum terisi"),"Sebagian")))))</f>
        <v>Sebagian</v>
      </c>
      <c r="M2348" s="79" t="str">
        <f aca="false">IF(L2348="Tidak dibuka","–",IF(F2348="","(tanpa age group)",F2348)&amp;"  "&amp;IF(H2348="","?",H2348)&amp;"/"&amp;IF(G2348="","?",G2348)&amp;CHAR(10)&amp;IF(K2348="","coach: –","coach: "&amp;K2348))</f>
        <v>Kids  1/4
coach: Indra</v>
      </c>
    </row>
    <row r="2349" customFormat="false" ht="22.35" hidden="false" customHeight="false" outlineLevel="0" collapsed="false">
      <c r="A2349" s="76" t="str">
        <f aca="false">B2349&amp;"|"&amp;C2349&amp;"|"&amp;D2349&amp;"|"&amp;E2349</f>
        <v>HIB|4|Minggu|15:00</v>
      </c>
      <c r="B2349" s="76" t="s">
        <v>71</v>
      </c>
      <c r="C2349" s="76" t="n">
        <v>4</v>
      </c>
      <c r="D2349" s="76" t="s">
        <v>78</v>
      </c>
      <c r="E2349" s="76" t="s">
        <v>104</v>
      </c>
      <c r="F2349" s="77" t="s">
        <v>210</v>
      </c>
      <c r="G2349" s="77" t="n">
        <v>4</v>
      </c>
      <c r="H2349" s="77" t="n">
        <v>0</v>
      </c>
      <c r="I2349" s="76" t="n">
        <f aca="false">IF(AND(ISNUMBER(G2349),ISNUMBER(H2349)),MAX(G2349-H2349,0),"")</f>
        <v>4</v>
      </c>
      <c r="J2349" s="78" t="n">
        <f aca="false">IF(AND(ISNUMBER(G2349),ISNUMBER(H2349)),IF(G2349&gt;0,H2349/G2349,""),"")</f>
        <v>0</v>
      </c>
      <c r="K2349" s="77"/>
      <c r="L2349" s="76" t="str">
        <f aca="false">IF(OR(G2349="",H2349=""),"Data tidak lengkap",IF(AND(G2349=0,H2349=0),IF(AND(F2349="",K2349=""),"Tidak dibuka","Tutup"),IF(H2349&gt;G2349,"Lebih kapasitas",IF(H2349=G2349,"Penuh",IF(H2349=0,IF(F2349="","Slot kosong","Belum terisi"),"Sebagian")))))</f>
        <v>Belum terisi</v>
      </c>
      <c r="M2349" s="79" t="str">
        <f aca="false">IF(L2349="Tidak dibuka","–",IF(F2349="","(tanpa age group)",F2349)&amp;"  "&amp;IF(H2349="","?",H2349)&amp;"/"&amp;IF(G2349="","?",G2349)&amp;CHAR(10)&amp;IF(K2349="","coach: –","coach: "&amp;K2349))</f>
        <v>Kids  0/4
coach: –</v>
      </c>
    </row>
    <row r="2350" customFormat="false" ht="22.35" hidden="false" customHeight="false" outlineLevel="0" collapsed="false">
      <c r="A2350" s="76" t="str">
        <f aca="false">B2350&amp;"|"&amp;C2350&amp;"|"&amp;D2350&amp;"|"&amp;E2350</f>
        <v>HIB|4|Minggu|15:45</v>
      </c>
      <c r="B2350" s="76" t="s">
        <v>71</v>
      </c>
      <c r="C2350" s="76" t="n">
        <v>4</v>
      </c>
      <c r="D2350" s="76" t="s">
        <v>78</v>
      </c>
      <c r="E2350" s="76" t="s">
        <v>105</v>
      </c>
      <c r="F2350" s="77" t="s">
        <v>210</v>
      </c>
      <c r="G2350" s="77" t="n">
        <v>4</v>
      </c>
      <c r="H2350" s="77" t="n">
        <v>0</v>
      </c>
      <c r="I2350" s="76" t="n">
        <f aca="false">IF(AND(ISNUMBER(G2350),ISNUMBER(H2350)),MAX(G2350-H2350,0),"")</f>
        <v>4</v>
      </c>
      <c r="J2350" s="78" t="n">
        <f aca="false">IF(AND(ISNUMBER(G2350),ISNUMBER(H2350)),IF(G2350&gt;0,H2350/G2350,""),"")</f>
        <v>0</v>
      </c>
      <c r="K2350" s="77"/>
      <c r="L2350" s="76" t="str">
        <f aca="false">IF(OR(G2350="",H2350=""),"Data tidak lengkap",IF(AND(G2350=0,H2350=0),IF(AND(F2350="",K2350=""),"Tidak dibuka","Tutup"),IF(H2350&gt;G2350,"Lebih kapasitas",IF(H2350=G2350,"Penuh",IF(H2350=0,IF(F2350="","Slot kosong","Belum terisi"),"Sebagian")))))</f>
        <v>Belum terisi</v>
      </c>
      <c r="M2350" s="79" t="str">
        <f aca="false">IF(L2350="Tidak dibuka","–",IF(F2350="","(tanpa age group)",F2350)&amp;"  "&amp;IF(H2350="","?",H2350)&amp;"/"&amp;IF(G2350="","?",G2350)&amp;CHAR(10)&amp;IF(K2350="","coach: –","coach: "&amp;K2350))</f>
        <v>Kids  0/4
coach: –</v>
      </c>
    </row>
    <row r="2351" customFormat="false" ht="22.35" hidden="false" customHeight="false" outlineLevel="0" collapsed="false">
      <c r="A2351" s="76" t="str">
        <f aca="false">B2351&amp;"|"&amp;C2351&amp;"|"&amp;D2351&amp;"|"&amp;E2351</f>
        <v>HIB|4|Minggu|16:30</v>
      </c>
      <c r="B2351" s="76" t="s">
        <v>71</v>
      </c>
      <c r="C2351" s="76" t="n">
        <v>4</v>
      </c>
      <c r="D2351" s="76" t="s">
        <v>78</v>
      </c>
      <c r="E2351" s="76" t="s">
        <v>106</v>
      </c>
      <c r="F2351" s="77" t="s">
        <v>210</v>
      </c>
      <c r="G2351" s="77" t="n">
        <v>4</v>
      </c>
      <c r="H2351" s="77" t="n">
        <v>1</v>
      </c>
      <c r="I2351" s="76" t="n">
        <f aca="false">IF(AND(ISNUMBER(G2351),ISNUMBER(H2351)),MAX(G2351-H2351,0),"")</f>
        <v>3</v>
      </c>
      <c r="J2351" s="78" t="n">
        <f aca="false">IF(AND(ISNUMBER(G2351),ISNUMBER(H2351)),IF(G2351&gt;0,H2351/G2351,""),"")</f>
        <v>0.25</v>
      </c>
      <c r="K2351" s="77" t="s">
        <v>483</v>
      </c>
      <c r="L2351" s="76" t="str">
        <f aca="false">IF(OR(G2351="",H2351=""),"Data tidak lengkap",IF(AND(G2351=0,H2351=0),IF(AND(F2351="",K2351=""),"Tidak dibuka","Tutup"),IF(H2351&gt;G2351,"Lebih kapasitas",IF(H2351=G2351,"Penuh",IF(H2351=0,IF(F2351="","Slot kosong","Belum terisi"),"Sebagian")))))</f>
        <v>Sebagian</v>
      </c>
      <c r="M2351" s="79" t="str">
        <f aca="false">IF(L2351="Tidak dibuka","–",IF(F2351="","(tanpa age group)",F2351)&amp;"  "&amp;IF(H2351="","?",H2351)&amp;"/"&amp;IF(G2351="","?",G2351)&amp;CHAR(10)&amp;IF(K2351="","coach: –","coach: "&amp;K2351))</f>
        <v>Kids  1/4
coach: Juan</v>
      </c>
    </row>
    <row r="2352" customFormat="false" ht="22.35" hidden="false" customHeight="false" outlineLevel="0" collapsed="false">
      <c r="A2352" s="76" t="str">
        <f aca="false">B2352&amp;"|"&amp;C2352&amp;"|"&amp;D2352&amp;"|"&amp;E2352</f>
        <v>HIB|4|Minggu|17:15</v>
      </c>
      <c r="B2352" s="76" t="s">
        <v>71</v>
      </c>
      <c r="C2352" s="76" t="n">
        <v>4</v>
      </c>
      <c r="D2352" s="76" t="s">
        <v>78</v>
      </c>
      <c r="E2352" s="76" t="s">
        <v>107</v>
      </c>
      <c r="F2352" s="77" t="s">
        <v>210</v>
      </c>
      <c r="G2352" s="77" t="n">
        <v>4</v>
      </c>
      <c r="H2352" s="77" t="n">
        <v>0</v>
      </c>
      <c r="I2352" s="76" t="n">
        <f aca="false">IF(AND(ISNUMBER(G2352),ISNUMBER(H2352)),MAX(G2352-H2352,0),"")</f>
        <v>4</v>
      </c>
      <c r="J2352" s="78" t="n">
        <f aca="false">IF(AND(ISNUMBER(G2352),ISNUMBER(H2352)),IF(G2352&gt;0,H2352/G2352,""),"")</f>
        <v>0</v>
      </c>
      <c r="K2352" s="77"/>
      <c r="L2352" s="76" t="str">
        <f aca="false">IF(OR(G2352="",H2352=""),"Data tidak lengkap",IF(AND(G2352=0,H2352=0),IF(AND(F2352="",K2352=""),"Tidak dibuka","Tutup"),IF(H2352&gt;G2352,"Lebih kapasitas",IF(H2352=G2352,"Penuh",IF(H2352=0,IF(F2352="","Slot kosong","Belum terisi"),"Sebagian")))))</f>
        <v>Belum terisi</v>
      </c>
      <c r="M2352" s="79" t="str">
        <f aca="false">IF(L2352="Tidak dibuka","–",IF(F2352="","(tanpa age group)",F2352)&amp;"  "&amp;IF(H2352="","?",H2352)&amp;"/"&amp;IF(G2352="","?",G2352)&amp;CHAR(10)&amp;IF(K2352="","coach: –","coach: "&amp;K2352))</f>
        <v>Kids  0/4
coach: –</v>
      </c>
    </row>
    <row r="2353" customFormat="false" ht="22.35" hidden="false" customHeight="false" outlineLevel="0" collapsed="false">
      <c r="A2353" s="76" t="str">
        <f aca="false">B2353&amp;"|"&amp;C2353&amp;"|"&amp;D2353&amp;"|"&amp;E2353</f>
        <v>HIB|5|Senin|08:00</v>
      </c>
      <c r="B2353" s="76" t="s">
        <v>71</v>
      </c>
      <c r="C2353" s="76" t="n">
        <v>5</v>
      </c>
      <c r="D2353" s="76" t="s">
        <v>90</v>
      </c>
      <c r="E2353" s="76" t="s">
        <v>110</v>
      </c>
      <c r="F2353" s="77"/>
      <c r="G2353" s="77" t="n">
        <v>4</v>
      </c>
      <c r="H2353" s="77" t="n">
        <v>0</v>
      </c>
      <c r="I2353" s="76" t="n">
        <f aca="false">IF(AND(ISNUMBER(G2353),ISNUMBER(H2353)),MAX(G2353-H2353,0),"")</f>
        <v>4</v>
      </c>
      <c r="J2353" s="78" t="n">
        <f aca="false">IF(AND(ISNUMBER(G2353),ISNUMBER(H2353)),IF(G2353&gt;0,H2353/G2353,""),"")</f>
        <v>0</v>
      </c>
      <c r="K2353" s="77"/>
      <c r="L2353" s="76" t="str">
        <f aca="false">IF(OR(G2353="",H2353=""),"Data tidak lengkap",IF(AND(G2353=0,H2353=0),IF(AND(F2353="",K2353=""),"Tidak dibuka","Tutup"),IF(H2353&gt;G2353,"Lebih kapasitas",IF(H2353=G2353,"Penuh",IF(H2353=0,IF(F2353="","Slot kosong","Belum terisi"),"Sebagian")))))</f>
        <v>Slot kosong</v>
      </c>
      <c r="M2353" s="79" t="str">
        <f aca="false">IF(L2353="Tidak dibuka","–",IF(F2353="","(tanpa age group)",F2353)&amp;"  "&amp;IF(H2353="","?",H2353)&amp;"/"&amp;IF(G2353="","?",G2353)&amp;CHAR(10)&amp;IF(K2353="","coach: –","coach: "&amp;K2353))</f>
        <v>(tanpa age group)  0/4
coach: –</v>
      </c>
    </row>
    <row r="2354" customFormat="false" ht="22.35" hidden="false" customHeight="false" outlineLevel="0" collapsed="false">
      <c r="A2354" s="76" t="str">
        <f aca="false">B2354&amp;"|"&amp;C2354&amp;"|"&amp;D2354&amp;"|"&amp;E2354</f>
        <v>HIB|5|Senin|08:45</v>
      </c>
      <c r="B2354" s="76" t="s">
        <v>71</v>
      </c>
      <c r="C2354" s="76" t="n">
        <v>5</v>
      </c>
      <c r="D2354" s="76" t="s">
        <v>90</v>
      </c>
      <c r="E2354" s="76" t="s">
        <v>111</v>
      </c>
      <c r="F2354" s="77"/>
      <c r="G2354" s="77" t="n">
        <v>4</v>
      </c>
      <c r="H2354" s="77" t="n">
        <v>0</v>
      </c>
      <c r="I2354" s="76" t="n">
        <f aca="false">IF(AND(ISNUMBER(G2354),ISNUMBER(H2354)),MAX(G2354-H2354,0),"")</f>
        <v>4</v>
      </c>
      <c r="J2354" s="78" t="n">
        <f aca="false">IF(AND(ISNUMBER(G2354),ISNUMBER(H2354)),IF(G2354&gt;0,H2354/G2354,""),"")</f>
        <v>0</v>
      </c>
      <c r="K2354" s="77"/>
      <c r="L2354" s="76" t="str">
        <f aca="false">IF(OR(G2354="",H2354=""),"Data tidak lengkap",IF(AND(G2354=0,H2354=0),IF(AND(F2354="",K2354=""),"Tidak dibuka","Tutup"),IF(H2354&gt;G2354,"Lebih kapasitas",IF(H2354=G2354,"Penuh",IF(H2354=0,IF(F2354="","Slot kosong","Belum terisi"),"Sebagian")))))</f>
        <v>Slot kosong</v>
      </c>
      <c r="M2354" s="79" t="str">
        <f aca="false">IF(L2354="Tidak dibuka","–",IF(F2354="","(tanpa age group)",F2354)&amp;"  "&amp;IF(H2354="","?",H2354)&amp;"/"&amp;IF(G2354="","?",G2354)&amp;CHAR(10)&amp;IF(K2354="","coach: –","coach: "&amp;K2354))</f>
        <v>(tanpa age group)  0/4
coach: –</v>
      </c>
    </row>
    <row r="2355" customFormat="false" ht="22.35" hidden="false" customHeight="false" outlineLevel="0" collapsed="false">
      <c r="A2355" s="76" t="str">
        <f aca="false">B2355&amp;"|"&amp;C2355&amp;"|"&amp;D2355&amp;"|"&amp;E2355</f>
        <v>HIB|5|Senin|09:30</v>
      </c>
      <c r="B2355" s="76" t="s">
        <v>71</v>
      </c>
      <c r="C2355" s="76" t="n">
        <v>5</v>
      </c>
      <c r="D2355" s="76" t="s">
        <v>90</v>
      </c>
      <c r="E2355" s="76" t="s">
        <v>112</v>
      </c>
      <c r="F2355" s="77"/>
      <c r="G2355" s="77" t="n">
        <v>4</v>
      </c>
      <c r="H2355" s="77" t="n">
        <v>0</v>
      </c>
      <c r="I2355" s="76" t="n">
        <f aca="false">IF(AND(ISNUMBER(G2355),ISNUMBER(H2355)),MAX(G2355-H2355,0),"")</f>
        <v>4</v>
      </c>
      <c r="J2355" s="78" t="n">
        <f aca="false">IF(AND(ISNUMBER(G2355),ISNUMBER(H2355)),IF(G2355&gt;0,H2355/G2355,""),"")</f>
        <v>0</v>
      </c>
      <c r="K2355" s="77"/>
      <c r="L2355" s="76" t="str">
        <f aca="false">IF(OR(G2355="",H2355=""),"Data tidak lengkap",IF(AND(G2355=0,H2355=0),IF(AND(F2355="",K2355=""),"Tidak dibuka","Tutup"),IF(H2355&gt;G2355,"Lebih kapasitas",IF(H2355=G2355,"Penuh",IF(H2355=0,IF(F2355="","Slot kosong","Belum terisi"),"Sebagian")))))</f>
        <v>Slot kosong</v>
      </c>
      <c r="M2355" s="79" t="str">
        <f aca="false">IF(L2355="Tidak dibuka","–",IF(F2355="","(tanpa age group)",F2355)&amp;"  "&amp;IF(H2355="","?",H2355)&amp;"/"&amp;IF(G2355="","?",G2355)&amp;CHAR(10)&amp;IF(K2355="","coach: –","coach: "&amp;K2355))</f>
        <v>(tanpa age group)  0/4
coach: –</v>
      </c>
    </row>
    <row r="2356" customFormat="false" ht="22.35" hidden="false" customHeight="false" outlineLevel="0" collapsed="false">
      <c r="A2356" s="76" t="str">
        <f aca="false">B2356&amp;"|"&amp;C2356&amp;"|"&amp;D2356&amp;"|"&amp;E2356</f>
        <v>HIB|5|Senin|10:15</v>
      </c>
      <c r="B2356" s="76" t="s">
        <v>71</v>
      </c>
      <c r="C2356" s="76" t="n">
        <v>5</v>
      </c>
      <c r="D2356" s="76" t="s">
        <v>90</v>
      </c>
      <c r="E2356" s="76" t="s">
        <v>113</v>
      </c>
      <c r="F2356" s="77"/>
      <c r="G2356" s="77" t="n">
        <v>4</v>
      </c>
      <c r="H2356" s="77" t="n">
        <v>0</v>
      </c>
      <c r="I2356" s="76" t="n">
        <f aca="false">IF(AND(ISNUMBER(G2356),ISNUMBER(H2356)),MAX(G2356-H2356,0),"")</f>
        <v>4</v>
      </c>
      <c r="J2356" s="78" t="n">
        <f aca="false">IF(AND(ISNUMBER(G2356),ISNUMBER(H2356)),IF(G2356&gt;0,H2356/G2356,""),"")</f>
        <v>0</v>
      </c>
      <c r="K2356" s="77"/>
      <c r="L2356" s="76" t="str">
        <f aca="false">IF(OR(G2356="",H2356=""),"Data tidak lengkap",IF(AND(G2356=0,H2356=0),IF(AND(F2356="",K2356=""),"Tidak dibuka","Tutup"),IF(H2356&gt;G2356,"Lebih kapasitas",IF(H2356=G2356,"Penuh",IF(H2356=0,IF(F2356="","Slot kosong","Belum terisi"),"Sebagian")))))</f>
        <v>Slot kosong</v>
      </c>
      <c r="M2356" s="79" t="str">
        <f aca="false">IF(L2356="Tidak dibuka","–",IF(F2356="","(tanpa age group)",F2356)&amp;"  "&amp;IF(H2356="","?",H2356)&amp;"/"&amp;IF(G2356="","?",G2356)&amp;CHAR(10)&amp;IF(K2356="","coach: –","coach: "&amp;K2356))</f>
        <v>(tanpa age group)  0/4
coach: –</v>
      </c>
    </row>
    <row r="2357" customFormat="false" ht="22.35" hidden="false" customHeight="false" outlineLevel="0" collapsed="false">
      <c r="A2357" s="76" t="str">
        <f aca="false">B2357&amp;"|"&amp;C2357&amp;"|"&amp;D2357&amp;"|"&amp;E2357</f>
        <v>HIB|5|Senin|11:00</v>
      </c>
      <c r="B2357" s="76" t="s">
        <v>71</v>
      </c>
      <c r="C2357" s="76" t="n">
        <v>5</v>
      </c>
      <c r="D2357" s="76" t="s">
        <v>90</v>
      </c>
      <c r="E2357" s="76" t="s">
        <v>114</v>
      </c>
      <c r="F2357" s="77"/>
      <c r="G2357" s="77" t="n">
        <v>4</v>
      </c>
      <c r="H2357" s="77" t="n">
        <v>0</v>
      </c>
      <c r="I2357" s="76" t="n">
        <f aca="false">IF(AND(ISNUMBER(G2357),ISNUMBER(H2357)),MAX(G2357-H2357,0),"")</f>
        <v>4</v>
      </c>
      <c r="J2357" s="78" t="n">
        <f aca="false">IF(AND(ISNUMBER(G2357),ISNUMBER(H2357)),IF(G2357&gt;0,H2357/G2357,""),"")</f>
        <v>0</v>
      </c>
      <c r="K2357" s="77"/>
      <c r="L2357" s="76" t="str">
        <f aca="false">IF(OR(G2357="",H2357=""),"Data tidak lengkap",IF(AND(G2357=0,H2357=0),IF(AND(F2357="",K2357=""),"Tidak dibuka","Tutup"),IF(H2357&gt;G2357,"Lebih kapasitas",IF(H2357=G2357,"Penuh",IF(H2357=0,IF(F2357="","Slot kosong","Belum terisi"),"Sebagian")))))</f>
        <v>Slot kosong</v>
      </c>
      <c r="M2357" s="79" t="str">
        <f aca="false">IF(L2357="Tidak dibuka","–",IF(F2357="","(tanpa age group)",F2357)&amp;"  "&amp;IF(H2357="","?",H2357)&amp;"/"&amp;IF(G2357="","?",G2357)&amp;CHAR(10)&amp;IF(K2357="","coach: –","coach: "&amp;K2357))</f>
        <v>(tanpa age group)  0/4
coach: –</v>
      </c>
    </row>
    <row r="2358" customFormat="false" ht="22.35" hidden="false" customHeight="false" outlineLevel="0" collapsed="false">
      <c r="A2358" s="76" t="str">
        <f aca="false">B2358&amp;"|"&amp;C2358&amp;"|"&amp;D2358&amp;"|"&amp;E2358</f>
        <v>HIB|5|Senin|11:45</v>
      </c>
      <c r="B2358" s="76" t="s">
        <v>71</v>
      </c>
      <c r="C2358" s="76" t="n">
        <v>5</v>
      </c>
      <c r="D2358" s="76" t="s">
        <v>90</v>
      </c>
      <c r="E2358" s="76" t="s">
        <v>115</v>
      </c>
      <c r="F2358" s="77"/>
      <c r="G2358" s="77" t="n">
        <v>4</v>
      </c>
      <c r="H2358" s="77" t="n">
        <v>0</v>
      </c>
      <c r="I2358" s="76" t="n">
        <f aca="false">IF(AND(ISNUMBER(G2358),ISNUMBER(H2358)),MAX(G2358-H2358,0),"")</f>
        <v>4</v>
      </c>
      <c r="J2358" s="78" t="n">
        <f aca="false">IF(AND(ISNUMBER(G2358),ISNUMBER(H2358)),IF(G2358&gt;0,H2358/G2358,""),"")</f>
        <v>0</v>
      </c>
      <c r="K2358" s="77"/>
      <c r="L2358" s="76" t="str">
        <f aca="false">IF(OR(G2358="",H2358=""),"Data tidak lengkap",IF(AND(G2358=0,H2358=0),IF(AND(F2358="",K2358=""),"Tidak dibuka","Tutup"),IF(H2358&gt;G2358,"Lebih kapasitas",IF(H2358=G2358,"Penuh",IF(H2358=0,IF(F2358="","Slot kosong","Belum terisi"),"Sebagian")))))</f>
        <v>Slot kosong</v>
      </c>
      <c r="M2358" s="79" t="str">
        <f aca="false">IF(L2358="Tidak dibuka","–",IF(F2358="","(tanpa age group)",F2358)&amp;"  "&amp;IF(H2358="","?",H2358)&amp;"/"&amp;IF(G2358="","?",G2358)&amp;CHAR(10)&amp;IF(K2358="","coach: –","coach: "&amp;K2358))</f>
        <v>(tanpa age group)  0/4
coach: –</v>
      </c>
    </row>
    <row r="2359" customFormat="false" ht="22.35" hidden="false" customHeight="false" outlineLevel="0" collapsed="false">
      <c r="A2359" s="76" t="str">
        <f aca="false">B2359&amp;"|"&amp;C2359&amp;"|"&amp;D2359&amp;"|"&amp;E2359</f>
        <v>HIB|5|Senin|13:15</v>
      </c>
      <c r="B2359" s="76" t="s">
        <v>71</v>
      </c>
      <c r="C2359" s="76" t="n">
        <v>5</v>
      </c>
      <c r="D2359" s="76" t="s">
        <v>90</v>
      </c>
      <c r="E2359" s="76" t="s">
        <v>116</v>
      </c>
      <c r="F2359" s="77"/>
      <c r="G2359" s="77" t="n">
        <v>4</v>
      </c>
      <c r="H2359" s="77" t="n">
        <v>0</v>
      </c>
      <c r="I2359" s="76" t="n">
        <f aca="false">IF(AND(ISNUMBER(G2359),ISNUMBER(H2359)),MAX(G2359-H2359,0),"")</f>
        <v>4</v>
      </c>
      <c r="J2359" s="78" t="n">
        <f aca="false">IF(AND(ISNUMBER(G2359),ISNUMBER(H2359)),IF(G2359&gt;0,H2359/G2359,""),"")</f>
        <v>0</v>
      </c>
      <c r="K2359" s="77"/>
      <c r="L2359" s="76" t="str">
        <f aca="false">IF(OR(G2359="",H2359=""),"Data tidak lengkap",IF(AND(G2359=0,H2359=0),IF(AND(F2359="",K2359=""),"Tidak dibuka","Tutup"),IF(H2359&gt;G2359,"Lebih kapasitas",IF(H2359=G2359,"Penuh",IF(H2359=0,IF(F2359="","Slot kosong","Belum terisi"),"Sebagian")))))</f>
        <v>Slot kosong</v>
      </c>
      <c r="M2359" s="79" t="str">
        <f aca="false">IF(L2359="Tidak dibuka","–",IF(F2359="","(tanpa age group)",F2359)&amp;"  "&amp;IF(H2359="","?",H2359)&amp;"/"&amp;IF(G2359="","?",G2359)&amp;CHAR(10)&amp;IF(K2359="","coach: –","coach: "&amp;K2359))</f>
        <v>(tanpa age group)  0/4
coach: –</v>
      </c>
    </row>
    <row r="2360" customFormat="false" ht="22.35" hidden="false" customHeight="false" outlineLevel="0" collapsed="false">
      <c r="A2360" s="76" t="str">
        <f aca="false">B2360&amp;"|"&amp;C2360&amp;"|"&amp;D2360&amp;"|"&amp;E2360</f>
        <v>HIB|5|Senin|14:00</v>
      </c>
      <c r="B2360" s="76" t="s">
        <v>71</v>
      </c>
      <c r="C2360" s="76" t="n">
        <v>5</v>
      </c>
      <c r="D2360" s="76" t="s">
        <v>90</v>
      </c>
      <c r="E2360" s="76" t="s">
        <v>117</v>
      </c>
      <c r="F2360" s="77"/>
      <c r="G2360" s="77" t="n">
        <v>4</v>
      </c>
      <c r="H2360" s="77" t="n">
        <v>0</v>
      </c>
      <c r="I2360" s="76" t="n">
        <f aca="false">IF(AND(ISNUMBER(G2360),ISNUMBER(H2360)),MAX(G2360-H2360,0),"")</f>
        <v>4</v>
      </c>
      <c r="J2360" s="78" t="n">
        <f aca="false">IF(AND(ISNUMBER(G2360),ISNUMBER(H2360)),IF(G2360&gt;0,H2360/G2360,""),"")</f>
        <v>0</v>
      </c>
      <c r="K2360" s="77"/>
      <c r="L2360" s="76" t="str">
        <f aca="false">IF(OR(G2360="",H2360=""),"Data tidak lengkap",IF(AND(G2360=0,H2360=0),IF(AND(F2360="",K2360=""),"Tidak dibuka","Tutup"),IF(H2360&gt;G2360,"Lebih kapasitas",IF(H2360=G2360,"Penuh",IF(H2360=0,IF(F2360="","Slot kosong","Belum terisi"),"Sebagian")))))</f>
        <v>Slot kosong</v>
      </c>
      <c r="M2360" s="79" t="str">
        <f aca="false">IF(L2360="Tidak dibuka","–",IF(F2360="","(tanpa age group)",F2360)&amp;"  "&amp;IF(H2360="","?",H2360)&amp;"/"&amp;IF(G2360="","?",G2360)&amp;CHAR(10)&amp;IF(K2360="","coach: –","coach: "&amp;K2360))</f>
        <v>(tanpa age group)  0/4
coach: –</v>
      </c>
    </row>
    <row r="2361" customFormat="false" ht="22.35" hidden="false" customHeight="false" outlineLevel="0" collapsed="false">
      <c r="A2361" s="76" t="str">
        <f aca="false">B2361&amp;"|"&amp;C2361&amp;"|"&amp;D2361&amp;"|"&amp;E2361</f>
        <v>HIB|5|Senin|14:45</v>
      </c>
      <c r="B2361" s="76" t="s">
        <v>71</v>
      </c>
      <c r="C2361" s="76" t="n">
        <v>5</v>
      </c>
      <c r="D2361" s="76" t="s">
        <v>90</v>
      </c>
      <c r="E2361" s="76" t="s">
        <v>118</v>
      </c>
      <c r="F2361" s="77"/>
      <c r="G2361" s="77" t="n">
        <v>4</v>
      </c>
      <c r="H2361" s="77" t="n">
        <v>0</v>
      </c>
      <c r="I2361" s="76" t="n">
        <f aca="false">IF(AND(ISNUMBER(G2361),ISNUMBER(H2361)),MAX(G2361-H2361,0),"")</f>
        <v>4</v>
      </c>
      <c r="J2361" s="78" t="n">
        <f aca="false">IF(AND(ISNUMBER(G2361),ISNUMBER(H2361)),IF(G2361&gt;0,H2361/G2361,""),"")</f>
        <v>0</v>
      </c>
      <c r="K2361" s="77"/>
      <c r="L2361" s="76" t="str">
        <f aca="false">IF(OR(G2361="",H2361=""),"Data tidak lengkap",IF(AND(G2361=0,H2361=0),IF(AND(F2361="",K2361=""),"Tidak dibuka","Tutup"),IF(H2361&gt;G2361,"Lebih kapasitas",IF(H2361=G2361,"Penuh",IF(H2361=0,IF(F2361="","Slot kosong","Belum terisi"),"Sebagian")))))</f>
        <v>Slot kosong</v>
      </c>
      <c r="M2361" s="79" t="str">
        <f aca="false">IF(L2361="Tidak dibuka","–",IF(F2361="","(tanpa age group)",F2361)&amp;"  "&amp;IF(H2361="","?",H2361)&amp;"/"&amp;IF(G2361="","?",G2361)&amp;CHAR(10)&amp;IF(K2361="","coach: –","coach: "&amp;K2361))</f>
        <v>(tanpa age group)  0/4
coach: –</v>
      </c>
    </row>
    <row r="2362" customFormat="false" ht="22.35" hidden="false" customHeight="false" outlineLevel="0" collapsed="false">
      <c r="A2362" s="76" t="str">
        <f aca="false">B2362&amp;"|"&amp;C2362&amp;"|"&amp;D2362&amp;"|"&amp;E2362</f>
        <v>HIB|5|Senin|15:30</v>
      </c>
      <c r="B2362" s="76" t="s">
        <v>71</v>
      </c>
      <c r="C2362" s="76" t="n">
        <v>5</v>
      </c>
      <c r="D2362" s="76" t="s">
        <v>90</v>
      </c>
      <c r="E2362" s="76" t="s">
        <v>119</v>
      </c>
      <c r="F2362" s="77"/>
      <c r="G2362" s="77" t="n">
        <v>4</v>
      </c>
      <c r="H2362" s="77" t="n">
        <v>0</v>
      </c>
      <c r="I2362" s="76" t="n">
        <f aca="false">IF(AND(ISNUMBER(G2362),ISNUMBER(H2362)),MAX(G2362-H2362,0),"")</f>
        <v>4</v>
      </c>
      <c r="J2362" s="78" t="n">
        <f aca="false">IF(AND(ISNUMBER(G2362),ISNUMBER(H2362)),IF(G2362&gt;0,H2362/G2362,""),"")</f>
        <v>0</v>
      </c>
      <c r="K2362" s="77"/>
      <c r="L2362" s="76" t="str">
        <f aca="false">IF(OR(G2362="",H2362=""),"Data tidak lengkap",IF(AND(G2362=0,H2362=0),IF(AND(F2362="",K2362=""),"Tidak dibuka","Tutup"),IF(H2362&gt;G2362,"Lebih kapasitas",IF(H2362=G2362,"Penuh",IF(H2362=0,IF(F2362="","Slot kosong","Belum terisi"),"Sebagian")))))</f>
        <v>Slot kosong</v>
      </c>
      <c r="M2362" s="79" t="str">
        <f aca="false">IF(L2362="Tidak dibuka","–",IF(F2362="","(tanpa age group)",F2362)&amp;"  "&amp;IF(H2362="","?",H2362)&amp;"/"&amp;IF(G2362="","?",G2362)&amp;CHAR(10)&amp;IF(K2362="","coach: –","coach: "&amp;K2362))</f>
        <v>(tanpa age group)  0/4
coach: –</v>
      </c>
    </row>
    <row r="2363" customFormat="false" ht="22.35" hidden="false" customHeight="false" outlineLevel="0" collapsed="false">
      <c r="A2363" s="76" t="str">
        <f aca="false">B2363&amp;"|"&amp;C2363&amp;"|"&amp;D2363&amp;"|"&amp;E2363</f>
        <v>HIB|5|Senin|16:15</v>
      </c>
      <c r="B2363" s="76" t="s">
        <v>71</v>
      </c>
      <c r="C2363" s="76" t="n">
        <v>5</v>
      </c>
      <c r="D2363" s="76" t="s">
        <v>90</v>
      </c>
      <c r="E2363" s="76" t="s">
        <v>120</v>
      </c>
      <c r="F2363" s="77"/>
      <c r="G2363" s="77" t="n">
        <v>4</v>
      </c>
      <c r="H2363" s="77" t="n">
        <v>0</v>
      </c>
      <c r="I2363" s="76" t="n">
        <f aca="false">IF(AND(ISNUMBER(G2363),ISNUMBER(H2363)),MAX(G2363-H2363,0),"")</f>
        <v>4</v>
      </c>
      <c r="J2363" s="78" t="n">
        <f aca="false">IF(AND(ISNUMBER(G2363),ISNUMBER(H2363)),IF(G2363&gt;0,H2363/G2363,""),"")</f>
        <v>0</v>
      </c>
      <c r="K2363" s="77"/>
      <c r="L2363" s="76" t="str">
        <f aca="false">IF(OR(G2363="",H2363=""),"Data tidak lengkap",IF(AND(G2363=0,H2363=0),IF(AND(F2363="",K2363=""),"Tidak dibuka","Tutup"),IF(H2363&gt;G2363,"Lebih kapasitas",IF(H2363=G2363,"Penuh",IF(H2363=0,IF(F2363="","Slot kosong","Belum terisi"),"Sebagian")))))</f>
        <v>Slot kosong</v>
      </c>
      <c r="M2363" s="79" t="str">
        <f aca="false">IF(L2363="Tidak dibuka","–",IF(F2363="","(tanpa age group)",F2363)&amp;"  "&amp;IF(H2363="","?",H2363)&amp;"/"&amp;IF(G2363="","?",G2363)&amp;CHAR(10)&amp;IF(K2363="","coach: –","coach: "&amp;K2363))</f>
        <v>(tanpa age group)  0/4
coach: –</v>
      </c>
    </row>
    <row r="2364" customFormat="false" ht="22.35" hidden="false" customHeight="false" outlineLevel="0" collapsed="false">
      <c r="A2364" s="76" t="str">
        <f aca="false">B2364&amp;"|"&amp;C2364&amp;"|"&amp;D2364&amp;"|"&amp;E2364</f>
        <v>HIB|5|Senin|17:00</v>
      </c>
      <c r="B2364" s="76" t="s">
        <v>71</v>
      </c>
      <c r="C2364" s="76" t="n">
        <v>5</v>
      </c>
      <c r="D2364" s="76" t="s">
        <v>90</v>
      </c>
      <c r="E2364" s="76" t="s">
        <v>121</v>
      </c>
      <c r="F2364" s="77"/>
      <c r="G2364" s="77" t="n">
        <v>4</v>
      </c>
      <c r="H2364" s="77" t="n">
        <v>0</v>
      </c>
      <c r="I2364" s="76" t="n">
        <f aca="false">IF(AND(ISNUMBER(G2364),ISNUMBER(H2364)),MAX(G2364-H2364,0),"")</f>
        <v>4</v>
      </c>
      <c r="J2364" s="78" t="n">
        <f aca="false">IF(AND(ISNUMBER(G2364),ISNUMBER(H2364)),IF(G2364&gt;0,H2364/G2364,""),"")</f>
        <v>0</v>
      </c>
      <c r="K2364" s="77"/>
      <c r="L2364" s="76" t="str">
        <f aca="false">IF(OR(G2364="",H2364=""),"Data tidak lengkap",IF(AND(G2364=0,H2364=0),IF(AND(F2364="",K2364=""),"Tidak dibuka","Tutup"),IF(H2364&gt;G2364,"Lebih kapasitas",IF(H2364=G2364,"Penuh",IF(H2364=0,IF(F2364="","Slot kosong","Belum terisi"),"Sebagian")))))</f>
        <v>Slot kosong</v>
      </c>
      <c r="M2364" s="79" t="str">
        <f aca="false">IF(L2364="Tidak dibuka","–",IF(F2364="","(tanpa age group)",F2364)&amp;"  "&amp;IF(H2364="","?",H2364)&amp;"/"&amp;IF(G2364="","?",G2364)&amp;CHAR(10)&amp;IF(K2364="","coach: –","coach: "&amp;K2364))</f>
        <v>(tanpa age group)  0/4
coach: –</v>
      </c>
    </row>
    <row r="2365" customFormat="false" ht="22.35" hidden="false" customHeight="false" outlineLevel="0" collapsed="false">
      <c r="A2365" s="76" t="str">
        <f aca="false">B2365&amp;"|"&amp;C2365&amp;"|"&amp;D2365&amp;"|"&amp;E2365</f>
        <v>HIB|5|Selasa|08:00</v>
      </c>
      <c r="B2365" s="76" t="s">
        <v>71</v>
      </c>
      <c r="C2365" s="76" t="n">
        <v>5</v>
      </c>
      <c r="D2365" s="76" t="s">
        <v>91</v>
      </c>
      <c r="E2365" s="76" t="s">
        <v>110</v>
      </c>
      <c r="F2365" s="77"/>
      <c r="G2365" s="77" t="n">
        <v>4</v>
      </c>
      <c r="H2365" s="77" t="n">
        <v>0</v>
      </c>
      <c r="I2365" s="76" t="n">
        <f aca="false">IF(AND(ISNUMBER(G2365),ISNUMBER(H2365)),MAX(G2365-H2365,0),"")</f>
        <v>4</v>
      </c>
      <c r="J2365" s="78" t="n">
        <f aca="false">IF(AND(ISNUMBER(G2365),ISNUMBER(H2365)),IF(G2365&gt;0,H2365/G2365,""),"")</f>
        <v>0</v>
      </c>
      <c r="K2365" s="77"/>
      <c r="L2365" s="76" t="str">
        <f aca="false">IF(OR(G2365="",H2365=""),"Data tidak lengkap",IF(AND(G2365=0,H2365=0),IF(AND(F2365="",K2365=""),"Tidak dibuka","Tutup"),IF(H2365&gt;G2365,"Lebih kapasitas",IF(H2365=G2365,"Penuh",IF(H2365=0,IF(F2365="","Slot kosong","Belum terisi"),"Sebagian")))))</f>
        <v>Slot kosong</v>
      </c>
      <c r="M2365" s="79" t="str">
        <f aca="false">IF(L2365="Tidak dibuka","–",IF(F2365="","(tanpa age group)",F2365)&amp;"  "&amp;IF(H2365="","?",H2365)&amp;"/"&amp;IF(G2365="","?",G2365)&amp;CHAR(10)&amp;IF(K2365="","coach: –","coach: "&amp;K2365))</f>
        <v>(tanpa age group)  0/4
coach: –</v>
      </c>
    </row>
    <row r="2366" customFormat="false" ht="22.35" hidden="false" customHeight="false" outlineLevel="0" collapsed="false">
      <c r="A2366" s="76" t="str">
        <f aca="false">B2366&amp;"|"&amp;C2366&amp;"|"&amp;D2366&amp;"|"&amp;E2366</f>
        <v>HIB|5|Selasa|08:45</v>
      </c>
      <c r="B2366" s="76" t="s">
        <v>71</v>
      </c>
      <c r="C2366" s="76" t="n">
        <v>5</v>
      </c>
      <c r="D2366" s="76" t="s">
        <v>91</v>
      </c>
      <c r="E2366" s="76" t="s">
        <v>111</v>
      </c>
      <c r="F2366" s="77"/>
      <c r="G2366" s="77" t="n">
        <v>4</v>
      </c>
      <c r="H2366" s="77" t="n">
        <v>0</v>
      </c>
      <c r="I2366" s="76" t="n">
        <f aca="false">IF(AND(ISNUMBER(G2366),ISNUMBER(H2366)),MAX(G2366-H2366,0),"")</f>
        <v>4</v>
      </c>
      <c r="J2366" s="78" t="n">
        <f aca="false">IF(AND(ISNUMBER(G2366),ISNUMBER(H2366)),IF(G2366&gt;0,H2366/G2366,""),"")</f>
        <v>0</v>
      </c>
      <c r="K2366" s="77"/>
      <c r="L2366" s="76" t="str">
        <f aca="false">IF(OR(G2366="",H2366=""),"Data tidak lengkap",IF(AND(G2366=0,H2366=0),IF(AND(F2366="",K2366=""),"Tidak dibuka","Tutup"),IF(H2366&gt;G2366,"Lebih kapasitas",IF(H2366=G2366,"Penuh",IF(H2366=0,IF(F2366="","Slot kosong","Belum terisi"),"Sebagian")))))</f>
        <v>Slot kosong</v>
      </c>
      <c r="M2366" s="79" t="str">
        <f aca="false">IF(L2366="Tidak dibuka","–",IF(F2366="","(tanpa age group)",F2366)&amp;"  "&amp;IF(H2366="","?",H2366)&amp;"/"&amp;IF(G2366="","?",G2366)&amp;CHAR(10)&amp;IF(K2366="","coach: –","coach: "&amp;K2366))</f>
        <v>(tanpa age group)  0/4
coach: –</v>
      </c>
    </row>
    <row r="2367" customFormat="false" ht="22.35" hidden="false" customHeight="false" outlineLevel="0" collapsed="false">
      <c r="A2367" s="76" t="str">
        <f aca="false">B2367&amp;"|"&amp;C2367&amp;"|"&amp;D2367&amp;"|"&amp;E2367</f>
        <v>HIB|5|Selasa|09:30</v>
      </c>
      <c r="B2367" s="76" t="s">
        <v>71</v>
      </c>
      <c r="C2367" s="76" t="n">
        <v>5</v>
      </c>
      <c r="D2367" s="76" t="s">
        <v>91</v>
      </c>
      <c r="E2367" s="76" t="s">
        <v>112</v>
      </c>
      <c r="F2367" s="77"/>
      <c r="G2367" s="77" t="n">
        <v>4</v>
      </c>
      <c r="H2367" s="77" t="n">
        <v>0</v>
      </c>
      <c r="I2367" s="76" t="n">
        <f aca="false">IF(AND(ISNUMBER(G2367),ISNUMBER(H2367)),MAX(G2367-H2367,0),"")</f>
        <v>4</v>
      </c>
      <c r="J2367" s="78" t="n">
        <f aca="false">IF(AND(ISNUMBER(G2367),ISNUMBER(H2367)),IF(G2367&gt;0,H2367/G2367,""),"")</f>
        <v>0</v>
      </c>
      <c r="K2367" s="77"/>
      <c r="L2367" s="76" t="str">
        <f aca="false">IF(OR(G2367="",H2367=""),"Data tidak lengkap",IF(AND(G2367=0,H2367=0),IF(AND(F2367="",K2367=""),"Tidak dibuka","Tutup"),IF(H2367&gt;G2367,"Lebih kapasitas",IF(H2367=G2367,"Penuh",IF(H2367=0,IF(F2367="","Slot kosong","Belum terisi"),"Sebagian")))))</f>
        <v>Slot kosong</v>
      </c>
      <c r="M2367" s="79" t="str">
        <f aca="false">IF(L2367="Tidak dibuka","–",IF(F2367="","(tanpa age group)",F2367)&amp;"  "&amp;IF(H2367="","?",H2367)&amp;"/"&amp;IF(G2367="","?",G2367)&amp;CHAR(10)&amp;IF(K2367="","coach: –","coach: "&amp;K2367))</f>
        <v>(tanpa age group)  0/4
coach: –</v>
      </c>
    </row>
    <row r="2368" customFormat="false" ht="22.35" hidden="false" customHeight="false" outlineLevel="0" collapsed="false">
      <c r="A2368" s="76" t="str">
        <f aca="false">B2368&amp;"|"&amp;C2368&amp;"|"&amp;D2368&amp;"|"&amp;E2368</f>
        <v>HIB|5|Selasa|10:15</v>
      </c>
      <c r="B2368" s="76" t="s">
        <v>71</v>
      </c>
      <c r="C2368" s="76" t="n">
        <v>5</v>
      </c>
      <c r="D2368" s="76" t="s">
        <v>91</v>
      </c>
      <c r="E2368" s="76" t="s">
        <v>113</v>
      </c>
      <c r="F2368" s="77"/>
      <c r="G2368" s="77" t="n">
        <v>4</v>
      </c>
      <c r="H2368" s="77" t="n">
        <v>0</v>
      </c>
      <c r="I2368" s="76" t="n">
        <f aca="false">IF(AND(ISNUMBER(G2368),ISNUMBER(H2368)),MAX(G2368-H2368,0),"")</f>
        <v>4</v>
      </c>
      <c r="J2368" s="78" t="n">
        <f aca="false">IF(AND(ISNUMBER(G2368),ISNUMBER(H2368)),IF(G2368&gt;0,H2368/G2368,""),"")</f>
        <v>0</v>
      </c>
      <c r="K2368" s="77"/>
      <c r="L2368" s="76" t="str">
        <f aca="false">IF(OR(G2368="",H2368=""),"Data tidak lengkap",IF(AND(G2368=0,H2368=0),IF(AND(F2368="",K2368=""),"Tidak dibuka","Tutup"),IF(H2368&gt;G2368,"Lebih kapasitas",IF(H2368=G2368,"Penuh",IF(H2368=0,IF(F2368="","Slot kosong","Belum terisi"),"Sebagian")))))</f>
        <v>Slot kosong</v>
      </c>
      <c r="M2368" s="79" t="str">
        <f aca="false">IF(L2368="Tidak dibuka","–",IF(F2368="","(tanpa age group)",F2368)&amp;"  "&amp;IF(H2368="","?",H2368)&amp;"/"&amp;IF(G2368="","?",G2368)&amp;CHAR(10)&amp;IF(K2368="","coach: –","coach: "&amp;K2368))</f>
        <v>(tanpa age group)  0/4
coach: –</v>
      </c>
    </row>
    <row r="2369" customFormat="false" ht="22.35" hidden="false" customHeight="false" outlineLevel="0" collapsed="false">
      <c r="A2369" s="76" t="str">
        <f aca="false">B2369&amp;"|"&amp;C2369&amp;"|"&amp;D2369&amp;"|"&amp;E2369</f>
        <v>HIB|5|Selasa|11:00</v>
      </c>
      <c r="B2369" s="76" t="s">
        <v>71</v>
      </c>
      <c r="C2369" s="76" t="n">
        <v>5</v>
      </c>
      <c r="D2369" s="76" t="s">
        <v>91</v>
      </c>
      <c r="E2369" s="76" t="s">
        <v>114</v>
      </c>
      <c r="F2369" s="77"/>
      <c r="G2369" s="77" t="n">
        <v>4</v>
      </c>
      <c r="H2369" s="77" t="n">
        <v>0</v>
      </c>
      <c r="I2369" s="76" t="n">
        <f aca="false">IF(AND(ISNUMBER(G2369),ISNUMBER(H2369)),MAX(G2369-H2369,0),"")</f>
        <v>4</v>
      </c>
      <c r="J2369" s="78" t="n">
        <f aca="false">IF(AND(ISNUMBER(G2369),ISNUMBER(H2369)),IF(G2369&gt;0,H2369/G2369,""),"")</f>
        <v>0</v>
      </c>
      <c r="K2369" s="77"/>
      <c r="L2369" s="76" t="str">
        <f aca="false">IF(OR(G2369="",H2369=""),"Data tidak lengkap",IF(AND(G2369=0,H2369=0),IF(AND(F2369="",K2369=""),"Tidak dibuka","Tutup"),IF(H2369&gt;G2369,"Lebih kapasitas",IF(H2369=G2369,"Penuh",IF(H2369=0,IF(F2369="","Slot kosong","Belum terisi"),"Sebagian")))))</f>
        <v>Slot kosong</v>
      </c>
      <c r="M2369" s="79" t="str">
        <f aca="false">IF(L2369="Tidak dibuka","–",IF(F2369="","(tanpa age group)",F2369)&amp;"  "&amp;IF(H2369="","?",H2369)&amp;"/"&amp;IF(G2369="","?",G2369)&amp;CHAR(10)&amp;IF(K2369="","coach: –","coach: "&amp;K2369))</f>
        <v>(tanpa age group)  0/4
coach: –</v>
      </c>
    </row>
    <row r="2370" customFormat="false" ht="22.35" hidden="false" customHeight="false" outlineLevel="0" collapsed="false">
      <c r="A2370" s="76" t="str">
        <f aca="false">B2370&amp;"|"&amp;C2370&amp;"|"&amp;D2370&amp;"|"&amp;E2370</f>
        <v>HIB|5|Selasa|11:45</v>
      </c>
      <c r="B2370" s="76" t="s">
        <v>71</v>
      </c>
      <c r="C2370" s="76" t="n">
        <v>5</v>
      </c>
      <c r="D2370" s="76" t="s">
        <v>91</v>
      </c>
      <c r="E2370" s="76" t="s">
        <v>115</v>
      </c>
      <c r="F2370" s="77"/>
      <c r="G2370" s="77" t="n">
        <v>4</v>
      </c>
      <c r="H2370" s="77" t="n">
        <v>0</v>
      </c>
      <c r="I2370" s="76" t="n">
        <f aca="false">IF(AND(ISNUMBER(G2370),ISNUMBER(H2370)),MAX(G2370-H2370,0),"")</f>
        <v>4</v>
      </c>
      <c r="J2370" s="78" t="n">
        <f aca="false">IF(AND(ISNUMBER(G2370),ISNUMBER(H2370)),IF(G2370&gt;0,H2370/G2370,""),"")</f>
        <v>0</v>
      </c>
      <c r="K2370" s="77"/>
      <c r="L2370" s="76" t="str">
        <f aca="false">IF(OR(G2370="",H2370=""),"Data tidak lengkap",IF(AND(G2370=0,H2370=0),IF(AND(F2370="",K2370=""),"Tidak dibuka","Tutup"),IF(H2370&gt;G2370,"Lebih kapasitas",IF(H2370=G2370,"Penuh",IF(H2370=0,IF(F2370="","Slot kosong","Belum terisi"),"Sebagian")))))</f>
        <v>Slot kosong</v>
      </c>
      <c r="M2370" s="79" t="str">
        <f aca="false">IF(L2370="Tidak dibuka","–",IF(F2370="","(tanpa age group)",F2370)&amp;"  "&amp;IF(H2370="","?",H2370)&amp;"/"&amp;IF(G2370="","?",G2370)&amp;CHAR(10)&amp;IF(K2370="","coach: –","coach: "&amp;K2370))</f>
        <v>(tanpa age group)  0/4
coach: –</v>
      </c>
    </row>
    <row r="2371" customFormat="false" ht="22.35" hidden="false" customHeight="false" outlineLevel="0" collapsed="false">
      <c r="A2371" s="76" t="str">
        <f aca="false">B2371&amp;"|"&amp;C2371&amp;"|"&amp;D2371&amp;"|"&amp;E2371</f>
        <v>HIB|5|Selasa|13:15</v>
      </c>
      <c r="B2371" s="76" t="s">
        <v>71</v>
      </c>
      <c r="C2371" s="76" t="n">
        <v>5</v>
      </c>
      <c r="D2371" s="76" t="s">
        <v>91</v>
      </c>
      <c r="E2371" s="76" t="s">
        <v>116</v>
      </c>
      <c r="F2371" s="77"/>
      <c r="G2371" s="77" t="n">
        <v>4</v>
      </c>
      <c r="H2371" s="77" t="n">
        <v>0</v>
      </c>
      <c r="I2371" s="76" t="n">
        <f aca="false">IF(AND(ISNUMBER(G2371),ISNUMBER(H2371)),MAX(G2371-H2371,0),"")</f>
        <v>4</v>
      </c>
      <c r="J2371" s="78" t="n">
        <f aca="false">IF(AND(ISNUMBER(G2371),ISNUMBER(H2371)),IF(G2371&gt;0,H2371/G2371,""),"")</f>
        <v>0</v>
      </c>
      <c r="K2371" s="77"/>
      <c r="L2371" s="76" t="str">
        <f aca="false">IF(OR(G2371="",H2371=""),"Data tidak lengkap",IF(AND(G2371=0,H2371=0),IF(AND(F2371="",K2371=""),"Tidak dibuka","Tutup"),IF(H2371&gt;G2371,"Lebih kapasitas",IF(H2371=G2371,"Penuh",IF(H2371=0,IF(F2371="","Slot kosong","Belum terisi"),"Sebagian")))))</f>
        <v>Slot kosong</v>
      </c>
      <c r="M2371" s="79" t="str">
        <f aca="false">IF(L2371="Tidak dibuka","–",IF(F2371="","(tanpa age group)",F2371)&amp;"  "&amp;IF(H2371="","?",H2371)&amp;"/"&amp;IF(G2371="","?",G2371)&amp;CHAR(10)&amp;IF(K2371="","coach: –","coach: "&amp;K2371))</f>
        <v>(tanpa age group)  0/4
coach: –</v>
      </c>
    </row>
    <row r="2372" customFormat="false" ht="22.35" hidden="false" customHeight="false" outlineLevel="0" collapsed="false">
      <c r="A2372" s="76" t="str">
        <f aca="false">B2372&amp;"|"&amp;C2372&amp;"|"&amp;D2372&amp;"|"&amp;E2372</f>
        <v>HIB|5|Selasa|14:00</v>
      </c>
      <c r="B2372" s="76" t="s">
        <v>71</v>
      </c>
      <c r="C2372" s="76" t="n">
        <v>5</v>
      </c>
      <c r="D2372" s="76" t="s">
        <v>91</v>
      </c>
      <c r="E2372" s="76" t="s">
        <v>117</v>
      </c>
      <c r="F2372" s="77"/>
      <c r="G2372" s="77" t="n">
        <v>4</v>
      </c>
      <c r="H2372" s="77" t="n">
        <v>0</v>
      </c>
      <c r="I2372" s="76" t="n">
        <f aca="false">IF(AND(ISNUMBER(G2372),ISNUMBER(H2372)),MAX(G2372-H2372,0),"")</f>
        <v>4</v>
      </c>
      <c r="J2372" s="78" t="n">
        <f aca="false">IF(AND(ISNUMBER(G2372),ISNUMBER(H2372)),IF(G2372&gt;0,H2372/G2372,""),"")</f>
        <v>0</v>
      </c>
      <c r="K2372" s="77"/>
      <c r="L2372" s="76" t="str">
        <f aca="false">IF(OR(G2372="",H2372=""),"Data tidak lengkap",IF(AND(G2372=0,H2372=0),IF(AND(F2372="",K2372=""),"Tidak dibuka","Tutup"),IF(H2372&gt;G2372,"Lebih kapasitas",IF(H2372=G2372,"Penuh",IF(H2372=0,IF(F2372="","Slot kosong","Belum terisi"),"Sebagian")))))</f>
        <v>Slot kosong</v>
      </c>
      <c r="M2372" s="79" t="str">
        <f aca="false">IF(L2372="Tidak dibuka","–",IF(F2372="","(tanpa age group)",F2372)&amp;"  "&amp;IF(H2372="","?",H2372)&amp;"/"&amp;IF(G2372="","?",G2372)&amp;CHAR(10)&amp;IF(K2372="","coach: –","coach: "&amp;K2372))</f>
        <v>(tanpa age group)  0/4
coach: –</v>
      </c>
    </row>
    <row r="2373" customFormat="false" ht="22.35" hidden="false" customHeight="false" outlineLevel="0" collapsed="false">
      <c r="A2373" s="76" t="str">
        <f aca="false">B2373&amp;"|"&amp;C2373&amp;"|"&amp;D2373&amp;"|"&amp;E2373</f>
        <v>HIB|5|Selasa|14:45</v>
      </c>
      <c r="B2373" s="76" t="s">
        <v>71</v>
      </c>
      <c r="C2373" s="76" t="n">
        <v>5</v>
      </c>
      <c r="D2373" s="76" t="s">
        <v>91</v>
      </c>
      <c r="E2373" s="76" t="s">
        <v>118</v>
      </c>
      <c r="F2373" s="77"/>
      <c r="G2373" s="77" t="n">
        <v>4</v>
      </c>
      <c r="H2373" s="77" t="n">
        <v>0</v>
      </c>
      <c r="I2373" s="76" t="n">
        <f aca="false">IF(AND(ISNUMBER(G2373),ISNUMBER(H2373)),MAX(G2373-H2373,0),"")</f>
        <v>4</v>
      </c>
      <c r="J2373" s="78" t="n">
        <f aca="false">IF(AND(ISNUMBER(G2373),ISNUMBER(H2373)),IF(G2373&gt;0,H2373/G2373,""),"")</f>
        <v>0</v>
      </c>
      <c r="K2373" s="77"/>
      <c r="L2373" s="76" t="str">
        <f aca="false">IF(OR(G2373="",H2373=""),"Data tidak lengkap",IF(AND(G2373=0,H2373=0),IF(AND(F2373="",K2373=""),"Tidak dibuka","Tutup"),IF(H2373&gt;G2373,"Lebih kapasitas",IF(H2373=G2373,"Penuh",IF(H2373=0,IF(F2373="","Slot kosong","Belum terisi"),"Sebagian")))))</f>
        <v>Slot kosong</v>
      </c>
      <c r="M2373" s="79" t="str">
        <f aca="false">IF(L2373="Tidak dibuka","–",IF(F2373="","(tanpa age group)",F2373)&amp;"  "&amp;IF(H2373="","?",H2373)&amp;"/"&amp;IF(G2373="","?",G2373)&amp;CHAR(10)&amp;IF(K2373="","coach: –","coach: "&amp;K2373))</f>
        <v>(tanpa age group)  0/4
coach: –</v>
      </c>
    </row>
    <row r="2374" customFormat="false" ht="22.35" hidden="false" customHeight="false" outlineLevel="0" collapsed="false">
      <c r="A2374" s="76" t="str">
        <f aca="false">B2374&amp;"|"&amp;C2374&amp;"|"&amp;D2374&amp;"|"&amp;E2374</f>
        <v>HIB|5|Selasa|15:30</v>
      </c>
      <c r="B2374" s="76" t="s">
        <v>71</v>
      </c>
      <c r="C2374" s="76" t="n">
        <v>5</v>
      </c>
      <c r="D2374" s="76" t="s">
        <v>91</v>
      </c>
      <c r="E2374" s="76" t="s">
        <v>119</v>
      </c>
      <c r="F2374" s="77"/>
      <c r="G2374" s="77" t="n">
        <v>4</v>
      </c>
      <c r="H2374" s="77" t="n">
        <v>0</v>
      </c>
      <c r="I2374" s="76" t="n">
        <f aca="false">IF(AND(ISNUMBER(G2374),ISNUMBER(H2374)),MAX(G2374-H2374,0),"")</f>
        <v>4</v>
      </c>
      <c r="J2374" s="78" t="n">
        <f aca="false">IF(AND(ISNUMBER(G2374),ISNUMBER(H2374)),IF(G2374&gt;0,H2374/G2374,""),"")</f>
        <v>0</v>
      </c>
      <c r="K2374" s="77"/>
      <c r="L2374" s="76" t="str">
        <f aca="false">IF(OR(G2374="",H2374=""),"Data tidak lengkap",IF(AND(G2374=0,H2374=0),IF(AND(F2374="",K2374=""),"Tidak dibuka","Tutup"),IF(H2374&gt;G2374,"Lebih kapasitas",IF(H2374=G2374,"Penuh",IF(H2374=0,IF(F2374="","Slot kosong","Belum terisi"),"Sebagian")))))</f>
        <v>Slot kosong</v>
      </c>
      <c r="M2374" s="79" t="str">
        <f aca="false">IF(L2374="Tidak dibuka","–",IF(F2374="","(tanpa age group)",F2374)&amp;"  "&amp;IF(H2374="","?",H2374)&amp;"/"&amp;IF(G2374="","?",G2374)&amp;CHAR(10)&amp;IF(K2374="","coach: –","coach: "&amp;K2374))</f>
        <v>(tanpa age group)  0/4
coach: –</v>
      </c>
    </row>
    <row r="2375" customFormat="false" ht="22.35" hidden="false" customHeight="false" outlineLevel="0" collapsed="false">
      <c r="A2375" s="76" t="str">
        <f aca="false">B2375&amp;"|"&amp;C2375&amp;"|"&amp;D2375&amp;"|"&amp;E2375</f>
        <v>HIB|5|Selasa|16:15</v>
      </c>
      <c r="B2375" s="76" t="s">
        <v>71</v>
      </c>
      <c r="C2375" s="76" t="n">
        <v>5</v>
      </c>
      <c r="D2375" s="76" t="s">
        <v>91</v>
      </c>
      <c r="E2375" s="76" t="s">
        <v>120</v>
      </c>
      <c r="F2375" s="77"/>
      <c r="G2375" s="77" t="n">
        <v>4</v>
      </c>
      <c r="H2375" s="77" t="n">
        <v>0</v>
      </c>
      <c r="I2375" s="76" t="n">
        <f aca="false">IF(AND(ISNUMBER(G2375),ISNUMBER(H2375)),MAX(G2375-H2375,0),"")</f>
        <v>4</v>
      </c>
      <c r="J2375" s="78" t="n">
        <f aca="false">IF(AND(ISNUMBER(G2375),ISNUMBER(H2375)),IF(G2375&gt;0,H2375/G2375,""),"")</f>
        <v>0</v>
      </c>
      <c r="K2375" s="77"/>
      <c r="L2375" s="76" t="str">
        <f aca="false">IF(OR(G2375="",H2375=""),"Data tidak lengkap",IF(AND(G2375=0,H2375=0),IF(AND(F2375="",K2375=""),"Tidak dibuka","Tutup"),IF(H2375&gt;G2375,"Lebih kapasitas",IF(H2375=G2375,"Penuh",IF(H2375=0,IF(F2375="","Slot kosong","Belum terisi"),"Sebagian")))))</f>
        <v>Slot kosong</v>
      </c>
      <c r="M2375" s="79" t="str">
        <f aca="false">IF(L2375="Tidak dibuka","–",IF(F2375="","(tanpa age group)",F2375)&amp;"  "&amp;IF(H2375="","?",H2375)&amp;"/"&amp;IF(G2375="","?",G2375)&amp;CHAR(10)&amp;IF(K2375="","coach: –","coach: "&amp;K2375))</f>
        <v>(tanpa age group)  0/4
coach: –</v>
      </c>
    </row>
    <row r="2376" customFormat="false" ht="22.35" hidden="false" customHeight="false" outlineLevel="0" collapsed="false">
      <c r="A2376" s="76" t="str">
        <f aca="false">B2376&amp;"|"&amp;C2376&amp;"|"&amp;D2376&amp;"|"&amp;E2376</f>
        <v>HIB|5|Selasa|17:00</v>
      </c>
      <c r="B2376" s="76" t="s">
        <v>71</v>
      </c>
      <c r="C2376" s="76" t="n">
        <v>5</v>
      </c>
      <c r="D2376" s="76" t="s">
        <v>91</v>
      </c>
      <c r="E2376" s="76" t="s">
        <v>121</v>
      </c>
      <c r="F2376" s="77"/>
      <c r="G2376" s="77" t="n">
        <v>4</v>
      </c>
      <c r="H2376" s="77" t="n">
        <v>0</v>
      </c>
      <c r="I2376" s="76" t="n">
        <f aca="false">IF(AND(ISNUMBER(G2376),ISNUMBER(H2376)),MAX(G2376-H2376,0),"")</f>
        <v>4</v>
      </c>
      <c r="J2376" s="78" t="n">
        <f aca="false">IF(AND(ISNUMBER(G2376),ISNUMBER(H2376)),IF(G2376&gt;0,H2376/G2376,""),"")</f>
        <v>0</v>
      </c>
      <c r="K2376" s="77"/>
      <c r="L2376" s="76" t="str">
        <f aca="false">IF(OR(G2376="",H2376=""),"Data tidak lengkap",IF(AND(G2376=0,H2376=0),IF(AND(F2376="",K2376=""),"Tidak dibuka","Tutup"),IF(H2376&gt;G2376,"Lebih kapasitas",IF(H2376=G2376,"Penuh",IF(H2376=0,IF(F2376="","Slot kosong","Belum terisi"),"Sebagian")))))</f>
        <v>Slot kosong</v>
      </c>
      <c r="M2376" s="79" t="str">
        <f aca="false">IF(L2376="Tidak dibuka","–",IF(F2376="","(tanpa age group)",F2376)&amp;"  "&amp;IF(H2376="","?",H2376)&amp;"/"&amp;IF(G2376="","?",G2376)&amp;CHAR(10)&amp;IF(K2376="","coach: –","coach: "&amp;K2376))</f>
        <v>(tanpa age group)  0/4
coach: –</v>
      </c>
    </row>
    <row r="2377" customFormat="false" ht="22.35" hidden="false" customHeight="false" outlineLevel="0" collapsed="false">
      <c r="A2377" s="76" t="str">
        <f aca="false">B2377&amp;"|"&amp;C2377&amp;"|"&amp;D2377&amp;"|"&amp;E2377</f>
        <v>HIB|5|Rabu|08:00</v>
      </c>
      <c r="B2377" s="76" t="s">
        <v>71</v>
      </c>
      <c r="C2377" s="76" t="n">
        <v>5</v>
      </c>
      <c r="D2377" s="76" t="s">
        <v>92</v>
      </c>
      <c r="E2377" s="76" t="s">
        <v>110</v>
      </c>
      <c r="F2377" s="77"/>
      <c r="G2377" s="77" t="n">
        <v>4</v>
      </c>
      <c r="H2377" s="77" t="n">
        <v>0</v>
      </c>
      <c r="I2377" s="76" t="n">
        <f aca="false">IF(AND(ISNUMBER(G2377),ISNUMBER(H2377)),MAX(G2377-H2377,0),"")</f>
        <v>4</v>
      </c>
      <c r="J2377" s="78" t="n">
        <f aca="false">IF(AND(ISNUMBER(G2377),ISNUMBER(H2377)),IF(G2377&gt;0,H2377/G2377,""),"")</f>
        <v>0</v>
      </c>
      <c r="K2377" s="77"/>
      <c r="L2377" s="76" t="str">
        <f aca="false">IF(OR(G2377="",H2377=""),"Data tidak lengkap",IF(AND(G2377=0,H2377=0),IF(AND(F2377="",K2377=""),"Tidak dibuka","Tutup"),IF(H2377&gt;G2377,"Lebih kapasitas",IF(H2377=G2377,"Penuh",IF(H2377=0,IF(F2377="","Slot kosong","Belum terisi"),"Sebagian")))))</f>
        <v>Slot kosong</v>
      </c>
      <c r="M2377" s="79" t="str">
        <f aca="false">IF(L2377="Tidak dibuka","–",IF(F2377="","(tanpa age group)",F2377)&amp;"  "&amp;IF(H2377="","?",H2377)&amp;"/"&amp;IF(G2377="","?",G2377)&amp;CHAR(10)&amp;IF(K2377="","coach: –","coach: "&amp;K2377))</f>
        <v>(tanpa age group)  0/4
coach: –</v>
      </c>
    </row>
    <row r="2378" customFormat="false" ht="22.35" hidden="false" customHeight="false" outlineLevel="0" collapsed="false">
      <c r="A2378" s="76" t="str">
        <f aca="false">B2378&amp;"|"&amp;C2378&amp;"|"&amp;D2378&amp;"|"&amp;E2378</f>
        <v>HIB|5|Rabu|08:45</v>
      </c>
      <c r="B2378" s="76" t="s">
        <v>71</v>
      </c>
      <c r="C2378" s="76" t="n">
        <v>5</v>
      </c>
      <c r="D2378" s="76" t="s">
        <v>92</v>
      </c>
      <c r="E2378" s="76" t="s">
        <v>111</v>
      </c>
      <c r="F2378" s="77"/>
      <c r="G2378" s="77" t="n">
        <v>4</v>
      </c>
      <c r="H2378" s="77" t="n">
        <v>0</v>
      </c>
      <c r="I2378" s="76" t="n">
        <f aca="false">IF(AND(ISNUMBER(G2378),ISNUMBER(H2378)),MAX(G2378-H2378,0),"")</f>
        <v>4</v>
      </c>
      <c r="J2378" s="78" t="n">
        <f aca="false">IF(AND(ISNUMBER(G2378),ISNUMBER(H2378)),IF(G2378&gt;0,H2378/G2378,""),"")</f>
        <v>0</v>
      </c>
      <c r="K2378" s="77"/>
      <c r="L2378" s="76" t="str">
        <f aca="false">IF(OR(G2378="",H2378=""),"Data tidak lengkap",IF(AND(G2378=0,H2378=0),IF(AND(F2378="",K2378=""),"Tidak dibuka","Tutup"),IF(H2378&gt;G2378,"Lebih kapasitas",IF(H2378=G2378,"Penuh",IF(H2378=0,IF(F2378="","Slot kosong","Belum terisi"),"Sebagian")))))</f>
        <v>Slot kosong</v>
      </c>
      <c r="M2378" s="79" t="str">
        <f aca="false">IF(L2378="Tidak dibuka","–",IF(F2378="","(tanpa age group)",F2378)&amp;"  "&amp;IF(H2378="","?",H2378)&amp;"/"&amp;IF(G2378="","?",G2378)&amp;CHAR(10)&amp;IF(K2378="","coach: –","coach: "&amp;K2378))</f>
        <v>(tanpa age group)  0/4
coach: –</v>
      </c>
    </row>
    <row r="2379" customFormat="false" ht="22.35" hidden="false" customHeight="false" outlineLevel="0" collapsed="false">
      <c r="A2379" s="76" t="str">
        <f aca="false">B2379&amp;"|"&amp;C2379&amp;"|"&amp;D2379&amp;"|"&amp;E2379</f>
        <v>HIB|5|Rabu|09:30</v>
      </c>
      <c r="B2379" s="76" t="s">
        <v>71</v>
      </c>
      <c r="C2379" s="76" t="n">
        <v>5</v>
      </c>
      <c r="D2379" s="76" t="s">
        <v>92</v>
      </c>
      <c r="E2379" s="76" t="s">
        <v>112</v>
      </c>
      <c r="F2379" s="77"/>
      <c r="G2379" s="77" t="n">
        <v>4</v>
      </c>
      <c r="H2379" s="77" t="n">
        <v>0</v>
      </c>
      <c r="I2379" s="76" t="n">
        <f aca="false">IF(AND(ISNUMBER(G2379),ISNUMBER(H2379)),MAX(G2379-H2379,0),"")</f>
        <v>4</v>
      </c>
      <c r="J2379" s="78" t="n">
        <f aca="false">IF(AND(ISNUMBER(G2379),ISNUMBER(H2379)),IF(G2379&gt;0,H2379/G2379,""),"")</f>
        <v>0</v>
      </c>
      <c r="K2379" s="77"/>
      <c r="L2379" s="76" t="str">
        <f aca="false">IF(OR(G2379="",H2379=""),"Data tidak lengkap",IF(AND(G2379=0,H2379=0),IF(AND(F2379="",K2379=""),"Tidak dibuka","Tutup"),IF(H2379&gt;G2379,"Lebih kapasitas",IF(H2379=G2379,"Penuh",IF(H2379=0,IF(F2379="","Slot kosong","Belum terisi"),"Sebagian")))))</f>
        <v>Slot kosong</v>
      </c>
      <c r="M2379" s="79" t="str">
        <f aca="false">IF(L2379="Tidak dibuka","–",IF(F2379="","(tanpa age group)",F2379)&amp;"  "&amp;IF(H2379="","?",H2379)&amp;"/"&amp;IF(G2379="","?",G2379)&amp;CHAR(10)&amp;IF(K2379="","coach: –","coach: "&amp;K2379))</f>
        <v>(tanpa age group)  0/4
coach: –</v>
      </c>
    </row>
    <row r="2380" customFormat="false" ht="22.35" hidden="false" customHeight="false" outlineLevel="0" collapsed="false">
      <c r="A2380" s="76" t="str">
        <f aca="false">B2380&amp;"|"&amp;C2380&amp;"|"&amp;D2380&amp;"|"&amp;E2380</f>
        <v>HIB|5|Rabu|10:15</v>
      </c>
      <c r="B2380" s="76" t="s">
        <v>71</v>
      </c>
      <c r="C2380" s="76" t="n">
        <v>5</v>
      </c>
      <c r="D2380" s="76" t="s">
        <v>92</v>
      </c>
      <c r="E2380" s="76" t="s">
        <v>113</v>
      </c>
      <c r="F2380" s="77"/>
      <c r="G2380" s="77" t="n">
        <v>4</v>
      </c>
      <c r="H2380" s="77" t="n">
        <v>0</v>
      </c>
      <c r="I2380" s="76" t="n">
        <f aca="false">IF(AND(ISNUMBER(G2380),ISNUMBER(H2380)),MAX(G2380-H2380,0),"")</f>
        <v>4</v>
      </c>
      <c r="J2380" s="78" t="n">
        <f aca="false">IF(AND(ISNUMBER(G2380),ISNUMBER(H2380)),IF(G2380&gt;0,H2380/G2380,""),"")</f>
        <v>0</v>
      </c>
      <c r="K2380" s="77"/>
      <c r="L2380" s="76" t="str">
        <f aca="false">IF(OR(G2380="",H2380=""),"Data tidak lengkap",IF(AND(G2380=0,H2380=0),IF(AND(F2380="",K2380=""),"Tidak dibuka","Tutup"),IF(H2380&gt;G2380,"Lebih kapasitas",IF(H2380=G2380,"Penuh",IF(H2380=0,IF(F2380="","Slot kosong","Belum terisi"),"Sebagian")))))</f>
        <v>Slot kosong</v>
      </c>
      <c r="M2380" s="79" t="str">
        <f aca="false">IF(L2380="Tidak dibuka","–",IF(F2380="","(tanpa age group)",F2380)&amp;"  "&amp;IF(H2380="","?",H2380)&amp;"/"&amp;IF(G2380="","?",G2380)&amp;CHAR(10)&amp;IF(K2380="","coach: –","coach: "&amp;K2380))</f>
        <v>(tanpa age group)  0/4
coach: –</v>
      </c>
    </row>
    <row r="2381" customFormat="false" ht="22.35" hidden="false" customHeight="false" outlineLevel="0" collapsed="false">
      <c r="A2381" s="76" t="str">
        <f aca="false">B2381&amp;"|"&amp;C2381&amp;"|"&amp;D2381&amp;"|"&amp;E2381</f>
        <v>HIB|5|Rabu|11:00</v>
      </c>
      <c r="B2381" s="76" t="s">
        <v>71</v>
      </c>
      <c r="C2381" s="76" t="n">
        <v>5</v>
      </c>
      <c r="D2381" s="76" t="s">
        <v>92</v>
      </c>
      <c r="E2381" s="76" t="s">
        <v>114</v>
      </c>
      <c r="F2381" s="77"/>
      <c r="G2381" s="77" t="n">
        <v>4</v>
      </c>
      <c r="H2381" s="77" t="n">
        <v>0</v>
      </c>
      <c r="I2381" s="76" t="n">
        <f aca="false">IF(AND(ISNUMBER(G2381),ISNUMBER(H2381)),MAX(G2381-H2381,0),"")</f>
        <v>4</v>
      </c>
      <c r="J2381" s="78" t="n">
        <f aca="false">IF(AND(ISNUMBER(G2381),ISNUMBER(H2381)),IF(G2381&gt;0,H2381/G2381,""),"")</f>
        <v>0</v>
      </c>
      <c r="K2381" s="77"/>
      <c r="L2381" s="76" t="str">
        <f aca="false">IF(OR(G2381="",H2381=""),"Data tidak lengkap",IF(AND(G2381=0,H2381=0),IF(AND(F2381="",K2381=""),"Tidak dibuka","Tutup"),IF(H2381&gt;G2381,"Lebih kapasitas",IF(H2381=G2381,"Penuh",IF(H2381=0,IF(F2381="","Slot kosong","Belum terisi"),"Sebagian")))))</f>
        <v>Slot kosong</v>
      </c>
      <c r="M2381" s="79" t="str">
        <f aca="false">IF(L2381="Tidak dibuka","–",IF(F2381="","(tanpa age group)",F2381)&amp;"  "&amp;IF(H2381="","?",H2381)&amp;"/"&amp;IF(G2381="","?",G2381)&amp;CHAR(10)&amp;IF(K2381="","coach: –","coach: "&amp;K2381))</f>
        <v>(tanpa age group)  0/4
coach: –</v>
      </c>
    </row>
    <row r="2382" customFormat="false" ht="22.35" hidden="false" customHeight="false" outlineLevel="0" collapsed="false">
      <c r="A2382" s="76" t="str">
        <f aca="false">B2382&amp;"|"&amp;C2382&amp;"|"&amp;D2382&amp;"|"&amp;E2382</f>
        <v>HIB|5|Rabu|11:45</v>
      </c>
      <c r="B2382" s="76" t="s">
        <v>71</v>
      </c>
      <c r="C2382" s="76" t="n">
        <v>5</v>
      </c>
      <c r="D2382" s="76" t="s">
        <v>92</v>
      </c>
      <c r="E2382" s="76" t="s">
        <v>115</v>
      </c>
      <c r="F2382" s="77"/>
      <c r="G2382" s="77" t="n">
        <v>4</v>
      </c>
      <c r="H2382" s="77" t="n">
        <v>0</v>
      </c>
      <c r="I2382" s="76" t="n">
        <f aca="false">IF(AND(ISNUMBER(G2382),ISNUMBER(H2382)),MAX(G2382-H2382,0),"")</f>
        <v>4</v>
      </c>
      <c r="J2382" s="78" t="n">
        <f aca="false">IF(AND(ISNUMBER(G2382),ISNUMBER(H2382)),IF(G2382&gt;0,H2382/G2382,""),"")</f>
        <v>0</v>
      </c>
      <c r="K2382" s="77"/>
      <c r="L2382" s="76" t="str">
        <f aca="false">IF(OR(G2382="",H2382=""),"Data tidak lengkap",IF(AND(G2382=0,H2382=0),IF(AND(F2382="",K2382=""),"Tidak dibuka","Tutup"),IF(H2382&gt;G2382,"Lebih kapasitas",IF(H2382=G2382,"Penuh",IF(H2382=0,IF(F2382="","Slot kosong","Belum terisi"),"Sebagian")))))</f>
        <v>Slot kosong</v>
      </c>
      <c r="M2382" s="79" t="str">
        <f aca="false">IF(L2382="Tidak dibuka","–",IF(F2382="","(tanpa age group)",F2382)&amp;"  "&amp;IF(H2382="","?",H2382)&amp;"/"&amp;IF(G2382="","?",G2382)&amp;CHAR(10)&amp;IF(K2382="","coach: –","coach: "&amp;K2382))</f>
        <v>(tanpa age group)  0/4
coach: –</v>
      </c>
    </row>
    <row r="2383" customFormat="false" ht="22.35" hidden="false" customHeight="false" outlineLevel="0" collapsed="false">
      <c r="A2383" s="76" t="str">
        <f aca="false">B2383&amp;"|"&amp;C2383&amp;"|"&amp;D2383&amp;"|"&amp;E2383</f>
        <v>HIB|5|Rabu|13:15</v>
      </c>
      <c r="B2383" s="76" t="s">
        <v>71</v>
      </c>
      <c r="C2383" s="76" t="n">
        <v>5</v>
      </c>
      <c r="D2383" s="76" t="s">
        <v>92</v>
      </c>
      <c r="E2383" s="76" t="s">
        <v>116</v>
      </c>
      <c r="F2383" s="77"/>
      <c r="G2383" s="77" t="n">
        <v>4</v>
      </c>
      <c r="H2383" s="77" t="n">
        <v>0</v>
      </c>
      <c r="I2383" s="76" t="n">
        <f aca="false">IF(AND(ISNUMBER(G2383),ISNUMBER(H2383)),MAX(G2383-H2383,0),"")</f>
        <v>4</v>
      </c>
      <c r="J2383" s="78" t="n">
        <f aca="false">IF(AND(ISNUMBER(G2383),ISNUMBER(H2383)),IF(G2383&gt;0,H2383/G2383,""),"")</f>
        <v>0</v>
      </c>
      <c r="K2383" s="77"/>
      <c r="L2383" s="76" t="str">
        <f aca="false">IF(OR(G2383="",H2383=""),"Data tidak lengkap",IF(AND(G2383=0,H2383=0),IF(AND(F2383="",K2383=""),"Tidak dibuka","Tutup"),IF(H2383&gt;G2383,"Lebih kapasitas",IF(H2383=G2383,"Penuh",IF(H2383=0,IF(F2383="","Slot kosong","Belum terisi"),"Sebagian")))))</f>
        <v>Slot kosong</v>
      </c>
      <c r="M2383" s="79" t="str">
        <f aca="false">IF(L2383="Tidak dibuka","–",IF(F2383="","(tanpa age group)",F2383)&amp;"  "&amp;IF(H2383="","?",H2383)&amp;"/"&amp;IF(G2383="","?",G2383)&amp;CHAR(10)&amp;IF(K2383="","coach: –","coach: "&amp;K2383))</f>
        <v>(tanpa age group)  0/4
coach: –</v>
      </c>
    </row>
    <row r="2384" customFormat="false" ht="22.35" hidden="false" customHeight="false" outlineLevel="0" collapsed="false">
      <c r="A2384" s="76" t="str">
        <f aca="false">B2384&amp;"|"&amp;C2384&amp;"|"&amp;D2384&amp;"|"&amp;E2384</f>
        <v>HIB|5|Rabu|14:00</v>
      </c>
      <c r="B2384" s="76" t="s">
        <v>71</v>
      </c>
      <c r="C2384" s="76" t="n">
        <v>5</v>
      </c>
      <c r="D2384" s="76" t="s">
        <v>92</v>
      </c>
      <c r="E2384" s="76" t="s">
        <v>117</v>
      </c>
      <c r="F2384" s="77"/>
      <c r="G2384" s="77" t="n">
        <v>4</v>
      </c>
      <c r="H2384" s="77" t="n">
        <v>0</v>
      </c>
      <c r="I2384" s="76" t="n">
        <f aca="false">IF(AND(ISNUMBER(G2384),ISNUMBER(H2384)),MAX(G2384-H2384,0),"")</f>
        <v>4</v>
      </c>
      <c r="J2384" s="78" t="n">
        <f aca="false">IF(AND(ISNUMBER(G2384),ISNUMBER(H2384)),IF(G2384&gt;0,H2384/G2384,""),"")</f>
        <v>0</v>
      </c>
      <c r="K2384" s="77"/>
      <c r="L2384" s="76" t="str">
        <f aca="false">IF(OR(G2384="",H2384=""),"Data tidak lengkap",IF(AND(G2384=0,H2384=0),IF(AND(F2384="",K2384=""),"Tidak dibuka","Tutup"),IF(H2384&gt;G2384,"Lebih kapasitas",IF(H2384=G2384,"Penuh",IF(H2384=0,IF(F2384="","Slot kosong","Belum terisi"),"Sebagian")))))</f>
        <v>Slot kosong</v>
      </c>
      <c r="M2384" s="79" t="str">
        <f aca="false">IF(L2384="Tidak dibuka","–",IF(F2384="","(tanpa age group)",F2384)&amp;"  "&amp;IF(H2384="","?",H2384)&amp;"/"&amp;IF(G2384="","?",G2384)&amp;CHAR(10)&amp;IF(K2384="","coach: –","coach: "&amp;K2384))</f>
        <v>(tanpa age group)  0/4
coach: –</v>
      </c>
    </row>
    <row r="2385" customFormat="false" ht="22.35" hidden="false" customHeight="false" outlineLevel="0" collapsed="false">
      <c r="A2385" s="76" t="str">
        <f aca="false">B2385&amp;"|"&amp;C2385&amp;"|"&amp;D2385&amp;"|"&amp;E2385</f>
        <v>HIB|5|Rabu|14:45</v>
      </c>
      <c r="B2385" s="76" t="s">
        <v>71</v>
      </c>
      <c r="C2385" s="76" t="n">
        <v>5</v>
      </c>
      <c r="D2385" s="76" t="s">
        <v>92</v>
      </c>
      <c r="E2385" s="76" t="s">
        <v>118</v>
      </c>
      <c r="F2385" s="77"/>
      <c r="G2385" s="77" t="n">
        <v>4</v>
      </c>
      <c r="H2385" s="77" t="n">
        <v>0</v>
      </c>
      <c r="I2385" s="76" t="n">
        <f aca="false">IF(AND(ISNUMBER(G2385),ISNUMBER(H2385)),MAX(G2385-H2385,0),"")</f>
        <v>4</v>
      </c>
      <c r="J2385" s="78" t="n">
        <f aca="false">IF(AND(ISNUMBER(G2385),ISNUMBER(H2385)),IF(G2385&gt;0,H2385/G2385,""),"")</f>
        <v>0</v>
      </c>
      <c r="K2385" s="77"/>
      <c r="L2385" s="76" t="str">
        <f aca="false">IF(OR(G2385="",H2385=""),"Data tidak lengkap",IF(AND(G2385=0,H2385=0),IF(AND(F2385="",K2385=""),"Tidak dibuka","Tutup"),IF(H2385&gt;G2385,"Lebih kapasitas",IF(H2385=G2385,"Penuh",IF(H2385=0,IF(F2385="","Slot kosong","Belum terisi"),"Sebagian")))))</f>
        <v>Slot kosong</v>
      </c>
      <c r="M2385" s="79" t="str">
        <f aca="false">IF(L2385="Tidak dibuka","–",IF(F2385="","(tanpa age group)",F2385)&amp;"  "&amp;IF(H2385="","?",H2385)&amp;"/"&amp;IF(G2385="","?",G2385)&amp;CHAR(10)&amp;IF(K2385="","coach: –","coach: "&amp;K2385))</f>
        <v>(tanpa age group)  0/4
coach: –</v>
      </c>
    </row>
    <row r="2386" customFormat="false" ht="22.35" hidden="false" customHeight="false" outlineLevel="0" collapsed="false">
      <c r="A2386" s="76" t="str">
        <f aca="false">B2386&amp;"|"&amp;C2386&amp;"|"&amp;D2386&amp;"|"&amp;E2386</f>
        <v>HIB|5|Rabu|15:30</v>
      </c>
      <c r="B2386" s="76" t="s">
        <v>71</v>
      </c>
      <c r="C2386" s="76" t="n">
        <v>5</v>
      </c>
      <c r="D2386" s="76" t="s">
        <v>92</v>
      </c>
      <c r="E2386" s="76" t="s">
        <v>119</v>
      </c>
      <c r="F2386" s="77"/>
      <c r="G2386" s="77" t="n">
        <v>4</v>
      </c>
      <c r="H2386" s="77" t="n">
        <v>0</v>
      </c>
      <c r="I2386" s="76" t="n">
        <f aca="false">IF(AND(ISNUMBER(G2386),ISNUMBER(H2386)),MAX(G2386-H2386,0),"")</f>
        <v>4</v>
      </c>
      <c r="J2386" s="78" t="n">
        <f aca="false">IF(AND(ISNUMBER(G2386),ISNUMBER(H2386)),IF(G2386&gt;0,H2386/G2386,""),"")</f>
        <v>0</v>
      </c>
      <c r="K2386" s="77"/>
      <c r="L2386" s="76" t="str">
        <f aca="false">IF(OR(G2386="",H2386=""),"Data tidak lengkap",IF(AND(G2386=0,H2386=0),IF(AND(F2386="",K2386=""),"Tidak dibuka","Tutup"),IF(H2386&gt;G2386,"Lebih kapasitas",IF(H2386=G2386,"Penuh",IF(H2386=0,IF(F2386="","Slot kosong","Belum terisi"),"Sebagian")))))</f>
        <v>Slot kosong</v>
      </c>
      <c r="M2386" s="79" t="str">
        <f aca="false">IF(L2386="Tidak dibuka","–",IF(F2386="","(tanpa age group)",F2386)&amp;"  "&amp;IF(H2386="","?",H2386)&amp;"/"&amp;IF(G2386="","?",G2386)&amp;CHAR(10)&amp;IF(K2386="","coach: –","coach: "&amp;K2386))</f>
        <v>(tanpa age group)  0/4
coach: –</v>
      </c>
    </row>
    <row r="2387" customFormat="false" ht="22.35" hidden="false" customHeight="false" outlineLevel="0" collapsed="false">
      <c r="A2387" s="76" t="str">
        <f aca="false">B2387&amp;"|"&amp;C2387&amp;"|"&amp;D2387&amp;"|"&amp;E2387</f>
        <v>HIB|5|Rabu|16:15</v>
      </c>
      <c r="B2387" s="76" t="s">
        <v>71</v>
      </c>
      <c r="C2387" s="76" t="n">
        <v>5</v>
      </c>
      <c r="D2387" s="76" t="s">
        <v>92</v>
      </c>
      <c r="E2387" s="76" t="s">
        <v>120</v>
      </c>
      <c r="F2387" s="77"/>
      <c r="G2387" s="77" t="n">
        <v>4</v>
      </c>
      <c r="H2387" s="77" t="n">
        <v>0</v>
      </c>
      <c r="I2387" s="76" t="n">
        <f aca="false">IF(AND(ISNUMBER(G2387),ISNUMBER(H2387)),MAX(G2387-H2387,0),"")</f>
        <v>4</v>
      </c>
      <c r="J2387" s="78" t="n">
        <f aca="false">IF(AND(ISNUMBER(G2387),ISNUMBER(H2387)),IF(G2387&gt;0,H2387/G2387,""),"")</f>
        <v>0</v>
      </c>
      <c r="K2387" s="77"/>
      <c r="L2387" s="76" t="str">
        <f aca="false">IF(OR(G2387="",H2387=""),"Data tidak lengkap",IF(AND(G2387=0,H2387=0),IF(AND(F2387="",K2387=""),"Tidak dibuka","Tutup"),IF(H2387&gt;G2387,"Lebih kapasitas",IF(H2387=G2387,"Penuh",IF(H2387=0,IF(F2387="","Slot kosong","Belum terisi"),"Sebagian")))))</f>
        <v>Slot kosong</v>
      </c>
      <c r="M2387" s="79" t="str">
        <f aca="false">IF(L2387="Tidak dibuka","–",IF(F2387="","(tanpa age group)",F2387)&amp;"  "&amp;IF(H2387="","?",H2387)&amp;"/"&amp;IF(G2387="","?",G2387)&amp;CHAR(10)&amp;IF(K2387="","coach: –","coach: "&amp;K2387))</f>
        <v>(tanpa age group)  0/4
coach: –</v>
      </c>
    </row>
    <row r="2388" customFormat="false" ht="22.35" hidden="false" customHeight="false" outlineLevel="0" collapsed="false">
      <c r="A2388" s="76" t="str">
        <f aca="false">B2388&amp;"|"&amp;C2388&amp;"|"&amp;D2388&amp;"|"&amp;E2388</f>
        <v>HIB|5|Rabu|17:00</v>
      </c>
      <c r="B2388" s="76" t="s">
        <v>71</v>
      </c>
      <c r="C2388" s="76" t="n">
        <v>5</v>
      </c>
      <c r="D2388" s="76" t="s">
        <v>92</v>
      </c>
      <c r="E2388" s="76" t="s">
        <v>121</v>
      </c>
      <c r="F2388" s="77"/>
      <c r="G2388" s="77" t="n">
        <v>4</v>
      </c>
      <c r="H2388" s="77" t="n">
        <v>0</v>
      </c>
      <c r="I2388" s="76" t="n">
        <f aca="false">IF(AND(ISNUMBER(G2388),ISNUMBER(H2388)),MAX(G2388-H2388,0),"")</f>
        <v>4</v>
      </c>
      <c r="J2388" s="78" t="n">
        <f aca="false">IF(AND(ISNUMBER(G2388),ISNUMBER(H2388)),IF(G2388&gt;0,H2388/G2388,""),"")</f>
        <v>0</v>
      </c>
      <c r="K2388" s="77"/>
      <c r="L2388" s="76" t="str">
        <f aca="false">IF(OR(G2388="",H2388=""),"Data tidak lengkap",IF(AND(G2388=0,H2388=0),IF(AND(F2388="",K2388=""),"Tidak dibuka","Tutup"),IF(H2388&gt;G2388,"Lebih kapasitas",IF(H2388=G2388,"Penuh",IF(H2388=0,IF(F2388="","Slot kosong","Belum terisi"),"Sebagian")))))</f>
        <v>Slot kosong</v>
      </c>
      <c r="M2388" s="79" t="str">
        <f aca="false">IF(L2388="Tidak dibuka","–",IF(F2388="","(tanpa age group)",F2388)&amp;"  "&amp;IF(H2388="","?",H2388)&amp;"/"&amp;IF(G2388="","?",G2388)&amp;CHAR(10)&amp;IF(K2388="","coach: –","coach: "&amp;K2388))</f>
        <v>(tanpa age group)  0/4
coach: –</v>
      </c>
    </row>
    <row r="2389" customFormat="false" ht="22.35" hidden="false" customHeight="false" outlineLevel="0" collapsed="false">
      <c r="A2389" s="76" t="str">
        <f aca="false">B2389&amp;"|"&amp;C2389&amp;"|"&amp;D2389&amp;"|"&amp;E2389</f>
        <v>HIB|5|Kamis|08:00</v>
      </c>
      <c r="B2389" s="76" t="s">
        <v>71</v>
      </c>
      <c r="C2389" s="76" t="n">
        <v>5</v>
      </c>
      <c r="D2389" s="76" t="s">
        <v>93</v>
      </c>
      <c r="E2389" s="76" t="s">
        <v>110</v>
      </c>
      <c r="F2389" s="77"/>
      <c r="G2389" s="77" t="n">
        <v>4</v>
      </c>
      <c r="H2389" s="77" t="n">
        <v>0</v>
      </c>
      <c r="I2389" s="76" t="n">
        <f aca="false">IF(AND(ISNUMBER(G2389),ISNUMBER(H2389)),MAX(G2389-H2389,0),"")</f>
        <v>4</v>
      </c>
      <c r="J2389" s="78" t="n">
        <f aca="false">IF(AND(ISNUMBER(G2389),ISNUMBER(H2389)),IF(G2389&gt;0,H2389/G2389,""),"")</f>
        <v>0</v>
      </c>
      <c r="K2389" s="77"/>
      <c r="L2389" s="76" t="str">
        <f aca="false">IF(OR(G2389="",H2389=""),"Data tidak lengkap",IF(AND(G2389=0,H2389=0),IF(AND(F2389="",K2389=""),"Tidak dibuka","Tutup"),IF(H2389&gt;G2389,"Lebih kapasitas",IF(H2389=G2389,"Penuh",IF(H2389=0,IF(F2389="","Slot kosong","Belum terisi"),"Sebagian")))))</f>
        <v>Slot kosong</v>
      </c>
      <c r="M2389" s="79" t="str">
        <f aca="false">IF(L2389="Tidak dibuka","–",IF(F2389="","(tanpa age group)",F2389)&amp;"  "&amp;IF(H2389="","?",H2389)&amp;"/"&amp;IF(G2389="","?",G2389)&amp;CHAR(10)&amp;IF(K2389="","coach: –","coach: "&amp;K2389))</f>
        <v>(tanpa age group)  0/4
coach: –</v>
      </c>
    </row>
    <row r="2390" customFormat="false" ht="22.35" hidden="false" customHeight="false" outlineLevel="0" collapsed="false">
      <c r="A2390" s="76" t="str">
        <f aca="false">B2390&amp;"|"&amp;C2390&amp;"|"&amp;D2390&amp;"|"&amp;E2390</f>
        <v>HIB|5|Kamis|08:45</v>
      </c>
      <c r="B2390" s="76" t="s">
        <v>71</v>
      </c>
      <c r="C2390" s="76" t="n">
        <v>5</v>
      </c>
      <c r="D2390" s="76" t="s">
        <v>93</v>
      </c>
      <c r="E2390" s="76" t="s">
        <v>111</v>
      </c>
      <c r="F2390" s="77"/>
      <c r="G2390" s="77" t="n">
        <v>4</v>
      </c>
      <c r="H2390" s="77" t="n">
        <v>0</v>
      </c>
      <c r="I2390" s="76" t="n">
        <f aca="false">IF(AND(ISNUMBER(G2390),ISNUMBER(H2390)),MAX(G2390-H2390,0),"")</f>
        <v>4</v>
      </c>
      <c r="J2390" s="78" t="n">
        <f aca="false">IF(AND(ISNUMBER(G2390),ISNUMBER(H2390)),IF(G2390&gt;0,H2390/G2390,""),"")</f>
        <v>0</v>
      </c>
      <c r="K2390" s="77"/>
      <c r="L2390" s="76" t="str">
        <f aca="false">IF(OR(G2390="",H2390=""),"Data tidak lengkap",IF(AND(G2390=0,H2390=0),IF(AND(F2390="",K2390=""),"Tidak dibuka","Tutup"),IF(H2390&gt;G2390,"Lebih kapasitas",IF(H2390=G2390,"Penuh",IF(H2390=0,IF(F2390="","Slot kosong","Belum terisi"),"Sebagian")))))</f>
        <v>Slot kosong</v>
      </c>
      <c r="M2390" s="79" t="str">
        <f aca="false">IF(L2390="Tidak dibuka","–",IF(F2390="","(tanpa age group)",F2390)&amp;"  "&amp;IF(H2390="","?",H2390)&amp;"/"&amp;IF(G2390="","?",G2390)&amp;CHAR(10)&amp;IF(K2390="","coach: –","coach: "&amp;K2390))</f>
        <v>(tanpa age group)  0/4
coach: –</v>
      </c>
    </row>
    <row r="2391" customFormat="false" ht="22.35" hidden="false" customHeight="false" outlineLevel="0" collapsed="false">
      <c r="A2391" s="76" t="str">
        <f aca="false">B2391&amp;"|"&amp;C2391&amp;"|"&amp;D2391&amp;"|"&amp;E2391</f>
        <v>HIB|5|Kamis|09:30</v>
      </c>
      <c r="B2391" s="76" t="s">
        <v>71</v>
      </c>
      <c r="C2391" s="76" t="n">
        <v>5</v>
      </c>
      <c r="D2391" s="76" t="s">
        <v>93</v>
      </c>
      <c r="E2391" s="76" t="s">
        <v>112</v>
      </c>
      <c r="F2391" s="77"/>
      <c r="G2391" s="77" t="n">
        <v>4</v>
      </c>
      <c r="H2391" s="77" t="n">
        <v>0</v>
      </c>
      <c r="I2391" s="76" t="n">
        <f aca="false">IF(AND(ISNUMBER(G2391),ISNUMBER(H2391)),MAX(G2391-H2391,0),"")</f>
        <v>4</v>
      </c>
      <c r="J2391" s="78" t="n">
        <f aca="false">IF(AND(ISNUMBER(G2391),ISNUMBER(H2391)),IF(G2391&gt;0,H2391/G2391,""),"")</f>
        <v>0</v>
      </c>
      <c r="K2391" s="77"/>
      <c r="L2391" s="76" t="str">
        <f aca="false">IF(OR(G2391="",H2391=""),"Data tidak lengkap",IF(AND(G2391=0,H2391=0),IF(AND(F2391="",K2391=""),"Tidak dibuka","Tutup"),IF(H2391&gt;G2391,"Lebih kapasitas",IF(H2391=G2391,"Penuh",IF(H2391=0,IF(F2391="","Slot kosong","Belum terisi"),"Sebagian")))))</f>
        <v>Slot kosong</v>
      </c>
      <c r="M2391" s="79" t="str">
        <f aca="false">IF(L2391="Tidak dibuka","–",IF(F2391="","(tanpa age group)",F2391)&amp;"  "&amp;IF(H2391="","?",H2391)&amp;"/"&amp;IF(G2391="","?",G2391)&amp;CHAR(10)&amp;IF(K2391="","coach: –","coach: "&amp;K2391))</f>
        <v>(tanpa age group)  0/4
coach: –</v>
      </c>
    </row>
    <row r="2392" customFormat="false" ht="22.35" hidden="false" customHeight="false" outlineLevel="0" collapsed="false">
      <c r="A2392" s="76" t="str">
        <f aca="false">B2392&amp;"|"&amp;C2392&amp;"|"&amp;D2392&amp;"|"&amp;E2392</f>
        <v>HIB|5|Kamis|10:15</v>
      </c>
      <c r="B2392" s="76" t="s">
        <v>71</v>
      </c>
      <c r="C2392" s="76" t="n">
        <v>5</v>
      </c>
      <c r="D2392" s="76" t="s">
        <v>93</v>
      </c>
      <c r="E2392" s="76" t="s">
        <v>113</v>
      </c>
      <c r="F2392" s="77"/>
      <c r="G2392" s="77" t="n">
        <v>4</v>
      </c>
      <c r="H2392" s="77" t="n">
        <v>0</v>
      </c>
      <c r="I2392" s="76" t="n">
        <f aca="false">IF(AND(ISNUMBER(G2392),ISNUMBER(H2392)),MAX(G2392-H2392,0),"")</f>
        <v>4</v>
      </c>
      <c r="J2392" s="78" t="n">
        <f aca="false">IF(AND(ISNUMBER(G2392),ISNUMBER(H2392)),IF(G2392&gt;0,H2392/G2392,""),"")</f>
        <v>0</v>
      </c>
      <c r="K2392" s="77"/>
      <c r="L2392" s="76" t="str">
        <f aca="false">IF(OR(G2392="",H2392=""),"Data tidak lengkap",IF(AND(G2392=0,H2392=0),IF(AND(F2392="",K2392=""),"Tidak dibuka","Tutup"),IF(H2392&gt;G2392,"Lebih kapasitas",IF(H2392=G2392,"Penuh",IF(H2392=0,IF(F2392="","Slot kosong","Belum terisi"),"Sebagian")))))</f>
        <v>Slot kosong</v>
      </c>
      <c r="M2392" s="79" t="str">
        <f aca="false">IF(L2392="Tidak dibuka","–",IF(F2392="","(tanpa age group)",F2392)&amp;"  "&amp;IF(H2392="","?",H2392)&amp;"/"&amp;IF(G2392="","?",G2392)&amp;CHAR(10)&amp;IF(K2392="","coach: –","coach: "&amp;K2392))</f>
        <v>(tanpa age group)  0/4
coach: –</v>
      </c>
    </row>
    <row r="2393" customFormat="false" ht="22.35" hidden="false" customHeight="false" outlineLevel="0" collapsed="false">
      <c r="A2393" s="76" t="str">
        <f aca="false">B2393&amp;"|"&amp;C2393&amp;"|"&amp;D2393&amp;"|"&amp;E2393</f>
        <v>HIB|5|Kamis|11:00</v>
      </c>
      <c r="B2393" s="76" t="s">
        <v>71</v>
      </c>
      <c r="C2393" s="76" t="n">
        <v>5</v>
      </c>
      <c r="D2393" s="76" t="s">
        <v>93</v>
      </c>
      <c r="E2393" s="76" t="s">
        <v>114</v>
      </c>
      <c r="F2393" s="77"/>
      <c r="G2393" s="77" t="n">
        <v>4</v>
      </c>
      <c r="H2393" s="77" t="n">
        <v>0</v>
      </c>
      <c r="I2393" s="76" t="n">
        <f aca="false">IF(AND(ISNUMBER(G2393),ISNUMBER(H2393)),MAX(G2393-H2393,0),"")</f>
        <v>4</v>
      </c>
      <c r="J2393" s="78" t="n">
        <f aca="false">IF(AND(ISNUMBER(G2393),ISNUMBER(H2393)),IF(G2393&gt;0,H2393/G2393,""),"")</f>
        <v>0</v>
      </c>
      <c r="K2393" s="77"/>
      <c r="L2393" s="76" t="str">
        <f aca="false">IF(OR(G2393="",H2393=""),"Data tidak lengkap",IF(AND(G2393=0,H2393=0),IF(AND(F2393="",K2393=""),"Tidak dibuka","Tutup"),IF(H2393&gt;G2393,"Lebih kapasitas",IF(H2393=G2393,"Penuh",IF(H2393=0,IF(F2393="","Slot kosong","Belum terisi"),"Sebagian")))))</f>
        <v>Slot kosong</v>
      </c>
      <c r="M2393" s="79" t="str">
        <f aca="false">IF(L2393="Tidak dibuka","–",IF(F2393="","(tanpa age group)",F2393)&amp;"  "&amp;IF(H2393="","?",H2393)&amp;"/"&amp;IF(G2393="","?",G2393)&amp;CHAR(10)&amp;IF(K2393="","coach: –","coach: "&amp;K2393))</f>
        <v>(tanpa age group)  0/4
coach: –</v>
      </c>
    </row>
    <row r="2394" customFormat="false" ht="22.35" hidden="false" customHeight="false" outlineLevel="0" collapsed="false">
      <c r="A2394" s="76" t="str">
        <f aca="false">B2394&amp;"|"&amp;C2394&amp;"|"&amp;D2394&amp;"|"&amp;E2394</f>
        <v>HIB|5|Kamis|11:45</v>
      </c>
      <c r="B2394" s="76" t="s">
        <v>71</v>
      </c>
      <c r="C2394" s="76" t="n">
        <v>5</v>
      </c>
      <c r="D2394" s="76" t="s">
        <v>93</v>
      </c>
      <c r="E2394" s="76" t="s">
        <v>115</v>
      </c>
      <c r="F2394" s="77"/>
      <c r="G2394" s="77" t="n">
        <v>4</v>
      </c>
      <c r="H2394" s="77" t="n">
        <v>0</v>
      </c>
      <c r="I2394" s="76" t="n">
        <f aca="false">IF(AND(ISNUMBER(G2394),ISNUMBER(H2394)),MAX(G2394-H2394,0),"")</f>
        <v>4</v>
      </c>
      <c r="J2394" s="78" t="n">
        <f aca="false">IF(AND(ISNUMBER(G2394),ISNUMBER(H2394)),IF(G2394&gt;0,H2394/G2394,""),"")</f>
        <v>0</v>
      </c>
      <c r="K2394" s="77"/>
      <c r="L2394" s="76" t="str">
        <f aca="false">IF(OR(G2394="",H2394=""),"Data tidak lengkap",IF(AND(G2394=0,H2394=0),IF(AND(F2394="",K2394=""),"Tidak dibuka","Tutup"),IF(H2394&gt;G2394,"Lebih kapasitas",IF(H2394=G2394,"Penuh",IF(H2394=0,IF(F2394="","Slot kosong","Belum terisi"),"Sebagian")))))</f>
        <v>Slot kosong</v>
      </c>
      <c r="M2394" s="79" t="str">
        <f aca="false">IF(L2394="Tidak dibuka","–",IF(F2394="","(tanpa age group)",F2394)&amp;"  "&amp;IF(H2394="","?",H2394)&amp;"/"&amp;IF(G2394="","?",G2394)&amp;CHAR(10)&amp;IF(K2394="","coach: –","coach: "&amp;K2394))</f>
        <v>(tanpa age group)  0/4
coach: –</v>
      </c>
    </row>
    <row r="2395" customFormat="false" ht="22.35" hidden="false" customHeight="false" outlineLevel="0" collapsed="false">
      <c r="A2395" s="76" t="str">
        <f aca="false">B2395&amp;"|"&amp;C2395&amp;"|"&amp;D2395&amp;"|"&amp;E2395</f>
        <v>HIB|5|Kamis|13:15</v>
      </c>
      <c r="B2395" s="76" t="s">
        <v>71</v>
      </c>
      <c r="C2395" s="76" t="n">
        <v>5</v>
      </c>
      <c r="D2395" s="76" t="s">
        <v>93</v>
      </c>
      <c r="E2395" s="76" t="s">
        <v>116</v>
      </c>
      <c r="F2395" s="77"/>
      <c r="G2395" s="77" t="n">
        <v>4</v>
      </c>
      <c r="H2395" s="77" t="n">
        <v>0</v>
      </c>
      <c r="I2395" s="76" t="n">
        <f aca="false">IF(AND(ISNUMBER(G2395),ISNUMBER(H2395)),MAX(G2395-H2395,0),"")</f>
        <v>4</v>
      </c>
      <c r="J2395" s="78" t="n">
        <f aca="false">IF(AND(ISNUMBER(G2395),ISNUMBER(H2395)),IF(G2395&gt;0,H2395/G2395,""),"")</f>
        <v>0</v>
      </c>
      <c r="K2395" s="77"/>
      <c r="L2395" s="76" t="str">
        <f aca="false">IF(OR(G2395="",H2395=""),"Data tidak lengkap",IF(AND(G2395=0,H2395=0),IF(AND(F2395="",K2395=""),"Tidak dibuka","Tutup"),IF(H2395&gt;G2395,"Lebih kapasitas",IF(H2395=G2395,"Penuh",IF(H2395=0,IF(F2395="","Slot kosong","Belum terisi"),"Sebagian")))))</f>
        <v>Slot kosong</v>
      </c>
      <c r="M2395" s="79" t="str">
        <f aca="false">IF(L2395="Tidak dibuka","–",IF(F2395="","(tanpa age group)",F2395)&amp;"  "&amp;IF(H2395="","?",H2395)&amp;"/"&amp;IF(G2395="","?",G2395)&amp;CHAR(10)&amp;IF(K2395="","coach: –","coach: "&amp;K2395))</f>
        <v>(tanpa age group)  0/4
coach: –</v>
      </c>
    </row>
    <row r="2396" customFormat="false" ht="22.35" hidden="false" customHeight="false" outlineLevel="0" collapsed="false">
      <c r="A2396" s="76" t="str">
        <f aca="false">B2396&amp;"|"&amp;C2396&amp;"|"&amp;D2396&amp;"|"&amp;E2396</f>
        <v>HIB|5|Kamis|14:00</v>
      </c>
      <c r="B2396" s="76" t="s">
        <v>71</v>
      </c>
      <c r="C2396" s="76" t="n">
        <v>5</v>
      </c>
      <c r="D2396" s="76" t="s">
        <v>93</v>
      </c>
      <c r="E2396" s="76" t="s">
        <v>117</v>
      </c>
      <c r="F2396" s="77"/>
      <c r="G2396" s="77" t="n">
        <v>4</v>
      </c>
      <c r="H2396" s="77" t="n">
        <v>0</v>
      </c>
      <c r="I2396" s="76" t="n">
        <f aca="false">IF(AND(ISNUMBER(G2396),ISNUMBER(H2396)),MAX(G2396-H2396,0),"")</f>
        <v>4</v>
      </c>
      <c r="J2396" s="78" t="n">
        <f aca="false">IF(AND(ISNUMBER(G2396),ISNUMBER(H2396)),IF(G2396&gt;0,H2396/G2396,""),"")</f>
        <v>0</v>
      </c>
      <c r="K2396" s="77"/>
      <c r="L2396" s="76" t="str">
        <f aca="false">IF(OR(G2396="",H2396=""),"Data tidak lengkap",IF(AND(G2396=0,H2396=0),IF(AND(F2396="",K2396=""),"Tidak dibuka","Tutup"),IF(H2396&gt;G2396,"Lebih kapasitas",IF(H2396=G2396,"Penuh",IF(H2396=0,IF(F2396="","Slot kosong","Belum terisi"),"Sebagian")))))</f>
        <v>Slot kosong</v>
      </c>
      <c r="M2396" s="79" t="str">
        <f aca="false">IF(L2396="Tidak dibuka","–",IF(F2396="","(tanpa age group)",F2396)&amp;"  "&amp;IF(H2396="","?",H2396)&amp;"/"&amp;IF(G2396="","?",G2396)&amp;CHAR(10)&amp;IF(K2396="","coach: –","coach: "&amp;K2396))</f>
        <v>(tanpa age group)  0/4
coach: –</v>
      </c>
    </row>
    <row r="2397" customFormat="false" ht="22.35" hidden="false" customHeight="false" outlineLevel="0" collapsed="false">
      <c r="A2397" s="76" t="str">
        <f aca="false">B2397&amp;"|"&amp;C2397&amp;"|"&amp;D2397&amp;"|"&amp;E2397</f>
        <v>HIB|5|Kamis|14:45</v>
      </c>
      <c r="B2397" s="76" t="s">
        <v>71</v>
      </c>
      <c r="C2397" s="76" t="n">
        <v>5</v>
      </c>
      <c r="D2397" s="76" t="s">
        <v>93</v>
      </c>
      <c r="E2397" s="76" t="s">
        <v>118</v>
      </c>
      <c r="F2397" s="77"/>
      <c r="G2397" s="77" t="n">
        <v>4</v>
      </c>
      <c r="H2397" s="77" t="n">
        <v>0</v>
      </c>
      <c r="I2397" s="76" t="n">
        <f aca="false">IF(AND(ISNUMBER(G2397),ISNUMBER(H2397)),MAX(G2397-H2397,0),"")</f>
        <v>4</v>
      </c>
      <c r="J2397" s="78" t="n">
        <f aca="false">IF(AND(ISNUMBER(G2397),ISNUMBER(H2397)),IF(G2397&gt;0,H2397/G2397,""),"")</f>
        <v>0</v>
      </c>
      <c r="K2397" s="77"/>
      <c r="L2397" s="76" t="str">
        <f aca="false">IF(OR(G2397="",H2397=""),"Data tidak lengkap",IF(AND(G2397=0,H2397=0),IF(AND(F2397="",K2397=""),"Tidak dibuka","Tutup"),IF(H2397&gt;G2397,"Lebih kapasitas",IF(H2397=G2397,"Penuh",IF(H2397=0,IF(F2397="","Slot kosong","Belum terisi"),"Sebagian")))))</f>
        <v>Slot kosong</v>
      </c>
      <c r="M2397" s="79" t="str">
        <f aca="false">IF(L2397="Tidak dibuka","–",IF(F2397="","(tanpa age group)",F2397)&amp;"  "&amp;IF(H2397="","?",H2397)&amp;"/"&amp;IF(G2397="","?",G2397)&amp;CHAR(10)&amp;IF(K2397="","coach: –","coach: "&amp;K2397))</f>
        <v>(tanpa age group)  0/4
coach: –</v>
      </c>
    </row>
    <row r="2398" customFormat="false" ht="22.35" hidden="false" customHeight="false" outlineLevel="0" collapsed="false">
      <c r="A2398" s="76" t="str">
        <f aca="false">B2398&amp;"|"&amp;C2398&amp;"|"&amp;D2398&amp;"|"&amp;E2398</f>
        <v>HIB|5|Kamis|15:30</v>
      </c>
      <c r="B2398" s="76" t="s">
        <v>71</v>
      </c>
      <c r="C2398" s="76" t="n">
        <v>5</v>
      </c>
      <c r="D2398" s="76" t="s">
        <v>93</v>
      </c>
      <c r="E2398" s="76" t="s">
        <v>119</v>
      </c>
      <c r="F2398" s="77"/>
      <c r="G2398" s="77" t="n">
        <v>4</v>
      </c>
      <c r="H2398" s="77" t="n">
        <v>0</v>
      </c>
      <c r="I2398" s="76" t="n">
        <f aca="false">IF(AND(ISNUMBER(G2398),ISNUMBER(H2398)),MAX(G2398-H2398,0),"")</f>
        <v>4</v>
      </c>
      <c r="J2398" s="78" t="n">
        <f aca="false">IF(AND(ISNUMBER(G2398),ISNUMBER(H2398)),IF(G2398&gt;0,H2398/G2398,""),"")</f>
        <v>0</v>
      </c>
      <c r="K2398" s="77"/>
      <c r="L2398" s="76" t="str">
        <f aca="false">IF(OR(G2398="",H2398=""),"Data tidak lengkap",IF(AND(G2398=0,H2398=0),IF(AND(F2398="",K2398=""),"Tidak dibuka","Tutup"),IF(H2398&gt;G2398,"Lebih kapasitas",IF(H2398=G2398,"Penuh",IF(H2398=0,IF(F2398="","Slot kosong","Belum terisi"),"Sebagian")))))</f>
        <v>Slot kosong</v>
      </c>
      <c r="M2398" s="79" t="str">
        <f aca="false">IF(L2398="Tidak dibuka","–",IF(F2398="","(tanpa age group)",F2398)&amp;"  "&amp;IF(H2398="","?",H2398)&amp;"/"&amp;IF(G2398="","?",G2398)&amp;CHAR(10)&amp;IF(K2398="","coach: –","coach: "&amp;K2398))</f>
        <v>(tanpa age group)  0/4
coach: –</v>
      </c>
    </row>
    <row r="2399" customFormat="false" ht="22.35" hidden="false" customHeight="false" outlineLevel="0" collapsed="false">
      <c r="A2399" s="76" t="str">
        <f aca="false">B2399&amp;"|"&amp;C2399&amp;"|"&amp;D2399&amp;"|"&amp;E2399</f>
        <v>HIB|5|Kamis|16:15</v>
      </c>
      <c r="B2399" s="76" t="s">
        <v>71</v>
      </c>
      <c r="C2399" s="76" t="n">
        <v>5</v>
      </c>
      <c r="D2399" s="76" t="s">
        <v>93</v>
      </c>
      <c r="E2399" s="76" t="s">
        <v>120</v>
      </c>
      <c r="F2399" s="77"/>
      <c r="G2399" s="77" t="n">
        <v>4</v>
      </c>
      <c r="H2399" s="77" t="n">
        <v>0</v>
      </c>
      <c r="I2399" s="76" t="n">
        <f aca="false">IF(AND(ISNUMBER(G2399),ISNUMBER(H2399)),MAX(G2399-H2399,0),"")</f>
        <v>4</v>
      </c>
      <c r="J2399" s="78" t="n">
        <f aca="false">IF(AND(ISNUMBER(G2399),ISNUMBER(H2399)),IF(G2399&gt;0,H2399/G2399,""),"")</f>
        <v>0</v>
      </c>
      <c r="K2399" s="77"/>
      <c r="L2399" s="76" t="str">
        <f aca="false">IF(OR(G2399="",H2399=""),"Data tidak lengkap",IF(AND(G2399=0,H2399=0),IF(AND(F2399="",K2399=""),"Tidak dibuka","Tutup"),IF(H2399&gt;G2399,"Lebih kapasitas",IF(H2399=G2399,"Penuh",IF(H2399=0,IF(F2399="","Slot kosong","Belum terisi"),"Sebagian")))))</f>
        <v>Slot kosong</v>
      </c>
      <c r="M2399" s="79" t="str">
        <f aca="false">IF(L2399="Tidak dibuka","–",IF(F2399="","(tanpa age group)",F2399)&amp;"  "&amp;IF(H2399="","?",H2399)&amp;"/"&amp;IF(G2399="","?",G2399)&amp;CHAR(10)&amp;IF(K2399="","coach: –","coach: "&amp;K2399))</f>
        <v>(tanpa age group)  0/4
coach: –</v>
      </c>
    </row>
    <row r="2400" customFormat="false" ht="22.35" hidden="false" customHeight="false" outlineLevel="0" collapsed="false">
      <c r="A2400" s="76" t="str">
        <f aca="false">B2400&amp;"|"&amp;C2400&amp;"|"&amp;D2400&amp;"|"&amp;E2400</f>
        <v>HIB|5|Kamis|17:00</v>
      </c>
      <c r="B2400" s="76" t="s">
        <v>71</v>
      </c>
      <c r="C2400" s="76" t="n">
        <v>5</v>
      </c>
      <c r="D2400" s="76" t="s">
        <v>93</v>
      </c>
      <c r="E2400" s="76" t="s">
        <v>121</v>
      </c>
      <c r="F2400" s="77"/>
      <c r="G2400" s="77" t="n">
        <v>4</v>
      </c>
      <c r="H2400" s="77" t="n">
        <v>0</v>
      </c>
      <c r="I2400" s="76" t="n">
        <f aca="false">IF(AND(ISNUMBER(G2400),ISNUMBER(H2400)),MAX(G2400-H2400,0),"")</f>
        <v>4</v>
      </c>
      <c r="J2400" s="78" t="n">
        <f aca="false">IF(AND(ISNUMBER(G2400),ISNUMBER(H2400)),IF(G2400&gt;0,H2400/G2400,""),"")</f>
        <v>0</v>
      </c>
      <c r="K2400" s="77"/>
      <c r="L2400" s="76" t="str">
        <f aca="false">IF(OR(G2400="",H2400=""),"Data tidak lengkap",IF(AND(G2400=0,H2400=0),IF(AND(F2400="",K2400=""),"Tidak dibuka","Tutup"),IF(H2400&gt;G2400,"Lebih kapasitas",IF(H2400=G2400,"Penuh",IF(H2400=0,IF(F2400="","Slot kosong","Belum terisi"),"Sebagian")))))</f>
        <v>Slot kosong</v>
      </c>
      <c r="M2400" s="79" t="str">
        <f aca="false">IF(L2400="Tidak dibuka","–",IF(F2400="","(tanpa age group)",F2400)&amp;"  "&amp;IF(H2400="","?",H2400)&amp;"/"&amp;IF(G2400="","?",G2400)&amp;CHAR(10)&amp;IF(K2400="","coach: –","coach: "&amp;K2400))</f>
        <v>(tanpa age group)  0/4
coach: –</v>
      </c>
    </row>
    <row r="2401" customFormat="false" ht="22.35" hidden="false" customHeight="false" outlineLevel="0" collapsed="false">
      <c r="A2401" s="76" t="str">
        <f aca="false">B2401&amp;"|"&amp;C2401&amp;"|"&amp;D2401&amp;"|"&amp;E2401</f>
        <v>HIB|5|Jumat|08:00</v>
      </c>
      <c r="B2401" s="76" t="s">
        <v>71</v>
      </c>
      <c r="C2401" s="76" t="n">
        <v>5</v>
      </c>
      <c r="D2401" s="76" t="s">
        <v>94</v>
      </c>
      <c r="E2401" s="76" t="s">
        <v>110</v>
      </c>
      <c r="F2401" s="77"/>
      <c r="G2401" s="77" t="n">
        <v>4</v>
      </c>
      <c r="H2401" s="77" t="n">
        <v>0</v>
      </c>
      <c r="I2401" s="76" t="n">
        <f aca="false">IF(AND(ISNUMBER(G2401),ISNUMBER(H2401)),MAX(G2401-H2401,0),"")</f>
        <v>4</v>
      </c>
      <c r="J2401" s="78" t="n">
        <f aca="false">IF(AND(ISNUMBER(G2401),ISNUMBER(H2401)),IF(G2401&gt;0,H2401/G2401,""),"")</f>
        <v>0</v>
      </c>
      <c r="K2401" s="77"/>
      <c r="L2401" s="76" t="str">
        <f aca="false">IF(OR(G2401="",H2401=""),"Data tidak lengkap",IF(AND(G2401=0,H2401=0),IF(AND(F2401="",K2401=""),"Tidak dibuka","Tutup"),IF(H2401&gt;G2401,"Lebih kapasitas",IF(H2401=G2401,"Penuh",IF(H2401=0,IF(F2401="","Slot kosong","Belum terisi"),"Sebagian")))))</f>
        <v>Slot kosong</v>
      </c>
      <c r="M2401" s="79" t="str">
        <f aca="false">IF(L2401="Tidak dibuka","–",IF(F2401="","(tanpa age group)",F2401)&amp;"  "&amp;IF(H2401="","?",H2401)&amp;"/"&amp;IF(G2401="","?",G2401)&amp;CHAR(10)&amp;IF(K2401="","coach: –","coach: "&amp;K2401))</f>
        <v>(tanpa age group)  0/4
coach: –</v>
      </c>
    </row>
    <row r="2402" customFormat="false" ht="22.35" hidden="false" customHeight="false" outlineLevel="0" collapsed="false">
      <c r="A2402" s="76" t="str">
        <f aca="false">B2402&amp;"|"&amp;C2402&amp;"|"&amp;D2402&amp;"|"&amp;E2402</f>
        <v>HIB|5|Jumat|08:45</v>
      </c>
      <c r="B2402" s="76" t="s">
        <v>71</v>
      </c>
      <c r="C2402" s="76" t="n">
        <v>5</v>
      </c>
      <c r="D2402" s="76" t="s">
        <v>94</v>
      </c>
      <c r="E2402" s="76" t="s">
        <v>111</v>
      </c>
      <c r="F2402" s="77"/>
      <c r="G2402" s="77" t="n">
        <v>4</v>
      </c>
      <c r="H2402" s="77" t="n">
        <v>0</v>
      </c>
      <c r="I2402" s="76" t="n">
        <f aca="false">IF(AND(ISNUMBER(G2402),ISNUMBER(H2402)),MAX(G2402-H2402,0),"")</f>
        <v>4</v>
      </c>
      <c r="J2402" s="78" t="n">
        <f aca="false">IF(AND(ISNUMBER(G2402),ISNUMBER(H2402)),IF(G2402&gt;0,H2402/G2402,""),"")</f>
        <v>0</v>
      </c>
      <c r="K2402" s="77"/>
      <c r="L2402" s="76" t="str">
        <f aca="false">IF(OR(G2402="",H2402=""),"Data tidak lengkap",IF(AND(G2402=0,H2402=0),IF(AND(F2402="",K2402=""),"Tidak dibuka","Tutup"),IF(H2402&gt;G2402,"Lebih kapasitas",IF(H2402=G2402,"Penuh",IF(H2402=0,IF(F2402="","Slot kosong","Belum terisi"),"Sebagian")))))</f>
        <v>Slot kosong</v>
      </c>
      <c r="M2402" s="79" t="str">
        <f aca="false">IF(L2402="Tidak dibuka","–",IF(F2402="","(tanpa age group)",F2402)&amp;"  "&amp;IF(H2402="","?",H2402)&amp;"/"&amp;IF(G2402="","?",G2402)&amp;CHAR(10)&amp;IF(K2402="","coach: –","coach: "&amp;K2402))</f>
        <v>(tanpa age group)  0/4
coach: –</v>
      </c>
    </row>
    <row r="2403" customFormat="false" ht="22.35" hidden="false" customHeight="false" outlineLevel="0" collapsed="false">
      <c r="A2403" s="76" t="str">
        <f aca="false">B2403&amp;"|"&amp;C2403&amp;"|"&amp;D2403&amp;"|"&amp;E2403</f>
        <v>HIB|5|Jumat|09:30</v>
      </c>
      <c r="B2403" s="76" t="s">
        <v>71</v>
      </c>
      <c r="C2403" s="76" t="n">
        <v>5</v>
      </c>
      <c r="D2403" s="76" t="s">
        <v>94</v>
      </c>
      <c r="E2403" s="76" t="s">
        <v>112</v>
      </c>
      <c r="F2403" s="77"/>
      <c r="G2403" s="77" t="n">
        <v>4</v>
      </c>
      <c r="H2403" s="77" t="n">
        <v>0</v>
      </c>
      <c r="I2403" s="76" t="n">
        <f aca="false">IF(AND(ISNUMBER(G2403),ISNUMBER(H2403)),MAX(G2403-H2403,0),"")</f>
        <v>4</v>
      </c>
      <c r="J2403" s="78" t="n">
        <f aca="false">IF(AND(ISNUMBER(G2403),ISNUMBER(H2403)),IF(G2403&gt;0,H2403/G2403,""),"")</f>
        <v>0</v>
      </c>
      <c r="K2403" s="77"/>
      <c r="L2403" s="76" t="str">
        <f aca="false">IF(OR(G2403="",H2403=""),"Data tidak lengkap",IF(AND(G2403=0,H2403=0),IF(AND(F2403="",K2403=""),"Tidak dibuka","Tutup"),IF(H2403&gt;G2403,"Lebih kapasitas",IF(H2403=G2403,"Penuh",IF(H2403=0,IF(F2403="","Slot kosong","Belum terisi"),"Sebagian")))))</f>
        <v>Slot kosong</v>
      </c>
      <c r="M2403" s="79" t="str">
        <f aca="false">IF(L2403="Tidak dibuka","–",IF(F2403="","(tanpa age group)",F2403)&amp;"  "&amp;IF(H2403="","?",H2403)&amp;"/"&amp;IF(G2403="","?",G2403)&amp;CHAR(10)&amp;IF(K2403="","coach: –","coach: "&amp;K2403))</f>
        <v>(tanpa age group)  0/4
coach: –</v>
      </c>
    </row>
    <row r="2404" customFormat="false" ht="22.35" hidden="false" customHeight="false" outlineLevel="0" collapsed="false">
      <c r="A2404" s="76" t="str">
        <f aca="false">B2404&amp;"|"&amp;C2404&amp;"|"&amp;D2404&amp;"|"&amp;E2404</f>
        <v>HIB|5|Jumat|10:15</v>
      </c>
      <c r="B2404" s="76" t="s">
        <v>71</v>
      </c>
      <c r="C2404" s="76" t="n">
        <v>5</v>
      </c>
      <c r="D2404" s="76" t="s">
        <v>94</v>
      </c>
      <c r="E2404" s="76" t="s">
        <v>113</v>
      </c>
      <c r="F2404" s="77"/>
      <c r="G2404" s="77" t="n">
        <v>4</v>
      </c>
      <c r="H2404" s="77" t="n">
        <v>0</v>
      </c>
      <c r="I2404" s="76" t="n">
        <f aca="false">IF(AND(ISNUMBER(G2404),ISNUMBER(H2404)),MAX(G2404-H2404,0),"")</f>
        <v>4</v>
      </c>
      <c r="J2404" s="78" t="n">
        <f aca="false">IF(AND(ISNUMBER(G2404),ISNUMBER(H2404)),IF(G2404&gt;0,H2404/G2404,""),"")</f>
        <v>0</v>
      </c>
      <c r="K2404" s="77"/>
      <c r="L2404" s="76" t="str">
        <f aca="false">IF(OR(G2404="",H2404=""),"Data tidak lengkap",IF(AND(G2404=0,H2404=0),IF(AND(F2404="",K2404=""),"Tidak dibuka","Tutup"),IF(H2404&gt;G2404,"Lebih kapasitas",IF(H2404=G2404,"Penuh",IF(H2404=0,IF(F2404="","Slot kosong","Belum terisi"),"Sebagian")))))</f>
        <v>Slot kosong</v>
      </c>
      <c r="M2404" s="79" t="str">
        <f aca="false">IF(L2404="Tidak dibuka","–",IF(F2404="","(tanpa age group)",F2404)&amp;"  "&amp;IF(H2404="","?",H2404)&amp;"/"&amp;IF(G2404="","?",G2404)&amp;CHAR(10)&amp;IF(K2404="","coach: –","coach: "&amp;K2404))</f>
        <v>(tanpa age group)  0/4
coach: –</v>
      </c>
    </row>
    <row r="2405" customFormat="false" ht="22.35" hidden="false" customHeight="false" outlineLevel="0" collapsed="false">
      <c r="A2405" s="76" t="str">
        <f aca="false">B2405&amp;"|"&amp;C2405&amp;"|"&amp;D2405&amp;"|"&amp;E2405</f>
        <v>HIB|5|Jumat|11:00</v>
      </c>
      <c r="B2405" s="76" t="s">
        <v>71</v>
      </c>
      <c r="C2405" s="76" t="n">
        <v>5</v>
      </c>
      <c r="D2405" s="76" t="s">
        <v>94</v>
      </c>
      <c r="E2405" s="76" t="s">
        <v>114</v>
      </c>
      <c r="F2405" s="77"/>
      <c r="G2405" s="77" t="n">
        <v>4</v>
      </c>
      <c r="H2405" s="77" t="n">
        <v>0</v>
      </c>
      <c r="I2405" s="76" t="n">
        <f aca="false">IF(AND(ISNUMBER(G2405),ISNUMBER(H2405)),MAX(G2405-H2405,0),"")</f>
        <v>4</v>
      </c>
      <c r="J2405" s="78" t="n">
        <f aca="false">IF(AND(ISNUMBER(G2405),ISNUMBER(H2405)),IF(G2405&gt;0,H2405/G2405,""),"")</f>
        <v>0</v>
      </c>
      <c r="K2405" s="77"/>
      <c r="L2405" s="76" t="str">
        <f aca="false">IF(OR(G2405="",H2405=""),"Data tidak lengkap",IF(AND(G2405=0,H2405=0),IF(AND(F2405="",K2405=""),"Tidak dibuka","Tutup"),IF(H2405&gt;G2405,"Lebih kapasitas",IF(H2405=G2405,"Penuh",IF(H2405=0,IF(F2405="","Slot kosong","Belum terisi"),"Sebagian")))))</f>
        <v>Slot kosong</v>
      </c>
      <c r="M2405" s="79" t="str">
        <f aca="false">IF(L2405="Tidak dibuka","–",IF(F2405="","(tanpa age group)",F2405)&amp;"  "&amp;IF(H2405="","?",H2405)&amp;"/"&amp;IF(G2405="","?",G2405)&amp;CHAR(10)&amp;IF(K2405="","coach: –","coach: "&amp;K2405))</f>
        <v>(tanpa age group)  0/4
coach: –</v>
      </c>
    </row>
    <row r="2406" customFormat="false" ht="22.35" hidden="false" customHeight="false" outlineLevel="0" collapsed="false">
      <c r="A2406" s="76" t="str">
        <f aca="false">B2406&amp;"|"&amp;C2406&amp;"|"&amp;D2406&amp;"|"&amp;E2406</f>
        <v>HIB|5|Jumat|11:45</v>
      </c>
      <c r="B2406" s="76" t="s">
        <v>71</v>
      </c>
      <c r="C2406" s="76" t="n">
        <v>5</v>
      </c>
      <c r="D2406" s="76" t="s">
        <v>94</v>
      </c>
      <c r="E2406" s="76" t="s">
        <v>115</v>
      </c>
      <c r="F2406" s="77"/>
      <c r="G2406" s="77" t="n">
        <v>4</v>
      </c>
      <c r="H2406" s="77" t="n">
        <v>0</v>
      </c>
      <c r="I2406" s="76" t="n">
        <f aca="false">IF(AND(ISNUMBER(G2406),ISNUMBER(H2406)),MAX(G2406-H2406,0),"")</f>
        <v>4</v>
      </c>
      <c r="J2406" s="78" t="n">
        <f aca="false">IF(AND(ISNUMBER(G2406),ISNUMBER(H2406)),IF(G2406&gt;0,H2406/G2406,""),"")</f>
        <v>0</v>
      </c>
      <c r="K2406" s="77"/>
      <c r="L2406" s="76" t="str">
        <f aca="false">IF(OR(G2406="",H2406=""),"Data tidak lengkap",IF(AND(G2406=0,H2406=0),IF(AND(F2406="",K2406=""),"Tidak dibuka","Tutup"),IF(H2406&gt;G2406,"Lebih kapasitas",IF(H2406=G2406,"Penuh",IF(H2406=0,IF(F2406="","Slot kosong","Belum terisi"),"Sebagian")))))</f>
        <v>Slot kosong</v>
      </c>
      <c r="M2406" s="79" t="str">
        <f aca="false">IF(L2406="Tidak dibuka","–",IF(F2406="","(tanpa age group)",F2406)&amp;"  "&amp;IF(H2406="","?",H2406)&amp;"/"&amp;IF(G2406="","?",G2406)&amp;CHAR(10)&amp;IF(K2406="","coach: –","coach: "&amp;K2406))</f>
        <v>(tanpa age group)  0/4
coach: –</v>
      </c>
    </row>
    <row r="2407" customFormat="false" ht="22.35" hidden="false" customHeight="false" outlineLevel="0" collapsed="false">
      <c r="A2407" s="76" t="str">
        <f aca="false">B2407&amp;"|"&amp;C2407&amp;"|"&amp;D2407&amp;"|"&amp;E2407</f>
        <v>HIB|5|Jumat|13:15</v>
      </c>
      <c r="B2407" s="76" t="s">
        <v>71</v>
      </c>
      <c r="C2407" s="76" t="n">
        <v>5</v>
      </c>
      <c r="D2407" s="76" t="s">
        <v>94</v>
      </c>
      <c r="E2407" s="76" t="s">
        <v>116</v>
      </c>
      <c r="F2407" s="77"/>
      <c r="G2407" s="77" t="n">
        <v>4</v>
      </c>
      <c r="H2407" s="77" t="n">
        <v>0</v>
      </c>
      <c r="I2407" s="76" t="n">
        <f aca="false">IF(AND(ISNUMBER(G2407),ISNUMBER(H2407)),MAX(G2407-H2407,0),"")</f>
        <v>4</v>
      </c>
      <c r="J2407" s="78" t="n">
        <f aca="false">IF(AND(ISNUMBER(G2407),ISNUMBER(H2407)),IF(G2407&gt;0,H2407/G2407,""),"")</f>
        <v>0</v>
      </c>
      <c r="K2407" s="77"/>
      <c r="L2407" s="76" t="str">
        <f aca="false">IF(OR(G2407="",H2407=""),"Data tidak lengkap",IF(AND(G2407=0,H2407=0),IF(AND(F2407="",K2407=""),"Tidak dibuka","Tutup"),IF(H2407&gt;G2407,"Lebih kapasitas",IF(H2407=G2407,"Penuh",IF(H2407=0,IF(F2407="","Slot kosong","Belum terisi"),"Sebagian")))))</f>
        <v>Slot kosong</v>
      </c>
      <c r="M2407" s="79" t="str">
        <f aca="false">IF(L2407="Tidak dibuka","–",IF(F2407="","(tanpa age group)",F2407)&amp;"  "&amp;IF(H2407="","?",H2407)&amp;"/"&amp;IF(G2407="","?",G2407)&amp;CHAR(10)&amp;IF(K2407="","coach: –","coach: "&amp;K2407))</f>
        <v>(tanpa age group)  0/4
coach: –</v>
      </c>
    </row>
    <row r="2408" customFormat="false" ht="22.35" hidden="false" customHeight="false" outlineLevel="0" collapsed="false">
      <c r="A2408" s="76" t="str">
        <f aca="false">B2408&amp;"|"&amp;C2408&amp;"|"&amp;D2408&amp;"|"&amp;E2408</f>
        <v>HIB|5|Jumat|14:00</v>
      </c>
      <c r="B2408" s="76" t="s">
        <v>71</v>
      </c>
      <c r="C2408" s="76" t="n">
        <v>5</v>
      </c>
      <c r="D2408" s="76" t="s">
        <v>94</v>
      </c>
      <c r="E2408" s="76" t="s">
        <v>117</v>
      </c>
      <c r="F2408" s="77"/>
      <c r="G2408" s="77" t="n">
        <v>4</v>
      </c>
      <c r="H2408" s="77" t="n">
        <v>0</v>
      </c>
      <c r="I2408" s="76" t="n">
        <f aca="false">IF(AND(ISNUMBER(G2408),ISNUMBER(H2408)),MAX(G2408-H2408,0),"")</f>
        <v>4</v>
      </c>
      <c r="J2408" s="78" t="n">
        <f aca="false">IF(AND(ISNUMBER(G2408),ISNUMBER(H2408)),IF(G2408&gt;0,H2408/G2408,""),"")</f>
        <v>0</v>
      </c>
      <c r="K2408" s="77"/>
      <c r="L2408" s="76" t="str">
        <f aca="false">IF(OR(G2408="",H2408=""),"Data tidak lengkap",IF(AND(G2408=0,H2408=0),IF(AND(F2408="",K2408=""),"Tidak dibuka","Tutup"),IF(H2408&gt;G2408,"Lebih kapasitas",IF(H2408=G2408,"Penuh",IF(H2408=0,IF(F2408="","Slot kosong","Belum terisi"),"Sebagian")))))</f>
        <v>Slot kosong</v>
      </c>
      <c r="M2408" s="79" t="str">
        <f aca="false">IF(L2408="Tidak dibuka","–",IF(F2408="","(tanpa age group)",F2408)&amp;"  "&amp;IF(H2408="","?",H2408)&amp;"/"&amp;IF(G2408="","?",G2408)&amp;CHAR(10)&amp;IF(K2408="","coach: –","coach: "&amp;K2408))</f>
        <v>(tanpa age group)  0/4
coach: –</v>
      </c>
    </row>
    <row r="2409" customFormat="false" ht="22.35" hidden="false" customHeight="false" outlineLevel="0" collapsed="false">
      <c r="A2409" s="76" t="str">
        <f aca="false">B2409&amp;"|"&amp;C2409&amp;"|"&amp;D2409&amp;"|"&amp;E2409</f>
        <v>HIB|5|Jumat|14:45</v>
      </c>
      <c r="B2409" s="76" t="s">
        <v>71</v>
      </c>
      <c r="C2409" s="76" t="n">
        <v>5</v>
      </c>
      <c r="D2409" s="76" t="s">
        <v>94</v>
      </c>
      <c r="E2409" s="76" t="s">
        <v>118</v>
      </c>
      <c r="F2409" s="77"/>
      <c r="G2409" s="77" t="n">
        <v>4</v>
      </c>
      <c r="H2409" s="77" t="n">
        <v>0</v>
      </c>
      <c r="I2409" s="76" t="n">
        <f aca="false">IF(AND(ISNUMBER(G2409),ISNUMBER(H2409)),MAX(G2409-H2409,0),"")</f>
        <v>4</v>
      </c>
      <c r="J2409" s="78" t="n">
        <f aca="false">IF(AND(ISNUMBER(G2409),ISNUMBER(H2409)),IF(G2409&gt;0,H2409/G2409,""),"")</f>
        <v>0</v>
      </c>
      <c r="K2409" s="77"/>
      <c r="L2409" s="76" t="str">
        <f aca="false">IF(OR(G2409="",H2409=""),"Data tidak lengkap",IF(AND(G2409=0,H2409=0),IF(AND(F2409="",K2409=""),"Tidak dibuka","Tutup"),IF(H2409&gt;G2409,"Lebih kapasitas",IF(H2409=G2409,"Penuh",IF(H2409=0,IF(F2409="","Slot kosong","Belum terisi"),"Sebagian")))))</f>
        <v>Slot kosong</v>
      </c>
      <c r="M2409" s="79" t="str">
        <f aca="false">IF(L2409="Tidak dibuka","–",IF(F2409="","(tanpa age group)",F2409)&amp;"  "&amp;IF(H2409="","?",H2409)&amp;"/"&amp;IF(G2409="","?",G2409)&amp;CHAR(10)&amp;IF(K2409="","coach: –","coach: "&amp;K2409))</f>
        <v>(tanpa age group)  0/4
coach: –</v>
      </c>
    </row>
    <row r="2410" customFormat="false" ht="22.35" hidden="false" customHeight="false" outlineLevel="0" collapsed="false">
      <c r="A2410" s="76" t="str">
        <f aca="false">B2410&amp;"|"&amp;C2410&amp;"|"&amp;D2410&amp;"|"&amp;E2410</f>
        <v>HIB|5|Jumat|15:30</v>
      </c>
      <c r="B2410" s="76" t="s">
        <v>71</v>
      </c>
      <c r="C2410" s="76" t="n">
        <v>5</v>
      </c>
      <c r="D2410" s="76" t="s">
        <v>94</v>
      </c>
      <c r="E2410" s="76" t="s">
        <v>119</v>
      </c>
      <c r="F2410" s="77"/>
      <c r="G2410" s="77" t="n">
        <v>4</v>
      </c>
      <c r="H2410" s="77" t="n">
        <v>0</v>
      </c>
      <c r="I2410" s="76" t="n">
        <f aca="false">IF(AND(ISNUMBER(G2410),ISNUMBER(H2410)),MAX(G2410-H2410,0),"")</f>
        <v>4</v>
      </c>
      <c r="J2410" s="78" t="n">
        <f aca="false">IF(AND(ISNUMBER(G2410),ISNUMBER(H2410)),IF(G2410&gt;0,H2410/G2410,""),"")</f>
        <v>0</v>
      </c>
      <c r="K2410" s="77"/>
      <c r="L2410" s="76" t="str">
        <f aca="false">IF(OR(G2410="",H2410=""),"Data tidak lengkap",IF(AND(G2410=0,H2410=0),IF(AND(F2410="",K2410=""),"Tidak dibuka","Tutup"),IF(H2410&gt;G2410,"Lebih kapasitas",IF(H2410=G2410,"Penuh",IF(H2410=0,IF(F2410="","Slot kosong","Belum terisi"),"Sebagian")))))</f>
        <v>Slot kosong</v>
      </c>
      <c r="M2410" s="79" t="str">
        <f aca="false">IF(L2410="Tidak dibuka","–",IF(F2410="","(tanpa age group)",F2410)&amp;"  "&amp;IF(H2410="","?",H2410)&amp;"/"&amp;IF(G2410="","?",G2410)&amp;CHAR(10)&amp;IF(K2410="","coach: –","coach: "&amp;K2410))</f>
        <v>(tanpa age group)  0/4
coach: –</v>
      </c>
    </row>
    <row r="2411" customFormat="false" ht="22.35" hidden="false" customHeight="false" outlineLevel="0" collapsed="false">
      <c r="A2411" s="76" t="str">
        <f aca="false">B2411&amp;"|"&amp;C2411&amp;"|"&amp;D2411&amp;"|"&amp;E2411</f>
        <v>HIB|5|Jumat|16:15</v>
      </c>
      <c r="B2411" s="76" t="s">
        <v>71</v>
      </c>
      <c r="C2411" s="76" t="n">
        <v>5</v>
      </c>
      <c r="D2411" s="76" t="s">
        <v>94</v>
      </c>
      <c r="E2411" s="76" t="s">
        <v>120</v>
      </c>
      <c r="F2411" s="77"/>
      <c r="G2411" s="77" t="n">
        <v>4</v>
      </c>
      <c r="H2411" s="77" t="n">
        <v>0</v>
      </c>
      <c r="I2411" s="76" t="n">
        <f aca="false">IF(AND(ISNUMBER(G2411),ISNUMBER(H2411)),MAX(G2411-H2411,0),"")</f>
        <v>4</v>
      </c>
      <c r="J2411" s="78" t="n">
        <f aca="false">IF(AND(ISNUMBER(G2411),ISNUMBER(H2411)),IF(G2411&gt;0,H2411/G2411,""),"")</f>
        <v>0</v>
      </c>
      <c r="K2411" s="77"/>
      <c r="L2411" s="76" t="str">
        <f aca="false">IF(OR(G2411="",H2411=""),"Data tidak lengkap",IF(AND(G2411=0,H2411=0),IF(AND(F2411="",K2411=""),"Tidak dibuka","Tutup"),IF(H2411&gt;G2411,"Lebih kapasitas",IF(H2411=G2411,"Penuh",IF(H2411=0,IF(F2411="","Slot kosong","Belum terisi"),"Sebagian")))))</f>
        <v>Slot kosong</v>
      </c>
      <c r="M2411" s="79" t="str">
        <f aca="false">IF(L2411="Tidak dibuka","–",IF(F2411="","(tanpa age group)",F2411)&amp;"  "&amp;IF(H2411="","?",H2411)&amp;"/"&amp;IF(G2411="","?",G2411)&amp;CHAR(10)&amp;IF(K2411="","coach: –","coach: "&amp;K2411))</f>
        <v>(tanpa age group)  0/4
coach: –</v>
      </c>
    </row>
    <row r="2412" customFormat="false" ht="22.35" hidden="false" customHeight="false" outlineLevel="0" collapsed="false">
      <c r="A2412" s="76" t="str">
        <f aca="false">B2412&amp;"|"&amp;C2412&amp;"|"&amp;D2412&amp;"|"&amp;E2412</f>
        <v>HIB|5|Jumat|17:00</v>
      </c>
      <c r="B2412" s="76" t="s">
        <v>71</v>
      </c>
      <c r="C2412" s="76" t="n">
        <v>5</v>
      </c>
      <c r="D2412" s="76" t="s">
        <v>94</v>
      </c>
      <c r="E2412" s="76" t="s">
        <v>121</v>
      </c>
      <c r="F2412" s="77"/>
      <c r="G2412" s="77" t="n">
        <v>4</v>
      </c>
      <c r="H2412" s="77" t="n">
        <v>0</v>
      </c>
      <c r="I2412" s="76" t="n">
        <f aca="false">IF(AND(ISNUMBER(G2412),ISNUMBER(H2412)),MAX(G2412-H2412,0),"")</f>
        <v>4</v>
      </c>
      <c r="J2412" s="78" t="n">
        <f aca="false">IF(AND(ISNUMBER(G2412),ISNUMBER(H2412)),IF(G2412&gt;0,H2412/G2412,""),"")</f>
        <v>0</v>
      </c>
      <c r="K2412" s="77"/>
      <c r="L2412" s="76" t="str">
        <f aca="false">IF(OR(G2412="",H2412=""),"Data tidak lengkap",IF(AND(G2412=0,H2412=0),IF(AND(F2412="",K2412=""),"Tidak dibuka","Tutup"),IF(H2412&gt;G2412,"Lebih kapasitas",IF(H2412=G2412,"Penuh",IF(H2412=0,IF(F2412="","Slot kosong","Belum terisi"),"Sebagian")))))</f>
        <v>Slot kosong</v>
      </c>
      <c r="M2412" s="79" t="str">
        <f aca="false">IF(L2412="Tidak dibuka","–",IF(F2412="","(tanpa age group)",F2412)&amp;"  "&amp;IF(H2412="","?",H2412)&amp;"/"&amp;IF(G2412="","?",G2412)&amp;CHAR(10)&amp;IF(K2412="","coach: –","coach: "&amp;K2412))</f>
        <v>(tanpa age group)  0/4
coach: –</v>
      </c>
    </row>
    <row r="2413" customFormat="false" ht="22.35" hidden="false" customHeight="false" outlineLevel="0" collapsed="false">
      <c r="A2413" s="76" t="str">
        <f aca="false">B2413&amp;"|"&amp;C2413&amp;"|"&amp;D2413&amp;"|"&amp;E2413</f>
        <v>HIB|5|Sabtu|08:00</v>
      </c>
      <c r="B2413" s="76" t="s">
        <v>71</v>
      </c>
      <c r="C2413" s="76" t="n">
        <v>5</v>
      </c>
      <c r="D2413" s="76" t="s">
        <v>95</v>
      </c>
      <c r="E2413" s="76" t="s">
        <v>110</v>
      </c>
      <c r="F2413" s="77"/>
      <c r="G2413" s="77" t="n">
        <v>4</v>
      </c>
      <c r="H2413" s="77" t="n">
        <v>0</v>
      </c>
      <c r="I2413" s="76" t="n">
        <f aca="false">IF(AND(ISNUMBER(G2413),ISNUMBER(H2413)),MAX(G2413-H2413,0),"")</f>
        <v>4</v>
      </c>
      <c r="J2413" s="78" t="n">
        <f aca="false">IF(AND(ISNUMBER(G2413),ISNUMBER(H2413)),IF(G2413&gt;0,H2413/G2413,""),"")</f>
        <v>0</v>
      </c>
      <c r="K2413" s="77"/>
      <c r="L2413" s="76" t="str">
        <f aca="false">IF(OR(G2413="",H2413=""),"Data tidak lengkap",IF(AND(G2413=0,H2413=0),IF(AND(F2413="",K2413=""),"Tidak dibuka","Tutup"),IF(H2413&gt;G2413,"Lebih kapasitas",IF(H2413=G2413,"Penuh",IF(H2413=0,IF(F2413="","Slot kosong","Belum terisi"),"Sebagian")))))</f>
        <v>Slot kosong</v>
      </c>
      <c r="M2413" s="79" t="str">
        <f aca="false">IF(L2413="Tidak dibuka","–",IF(F2413="","(tanpa age group)",F2413)&amp;"  "&amp;IF(H2413="","?",H2413)&amp;"/"&amp;IF(G2413="","?",G2413)&amp;CHAR(10)&amp;IF(K2413="","coach: –","coach: "&amp;K2413))</f>
        <v>(tanpa age group)  0/4
coach: –</v>
      </c>
    </row>
    <row r="2414" customFormat="false" ht="22.35" hidden="false" customHeight="false" outlineLevel="0" collapsed="false">
      <c r="A2414" s="76" t="str">
        <f aca="false">B2414&amp;"|"&amp;C2414&amp;"|"&amp;D2414&amp;"|"&amp;E2414</f>
        <v>HIB|5|Sabtu|08:45</v>
      </c>
      <c r="B2414" s="76" t="s">
        <v>71</v>
      </c>
      <c r="C2414" s="76" t="n">
        <v>5</v>
      </c>
      <c r="D2414" s="76" t="s">
        <v>95</v>
      </c>
      <c r="E2414" s="76" t="s">
        <v>111</v>
      </c>
      <c r="F2414" s="77"/>
      <c r="G2414" s="77" t="n">
        <v>4</v>
      </c>
      <c r="H2414" s="77" t="n">
        <v>0</v>
      </c>
      <c r="I2414" s="76" t="n">
        <f aca="false">IF(AND(ISNUMBER(G2414),ISNUMBER(H2414)),MAX(G2414-H2414,0),"")</f>
        <v>4</v>
      </c>
      <c r="J2414" s="78" t="n">
        <f aca="false">IF(AND(ISNUMBER(G2414),ISNUMBER(H2414)),IF(G2414&gt;0,H2414/G2414,""),"")</f>
        <v>0</v>
      </c>
      <c r="K2414" s="77"/>
      <c r="L2414" s="76" t="str">
        <f aca="false">IF(OR(G2414="",H2414=""),"Data tidak lengkap",IF(AND(G2414=0,H2414=0),IF(AND(F2414="",K2414=""),"Tidak dibuka","Tutup"),IF(H2414&gt;G2414,"Lebih kapasitas",IF(H2414=G2414,"Penuh",IF(H2414=0,IF(F2414="","Slot kosong","Belum terisi"),"Sebagian")))))</f>
        <v>Slot kosong</v>
      </c>
      <c r="M2414" s="79" t="str">
        <f aca="false">IF(L2414="Tidak dibuka","–",IF(F2414="","(tanpa age group)",F2414)&amp;"  "&amp;IF(H2414="","?",H2414)&amp;"/"&amp;IF(G2414="","?",G2414)&amp;CHAR(10)&amp;IF(K2414="","coach: –","coach: "&amp;K2414))</f>
        <v>(tanpa age group)  0/4
coach: –</v>
      </c>
    </row>
    <row r="2415" customFormat="false" ht="22.35" hidden="false" customHeight="false" outlineLevel="0" collapsed="false">
      <c r="A2415" s="76" t="str">
        <f aca="false">B2415&amp;"|"&amp;C2415&amp;"|"&amp;D2415&amp;"|"&amp;E2415</f>
        <v>HIB|5|Sabtu|09:30</v>
      </c>
      <c r="B2415" s="76" t="s">
        <v>71</v>
      </c>
      <c r="C2415" s="76" t="n">
        <v>5</v>
      </c>
      <c r="D2415" s="76" t="s">
        <v>95</v>
      </c>
      <c r="E2415" s="76" t="s">
        <v>112</v>
      </c>
      <c r="F2415" s="77"/>
      <c r="G2415" s="77" t="n">
        <v>4</v>
      </c>
      <c r="H2415" s="77" t="n">
        <v>0</v>
      </c>
      <c r="I2415" s="76" t="n">
        <f aca="false">IF(AND(ISNUMBER(G2415),ISNUMBER(H2415)),MAX(G2415-H2415,0),"")</f>
        <v>4</v>
      </c>
      <c r="J2415" s="78" t="n">
        <f aca="false">IF(AND(ISNUMBER(G2415),ISNUMBER(H2415)),IF(G2415&gt;0,H2415/G2415,""),"")</f>
        <v>0</v>
      </c>
      <c r="K2415" s="77"/>
      <c r="L2415" s="76" t="str">
        <f aca="false">IF(OR(G2415="",H2415=""),"Data tidak lengkap",IF(AND(G2415=0,H2415=0),IF(AND(F2415="",K2415=""),"Tidak dibuka","Tutup"),IF(H2415&gt;G2415,"Lebih kapasitas",IF(H2415=G2415,"Penuh",IF(H2415=0,IF(F2415="","Slot kosong","Belum terisi"),"Sebagian")))))</f>
        <v>Slot kosong</v>
      </c>
      <c r="M2415" s="79" t="str">
        <f aca="false">IF(L2415="Tidak dibuka","–",IF(F2415="","(tanpa age group)",F2415)&amp;"  "&amp;IF(H2415="","?",H2415)&amp;"/"&amp;IF(G2415="","?",G2415)&amp;CHAR(10)&amp;IF(K2415="","coach: –","coach: "&amp;K2415))</f>
        <v>(tanpa age group)  0/4
coach: –</v>
      </c>
    </row>
    <row r="2416" customFormat="false" ht="22.35" hidden="false" customHeight="false" outlineLevel="0" collapsed="false">
      <c r="A2416" s="76" t="str">
        <f aca="false">B2416&amp;"|"&amp;C2416&amp;"|"&amp;D2416&amp;"|"&amp;E2416</f>
        <v>HIB|5|Sabtu|10:15</v>
      </c>
      <c r="B2416" s="76" t="s">
        <v>71</v>
      </c>
      <c r="C2416" s="76" t="n">
        <v>5</v>
      </c>
      <c r="D2416" s="76" t="s">
        <v>95</v>
      </c>
      <c r="E2416" s="76" t="s">
        <v>113</v>
      </c>
      <c r="F2416" s="77"/>
      <c r="G2416" s="77" t="n">
        <v>4</v>
      </c>
      <c r="H2416" s="77" t="n">
        <v>0</v>
      </c>
      <c r="I2416" s="76" t="n">
        <f aca="false">IF(AND(ISNUMBER(G2416),ISNUMBER(H2416)),MAX(G2416-H2416,0),"")</f>
        <v>4</v>
      </c>
      <c r="J2416" s="78" t="n">
        <f aca="false">IF(AND(ISNUMBER(G2416),ISNUMBER(H2416)),IF(G2416&gt;0,H2416/G2416,""),"")</f>
        <v>0</v>
      </c>
      <c r="K2416" s="77"/>
      <c r="L2416" s="76" t="str">
        <f aca="false">IF(OR(G2416="",H2416=""),"Data tidak lengkap",IF(AND(G2416=0,H2416=0),IF(AND(F2416="",K2416=""),"Tidak dibuka","Tutup"),IF(H2416&gt;G2416,"Lebih kapasitas",IF(H2416=G2416,"Penuh",IF(H2416=0,IF(F2416="","Slot kosong","Belum terisi"),"Sebagian")))))</f>
        <v>Slot kosong</v>
      </c>
      <c r="M2416" s="79" t="str">
        <f aca="false">IF(L2416="Tidak dibuka","–",IF(F2416="","(tanpa age group)",F2416)&amp;"  "&amp;IF(H2416="","?",H2416)&amp;"/"&amp;IF(G2416="","?",G2416)&amp;CHAR(10)&amp;IF(K2416="","coach: –","coach: "&amp;K2416))</f>
        <v>(tanpa age group)  0/4
coach: –</v>
      </c>
    </row>
    <row r="2417" customFormat="false" ht="22.35" hidden="false" customHeight="false" outlineLevel="0" collapsed="false">
      <c r="A2417" s="76" t="str">
        <f aca="false">B2417&amp;"|"&amp;C2417&amp;"|"&amp;D2417&amp;"|"&amp;E2417</f>
        <v>HIB|5|Sabtu|11:00</v>
      </c>
      <c r="B2417" s="76" t="s">
        <v>71</v>
      </c>
      <c r="C2417" s="76" t="n">
        <v>5</v>
      </c>
      <c r="D2417" s="76" t="s">
        <v>95</v>
      </c>
      <c r="E2417" s="76" t="s">
        <v>114</v>
      </c>
      <c r="F2417" s="77"/>
      <c r="G2417" s="77" t="n">
        <v>4</v>
      </c>
      <c r="H2417" s="77" t="n">
        <v>0</v>
      </c>
      <c r="I2417" s="76" t="n">
        <f aca="false">IF(AND(ISNUMBER(G2417),ISNUMBER(H2417)),MAX(G2417-H2417,0),"")</f>
        <v>4</v>
      </c>
      <c r="J2417" s="78" t="n">
        <f aca="false">IF(AND(ISNUMBER(G2417),ISNUMBER(H2417)),IF(G2417&gt;0,H2417/G2417,""),"")</f>
        <v>0</v>
      </c>
      <c r="K2417" s="77"/>
      <c r="L2417" s="76" t="str">
        <f aca="false">IF(OR(G2417="",H2417=""),"Data tidak lengkap",IF(AND(G2417=0,H2417=0),IF(AND(F2417="",K2417=""),"Tidak dibuka","Tutup"),IF(H2417&gt;G2417,"Lebih kapasitas",IF(H2417=G2417,"Penuh",IF(H2417=0,IF(F2417="","Slot kosong","Belum terisi"),"Sebagian")))))</f>
        <v>Slot kosong</v>
      </c>
      <c r="M2417" s="79" t="str">
        <f aca="false">IF(L2417="Tidak dibuka","–",IF(F2417="","(tanpa age group)",F2417)&amp;"  "&amp;IF(H2417="","?",H2417)&amp;"/"&amp;IF(G2417="","?",G2417)&amp;CHAR(10)&amp;IF(K2417="","coach: –","coach: "&amp;K2417))</f>
        <v>(tanpa age group)  0/4
coach: –</v>
      </c>
    </row>
    <row r="2418" customFormat="false" ht="22.35" hidden="false" customHeight="false" outlineLevel="0" collapsed="false">
      <c r="A2418" s="76" t="str">
        <f aca="false">B2418&amp;"|"&amp;C2418&amp;"|"&amp;D2418&amp;"|"&amp;E2418</f>
        <v>HIB|5|Sabtu|11:45</v>
      </c>
      <c r="B2418" s="76" t="s">
        <v>71</v>
      </c>
      <c r="C2418" s="76" t="n">
        <v>5</v>
      </c>
      <c r="D2418" s="76" t="s">
        <v>95</v>
      </c>
      <c r="E2418" s="76" t="s">
        <v>115</v>
      </c>
      <c r="F2418" s="77"/>
      <c r="G2418" s="77" t="n">
        <v>4</v>
      </c>
      <c r="H2418" s="77" t="n">
        <v>0</v>
      </c>
      <c r="I2418" s="76" t="n">
        <f aca="false">IF(AND(ISNUMBER(G2418),ISNUMBER(H2418)),MAX(G2418-H2418,0),"")</f>
        <v>4</v>
      </c>
      <c r="J2418" s="78" t="n">
        <f aca="false">IF(AND(ISNUMBER(G2418),ISNUMBER(H2418)),IF(G2418&gt;0,H2418/G2418,""),"")</f>
        <v>0</v>
      </c>
      <c r="K2418" s="77"/>
      <c r="L2418" s="76" t="str">
        <f aca="false">IF(OR(G2418="",H2418=""),"Data tidak lengkap",IF(AND(G2418=0,H2418=0),IF(AND(F2418="",K2418=""),"Tidak dibuka","Tutup"),IF(H2418&gt;G2418,"Lebih kapasitas",IF(H2418=G2418,"Penuh",IF(H2418=0,IF(F2418="","Slot kosong","Belum terisi"),"Sebagian")))))</f>
        <v>Slot kosong</v>
      </c>
      <c r="M2418" s="79" t="str">
        <f aca="false">IF(L2418="Tidak dibuka","–",IF(F2418="","(tanpa age group)",F2418)&amp;"  "&amp;IF(H2418="","?",H2418)&amp;"/"&amp;IF(G2418="","?",G2418)&amp;CHAR(10)&amp;IF(K2418="","coach: –","coach: "&amp;K2418))</f>
        <v>(tanpa age group)  0/4
coach: –</v>
      </c>
    </row>
    <row r="2419" customFormat="false" ht="22.35" hidden="false" customHeight="false" outlineLevel="0" collapsed="false">
      <c r="A2419" s="76" t="str">
        <f aca="false">B2419&amp;"|"&amp;C2419&amp;"|"&amp;D2419&amp;"|"&amp;E2419</f>
        <v>HIB|5|Sabtu|13:15</v>
      </c>
      <c r="B2419" s="76" t="s">
        <v>71</v>
      </c>
      <c r="C2419" s="76" t="n">
        <v>5</v>
      </c>
      <c r="D2419" s="76" t="s">
        <v>95</v>
      </c>
      <c r="E2419" s="76" t="s">
        <v>116</v>
      </c>
      <c r="F2419" s="77"/>
      <c r="G2419" s="77" t="n">
        <v>4</v>
      </c>
      <c r="H2419" s="77" t="n">
        <v>0</v>
      </c>
      <c r="I2419" s="76" t="n">
        <f aca="false">IF(AND(ISNUMBER(G2419),ISNUMBER(H2419)),MAX(G2419-H2419,0),"")</f>
        <v>4</v>
      </c>
      <c r="J2419" s="78" t="n">
        <f aca="false">IF(AND(ISNUMBER(G2419),ISNUMBER(H2419)),IF(G2419&gt;0,H2419/G2419,""),"")</f>
        <v>0</v>
      </c>
      <c r="K2419" s="77"/>
      <c r="L2419" s="76" t="str">
        <f aca="false">IF(OR(G2419="",H2419=""),"Data tidak lengkap",IF(AND(G2419=0,H2419=0),IF(AND(F2419="",K2419=""),"Tidak dibuka","Tutup"),IF(H2419&gt;G2419,"Lebih kapasitas",IF(H2419=G2419,"Penuh",IF(H2419=0,IF(F2419="","Slot kosong","Belum terisi"),"Sebagian")))))</f>
        <v>Slot kosong</v>
      </c>
      <c r="M2419" s="79" t="str">
        <f aca="false">IF(L2419="Tidak dibuka","–",IF(F2419="","(tanpa age group)",F2419)&amp;"  "&amp;IF(H2419="","?",H2419)&amp;"/"&amp;IF(G2419="","?",G2419)&amp;CHAR(10)&amp;IF(K2419="","coach: –","coach: "&amp;K2419))</f>
        <v>(tanpa age group)  0/4
coach: –</v>
      </c>
    </row>
    <row r="2420" customFormat="false" ht="22.35" hidden="false" customHeight="false" outlineLevel="0" collapsed="false">
      <c r="A2420" s="76" t="str">
        <f aca="false">B2420&amp;"|"&amp;C2420&amp;"|"&amp;D2420&amp;"|"&amp;E2420</f>
        <v>HIB|5|Sabtu|14:00</v>
      </c>
      <c r="B2420" s="76" t="s">
        <v>71</v>
      </c>
      <c r="C2420" s="76" t="n">
        <v>5</v>
      </c>
      <c r="D2420" s="76" t="s">
        <v>95</v>
      </c>
      <c r="E2420" s="76" t="s">
        <v>117</v>
      </c>
      <c r="F2420" s="77"/>
      <c r="G2420" s="77" t="n">
        <v>4</v>
      </c>
      <c r="H2420" s="77" t="n">
        <v>0</v>
      </c>
      <c r="I2420" s="76" t="n">
        <f aca="false">IF(AND(ISNUMBER(G2420),ISNUMBER(H2420)),MAX(G2420-H2420,0),"")</f>
        <v>4</v>
      </c>
      <c r="J2420" s="78" t="n">
        <f aca="false">IF(AND(ISNUMBER(G2420),ISNUMBER(H2420)),IF(G2420&gt;0,H2420/G2420,""),"")</f>
        <v>0</v>
      </c>
      <c r="K2420" s="77"/>
      <c r="L2420" s="76" t="str">
        <f aca="false">IF(OR(G2420="",H2420=""),"Data tidak lengkap",IF(AND(G2420=0,H2420=0),IF(AND(F2420="",K2420=""),"Tidak dibuka","Tutup"),IF(H2420&gt;G2420,"Lebih kapasitas",IF(H2420=G2420,"Penuh",IF(H2420=0,IF(F2420="","Slot kosong","Belum terisi"),"Sebagian")))))</f>
        <v>Slot kosong</v>
      </c>
      <c r="M2420" s="79" t="str">
        <f aca="false">IF(L2420="Tidak dibuka","–",IF(F2420="","(tanpa age group)",F2420)&amp;"  "&amp;IF(H2420="","?",H2420)&amp;"/"&amp;IF(G2420="","?",G2420)&amp;CHAR(10)&amp;IF(K2420="","coach: –","coach: "&amp;K2420))</f>
        <v>(tanpa age group)  0/4
coach: –</v>
      </c>
    </row>
    <row r="2421" customFormat="false" ht="22.35" hidden="false" customHeight="false" outlineLevel="0" collapsed="false">
      <c r="A2421" s="76" t="str">
        <f aca="false">B2421&amp;"|"&amp;C2421&amp;"|"&amp;D2421&amp;"|"&amp;E2421</f>
        <v>HIB|5|Sabtu|14:45</v>
      </c>
      <c r="B2421" s="76" t="s">
        <v>71</v>
      </c>
      <c r="C2421" s="76" t="n">
        <v>5</v>
      </c>
      <c r="D2421" s="76" t="s">
        <v>95</v>
      </c>
      <c r="E2421" s="76" t="s">
        <v>118</v>
      </c>
      <c r="F2421" s="77"/>
      <c r="G2421" s="77" t="n">
        <v>4</v>
      </c>
      <c r="H2421" s="77" t="n">
        <v>0</v>
      </c>
      <c r="I2421" s="76" t="n">
        <f aca="false">IF(AND(ISNUMBER(G2421),ISNUMBER(H2421)),MAX(G2421-H2421,0),"")</f>
        <v>4</v>
      </c>
      <c r="J2421" s="78" t="n">
        <f aca="false">IF(AND(ISNUMBER(G2421),ISNUMBER(H2421)),IF(G2421&gt;0,H2421/G2421,""),"")</f>
        <v>0</v>
      </c>
      <c r="K2421" s="77"/>
      <c r="L2421" s="76" t="str">
        <f aca="false">IF(OR(G2421="",H2421=""),"Data tidak lengkap",IF(AND(G2421=0,H2421=0),IF(AND(F2421="",K2421=""),"Tidak dibuka","Tutup"),IF(H2421&gt;G2421,"Lebih kapasitas",IF(H2421=G2421,"Penuh",IF(H2421=0,IF(F2421="","Slot kosong","Belum terisi"),"Sebagian")))))</f>
        <v>Slot kosong</v>
      </c>
      <c r="M2421" s="79" t="str">
        <f aca="false">IF(L2421="Tidak dibuka","–",IF(F2421="","(tanpa age group)",F2421)&amp;"  "&amp;IF(H2421="","?",H2421)&amp;"/"&amp;IF(G2421="","?",G2421)&amp;CHAR(10)&amp;IF(K2421="","coach: –","coach: "&amp;K2421))</f>
        <v>(tanpa age group)  0/4
coach: –</v>
      </c>
    </row>
    <row r="2422" customFormat="false" ht="22.35" hidden="false" customHeight="false" outlineLevel="0" collapsed="false">
      <c r="A2422" s="76" t="str">
        <f aca="false">B2422&amp;"|"&amp;C2422&amp;"|"&amp;D2422&amp;"|"&amp;E2422</f>
        <v>HIB|5|Sabtu|15:30</v>
      </c>
      <c r="B2422" s="76" t="s">
        <v>71</v>
      </c>
      <c r="C2422" s="76" t="n">
        <v>5</v>
      </c>
      <c r="D2422" s="76" t="s">
        <v>95</v>
      </c>
      <c r="E2422" s="76" t="s">
        <v>119</v>
      </c>
      <c r="F2422" s="77"/>
      <c r="G2422" s="77" t="n">
        <v>4</v>
      </c>
      <c r="H2422" s="77" t="n">
        <v>0</v>
      </c>
      <c r="I2422" s="76" t="n">
        <f aca="false">IF(AND(ISNUMBER(G2422),ISNUMBER(H2422)),MAX(G2422-H2422,0),"")</f>
        <v>4</v>
      </c>
      <c r="J2422" s="78" t="n">
        <f aca="false">IF(AND(ISNUMBER(G2422),ISNUMBER(H2422)),IF(G2422&gt;0,H2422/G2422,""),"")</f>
        <v>0</v>
      </c>
      <c r="K2422" s="77"/>
      <c r="L2422" s="76" t="str">
        <f aca="false">IF(OR(G2422="",H2422=""),"Data tidak lengkap",IF(AND(G2422=0,H2422=0),IF(AND(F2422="",K2422=""),"Tidak dibuka","Tutup"),IF(H2422&gt;G2422,"Lebih kapasitas",IF(H2422=G2422,"Penuh",IF(H2422=0,IF(F2422="","Slot kosong","Belum terisi"),"Sebagian")))))</f>
        <v>Slot kosong</v>
      </c>
      <c r="M2422" s="79" t="str">
        <f aca="false">IF(L2422="Tidak dibuka","–",IF(F2422="","(tanpa age group)",F2422)&amp;"  "&amp;IF(H2422="","?",H2422)&amp;"/"&amp;IF(G2422="","?",G2422)&amp;CHAR(10)&amp;IF(K2422="","coach: –","coach: "&amp;K2422))</f>
        <v>(tanpa age group)  0/4
coach: –</v>
      </c>
    </row>
    <row r="2423" customFormat="false" ht="22.35" hidden="false" customHeight="false" outlineLevel="0" collapsed="false">
      <c r="A2423" s="76" t="str">
        <f aca="false">B2423&amp;"|"&amp;C2423&amp;"|"&amp;D2423&amp;"|"&amp;E2423</f>
        <v>HIB|5|Sabtu|16:15</v>
      </c>
      <c r="B2423" s="76" t="s">
        <v>71</v>
      </c>
      <c r="C2423" s="76" t="n">
        <v>5</v>
      </c>
      <c r="D2423" s="76" t="s">
        <v>95</v>
      </c>
      <c r="E2423" s="76" t="s">
        <v>120</v>
      </c>
      <c r="F2423" s="77"/>
      <c r="G2423" s="77" t="n">
        <v>4</v>
      </c>
      <c r="H2423" s="77" t="n">
        <v>0</v>
      </c>
      <c r="I2423" s="76" t="n">
        <f aca="false">IF(AND(ISNUMBER(G2423),ISNUMBER(H2423)),MAX(G2423-H2423,0),"")</f>
        <v>4</v>
      </c>
      <c r="J2423" s="78" t="n">
        <f aca="false">IF(AND(ISNUMBER(G2423),ISNUMBER(H2423)),IF(G2423&gt;0,H2423/G2423,""),"")</f>
        <v>0</v>
      </c>
      <c r="K2423" s="77"/>
      <c r="L2423" s="76" t="str">
        <f aca="false">IF(OR(G2423="",H2423=""),"Data tidak lengkap",IF(AND(G2423=0,H2423=0),IF(AND(F2423="",K2423=""),"Tidak dibuka","Tutup"),IF(H2423&gt;G2423,"Lebih kapasitas",IF(H2423=G2423,"Penuh",IF(H2423=0,IF(F2423="","Slot kosong","Belum terisi"),"Sebagian")))))</f>
        <v>Slot kosong</v>
      </c>
      <c r="M2423" s="79" t="str">
        <f aca="false">IF(L2423="Tidak dibuka","–",IF(F2423="","(tanpa age group)",F2423)&amp;"  "&amp;IF(H2423="","?",H2423)&amp;"/"&amp;IF(G2423="","?",G2423)&amp;CHAR(10)&amp;IF(K2423="","coach: –","coach: "&amp;K2423))</f>
        <v>(tanpa age group)  0/4
coach: –</v>
      </c>
    </row>
    <row r="2424" customFormat="false" ht="22.35" hidden="false" customHeight="false" outlineLevel="0" collapsed="false">
      <c r="A2424" s="76" t="str">
        <f aca="false">B2424&amp;"|"&amp;C2424&amp;"|"&amp;D2424&amp;"|"&amp;E2424</f>
        <v>HIB|5|Sabtu|17:00</v>
      </c>
      <c r="B2424" s="76" t="s">
        <v>71</v>
      </c>
      <c r="C2424" s="76" t="n">
        <v>5</v>
      </c>
      <c r="D2424" s="76" t="s">
        <v>95</v>
      </c>
      <c r="E2424" s="76" t="s">
        <v>121</v>
      </c>
      <c r="F2424" s="77"/>
      <c r="G2424" s="77" t="n">
        <v>4</v>
      </c>
      <c r="H2424" s="77" t="n">
        <v>0</v>
      </c>
      <c r="I2424" s="76" t="n">
        <f aca="false">IF(AND(ISNUMBER(G2424),ISNUMBER(H2424)),MAX(G2424-H2424,0),"")</f>
        <v>4</v>
      </c>
      <c r="J2424" s="78" t="n">
        <f aca="false">IF(AND(ISNUMBER(G2424),ISNUMBER(H2424)),IF(G2424&gt;0,H2424/G2424,""),"")</f>
        <v>0</v>
      </c>
      <c r="K2424" s="77"/>
      <c r="L2424" s="76" t="str">
        <f aca="false">IF(OR(G2424="",H2424=""),"Data tidak lengkap",IF(AND(G2424=0,H2424=0),IF(AND(F2424="",K2424=""),"Tidak dibuka","Tutup"),IF(H2424&gt;G2424,"Lebih kapasitas",IF(H2424=G2424,"Penuh",IF(H2424=0,IF(F2424="","Slot kosong","Belum terisi"),"Sebagian")))))</f>
        <v>Slot kosong</v>
      </c>
      <c r="M2424" s="79" t="str">
        <f aca="false">IF(L2424="Tidak dibuka","–",IF(F2424="","(tanpa age group)",F2424)&amp;"  "&amp;IF(H2424="","?",H2424)&amp;"/"&amp;IF(G2424="","?",G2424)&amp;CHAR(10)&amp;IF(K2424="","coach: –","coach: "&amp;K2424))</f>
        <v>(tanpa age group)  0/4
coach: –</v>
      </c>
    </row>
    <row r="2425" customFormat="false" ht="22.35" hidden="false" customHeight="false" outlineLevel="0" collapsed="false">
      <c r="A2425" s="76" t="str">
        <f aca="false">B2425&amp;"|"&amp;C2425&amp;"|"&amp;D2425&amp;"|"&amp;E2425</f>
        <v>HIB|5|Minggu|08:00</v>
      </c>
      <c r="B2425" s="76" t="s">
        <v>71</v>
      </c>
      <c r="C2425" s="76" t="n">
        <v>5</v>
      </c>
      <c r="D2425" s="76" t="s">
        <v>78</v>
      </c>
      <c r="E2425" s="76" t="s">
        <v>110</v>
      </c>
      <c r="F2425" s="77"/>
      <c r="G2425" s="77" t="n">
        <v>4</v>
      </c>
      <c r="H2425" s="77" t="n">
        <v>0</v>
      </c>
      <c r="I2425" s="76" t="n">
        <f aca="false">IF(AND(ISNUMBER(G2425),ISNUMBER(H2425)),MAX(G2425-H2425,0),"")</f>
        <v>4</v>
      </c>
      <c r="J2425" s="78" t="n">
        <f aca="false">IF(AND(ISNUMBER(G2425),ISNUMBER(H2425)),IF(G2425&gt;0,H2425/G2425,""),"")</f>
        <v>0</v>
      </c>
      <c r="K2425" s="77"/>
      <c r="L2425" s="76" t="str">
        <f aca="false">IF(OR(G2425="",H2425=""),"Data tidak lengkap",IF(AND(G2425=0,H2425=0),IF(AND(F2425="",K2425=""),"Tidak dibuka","Tutup"),IF(H2425&gt;G2425,"Lebih kapasitas",IF(H2425=G2425,"Penuh",IF(H2425=0,IF(F2425="","Slot kosong","Belum terisi"),"Sebagian")))))</f>
        <v>Slot kosong</v>
      </c>
      <c r="M2425" s="79" t="str">
        <f aca="false">IF(L2425="Tidak dibuka","–",IF(F2425="","(tanpa age group)",F2425)&amp;"  "&amp;IF(H2425="","?",H2425)&amp;"/"&amp;IF(G2425="","?",G2425)&amp;CHAR(10)&amp;IF(K2425="","coach: –","coach: "&amp;K2425))</f>
        <v>(tanpa age group)  0/4
coach: –</v>
      </c>
    </row>
    <row r="2426" customFormat="false" ht="22.35" hidden="false" customHeight="false" outlineLevel="0" collapsed="false">
      <c r="A2426" s="76" t="str">
        <f aca="false">B2426&amp;"|"&amp;C2426&amp;"|"&amp;D2426&amp;"|"&amp;E2426</f>
        <v>HIB|5|Minggu|08:45</v>
      </c>
      <c r="B2426" s="76" t="s">
        <v>71</v>
      </c>
      <c r="C2426" s="76" t="n">
        <v>5</v>
      </c>
      <c r="D2426" s="76" t="s">
        <v>78</v>
      </c>
      <c r="E2426" s="76" t="s">
        <v>111</v>
      </c>
      <c r="F2426" s="77"/>
      <c r="G2426" s="77" t="n">
        <v>4</v>
      </c>
      <c r="H2426" s="77" t="n">
        <v>0</v>
      </c>
      <c r="I2426" s="76" t="n">
        <f aca="false">IF(AND(ISNUMBER(G2426),ISNUMBER(H2426)),MAX(G2426-H2426,0),"")</f>
        <v>4</v>
      </c>
      <c r="J2426" s="78" t="n">
        <f aca="false">IF(AND(ISNUMBER(G2426),ISNUMBER(H2426)),IF(G2426&gt;0,H2426/G2426,""),"")</f>
        <v>0</v>
      </c>
      <c r="K2426" s="77"/>
      <c r="L2426" s="76" t="str">
        <f aca="false">IF(OR(G2426="",H2426=""),"Data tidak lengkap",IF(AND(G2426=0,H2426=0),IF(AND(F2426="",K2426=""),"Tidak dibuka","Tutup"),IF(H2426&gt;G2426,"Lebih kapasitas",IF(H2426=G2426,"Penuh",IF(H2426=0,IF(F2426="","Slot kosong","Belum terisi"),"Sebagian")))))</f>
        <v>Slot kosong</v>
      </c>
      <c r="M2426" s="79" t="str">
        <f aca="false">IF(L2426="Tidak dibuka","–",IF(F2426="","(tanpa age group)",F2426)&amp;"  "&amp;IF(H2426="","?",H2426)&amp;"/"&amp;IF(G2426="","?",G2426)&amp;CHAR(10)&amp;IF(K2426="","coach: –","coach: "&amp;K2426))</f>
        <v>(tanpa age group)  0/4
coach: –</v>
      </c>
    </row>
    <row r="2427" customFormat="false" ht="22.35" hidden="false" customHeight="false" outlineLevel="0" collapsed="false">
      <c r="A2427" s="76" t="str">
        <f aca="false">B2427&amp;"|"&amp;C2427&amp;"|"&amp;D2427&amp;"|"&amp;E2427</f>
        <v>HIB|5|Minggu|09:30</v>
      </c>
      <c r="B2427" s="76" t="s">
        <v>71</v>
      </c>
      <c r="C2427" s="76" t="n">
        <v>5</v>
      </c>
      <c r="D2427" s="76" t="s">
        <v>78</v>
      </c>
      <c r="E2427" s="76" t="s">
        <v>112</v>
      </c>
      <c r="F2427" s="77"/>
      <c r="G2427" s="77" t="n">
        <v>4</v>
      </c>
      <c r="H2427" s="77" t="n">
        <v>0</v>
      </c>
      <c r="I2427" s="76" t="n">
        <f aca="false">IF(AND(ISNUMBER(G2427),ISNUMBER(H2427)),MAX(G2427-H2427,0),"")</f>
        <v>4</v>
      </c>
      <c r="J2427" s="78" t="n">
        <f aca="false">IF(AND(ISNUMBER(G2427),ISNUMBER(H2427)),IF(G2427&gt;0,H2427/G2427,""),"")</f>
        <v>0</v>
      </c>
      <c r="K2427" s="77"/>
      <c r="L2427" s="76" t="str">
        <f aca="false">IF(OR(G2427="",H2427=""),"Data tidak lengkap",IF(AND(G2427=0,H2427=0),IF(AND(F2427="",K2427=""),"Tidak dibuka","Tutup"),IF(H2427&gt;G2427,"Lebih kapasitas",IF(H2427=G2427,"Penuh",IF(H2427=0,IF(F2427="","Slot kosong","Belum terisi"),"Sebagian")))))</f>
        <v>Slot kosong</v>
      </c>
      <c r="M2427" s="79" t="str">
        <f aca="false">IF(L2427="Tidak dibuka","–",IF(F2427="","(tanpa age group)",F2427)&amp;"  "&amp;IF(H2427="","?",H2427)&amp;"/"&amp;IF(G2427="","?",G2427)&amp;CHAR(10)&amp;IF(K2427="","coach: –","coach: "&amp;K2427))</f>
        <v>(tanpa age group)  0/4
coach: –</v>
      </c>
    </row>
    <row r="2428" customFormat="false" ht="22.35" hidden="false" customHeight="false" outlineLevel="0" collapsed="false">
      <c r="A2428" s="76" t="str">
        <f aca="false">B2428&amp;"|"&amp;C2428&amp;"|"&amp;D2428&amp;"|"&amp;E2428</f>
        <v>HIB|5|Minggu|10:15</v>
      </c>
      <c r="B2428" s="76" t="s">
        <v>71</v>
      </c>
      <c r="C2428" s="76" t="n">
        <v>5</v>
      </c>
      <c r="D2428" s="76" t="s">
        <v>78</v>
      </c>
      <c r="E2428" s="76" t="s">
        <v>113</v>
      </c>
      <c r="F2428" s="77"/>
      <c r="G2428" s="77" t="n">
        <v>4</v>
      </c>
      <c r="H2428" s="77" t="n">
        <v>0</v>
      </c>
      <c r="I2428" s="76" t="n">
        <f aca="false">IF(AND(ISNUMBER(G2428),ISNUMBER(H2428)),MAX(G2428-H2428,0),"")</f>
        <v>4</v>
      </c>
      <c r="J2428" s="78" t="n">
        <f aca="false">IF(AND(ISNUMBER(G2428),ISNUMBER(H2428)),IF(G2428&gt;0,H2428/G2428,""),"")</f>
        <v>0</v>
      </c>
      <c r="K2428" s="77"/>
      <c r="L2428" s="76" t="str">
        <f aca="false">IF(OR(G2428="",H2428=""),"Data tidak lengkap",IF(AND(G2428=0,H2428=0),IF(AND(F2428="",K2428=""),"Tidak dibuka","Tutup"),IF(H2428&gt;G2428,"Lebih kapasitas",IF(H2428=G2428,"Penuh",IF(H2428=0,IF(F2428="","Slot kosong","Belum terisi"),"Sebagian")))))</f>
        <v>Slot kosong</v>
      </c>
      <c r="M2428" s="79" t="str">
        <f aca="false">IF(L2428="Tidak dibuka","–",IF(F2428="","(tanpa age group)",F2428)&amp;"  "&amp;IF(H2428="","?",H2428)&amp;"/"&amp;IF(G2428="","?",G2428)&amp;CHAR(10)&amp;IF(K2428="","coach: –","coach: "&amp;K2428))</f>
        <v>(tanpa age group)  0/4
coach: –</v>
      </c>
    </row>
    <row r="2429" customFormat="false" ht="22.35" hidden="false" customHeight="false" outlineLevel="0" collapsed="false">
      <c r="A2429" s="76" t="str">
        <f aca="false">B2429&amp;"|"&amp;C2429&amp;"|"&amp;D2429&amp;"|"&amp;E2429</f>
        <v>HIB|5|Minggu|11:00</v>
      </c>
      <c r="B2429" s="76" t="s">
        <v>71</v>
      </c>
      <c r="C2429" s="76" t="n">
        <v>5</v>
      </c>
      <c r="D2429" s="76" t="s">
        <v>78</v>
      </c>
      <c r="E2429" s="76" t="s">
        <v>114</v>
      </c>
      <c r="F2429" s="77"/>
      <c r="G2429" s="77" t="n">
        <v>4</v>
      </c>
      <c r="H2429" s="77" t="n">
        <v>0</v>
      </c>
      <c r="I2429" s="76" t="n">
        <f aca="false">IF(AND(ISNUMBER(G2429),ISNUMBER(H2429)),MAX(G2429-H2429,0),"")</f>
        <v>4</v>
      </c>
      <c r="J2429" s="78" t="n">
        <f aca="false">IF(AND(ISNUMBER(G2429),ISNUMBER(H2429)),IF(G2429&gt;0,H2429/G2429,""),"")</f>
        <v>0</v>
      </c>
      <c r="K2429" s="77"/>
      <c r="L2429" s="76" t="str">
        <f aca="false">IF(OR(G2429="",H2429=""),"Data tidak lengkap",IF(AND(G2429=0,H2429=0),IF(AND(F2429="",K2429=""),"Tidak dibuka","Tutup"),IF(H2429&gt;G2429,"Lebih kapasitas",IF(H2429=G2429,"Penuh",IF(H2429=0,IF(F2429="","Slot kosong","Belum terisi"),"Sebagian")))))</f>
        <v>Slot kosong</v>
      </c>
      <c r="M2429" s="79" t="str">
        <f aca="false">IF(L2429="Tidak dibuka","–",IF(F2429="","(tanpa age group)",F2429)&amp;"  "&amp;IF(H2429="","?",H2429)&amp;"/"&amp;IF(G2429="","?",G2429)&amp;CHAR(10)&amp;IF(K2429="","coach: –","coach: "&amp;K2429))</f>
        <v>(tanpa age group)  0/4
coach: –</v>
      </c>
    </row>
    <row r="2430" customFormat="false" ht="22.35" hidden="false" customHeight="false" outlineLevel="0" collapsed="false">
      <c r="A2430" s="76" t="str">
        <f aca="false">B2430&amp;"|"&amp;C2430&amp;"|"&amp;D2430&amp;"|"&amp;E2430</f>
        <v>HIB|5|Minggu|11:45</v>
      </c>
      <c r="B2430" s="76" t="s">
        <v>71</v>
      </c>
      <c r="C2430" s="76" t="n">
        <v>5</v>
      </c>
      <c r="D2430" s="76" t="s">
        <v>78</v>
      </c>
      <c r="E2430" s="76" t="s">
        <v>115</v>
      </c>
      <c r="F2430" s="77"/>
      <c r="G2430" s="77" t="n">
        <v>4</v>
      </c>
      <c r="H2430" s="77" t="n">
        <v>0</v>
      </c>
      <c r="I2430" s="76" t="n">
        <f aca="false">IF(AND(ISNUMBER(G2430),ISNUMBER(H2430)),MAX(G2430-H2430,0),"")</f>
        <v>4</v>
      </c>
      <c r="J2430" s="78" t="n">
        <f aca="false">IF(AND(ISNUMBER(G2430),ISNUMBER(H2430)),IF(G2430&gt;0,H2430/G2430,""),"")</f>
        <v>0</v>
      </c>
      <c r="K2430" s="77"/>
      <c r="L2430" s="76" t="str">
        <f aca="false">IF(OR(G2430="",H2430=""),"Data tidak lengkap",IF(AND(G2430=0,H2430=0),IF(AND(F2430="",K2430=""),"Tidak dibuka","Tutup"),IF(H2430&gt;G2430,"Lebih kapasitas",IF(H2430=G2430,"Penuh",IF(H2430=0,IF(F2430="","Slot kosong","Belum terisi"),"Sebagian")))))</f>
        <v>Slot kosong</v>
      </c>
      <c r="M2430" s="79" t="str">
        <f aca="false">IF(L2430="Tidak dibuka","–",IF(F2430="","(tanpa age group)",F2430)&amp;"  "&amp;IF(H2430="","?",H2430)&amp;"/"&amp;IF(G2430="","?",G2430)&amp;CHAR(10)&amp;IF(K2430="","coach: –","coach: "&amp;K2430))</f>
        <v>(tanpa age group)  0/4
coach: –</v>
      </c>
    </row>
    <row r="2431" customFormat="false" ht="22.35" hidden="false" customHeight="false" outlineLevel="0" collapsed="false">
      <c r="A2431" s="76" t="str">
        <f aca="false">B2431&amp;"|"&amp;C2431&amp;"|"&amp;D2431&amp;"|"&amp;E2431</f>
        <v>HIB|5|Minggu|13:15</v>
      </c>
      <c r="B2431" s="76" t="s">
        <v>71</v>
      </c>
      <c r="C2431" s="76" t="n">
        <v>5</v>
      </c>
      <c r="D2431" s="76" t="s">
        <v>78</v>
      </c>
      <c r="E2431" s="76" t="s">
        <v>116</v>
      </c>
      <c r="F2431" s="77"/>
      <c r="G2431" s="77" t="n">
        <v>4</v>
      </c>
      <c r="H2431" s="77" t="n">
        <v>0</v>
      </c>
      <c r="I2431" s="76" t="n">
        <f aca="false">IF(AND(ISNUMBER(G2431),ISNUMBER(H2431)),MAX(G2431-H2431,0),"")</f>
        <v>4</v>
      </c>
      <c r="J2431" s="78" t="n">
        <f aca="false">IF(AND(ISNUMBER(G2431),ISNUMBER(H2431)),IF(G2431&gt;0,H2431/G2431,""),"")</f>
        <v>0</v>
      </c>
      <c r="K2431" s="77"/>
      <c r="L2431" s="76" t="str">
        <f aca="false">IF(OR(G2431="",H2431=""),"Data tidak lengkap",IF(AND(G2431=0,H2431=0),IF(AND(F2431="",K2431=""),"Tidak dibuka","Tutup"),IF(H2431&gt;G2431,"Lebih kapasitas",IF(H2431=G2431,"Penuh",IF(H2431=0,IF(F2431="","Slot kosong","Belum terisi"),"Sebagian")))))</f>
        <v>Slot kosong</v>
      </c>
      <c r="M2431" s="79" t="str">
        <f aca="false">IF(L2431="Tidak dibuka","–",IF(F2431="","(tanpa age group)",F2431)&amp;"  "&amp;IF(H2431="","?",H2431)&amp;"/"&amp;IF(G2431="","?",G2431)&amp;CHAR(10)&amp;IF(K2431="","coach: –","coach: "&amp;K2431))</f>
        <v>(tanpa age group)  0/4
coach: –</v>
      </c>
    </row>
    <row r="2432" customFormat="false" ht="22.35" hidden="false" customHeight="false" outlineLevel="0" collapsed="false">
      <c r="A2432" s="76" t="str">
        <f aca="false">B2432&amp;"|"&amp;C2432&amp;"|"&amp;D2432&amp;"|"&amp;E2432</f>
        <v>HIB|5|Minggu|14:00</v>
      </c>
      <c r="B2432" s="76" t="s">
        <v>71</v>
      </c>
      <c r="C2432" s="76" t="n">
        <v>5</v>
      </c>
      <c r="D2432" s="76" t="s">
        <v>78</v>
      </c>
      <c r="E2432" s="76" t="s">
        <v>117</v>
      </c>
      <c r="F2432" s="77"/>
      <c r="G2432" s="77" t="n">
        <v>4</v>
      </c>
      <c r="H2432" s="77" t="n">
        <v>0</v>
      </c>
      <c r="I2432" s="76" t="n">
        <f aca="false">IF(AND(ISNUMBER(G2432),ISNUMBER(H2432)),MAX(G2432-H2432,0),"")</f>
        <v>4</v>
      </c>
      <c r="J2432" s="78" t="n">
        <f aca="false">IF(AND(ISNUMBER(G2432),ISNUMBER(H2432)),IF(G2432&gt;0,H2432/G2432,""),"")</f>
        <v>0</v>
      </c>
      <c r="K2432" s="77"/>
      <c r="L2432" s="76" t="str">
        <f aca="false">IF(OR(G2432="",H2432=""),"Data tidak lengkap",IF(AND(G2432=0,H2432=0),IF(AND(F2432="",K2432=""),"Tidak dibuka","Tutup"),IF(H2432&gt;G2432,"Lebih kapasitas",IF(H2432=G2432,"Penuh",IF(H2432=0,IF(F2432="","Slot kosong","Belum terisi"),"Sebagian")))))</f>
        <v>Slot kosong</v>
      </c>
      <c r="M2432" s="79" t="str">
        <f aca="false">IF(L2432="Tidak dibuka","–",IF(F2432="","(tanpa age group)",F2432)&amp;"  "&amp;IF(H2432="","?",H2432)&amp;"/"&amp;IF(G2432="","?",G2432)&amp;CHAR(10)&amp;IF(K2432="","coach: –","coach: "&amp;K2432))</f>
        <v>(tanpa age group)  0/4
coach: –</v>
      </c>
    </row>
    <row r="2433" customFormat="false" ht="22.35" hidden="false" customHeight="false" outlineLevel="0" collapsed="false">
      <c r="A2433" s="76" t="str">
        <f aca="false">B2433&amp;"|"&amp;C2433&amp;"|"&amp;D2433&amp;"|"&amp;E2433</f>
        <v>HIB|5|Minggu|14:45</v>
      </c>
      <c r="B2433" s="76" t="s">
        <v>71</v>
      </c>
      <c r="C2433" s="76" t="n">
        <v>5</v>
      </c>
      <c r="D2433" s="76" t="s">
        <v>78</v>
      </c>
      <c r="E2433" s="76" t="s">
        <v>118</v>
      </c>
      <c r="F2433" s="77"/>
      <c r="G2433" s="77" t="n">
        <v>4</v>
      </c>
      <c r="H2433" s="77" t="n">
        <v>0</v>
      </c>
      <c r="I2433" s="76" t="n">
        <f aca="false">IF(AND(ISNUMBER(G2433),ISNUMBER(H2433)),MAX(G2433-H2433,0),"")</f>
        <v>4</v>
      </c>
      <c r="J2433" s="78" t="n">
        <f aca="false">IF(AND(ISNUMBER(G2433),ISNUMBER(H2433)),IF(G2433&gt;0,H2433/G2433,""),"")</f>
        <v>0</v>
      </c>
      <c r="K2433" s="77"/>
      <c r="L2433" s="76" t="str">
        <f aca="false">IF(OR(G2433="",H2433=""),"Data tidak lengkap",IF(AND(G2433=0,H2433=0),IF(AND(F2433="",K2433=""),"Tidak dibuka","Tutup"),IF(H2433&gt;G2433,"Lebih kapasitas",IF(H2433=G2433,"Penuh",IF(H2433=0,IF(F2433="","Slot kosong","Belum terisi"),"Sebagian")))))</f>
        <v>Slot kosong</v>
      </c>
      <c r="M2433" s="79" t="str">
        <f aca="false">IF(L2433="Tidak dibuka","–",IF(F2433="","(tanpa age group)",F2433)&amp;"  "&amp;IF(H2433="","?",H2433)&amp;"/"&amp;IF(G2433="","?",G2433)&amp;CHAR(10)&amp;IF(K2433="","coach: –","coach: "&amp;K2433))</f>
        <v>(tanpa age group)  0/4
coach: –</v>
      </c>
    </row>
    <row r="2434" customFormat="false" ht="22.35" hidden="false" customHeight="false" outlineLevel="0" collapsed="false">
      <c r="A2434" s="76" t="str">
        <f aca="false">B2434&amp;"|"&amp;C2434&amp;"|"&amp;D2434&amp;"|"&amp;E2434</f>
        <v>HIB|5|Minggu|15:30</v>
      </c>
      <c r="B2434" s="76" t="s">
        <v>71</v>
      </c>
      <c r="C2434" s="76" t="n">
        <v>5</v>
      </c>
      <c r="D2434" s="76" t="s">
        <v>78</v>
      </c>
      <c r="E2434" s="76" t="s">
        <v>119</v>
      </c>
      <c r="F2434" s="77"/>
      <c r="G2434" s="77" t="n">
        <v>4</v>
      </c>
      <c r="H2434" s="77" t="n">
        <v>0</v>
      </c>
      <c r="I2434" s="76" t="n">
        <f aca="false">IF(AND(ISNUMBER(G2434),ISNUMBER(H2434)),MAX(G2434-H2434,0),"")</f>
        <v>4</v>
      </c>
      <c r="J2434" s="78" t="n">
        <f aca="false">IF(AND(ISNUMBER(G2434),ISNUMBER(H2434)),IF(G2434&gt;0,H2434/G2434,""),"")</f>
        <v>0</v>
      </c>
      <c r="K2434" s="77"/>
      <c r="L2434" s="76" t="str">
        <f aca="false">IF(OR(G2434="",H2434=""),"Data tidak lengkap",IF(AND(G2434=0,H2434=0),IF(AND(F2434="",K2434=""),"Tidak dibuka","Tutup"),IF(H2434&gt;G2434,"Lebih kapasitas",IF(H2434=G2434,"Penuh",IF(H2434=0,IF(F2434="","Slot kosong","Belum terisi"),"Sebagian")))))</f>
        <v>Slot kosong</v>
      </c>
      <c r="M2434" s="79" t="str">
        <f aca="false">IF(L2434="Tidak dibuka","–",IF(F2434="","(tanpa age group)",F2434)&amp;"  "&amp;IF(H2434="","?",H2434)&amp;"/"&amp;IF(G2434="","?",G2434)&amp;CHAR(10)&amp;IF(K2434="","coach: –","coach: "&amp;K2434))</f>
        <v>(tanpa age group)  0/4
coach: –</v>
      </c>
    </row>
    <row r="2435" customFormat="false" ht="22.35" hidden="false" customHeight="false" outlineLevel="0" collapsed="false">
      <c r="A2435" s="76" t="str">
        <f aca="false">B2435&amp;"|"&amp;C2435&amp;"|"&amp;D2435&amp;"|"&amp;E2435</f>
        <v>HIB|5|Minggu|16:15</v>
      </c>
      <c r="B2435" s="76" t="s">
        <v>71</v>
      </c>
      <c r="C2435" s="76" t="n">
        <v>5</v>
      </c>
      <c r="D2435" s="76" t="s">
        <v>78</v>
      </c>
      <c r="E2435" s="76" t="s">
        <v>120</v>
      </c>
      <c r="F2435" s="77"/>
      <c r="G2435" s="77" t="n">
        <v>4</v>
      </c>
      <c r="H2435" s="77" t="n">
        <v>0</v>
      </c>
      <c r="I2435" s="76" t="n">
        <f aca="false">IF(AND(ISNUMBER(G2435),ISNUMBER(H2435)),MAX(G2435-H2435,0),"")</f>
        <v>4</v>
      </c>
      <c r="J2435" s="78" t="n">
        <f aca="false">IF(AND(ISNUMBER(G2435),ISNUMBER(H2435)),IF(G2435&gt;0,H2435/G2435,""),"")</f>
        <v>0</v>
      </c>
      <c r="K2435" s="77"/>
      <c r="L2435" s="76" t="str">
        <f aca="false">IF(OR(G2435="",H2435=""),"Data tidak lengkap",IF(AND(G2435=0,H2435=0),IF(AND(F2435="",K2435=""),"Tidak dibuka","Tutup"),IF(H2435&gt;G2435,"Lebih kapasitas",IF(H2435=G2435,"Penuh",IF(H2435=0,IF(F2435="","Slot kosong","Belum terisi"),"Sebagian")))))</f>
        <v>Slot kosong</v>
      </c>
      <c r="M2435" s="79" t="str">
        <f aca="false">IF(L2435="Tidak dibuka","–",IF(F2435="","(tanpa age group)",F2435)&amp;"  "&amp;IF(H2435="","?",H2435)&amp;"/"&amp;IF(G2435="","?",G2435)&amp;CHAR(10)&amp;IF(K2435="","coach: –","coach: "&amp;K2435))</f>
        <v>(tanpa age group)  0/4
coach: –</v>
      </c>
    </row>
    <row r="2436" customFormat="false" ht="22.35" hidden="false" customHeight="false" outlineLevel="0" collapsed="false">
      <c r="A2436" s="76" t="str">
        <f aca="false">B2436&amp;"|"&amp;C2436&amp;"|"&amp;D2436&amp;"|"&amp;E2436</f>
        <v>HIB|5|Minggu|17:00</v>
      </c>
      <c r="B2436" s="76" t="s">
        <v>71</v>
      </c>
      <c r="C2436" s="76" t="n">
        <v>5</v>
      </c>
      <c r="D2436" s="76" t="s">
        <v>78</v>
      </c>
      <c r="E2436" s="76" t="s">
        <v>121</v>
      </c>
      <c r="F2436" s="77"/>
      <c r="G2436" s="77" t="n">
        <v>4</v>
      </c>
      <c r="H2436" s="77" t="n">
        <v>0</v>
      </c>
      <c r="I2436" s="76" t="n">
        <f aca="false">IF(AND(ISNUMBER(G2436),ISNUMBER(H2436)),MAX(G2436-H2436,0),"")</f>
        <v>4</v>
      </c>
      <c r="J2436" s="78" t="n">
        <f aca="false">IF(AND(ISNUMBER(G2436),ISNUMBER(H2436)),IF(G2436&gt;0,H2436/G2436,""),"")</f>
        <v>0</v>
      </c>
      <c r="K2436" s="77"/>
      <c r="L2436" s="76" t="str">
        <f aca="false">IF(OR(G2436="",H2436=""),"Data tidak lengkap",IF(AND(G2436=0,H2436=0),IF(AND(F2436="",K2436=""),"Tidak dibuka","Tutup"),IF(H2436&gt;G2436,"Lebih kapasitas",IF(H2436=G2436,"Penuh",IF(H2436=0,IF(F2436="","Slot kosong","Belum terisi"),"Sebagian")))))</f>
        <v>Slot kosong</v>
      </c>
      <c r="M2436" s="79" t="str">
        <f aca="false">IF(L2436="Tidak dibuka","–",IF(F2436="","(tanpa age group)",F2436)&amp;"  "&amp;IF(H2436="","?",H2436)&amp;"/"&amp;IF(G2436="","?",G2436)&amp;CHAR(10)&amp;IF(K2436="","coach: –","coach: "&amp;K2436))</f>
        <v>(tanpa age group)  0/4
coach: –</v>
      </c>
    </row>
  </sheetData>
  <autoFilter ref="A1:M24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2026-09-26T11:53:07Z</dcterms:created>
  <dc:creator>openpyxl</dc:creator>
  <dc:description/>
  <dc:language>en-US</dc:language>
  <cp:lastModifiedBy/>
  <dcterms:modified xsi:type="dcterms:W3CDTF">2026-09-26T11:53:11Z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